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heck" sheetId="1" state="visible" r:id="rId1"/>
    <sheet name="Charts" sheetId="2" state="visible" r:id="rId2"/>
    <sheet name="Monthly" sheetId="3" state="visible" r:id="rId3"/>
    <sheet name="Quarterly" sheetId="4" state="visible" r:id="rId4"/>
    <sheet name="FY Totals" sheetId="5" state="visible" r:id="rId5"/>
    <sheet name="Prior-Year Check" sheetId="6" state="visible" r:id="rId6"/>
    <sheet name="Release Log" sheetId="7" state="visible" r:id="rId7"/>
  </sheets>
  <definedNames>
    <definedName name="_xlnm._FilterDatabase" localSheetId="5" hidden="1">'Prior-Year Check'!$A$4:$M$1081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(0.0%)"/>
    <numFmt numFmtId="165" formatCode="yyyy-mm-dd"/>
    <numFmt numFmtId="166" formatCode="dd-mmm-yyyy"/>
    <numFmt numFmtId="167" formatCode="0.00;(0.00)"/>
    <numFmt numFmtId="168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F4E78"/>
      <sz val="11"/>
    </font>
    <font>
      <name val="Arial"/>
      <b val="1"/>
      <sz val="10"/>
    </font>
    <font>
      <name val="Arial"/>
      <sz val="10"/>
    </font>
    <font>
      <name val="Arial"/>
      <i val="1"/>
      <color rgb="00595959"/>
      <sz val="9"/>
    </font>
    <font>
      <name val="Arial"/>
      <i val="1"/>
      <color rgb="00808080"/>
      <sz val="10"/>
    </font>
    <font>
      <name val="Arial"/>
      <i val="1"/>
      <color rgb="007030A0"/>
      <sz val="10"/>
    </font>
    <font>
      <name val="Arial"/>
      <color rgb="000563C1"/>
      <sz val="10"/>
      <u val="single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D6DCE4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bottom style="hair">
        <color rgb="00D9D9D9"/>
      </bottom>
    </border>
    <border>
      <bottom style="thin">
        <color rgb="00A6A6A6"/>
      </bottom>
    </border>
    <border>
      <left style="thin">
        <color rgb="00BFBFBF"/>
      </left>
      <bottom style="thin">
        <color rgb="00A6A6A6"/>
      </bottom>
    </border>
    <border>
      <left style="thin">
        <color rgb="00BFBFBF"/>
      </left>
      <bottom style="hair">
        <color rgb="00D9D9D9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2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4" borderId="1" pivotButton="0" quotePrefix="0" xfId="0"/>
    <xf numFmtId="17" fontId="3" fillId="0" borderId="1" pivotButton="0" quotePrefix="0" xfId="0"/>
    <xf numFmtId="0" fontId="3" fillId="0" borderId="1" pivotButton="0" quotePrefix="0" xfId="0"/>
    <xf numFmtId="168" fontId="3" fillId="0" borderId="1" pivotButton="0" quotePrefix="0" xfId="0"/>
    <xf numFmtId="0" fontId="8" fillId="0" borderId="0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2" fillId="3" borderId="2" pivotButton="0" quotePrefix="0" xfId="0"/>
    <xf numFmtId="0" fontId="0" fillId="0" borderId="1" pivotButton="0" quotePrefix="0" xfId="0"/>
    <xf numFmtId="2" fontId="3" fillId="0" borderId="1" pivotButton="0" quotePrefix="0" xfId="0"/>
    <xf numFmtId="0" fontId="2" fillId="0" borderId="1" pivotButton="0" quotePrefix="0" xfId="0"/>
    <xf numFmtId="0" fontId="2" fillId="0" borderId="0" pivotButton="0" quotePrefix="0" xfId="0"/>
    <xf numFmtId="0" fontId="4" fillId="0" borderId="0" pivotButton="0" quotePrefix="0" xfId="0"/>
    <xf numFmtId="0" fontId="2" fillId="4" borderId="3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7" borderId="3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3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4" fontId="3" fillId="0" borderId="4" pivotButton="0" quotePrefix="0" xfId="0"/>
    <xf numFmtId="164" fontId="5" fillId="0" borderId="1" pivotButton="0" quotePrefix="0" xfId="0"/>
    <xf numFmtId="164" fontId="3" fillId="0" borderId="1" pivotButton="0" quotePrefix="0" xfId="0"/>
    <xf numFmtId="166" fontId="3" fillId="0" borderId="1" pivotButton="0" quotePrefix="0" xfId="0"/>
    <xf numFmtId="4" fontId="6" fillId="0" borderId="4" pivotButton="0" quotePrefix="0" xfId="0"/>
    <xf numFmtId="4" fontId="3" fillId="0" borderId="1" pivotButton="0" quotePrefix="0" xfId="0"/>
    <xf numFmtId="167" fontId="3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APE, RWRP &amp; Retail APE - monthly (INR Bn)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'Monthly'!F4</f>
            </strRef>
          </tx>
          <spPr>
            <a:ln w="19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'Monthly'!$A$5:$A$100</f>
            </numRef>
          </cat>
          <val>
            <numRef>
              <f>'Monthly'!$F$5:$F$100</f>
            </numRef>
          </val>
          <smooth val="0"/>
        </ser>
        <ser>
          <idx val="1"/>
          <order val="1"/>
          <tx>
            <strRef>
              <f>'Monthly'!C4</f>
            </strRef>
          </tx>
          <spPr>
            <a:ln w="19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'Monthly'!$A$5:$A$100</f>
            </numRef>
          </cat>
          <val>
            <numRef>
              <f>'Monthly'!$C$5:$C$100</f>
            </numRef>
          </val>
          <smooth val="0"/>
        </ser>
        <ser>
          <idx val="2"/>
          <order val="2"/>
          <tx>
            <strRef>
              <f>'Monthly'!I4</f>
            </strRef>
          </tx>
          <spPr>
            <a:ln w="19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'Monthly'!$A$5:$A$100</f>
            </numRef>
          </cat>
          <val>
            <numRef>
              <f>'Monthly'!$I$5:$I$100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delete val="0"/>
        <axPos val="l"/>
        <numFmt formatCode="mmm-yy" sourceLinked="0"/>
        <majorTickMark val="none"/>
        <minorTickMark val="none"/>
        <crossAx val="100"/>
        <majorTimeUnit val="months"/>
      </date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INR Bn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YoY growth - APE vs RWRP</a:t>
            </a:r>
          </a:p>
        </rich>
      </tx>
    </title>
    <plotArea>
      <lineChart>
        <grouping val="standard"/>
        <ser>
          <idx val="0"/>
          <order val="0"/>
          <tx>
            <strRef>
              <f>'Monthly'!G4</f>
            </strRef>
          </tx>
          <spPr>
            <a:ln w="19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'Monthly'!$A$5:$A$100</f>
            </numRef>
          </cat>
          <val>
            <numRef>
              <f>'Monthly'!$G$5:$G$100</f>
            </numRef>
          </val>
          <smooth val="0"/>
        </ser>
        <ser>
          <idx val="1"/>
          <order val="1"/>
          <tx>
            <strRef>
              <f>'Monthly'!D4</f>
            </strRef>
          </tx>
          <spPr>
            <a:ln w="19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'Monthly'!$A$5:$A$100</f>
            </numRef>
          </cat>
          <val>
            <numRef>
              <f>'Monthly'!$D$5:$D$100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delete val="0"/>
        <axPos val="l"/>
        <numFmt formatCode="mmm-yy" sourceLinked="0"/>
        <majorTickMark val="none"/>
        <minorTickMark val="none"/>
        <crossAx val="100"/>
        <majorTimeUnit val="months"/>
      </date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YoY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New Business Premium - monthly (INR Bn)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'Monthly'!L4</f>
            </strRef>
          </tx>
          <spPr>
            <a:ln>
              <a:prstDash val="solid"/>
            </a:ln>
          </spPr>
          <cat>
            <numRef>
              <f>'Monthly'!$A$5:$A$100</f>
            </numRef>
          </cat>
          <val>
            <numRef>
              <f>'Monthly'!$L$5:$L$100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numFmt formatCode="mmm-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INR Bn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New Business Sum Assured - monthly (INR Bn)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'Monthly'!O4</f>
            </strRef>
          </tx>
          <spPr>
            <a:ln>
              <a:prstDash val="solid"/>
            </a:ln>
          </spPr>
          <cat>
            <numRef>
              <f>'Monthly'!$A$5:$A$100</f>
            </numRef>
          </cat>
          <val>
            <numRef>
              <f>'Monthly'!$O$5:$O$100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numFmt formatCode="mmm-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INR Bn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Fiscal-year totals (INR Bn)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'FY Totals'!E3</f>
            </strRef>
          </tx>
          <spPr>
            <a:ln>
              <a:prstDash val="solid"/>
            </a:ln>
          </spPr>
          <cat>
            <numRef>
              <f>'FY Totals'!$A$4:$A$12</f>
            </numRef>
          </cat>
          <val>
            <numRef>
              <f>'FY Totals'!$E$4:$E$12</f>
            </numRef>
          </val>
        </ser>
        <ser>
          <idx val="1"/>
          <order val="1"/>
          <tx>
            <strRef>
              <f>'FY Totals'!B3</f>
            </strRef>
          </tx>
          <spPr>
            <a:ln>
              <a:prstDash val="solid"/>
            </a:ln>
          </spPr>
          <cat>
            <numRef>
              <f>'FY Totals'!$A$4:$A$12</f>
            </numRef>
          </cat>
          <val>
            <numRef>
              <f>'FY Totals'!$B$4:$B$12</f>
            </numRef>
          </val>
        </ser>
        <ser>
          <idx val="2"/>
          <order val="2"/>
          <tx>
            <strRef>
              <f>'FY Totals'!K3</f>
            </strRef>
          </tx>
          <spPr>
            <a:ln>
              <a:prstDash val="solid"/>
            </a:ln>
          </spPr>
          <cat>
            <numRef>
              <f>'FY Totals'!$A$4:$A$12</f>
            </numRef>
          </cat>
          <val>
            <numRef>
              <f>'FY Totals'!$K$4:$K$12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Quarterly APE, RWRP &amp; NB Premium (INR Bn)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'Quarterly'!G4</f>
            </strRef>
          </tx>
          <spPr>
            <a:ln>
              <a:prstDash val="solid"/>
            </a:ln>
          </spPr>
          <cat>
            <numRef>
              <f>'Quarterly'!$A$5:$A$36</f>
            </numRef>
          </cat>
          <val>
            <numRef>
              <f>'Quarterly'!$G$5:$G$36</f>
            </numRef>
          </val>
        </ser>
        <ser>
          <idx val="1"/>
          <order val="1"/>
          <tx>
            <strRef>
              <f>'Quarterly'!D4</f>
            </strRef>
          </tx>
          <spPr>
            <a:ln>
              <a:prstDash val="solid"/>
            </a:ln>
          </spPr>
          <cat>
            <numRef>
              <f>'Quarterly'!$A$5:$A$36</f>
            </numRef>
          </cat>
          <val>
            <numRef>
              <f>'Quarterly'!$D$5:$D$36</f>
            </numRef>
          </val>
        </ser>
        <ser>
          <idx val="2"/>
          <order val="2"/>
          <tx>
            <strRef>
              <f>'Quarterly'!M4</f>
            </strRef>
          </tx>
          <spPr>
            <a:ln>
              <a:prstDash val="solid"/>
            </a:ln>
          </spPr>
          <cat>
            <numRef>
              <f>'Quarterly'!$A$5:$A$36</f>
            </numRef>
          </cat>
          <val>
            <numRef>
              <f>'Quarterly'!$M$5:$M$36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Quarterly YoY growth - APE vs RWRP</a:t>
            </a:r>
          </a:p>
        </rich>
      </tx>
    </title>
    <plotArea>
      <lineChart>
        <grouping val="standard"/>
        <ser>
          <idx val="0"/>
          <order val="0"/>
          <tx>
            <strRef>
              <f>'Quarterly'!H4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'Quarterly'!$A$5:$A$36</f>
            </numRef>
          </cat>
          <val>
            <numRef>
              <f>'Quarterly'!$H$5:$H$36</f>
            </numRef>
          </val>
        </ser>
        <ser>
          <idx val="1"/>
          <order val="1"/>
          <tx>
            <strRef>
              <f>'Quarterly'!E4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'Quarterly'!$A$5:$A$36</f>
            </numRef>
          </cat>
          <val>
            <numRef>
              <f>'Quarterly'!$E$5:$E$36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36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20</row>
      <rowOff>0</rowOff>
    </from>
    <ext cx="936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38</row>
      <rowOff>0</rowOff>
    </from>
    <ext cx="936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56</row>
      <rowOff>0</rowOff>
    </from>
    <ext cx="9360000" cy="30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74</row>
      <rowOff>0</rowOff>
    </from>
    <ext cx="9360000" cy="30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92</row>
      <rowOff>0</rowOff>
    </from>
    <ext cx="9360000" cy="306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110</row>
      <rowOff>0</rowOff>
    </from>
    <ext cx="9360000" cy="306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bseindia.com/xml-data/corpfiling/AttachHis/d76d5f58-1bcc-42aa-905c-0cea30b33896.pdf" TargetMode="External" Id="rId1" /><Relationship Type="http://schemas.openxmlformats.org/officeDocument/2006/relationships/hyperlink" Target="https://www.bseindia.com/xml-data/corpfiling/AttachHis/5d67dba2-ebad-4fa6-8cbd-6649f0c98dd8.pdf" TargetMode="External" Id="rId2" /><Relationship Type="http://schemas.openxmlformats.org/officeDocument/2006/relationships/hyperlink" Target="https://www.bseindia.com/xml-data/corpfiling/AttachHis/cdf82de8-535e-4082-83ab-a9bc94bbd2ef.pdf" TargetMode="External" Id="rId3" /><Relationship Type="http://schemas.openxmlformats.org/officeDocument/2006/relationships/hyperlink" Target="https://www.bseindia.com/xml-data/corpfiling/AttachHis/3f62cc8a-9658-44eb-b162-1dd7d4697e94.pdf" TargetMode="External" Id="rId4" /><Relationship Type="http://schemas.openxmlformats.org/officeDocument/2006/relationships/hyperlink" Target="https://www.bseindia.com/xml-data/corpfiling/AttachHis/dbe39ddf-f29e-409d-ac62-44df6d0c01f9.pdf" TargetMode="External" Id="rId5" /><Relationship Type="http://schemas.openxmlformats.org/officeDocument/2006/relationships/hyperlink" Target="https://www.bseindia.com/xml-data/corpfiling/AttachHis/adb08743-54cf-4380-ae6a-324a8e4ced7b.pdf" TargetMode="External" Id="rId6" /><Relationship Type="http://schemas.openxmlformats.org/officeDocument/2006/relationships/hyperlink" Target="https://www.bseindia.com/xml-data/corpfiling/AttachHis/6448b525-55ac-4362-84fe-e53e5e1c264c.pdf" TargetMode="External" Id="rId7" /><Relationship Type="http://schemas.openxmlformats.org/officeDocument/2006/relationships/hyperlink" Target="https://www.bseindia.com/xml-data/corpfiling/AttachHis/78552c1e-9423-4b0b-924c-9908519740a2.pdf" TargetMode="External" Id="rId8" /><Relationship Type="http://schemas.openxmlformats.org/officeDocument/2006/relationships/hyperlink" Target="https://www.bseindia.com/xml-data/corpfiling/AttachHis/ddd61863-da93-4619-80ce-aed6b7cc3cf7.pdf" TargetMode="External" Id="rId9" /><Relationship Type="http://schemas.openxmlformats.org/officeDocument/2006/relationships/hyperlink" Target="https://www.bseindia.com/xml-data/corpfiling/AttachHis/f10475dc-bcf8-4b61-bcd1-9cfc02f3d611.pdf" TargetMode="External" Id="rId10" /><Relationship Type="http://schemas.openxmlformats.org/officeDocument/2006/relationships/hyperlink" Target="https://www.bseindia.com/xml-data/corpfiling/AttachHis/66bfbd7a-d59e-4aa1-b03d-c58221cbd767.pdf" TargetMode="External" Id="rId11" /><Relationship Type="http://schemas.openxmlformats.org/officeDocument/2006/relationships/hyperlink" Target="https://www.bseindia.com/xml-data/corpfiling/AttachHis/a0c10491-3d7a-4148-9286-0f1bd9a6d5b9.pdf" TargetMode="External" Id="rId12" /><Relationship Type="http://schemas.openxmlformats.org/officeDocument/2006/relationships/hyperlink" Target="https://www.bseindia.com/xml-data/corpfiling/AttachHis/19993d88-fb4f-486e-8a06-687d111e9a0d.pdf" TargetMode="External" Id="rId13" /><Relationship Type="http://schemas.openxmlformats.org/officeDocument/2006/relationships/hyperlink" Target="https://www.bseindia.com/xml-data/corpfiling/AttachHis/292154ab-e01c-473d-bada-905a6e871872.pdf" TargetMode="External" Id="rId14" /><Relationship Type="http://schemas.openxmlformats.org/officeDocument/2006/relationships/hyperlink" Target="https://www.bseindia.com/xml-data/corpfiling/AttachHis/33bb8e5e-dd91-4423-a214-29f4c60bda20.pdf" TargetMode="External" Id="rId15" /><Relationship Type="http://schemas.openxmlformats.org/officeDocument/2006/relationships/hyperlink" Target="https://www.bseindia.com/xml-data/corpfiling/AttachHis/b556a80b-511b-4689-afc5-5eab0d8454f8.pdf" TargetMode="External" Id="rId16" /><Relationship Type="http://schemas.openxmlformats.org/officeDocument/2006/relationships/hyperlink" Target="https://www.bseindia.com/xml-data/corpfiling/AttachHis/b131d8fd-6482-493f-a186-7ef511532b44.pdf" TargetMode="External" Id="rId17" /><Relationship Type="http://schemas.openxmlformats.org/officeDocument/2006/relationships/hyperlink" Target="https://www.bseindia.com/xml-data/corpfiling/AttachHis/7e78a70c-7927-4565-a741-14c7e0a9d012.pdf" TargetMode="External" Id="rId18" /><Relationship Type="http://schemas.openxmlformats.org/officeDocument/2006/relationships/hyperlink" Target="https://www.bseindia.com/xml-data/corpfiling/AttachHis/8d739c97-1488-4376-aefd-f0f70c47937a.pdf" TargetMode="External" Id="rId19" /><Relationship Type="http://schemas.openxmlformats.org/officeDocument/2006/relationships/hyperlink" Target="https://www.bseindia.com/xml-data/corpfiling/AttachHis/7cc41c58-5d71-48e7-9207-d1e053a33f6e.pdf" TargetMode="External" Id="rId20" /><Relationship Type="http://schemas.openxmlformats.org/officeDocument/2006/relationships/hyperlink" Target="https://www.bseindia.com/xml-data/corpfiling/AttachHis/61b70f68-c907-4ce9-a919-23c07828241b.pdf" TargetMode="External" Id="rId21" /><Relationship Type="http://schemas.openxmlformats.org/officeDocument/2006/relationships/hyperlink" Target="https://www.bseindia.com/xml-data/corpfiling/AttachHis/131c7afc-5068-4f2a-9a4f-8d611f4d7ba7.pdf" TargetMode="External" Id="rId22" /><Relationship Type="http://schemas.openxmlformats.org/officeDocument/2006/relationships/hyperlink" Target="https://www.bseindia.com/xml-data/corpfiling/AttachHis/37508a0f-77fd-4674-a29b-44942addef5e.pdf" TargetMode="External" Id="rId23" /><Relationship Type="http://schemas.openxmlformats.org/officeDocument/2006/relationships/hyperlink" Target="https://www.bseindia.com/xml-data/corpfiling/AttachHis/156e7fe5-9ace-4bf9-a176-f4ecc56d096d.pdf" TargetMode="External" Id="rId24" /><Relationship Type="http://schemas.openxmlformats.org/officeDocument/2006/relationships/hyperlink" Target="https://www.bseindia.com/xml-data/corpfiling/AttachHis/5bf0ec68-b5b0-42ca-9c82-a57a07653157.pdf" TargetMode="External" Id="rId25" /><Relationship Type="http://schemas.openxmlformats.org/officeDocument/2006/relationships/hyperlink" Target="https://www.bseindia.com/xml-data/corpfiling/AttachHis/7de21e44-d07e-4018-94e3-c1713df0406a.pdf" TargetMode="External" Id="rId26" /><Relationship Type="http://schemas.openxmlformats.org/officeDocument/2006/relationships/hyperlink" Target="https://www.bseindia.com/xml-data/corpfiling/AttachHis/18f1dc4e-53c5-4975-95e4-c71e43fc01d6.pdf" TargetMode="External" Id="rId27" /><Relationship Type="http://schemas.openxmlformats.org/officeDocument/2006/relationships/hyperlink" Target="https://www.bseindia.com/xml-data/corpfiling/AttachHis/f6c3f308-e406-4ff7-a7d1-839c68ed3a39.pdf" TargetMode="External" Id="rId28" /><Relationship Type="http://schemas.openxmlformats.org/officeDocument/2006/relationships/hyperlink" Target="https://www.bseindia.com/xml-data/corpfiling/AttachHis/fd9b2f3d-5a0c-4d04-bfc6-13af2b589aed.pdf" TargetMode="External" Id="rId29" /><Relationship Type="http://schemas.openxmlformats.org/officeDocument/2006/relationships/hyperlink" Target="https://www.bseindia.com/xml-data/corpfiling/AttachHis/e7919190-70dc-439d-8397-fbc74d6032be.pdf" TargetMode="External" Id="rId30" /><Relationship Type="http://schemas.openxmlformats.org/officeDocument/2006/relationships/hyperlink" Target="https://www.bseindia.com/xml-data/corpfiling/AttachHis/9e9f2e4c-6921-4257-a6ba-fa0f7f8fc1a8.pdf" TargetMode="External" Id="rId31" /><Relationship Type="http://schemas.openxmlformats.org/officeDocument/2006/relationships/hyperlink" Target="https://www.bseindia.com/xml-data/corpfiling/AttachHis/fe0148d1-75d6-4aea-b3b0-ff6f25220f08.pdf" TargetMode="External" Id="rId32" /><Relationship Type="http://schemas.openxmlformats.org/officeDocument/2006/relationships/hyperlink" Target="https://www.bseindia.com/xml-data/corpfiling/AttachHis/fb7fe789-28d2-4700-8efc-cca51ca95d85.pdf" TargetMode="External" Id="rId33" /><Relationship Type="http://schemas.openxmlformats.org/officeDocument/2006/relationships/hyperlink" Target="https://www.bseindia.com/xml-data/corpfiling/AttachHis/395ce632-eb69-4864-9c2c-324d04211d34.pdf" TargetMode="External" Id="rId34" /><Relationship Type="http://schemas.openxmlformats.org/officeDocument/2006/relationships/hyperlink" Target="https://www.bseindia.com/xml-data/corpfiling/AttachHis/278ae969-c3c5-44e9-a791-b07dbf2da25c.pdf" TargetMode="External" Id="rId35" /><Relationship Type="http://schemas.openxmlformats.org/officeDocument/2006/relationships/hyperlink" Target="https://www.bseindia.com/xml-data/corpfiling/AttachHis/c17b5c8b-a08e-4a49-89bf-c82d61c303d7.pdf" TargetMode="External" Id="rId36" /><Relationship Type="http://schemas.openxmlformats.org/officeDocument/2006/relationships/hyperlink" Target="https://www.bseindia.com/xml-data/corpfiling/AttachHis/2b875314-ac23-41f0-96d8-12cc5bb4a4a2.pdf" TargetMode="External" Id="rId37" /><Relationship Type="http://schemas.openxmlformats.org/officeDocument/2006/relationships/hyperlink" Target="https://www.bseindia.com/xml-data/corpfiling/AttachHis/caf2a273-08bd-4c77-8174-81958125af2e.pdf" TargetMode="External" Id="rId38" /><Relationship Type="http://schemas.openxmlformats.org/officeDocument/2006/relationships/hyperlink" Target="https://www.bseindia.com/xml-data/corpfiling/AttachHis/70810f59-9ec2-4736-ab2d-77eae83315fc.pdf" TargetMode="External" Id="rId39" /><Relationship Type="http://schemas.openxmlformats.org/officeDocument/2006/relationships/hyperlink" Target="https://www.bseindia.com/xml-data/corpfiling/AttachHis/8dbb1a53-b3ee-47a9-9b2b-827756a12776.pdf" TargetMode="External" Id="rId40" /><Relationship Type="http://schemas.openxmlformats.org/officeDocument/2006/relationships/hyperlink" Target="https://www.bseindia.com/xml-data/corpfiling/AttachHis/2cfbbe52-98ef-47b9-8489-e0e0773d2320.pdf" TargetMode="External" Id="rId41" /><Relationship Type="http://schemas.openxmlformats.org/officeDocument/2006/relationships/hyperlink" Target="https://www.bseindia.com/xml-data/corpfiling/AttachHis/b498b8c5-856d-41c2-89dc-19c1ad624734.pdf" TargetMode="External" Id="rId42" /><Relationship Type="http://schemas.openxmlformats.org/officeDocument/2006/relationships/hyperlink" Target="https://www.bseindia.com/xml-data/corpfiling/AttachHis/6c174212-2bb6-4ec9-8694-58c36380ab12.pdf" TargetMode="External" Id="rId43" /><Relationship Type="http://schemas.openxmlformats.org/officeDocument/2006/relationships/hyperlink" Target="https://www.bseindia.com/xml-data/corpfiling/AttachHis/4e2b525b-0b91-46d0-bad1-7dd94ebfbb50.pdf" TargetMode="External" Id="rId44" /><Relationship Type="http://schemas.openxmlformats.org/officeDocument/2006/relationships/hyperlink" Target="https://www.bseindia.com/xml-data/corpfiling/AttachHis/d5906c79-84f7-450d-9997-88a44470a573.pdf" TargetMode="External" Id="rId45" /><Relationship Type="http://schemas.openxmlformats.org/officeDocument/2006/relationships/hyperlink" Target="https://www.bseindia.com/xml-data/corpfiling/AttachHis/8a664471-3534-4851-b97c-c2e243c68f8d.pdf" TargetMode="External" Id="rId46" /><Relationship Type="http://schemas.openxmlformats.org/officeDocument/2006/relationships/hyperlink" Target="https://www.bseindia.com/xml-data/corpfiling/AttachHis/a66323ea-f1fc-4d2b-87cd-319cb9fb590d.pdf" TargetMode="External" Id="rId47" /><Relationship Type="http://schemas.openxmlformats.org/officeDocument/2006/relationships/hyperlink" Target="https://www.bseindia.com/xml-data/corpfiling/AttachHis/ed12211f-fff9-4b6a-a3f7-14e639aee35b.pdf" TargetMode="External" Id="rId48" /><Relationship Type="http://schemas.openxmlformats.org/officeDocument/2006/relationships/hyperlink" Target="https://www.bseindia.com/xml-data/corpfiling/AttachHis/bac0f7c3-1e29-412b-9dcf-1aab43958e75.pdf" TargetMode="External" Id="rId49" /><Relationship Type="http://schemas.openxmlformats.org/officeDocument/2006/relationships/hyperlink" Target="https://www.bseindia.com/xml-data/corpfiling/AttachHis/a70d7aa1-7e4a-49dd-a092-b9dc7ec347c8.pdf" TargetMode="External" Id="rId50" /><Relationship Type="http://schemas.openxmlformats.org/officeDocument/2006/relationships/hyperlink" Target="https://www.bseindia.com/xml-data/corpfiling/AttachHis/fbd99579-5098-4f0e-b15a-a5292c078f79.pdf" TargetMode="External" Id="rId51" /><Relationship Type="http://schemas.openxmlformats.org/officeDocument/2006/relationships/hyperlink" Target="https://www.bseindia.com/xml-data/corpfiling/AttachHis/d56b9cae-d6cd-4cc1-9bf3-b62a9fe34234.pdf" TargetMode="External" Id="rId52" /><Relationship Type="http://schemas.openxmlformats.org/officeDocument/2006/relationships/hyperlink" Target="https://www.bseindia.com/xml-data/corpfiling/AttachHis/17565746-78eb-46f4-b117-31a2f8f014e5.pdf" TargetMode="External" Id="rId53" /><Relationship Type="http://schemas.openxmlformats.org/officeDocument/2006/relationships/hyperlink" Target="https://www.bseindia.com/xml-data/corpfiling/AttachHis/0509228d-7abd-4cd7-a385-12aecefe249f.pdf" TargetMode="External" Id="rId54" /><Relationship Type="http://schemas.openxmlformats.org/officeDocument/2006/relationships/hyperlink" Target="https://www.bseindia.com/xml-data/corpfiling/AttachHis/e47ed182-500a-453b-a458-91ba14011fb3.pdf" TargetMode="External" Id="rId55" /><Relationship Type="http://schemas.openxmlformats.org/officeDocument/2006/relationships/hyperlink" Target="https://www.bseindia.com/xml-data/corpfiling/AttachHis/0052bd7a-c84b-4e9e-8ed7-826425b838e4.pdf" TargetMode="External" Id="rId56" /><Relationship Type="http://schemas.openxmlformats.org/officeDocument/2006/relationships/hyperlink" Target="https://www.bseindia.com/xml-data/corpfiling/AttachHis/a367c36a-cf75-4c8f-adf5-4bc9ccd656a6.pdf" TargetMode="External" Id="rId57" /><Relationship Type="http://schemas.openxmlformats.org/officeDocument/2006/relationships/hyperlink" Target="https://www.bseindia.com/xml-data/corpfiling/AttachHis/b140c850-5e03-44b1-82e0-45d63a6d01b6.pdf" TargetMode="External" Id="rId58" /><Relationship Type="http://schemas.openxmlformats.org/officeDocument/2006/relationships/hyperlink" Target="https://www.bseindia.com/xml-data/corpfiling/AttachHis/e96e98ce-cf0c-45b6-9c0d-41517bb6c93f.pdf" TargetMode="External" Id="rId59" /><Relationship Type="http://schemas.openxmlformats.org/officeDocument/2006/relationships/hyperlink" Target="https://www.bseindia.com/xml-data/corpfiling/AttachHis/6c54c22b-38e4-487d-9a49-3740244bfe94.pdf" TargetMode="External" Id="rId60" /><Relationship Type="http://schemas.openxmlformats.org/officeDocument/2006/relationships/hyperlink" Target="https://www.bseindia.com/xml-data/corpfiling/AttachHis/7eef4640-a04a-43a9-a204-e1e039882f96.pdf" TargetMode="External" Id="rId61" /><Relationship Type="http://schemas.openxmlformats.org/officeDocument/2006/relationships/hyperlink" Target="https://www.bseindia.com/xml-data/corpfiling/AttachHis/438b5af5-4b44-4e5e-a2c1-69d5e392d398.pdf" TargetMode="External" Id="rId62" /><Relationship Type="http://schemas.openxmlformats.org/officeDocument/2006/relationships/hyperlink" Target="https://www.bseindia.com/xml-data/corpfiling/AttachHis/6dc4290c-5cb0-4200-9787-86d16d6ccd4d.pdf" TargetMode="External" Id="rId63" /><Relationship Type="http://schemas.openxmlformats.org/officeDocument/2006/relationships/hyperlink" Target="https://www.bseindia.com/xml-data/corpfiling/AttachHis/59be3034-80b2-482c-8f27-6fa054c36c01.pdf" TargetMode="External" Id="rId64" /><Relationship Type="http://schemas.openxmlformats.org/officeDocument/2006/relationships/hyperlink" Target="https://www.bseindia.com/xml-data/corpfiling/AttachHis/ddb430e2-58ee-4fd7-a924-c049c6b40fd3.pdf" TargetMode="External" Id="rId65" /><Relationship Type="http://schemas.openxmlformats.org/officeDocument/2006/relationships/hyperlink" Target="https://www.bseindia.com/xml-data/corpfiling/AttachHis/e085cb3f-a2dd-4772-8d6a-4bcb65d27d96.pdf" TargetMode="External" Id="rId66" /><Relationship Type="http://schemas.openxmlformats.org/officeDocument/2006/relationships/hyperlink" Target="https://www.bseindia.com/xml-data/corpfiling/AttachHis/cbca020a-aae7-4e44-a127-fcea1fea2fb3.pdf" TargetMode="External" Id="rId67" /><Relationship Type="http://schemas.openxmlformats.org/officeDocument/2006/relationships/hyperlink" Target="https://www.bseindia.com/xml-data/corpfiling/AttachHis/24ca146e-efac-4531-9e16-3809a7fb9d49.pdf" TargetMode="External" Id="rId68" /><Relationship Type="http://schemas.openxmlformats.org/officeDocument/2006/relationships/hyperlink" Target="https://www.bseindia.com/xml-data/corpfiling/AttachHis/71ca03d9-0b58-42f4-8a40-267b7b18b0e9.pdf" TargetMode="External" Id="rId69" /><Relationship Type="http://schemas.openxmlformats.org/officeDocument/2006/relationships/hyperlink" Target="https://www.bseindia.com/xml-data/corpfiling/AttachHis/de9577a9-42ba-4d33-9e33-2272be5903bb.pdf" TargetMode="External" Id="rId70" /><Relationship Type="http://schemas.openxmlformats.org/officeDocument/2006/relationships/hyperlink" Target="https://www.bseindia.com/xml-data/corpfiling/AttachHis/cf7f4f47-f523-469f-8148-072f6ad2ff4e.pdf" TargetMode="External" Id="rId71" /><Relationship Type="http://schemas.openxmlformats.org/officeDocument/2006/relationships/hyperlink" Target="https://www.bseindia.com/xml-data/corpfiling/AttachHis/96bc9503-ef71-4446-bb48-8832d3ce7f2b.pdf" TargetMode="External" Id="rId72" /><Relationship Type="http://schemas.openxmlformats.org/officeDocument/2006/relationships/hyperlink" Target="https://www.bseindia.com/xml-data/corpfiling/AttachHis/a0a8dcab-5558-4bd6-bfc8-6796f4440763.pdf" TargetMode="External" Id="rId73" /><Relationship Type="http://schemas.openxmlformats.org/officeDocument/2006/relationships/hyperlink" Target="https://www.bseindia.com/xml-data/corpfiling/AttachHis/8ed1e312-624a-4270-984b-e388964c3779.pdf" TargetMode="External" Id="rId74" /><Relationship Type="http://schemas.openxmlformats.org/officeDocument/2006/relationships/hyperlink" Target="https://www.bseindia.com/xml-data/corpfiling/AttachHis/a95f6ea5-9fa8-476f-9697-52211681249c.pdf" TargetMode="External" Id="rId75" /><Relationship Type="http://schemas.openxmlformats.org/officeDocument/2006/relationships/hyperlink" Target="https://www.bseindia.com/xml-data/corpfiling/AttachHis/8139a575-3c00-47cf-abfe-1578d83c5f96.pdf" TargetMode="External" Id="rId76" /><Relationship Type="http://schemas.openxmlformats.org/officeDocument/2006/relationships/hyperlink" Target="https://www.bseindia.com/xml-data/corpfiling/AttachHis/87a565de-28d1-46bd-8db9-68a287611aaa.pdf" TargetMode="External" Id="rId77" /><Relationship Type="http://schemas.openxmlformats.org/officeDocument/2006/relationships/hyperlink" Target="https://www.bseindia.com/xml-data/corpfiling/AttachHis/87d4e40c-1ce6-4502-9e1a-c3874de18d30.pdf" TargetMode="External" Id="rId78" /><Relationship Type="http://schemas.openxmlformats.org/officeDocument/2006/relationships/hyperlink" Target="https://www.bseindia.com/xml-data/corpfiling/AttachHis/a7b0948f-9182-46ab-889b-30d2bdf6e850.pdf" TargetMode="External" Id="rId79" /><Relationship Type="http://schemas.openxmlformats.org/officeDocument/2006/relationships/hyperlink" Target="https://www.bseindia.com/xml-data/corpfiling/AttachHis/3ac3b927-5468-479f-b077-bf4309fa57ad.pdf" TargetMode="External" Id="rId80" /><Relationship Type="http://schemas.openxmlformats.org/officeDocument/2006/relationships/hyperlink" Target="https://www.bseindia.com/xml-data/corpfiling/AttachHis/f14852b9-904b-41c8-858d-a2d264ec7ae5.pdf" TargetMode="External" Id="rId81" /><Relationship Type="http://schemas.openxmlformats.org/officeDocument/2006/relationships/hyperlink" Target="https://www.bseindia.com/xml-data/corpfiling/AttachHis/1d679cec-bc16-4fa7-804a-e95658715e5d.pdf" TargetMode="External" Id="rId82" /><Relationship Type="http://schemas.openxmlformats.org/officeDocument/2006/relationships/hyperlink" Target="https://www.bseindia.com/xml-data/corpfiling/AttachHis/ac1c0b44-c201-4d17-881f-ac3322736791.pdf" TargetMode="External" Id="rId83" /><Relationship Type="http://schemas.openxmlformats.org/officeDocument/2006/relationships/hyperlink" Target="https://www.bseindia.com/xml-data/corpfiling/AttachHis/68a68795-2914-4575-a9b3-db5dc5c176b6.pdf" TargetMode="External" Id="rId84" /><Relationship Type="http://schemas.openxmlformats.org/officeDocument/2006/relationships/hyperlink" Target="https://www.bseindia.com/xml-data/corpfiling/AttachHis/05d0be7d-c6b7-41a0-ba05-0526a1a5c400.pdf" TargetMode="External" Id="rId85" /><Relationship Type="http://schemas.openxmlformats.org/officeDocument/2006/relationships/hyperlink" Target="https://www.bseindia.com/xml-data/corpfiling/AttachHis/aa4c9209-4bd6-48bd-9d42-5ad97ce29780.pdf" TargetMode="External" Id="rId86" /><Relationship Type="http://schemas.openxmlformats.org/officeDocument/2006/relationships/hyperlink" Target="https://www.bseindia.com/xml-data/corpfiling/AttachHis/a10cc09e-c2ff-42ca-b508-471780a30433.pdf" TargetMode="External" Id="rId87" /><Relationship Type="http://schemas.openxmlformats.org/officeDocument/2006/relationships/hyperlink" Target="https://www.bseindia.com/xml-data/corpfiling/AttachHis/aa5c0d29-02e3-450c-9aaf-2090b8586557.pdf" TargetMode="External" Id="rId88" /><Relationship Type="http://schemas.openxmlformats.org/officeDocument/2006/relationships/hyperlink" Target="https://www.bseindia.com/xml-data/corpfiling/AttachHis/4fea0b3c-ea8f-464f-b08e-2f09a3c44acf.pdf" TargetMode="External" Id="rId89" /><Relationship Type="http://schemas.openxmlformats.org/officeDocument/2006/relationships/hyperlink" Target="https://www.bseindia.com/xml-data/corpfiling/AttachHis/bec945c7-6415-4085-ad9e-ba374ecf6a62.pdf" TargetMode="External" Id="rId90" /><Relationship Type="http://schemas.openxmlformats.org/officeDocument/2006/relationships/hyperlink" Target="https://www.bseindia.com/xml-data/corpfiling/AttachHis/dfd6d74b-750a-4bdd-81cc-24bd0f1049f0.pdf" TargetMode="External" Id="rId91" /><Relationship Type="http://schemas.openxmlformats.org/officeDocument/2006/relationships/hyperlink" Target="https://www.bseindia.com/xml-data/corpfiling/AttachHis/539fb8e0-6f79-4da9-82ec-53a3aff5194b.pdf" TargetMode="External" Id="rId92" /><Relationship Type="http://schemas.openxmlformats.org/officeDocument/2006/relationships/hyperlink" Target="https://www.bseindia.com/xml-data/corpfiling/AttachHis/628b0727-364a-4ea6-9226-823e525b806f.pdf" TargetMode="External" Id="rId93" /><Relationship Type="http://schemas.openxmlformats.org/officeDocument/2006/relationships/hyperlink" Target="https://www.bseindia.com/xml-data/corpfiling/AttachHis/b5dd8467-d980-46ef-9825-692a0ee615d9.pdf" TargetMode="External" Id="rId94" /><Relationship Type="http://schemas.openxmlformats.org/officeDocument/2006/relationships/hyperlink" Target="https://www.bseindia.com/xml-data/corpfiling/AttachHis/2c716310-94c9-465a-a273-d00bfa96842b.pdf" TargetMode="External" Id="rId95" /><Relationship Type="http://schemas.openxmlformats.org/officeDocument/2006/relationships/hyperlink" Target="https://www.bseindia.com/xml-data/corpfiling/AttachHis/ebc14b72-3146-415c-8aea-6eb47bcfe133.pdf" TargetMode="External" Id="rId96" /><Relationship Type="http://schemas.openxmlformats.org/officeDocument/2006/relationships/hyperlink" Target="https://www.bseindia.com/xml-data/corpfiling/AttachHis/2b4a76e5-6c6b-4456-81cd-f556008c9219.pdf" TargetMode="External" Id="rId97" /><Relationship Type="http://schemas.openxmlformats.org/officeDocument/2006/relationships/hyperlink" Target="https://www.bseindia.com/xml-data/corpfiling/AttachHis/adfe4e13-904e-41bd-b0cd-23cd40a97bae.pdf" TargetMode="External" Id="rId98" /><Relationship Type="http://schemas.openxmlformats.org/officeDocument/2006/relationships/hyperlink" Target="https://www.bseindia.com/xml-data/corpfiling/AttachHis/cc9c09e9-d996-48ea-942d-a8688b490221.pdf" TargetMode="External" Id="rId99" /><Relationship Type="http://schemas.openxmlformats.org/officeDocument/2006/relationships/hyperlink" Target="https://www.bseindia.com/xml-data/corpfiling/AttachHis/ab693802-9c52-4786-9740-f6a194939cdd.pdf" TargetMode="External" Id="rId100" /><Relationship Type="http://schemas.openxmlformats.org/officeDocument/2006/relationships/hyperlink" Target="https://www.bseindia.com/xml-data/corpfiling/AttachHis/78b01288-78b7-44cb-8126-17c8c6797127.pdf" TargetMode="External" Id="rId101" /><Relationship Type="http://schemas.openxmlformats.org/officeDocument/2006/relationships/hyperlink" Target="https://www.bseindia.com/xml-data/corpfiling/AttachHis/f964b561-d0c2-4cfd-b55b-032760c1073c.pdf" TargetMode="External" Id="rId102" /><Relationship Type="http://schemas.openxmlformats.org/officeDocument/2006/relationships/hyperlink" Target="https://www.bseindia.com/xml-data/corpfiling/AttachHis/62ab9325-85f7-4a56-ac96-fa08a56fdc2a.pdf" TargetMode="External" Id="rId103" /><Relationship Type="http://schemas.openxmlformats.org/officeDocument/2006/relationships/hyperlink" Target="https://www.bseindia.com/xml-data/corpfiling/AttachHis/c1f17550-0dda-44f5-a6f4-89caa00f2c45.pdf" TargetMode="External" Id="rId104" /><Relationship Type="http://schemas.openxmlformats.org/officeDocument/2006/relationships/hyperlink" Target="https://www.bseindia.com/xml-data/corpfiling/AttachHis/37211c5e-f22c-423d-a4a9-7df98f5d5479.pdf" TargetMode="External" Id="rId105" /><Relationship Type="http://schemas.openxmlformats.org/officeDocument/2006/relationships/hyperlink" Target="https://www.bseindia.com/xml-data/corpfiling/AttachHis/2a91c5b8-baa0-4070-8a5a-61f32fb14bd3.pdf" TargetMode="External" Id="rId106" /><Relationship Type="http://schemas.openxmlformats.org/officeDocument/2006/relationships/hyperlink" Target="https://www.bseindia.com/xml-data/corpfiling/AttachHis/db4fd0f9-b393-4c46-abcd-3360d53ce58c.pdf" TargetMode="External" Id="rId107" /><Relationship Type="http://schemas.openxmlformats.org/officeDocument/2006/relationships/hyperlink" Target="https://www.bseindia.com/xml-data/corpfiling/AttachHis/aa77e530-4eab-470a-ad91-e2ec86f53c8a.pdf" TargetMode="External" Id="rId108" /><Relationship Type="http://schemas.openxmlformats.org/officeDocument/2006/relationships/hyperlink" Target="https://www.bseindia.com/xml-data/corpfiling/AttachHis/0d7ae03c-6126-468a-8076-2684a51bf9b2.pdf" TargetMode="External" Id="rId109" /><Relationship Type="http://schemas.openxmlformats.org/officeDocument/2006/relationships/hyperlink" Target="https://www.bseindia.com/xml-data/corpfiling/AttachHis/e64ce312-4e24-4647-90dc-c144715c2686.pdf" TargetMode="External" Id="rId110" /><Relationship Type="http://schemas.openxmlformats.org/officeDocument/2006/relationships/hyperlink" Target="https://www.bseindia.com/xml-data/corpfiling/AttachHis/015952ab-09cf-475d-a117-a8dbb2d94b05.pdf" TargetMode="External" Id="rId111" /><Relationship Type="http://schemas.openxmlformats.org/officeDocument/2006/relationships/hyperlink" Target="https://www.bseindia.com/xml-data/corpfiling/AttachHis/62f6b303-d0ea-45e9-b886-b62e0546d52b.pdf" TargetMode="External" Id="rId112" /><Relationship Type="http://schemas.openxmlformats.org/officeDocument/2006/relationships/hyperlink" Target="https://www.bseindia.com/xml-data/corpfiling/AttachHis/859c9f87-2913-49d2-9eb7-d61c759b401a.pdf" TargetMode="External" Id="rId113" /><Relationship Type="http://schemas.openxmlformats.org/officeDocument/2006/relationships/hyperlink" Target="https://www.bseindia.com/xml-data/corpfiling/AttachHis/480bc6ee-7ac9-43b6-99e5-835fe7e1ea3a.pdf" TargetMode="External" Id="rId114" /><Relationship Type="http://schemas.openxmlformats.org/officeDocument/2006/relationships/hyperlink" Target="https://www.bseindia.com/xml-data/corpfiling/AttachHis/4778f082-7f6f-4623-933c-14164781bf28.pdf" TargetMode="External" Id="rId115" /><Relationship Type="http://schemas.openxmlformats.org/officeDocument/2006/relationships/hyperlink" Target="https://www.bseindia.com/xml-data/corpfiling/AttachHis/0c73db06-125d-4107-910b-4214fe5f7a7b.pdf" TargetMode="External" Id="rId116" /><Relationship Type="http://schemas.openxmlformats.org/officeDocument/2006/relationships/hyperlink" Target="https://www.bseindia.com/xml-data/corpfiling/AttachHis/57ecb835-d4f8-46e7-acf3-8182552cca7a.pdf" TargetMode="External" Id="rId117" /><Relationship Type="http://schemas.openxmlformats.org/officeDocument/2006/relationships/hyperlink" Target="https://www.bseindia.com/xml-data/corpfiling/AttachHis/d0e9cc1a-caf2-4f96-8b0b-1c676962ab37.pdf" TargetMode="External" Id="rId118" /><Relationship Type="http://schemas.openxmlformats.org/officeDocument/2006/relationships/hyperlink" Target="https://www.bseindia.com/xml-data/corpfiling/AttachHis/cd54b5b3-0033-40e9-b20f-07ccc71ca5f9.pdf" TargetMode="External" Id="rId119" /><Relationship Type="http://schemas.openxmlformats.org/officeDocument/2006/relationships/hyperlink" Target="https://www.bseindia.com/xml-data/corpfiling/AttachHis/81ee5047-1684-41e3-8582-2056f9d0fc76.pdf" TargetMode="External" Id="rId120" /><Relationship Type="http://schemas.openxmlformats.org/officeDocument/2006/relationships/hyperlink" Target="https://www.bseindia.com/xml-data/corpfiling/AttachHis/88a5597b-5e62-4cfb-bb6e-72313836816e.pdf" TargetMode="External" Id="rId121" /><Relationship Type="http://schemas.openxmlformats.org/officeDocument/2006/relationships/hyperlink" Target="https://www.bseindia.com/xml-data/corpfiling/AttachHis/9a6b97c0-defe-47e9-8f2c-4a6461c4a975.pdf" TargetMode="External" Id="rId1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9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12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3" customWidth="1" min="8" max="8"/>
    <col width="110" customWidth="1" min="9" max="9"/>
  </cols>
  <sheetData>
    <row r="1">
      <c r="A1" s="1" t="inlineStr">
        <is>
          <t>Quality Check - ICICI Pru Life monthly business update workbook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3" t="inlineStr">
        <is>
          <t>Metric</t>
        </is>
      </c>
      <c r="B3" s="3" t="inlineStr">
        <is>
          <t>Data From</t>
        </is>
      </c>
      <c r="C3" s="3" t="inlineStr">
        <is>
          <t>Data To</t>
        </is>
      </c>
      <c r="D3" s="3" t="inlineStr">
        <is>
          <t>Months in Range</t>
        </is>
      </c>
      <c r="E3" s="3" t="inlineStr">
        <is>
          <t>Populated Months</t>
        </is>
      </c>
      <c r="F3" s="3" t="inlineStr">
        <is>
          <t>Coverage %</t>
        </is>
      </c>
      <c r="G3" s="3" t="inlineStr">
        <is>
          <t>Derived (March)</t>
        </is>
      </c>
      <c r="I3" s="4" t="inlineStr">
        <is>
          <t>Data Sources &amp; Method</t>
        </is>
      </c>
    </row>
    <row r="4">
      <c r="A4" s="5" t="inlineStr">
        <is>
          <t>RWRP (INR Bn)</t>
        </is>
      </c>
      <c r="B4" s="6">
        <f>IFERROR(INDEX(Monthly!$A$5:$A$100,MATCH(TRUE,INDEX(Monthly!C5:C100&lt;&gt;"",0),0)),"")</f>
        <v/>
      </c>
      <c r="C4" s="6">
        <f>IFERROR(LOOKUP(2,1/(Monthly!C5:C100&lt;&gt;""),Monthly!$A$5:$A$100),"")</f>
        <v/>
      </c>
      <c r="D4" s="7">
        <f>IF(B4="","",(YEAR(C4)-YEAR(B4))*12+MONTH(C4)-MONTH(B4)+1)</f>
        <v/>
      </c>
      <c r="E4" s="7">
        <f>COUNT(Monthly!C5:C100)</f>
        <v/>
      </c>
      <c r="F4" s="8">
        <f>IFERROR(E4/D4,"")</f>
        <v/>
      </c>
      <c r="G4" s="7" t="n">
        <v>6</v>
      </c>
      <c r="I4" s="9" t="inlineStr">
        <is>
          <t>Source: BSE corporate announcements, scrip 540133 (ICICI Prudential Life -&gt; renamed ICICI Life Insurance Ltd in 2026).</t>
        </is>
      </c>
    </row>
    <row r="5">
      <c r="A5" s="10" t="inlineStr">
        <is>
          <t>APE (INR Bn)</t>
        </is>
      </c>
      <c r="B5" s="6">
        <f>IFERROR(INDEX(Monthly!$A$5:$A$100,MATCH(TRUE,INDEX(Monthly!F5:F100&lt;&gt;"",0),0)),"")</f>
        <v/>
      </c>
      <c r="C5" s="6">
        <f>IFERROR(LOOKUP(2,1/(Monthly!F5:F100&lt;&gt;""),Monthly!$A$5:$A$100),"")</f>
        <v/>
      </c>
      <c r="D5" s="7">
        <f>IF(B5="","",(YEAR(C5)-YEAR(B5))*12+MONTH(C5)-MONTH(B5)+1)</f>
        <v/>
      </c>
      <c r="E5" s="7">
        <f>COUNT(Monthly!F5:F100)</f>
        <v/>
      </c>
      <c r="F5" s="8">
        <f>IFERROR(E5/D5,"")</f>
        <v/>
      </c>
      <c r="G5" s="7" t="n">
        <v>6</v>
      </c>
      <c r="I5" s="9" t="inlineStr">
        <is>
          <t>Monthly update = filing titled 'Investor Presentation' (to Aug-2025, Dec-2025 to Jul-2026) or 'Performance Update' / 'Monthly business performance update'.</t>
        </is>
      </c>
    </row>
    <row r="6">
      <c r="A6" s="11" t="inlineStr">
        <is>
          <t>Retail APE (INR Bn)</t>
        </is>
      </c>
      <c r="B6" s="6">
        <f>IFERROR(INDEX(Monthly!$A$5:$A$100,MATCH(TRUE,INDEX(Monthly!I5:I100&lt;&gt;"",0),0)),"")</f>
        <v/>
      </c>
      <c r="C6" s="6">
        <f>IFERROR(LOOKUP(2,1/(Monthly!I5:I100&lt;&gt;""),Monthly!$A$5:$A$100),"")</f>
        <v/>
      </c>
      <c r="D6" s="7">
        <f>IF(B6="","",(YEAR(C6)-YEAR(B6))*12+MONTH(C6)-MONTH(B6)+1)</f>
        <v/>
      </c>
      <c r="E6" s="7">
        <f>COUNT(Monthly!I5:I100)</f>
        <v/>
      </c>
      <c r="F6" s="8">
        <f>IFERROR(E6/D6,"")</f>
        <v/>
      </c>
      <c r="G6" s="7" t="n">
        <v>2</v>
      </c>
      <c r="I6" s="9" t="inlineStr">
        <is>
          <t>Figures are the 'Premium growth' table, INR billion as reported; sum assured also INR billion.</t>
        </is>
      </c>
    </row>
    <row r="7">
      <c r="A7" s="12" t="inlineStr">
        <is>
          <t>NB Premium (INR Bn)</t>
        </is>
      </c>
      <c r="B7" s="6">
        <f>IFERROR(INDEX(Monthly!$A$5:$A$100,MATCH(TRUE,INDEX(Monthly!L5:L100&lt;&gt;"",0),0)),"")</f>
        <v/>
      </c>
      <c r="C7" s="6">
        <f>IFERROR(LOOKUP(2,1/(Monthly!L5:L100&lt;&gt;""),Monthly!$A$5:$A$100),"")</f>
        <v/>
      </c>
      <c r="D7" s="7">
        <f>IF(B7="","",(YEAR(C7)-YEAR(B7))*12+MONTH(C7)-MONTH(B7)+1)</f>
        <v/>
      </c>
      <c r="E7" s="7">
        <f>COUNT(Monthly!L5:L100)</f>
        <v/>
      </c>
      <c r="F7" s="8">
        <f>IFERROR(E7/D7,"")</f>
        <v/>
      </c>
      <c r="G7" s="7" t="n">
        <v>5</v>
      </c>
      <c r="I7" s="9" t="inlineStr">
        <is>
          <t>Each release shows the quarter-to-date months; the LATEST release covering a month is used (restatements win).</t>
        </is>
      </c>
    </row>
    <row r="8">
      <c r="A8" s="13" t="inlineStr">
        <is>
          <t>NB Sum Assured (INR Bn)</t>
        </is>
      </c>
      <c r="B8" s="6">
        <f>IFERROR(INDEX(Monthly!$A$5:$A$100,MATCH(TRUE,INDEX(Monthly!O5:O100&lt;&gt;"",0),0)),"")</f>
        <v/>
      </c>
      <c r="C8" s="6">
        <f>IFERROR(LOOKUP(2,1/(Monthly!O5:O100&lt;&gt;""),Monthly!$A$5:$A$100),"")</f>
        <v/>
      </c>
      <c r="D8" s="7">
        <f>IF(B8="","",(YEAR(C8)-YEAR(B8))*12+MONTH(C8)-MONTH(B8)+1)</f>
        <v/>
      </c>
      <c r="E8" s="7">
        <f>COUNT(Monthly!O5:O100)</f>
        <v/>
      </c>
      <c r="F8" s="8">
        <f>IFERROR(E8/D8,"")</f>
        <v/>
      </c>
      <c r="G8" s="7" t="n">
        <v>5</v>
      </c>
      <c r="I8" s="9" t="inlineStr">
        <is>
          <t>March is never released monthly (it is in the Q4 results): March = reported FY total - reported 11M cumulative (purple, live formula).</t>
        </is>
      </c>
    </row>
    <row r="9">
      <c r="I9" s="9" t="inlineStr">
        <is>
          <t>Where FY or 11M was not published for a metric, March stays blank (e.g. NB Premium / Sum Assured Mar-2020).</t>
        </is>
      </c>
    </row>
    <row r="10">
      <c r="A10" s="14" t="inlineStr">
        <is>
          <t>Check</t>
        </is>
      </c>
      <c r="E10" s="14" t="inlineStr">
        <is>
          <t>Value</t>
        </is>
      </c>
      <c r="F10" s="14" t="inlineStr">
        <is>
          <t>Status</t>
        </is>
      </c>
      <c r="I10" s="9" t="inlineStr">
        <is>
          <t>Quarterly = live SUM of the 3 Monthly rows (fiscal quarters, Q1 = Apr-Jun); YoY / QoQ live; checked vs reported quarter totals.</t>
        </is>
      </c>
    </row>
    <row r="11">
      <c r="A11" s="7" t="inlineStr">
        <is>
          <t>Excel errors in Monthly + FY Totals + Quarterly (must be 0)</t>
        </is>
      </c>
      <c r="B11" s="15" t="n"/>
      <c r="C11" s="15" t="n"/>
      <c r="D11" s="15" t="n"/>
      <c r="E11" s="16">
        <f>SUMPRODUCT(--ISERROR(Monthly!A5:R100))+SUMPRODUCT(--ISERROR('FY Totals'!A4:P12))+SUMPRODUCT(--ISERROR(Quarterly!A5:R36))</f>
        <v/>
      </c>
      <c r="F11" s="17">
        <f>IF(E11=0,"OK","CHECK")</f>
        <v/>
      </c>
      <c r="I11" s="9" t="inlineStr">
        <is>
          <t>Prior-Year Check: every release's value/(1+YoY) vs the prior-year figure published earlier, so a reclassification of last year is caught.</t>
        </is>
      </c>
    </row>
    <row r="12">
      <c r="A12" s="7" t="inlineStr">
        <is>
          <t>FY2020 APE: sum of 12 months - reported FY (tol 0.16)</t>
        </is>
      </c>
      <c r="B12" s="15" t="n"/>
      <c r="C12" s="15" t="n"/>
      <c r="D12" s="15" t="n"/>
      <c r="E12" s="16">
        <f>IF(COUNT(Monthly!F11:F22)&lt;12,"n/a",SUM(Monthly!F11:F22)-'FY Totals'!E5)</f>
        <v/>
      </c>
      <c r="F12" s="17">
        <f>IF(E12="n/a","n/a",IF(ABS(E12)&lt;=0.1607,"OK","CHECK"))</f>
        <v/>
      </c>
      <c r="I12" s="9" t="inlineStr">
        <is>
          <t>YoY / MoM are live formulas on the monthly levels; the first 12 months show the company-reported YoY (grey).</t>
        </is>
      </c>
    </row>
    <row r="13">
      <c r="A13" s="7" t="inlineStr">
        <is>
          <t>FY2020 RWRP: sum of 12 months - reported FY (tol 0.15)</t>
        </is>
      </c>
      <c r="B13" s="15" t="n"/>
      <c r="C13" s="15" t="n"/>
      <c r="D13" s="15" t="n"/>
      <c r="E13" s="16">
        <f>IF(COUNT(Monthly!C11:C22)&lt;12,"n/a",SUM(Monthly!C11:C22)-'FY Totals'!B5)</f>
        <v/>
      </c>
      <c r="F13" s="17">
        <f>IF(E13="n/a","n/a",IF(ABS(E13)&lt;=0.1496,"OK","CHECK"))</f>
        <v/>
      </c>
      <c r="I13" s="9" t="inlineStr">
        <is>
          <t>RWRP = retail weighted received premium; APE = annualised premium equivalent; NB = new business.</t>
        </is>
      </c>
    </row>
    <row r="14">
      <c r="A14" s="7" t="inlineStr">
        <is>
          <t>FY2020 NB premium: sum of 12 months - reported FY (tol 0.24)</t>
        </is>
      </c>
      <c r="B14" s="15" t="n"/>
      <c r="C14" s="15" t="n"/>
      <c r="D14" s="15" t="n"/>
      <c r="E14" s="16">
        <f>IF(COUNT(Monthly!L11:L22)&lt;12,"n/a",SUM(Monthly!L11:L22)-'FY Totals'!K5)</f>
        <v/>
      </c>
      <c r="F14" s="17">
        <f>IF(E14="n/a","n/a",IF(ABS(E14)&lt;=0.2352,"OK","CHECK"))</f>
        <v/>
      </c>
      <c r="I14" s="9" t="inlineStr">
        <is>
          <t>Retail APE disclosed from Jan-2025; NB premium from Apr-2020; NB sum assured from Oct-2020.</t>
        </is>
      </c>
    </row>
    <row r="15">
      <c r="A15" s="7" t="inlineStr">
        <is>
          <t>FY2020 NB sum assured: sum of 12 months - reported FY (tol 8.62)</t>
        </is>
      </c>
      <c r="B15" s="15" t="n"/>
      <c r="C15" s="15" t="n"/>
      <c r="D15" s="15" t="n"/>
      <c r="E15" s="16">
        <f>IF(COUNT(Monthly!O11:O22)&lt;12,"n/a",SUM(Monthly!O11:O22)-'FY Totals'!N5)</f>
        <v/>
      </c>
      <c r="F15" s="17">
        <f>IF(E15="n/a","n/a",IF(ABS(E15)&lt;=8.6178,"OK","CHECK"))</f>
        <v/>
      </c>
      <c r="I15" s="9" t="inlineStr">
        <is>
          <t>Refresh: python3 'ICICI Pru Life/Python Files/icici_pru_monthly_update.py' (updates land ~7th-13th of each month).</t>
        </is>
      </c>
    </row>
    <row r="16">
      <c r="A16" s="7" t="inlineStr">
        <is>
          <t>FY2021 APE: sum of 12 months - reported FY (tol 0.15)</t>
        </is>
      </c>
      <c r="B16" s="15" t="n"/>
      <c r="C16" s="15" t="n"/>
      <c r="D16" s="15" t="n"/>
      <c r="E16" s="16">
        <f>IF(COUNT(Monthly!F23:F34)&lt;12,"n/a",SUM(Monthly!F23:F34)-'FY Totals'!E6)</f>
        <v/>
      </c>
      <c r="F16" s="17">
        <f>IF(E16="n/a","n/a",IF(ABS(E16)&lt;=0.1469,"OK","CHECK"))</f>
        <v/>
      </c>
    </row>
    <row r="17">
      <c r="A17" s="7" t="inlineStr">
        <is>
          <t>FY2021 RWRP: sum of 12 months - reported FY (tol 0.13)</t>
        </is>
      </c>
      <c r="B17" s="15" t="n"/>
      <c r="C17" s="15" t="n"/>
      <c r="D17" s="15" t="n"/>
      <c r="E17" s="16">
        <f>IF(COUNT(Monthly!C23:C34)&lt;12,"n/a",SUM(Monthly!C23:C34)-'FY Totals'!B6)</f>
        <v/>
      </c>
      <c r="F17" s="17">
        <f>IF(E17="n/a","n/a",IF(ABS(E17)&lt;=0.1318,"OK","CHECK"))</f>
        <v/>
      </c>
    </row>
    <row r="18">
      <c r="A18" s="7" t="inlineStr">
        <is>
          <t>FY2021 NB premium: sum of 12 months - reported FY (tol 0.25)</t>
        </is>
      </c>
      <c r="B18" s="15" t="n"/>
      <c r="C18" s="15" t="n"/>
      <c r="D18" s="15" t="n"/>
      <c r="E18" s="16">
        <f>IF(COUNT(Monthly!L23:L34)&lt;12,"n/a",SUM(Monthly!L23:L34)-'FY Totals'!K6)</f>
        <v/>
      </c>
      <c r="F18" s="17">
        <f>IF(E18="n/a","n/a",IF(ABS(E18)&lt;=0.2455,"OK","CHECK"))</f>
        <v/>
      </c>
    </row>
    <row r="19">
      <c r="A19" s="7" t="inlineStr">
        <is>
          <t>FY2021 NB sum assured: sum of 12 months - reported FY (tol 9.30)</t>
        </is>
      </c>
      <c r="B19" s="15" t="n"/>
      <c r="C19" s="15" t="n"/>
      <c r="D19" s="15" t="n"/>
      <c r="E19" s="16">
        <f>IF(COUNT(Monthly!O23:O34)&lt;12,"n/a",SUM(Monthly!O23:O34)-'FY Totals'!N6)</f>
        <v/>
      </c>
      <c r="F19" s="17">
        <f>IF(E19="n/a","n/a",IF(ABS(E19)&lt;=9.3003,"OK","CHECK"))</f>
        <v/>
      </c>
    </row>
    <row r="20">
      <c r="A20" s="7" t="inlineStr">
        <is>
          <t>FY2022 APE: sum of 12 months - reported FY (tol 0.17)</t>
        </is>
      </c>
      <c r="B20" s="15" t="n"/>
      <c r="C20" s="15" t="n"/>
      <c r="D20" s="15" t="n"/>
      <c r="E20" s="16">
        <f>IF(COUNT(Monthly!F35:F46)&lt;12,"n/a",SUM(Monthly!F35:F46)-'FY Totals'!E7)</f>
        <v/>
      </c>
      <c r="F20" s="17">
        <f>IF(E20="n/a","n/a",IF(ABS(E20)&lt;=0.1660,"OK","CHECK"))</f>
        <v/>
      </c>
    </row>
    <row r="21">
      <c r="A21" s="7" t="inlineStr">
        <is>
          <t>FY2022 RWRP: sum of 12 months - reported FY (tol 0.14)</t>
        </is>
      </c>
      <c r="B21" s="15" t="n"/>
      <c r="C21" s="15" t="n"/>
      <c r="D21" s="15" t="n"/>
      <c r="E21" s="16">
        <f>IF(COUNT(Monthly!C35:C46)&lt;12,"n/a",SUM(Monthly!C35:C46)-'FY Totals'!B7)</f>
        <v/>
      </c>
      <c r="F21" s="17">
        <f>IF(E21="n/a","n/a",IF(ABS(E21)&lt;=0.1445,"OK","CHECK"))</f>
        <v/>
      </c>
    </row>
    <row r="22">
      <c r="A22" s="7" t="inlineStr">
        <is>
          <t>FY2022 NB premium: sum of 12 months - reported FY (tol 0.28)</t>
        </is>
      </c>
      <c r="B22" s="15" t="n"/>
      <c r="C22" s="15" t="n"/>
      <c r="D22" s="15" t="n"/>
      <c r="E22" s="16">
        <f>IF(COUNT(Monthly!L35:L46)&lt;12,"n/a",SUM(Monthly!L35:L46)-'FY Totals'!K7)</f>
        <v/>
      </c>
      <c r="F22" s="17">
        <f>IF(E22="n/a","n/a",IF(ABS(E22)&lt;=0.2755,"OK","CHECK"))</f>
        <v/>
      </c>
    </row>
    <row r="23">
      <c r="A23" s="7" t="inlineStr">
        <is>
          <t>FY2022 NB sum assured: sum of 12 months - reported FY (tol 11.65)</t>
        </is>
      </c>
      <c r="B23" s="15" t="n"/>
      <c r="C23" s="15" t="n"/>
      <c r="D23" s="15" t="n"/>
      <c r="E23" s="16">
        <f>IF(COUNT(Monthly!O35:O46)&lt;12,"n/a",SUM(Monthly!O35:O46)-'FY Totals'!N7)</f>
        <v/>
      </c>
      <c r="F23" s="17">
        <f>IF(E23="n/a","n/a",IF(ABS(E23)&lt;=11.6472,"OK","CHECK"))</f>
        <v/>
      </c>
    </row>
    <row r="24">
      <c r="A24" s="7" t="inlineStr">
        <is>
          <t>FY2023 APE: sum of 12 months - reported FY (tol 0.18)</t>
        </is>
      </c>
      <c r="B24" s="15" t="n"/>
      <c r="C24" s="15" t="n"/>
      <c r="D24" s="15" t="n"/>
      <c r="E24" s="16">
        <f>IF(COUNT(Monthly!F47:F58)&lt;12,"n/a",SUM(Monthly!F47:F58)-'FY Totals'!E8)</f>
        <v/>
      </c>
      <c r="F24" s="17">
        <f>IF(E24="n/a","n/a",IF(ABS(E24)&lt;=0.1796,"OK","CHECK"))</f>
        <v/>
      </c>
    </row>
    <row r="25">
      <c r="A25" s="7" t="inlineStr">
        <is>
          <t>FY2023 RWRP: sum of 12 months - reported FY (tol 0.15)</t>
        </is>
      </c>
      <c r="B25" s="15" t="n"/>
      <c r="C25" s="15" t="n"/>
      <c r="D25" s="15" t="n"/>
      <c r="E25" s="16">
        <f>IF(COUNT(Monthly!C47:C58)&lt;12,"n/a",SUM(Monthly!C47:C58)-'FY Totals'!B8)</f>
        <v/>
      </c>
      <c r="F25" s="17">
        <f>IF(E25="n/a","n/a",IF(ABS(E25)&lt;=0.1511,"OK","CHECK"))</f>
        <v/>
      </c>
    </row>
    <row r="26">
      <c r="A26" s="7" t="inlineStr">
        <is>
          <t>FY2023 NB premium: sum of 12 months - reported FY (tol 0.30)</t>
        </is>
      </c>
      <c r="B26" s="15" t="n"/>
      <c r="C26" s="15" t="n"/>
      <c r="D26" s="15" t="n"/>
      <c r="E26" s="16">
        <f>IF(COUNT(Monthly!L47:L58)&lt;12,"n/a",SUM(Monthly!L47:L58)-'FY Totals'!K8)</f>
        <v/>
      </c>
      <c r="F26" s="17">
        <f>IF(E26="n/a","n/a",IF(ABS(E26)&lt;=0.3038,"OK","CHECK"))</f>
        <v/>
      </c>
    </row>
    <row r="27">
      <c r="A27" s="7" t="inlineStr">
        <is>
          <t>FY2023 NB sum assured: sum of 12 months - reported FY (tol 15.67)</t>
        </is>
      </c>
      <c r="B27" s="15" t="n"/>
      <c r="C27" s="15" t="n"/>
      <c r="D27" s="15" t="n"/>
      <c r="E27" s="16">
        <f>IF(COUNT(Monthly!O47:O58)&lt;12,"n/a",SUM(Monthly!O47:O58)-'FY Totals'!N8)</f>
        <v/>
      </c>
      <c r="F27" s="17">
        <f>IF(E27="n/a","n/a",IF(ABS(E27)&lt;=15.6709,"OK","CHECK"))</f>
        <v/>
      </c>
    </row>
    <row r="28">
      <c r="A28" s="7" t="inlineStr">
        <is>
          <t>FY2024 APE: sum of 12 months - reported FY (tol 0.19)</t>
        </is>
      </c>
      <c r="B28" s="15" t="n"/>
      <c r="C28" s="15" t="n"/>
      <c r="D28" s="15" t="n"/>
      <c r="E28" s="16">
        <f>IF(COUNT(Monthly!F59:F70)&lt;12,"n/a",SUM(Monthly!F59:F70)-'FY Totals'!E9)</f>
        <v/>
      </c>
      <c r="F28" s="17">
        <f>IF(E28="n/a","n/a",IF(ABS(E28)&lt;=0.1857,"OK","CHECK"))</f>
        <v/>
      </c>
    </row>
    <row r="29">
      <c r="A29" s="7" t="inlineStr">
        <is>
          <t>FY2024 RWRP: sum of 12 months - reported FY (tol 0.16)</t>
        </is>
      </c>
      <c r="B29" s="15" t="n"/>
      <c r="C29" s="15" t="n"/>
      <c r="D29" s="15" t="n"/>
      <c r="E29" s="16">
        <f>IF(COUNT(Monthly!C59:C70)&lt;12,"n/a",SUM(Monthly!C59:C70)-'FY Totals'!B9)</f>
        <v/>
      </c>
      <c r="F29" s="17">
        <f>IF(E29="n/a","n/a",IF(ABS(E29)&lt;=0.1582,"OK","CHECK"))</f>
        <v/>
      </c>
    </row>
    <row r="30">
      <c r="A30" s="7" t="inlineStr">
        <is>
          <t>FY2024 NB premium: sum of 12 months - reported FY (tol 0.32)</t>
        </is>
      </c>
      <c r="B30" s="15" t="n"/>
      <c r="C30" s="15" t="n"/>
      <c r="D30" s="15" t="n"/>
      <c r="E30" s="16">
        <f>IF(COUNT(Monthly!L59:L70)&lt;12,"n/a",SUM(Monthly!L59:L70)-'FY Totals'!K9)</f>
        <v/>
      </c>
      <c r="F30" s="17">
        <f>IF(E30="n/a","n/a",IF(ABS(E30)&lt;=0.3212,"OK","CHECK"))</f>
        <v/>
      </c>
    </row>
    <row r="31">
      <c r="A31" s="7" t="inlineStr">
        <is>
          <t>FY2024 NB sum assured: sum of 12 months - reported FY (tol 15.38)</t>
        </is>
      </c>
      <c r="B31" s="15" t="n"/>
      <c r="C31" s="15" t="n"/>
      <c r="D31" s="15" t="n"/>
      <c r="E31" s="16">
        <f>IF(COUNT(Monthly!O59:O70)&lt;12,"n/a",SUM(Monthly!O59:O70)-'FY Totals'!N9)</f>
        <v/>
      </c>
      <c r="F31" s="17">
        <f>IF(E31="n/a","n/a",IF(ABS(E31)&lt;=15.3817,"OK","CHECK"))</f>
        <v/>
      </c>
    </row>
    <row r="32">
      <c r="A32" s="7" t="inlineStr">
        <is>
          <t>FY2025 APE: sum of 12 months - reported FY (tol 0.21)</t>
        </is>
      </c>
      <c r="B32" s="15" t="n"/>
      <c r="C32" s="15" t="n"/>
      <c r="D32" s="15" t="n"/>
      <c r="E32" s="16">
        <f>IF(COUNT(Monthly!F71:F82)&lt;12,"n/a",SUM(Monthly!F71:F82)-'FY Totals'!E10)</f>
        <v/>
      </c>
      <c r="F32" s="17">
        <f>IF(E32="n/a","n/a",IF(ABS(E32)&lt;=0.2061,"OK","CHECK"))</f>
        <v/>
      </c>
    </row>
    <row r="33">
      <c r="A33" s="7" t="inlineStr">
        <is>
          <t>FY2025 RWRP: sum of 12 months - reported FY (tol 0.17)</t>
        </is>
      </c>
      <c r="B33" s="15" t="n"/>
      <c r="C33" s="15" t="n"/>
      <c r="D33" s="15" t="n"/>
      <c r="E33" s="16">
        <f>IF(COUNT(Monthly!C71:C82)&lt;12,"n/a",SUM(Monthly!C71:C82)-'FY Totals'!B10)</f>
        <v/>
      </c>
      <c r="F33" s="17">
        <f>IF(E33="n/a","n/a",IF(ABS(E33)&lt;=0.1746,"OK","CHECK"))</f>
        <v/>
      </c>
    </row>
    <row r="34">
      <c r="A34" s="7" t="inlineStr">
        <is>
          <t>FY2025 NB premium: sum of 12 months - reported FY (tol 0.39)</t>
        </is>
      </c>
      <c r="B34" s="15" t="n"/>
      <c r="C34" s="15" t="n"/>
      <c r="D34" s="15" t="n"/>
      <c r="E34" s="16">
        <f>IF(COUNT(Monthly!L71:L82)&lt;12,"n/a",SUM(Monthly!L71:L82)-'FY Totals'!K10)</f>
        <v/>
      </c>
      <c r="F34" s="17">
        <f>IF(E34="n/a","n/a",IF(ABS(E34)&lt;=0.3887,"OK","CHECK"))</f>
        <v/>
      </c>
    </row>
    <row r="35">
      <c r="A35" s="7" t="inlineStr">
        <is>
          <t>FY2025 NB sum assured: sum of 12 months - reported FY (tol 17.97)</t>
        </is>
      </c>
      <c r="B35" s="15" t="n"/>
      <c r="C35" s="15" t="n"/>
      <c r="D35" s="15" t="n"/>
      <c r="E35" s="16">
        <f>IF(COUNT(Monthly!O71:O82)&lt;12,"n/a",SUM(Monthly!O71:O82)-'FY Totals'!N10)</f>
        <v/>
      </c>
      <c r="F35" s="17">
        <f>IF(E35="n/a","n/a",IF(ABS(E35)&lt;=17.9660,"OK","CHECK"))</f>
        <v/>
      </c>
    </row>
    <row r="36">
      <c r="A36" s="7" t="inlineStr">
        <is>
          <t>FY2026 APE: sum of 12 months - reported FY (tol 0.21)</t>
        </is>
      </c>
      <c r="B36" s="15" t="n"/>
      <c r="C36" s="15" t="n"/>
      <c r="D36" s="15" t="n"/>
      <c r="E36" s="16">
        <f>IF(COUNT(Monthly!F83:F94)&lt;12,"n/a",SUM(Monthly!F83:F94)-'FY Totals'!E11)</f>
        <v/>
      </c>
      <c r="F36" s="17">
        <f>IF(E36="n/a","n/a",IF(ABS(E36)&lt;=0.2096,"OK","CHECK"))</f>
        <v/>
      </c>
    </row>
    <row r="37">
      <c r="A37" s="7" t="inlineStr">
        <is>
          <t>FY2026 RWRP: sum of 12 months - reported FY (tol 0.17)</t>
        </is>
      </c>
      <c r="B37" s="15" t="n"/>
      <c r="C37" s="15" t="n"/>
      <c r="D37" s="15" t="n"/>
      <c r="E37" s="16">
        <f>IF(COUNT(Monthly!C83:C94)&lt;12,"n/a",SUM(Monthly!C83:C94)-'FY Totals'!B11)</f>
        <v/>
      </c>
      <c r="F37" s="17">
        <f>IF(E37="n/a","n/a",IF(ABS(E37)&lt;=0.1731,"OK","CHECK"))</f>
        <v/>
      </c>
    </row>
    <row r="38">
      <c r="A38" s="7" t="inlineStr">
        <is>
          <t>FY2026 NB premium: sum of 12 months - reported FY (tol 0.42)</t>
        </is>
      </c>
      <c r="B38" s="15" t="n"/>
      <c r="C38" s="15" t="n"/>
      <c r="D38" s="15" t="n"/>
      <c r="E38" s="16">
        <f>IF(COUNT(Monthly!L83:L94)&lt;12,"n/a",SUM(Monthly!L83:L94)-'FY Totals'!K11)</f>
        <v/>
      </c>
      <c r="F38" s="17">
        <f>IF(E38="n/a","n/a",IF(ABS(E38)&lt;=0.4221,"OK","CHECK"))</f>
        <v/>
      </c>
    </row>
    <row r="39">
      <c r="A39" s="7" t="inlineStr">
        <is>
          <t>FY2026 NB sum assured: sum of 12 months - reported FY (tol 21.80)</t>
        </is>
      </c>
      <c r="B39" s="15" t="n"/>
      <c r="C39" s="15" t="n"/>
      <c r="D39" s="15" t="n"/>
      <c r="E39" s="16">
        <f>IF(COUNT(Monthly!O83:O94)&lt;12,"n/a",SUM(Monthly!O83:O94)-'FY Totals'!N11)</f>
        <v/>
      </c>
      <c r="F39" s="17">
        <f>IF(E39="n/a","n/a",IF(ABS(E39)&lt;=21.8034,"OK","CHECK"))</f>
        <v/>
      </c>
    </row>
    <row r="40">
      <c r="A40" s="7" t="inlineStr">
        <is>
          <t>FY2020 APE: Apr-Feb monthly sum - reported 11M (tol 0.10)</t>
        </is>
      </c>
      <c r="B40" s="15" t="n"/>
      <c r="C40" s="15" t="n"/>
      <c r="D40" s="15" t="n"/>
      <c r="E40" s="16">
        <f>SUM(Monthly!F11:F21)-'FY Totals'!G5</f>
        <v/>
      </c>
      <c r="F40" s="17">
        <f>IF(ABS(E40)&lt;=0.1,"OK","CHECK")</f>
        <v/>
      </c>
    </row>
    <row r="41">
      <c r="A41" s="7" t="inlineStr">
        <is>
          <t>FY2020 RWRP: Apr-Feb monthly sum - reported 11M (tol 0.10)</t>
        </is>
      </c>
      <c r="B41" s="15" t="n"/>
      <c r="C41" s="15" t="n"/>
      <c r="D41" s="15" t="n"/>
      <c r="E41" s="16">
        <f>SUM(Monthly!C11:C21)-'FY Totals'!D5</f>
        <v/>
      </c>
      <c r="F41" s="17">
        <f>IF(ABS(E41)&lt;=0.1,"OK","CHECK")</f>
        <v/>
      </c>
    </row>
    <row r="42">
      <c r="A42" s="7" t="inlineStr">
        <is>
          <t>FY2021 APE: Apr-Feb monthly sum - reported 11M (tol 0.10)</t>
        </is>
      </c>
      <c r="B42" s="15" t="n"/>
      <c r="C42" s="15" t="n"/>
      <c r="D42" s="15" t="n"/>
      <c r="E42" s="16">
        <f>SUM(Monthly!F23:F33)-'FY Totals'!G6</f>
        <v/>
      </c>
      <c r="F42" s="17">
        <f>IF(ABS(E42)&lt;=0.1,"OK","CHECK")</f>
        <v/>
      </c>
    </row>
    <row r="43">
      <c r="A43" s="7" t="inlineStr">
        <is>
          <t>FY2021 RWRP: Apr-Feb monthly sum - reported 11M (tol 0.10)</t>
        </is>
      </c>
      <c r="B43" s="15" t="n"/>
      <c r="C43" s="15" t="n"/>
      <c r="D43" s="15" t="n"/>
      <c r="E43" s="16">
        <f>SUM(Monthly!C23:C33)-'FY Totals'!D6</f>
        <v/>
      </c>
      <c r="F43" s="17">
        <f>IF(ABS(E43)&lt;=0.1,"OK","CHECK")</f>
        <v/>
      </c>
    </row>
    <row r="44">
      <c r="A44" s="7" t="inlineStr">
        <is>
          <t>FY2022 APE: Apr-Feb monthly sum - reported 11M (tol 0.10)</t>
        </is>
      </c>
      <c r="B44" s="15" t="n"/>
      <c r="C44" s="15" t="n"/>
      <c r="D44" s="15" t="n"/>
      <c r="E44" s="16">
        <f>SUM(Monthly!F35:F45)-'FY Totals'!G7</f>
        <v/>
      </c>
      <c r="F44" s="17">
        <f>IF(ABS(E44)&lt;=0.1,"OK","CHECK")</f>
        <v/>
      </c>
    </row>
    <row r="45">
      <c r="A45" s="7" t="inlineStr">
        <is>
          <t>FY2022 RWRP: Apr-Feb monthly sum - reported 11M (tol 0.10)</t>
        </is>
      </c>
      <c r="B45" s="15" t="n"/>
      <c r="C45" s="15" t="n"/>
      <c r="D45" s="15" t="n"/>
      <c r="E45" s="16">
        <f>SUM(Monthly!C35:C45)-'FY Totals'!D7</f>
        <v/>
      </c>
      <c r="F45" s="17">
        <f>IF(ABS(E45)&lt;=0.1,"OK","CHECK")</f>
        <v/>
      </c>
    </row>
    <row r="46">
      <c r="A46" s="7" t="inlineStr">
        <is>
          <t>FY2023 APE: Apr-Feb monthly sum - reported 11M (tol 0.10)</t>
        </is>
      </c>
      <c r="B46" s="15" t="n"/>
      <c r="C46" s="15" t="n"/>
      <c r="D46" s="15" t="n"/>
      <c r="E46" s="16">
        <f>SUM(Monthly!F47:F57)-'FY Totals'!G8</f>
        <v/>
      </c>
      <c r="F46" s="17">
        <f>IF(ABS(E46)&lt;=0.1,"OK","CHECK")</f>
        <v/>
      </c>
    </row>
    <row r="47">
      <c r="A47" s="7" t="inlineStr">
        <is>
          <t>FY2023 RWRP: Apr-Feb monthly sum - reported 11M (tol 0.10)</t>
        </is>
      </c>
      <c r="B47" s="15" t="n"/>
      <c r="C47" s="15" t="n"/>
      <c r="D47" s="15" t="n"/>
      <c r="E47" s="16">
        <f>SUM(Monthly!C47:C57)-'FY Totals'!D8</f>
        <v/>
      </c>
      <c r="F47" s="17">
        <f>IF(ABS(E47)&lt;=0.1,"OK","CHECK")</f>
        <v/>
      </c>
    </row>
    <row r="48">
      <c r="A48" s="7" t="inlineStr">
        <is>
          <t>FY2024 APE: Apr-Feb monthly sum - reported 11M (tol 0.10)</t>
        </is>
      </c>
      <c r="B48" s="15" t="n"/>
      <c r="C48" s="15" t="n"/>
      <c r="D48" s="15" t="n"/>
      <c r="E48" s="16">
        <f>SUM(Monthly!F59:F69)-'FY Totals'!G9</f>
        <v/>
      </c>
      <c r="F48" s="17">
        <f>IF(ABS(E48)&lt;=0.1,"OK","CHECK")</f>
        <v/>
      </c>
    </row>
    <row r="49">
      <c r="A49" s="7" t="inlineStr">
        <is>
          <t>FY2024 RWRP: Apr-Feb monthly sum - reported 11M (tol 0.10)</t>
        </is>
      </c>
      <c r="B49" s="15" t="n"/>
      <c r="C49" s="15" t="n"/>
      <c r="D49" s="15" t="n"/>
      <c r="E49" s="16">
        <f>SUM(Monthly!C59:C69)-'FY Totals'!D9</f>
        <v/>
      </c>
      <c r="F49" s="17">
        <f>IF(ABS(E49)&lt;=0.1,"OK","CHECK")</f>
        <v/>
      </c>
    </row>
    <row r="50">
      <c r="A50" s="7" t="inlineStr">
        <is>
          <t>FY2025 APE: Apr-Feb monthly sum - reported 11M (tol 0.10)</t>
        </is>
      </c>
      <c r="B50" s="15" t="n"/>
      <c r="C50" s="15" t="n"/>
      <c r="D50" s="15" t="n"/>
      <c r="E50" s="16">
        <f>SUM(Monthly!F71:F81)-'FY Totals'!G10</f>
        <v/>
      </c>
      <c r="F50" s="17">
        <f>IF(ABS(E50)&lt;=0.1,"OK","CHECK")</f>
        <v/>
      </c>
    </row>
    <row r="51">
      <c r="A51" s="7" t="inlineStr">
        <is>
          <t>FY2025 RWRP: Apr-Feb monthly sum - reported 11M (tol 0.10)</t>
        </is>
      </c>
      <c r="B51" s="15" t="n"/>
      <c r="C51" s="15" t="n"/>
      <c r="D51" s="15" t="n"/>
      <c r="E51" s="16">
        <f>SUM(Monthly!C71:C81)-'FY Totals'!D10</f>
        <v/>
      </c>
      <c r="F51" s="17">
        <f>IF(ABS(E51)&lt;=0.1,"OK","CHECK")</f>
        <v/>
      </c>
    </row>
    <row r="52">
      <c r="A52" s="7" t="inlineStr">
        <is>
          <t>FY2026 APE: Apr-Feb monthly sum - reported 11M (tol 0.10)</t>
        </is>
      </c>
      <c r="B52" s="15" t="n"/>
      <c r="C52" s="15" t="n"/>
      <c r="D52" s="15" t="n"/>
      <c r="E52" s="16">
        <f>SUM(Monthly!F83:F93)-'FY Totals'!G11</f>
        <v/>
      </c>
      <c r="F52" s="17">
        <f>IF(ABS(E52)&lt;=0.1,"OK","CHECK")</f>
        <v/>
      </c>
    </row>
    <row r="53">
      <c r="A53" s="7" t="inlineStr">
        <is>
          <t>FY2026 RWRP: Apr-Feb monthly sum - reported 11M (tol 0.10)</t>
        </is>
      </c>
      <c r="B53" s="15" t="n"/>
      <c r="C53" s="15" t="n"/>
      <c r="D53" s="15" t="n"/>
      <c r="E53" s="16">
        <f>SUM(Monthly!C83:C93)-'FY Totals'!D11</f>
        <v/>
      </c>
      <c r="F53" s="17">
        <f>IF(ABS(E53)&lt;=0.1,"OK","CHECK")</f>
        <v/>
      </c>
    </row>
    <row r="54">
      <c r="A54" s="7" t="inlineStr">
        <is>
          <t>Q1FY20 APE: Quarterly sheet - reported quarter 14.70 (tol 0.07)</t>
        </is>
      </c>
      <c r="B54" s="15" t="n"/>
      <c r="C54" s="15" t="n"/>
      <c r="D54" s="15" t="n"/>
      <c r="E54" s="16">
        <f>IF(Quarterly!G7="","n/a",Quarterly!G7-14.7)</f>
        <v/>
      </c>
      <c r="F54" s="17">
        <f>IF(E54="n/a","n/a",IF(ABS(E54)&lt;=0.0721,"OK","CHECK"))</f>
        <v/>
      </c>
    </row>
    <row r="55">
      <c r="A55" s="7" t="inlineStr">
        <is>
          <t>Q1FY20 RWRP: Quarterly sheet - reported quarter 12.96 (tol 0.07)</t>
        </is>
      </c>
      <c r="B55" s="15" t="n"/>
      <c r="C55" s="15" t="n"/>
      <c r="D55" s="15" t="n"/>
      <c r="E55" s="16">
        <f>IF(Quarterly!D7="","n/a",Quarterly!D7-12.96)</f>
        <v/>
      </c>
      <c r="F55" s="17">
        <f>IF(E55="n/a","n/a",IF(ABS(E55)&lt;=0.0694,"OK","CHECK"))</f>
        <v/>
      </c>
    </row>
    <row r="56">
      <c r="A56" s="7" t="inlineStr">
        <is>
          <t>Q3FY20 APE: Quarterly sheet - reported quarter 20.38 (tol 0.08)</t>
        </is>
      </c>
      <c r="B56" s="15" t="n"/>
      <c r="C56" s="15" t="n"/>
      <c r="D56" s="15" t="n"/>
      <c r="E56" s="16">
        <f>IF(Quarterly!G9="","n/a",Quarterly!G9-20.38)</f>
        <v/>
      </c>
      <c r="F56" s="17">
        <f>IF(E56="n/a","n/a",IF(ABS(E56)&lt;=0.0806,"OK","CHECK"))</f>
        <v/>
      </c>
    </row>
    <row r="57">
      <c r="A57" s="7" t="inlineStr">
        <is>
          <t>Q3FY20 RWRP: Quarterly sheet - reported quarter 19.06 (tol 0.08)</t>
        </is>
      </c>
      <c r="B57" s="15" t="n"/>
      <c r="C57" s="15" t="n"/>
      <c r="D57" s="15" t="n"/>
      <c r="E57" s="16">
        <f>IF(Quarterly!D9="","n/a",Quarterly!D9-19.06)</f>
        <v/>
      </c>
      <c r="F57" s="17">
        <f>IF(E57="n/a","n/a",IF(ABS(E57)&lt;=0.0786,"OK","CHECK"))</f>
        <v/>
      </c>
    </row>
    <row r="58">
      <c r="A58" s="7" t="inlineStr">
        <is>
          <t>Q1FY21 APE: Quarterly sheet - reported quarter 8.23 (tol 0.06)</t>
        </is>
      </c>
      <c r="B58" s="15" t="n"/>
      <c r="C58" s="15" t="n"/>
      <c r="D58" s="15" t="n"/>
      <c r="E58" s="16">
        <f>IF(Quarterly!G11="","n/a",Quarterly!G11-8.23)</f>
        <v/>
      </c>
      <c r="F58" s="17">
        <f>IF(E58="n/a","n/a",IF(ABS(E58)&lt;=0.0623,"OK","CHECK"))</f>
        <v/>
      </c>
    </row>
    <row r="59">
      <c r="A59" s="7" t="inlineStr">
        <is>
          <t>Q1FY21 RWRP: Quarterly sheet - reported quarter 6.56 (tol 0.06)</t>
        </is>
      </c>
      <c r="B59" s="15" t="n"/>
      <c r="C59" s="15" t="n"/>
      <c r="D59" s="15" t="n"/>
      <c r="E59" s="16">
        <f>IF(Quarterly!D11="","n/a",Quarterly!D11-6.56)</f>
        <v/>
      </c>
      <c r="F59" s="17">
        <f>IF(E59="n/a","n/a",IF(ABS(E59)&lt;=0.0598,"OK","CHECK"))</f>
        <v/>
      </c>
    </row>
    <row r="60">
      <c r="A60" s="7" t="inlineStr">
        <is>
          <t>Q1FY21 NB premium: Quarterly sheet - reported quarter 14.99 (tol 0.07)</t>
        </is>
      </c>
      <c r="B60" s="15" t="n"/>
      <c r="C60" s="15" t="n"/>
      <c r="D60" s="15" t="n"/>
      <c r="E60" s="16">
        <f>IF(Quarterly!M11="","n/a",Quarterly!M11-14.99)</f>
        <v/>
      </c>
      <c r="F60" s="17">
        <f>IF(E60="n/a","n/a",IF(ABS(E60)&lt;=0.0725,"OK","CHECK"))</f>
        <v/>
      </c>
    </row>
    <row r="61">
      <c r="A61" s="7" t="inlineStr">
        <is>
          <t>Q2FY21 APE: Quarterly sheet - reported quarter 14.65 (tol 0.07)</t>
        </is>
      </c>
      <c r="B61" s="15" t="n"/>
      <c r="C61" s="15" t="n"/>
      <c r="D61" s="15" t="n"/>
      <c r="E61" s="16">
        <f>IF(Quarterly!G12="","n/a",Quarterly!G12-14.65)</f>
        <v/>
      </c>
      <c r="F61" s="17">
        <f>IF(E61="n/a","n/a",IF(ABS(E61)&lt;=0.0720,"OK","CHECK"))</f>
        <v/>
      </c>
    </row>
    <row r="62">
      <c r="A62" s="7" t="inlineStr">
        <is>
          <t>Q2FY21 RWRP: Quarterly sheet - reported quarter 12.29 (tol 0.07)</t>
        </is>
      </c>
      <c r="B62" s="15" t="n"/>
      <c r="C62" s="15" t="n"/>
      <c r="D62" s="15" t="n"/>
      <c r="E62" s="16">
        <f>IF(Quarterly!D12="","n/a",Quarterly!D12-12.29)</f>
        <v/>
      </c>
      <c r="F62" s="17">
        <f>IF(E62="n/a","n/a",IF(ABS(E62)&lt;=0.0684,"OK","CHECK"))</f>
        <v/>
      </c>
    </row>
    <row r="63">
      <c r="A63" s="7" t="inlineStr">
        <is>
          <t>Q2FY21 NB premium: Quarterly sheet - reported quarter 29.57 (tol 0.09)</t>
        </is>
      </c>
      <c r="B63" s="15" t="n"/>
      <c r="C63" s="15" t="n"/>
      <c r="D63" s="15" t="n"/>
      <c r="E63" s="16">
        <f>IF(Quarterly!M12="","n/a",Quarterly!M12-29.57)</f>
        <v/>
      </c>
      <c r="F63" s="17">
        <f>IF(E63="n/a","n/a",IF(ABS(E63)&lt;=0.0944,"OK","CHECK"))</f>
        <v/>
      </c>
    </row>
    <row r="64">
      <c r="A64" s="7" t="inlineStr">
        <is>
          <t>Q4FY21 APE: Quarterly sheet - reported quarter 25.09 (tol 0.09)</t>
        </is>
      </c>
      <c r="B64" s="15" t="n"/>
      <c r="C64" s="15" t="n"/>
      <c r="D64" s="15" t="n"/>
      <c r="E64" s="16">
        <f>IF(Quarterly!G14="","n/a",Quarterly!G14-25.09)</f>
        <v/>
      </c>
      <c r="F64" s="17">
        <f>IF(E64="n/a","n/a",IF(ABS(E64)&lt;=0.0876,"OK","CHECK"))</f>
        <v/>
      </c>
    </row>
    <row r="65">
      <c r="A65" s="7" t="inlineStr">
        <is>
          <t>Q4FY21 RWRP: Quarterly sheet - reported quarter 21.49 (tol 0.08)</t>
        </is>
      </c>
      <c r="B65" s="15" t="n"/>
      <c r="C65" s="15" t="n"/>
      <c r="D65" s="15" t="n"/>
      <c r="E65" s="16">
        <f>IF(Quarterly!D14="","n/a",Quarterly!D14-21.49)</f>
        <v/>
      </c>
      <c r="F65" s="17">
        <f>IF(E65="n/a","n/a",IF(ABS(E65)&lt;=0.0822,"OK","CHECK"))</f>
        <v/>
      </c>
    </row>
    <row r="66">
      <c r="A66" s="7" t="inlineStr">
        <is>
          <t>Q4FY21 NB premium: Quarterly sheet - reported quarter 51.33 (tol 0.13)</t>
        </is>
      </c>
      <c r="B66" s="15" t="n"/>
      <c r="C66" s="15" t="n"/>
      <c r="D66" s="15" t="n"/>
      <c r="E66" s="16">
        <f>IF(Quarterly!M14="","n/a",Quarterly!M14-51.33)</f>
        <v/>
      </c>
      <c r="F66" s="17">
        <f>IF(E66="n/a","n/a",IF(ABS(E66)&lt;=0.1270,"OK","CHECK"))</f>
        <v/>
      </c>
    </row>
    <row r="67">
      <c r="A67" s="7" t="inlineStr">
        <is>
          <t>Q4FY21 NB sum assured: Quarterly sheet - reported quarter 2,051.84 (tol 3.13)</t>
        </is>
      </c>
      <c r="B67" s="15" t="n"/>
      <c r="C67" s="15" t="n"/>
      <c r="D67" s="15" t="n"/>
      <c r="E67" s="16">
        <f>IF(Quarterly!P14="","n/a",Quarterly!P14-2051.84)</f>
        <v/>
      </c>
      <c r="F67" s="17">
        <f>IF(E67="n/a","n/a",IF(ABS(E67)&lt;=3.1278,"OK","CHECK"))</f>
        <v/>
      </c>
    </row>
    <row r="68">
      <c r="A68" s="7" t="inlineStr">
        <is>
          <t>Q1FY22 APE: Quarterly sheet - reported quarter 12.19 (tol 0.07)</t>
        </is>
      </c>
      <c r="B68" s="15" t="n"/>
      <c r="C68" s="15" t="n"/>
      <c r="D68" s="15" t="n"/>
      <c r="E68" s="16">
        <f>IF(Quarterly!G15="","n/a",Quarterly!G15-12.19)</f>
        <v/>
      </c>
      <c r="F68" s="17">
        <f>IF(E68="n/a","n/a",IF(ABS(E68)&lt;=0.0683,"OK","CHECK"))</f>
        <v/>
      </c>
    </row>
    <row r="69">
      <c r="A69" s="7" t="inlineStr">
        <is>
          <t>Q1FY22 RWRP: Quarterly sheet - reported quarter 9.42 (tol 0.06)</t>
        </is>
      </c>
      <c r="B69" s="15" t="n"/>
      <c r="C69" s="15" t="n"/>
      <c r="D69" s="15" t="n"/>
      <c r="E69" s="16">
        <f>IF(Quarterly!D15="","n/a",Quarterly!D15-9.42)</f>
        <v/>
      </c>
      <c r="F69" s="17">
        <f>IF(E69="n/a","n/a",IF(ABS(E69)&lt;=0.0641,"OK","CHECK"))</f>
        <v/>
      </c>
    </row>
    <row r="70">
      <c r="A70" s="7" t="inlineStr">
        <is>
          <t>Q1FY22 NB premium: Quarterly sheet - reported quarter 25.59 (tol 0.09)</t>
        </is>
      </c>
      <c r="B70" s="15" t="n"/>
      <c r="C70" s="15" t="n"/>
      <c r="D70" s="15" t="n"/>
      <c r="E70" s="16">
        <f>IF(Quarterly!M15="","n/a",Quarterly!M15-25.59)</f>
        <v/>
      </c>
      <c r="F70" s="17">
        <f>IF(E70="n/a","n/a",IF(ABS(E70)&lt;=0.0884,"OK","CHECK"))</f>
        <v/>
      </c>
    </row>
    <row r="71">
      <c r="A71" s="7" t="inlineStr">
        <is>
          <t>Q1FY22 NB sum assured: Quarterly sheet - reported quarter 1,768.62 (tol 2.70)</t>
        </is>
      </c>
      <c r="B71" s="15" t="n"/>
      <c r="C71" s="15" t="n"/>
      <c r="D71" s="15" t="n"/>
      <c r="E71" s="16">
        <f>IF(Quarterly!P15="","n/a",Quarterly!P15-1768.62)</f>
        <v/>
      </c>
      <c r="F71" s="17">
        <f>IF(E71="n/a","n/a",IF(ABS(E71)&lt;=2.7029,"OK","CHECK"))</f>
        <v/>
      </c>
    </row>
    <row r="72">
      <c r="A72" s="7" t="inlineStr">
        <is>
          <t>Q2FY22 APE: Quarterly sheet - reported quarter 19.77 (tol 0.08)</t>
        </is>
      </c>
      <c r="B72" s="15" t="n"/>
      <c r="C72" s="15" t="n"/>
      <c r="D72" s="15" t="n"/>
      <c r="E72" s="16">
        <f>IF(Quarterly!G16="","n/a",Quarterly!G16-19.77)</f>
        <v/>
      </c>
      <c r="F72" s="17">
        <f>IF(E72="n/a","n/a",IF(ABS(E72)&lt;=0.0797,"OK","CHECK"))</f>
        <v/>
      </c>
    </row>
    <row r="73">
      <c r="A73" s="7" t="inlineStr">
        <is>
          <t>Q2FY22 RWRP: Quarterly sheet - reported quarter 16.45 (tol 0.07)</t>
        </is>
      </c>
      <c r="B73" s="15" t="n"/>
      <c r="C73" s="15" t="n"/>
      <c r="D73" s="15" t="n"/>
      <c r="E73" s="16">
        <f>IF(Quarterly!D16="","n/a",Quarterly!D16-16.45)</f>
        <v/>
      </c>
      <c r="F73" s="17">
        <f>IF(E73="n/a","n/a",IF(ABS(E73)&lt;=0.0747,"OK","CHECK"))</f>
        <v/>
      </c>
    </row>
    <row r="74">
      <c r="A74" s="7" t="inlineStr">
        <is>
          <t>Q2FY22 NB premium: Quarterly sheet - reported quarter 39.02 (tol 0.11)</t>
        </is>
      </c>
      <c r="B74" s="15" t="n"/>
      <c r="C74" s="15" t="n"/>
      <c r="D74" s="15" t="n"/>
      <c r="E74" s="16">
        <f>IF(Quarterly!M16="","n/a",Quarterly!M16-39.02)</f>
        <v/>
      </c>
      <c r="F74" s="17">
        <f>IF(E74="n/a","n/a",IF(ABS(E74)&lt;=0.1085,"OK","CHECK"))</f>
        <v/>
      </c>
    </row>
    <row r="75">
      <c r="A75" s="7" t="inlineStr">
        <is>
          <t>Q2FY22 NB sum assured: Quarterly sheet - reported quarter 1,605.55 (tol 2.46)</t>
        </is>
      </c>
      <c r="B75" s="15" t="n"/>
      <c r="C75" s="15" t="n"/>
      <c r="D75" s="15" t="n"/>
      <c r="E75" s="16">
        <f>IF(Quarterly!P16="","n/a",Quarterly!P16-1605.55)</f>
        <v/>
      </c>
      <c r="F75" s="17">
        <f>IF(E75="n/a","n/a",IF(ABS(E75)&lt;=2.4583,"OK","CHECK"))</f>
        <v/>
      </c>
    </row>
    <row r="76">
      <c r="A76" s="7" t="inlineStr">
        <is>
          <t>Q4FY22 APE: Quarterly sheet - reported quarter 26.08 (tol 0.09)</t>
        </is>
      </c>
      <c r="B76" s="15" t="n"/>
      <c r="C76" s="15" t="n"/>
      <c r="D76" s="15" t="n"/>
      <c r="E76" s="16">
        <f>IF(Quarterly!G18="","n/a",Quarterly!G18-26.08)</f>
        <v/>
      </c>
      <c r="F76" s="17">
        <f>IF(E76="n/a","n/a",IF(ABS(E76)&lt;=0.0891,"OK","CHECK"))</f>
        <v/>
      </c>
    </row>
    <row r="77">
      <c r="A77" s="7" t="inlineStr">
        <is>
          <t>Q4FY22 RWRP: Quarterly sheet - reported quarter 20.74 (tol 0.08)</t>
        </is>
      </c>
      <c r="B77" s="15" t="n"/>
      <c r="C77" s="15" t="n"/>
      <c r="D77" s="15" t="n"/>
      <c r="E77" s="16">
        <f>IF(Quarterly!D18="","n/a",Quarterly!D18-20.74)</f>
        <v/>
      </c>
      <c r="F77" s="17">
        <f>IF(E77="n/a","n/a",IF(ABS(E77)&lt;=0.0811,"OK","CHECK"))</f>
        <v/>
      </c>
    </row>
    <row r="78">
      <c r="A78" s="7" t="inlineStr">
        <is>
          <t>Q4FY22 NB premium: Quarterly sheet - reported quarter 47.88 (tol 0.12)</t>
        </is>
      </c>
      <c r="B78" s="15" t="n"/>
      <c r="C78" s="15" t="n"/>
      <c r="D78" s="15" t="n"/>
      <c r="E78" s="16">
        <f>IF(Quarterly!M18="","n/a",Quarterly!M18-47.88)</f>
        <v/>
      </c>
      <c r="F78" s="17">
        <f>IF(E78="n/a","n/a",IF(ABS(E78)&lt;=0.1218,"OK","CHECK"))</f>
        <v/>
      </c>
    </row>
    <row r="79">
      <c r="A79" s="7" t="inlineStr">
        <is>
          <t>Q4FY22 NB sum assured: Quarterly sheet - reported quarter 2,599.83 (tol 3.95)</t>
        </is>
      </c>
      <c r="B79" s="15" t="n"/>
      <c r="C79" s="15" t="n"/>
      <c r="D79" s="15" t="n"/>
      <c r="E79" s="16">
        <f>IF(Quarterly!P18="","n/a",Quarterly!P18-2599.83)</f>
        <v/>
      </c>
      <c r="F79" s="17">
        <f>IF(E79="n/a","n/a",IF(ABS(E79)&lt;=3.9497,"OK","CHECK"))</f>
        <v/>
      </c>
    </row>
    <row r="80">
      <c r="A80" s="7" t="inlineStr">
        <is>
          <t>Q1FY23 APE: Quarterly sheet - reported quarter 15.20 (tol 0.07)</t>
        </is>
      </c>
      <c r="B80" s="15" t="n"/>
      <c r="C80" s="15" t="n"/>
      <c r="D80" s="15" t="n"/>
      <c r="E80" s="16">
        <f>IF(Quarterly!G19="","n/a",Quarterly!G19-15.2)</f>
        <v/>
      </c>
      <c r="F80" s="17">
        <f>IF(E80="n/a","n/a",IF(ABS(E80)&lt;=0.0728,"OK","CHECK"))</f>
        <v/>
      </c>
    </row>
    <row r="81">
      <c r="A81" s="7" t="inlineStr">
        <is>
          <t>Q1FY23 RWRP: Quarterly sheet - reported quarter 11.01 (tol 0.07)</t>
        </is>
      </c>
      <c r="B81" s="15" t="n"/>
      <c r="C81" s="15" t="n"/>
      <c r="D81" s="15" t="n"/>
      <c r="E81" s="16">
        <f>IF(Quarterly!D19="","n/a",Quarterly!D19-11.01)</f>
        <v/>
      </c>
      <c r="F81" s="17">
        <f>IF(E81="n/a","n/a",IF(ABS(E81)&lt;=0.0665,"OK","CHECK"))</f>
        <v/>
      </c>
    </row>
    <row r="82">
      <c r="A82" s="7" t="inlineStr">
        <is>
          <t>Q1FY23 NB premium: Quarterly sheet - reported quarter 31.84 (tol 0.10)</t>
        </is>
      </c>
      <c r="B82" s="15" t="n"/>
      <c r="C82" s="15" t="n"/>
      <c r="D82" s="15" t="n"/>
      <c r="E82" s="16">
        <f>IF(Quarterly!M19="","n/a",Quarterly!M19-31.84)</f>
        <v/>
      </c>
      <c r="F82" s="17">
        <f>IF(E82="n/a","n/a",IF(ABS(E82)&lt;=0.0978,"OK","CHECK"))</f>
        <v/>
      </c>
    </row>
    <row r="83">
      <c r="A83" s="7" t="inlineStr">
        <is>
          <t>Q1FY23 NB sum assured: Quarterly sheet - reported quarter 2,209.35 (tol 3.36)</t>
        </is>
      </c>
      <c r="B83" s="15" t="n"/>
      <c r="C83" s="15" t="n"/>
      <c r="D83" s="15" t="n"/>
      <c r="E83" s="16">
        <f>IF(Quarterly!P19="","n/a",Quarterly!P19-2209.35)</f>
        <v/>
      </c>
      <c r="F83" s="17">
        <f>IF(E83="n/a","n/a",IF(ABS(E83)&lt;=3.3640,"OK","CHECK"))</f>
        <v/>
      </c>
    </row>
    <row r="84">
      <c r="A84" s="7" t="inlineStr">
        <is>
          <t>Q3FY23 APE: Quarterly sheet - reported quarter 18.21 (tol 0.08)</t>
        </is>
      </c>
      <c r="B84" s="15" t="n"/>
      <c r="C84" s="15" t="n"/>
      <c r="D84" s="15" t="n"/>
      <c r="E84" s="16">
        <f>IF(Quarterly!G21="","n/a",Quarterly!G21-18.21)</f>
        <v/>
      </c>
      <c r="F84" s="17">
        <f>IF(E84="n/a","n/a",IF(ABS(E84)&lt;=0.0773,"OK","CHECK"))</f>
        <v/>
      </c>
    </row>
    <row r="85">
      <c r="A85" s="7" t="inlineStr">
        <is>
          <t>Q3FY23 RWRP: Quarterly sheet - reported quarter 14.35 (tol 0.07)</t>
        </is>
      </c>
      <c r="B85" s="15" t="n"/>
      <c r="C85" s="15" t="n"/>
      <c r="D85" s="15" t="n"/>
      <c r="E85" s="16">
        <f>IF(Quarterly!D21="","n/a",Quarterly!D21-14.35)</f>
        <v/>
      </c>
      <c r="F85" s="17">
        <f>IF(E85="n/a","n/a",IF(ABS(E85)&lt;=0.0715,"OK","CHECK"))</f>
        <v/>
      </c>
    </row>
    <row r="86">
      <c r="A86" s="7" t="inlineStr">
        <is>
          <t>Q3FY23 NB premium: Quarterly sheet - reported quarter 39.28 (tol 0.11)</t>
        </is>
      </c>
      <c r="B86" s="15" t="n"/>
      <c r="C86" s="15" t="n"/>
      <c r="D86" s="15" t="n"/>
      <c r="E86" s="16">
        <f>IF(Quarterly!M21="","n/a",Quarterly!M21-39.28)</f>
        <v/>
      </c>
      <c r="F86" s="17">
        <f>IF(E86="n/a","n/a",IF(ABS(E86)&lt;=0.1089,"OK","CHECK"))</f>
        <v/>
      </c>
    </row>
    <row r="87">
      <c r="A87" s="7" t="inlineStr">
        <is>
          <t>Q3FY23 NB sum assured: Quarterly sheet - reported quarter 2,121.88 (tol 3.23)</t>
        </is>
      </c>
      <c r="B87" s="15" t="n"/>
      <c r="C87" s="15" t="n"/>
      <c r="D87" s="15" t="n"/>
      <c r="E87" s="16">
        <f>IF(Quarterly!P21="","n/a",Quarterly!P21-2121.88)</f>
        <v/>
      </c>
      <c r="F87" s="17">
        <f>IF(E87="n/a","n/a",IF(ABS(E87)&lt;=3.2328,"OK","CHECK"))</f>
        <v/>
      </c>
    </row>
    <row r="88">
      <c r="A88" s="7" t="inlineStr">
        <is>
          <t>Q1FY24 APE: Quarterly sheet - reported quarter 14.61 (tol 0.07)</t>
        </is>
      </c>
      <c r="B88" s="15" t="n"/>
      <c r="C88" s="15" t="n"/>
      <c r="D88" s="15" t="n"/>
      <c r="E88" s="16">
        <f>IF(Quarterly!G23="","n/a",Quarterly!G23-14.61)</f>
        <v/>
      </c>
      <c r="F88" s="17">
        <f>IF(E88="n/a","n/a",IF(ABS(E88)&lt;=0.0719,"OK","CHECK"))</f>
        <v/>
      </c>
    </row>
    <row r="89">
      <c r="A89" s="7" t="inlineStr">
        <is>
          <t>Q1FY24 RWRP: Quarterly sheet - reported quarter 10.61 (tol 0.07)</t>
        </is>
      </c>
      <c r="B89" s="15" t="n"/>
      <c r="C89" s="15" t="n"/>
      <c r="D89" s="15" t="n"/>
      <c r="E89" s="16">
        <f>IF(Quarterly!D23="","n/a",Quarterly!D23-10.61)</f>
        <v/>
      </c>
      <c r="F89" s="17">
        <f>IF(E89="n/a","n/a",IF(ABS(E89)&lt;=0.0659,"OK","CHECK"))</f>
        <v/>
      </c>
    </row>
    <row r="90">
      <c r="A90" s="7" t="inlineStr">
        <is>
          <t>Q1FY24 NB premium: Quarterly sheet - reported quarter 30.51 (tol 0.10)</t>
        </is>
      </c>
      <c r="B90" s="15" t="n"/>
      <c r="C90" s="15" t="n"/>
      <c r="D90" s="15" t="n"/>
      <c r="E90" s="16">
        <f>IF(Quarterly!M23="","n/a",Quarterly!M23-30.51)</f>
        <v/>
      </c>
      <c r="F90" s="17">
        <f>IF(E90="n/a","n/a",IF(ABS(E90)&lt;=0.0958,"OK","CHECK"))</f>
        <v/>
      </c>
    </row>
    <row r="91">
      <c r="A91" s="7" t="inlineStr">
        <is>
          <t>Q1FY24 NB sum assured: Quarterly sheet - reported quarter 2,403.04 (tol 3.65)</t>
        </is>
      </c>
      <c r="B91" s="15" t="n"/>
      <c r="C91" s="15" t="n"/>
      <c r="D91" s="15" t="n"/>
      <c r="E91" s="16">
        <f>IF(Quarterly!P23="","n/a",Quarterly!P23-2403.04)</f>
        <v/>
      </c>
      <c r="F91" s="17">
        <f>IF(E91="n/a","n/a",IF(ABS(E91)&lt;=3.6546,"OK","CHECK"))</f>
        <v/>
      </c>
    </row>
    <row r="92">
      <c r="A92" s="7" t="inlineStr">
        <is>
          <t>Q2FY24 APE: Quarterly sheet - reported quarter 20.62 (tol 0.08)</t>
        </is>
      </c>
      <c r="B92" s="15" t="n"/>
      <c r="C92" s="15" t="n"/>
      <c r="D92" s="15" t="n"/>
      <c r="E92" s="16">
        <f>IF(Quarterly!G24="","n/a",Quarterly!G24-20.62)</f>
        <v/>
      </c>
      <c r="F92" s="17">
        <f>IF(E92="n/a","n/a",IF(ABS(E92)&lt;=0.0809,"OK","CHECK"))</f>
        <v/>
      </c>
    </row>
    <row r="93">
      <c r="A93" s="7" t="inlineStr">
        <is>
          <t>Q2FY24 RWRP: Quarterly sheet - reported quarter 15.74 (tol 0.07)</t>
        </is>
      </c>
      <c r="B93" s="15" t="n"/>
      <c r="C93" s="15" t="n"/>
      <c r="D93" s="15" t="n"/>
      <c r="E93" s="16">
        <f>IF(Quarterly!D24="","n/a",Quarterly!D24-15.74)</f>
        <v/>
      </c>
      <c r="F93" s="17">
        <f>IF(E93="n/a","n/a",IF(ABS(E93)&lt;=0.0736,"OK","CHECK"))</f>
        <v/>
      </c>
    </row>
    <row r="94">
      <c r="A94" s="7" t="inlineStr">
        <is>
          <t>Q2FY24 NB premium: Quarterly sheet - reported quarter 43.59 (tol 0.12)</t>
        </is>
      </c>
      <c r="B94" s="15" t="n"/>
      <c r="C94" s="15" t="n"/>
      <c r="D94" s="15" t="n"/>
      <c r="E94" s="16">
        <f>IF(Quarterly!M24="","n/a",Quarterly!M24-43.59)</f>
        <v/>
      </c>
      <c r="F94" s="17">
        <f>IF(E94="n/a","n/a",IF(ABS(E94)&lt;=0.1154,"OK","CHECK"))</f>
        <v/>
      </c>
    </row>
    <row r="95">
      <c r="A95" s="7" t="inlineStr">
        <is>
          <t>Q2FY24 NB sum assured: Quarterly sheet - reported quarter 2,510.79 (tol 3.82)</t>
        </is>
      </c>
      <c r="B95" s="15" t="n"/>
      <c r="C95" s="15" t="n"/>
      <c r="D95" s="15" t="n"/>
      <c r="E95" s="16">
        <f>IF(Quarterly!P24="","n/a",Quarterly!P24-2510.79)</f>
        <v/>
      </c>
      <c r="F95" s="17">
        <f>IF(E95="n/a","n/a",IF(ABS(E95)&lt;=3.8162,"OK","CHECK"))</f>
        <v/>
      </c>
    </row>
    <row r="96">
      <c r="A96" s="7" t="inlineStr">
        <is>
          <t>Q3FY24 APE: Quarterly sheet - reported quarter 19.07 (tol 0.08)</t>
        </is>
      </c>
      <c r="B96" s="15" t="n"/>
      <c r="C96" s="15" t="n"/>
      <c r="D96" s="15" t="n"/>
      <c r="E96" s="16">
        <f>IF(Quarterly!G25="","n/a",Quarterly!G25-19.07)</f>
        <v/>
      </c>
      <c r="F96" s="17">
        <f>IF(E96="n/a","n/a",IF(ABS(E96)&lt;=0.0786,"OK","CHECK"))</f>
        <v/>
      </c>
    </row>
    <row r="97">
      <c r="A97" s="7" t="inlineStr">
        <is>
          <t>Q3FY24 RWRP: Quarterly sheet - reported quarter 15.79 (tol 0.07)</t>
        </is>
      </c>
      <c r="B97" s="15" t="n"/>
      <c r="C97" s="15" t="n"/>
      <c r="D97" s="15" t="n"/>
      <c r="E97" s="16">
        <f>IF(Quarterly!D25="","n/a",Quarterly!D25-15.79)</f>
        <v/>
      </c>
      <c r="F97" s="17">
        <f>IF(E97="n/a","n/a",IF(ABS(E97)&lt;=0.0737,"OK","CHECK"))</f>
        <v/>
      </c>
    </row>
    <row r="98">
      <c r="A98" s="7" t="inlineStr">
        <is>
          <t>Q3FY24 NB premium: Quarterly sheet - reported quarter 41.17 (tol 0.11)</t>
        </is>
      </c>
      <c r="B98" s="15" t="n"/>
      <c r="C98" s="15" t="n"/>
      <c r="D98" s="15" t="n"/>
      <c r="E98" s="16">
        <f>IF(Quarterly!M25="","n/a",Quarterly!M25-41.17)</f>
        <v/>
      </c>
      <c r="F98" s="17">
        <f>IF(E98="n/a","n/a",IF(ABS(E98)&lt;=0.1118,"OK","CHECK"))</f>
        <v/>
      </c>
    </row>
    <row r="99">
      <c r="A99" s="7" t="inlineStr">
        <is>
          <t>Q3FY24 NB sum assured: Quarterly sheet - reported quarter 2,314.66 (tol 3.52)</t>
        </is>
      </c>
      <c r="B99" s="15" t="n"/>
      <c r="C99" s="15" t="n"/>
      <c r="D99" s="15" t="n"/>
      <c r="E99" s="16">
        <f>IF(Quarterly!P25="","n/a",Quarterly!P25-2314.66)</f>
        <v/>
      </c>
      <c r="F99" s="17">
        <f>IF(E99="n/a","n/a",IF(ABS(E99)&lt;=3.5220,"OK","CHECK"))</f>
        <v/>
      </c>
    </row>
    <row r="100">
      <c r="A100" s="7" t="inlineStr">
        <is>
          <t>Q4FY24 APE: Quarterly sheet - reported quarter 36.15 (tol 0.10)</t>
        </is>
      </c>
      <c r="B100" s="15" t="n"/>
      <c r="C100" s="15" t="n"/>
      <c r="D100" s="15" t="n"/>
      <c r="E100" s="16">
        <f>IF(Quarterly!G26="","n/a",Quarterly!G26-36.15)</f>
        <v/>
      </c>
      <c r="F100" s="17">
        <f>IF(E100="n/a","n/a",IF(ABS(E100)&lt;=0.1042,"OK","CHECK"))</f>
        <v/>
      </c>
    </row>
    <row r="101">
      <c r="A101" s="7" t="inlineStr">
        <is>
          <t>Q4FY24 RWRP: Quarterly sheet - reported quarter 30.00 (tol 0.10)</t>
        </is>
      </c>
      <c r="B101" s="15" t="n"/>
      <c r="C101" s="15" t="n"/>
      <c r="D101" s="15" t="n"/>
      <c r="E101" s="16">
        <f>IF(Quarterly!D26="","n/a",Quarterly!D26-30.0)</f>
        <v/>
      </c>
      <c r="F101" s="17">
        <f>IF(E101="n/a","n/a",IF(ABS(E101)&lt;=0.0950,"OK","CHECK"))</f>
        <v/>
      </c>
    </row>
    <row r="102">
      <c r="A102" s="7" t="inlineStr">
        <is>
          <t>Q4FY24 NB premium: Quarterly sheet - reported quarter 65.53 (tol 0.15)</t>
        </is>
      </c>
      <c r="B102" s="15" t="n"/>
      <c r="C102" s="15" t="n"/>
      <c r="D102" s="15" t="n"/>
      <c r="E102" s="16">
        <f>IF(Quarterly!M26="","n/a",Quarterly!M26-65.53)</f>
        <v/>
      </c>
      <c r="F102" s="17">
        <f>IF(E102="n/a","n/a",IF(ABS(E102)&lt;=0.1483,"OK","CHECK"))</f>
        <v/>
      </c>
    </row>
    <row r="103">
      <c r="A103" s="7" t="inlineStr">
        <is>
          <t>Q4FY24 NB sum assured: Quarterly sheet - reported quarter 2,992.62 (tol 4.54)</t>
        </is>
      </c>
      <c r="B103" s="15" t="n"/>
      <c r="C103" s="15" t="n"/>
      <c r="D103" s="15" t="n"/>
      <c r="E103" s="16">
        <f>IF(Quarterly!P26="","n/a",Quarterly!P26-2992.62)</f>
        <v/>
      </c>
      <c r="F103" s="17">
        <f>IF(E103="n/a","n/a",IF(ABS(E103)&lt;=4.5389,"OK","CHECK"))</f>
        <v/>
      </c>
    </row>
    <row r="104">
      <c r="A104" s="7" t="inlineStr">
        <is>
          <t>Q1FY25 APE: Quarterly sheet - reported quarter 19.63 (tol 0.08)</t>
        </is>
      </c>
      <c r="B104" s="15" t="n"/>
      <c r="C104" s="15" t="n"/>
      <c r="D104" s="15" t="n"/>
      <c r="E104" s="16">
        <f>IF(Quarterly!G27="","n/a",Quarterly!G27-19.63)</f>
        <v/>
      </c>
      <c r="F104" s="17">
        <f>IF(E104="n/a","n/a",IF(ABS(E104)&lt;=0.0794,"OK","CHECK"))</f>
        <v/>
      </c>
    </row>
    <row r="105">
      <c r="A105" s="7" t="inlineStr">
        <is>
          <t>Q1FY25 RWRP: Quarterly sheet - reported quarter 15.58 (tol 0.07)</t>
        </is>
      </c>
      <c r="B105" s="15" t="n"/>
      <c r="C105" s="15" t="n"/>
      <c r="D105" s="15" t="n"/>
      <c r="E105" s="16">
        <f>IF(Quarterly!D27="","n/a",Quarterly!D27-15.58)</f>
        <v/>
      </c>
      <c r="F105" s="17">
        <f>IF(E105="n/a","n/a",IF(ABS(E105)&lt;=0.0734,"OK","CHECK"))</f>
        <v/>
      </c>
    </row>
    <row r="106">
      <c r="A106" s="7" t="inlineStr">
        <is>
          <t>Q1FY25 NB premium: Quarterly sheet - reported quarter 37.69 (tol 0.11)</t>
        </is>
      </c>
      <c r="B106" s="15" t="n"/>
      <c r="C106" s="15" t="n"/>
      <c r="D106" s="15" t="n"/>
      <c r="E106" s="16">
        <f>IF(Quarterly!M27="","n/a",Quarterly!M27-37.69)</f>
        <v/>
      </c>
      <c r="F106" s="17">
        <f>IF(E106="n/a","n/a",IF(ABS(E106)&lt;=0.1065,"OK","CHECK"))</f>
        <v/>
      </c>
    </row>
    <row r="107">
      <c r="A107" s="7" t="inlineStr">
        <is>
          <t>Q1FY25 NB sum assured: Quarterly sheet - reported quarter 2,724.68 (tol 4.14)</t>
        </is>
      </c>
      <c r="B107" s="15" t="n"/>
      <c r="C107" s="15" t="n"/>
      <c r="D107" s="15" t="n"/>
      <c r="E107" s="16">
        <f>IF(Quarterly!P27="","n/a",Quarterly!P27-2724.68)</f>
        <v/>
      </c>
      <c r="F107" s="17">
        <f>IF(E107="n/a","n/a",IF(ABS(E107)&lt;=4.1370,"OK","CHECK"))</f>
        <v/>
      </c>
    </row>
    <row r="108">
      <c r="A108" s="7" t="inlineStr">
        <is>
          <t>Q2FY25 APE: Quarterly sheet - reported quarter 25.03 (tol 0.09)</t>
        </is>
      </c>
      <c r="B108" s="15" t="n"/>
      <c r="C108" s="15" t="n"/>
      <c r="D108" s="15" t="n"/>
      <c r="E108" s="16">
        <f>IF(Quarterly!G28="","n/a",Quarterly!G28-25.03)</f>
        <v/>
      </c>
      <c r="F108" s="17">
        <f>IF(E108="n/a","n/a",IF(ABS(E108)&lt;=0.0875,"OK","CHECK"))</f>
        <v/>
      </c>
    </row>
    <row r="109">
      <c r="A109" s="7" t="inlineStr">
        <is>
          <t>Q2FY25 RWRP: Quarterly sheet - reported quarter 21.08 (tol 0.08)</t>
        </is>
      </c>
      <c r="B109" s="15" t="n"/>
      <c r="C109" s="15" t="n"/>
      <c r="D109" s="15" t="n"/>
      <c r="E109" s="16">
        <f>IF(Quarterly!D28="","n/a",Quarterly!D28-21.08)</f>
        <v/>
      </c>
      <c r="F109" s="17">
        <f>IF(E109="n/a","n/a",IF(ABS(E109)&lt;=0.0816,"OK","CHECK"))</f>
        <v/>
      </c>
    </row>
    <row r="110">
      <c r="A110" s="7" t="inlineStr">
        <is>
          <t>Q2FY25 NB premium: Quarterly sheet - reported quarter 49.29 (tol 0.12)</t>
        </is>
      </c>
      <c r="B110" s="15" t="n"/>
      <c r="C110" s="15" t="n"/>
      <c r="D110" s="15" t="n"/>
      <c r="E110" s="16">
        <f>IF(Quarterly!M28="","n/a",Quarterly!M28-49.29)</f>
        <v/>
      </c>
      <c r="F110" s="17">
        <f>IF(E110="n/a","n/a",IF(ABS(E110)&lt;=0.1239,"OK","CHECK"))</f>
        <v/>
      </c>
    </row>
    <row r="111">
      <c r="A111" s="7" t="inlineStr">
        <is>
          <t>Q2FY25 NB sum assured: Quarterly sheet - reported quarter 2,948.34 (tol 4.47)</t>
        </is>
      </c>
      <c r="B111" s="15" t="n"/>
      <c r="C111" s="15" t="n"/>
      <c r="D111" s="15" t="n"/>
      <c r="E111" s="16">
        <f>IF(Quarterly!P28="","n/a",Quarterly!P28-2948.34)</f>
        <v/>
      </c>
      <c r="F111" s="17">
        <f>IF(E111="n/a","n/a",IF(ABS(E111)&lt;=4.4725,"OK","CHECK"))</f>
        <v/>
      </c>
    </row>
    <row r="112">
      <c r="A112" s="7" t="inlineStr">
        <is>
          <t>Q3FY25 APE: Quarterly sheet - reported quarter 24.38 (tol 0.09)</t>
        </is>
      </c>
      <c r="B112" s="15" t="n"/>
      <c r="C112" s="15" t="n"/>
      <c r="D112" s="15" t="n"/>
      <c r="E112" s="16">
        <f>IF(Quarterly!G29="","n/a",Quarterly!G29-24.38)</f>
        <v/>
      </c>
      <c r="F112" s="17">
        <f>IF(E112="n/a","n/a",IF(ABS(E112)&lt;=0.0866,"OK","CHECK"))</f>
        <v/>
      </c>
    </row>
    <row r="113">
      <c r="A113" s="7" t="inlineStr">
        <is>
          <t>Q3FY25 RWRP: Quarterly sheet - reported quarter 18.70 (tol 0.08)</t>
        </is>
      </c>
      <c r="B113" s="15" t="n"/>
      <c r="C113" s="15" t="n"/>
      <c r="D113" s="15" t="n"/>
      <c r="E113" s="16">
        <f>IF(Quarterly!D29="","n/a",Quarterly!D29-18.7)</f>
        <v/>
      </c>
      <c r="F113" s="17">
        <f>IF(E113="n/a","n/a",IF(ABS(E113)&lt;=0.0781,"OK","CHECK"))</f>
        <v/>
      </c>
    </row>
    <row r="114">
      <c r="A114" s="7" t="inlineStr">
        <is>
          <t>Q3FY25 NB premium: Quarterly sheet - reported quarter 64.42 (tol 0.15)</t>
        </is>
      </c>
      <c r="B114" s="15" t="n"/>
      <c r="C114" s="15" t="n"/>
      <c r="D114" s="15" t="n"/>
      <c r="E114" s="16">
        <f>IF(Quarterly!M29="","n/a",Quarterly!M29-64.42)</f>
        <v/>
      </c>
      <c r="F114" s="17">
        <f>IF(E114="n/a","n/a",IF(ABS(E114)&lt;=0.1466,"OK","CHECK"))</f>
        <v/>
      </c>
    </row>
    <row r="115">
      <c r="A115" s="7" t="inlineStr">
        <is>
          <t>Q3FY25 NB sum assured: Quarterly sheet - reported quarter 2,933.38 (tol 4.45)</t>
        </is>
      </c>
      <c r="B115" s="15" t="n"/>
      <c r="C115" s="15" t="n"/>
      <c r="D115" s="15" t="n"/>
      <c r="E115" s="16">
        <f>IF(Quarterly!P29="","n/a",Quarterly!P29-2933.38)</f>
        <v/>
      </c>
      <c r="F115" s="17">
        <f>IF(E115="n/a","n/a",IF(ABS(E115)&lt;=4.4501,"OK","CHECK"))</f>
        <v/>
      </c>
    </row>
    <row r="116">
      <c r="A116" s="7" t="inlineStr">
        <is>
          <t>Q1FY26 APE: Quarterly sheet - reported quarter 18.64 (tol 0.08)</t>
        </is>
      </c>
      <c r="B116" s="15" t="n"/>
      <c r="C116" s="15" t="n"/>
      <c r="D116" s="15" t="n"/>
      <c r="E116" s="16">
        <f>IF(Quarterly!G31="","n/a",Quarterly!G31-18.64)</f>
        <v/>
      </c>
      <c r="F116" s="17">
        <f>IF(E116="n/a","n/a",IF(ABS(E116)&lt;=0.0780,"OK","CHECK"))</f>
        <v/>
      </c>
    </row>
    <row r="117">
      <c r="A117" s="7" t="inlineStr">
        <is>
          <t>Q1FY26 RWRP: Quarterly sheet - reported quarter 13.56 (tol 0.07)</t>
        </is>
      </c>
      <c r="B117" s="15" t="n"/>
      <c r="C117" s="15" t="n"/>
      <c r="D117" s="15" t="n"/>
      <c r="E117" s="16">
        <f>IF(Quarterly!D31="","n/a",Quarterly!D31-13.56)</f>
        <v/>
      </c>
      <c r="F117" s="17">
        <f>IF(E117="n/a","n/a",IF(ABS(E117)&lt;=0.0703,"OK","CHECK"))</f>
        <v/>
      </c>
    </row>
    <row r="118">
      <c r="A118" s="7" t="inlineStr">
        <is>
          <t>Q1FY26 NB premium: Quarterly sheet - reported quarter 40.12 (tol 0.11)</t>
        </is>
      </c>
      <c r="B118" s="15" t="n"/>
      <c r="C118" s="15" t="n"/>
      <c r="D118" s="15" t="n"/>
      <c r="E118" s="16">
        <f>IF(Quarterly!M31="","n/a",Quarterly!M31-40.12)</f>
        <v/>
      </c>
      <c r="F118" s="17">
        <f>IF(E118="n/a","n/a",IF(ABS(E118)&lt;=0.1102,"OK","CHECK"))</f>
        <v/>
      </c>
    </row>
    <row r="119">
      <c r="A119" s="7" t="inlineStr">
        <is>
          <t>Q1FY26 NB sum assured: Quarterly sheet - reported quarter 3,714.52 (tol 5.62)</t>
        </is>
      </c>
      <c r="B119" s="15" t="n"/>
      <c r="C119" s="15" t="n"/>
      <c r="D119" s="15" t="n"/>
      <c r="E119" s="16">
        <f>IF(Quarterly!P31="","n/a",Quarterly!P31-3714.52)</f>
        <v/>
      </c>
      <c r="F119" s="17">
        <f>IF(E119="n/a","n/a",IF(ABS(E119)&lt;=5.6218,"OK","CHECK"))</f>
        <v/>
      </c>
    </row>
    <row r="120">
      <c r="A120" s="7" t="inlineStr">
        <is>
          <t>Q2FY26 APE: Quarterly sheet - reported quarter 24.21 (tol 0.09)</t>
        </is>
      </c>
      <c r="B120" s="15" t="n"/>
      <c r="C120" s="15" t="n"/>
      <c r="D120" s="15" t="n"/>
      <c r="E120" s="16">
        <f>IF(Quarterly!G32="","n/a",Quarterly!G32-24.21)</f>
        <v/>
      </c>
      <c r="F120" s="17">
        <f>IF(E120="n/a","n/a",IF(ABS(E120)&lt;=0.0863,"OK","CHECK"))</f>
        <v/>
      </c>
    </row>
    <row r="121">
      <c r="A121" s="7" t="inlineStr">
        <is>
          <t>Q2FY26 RWRP: Quarterly sheet - reported quarter 19.28 (tol 0.08)</t>
        </is>
      </c>
      <c r="B121" s="15" t="n"/>
      <c r="C121" s="15" t="n"/>
      <c r="D121" s="15" t="n"/>
      <c r="E121" s="16">
        <f>IF(Quarterly!D32="","n/a",Quarterly!D32-19.28)</f>
        <v/>
      </c>
      <c r="F121" s="17">
        <f>IF(E121="n/a","n/a",IF(ABS(E121)&lt;=0.0789,"OK","CHECK"))</f>
        <v/>
      </c>
    </row>
    <row r="122">
      <c r="A122" s="7" t="inlineStr">
        <is>
          <t>Q2FY26 NB premium: Quarterly sheet - reported quarter 54.44 (tol 0.13)</t>
        </is>
      </c>
      <c r="B122" s="15" t="n"/>
      <c r="C122" s="15" t="n"/>
      <c r="D122" s="15" t="n"/>
      <c r="E122" s="16">
        <f>IF(Quarterly!M32="","n/a",Quarterly!M32-54.44)</f>
        <v/>
      </c>
      <c r="F122" s="17">
        <f>IF(E122="n/a","n/a",IF(ABS(E122)&lt;=0.1317,"OK","CHECK"))</f>
        <v/>
      </c>
    </row>
    <row r="123">
      <c r="A123" s="7" t="inlineStr">
        <is>
          <t>Q2FY26 NB sum assured: Quarterly sheet - reported quarter 3,056.19 (tol 4.63)</t>
        </is>
      </c>
      <c r="B123" s="15" t="n"/>
      <c r="C123" s="15" t="n"/>
      <c r="D123" s="15" t="n"/>
      <c r="E123" s="16">
        <f>IF(Quarterly!P32="","n/a",Quarterly!P32-3056.19)</f>
        <v/>
      </c>
      <c r="F123" s="17">
        <f>IF(E123="n/a","n/a",IF(ABS(E123)&lt;=4.6343,"OK","CHECK"))</f>
        <v/>
      </c>
    </row>
    <row r="124">
      <c r="A124" s="7" t="inlineStr">
        <is>
          <t>Q3FY26 APE: Quarterly sheet - reported quarter 25.25 (tol 0.09)</t>
        </is>
      </c>
      <c r="B124" s="15" t="n"/>
      <c r="C124" s="15" t="n"/>
      <c r="D124" s="15" t="n"/>
      <c r="E124" s="16">
        <f>IF(Quarterly!G33="","n/a",Quarterly!G33-25.25)</f>
        <v/>
      </c>
      <c r="F124" s="17">
        <f>IF(E124="n/a","n/a",IF(ABS(E124)&lt;=0.0879,"OK","CHECK"))</f>
        <v/>
      </c>
    </row>
    <row r="125">
      <c r="A125" s="7" t="inlineStr">
        <is>
          <t>Q3FY26 RWRP: Quarterly sheet - reported quarter 20.43 (tol 0.08)</t>
        </is>
      </c>
      <c r="B125" s="15" t="n"/>
      <c r="C125" s="15" t="n"/>
      <c r="D125" s="15" t="n"/>
      <c r="E125" s="16">
        <f>IF(Quarterly!D33="","n/a",Quarterly!D33-20.43)</f>
        <v/>
      </c>
      <c r="F125" s="17">
        <f>IF(E125="n/a","n/a",IF(ABS(E125)&lt;=0.0806,"OK","CHECK"))</f>
        <v/>
      </c>
    </row>
    <row r="126">
      <c r="A126" s="7" t="inlineStr">
        <is>
          <t>Q3FY26 NB premium: Quarterly sheet - reported quarter 56.34 (tol 0.13)</t>
        </is>
      </c>
      <c r="B126" s="15" t="n"/>
      <c r="C126" s="15" t="n"/>
      <c r="D126" s="15" t="n"/>
      <c r="E126" s="16">
        <f>IF(Quarterly!M33="","n/a",Quarterly!M33-56.34)</f>
        <v/>
      </c>
      <c r="F126" s="17">
        <f>IF(E126="n/a","n/a",IF(ABS(E126)&lt;=0.1345,"OK","CHECK"))</f>
        <v/>
      </c>
    </row>
    <row r="127">
      <c r="A127" s="7" t="inlineStr">
        <is>
          <t>Q3FY26 NB sum assured: Quarterly sheet - reported quarter 3,389.38 (tol 5.13)</t>
        </is>
      </c>
      <c r="B127" s="15" t="n"/>
      <c r="C127" s="15" t="n"/>
      <c r="D127" s="15" t="n"/>
      <c r="E127" s="16">
        <f>IF(Quarterly!P33="","n/a",Quarterly!P33-3389.38)</f>
        <v/>
      </c>
      <c r="F127" s="17">
        <f>IF(E127="n/a","n/a",IF(ABS(E127)&lt;=5.1341,"OK","CHECK"))</f>
        <v/>
      </c>
    </row>
    <row r="128">
      <c r="A128" s="7" t="inlineStr">
        <is>
          <t>Q1FY27 APE: Quarterly sheet - reported quarter 21.36 (tol 0.08)</t>
        </is>
      </c>
      <c r="B128" s="15" t="n"/>
      <c r="C128" s="15" t="n"/>
      <c r="D128" s="15" t="n"/>
      <c r="E128" s="16">
        <f>IF(Quarterly!G35="","n/a",Quarterly!G35-21.36)</f>
        <v/>
      </c>
      <c r="F128" s="17">
        <f>IF(E128="n/a","n/a",IF(ABS(E128)&lt;=0.0820,"OK","CHECK"))</f>
        <v/>
      </c>
    </row>
    <row r="129">
      <c r="A129" s="7" t="inlineStr">
        <is>
          <t>Q1FY27 RWRP: Quarterly sheet - reported quarter 15.38 (tol 0.07)</t>
        </is>
      </c>
      <c r="B129" s="15" t="n"/>
      <c r="C129" s="15" t="n"/>
      <c r="D129" s="15" t="n"/>
      <c r="E129" s="16">
        <f>IF(Quarterly!D35="","n/a",Quarterly!D35-15.38)</f>
        <v/>
      </c>
      <c r="F129" s="17">
        <f>IF(E129="n/a","n/a",IF(ABS(E129)&lt;=0.0731,"OK","CHECK"))</f>
        <v/>
      </c>
    </row>
    <row r="130">
      <c r="A130" s="7" t="inlineStr">
        <is>
          <t>Q1FY27 NB premium: Quarterly sheet - reported quarter 48.66 (tol 0.12)</t>
        </is>
      </c>
      <c r="B130" s="15" t="n"/>
      <c r="C130" s="15" t="n"/>
      <c r="D130" s="15" t="n"/>
      <c r="E130" s="16">
        <f>IF(Quarterly!M35="","n/a",Quarterly!M35-48.66)</f>
        <v/>
      </c>
      <c r="F130" s="17">
        <f>IF(E130="n/a","n/a",IF(ABS(E130)&lt;=0.1230,"OK","CHECK"))</f>
        <v/>
      </c>
    </row>
    <row r="131">
      <c r="A131" s="7" t="inlineStr">
        <is>
          <t>Q1FY27 NB sum assured: Quarterly sheet - reported quarter 4,896.65 (tol 7.39)</t>
        </is>
      </c>
      <c r="B131" s="15" t="n"/>
      <c r="C131" s="15" t="n"/>
      <c r="D131" s="15" t="n"/>
      <c r="E131" s="16">
        <f>IF(Quarterly!P35="","n/a",Quarterly!P35-4896.65)</f>
        <v/>
      </c>
      <c r="F131" s="17">
        <f>IF(E131="n/a","n/a",IF(ABS(E131)&lt;=7.3950,"OK","CHECK"))</f>
        <v/>
      </c>
    </row>
    <row r="132">
      <c r="A132" s="7" t="inlineStr">
        <is>
          <t>Prior-year cross-check: 1077 comparisons, rows with unexplained mismatch (must be 0)</t>
        </is>
      </c>
      <c r="B132" s="15" t="n"/>
      <c r="C132" s="15" t="n"/>
      <c r="D132" s="15" t="n"/>
      <c r="E132" s="16">
        <f>COUNTIF('Prior-Year Check'!L5:L1081,"CHECK")</f>
        <v/>
      </c>
      <c r="F132" s="17">
        <f>IF(E132=0,"OK","CHECK")</f>
        <v/>
      </c>
    </row>
    <row r="133">
      <c r="A133" s="7" t="inlineStr">
        <is>
          <t>Prior-year cross-check: mismatches explained by a later company revision</t>
        </is>
      </c>
      <c r="B133" s="15" t="n"/>
      <c r="C133" s="15" t="n"/>
      <c r="D133" s="15" t="n"/>
      <c r="E133" s="16">
        <f>COUNTIF('Prior-Year Check'!L5:L1081,"EXPLAINED")</f>
        <v/>
      </c>
      <c r="F133" s="17">
        <f>"INFO"</f>
        <v/>
      </c>
    </row>
    <row r="134">
      <c r="A134" s="7" t="inlineStr">
        <is>
          <t>Max |computed YoY - company-reported YoY| across 278 months (RWRP 2022-05)</t>
        </is>
      </c>
      <c r="B134" s="15" t="n"/>
      <c r="C134" s="15" t="n"/>
      <c r="D134" s="15" t="n"/>
      <c r="E134" s="16" t="n">
        <v>0.0028</v>
      </c>
      <c r="F134" s="17">
        <f>IF(E134&lt;=0.006,"OK","CHECK")</f>
        <v/>
      </c>
    </row>
    <row r="135">
      <c r="A135" s="7" t="inlineStr">
        <is>
          <t>Months where a later release restated an earlier figure</t>
        </is>
      </c>
      <c r="B135" s="15" t="n"/>
      <c r="C135" s="15" t="n"/>
      <c r="D135" s="15" t="n"/>
      <c r="E135" s="16" t="n">
        <v>1</v>
      </c>
      <c r="F135" s="17">
        <f>"INFO"</f>
        <v/>
      </c>
    </row>
    <row r="136">
      <c r="A136" s="7" t="inlineStr">
        <is>
          <t>Missing months (no release covers them, not derivable)</t>
        </is>
      </c>
      <c r="B136" s="15" t="n"/>
      <c r="C136" s="15" t="n"/>
      <c r="D136" s="15" t="n"/>
      <c r="E136" s="16" t="n">
        <v>0</v>
      </c>
      <c r="F136" s="17">
        <f>IF(E136=0,"OK","CHECK")</f>
        <v/>
      </c>
    </row>
    <row r="137">
      <c r="A137" s="7" t="inlineStr">
        <is>
          <t>Filings parsed / scanned</t>
        </is>
      </c>
      <c r="B137" s="15" t="n"/>
      <c r="C137" s="15" t="n"/>
      <c r="D137" s="15" t="n"/>
      <c r="E137" s="16" t="inlineStr">
        <is>
          <t>87 / 122</t>
        </is>
      </c>
      <c r="F137" s="17">
        <f>"INFO"</f>
        <v/>
      </c>
    </row>
    <row r="138">
      <c r="A138" s="7" t="inlineStr">
        <is>
          <t>Last data refresh</t>
        </is>
      </c>
      <c r="B138" s="15" t="n"/>
      <c r="C138" s="15" t="n"/>
      <c r="D138" s="15" t="n"/>
      <c r="E138" s="16" t="inlineStr">
        <is>
          <t>14-Oct-2026 10:18</t>
        </is>
      </c>
      <c r="F138" s="17">
        <f>"INFO"</f>
        <v/>
      </c>
    </row>
    <row r="139">
      <c r="A139" s="18" t="inlineStr">
        <is>
          <t>Overall</t>
        </is>
      </c>
      <c r="F139" s="18">
        <f>IF(COUNTIF(F11:F138,"CHECK")=0,"ALL OK","CHECK")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ICICI Pru Life - monthly business update charts (data: Monthly / FY Totals sheets)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6" customWidth="1" min="18" max="18"/>
  </cols>
  <sheetData>
    <row r="1">
      <c r="A1" s="1" t="inlineStr">
        <is>
          <t>ICICI Pru Life - monthly business performance update (BSE 540133), INR Bn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>
      <c r="A2" s="19" t="inlineStr">
        <is>
          <t>Black = company-reported   |   purple italic = March derived (FY total - 11M cumulative, live formula off FY Totals)   |   grey italic YoY = company-reported YoY for months with no prior-year row</t>
        </is>
      </c>
    </row>
    <row r="4" ht="42" customHeight="1">
      <c r="A4" s="3" t="inlineStr">
        <is>
          <t>Month</t>
        </is>
      </c>
      <c r="B4" s="3" t="inlineStr">
        <is>
          <t>Fiscal Year</t>
        </is>
      </c>
      <c r="C4" s="20" t="inlineStr">
        <is>
          <t>RWRP (INR Bn)</t>
        </is>
      </c>
      <c r="D4" s="21" t="inlineStr">
        <is>
          <t>RWRP YoY</t>
        </is>
      </c>
      <c r="E4" s="21" t="inlineStr">
        <is>
          <t>RWRP MoM</t>
        </is>
      </c>
      <c r="F4" s="22" t="inlineStr">
        <is>
          <t>APE (INR Bn)</t>
        </is>
      </c>
      <c r="G4" s="23" t="inlineStr">
        <is>
          <t>APE YoY</t>
        </is>
      </c>
      <c r="H4" s="23" t="inlineStr">
        <is>
          <t>APE MoM</t>
        </is>
      </c>
      <c r="I4" s="24" t="inlineStr">
        <is>
          <t>Retail APE (INR Bn)</t>
        </is>
      </c>
      <c r="J4" s="25" t="inlineStr">
        <is>
          <t>Retail APE YoY</t>
        </is>
      </c>
      <c r="K4" s="25" t="inlineStr">
        <is>
          <t>Retail APE MoM</t>
        </is>
      </c>
      <c r="L4" s="26" t="inlineStr">
        <is>
          <t>NB Premium (INR Bn)</t>
        </is>
      </c>
      <c r="M4" s="27" t="inlineStr">
        <is>
          <t>NB Premium YoY</t>
        </is>
      </c>
      <c r="N4" s="27" t="inlineStr">
        <is>
          <t>NB Premium MoM</t>
        </is>
      </c>
      <c r="O4" s="28" t="inlineStr">
        <is>
          <t>NB Sum Assured (INR Bn)</t>
        </is>
      </c>
      <c r="P4" s="29" t="inlineStr">
        <is>
          <t>NB Sum Assured YoY</t>
        </is>
      </c>
      <c r="Q4" s="29" t="inlineStr">
        <is>
          <t>NB Sum Assured MoM</t>
        </is>
      </c>
      <c r="R4" s="3" t="inlineStr">
        <is>
          <t>Latest Release (BSE filing date)</t>
        </is>
      </c>
    </row>
    <row r="5">
      <c r="A5" s="6" t="n">
        <v>43374</v>
      </c>
      <c r="B5" s="7" t="inlineStr">
        <is>
          <t>FY2019</t>
        </is>
      </c>
      <c r="C5" s="30" t="n">
        <v>4.69</v>
      </c>
      <c r="D5" s="31" t="n">
        <v>-0.172</v>
      </c>
      <c r="E5" s="32" t="n"/>
      <c r="F5" s="30" t="n">
        <v>5.09</v>
      </c>
      <c r="G5" s="31" t="n">
        <v>-0.118</v>
      </c>
      <c r="H5" s="32" t="n"/>
      <c r="I5" s="30" t="n"/>
      <c r="J5" s="32" t="n"/>
      <c r="K5" s="32" t="n"/>
      <c r="L5" s="30" t="n"/>
      <c r="M5" s="32" t="n"/>
      <c r="N5" s="32" t="n"/>
      <c r="O5" s="30" t="n"/>
      <c r="P5" s="32" t="n"/>
      <c r="Q5" s="32" t="n"/>
      <c r="R5" s="33" t="n">
        <v>43472</v>
      </c>
    </row>
    <row r="6">
      <c r="A6" s="6" t="n">
        <v>43405</v>
      </c>
      <c r="B6" s="7" t="inlineStr">
        <is>
          <t>FY2019</t>
        </is>
      </c>
      <c r="C6" s="30" t="n">
        <v>5.11</v>
      </c>
      <c r="D6" s="31" t="n">
        <v>-0.239</v>
      </c>
      <c r="E6" s="32">
        <f>IFERROR(IF(OR(C6="",C5=""),"",C6/C5-1),"")</f>
        <v/>
      </c>
      <c r="F6" s="30" t="n">
        <v>6.87</v>
      </c>
      <c r="G6" s="31" t="n">
        <v>0.003</v>
      </c>
      <c r="H6" s="32">
        <f>IFERROR(IF(OR(F6="",F5=""),"",F6/F5-1),"")</f>
        <v/>
      </c>
      <c r="I6" s="30" t="n"/>
      <c r="J6" s="32" t="n"/>
      <c r="K6" s="32">
        <f>IFERROR(IF(OR(I6="",I5=""),"",I6/I5-1),"")</f>
        <v/>
      </c>
      <c r="L6" s="30" t="n"/>
      <c r="M6" s="32" t="n"/>
      <c r="N6" s="32">
        <f>IFERROR(IF(OR(L6="",L5=""),"",L6/L5-1),"")</f>
        <v/>
      </c>
      <c r="O6" s="30" t="n"/>
      <c r="P6" s="32" t="n"/>
      <c r="Q6" s="32">
        <f>IFERROR(IF(OR(O6="",O5=""),"",O6/O5-1),"")</f>
        <v/>
      </c>
      <c r="R6" s="33" t="n">
        <v>43472</v>
      </c>
    </row>
    <row r="7">
      <c r="A7" s="6" t="n">
        <v>43435</v>
      </c>
      <c r="B7" s="7" t="inlineStr">
        <is>
          <t>FY2019</t>
        </is>
      </c>
      <c r="C7" s="30" t="n">
        <v>6.88</v>
      </c>
      <c r="D7" s="31" t="n">
        <v>-0.047</v>
      </c>
      <c r="E7" s="32">
        <f>IFERROR(IF(OR(C7="",C6=""),"",C7/C6-1),"")</f>
        <v/>
      </c>
      <c r="F7" s="30" t="n">
        <v>7.66</v>
      </c>
      <c r="G7" s="31" t="n">
        <v>0.03</v>
      </c>
      <c r="H7" s="32">
        <f>IFERROR(IF(OR(F7="",F6=""),"",F7/F6-1),"")</f>
        <v/>
      </c>
      <c r="I7" s="30" t="n"/>
      <c r="J7" s="32" t="n"/>
      <c r="K7" s="32">
        <f>IFERROR(IF(OR(I7="",I6=""),"",I7/I6-1),"")</f>
        <v/>
      </c>
      <c r="L7" s="30" t="n"/>
      <c r="M7" s="32" t="n"/>
      <c r="N7" s="32">
        <f>IFERROR(IF(OR(L7="",L6=""),"",L7/L6-1),"")</f>
        <v/>
      </c>
      <c r="O7" s="30" t="n"/>
      <c r="P7" s="32" t="n"/>
      <c r="Q7" s="32">
        <f>IFERROR(IF(OR(O7="",O6=""),"",O7/O6-1),"")</f>
        <v/>
      </c>
      <c r="R7" s="33" t="n">
        <v>43472</v>
      </c>
    </row>
    <row r="8">
      <c r="A8" s="6" t="n">
        <v>43466</v>
      </c>
      <c r="B8" s="7" t="inlineStr">
        <is>
          <t>FY2019</t>
        </is>
      </c>
      <c r="C8" s="30" t="n">
        <v>6.54</v>
      </c>
      <c r="D8" s="31" t="n">
        <v>0.08900000000000001</v>
      </c>
      <c r="E8" s="32">
        <f>IFERROR(IF(OR(C8="",C7=""),"",C8/C7-1),"")</f>
        <v/>
      </c>
      <c r="F8" s="30" t="n">
        <v>7.17</v>
      </c>
      <c r="G8" s="31" t="n">
        <v>0.16</v>
      </c>
      <c r="H8" s="32">
        <f>IFERROR(IF(OR(F8="",F7=""),"",F8/F7-1),"")</f>
        <v/>
      </c>
      <c r="I8" s="30" t="n"/>
      <c r="J8" s="32" t="n"/>
      <c r="K8" s="32">
        <f>IFERROR(IF(OR(I8="",I7=""),"",I8/I7-1),"")</f>
        <v/>
      </c>
      <c r="L8" s="30" t="n"/>
      <c r="M8" s="32" t="n"/>
      <c r="N8" s="32">
        <f>IFERROR(IF(OR(L8="",L7=""),"",L8/L7-1),"")</f>
        <v/>
      </c>
      <c r="O8" s="30" t="n"/>
      <c r="P8" s="32" t="n"/>
      <c r="Q8" s="32">
        <f>IFERROR(IF(OR(O8="",O7=""),"",O8/O7-1),"")</f>
        <v/>
      </c>
      <c r="R8" s="33" t="n">
        <v>43572</v>
      </c>
    </row>
    <row r="9">
      <c r="A9" s="6" t="n">
        <v>43497</v>
      </c>
      <c r="B9" s="7" t="inlineStr">
        <is>
          <t>FY2019</t>
        </is>
      </c>
      <c r="C9" s="30" t="n">
        <v>6.88</v>
      </c>
      <c r="D9" s="31" t="n">
        <v>0.08400000000000001</v>
      </c>
      <c r="E9" s="32">
        <f>IFERROR(IF(OR(C9="",C8=""),"",C9/C8-1),"")</f>
        <v/>
      </c>
      <c r="F9" s="30" t="n">
        <v>7.48</v>
      </c>
      <c r="G9" s="31" t="n">
        <v>0.145</v>
      </c>
      <c r="H9" s="32">
        <f>IFERROR(IF(OR(F9="",F8=""),"",F9/F8-1),"")</f>
        <v/>
      </c>
      <c r="I9" s="30" t="n"/>
      <c r="J9" s="32" t="n"/>
      <c r="K9" s="32">
        <f>IFERROR(IF(OR(I9="",I8=""),"",I9/I8-1),"")</f>
        <v/>
      </c>
      <c r="L9" s="30" t="n"/>
      <c r="M9" s="32" t="n"/>
      <c r="N9" s="32">
        <f>IFERROR(IF(OR(L9="",L8=""),"",L9/L8-1),"")</f>
        <v/>
      </c>
      <c r="O9" s="30" t="n"/>
      <c r="P9" s="32" t="n"/>
      <c r="Q9" s="32">
        <f>IFERROR(IF(OR(O9="",O8=""),"",O9/O8-1),"")</f>
        <v/>
      </c>
      <c r="R9" s="33" t="n">
        <v>43572</v>
      </c>
    </row>
    <row r="10">
      <c r="A10" s="6" t="n">
        <v>43525</v>
      </c>
      <c r="B10" s="7" t="inlineStr">
        <is>
          <t>FY2019</t>
        </is>
      </c>
      <c r="C10" s="30" t="n">
        <v>9.369999999999999</v>
      </c>
      <c r="D10" s="31" t="n">
        <v>0.137</v>
      </c>
      <c r="E10" s="32">
        <f>IFERROR(IF(OR(C10="",C9=""),"",C10/C9-1),"")</f>
        <v/>
      </c>
      <c r="F10" s="30" t="n">
        <v>9.922000000000001</v>
      </c>
      <c r="G10" s="32" t="n"/>
      <c r="H10" s="32">
        <f>IFERROR(IF(OR(F10="",F9=""),"",F10/F9-1),"")</f>
        <v/>
      </c>
      <c r="I10" s="30" t="n"/>
      <c r="J10" s="32" t="n"/>
      <c r="K10" s="32">
        <f>IFERROR(IF(OR(I10="",I9=""),"",I10/I9-1),"")</f>
        <v/>
      </c>
      <c r="L10" s="30" t="n"/>
      <c r="M10" s="32" t="n"/>
      <c r="N10" s="32">
        <f>IFERROR(IF(OR(L10="",L9=""),"",L10/L9-1),"")</f>
        <v/>
      </c>
      <c r="O10" s="30" t="n"/>
      <c r="P10" s="32" t="n"/>
      <c r="Q10" s="32">
        <f>IFERROR(IF(OR(O10="",O9=""),"",O10/O9-1),"")</f>
        <v/>
      </c>
      <c r="R10" s="33" t="n">
        <v>43572</v>
      </c>
    </row>
    <row r="11">
      <c r="A11" s="6" t="n">
        <v>43556</v>
      </c>
      <c r="B11" s="7" t="inlineStr">
        <is>
          <t>FY2020</t>
        </is>
      </c>
      <c r="C11" s="30" t="n">
        <v>3.46</v>
      </c>
      <c r="D11" s="31" t="n">
        <v>0.02</v>
      </c>
      <c r="E11" s="32">
        <f>IFERROR(IF(OR(C11="",C10=""),"",C11/C10-1),"")</f>
        <v/>
      </c>
      <c r="F11" s="30" t="n">
        <v>4.13</v>
      </c>
      <c r="G11" s="31" t="n">
        <v>0.09</v>
      </c>
      <c r="H11" s="32">
        <f>IFERROR(IF(OR(F11="",F10=""),"",F11/F10-1),"")</f>
        <v/>
      </c>
      <c r="I11" s="30" t="n"/>
      <c r="J11" s="32" t="n"/>
      <c r="K11" s="32">
        <f>IFERROR(IF(OR(I11="",I10=""),"",I11/I10-1),"")</f>
        <v/>
      </c>
      <c r="L11" s="30" t="n"/>
      <c r="M11" s="32" t="n"/>
      <c r="N11" s="32">
        <f>IFERROR(IF(OR(L11="",L10=""),"",L11/L10-1),"")</f>
        <v/>
      </c>
      <c r="O11" s="30" t="n"/>
      <c r="P11" s="32" t="n"/>
      <c r="Q11" s="32">
        <f>IFERROR(IF(OR(O11="",O10=""),"",O11/O10-1),"")</f>
        <v/>
      </c>
      <c r="R11" s="33" t="n">
        <v>43651</v>
      </c>
    </row>
    <row r="12">
      <c r="A12" s="6" t="n">
        <v>43586</v>
      </c>
      <c r="B12" s="7" t="inlineStr">
        <is>
          <t>FY2020</t>
        </is>
      </c>
      <c r="C12" s="30" t="n">
        <v>4.03</v>
      </c>
      <c r="D12" s="31" t="n">
        <v>0.008</v>
      </c>
      <c r="E12" s="32">
        <f>IFERROR(IF(OR(C12="",C11=""),"",C12/C11-1),"")</f>
        <v/>
      </c>
      <c r="F12" s="30" t="n">
        <v>4.57</v>
      </c>
      <c r="G12" s="31" t="n">
        <v>0.051</v>
      </c>
      <c r="H12" s="32">
        <f>IFERROR(IF(OR(F12="",F11=""),"",F12/F11-1),"")</f>
        <v/>
      </c>
      <c r="I12" s="30" t="n"/>
      <c r="J12" s="32" t="n"/>
      <c r="K12" s="32">
        <f>IFERROR(IF(OR(I12="",I11=""),"",I12/I11-1),"")</f>
        <v/>
      </c>
      <c r="L12" s="30" t="n"/>
      <c r="M12" s="32" t="n"/>
      <c r="N12" s="32">
        <f>IFERROR(IF(OR(L12="",L11=""),"",L12/L11-1),"")</f>
        <v/>
      </c>
      <c r="O12" s="30" t="n"/>
      <c r="P12" s="32" t="n"/>
      <c r="Q12" s="32">
        <f>IFERROR(IF(OR(O12="",O11=""),"",O12/O11-1),"")</f>
        <v/>
      </c>
      <c r="R12" s="33" t="n">
        <v>43651</v>
      </c>
    </row>
    <row r="13">
      <c r="A13" s="6" t="n">
        <v>43617</v>
      </c>
      <c r="B13" s="7" t="inlineStr">
        <is>
          <t>FY2020</t>
        </is>
      </c>
      <c r="C13" s="30" t="n">
        <v>5.47</v>
      </c>
      <c r="D13" s="31" t="n">
        <v>0.006</v>
      </c>
      <c r="E13" s="32">
        <f>IFERROR(IF(OR(C13="",C12=""),"",C13/C12-1),"")</f>
        <v/>
      </c>
      <c r="F13" s="30" t="n">
        <v>5.99</v>
      </c>
      <c r="G13" s="31" t="n">
        <v>0.029</v>
      </c>
      <c r="H13" s="32">
        <f>IFERROR(IF(OR(F13="",F12=""),"",F13/F12-1),"")</f>
        <v/>
      </c>
      <c r="I13" s="30" t="n"/>
      <c r="J13" s="32" t="n"/>
      <c r="K13" s="32">
        <f>IFERROR(IF(OR(I13="",I12=""),"",I13/I12-1),"")</f>
        <v/>
      </c>
      <c r="L13" s="30" t="n"/>
      <c r="M13" s="32" t="n"/>
      <c r="N13" s="32">
        <f>IFERROR(IF(OR(L13="",L12=""),"",L13/L12-1),"")</f>
        <v/>
      </c>
      <c r="O13" s="30" t="n"/>
      <c r="P13" s="32" t="n"/>
      <c r="Q13" s="32">
        <f>IFERROR(IF(OR(O13="",O12=""),"",O13/O12-1),"")</f>
        <v/>
      </c>
      <c r="R13" s="33" t="n">
        <v>43651</v>
      </c>
    </row>
    <row r="14">
      <c r="A14" s="6" t="n">
        <v>43647</v>
      </c>
      <c r="B14" s="7" t="inlineStr">
        <is>
          <t>FY2020</t>
        </is>
      </c>
      <c r="C14" s="30" t="n">
        <v>5.99</v>
      </c>
      <c r="D14" s="31" t="n">
        <v>-0.013</v>
      </c>
      <c r="E14" s="32">
        <f>IFERROR(IF(OR(C14="",C13=""),"",C14/C13-1),"")</f>
        <v/>
      </c>
      <c r="F14" s="30" t="n">
        <v>6.46</v>
      </c>
      <c r="G14" s="31" t="n">
        <v>0.009000000000000001</v>
      </c>
      <c r="H14" s="32">
        <f>IFERROR(IF(OR(F14="",F13=""),"",F14/F13-1),"")</f>
        <v/>
      </c>
      <c r="I14" s="30" t="n"/>
      <c r="J14" s="32" t="n"/>
      <c r="K14" s="32">
        <f>IFERROR(IF(OR(I14="",I13=""),"",I14/I13-1),"")</f>
        <v/>
      </c>
      <c r="L14" s="30" t="n"/>
      <c r="M14" s="32" t="n"/>
      <c r="N14" s="32">
        <f>IFERROR(IF(OR(L14="",L13=""),"",L14/L13-1),"")</f>
        <v/>
      </c>
      <c r="O14" s="30" t="n"/>
      <c r="P14" s="32" t="n"/>
      <c r="Q14" s="32">
        <f>IFERROR(IF(OR(O14="",O13=""),"",O14/O13-1),"")</f>
        <v/>
      </c>
      <c r="R14" s="33" t="n">
        <v>43749</v>
      </c>
    </row>
    <row r="15">
      <c r="A15" s="6" t="n">
        <v>43678</v>
      </c>
      <c r="B15" s="7" t="inlineStr">
        <is>
          <t>FY2020</t>
        </is>
      </c>
      <c r="C15" s="30" t="n">
        <v>5.73</v>
      </c>
      <c r="D15" s="31" t="n">
        <v>-0.101</v>
      </c>
      <c r="E15" s="32">
        <f>IFERROR(IF(OR(C15="",C14=""),"",C15/C14-1),"")</f>
        <v/>
      </c>
      <c r="F15" s="30" t="n">
        <v>6.28</v>
      </c>
      <c r="G15" s="31" t="n">
        <v>-0.078</v>
      </c>
      <c r="H15" s="32">
        <f>IFERROR(IF(OR(F15="",F14=""),"",F15/F14-1),"")</f>
        <v/>
      </c>
      <c r="I15" s="30" t="n"/>
      <c r="J15" s="32" t="n"/>
      <c r="K15" s="32">
        <f>IFERROR(IF(OR(I15="",I14=""),"",I15/I14-1),"")</f>
        <v/>
      </c>
      <c r="L15" s="30" t="n"/>
      <c r="M15" s="32" t="n"/>
      <c r="N15" s="32">
        <f>IFERROR(IF(OR(L15="",L14=""),"",L15/L14-1),"")</f>
        <v/>
      </c>
      <c r="O15" s="30" t="n"/>
      <c r="P15" s="32" t="n"/>
      <c r="Q15" s="32">
        <f>IFERROR(IF(OR(O15="",O14=""),"",O15/O14-1),"")</f>
        <v/>
      </c>
      <c r="R15" s="33" t="n">
        <v>43749</v>
      </c>
    </row>
    <row r="16">
      <c r="A16" s="6" t="n">
        <v>43709</v>
      </c>
      <c r="B16" s="7" t="inlineStr">
        <is>
          <t>FY2020</t>
        </is>
      </c>
      <c r="C16" s="30" t="n">
        <v>5.81</v>
      </c>
      <c r="D16" s="31" t="n">
        <v>-0.066</v>
      </c>
      <c r="E16" s="32">
        <f>IFERROR(IF(OR(C16="",C15=""),"",C16/C15-1),"")</f>
        <v/>
      </c>
      <c r="F16" s="30" t="n">
        <v>6.25</v>
      </c>
      <c r="G16" s="31" t="n">
        <v>-0.057</v>
      </c>
      <c r="H16" s="32">
        <f>IFERROR(IF(OR(F16="",F15=""),"",F16/F15-1),"")</f>
        <v/>
      </c>
      <c r="I16" s="30" t="n"/>
      <c r="J16" s="32" t="n"/>
      <c r="K16" s="32">
        <f>IFERROR(IF(OR(I16="",I15=""),"",I16/I15-1),"")</f>
        <v/>
      </c>
      <c r="L16" s="30" t="n"/>
      <c r="M16" s="32" t="n"/>
      <c r="N16" s="32">
        <f>IFERROR(IF(OR(L16="",L15=""),"",L16/L15-1),"")</f>
        <v/>
      </c>
      <c r="O16" s="30" t="n"/>
      <c r="P16" s="32" t="n"/>
      <c r="Q16" s="32">
        <f>IFERROR(IF(OR(O16="",O15=""),"",O16/O15-1),"")</f>
        <v/>
      </c>
      <c r="R16" s="33" t="n">
        <v>43749</v>
      </c>
    </row>
    <row r="17">
      <c r="A17" s="6" t="n">
        <v>43739</v>
      </c>
      <c r="B17" s="7" t="inlineStr">
        <is>
          <t>FY2020</t>
        </is>
      </c>
      <c r="C17" s="30" t="n">
        <v>5.53</v>
      </c>
      <c r="D17" s="32">
        <f>IFERROR(IF(OR(C17="",C5=""),"",C17/C5-1),"")</f>
        <v/>
      </c>
      <c r="E17" s="32">
        <f>IFERROR(IF(OR(C17="",C16=""),"",C17/C16-1),"")</f>
        <v/>
      </c>
      <c r="F17" s="30" t="n">
        <v>5.9</v>
      </c>
      <c r="G17" s="32">
        <f>IFERROR(IF(OR(F17="",F5=""),"",F17/F5-1),"")</f>
        <v/>
      </c>
      <c r="H17" s="32">
        <f>IFERROR(IF(OR(F17="",F16=""),"",F17/F16-1),"")</f>
        <v/>
      </c>
      <c r="I17" s="30" t="n"/>
      <c r="J17" s="32">
        <f>IFERROR(IF(OR(I17="",I5=""),"",I17/I5-1),"")</f>
        <v/>
      </c>
      <c r="K17" s="32">
        <f>IFERROR(IF(OR(I17="",I16=""),"",I17/I16-1),"")</f>
        <v/>
      </c>
      <c r="L17" s="30" t="n"/>
      <c r="M17" s="32">
        <f>IFERROR(IF(OR(L17="",L5=""),"",L17/L5-1),"")</f>
        <v/>
      </c>
      <c r="N17" s="32">
        <f>IFERROR(IF(OR(L17="",L16=""),"",L17/L16-1),"")</f>
        <v/>
      </c>
      <c r="O17" s="30" t="n"/>
      <c r="P17" s="32">
        <f>IFERROR(IF(OR(O17="",O5=""),"",O17/O5-1),"")</f>
        <v/>
      </c>
      <c r="Q17" s="32">
        <f>IFERROR(IF(OR(O17="",O16=""),"",O17/O16-1),"")</f>
        <v/>
      </c>
      <c r="R17" s="33" t="n">
        <v>43840</v>
      </c>
    </row>
    <row r="18">
      <c r="A18" s="6" t="n">
        <v>43770</v>
      </c>
      <c r="B18" s="7" t="inlineStr">
        <is>
          <t>FY2020</t>
        </is>
      </c>
      <c r="C18" s="30" t="n">
        <v>6.11</v>
      </c>
      <c r="D18" s="32">
        <f>IFERROR(IF(OR(C18="",C6=""),"",C18/C6-1),"")</f>
        <v/>
      </c>
      <c r="E18" s="32">
        <f>IFERROR(IF(OR(C18="",C17=""),"",C18/C17-1),"")</f>
        <v/>
      </c>
      <c r="F18" s="30" t="n">
        <v>6.54</v>
      </c>
      <c r="G18" s="32">
        <f>IFERROR(IF(OR(F18="",F6=""),"",F18/F6-1),"")</f>
        <v/>
      </c>
      <c r="H18" s="32">
        <f>IFERROR(IF(OR(F18="",F17=""),"",F18/F17-1),"")</f>
        <v/>
      </c>
      <c r="I18" s="30" t="n"/>
      <c r="J18" s="32">
        <f>IFERROR(IF(OR(I18="",I6=""),"",I18/I6-1),"")</f>
        <v/>
      </c>
      <c r="K18" s="32">
        <f>IFERROR(IF(OR(I18="",I17=""),"",I18/I17-1),"")</f>
        <v/>
      </c>
      <c r="L18" s="30" t="n"/>
      <c r="M18" s="32">
        <f>IFERROR(IF(OR(L18="",L6=""),"",L18/L6-1),"")</f>
        <v/>
      </c>
      <c r="N18" s="32">
        <f>IFERROR(IF(OR(L18="",L17=""),"",L18/L17-1),"")</f>
        <v/>
      </c>
      <c r="O18" s="30" t="n"/>
      <c r="P18" s="32">
        <f>IFERROR(IF(OR(O18="",O6=""),"",O18/O6-1),"")</f>
        <v/>
      </c>
      <c r="Q18" s="32">
        <f>IFERROR(IF(OR(O18="",O17=""),"",O18/O17-1),"")</f>
        <v/>
      </c>
      <c r="R18" s="33" t="n">
        <v>43840</v>
      </c>
    </row>
    <row r="19">
      <c r="A19" s="6" t="n">
        <v>43800</v>
      </c>
      <c r="B19" s="7" t="inlineStr">
        <is>
          <t>FY2020</t>
        </is>
      </c>
      <c r="C19" s="30" t="n">
        <v>7.42</v>
      </c>
      <c r="D19" s="32">
        <f>IFERROR(IF(OR(C19="",C7=""),"",C19/C7-1),"")</f>
        <v/>
      </c>
      <c r="E19" s="32">
        <f>IFERROR(IF(OR(C19="",C18=""),"",C19/C18-1),"")</f>
        <v/>
      </c>
      <c r="F19" s="30" t="n">
        <v>7.94</v>
      </c>
      <c r="G19" s="32">
        <f>IFERROR(IF(OR(F19="",F7=""),"",F19/F7-1),"")</f>
        <v/>
      </c>
      <c r="H19" s="32">
        <f>IFERROR(IF(OR(F19="",F18=""),"",F19/F18-1),"")</f>
        <v/>
      </c>
      <c r="I19" s="30" t="n"/>
      <c r="J19" s="32">
        <f>IFERROR(IF(OR(I19="",I7=""),"",I19/I7-1),"")</f>
        <v/>
      </c>
      <c r="K19" s="32">
        <f>IFERROR(IF(OR(I19="",I18=""),"",I19/I18-1),"")</f>
        <v/>
      </c>
      <c r="L19" s="30" t="n"/>
      <c r="M19" s="32">
        <f>IFERROR(IF(OR(L19="",L7=""),"",L19/L7-1),"")</f>
        <v/>
      </c>
      <c r="N19" s="32">
        <f>IFERROR(IF(OR(L19="",L18=""),"",L19/L18-1),"")</f>
        <v/>
      </c>
      <c r="O19" s="30" t="n"/>
      <c r="P19" s="32">
        <f>IFERROR(IF(OR(O19="",O7=""),"",O19/O7-1),"")</f>
        <v/>
      </c>
      <c r="Q19" s="32">
        <f>IFERROR(IF(OR(O19="",O18=""),"",O19/O18-1),"")</f>
        <v/>
      </c>
      <c r="R19" s="33" t="n">
        <v>43840</v>
      </c>
    </row>
    <row r="20">
      <c r="A20" s="6" t="n">
        <v>43831</v>
      </c>
      <c r="B20" s="7" t="inlineStr">
        <is>
          <t>FY2020</t>
        </is>
      </c>
      <c r="C20" s="30" t="n">
        <v>6.22</v>
      </c>
      <c r="D20" s="32">
        <f>IFERROR(IF(OR(C20="",C8=""),"",C20/C8-1),"")</f>
        <v/>
      </c>
      <c r="E20" s="32">
        <f>IFERROR(IF(OR(C20="",C19=""),"",C20/C19-1),"")</f>
        <v/>
      </c>
      <c r="F20" s="30" t="n">
        <v>6.91</v>
      </c>
      <c r="G20" s="32">
        <f>IFERROR(IF(OR(F20="",F8=""),"",F20/F8-1),"")</f>
        <v/>
      </c>
      <c r="H20" s="32">
        <f>IFERROR(IF(OR(F20="",F19=""),"",F20/F19-1),"")</f>
        <v/>
      </c>
      <c r="I20" s="30" t="n"/>
      <c r="J20" s="32">
        <f>IFERROR(IF(OR(I20="",I8=""),"",I20/I8-1),"")</f>
        <v/>
      </c>
      <c r="K20" s="32">
        <f>IFERROR(IF(OR(I20="",I19=""),"",I20/I19-1),"")</f>
        <v/>
      </c>
      <c r="L20" s="30" t="n"/>
      <c r="M20" s="32">
        <f>IFERROR(IF(OR(L20="",L8=""),"",L20/L8-1),"")</f>
        <v/>
      </c>
      <c r="N20" s="32">
        <f>IFERROR(IF(OR(L20="",L19=""),"",L20/L19-1),"")</f>
        <v/>
      </c>
      <c r="O20" s="30" t="n"/>
      <c r="P20" s="32">
        <f>IFERROR(IF(OR(O20="",O8=""),"",O20/O8-1),"")</f>
        <v/>
      </c>
      <c r="Q20" s="32">
        <f>IFERROR(IF(OR(O20="",O19=""),"",O20/O19-1),"")</f>
        <v/>
      </c>
      <c r="R20" s="33" t="n">
        <v>43899</v>
      </c>
    </row>
    <row r="21">
      <c r="A21" s="6" t="n">
        <v>43862</v>
      </c>
      <c r="B21" s="7" t="inlineStr">
        <is>
          <t>FY2020</t>
        </is>
      </c>
      <c r="C21" s="30" t="n">
        <v>5.87</v>
      </c>
      <c r="D21" s="32">
        <f>IFERROR(IF(OR(C21="",C9=""),"",C21/C9-1),"")</f>
        <v/>
      </c>
      <c r="E21" s="32">
        <f>IFERROR(IF(OR(C21="",C20=""),"",C21/C20-1),"")</f>
        <v/>
      </c>
      <c r="F21" s="30" t="n">
        <v>7.54</v>
      </c>
      <c r="G21" s="32">
        <f>IFERROR(IF(OR(F21="",F9=""),"",F21/F9-1),"")</f>
        <v/>
      </c>
      <c r="H21" s="32">
        <f>IFERROR(IF(OR(F21="",F20=""),"",F21/F20-1),"")</f>
        <v/>
      </c>
      <c r="I21" s="30" t="n"/>
      <c r="J21" s="32">
        <f>IFERROR(IF(OR(I21="",I9=""),"",I21/I9-1),"")</f>
        <v/>
      </c>
      <c r="K21" s="32">
        <f>IFERROR(IF(OR(I21="",I20=""),"",I21/I20-1),"")</f>
        <v/>
      </c>
      <c r="L21" s="30" t="n"/>
      <c r="M21" s="32">
        <f>IFERROR(IF(OR(L21="",L9=""),"",L21/L9-1),"")</f>
        <v/>
      </c>
      <c r="N21" s="32">
        <f>IFERROR(IF(OR(L21="",L20=""),"",L21/L20-1),"")</f>
        <v/>
      </c>
      <c r="O21" s="30" t="n"/>
      <c r="P21" s="32">
        <f>IFERROR(IF(OR(O21="",O9=""),"",O21/O9-1),"")</f>
        <v/>
      </c>
      <c r="Q21" s="32">
        <f>IFERROR(IF(OR(O21="",O20=""),"",O21/O20-1),"")</f>
        <v/>
      </c>
      <c r="R21" s="33" t="n">
        <v>43899</v>
      </c>
    </row>
    <row r="22">
      <c r="A22" s="6" t="n">
        <v>43891</v>
      </c>
      <c r="B22" s="7" t="inlineStr">
        <is>
          <t>FY2020</t>
        </is>
      </c>
      <c r="C22" s="34">
        <f>'FY Totals'!B5-'FY Totals'!D5</f>
        <v/>
      </c>
      <c r="D22" s="32">
        <f>IFERROR(IF(OR(C22="",C10=""),"",C22/C10-1),"")</f>
        <v/>
      </c>
      <c r="E22" s="32">
        <f>IFERROR(IF(OR(C22="",C21=""),"",C22/C21-1),"")</f>
        <v/>
      </c>
      <c r="F22" s="34">
        <f>'FY Totals'!E5-'FY Totals'!G5</f>
        <v/>
      </c>
      <c r="G22" s="32">
        <f>IFERROR(IF(OR(F22="",F10=""),"",F22/F10-1),"")</f>
        <v/>
      </c>
      <c r="H22" s="32">
        <f>IFERROR(IF(OR(F22="",F21=""),"",F22/F21-1),"")</f>
        <v/>
      </c>
      <c r="I22" s="30" t="n"/>
      <c r="J22" s="32">
        <f>IFERROR(IF(OR(I22="",I10=""),"",I22/I10-1),"")</f>
        <v/>
      </c>
      <c r="K22" s="32">
        <f>IFERROR(IF(OR(I22="",I21=""),"",I22/I21-1),"")</f>
        <v/>
      </c>
      <c r="L22" s="30" t="n"/>
      <c r="M22" s="32">
        <f>IFERROR(IF(OR(L22="",L10=""),"",L22/L10-1),"")</f>
        <v/>
      </c>
      <c r="N22" s="32">
        <f>IFERROR(IF(OR(L22="",L21=""),"",L22/L21-1),"")</f>
        <v/>
      </c>
      <c r="O22" s="30" t="n"/>
      <c r="P22" s="32">
        <f>IFERROR(IF(OR(O22="",O10=""),"",O22/O10-1),"")</f>
        <v/>
      </c>
      <c r="Q22" s="32">
        <f>IFERROR(IF(OR(O22="",O21=""),"",O22/O21-1),"")</f>
        <v/>
      </c>
      <c r="R22" s="33" t="n"/>
    </row>
    <row r="23">
      <c r="A23" s="6" t="n">
        <v>43922</v>
      </c>
      <c r="B23" s="7" t="inlineStr">
        <is>
          <t>FY2021</t>
        </is>
      </c>
      <c r="C23" s="30" t="n">
        <v>1.55</v>
      </c>
      <c r="D23" s="32">
        <f>IFERROR(IF(OR(C23="",C11=""),"",C23/C11-1),"")</f>
        <v/>
      </c>
      <c r="E23" s="32">
        <f>IFERROR(IF(OR(C23="",C22=""),"",C23/C22-1),"")</f>
        <v/>
      </c>
      <c r="F23" s="30" t="n">
        <v>1.9</v>
      </c>
      <c r="G23" s="32">
        <f>IFERROR(IF(OR(F23="",F11=""),"",F23/F11-1),"")</f>
        <v/>
      </c>
      <c r="H23" s="32">
        <f>IFERROR(IF(OR(F23="",F22=""),"",F23/F22-1),"")</f>
        <v/>
      </c>
      <c r="I23" s="30" t="n"/>
      <c r="J23" s="32">
        <f>IFERROR(IF(OR(I23="",I11=""),"",I23/I11-1),"")</f>
        <v/>
      </c>
      <c r="K23" s="32">
        <f>IFERROR(IF(OR(I23="",I22=""),"",I23/I22-1),"")</f>
        <v/>
      </c>
      <c r="L23" s="30" t="n">
        <v>2.56</v>
      </c>
      <c r="M23" s="32">
        <f>IFERROR(IF(OR(L23="",L11=""),"",L23/L11-1),"")</f>
        <v/>
      </c>
      <c r="N23" s="32">
        <f>IFERROR(IF(OR(L23="",L22=""),"",L23/L22-1),"")</f>
        <v/>
      </c>
      <c r="O23" s="30" t="n"/>
      <c r="P23" s="32">
        <f>IFERROR(IF(OR(O23="",O11=""),"",O23/O11-1),"")</f>
        <v/>
      </c>
      <c r="Q23" s="32">
        <f>IFERROR(IF(OR(O23="",O22=""),"",O23/O22-1),"")</f>
        <v/>
      </c>
      <c r="R23" s="33" t="n">
        <v>44021</v>
      </c>
    </row>
    <row r="24">
      <c r="A24" s="6" t="n">
        <v>43952</v>
      </c>
      <c r="B24" s="7" t="inlineStr">
        <is>
          <t>FY2021</t>
        </is>
      </c>
      <c r="C24" s="30" t="n">
        <v>1.92</v>
      </c>
      <c r="D24" s="32">
        <f>IFERROR(IF(OR(C24="",C12=""),"",C24/C12-1),"")</f>
        <v/>
      </c>
      <c r="E24" s="32">
        <f>IFERROR(IF(OR(C24="",C23=""),"",C24/C23-1),"")</f>
        <v/>
      </c>
      <c r="F24" s="30" t="n">
        <v>2.79</v>
      </c>
      <c r="G24" s="32">
        <f>IFERROR(IF(OR(F24="",F12=""),"",F24/F12-1),"")</f>
        <v/>
      </c>
      <c r="H24" s="32">
        <f>IFERROR(IF(OR(F24="",F23=""),"",F24/F23-1),"")</f>
        <v/>
      </c>
      <c r="I24" s="30" t="n"/>
      <c r="J24" s="32">
        <f>IFERROR(IF(OR(I24="",I12=""),"",I24/I12-1),"")</f>
        <v/>
      </c>
      <c r="K24" s="32">
        <f>IFERROR(IF(OR(I24="",I23=""),"",I24/I23-1),"")</f>
        <v/>
      </c>
      <c r="L24" s="30" t="n">
        <v>6.79</v>
      </c>
      <c r="M24" s="32">
        <f>IFERROR(IF(OR(L24="",L12=""),"",L24/L12-1),"")</f>
        <v/>
      </c>
      <c r="N24" s="32">
        <f>IFERROR(IF(OR(L24="",L23=""),"",L24/L23-1),"")</f>
        <v/>
      </c>
      <c r="O24" s="30" t="n"/>
      <c r="P24" s="32">
        <f>IFERROR(IF(OR(O24="",O12=""),"",O24/O12-1),"")</f>
        <v/>
      </c>
      <c r="Q24" s="32">
        <f>IFERROR(IF(OR(O24="",O23=""),"",O24/O23-1),"")</f>
        <v/>
      </c>
      <c r="R24" s="33" t="n">
        <v>44021</v>
      </c>
    </row>
    <row r="25">
      <c r="A25" s="6" t="n">
        <v>43983</v>
      </c>
      <c r="B25" s="7" t="inlineStr">
        <is>
          <t>FY2021</t>
        </is>
      </c>
      <c r="C25" s="30" t="n">
        <v>3.09</v>
      </c>
      <c r="D25" s="32">
        <f>IFERROR(IF(OR(C25="",C13=""),"",C25/C13-1),"")</f>
        <v/>
      </c>
      <c r="E25" s="32">
        <f>IFERROR(IF(OR(C25="",C24=""),"",C25/C24-1),"")</f>
        <v/>
      </c>
      <c r="F25" s="30" t="n">
        <v>3.54</v>
      </c>
      <c r="G25" s="32">
        <f>IFERROR(IF(OR(F25="",F13=""),"",F25/F13-1),"")</f>
        <v/>
      </c>
      <c r="H25" s="32">
        <f>IFERROR(IF(OR(F25="",F24=""),"",F25/F24-1),"")</f>
        <v/>
      </c>
      <c r="I25" s="30" t="n"/>
      <c r="J25" s="32">
        <f>IFERROR(IF(OR(I25="",I13=""),"",I25/I13-1),"")</f>
        <v/>
      </c>
      <c r="K25" s="32">
        <f>IFERROR(IF(OR(I25="",I24=""),"",I25/I24-1),"")</f>
        <v/>
      </c>
      <c r="L25" s="30" t="n">
        <v>5.65</v>
      </c>
      <c r="M25" s="32">
        <f>IFERROR(IF(OR(L25="",L13=""),"",L25/L13-1),"")</f>
        <v/>
      </c>
      <c r="N25" s="32">
        <f>IFERROR(IF(OR(L25="",L24=""),"",L25/L24-1),"")</f>
        <v/>
      </c>
      <c r="O25" s="30" t="n"/>
      <c r="P25" s="32">
        <f>IFERROR(IF(OR(O25="",O13=""),"",O25/O13-1),"")</f>
        <v/>
      </c>
      <c r="Q25" s="32">
        <f>IFERROR(IF(OR(O25="",O24=""),"",O25/O24-1),"")</f>
        <v/>
      </c>
      <c r="R25" s="33" t="n">
        <v>44021</v>
      </c>
    </row>
    <row r="26">
      <c r="A26" s="6" t="n">
        <v>44013</v>
      </c>
      <c r="B26" s="7" t="inlineStr">
        <is>
          <t>FY2021</t>
        </is>
      </c>
      <c r="C26" s="30" t="n">
        <v>3.81</v>
      </c>
      <c r="D26" s="32">
        <f>IFERROR(IF(OR(C26="",C14=""),"",C26/C14-1),"")</f>
        <v/>
      </c>
      <c r="E26" s="32">
        <f>IFERROR(IF(OR(C26="",C25=""),"",C26/C25-1),"")</f>
        <v/>
      </c>
      <c r="F26" s="30" t="n">
        <v>4.41</v>
      </c>
      <c r="G26" s="32">
        <f>IFERROR(IF(OR(F26="",F14=""),"",F26/F14-1),"")</f>
        <v/>
      </c>
      <c r="H26" s="32">
        <f>IFERROR(IF(OR(F26="",F25=""),"",F26/F25-1),"")</f>
        <v/>
      </c>
      <c r="I26" s="30" t="n"/>
      <c r="J26" s="32">
        <f>IFERROR(IF(OR(I26="",I14=""),"",I26/I14-1),"")</f>
        <v/>
      </c>
      <c r="K26" s="32">
        <f>IFERROR(IF(OR(I26="",I25=""),"",I26/I25-1),"")</f>
        <v/>
      </c>
      <c r="L26" s="30" t="n">
        <v>8.49</v>
      </c>
      <c r="M26" s="32">
        <f>IFERROR(IF(OR(L26="",L14=""),"",L26/L14-1),"")</f>
        <v/>
      </c>
      <c r="N26" s="32">
        <f>IFERROR(IF(OR(L26="",L25=""),"",L26/L25-1),"")</f>
        <v/>
      </c>
      <c r="O26" s="30" t="n"/>
      <c r="P26" s="32">
        <f>IFERROR(IF(OR(O26="",O14=""),"",O26/O14-1),"")</f>
        <v/>
      </c>
      <c r="Q26" s="32">
        <f>IFERROR(IF(OR(O26="",O25=""),"",O26/O25-1),"")</f>
        <v/>
      </c>
      <c r="R26" s="33" t="n">
        <v>44111</v>
      </c>
    </row>
    <row r="27">
      <c r="A27" s="6" t="n">
        <v>44044</v>
      </c>
      <c r="B27" s="7" t="inlineStr">
        <is>
          <t>FY2021</t>
        </is>
      </c>
      <c r="C27" s="30" t="n">
        <v>4.06</v>
      </c>
      <c r="D27" s="32">
        <f>IFERROR(IF(OR(C27="",C15=""),"",C27/C15-1),"")</f>
        <v/>
      </c>
      <c r="E27" s="32">
        <f>IFERROR(IF(OR(C27="",C26=""),"",C27/C26-1),"")</f>
        <v/>
      </c>
      <c r="F27" s="30" t="n">
        <v>4.94</v>
      </c>
      <c r="G27" s="32">
        <f>IFERROR(IF(OR(F27="",F15=""),"",F27/F15-1),"")</f>
        <v/>
      </c>
      <c r="H27" s="32">
        <f>IFERROR(IF(OR(F27="",F26=""),"",F27/F26-1),"")</f>
        <v/>
      </c>
      <c r="I27" s="30" t="n"/>
      <c r="J27" s="32">
        <f>IFERROR(IF(OR(I27="",I15=""),"",I27/I15-1),"")</f>
        <v/>
      </c>
      <c r="K27" s="32">
        <f>IFERROR(IF(OR(I27="",I26=""),"",I27/I26-1),"")</f>
        <v/>
      </c>
      <c r="L27" s="30" t="n">
        <v>8.92</v>
      </c>
      <c r="M27" s="32">
        <f>IFERROR(IF(OR(L27="",L15=""),"",L27/L15-1),"")</f>
        <v/>
      </c>
      <c r="N27" s="32">
        <f>IFERROR(IF(OR(L27="",L26=""),"",L27/L26-1),"")</f>
        <v/>
      </c>
      <c r="O27" s="30" t="n"/>
      <c r="P27" s="32">
        <f>IFERROR(IF(OR(O27="",O15=""),"",O27/O15-1),"")</f>
        <v/>
      </c>
      <c r="Q27" s="32">
        <f>IFERROR(IF(OR(O27="",O26=""),"",O27/O26-1),"")</f>
        <v/>
      </c>
      <c r="R27" s="33" t="n">
        <v>44111</v>
      </c>
    </row>
    <row r="28">
      <c r="A28" s="6" t="n">
        <v>44075</v>
      </c>
      <c r="B28" s="7" t="inlineStr">
        <is>
          <t>FY2021</t>
        </is>
      </c>
      <c r="C28" s="30" t="n">
        <v>4.42</v>
      </c>
      <c r="D28" s="32">
        <f>IFERROR(IF(OR(C28="",C16=""),"",C28/C16-1),"")</f>
        <v/>
      </c>
      <c r="E28" s="32">
        <f>IFERROR(IF(OR(C28="",C27=""),"",C28/C27-1),"")</f>
        <v/>
      </c>
      <c r="F28" s="30" t="n">
        <v>5.3</v>
      </c>
      <c r="G28" s="32">
        <f>IFERROR(IF(OR(F28="",F16=""),"",F28/F16-1),"")</f>
        <v/>
      </c>
      <c r="H28" s="32">
        <f>IFERROR(IF(OR(F28="",F27=""),"",F28/F27-1),"")</f>
        <v/>
      </c>
      <c r="I28" s="30" t="n"/>
      <c r="J28" s="32">
        <f>IFERROR(IF(OR(I28="",I16=""),"",I28/I16-1),"")</f>
        <v/>
      </c>
      <c r="K28" s="32">
        <f>IFERROR(IF(OR(I28="",I27=""),"",I28/I27-1),"")</f>
        <v/>
      </c>
      <c r="L28" s="30" t="n">
        <v>12.16</v>
      </c>
      <c r="M28" s="32">
        <f>IFERROR(IF(OR(L28="",L16=""),"",L28/L16-1),"")</f>
        <v/>
      </c>
      <c r="N28" s="32">
        <f>IFERROR(IF(OR(L28="",L27=""),"",L28/L27-1),"")</f>
        <v/>
      </c>
      <c r="O28" s="30" t="n"/>
      <c r="P28" s="32">
        <f>IFERROR(IF(OR(O28="",O16=""),"",O28/O16-1),"")</f>
        <v/>
      </c>
      <c r="Q28" s="32">
        <f>IFERROR(IF(OR(O28="",O27=""),"",O28/O27-1),"")</f>
        <v/>
      </c>
      <c r="R28" s="33" t="n">
        <v>44111</v>
      </c>
    </row>
    <row r="29">
      <c r="A29" s="6" t="n">
        <v>44105</v>
      </c>
      <c r="B29" s="7" t="inlineStr">
        <is>
          <t>FY2021</t>
        </is>
      </c>
      <c r="C29" s="30" t="n">
        <v>4.33</v>
      </c>
      <c r="D29" s="32">
        <f>IFERROR(IF(OR(C29="",C17=""),"",C29/C17-1),"")</f>
        <v/>
      </c>
      <c r="E29" s="32">
        <f>IFERROR(IF(OR(C29="",C28=""),"",C29/C28-1),"")</f>
        <v/>
      </c>
      <c r="F29" s="30" t="n">
        <v>5.04</v>
      </c>
      <c r="G29" s="32">
        <f>IFERROR(IF(OR(F29="",F17=""),"",F29/F17-1),"")</f>
        <v/>
      </c>
      <c r="H29" s="32">
        <f>IFERROR(IF(OR(F29="",F28=""),"",F29/F28-1),"")</f>
        <v/>
      </c>
      <c r="I29" s="30" t="n"/>
      <c r="J29" s="32">
        <f>IFERROR(IF(OR(I29="",I17=""),"",I29/I17-1),"")</f>
        <v/>
      </c>
      <c r="K29" s="32">
        <f>IFERROR(IF(OR(I29="",I28=""),"",I29/I28-1),"")</f>
        <v/>
      </c>
      <c r="L29" s="30" t="n">
        <v>9.9</v>
      </c>
      <c r="M29" s="32">
        <f>IFERROR(IF(OR(L29="",L17=""),"",L29/L17-1),"")</f>
        <v/>
      </c>
      <c r="N29" s="32">
        <f>IFERROR(IF(OR(L29="",L28=""),"",L29/L28-1),"")</f>
        <v/>
      </c>
      <c r="O29" s="30" t="n">
        <v>492.61</v>
      </c>
      <c r="P29" s="32">
        <f>IFERROR(IF(OR(O29="",O17=""),"",O29/O17-1),"")</f>
        <v/>
      </c>
      <c r="Q29" s="32">
        <f>IFERROR(IF(OR(O29="",O28=""),"",O29/O28-1),"")</f>
        <v/>
      </c>
      <c r="R29" s="33" t="n">
        <v>44204</v>
      </c>
    </row>
    <row r="30">
      <c r="A30" s="6" t="n">
        <v>44136</v>
      </c>
      <c r="B30" s="7" t="inlineStr">
        <is>
          <t>FY2021</t>
        </is>
      </c>
      <c r="C30" s="30" t="n">
        <v>4.23</v>
      </c>
      <c r="D30" s="32">
        <f>IFERROR(IF(OR(C30="",C18=""),"",C30/C18-1),"")</f>
        <v/>
      </c>
      <c r="E30" s="32">
        <f>IFERROR(IF(OR(C30="",C29=""),"",C30/C29-1),"")</f>
        <v/>
      </c>
      <c r="F30" s="30" t="n">
        <v>4.88</v>
      </c>
      <c r="G30" s="32">
        <f>IFERROR(IF(OR(F30="",F18=""),"",F30/F18-1),"")</f>
        <v/>
      </c>
      <c r="H30" s="32">
        <f>IFERROR(IF(OR(F30="",F29=""),"",F30/F29-1),"")</f>
        <v/>
      </c>
      <c r="I30" s="30" t="n"/>
      <c r="J30" s="32">
        <f>IFERROR(IF(OR(I30="",I18=""),"",I30/I18-1),"")</f>
        <v/>
      </c>
      <c r="K30" s="32">
        <f>IFERROR(IF(OR(I30="",I29=""),"",I30/I29-1),"")</f>
        <v/>
      </c>
      <c r="L30" s="30" t="n">
        <v>9.83</v>
      </c>
      <c r="M30" s="32">
        <f>IFERROR(IF(OR(L30="",L18=""),"",L30/L18-1),"")</f>
        <v/>
      </c>
      <c r="N30" s="32">
        <f>IFERROR(IF(OR(L30="",L29=""),"",L30/L29-1),"")</f>
        <v/>
      </c>
      <c r="O30" s="30" t="n">
        <v>465.09</v>
      </c>
      <c r="P30" s="32">
        <f>IFERROR(IF(OR(O30="",O18=""),"",O30/O18-1),"")</f>
        <v/>
      </c>
      <c r="Q30" s="32">
        <f>IFERROR(IF(OR(O30="",O29=""),"",O30/O29-1),"")</f>
        <v/>
      </c>
      <c r="R30" s="33" t="n">
        <v>44204</v>
      </c>
    </row>
    <row r="31">
      <c r="A31" s="6" t="n">
        <v>44166</v>
      </c>
      <c r="B31" s="7" t="inlineStr">
        <is>
          <t>FY2021</t>
        </is>
      </c>
      <c r="C31" s="30" t="n">
        <v>5.65</v>
      </c>
      <c r="D31" s="32">
        <f>IFERROR(IF(OR(C31="",C19=""),"",C31/C19-1),"")</f>
        <v/>
      </c>
      <c r="E31" s="32">
        <f>IFERROR(IF(OR(C31="",C30=""),"",C31/C30-1),"")</f>
        <v/>
      </c>
      <c r="F31" s="30" t="n">
        <v>6.74</v>
      </c>
      <c r="G31" s="32">
        <f>IFERROR(IF(OR(F31="",F19=""),"",F31/F19-1),"")</f>
        <v/>
      </c>
      <c r="H31" s="32">
        <f>IFERROR(IF(OR(F31="",F30=""),"",F31/F30-1),"")</f>
        <v/>
      </c>
      <c r="I31" s="30" t="n"/>
      <c r="J31" s="32">
        <f>IFERROR(IF(OR(I31="",I19=""),"",I31/I19-1),"")</f>
        <v/>
      </c>
      <c r="K31" s="32">
        <f>IFERROR(IF(OR(I31="",I30=""),"",I31/I30-1),"")</f>
        <v/>
      </c>
      <c r="L31" s="30" t="n">
        <v>14.69</v>
      </c>
      <c r="M31" s="32">
        <f>IFERROR(IF(OR(L31="",L19=""),"",L31/L19-1),"")</f>
        <v/>
      </c>
      <c r="N31" s="32">
        <f>IFERROR(IF(OR(L31="",L30=""),"",L31/L30-1),"")</f>
        <v/>
      </c>
      <c r="O31" s="30" t="n">
        <v>653.9</v>
      </c>
      <c r="P31" s="32">
        <f>IFERROR(IF(OR(O31="",O19=""),"",O31/O19-1),"")</f>
        <v/>
      </c>
      <c r="Q31" s="32">
        <f>IFERROR(IF(OR(O31="",O30=""),"",O31/O30-1),"")</f>
        <v/>
      </c>
      <c r="R31" s="33" t="n">
        <v>44204</v>
      </c>
    </row>
    <row r="32">
      <c r="A32" s="6" t="n">
        <v>44197</v>
      </c>
      <c r="B32" s="7" t="inlineStr">
        <is>
          <t>FY2021</t>
        </is>
      </c>
      <c r="C32" s="30" t="n">
        <v>5.77</v>
      </c>
      <c r="D32" s="32">
        <f>IFERROR(IF(OR(C32="",C20=""),"",C32/C20-1),"")</f>
        <v/>
      </c>
      <c r="E32" s="32">
        <f>IFERROR(IF(OR(C32="",C31=""),"",C32/C31-1),"")</f>
        <v/>
      </c>
      <c r="F32" s="30" t="n">
        <v>6.7</v>
      </c>
      <c r="G32" s="32">
        <f>IFERROR(IF(OR(F32="",F20=""),"",F32/F20-1),"")</f>
        <v/>
      </c>
      <c r="H32" s="32">
        <f>IFERROR(IF(OR(F32="",F31=""),"",F32/F31-1),"")</f>
        <v/>
      </c>
      <c r="I32" s="30" t="n"/>
      <c r="J32" s="32">
        <f>IFERROR(IF(OR(I32="",I20=""),"",I32/I20-1),"")</f>
        <v/>
      </c>
      <c r="K32" s="32">
        <f>IFERROR(IF(OR(I32="",I31=""),"",I32/I31-1),"")</f>
        <v/>
      </c>
      <c r="L32" s="30" t="n">
        <v>12.39</v>
      </c>
      <c r="M32" s="32">
        <f>IFERROR(IF(OR(L32="",L20=""),"",L32/L20-1),"")</f>
        <v/>
      </c>
      <c r="N32" s="32">
        <f>IFERROR(IF(OR(L32="",L31=""),"",L32/L31-1),"")</f>
        <v/>
      </c>
      <c r="O32" s="30" t="n">
        <v>612.65</v>
      </c>
      <c r="P32" s="32">
        <f>IFERROR(IF(OR(O32="",O20=""),"",O32/O20-1),"")</f>
        <v/>
      </c>
      <c r="Q32" s="32">
        <f>IFERROR(IF(OR(O32="",O31=""),"",O32/O31-1),"")</f>
        <v/>
      </c>
      <c r="R32" s="33" t="n">
        <v>44263</v>
      </c>
    </row>
    <row r="33">
      <c r="A33" s="6" t="n">
        <v>44228</v>
      </c>
      <c r="B33" s="7" t="inlineStr">
        <is>
          <t>FY2021</t>
        </is>
      </c>
      <c r="C33" s="30" t="n">
        <v>6.25</v>
      </c>
      <c r="D33" s="32">
        <f>IFERROR(IF(OR(C33="",C21=""),"",C33/C21-1),"")</f>
        <v/>
      </c>
      <c r="E33" s="32">
        <f>IFERROR(IF(OR(C33="",C32=""),"",C33/C32-1),"")</f>
        <v/>
      </c>
      <c r="F33" s="30" t="n">
        <v>7.37</v>
      </c>
      <c r="G33" s="32">
        <f>IFERROR(IF(OR(F33="",F21=""),"",F33/F21-1),"")</f>
        <v/>
      </c>
      <c r="H33" s="32">
        <f>IFERROR(IF(OR(F33="",F32=""),"",F33/F32-1),"")</f>
        <v/>
      </c>
      <c r="I33" s="30" t="n"/>
      <c r="J33" s="32">
        <f>IFERROR(IF(OR(I33="",I21=""),"",I33/I21-1),"")</f>
        <v/>
      </c>
      <c r="K33" s="32">
        <f>IFERROR(IF(OR(I33="",I32=""),"",I33/I32-1),"")</f>
        <v/>
      </c>
      <c r="L33" s="30" t="n">
        <v>17.37</v>
      </c>
      <c r="M33" s="32">
        <f>IFERROR(IF(OR(L33="",L21=""),"",L33/L21-1),"")</f>
        <v/>
      </c>
      <c r="N33" s="32">
        <f>IFERROR(IF(OR(L33="",L32=""),"",L33/L32-1),"")</f>
        <v/>
      </c>
      <c r="O33" s="30" t="n">
        <v>627.05</v>
      </c>
      <c r="P33" s="32">
        <f>IFERROR(IF(OR(O33="",O21=""),"",O33/O21-1),"")</f>
        <v/>
      </c>
      <c r="Q33" s="32">
        <f>IFERROR(IF(OR(O33="",O32=""),"",O33/O32-1),"")</f>
        <v/>
      </c>
      <c r="R33" s="33" t="n">
        <v>44263</v>
      </c>
    </row>
    <row r="34">
      <c r="A34" s="6" t="n">
        <v>44256</v>
      </c>
      <c r="B34" s="7" t="inlineStr">
        <is>
          <t>FY2021</t>
        </is>
      </c>
      <c r="C34" s="34">
        <f>'FY Totals'!B6-'FY Totals'!D6</f>
        <v/>
      </c>
      <c r="D34" s="32">
        <f>IFERROR(IF(OR(C34="",C22=""),"",C34/C22-1),"")</f>
        <v/>
      </c>
      <c r="E34" s="32">
        <f>IFERROR(IF(OR(C34="",C33=""),"",C34/C33-1),"")</f>
        <v/>
      </c>
      <c r="F34" s="34">
        <f>'FY Totals'!E6-'FY Totals'!G6</f>
        <v/>
      </c>
      <c r="G34" s="32">
        <f>IFERROR(IF(OR(F34="",F22=""),"",F34/F22-1),"")</f>
        <v/>
      </c>
      <c r="H34" s="32">
        <f>IFERROR(IF(OR(F34="",F33=""),"",F34/F33-1),"")</f>
        <v/>
      </c>
      <c r="I34" s="30" t="n"/>
      <c r="J34" s="32">
        <f>IFERROR(IF(OR(I34="",I22=""),"",I34/I22-1),"")</f>
        <v/>
      </c>
      <c r="K34" s="32">
        <f>IFERROR(IF(OR(I34="",I33=""),"",I34/I33-1),"")</f>
        <v/>
      </c>
      <c r="L34" s="34">
        <f>'FY Totals'!K6-'FY Totals'!M6</f>
        <v/>
      </c>
      <c r="M34" s="32">
        <f>IFERROR(IF(OR(L34="",L22=""),"",L34/L22-1),"")</f>
        <v/>
      </c>
      <c r="N34" s="32">
        <f>IFERROR(IF(OR(L34="",L33=""),"",L34/L33-1),"")</f>
        <v/>
      </c>
      <c r="O34" s="34">
        <f>'FY Totals'!N6-'FY Totals'!P6</f>
        <v/>
      </c>
      <c r="P34" s="32">
        <f>IFERROR(IF(OR(O34="",O22=""),"",O34/O22-1),"")</f>
        <v/>
      </c>
      <c r="Q34" s="32">
        <f>IFERROR(IF(OR(O34="",O33=""),"",O34/O33-1),"")</f>
        <v/>
      </c>
      <c r="R34" s="33" t="n"/>
    </row>
    <row r="35">
      <c r="A35" s="6" t="n">
        <v>44287</v>
      </c>
      <c r="B35" s="7" t="inlineStr">
        <is>
          <t>FY2022</t>
        </is>
      </c>
      <c r="C35" s="30" t="n">
        <v>2.56</v>
      </c>
      <c r="D35" s="32">
        <f>IFERROR(IF(OR(C35="",C23=""),"",C35/C23-1),"")</f>
        <v/>
      </c>
      <c r="E35" s="32">
        <f>IFERROR(IF(OR(C35="",C34=""),"",C35/C34-1),"")</f>
        <v/>
      </c>
      <c r="F35" s="30" t="n">
        <v>3.57</v>
      </c>
      <c r="G35" s="32">
        <f>IFERROR(IF(OR(F35="",F23=""),"",F35/F23-1),"")</f>
        <v/>
      </c>
      <c r="H35" s="32">
        <f>IFERROR(IF(OR(F35="",F34=""),"",F35/F34-1),"")</f>
        <v/>
      </c>
      <c r="I35" s="30" t="n"/>
      <c r="J35" s="32">
        <f>IFERROR(IF(OR(I35="",I23=""),"",I35/I23-1),"")</f>
        <v/>
      </c>
      <c r="K35" s="32">
        <f>IFERROR(IF(OR(I35="",I34=""),"",I35/I34-1),"")</f>
        <v/>
      </c>
      <c r="L35" s="30" t="n">
        <v>6.43</v>
      </c>
      <c r="M35" s="32">
        <f>IFERROR(IF(OR(L35="",L23=""),"",L35/L23-1),"")</f>
        <v/>
      </c>
      <c r="N35" s="32">
        <f>IFERROR(IF(OR(L35="",L34=""),"",L35/L34-1),"")</f>
        <v/>
      </c>
      <c r="O35" s="30" t="n">
        <v>707.59</v>
      </c>
      <c r="P35" s="32">
        <f>IFERROR(IF(OR(O35="",O23=""),"",O35/O23-1),"")</f>
        <v/>
      </c>
      <c r="Q35" s="32">
        <f>IFERROR(IF(OR(O35="",O34=""),"",O35/O34-1),"")</f>
        <v/>
      </c>
      <c r="R35" s="33" t="n">
        <v>44385</v>
      </c>
    </row>
    <row r="36">
      <c r="A36" s="6" t="n">
        <v>44317</v>
      </c>
      <c r="B36" s="7" t="inlineStr">
        <is>
          <t>FY2022</t>
        </is>
      </c>
      <c r="C36" s="30" t="n">
        <v>2.45</v>
      </c>
      <c r="D36" s="32">
        <f>IFERROR(IF(OR(C36="",C24=""),"",C36/C24-1),"")</f>
        <v/>
      </c>
      <c r="E36" s="32">
        <f>IFERROR(IF(OR(C36="",C35=""),"",C36/C35-1),"")</f>
        <v/>
      </c>
      <c r="F36" s="30" t="n">
        <v>3.04</v>
      </c>
      <c r="G36" s="32">
        <f>IFERROR(IF(OR(F36="",F24=""),"",F36/F24-1),"")</f>
        <v/>
      </c>
      <c r="H36" s="32">
        <f>IFERROR(IF(OR(F36="",F35=""),"",F36/F35-1),"")</f>
        <v/>
      </c>
      <c r="I36" s="30" t="n"/>
      <c r="J36" s="32">
        <f>IFERROR(IF(OR(I36="",I24=""),"",I36/I24-1),"")</f>
        <v/>
      </c>
      <c r="K36" s="32">
        <f>IFERROR(IF(OR(I36="",I35=""),"",I36/I35-1),"")</f>
        <v/>
      </c>
      <c r="L36" s="30" t="n">
        <v>6.52</v>
      </c>
      <c r="M36" s="32">
        <f>IFERROR(IF(OR(L36="",L24=""),"",L36/L24-1),"")</f>
        <v/>
      </c>
      <c r="N36" s="32">
        <f>IFERROR(IF(OR(L36="",L35=""),"",L36/L35-1),"")</f>
        <v/>
      </c>
      <c r="O36" s="30" t="n">
        <v>587.48</v>
      </c>
      <c r="P36" s="32">
        <f>IFERROR(IF(OR(O36="",O24=""),"",O36/O24-1),"")</f>
        <v/>
      </c>
      <c r="Q36" s="32">
        <f>IFERROR(IF(OR(O36="",O35=""),"",O36/O35-1),"")</f>
        <v/>
      </c>
      <c r="R36" s="33" t="n">
        <v>44385</v>
      </c>
    </row>
    <row r="37">
      <c r="A37" s="6" t="n">
        <v>44348</v>
      </c>
      <c r="B37" s="7" t="inlineStr">
        <is>
          <t>FY2022</t>
        </is>
      </c>
      <c r="C37" s="30" t="n">
        <v>4.42</v>
      </c>
      <c r="D37" s="32">
        <f>IFERROR(IF(OR(C37="",C25=""),"",C37/C25-1),"")</f>
        <v/>
      </c>
      <c r="E37" s="32">
        <f>IFERROR(IF(OR(C37="",C36=""),"",C37/C36-1),"")</f>
        <v/>
      </c>
      <c r="F37" s="30" t="n">
        <v>5.58</v>
      </c>
      <c r="G37" s="32">
        <f>IFERROR(IF(OR(F37="",F25=""),"",F37/F25-1),"")</f>
        <v/>
      </c>
      <c r="H37" s="32">
        <f>IFERROR(IF(OR(F37="",F36=""),"",F37/F36-1),"")</f>
        <v/>
      </c>
      <c r="I37" s="30" t="n"/>
      <c r="J37" s="32">
        <f>IFERROR(IF(OR(I37="",I25=""),"",I37/I25-1),"")</f>
        <v/>
      </c>
      <c r="K37" s="32">
        <f>IFERROR(IF(OR(I37="",I36=""),"",I37/I36-1),"")</f>
        <v/>
      </c>
      <c r="L37" s="30" t="n">
        <v>12.63</v>
      </c>
      <c r="M37" s="32">
        <f>IFERROR(IF(OR(L37="",L25=""),"",L37/L25-1),"")</f>
        <v/>
      </c>
      <c r="N37" s="32">
        <f>IFERROR(IF(OR(L37="",L36=""),"",L37/L36-1),"")</f>
        <v/>
      </c>
      <c r="O37" s="30" t="n">
        <v>473.55</v>
      </c>
      <c r="P37" s="32">
        <f>IFERROR(IF(OR(O37="",O25=""),"",O37/O25-1),"")</f>
        <v/>
      </c>
      <c r="Q37" s="32">
        <f>IFERROR(IF(OR(O37="",O36=""),"",O37/O36-1),"")</f>
        <v/>
      </c>
      <c r="R37" s="33" t="n">
        <v>44385</v>
      </c>
    </row>
    <row r="38">
      <c r="A38" s="6" t="n">
        <v>44378</v>
      </c>
      <c r="B38" s="7" t="inlineStr">
        <is>
          <t>FY2022</t>
        </is>
      </c>
      <c r="C38" s="30" t="n">
        <v>4.77</v>
      </c>
      <c r="D38" s="32">
        <f>IFERROR(IF(OR(C38="",C26=""),"",C38/C26-1),"")</f>
        <v/>
      </c>
      <c r="E38" s="32">
        <f>IFERROR(IF(OR(C38="",C37=""),"",C38/C37-1),"")</f>
        <v/>
      </c>
      <c r="F38" s="30" t="n">
        <v>5.69</v>
      </c>
      <c r="G38" s="32">
        <f>IFERROR(IF(OR(F38="",F26=""),"",F38/F26-1),"")</f>
        <v/>
      </c>
      <c r="H38" s="32">
        <f>IFERROR(IF(OR(F38="",F37=""),"",F38/F37-1),"")</f>
        <v/>
      </c>
      <c r="I38" s="30" t="n"/>
      <c r="J38" s="32">
        <f>IFERROR(IF(OR(I38="",I26=""),"",I38/I26-1),"")</f>
        <v/>
      </c>
      <c r="K38" s="32">
        <f>IFERROR(IF(OR(I38="",I37=""),"",I38/I37-1),"")</f>
        <v/>
      </c>
      <c r="L38" s="30" t="n">
        <v>11.57</v>
      </c>
      <c r="M38" s="32">
        <f>IFERROR(IF(OR(L38="",L26=""),"",L38/L26-1),"")</f>
        <v/>
      </c>
      <c r="N38" s="32">
        <f>IFERROR(IF(OR(L38="",L37=""),"",L38/L37-1),"")</f>
        <v/>
      </c>
      <c r="O38" s="30" t="n">
        <v>500.33</v>
      </c>
      <c r="P38" s="32">
        <f>IFERROR(IF(OR(O38="",O26=""),"",O38/O26-1),"")</f>
        <v/>
      </c>
      <c r="Q38" s="32">
        <f>IFERROR(IF(OR(O38="",O37=""),"",O38/O37-1),"")</f>
        <v/>
      </c>
      <c r="R38" s="33" t="n">
        <v>44476</v>
      </c>
    </row>
    <row r="39">
      <c r="A39" s="6" t="n">
        <v>44409</v>
      </c>
      <c r="B39" s="7" t="inlineStr">
        <is>
          <t>FY2022</t>
        </is>
      </c>
      <c r="C39" s="30" t="n">
        <v>5.45</v>
      </c>
      <c r="D39" s="32">
        <f>IFERROR(IF(OR(C39="",C27=""),"",C39/C27-1),"")</f>
        <v/>
      </c>
      <c r="E39" s="32">
        <f>IFERROR(IF(OR(C39="",C38=""),"",C39/C38-1),"")</f>
        <v/>
      </c>
      <c r="F39" s="30" t="n">
        <v>6.4</v>
      </c>
      <c r="G39" s="32">
        <f>IFERROR(IF(OR(F39="",F27=""),"",F39/F27-1),"")</f>
        <v/>
      </c>
      <c r="H39" s="32">
        <f>IFERROR(IF(OR(F39="",F38=""),"",F39/F38-1),"")</f>
        <v/>
      </c>
      <c r="I39" s="30" t="n"/>
      <c r="J39" s="32">
        <f>IFERROR(IF(OR(I39="",I27=""),"",I39/I27-1),"")</f>
        <v/>
      </c>
      <c r="K39" s="32">
        <f>IFERROR(IF(OR(I39="",I38=""),"",I39/I38-1),"")</f>
        <v/>
      </c>
      <c r="L39" s="30" t="n">
        <v>12.76</v>
      </c>
      <c r="M39" s="32">
        <f>IFERROR(IF(OR(L39="",L27=""),"",L39/L27-1),"")</f>
        <v/>
      </c>
      <c r="N39" s="32">
        <f>IFERROR(IF(OR(L39="",L38=""),"",L39/L38-1),"")</f>
        <v/>
      </c>
      <c r="O39" s="30" t="n">
        <v>509.69</v>
      </c>
      <c r="P39" s="32">
        <f>IFERROR(IF(OR(O39="",O27=""),"",O39/O27-1),"")</f>
        <v/>
      </c>
      <c r="Q39" s="32">
        <f>IFERROR(IF(OR(O39="",O38=""),"",O39/O38-1),"")</f>
        <v/>
      </c>
      <c r="R39" s="33" t="n">
        <v>44476</v>
      </c>
    </row>
    <row r="40">
      <c r="A40" s="6" t="n">
        <v>44440</v>
      </c>
      <c r="B40" s="7" t="inlineStr">
        <is>
          <t>FY2022</t>
        </is>
      </c>
      <c r="C40" s="30" t="n">
        <v>6.23</v>
      </c>
      <c r="D40" s="32">
        <f>IFERROR(IF(OR(C40="",C28=""),"",C40/C28-1),"")</f>
        <v/>
      </c>
      <c r="E40" s="32">
        <f>IFERROR(IF(OR(C40="",C39=""),"",C40/C39-1),"")</f>
        <v/>
      </c>
      <c r="F40" s="30" t="n">
        <v>7.68</v>
      </c>
      <c r="G40" s="32">
        <f>IFERROR(IF(OR(F40="",F28=""),"",F40/F28-1),"")</f>
        <v/>
      </c>
      <c r="H40" s="32">
        <f>IFERROR(IF(OR(F40="",F39=""),"",F40/F39-1),"")</f>
        <v/>
      </c>
      <c r="I40" s="30" t="n"/>
      <c r="J40" s="32">
        <f>IFERROR(IF(OR(I40="",I28=""),"",I40/I28-1),"")</f>
        <v/>
      </c>
      <c r="K40" s="32">
        <f>IFERROR(IF(OR(I40="",I39=""),"",I40/I39-1),"")</f>
        <v/>
      </c>
      <c r="L40" s="30" t="n">
        <v>14.69</v>
      </c>
      <c r="M40" s="32">
        <f>IFERROR(IF(OR(L40="",L28=""),"",L40/L28-1),"")</f>
        <v/>
      </c>
      <c r="N40" s="32">
        <f>IFERROR(IF(OR(L40="",L39=""),"",L40/L39-1),"")</f>
        <v/>
      </c>
      <c r="O40" s="30" t="n">
        <v>595.53</v>
      </c>
      <c r="P40" s="32">
        <f>IFERROR(IF(OR(O40="",O28=""),"",O40/O28-1),"")</f>
        <v/>
      </c>
      <c r="Q40" s="32">
        <f>IFERROR(IF(OR(O40="",O39=""),"",O40/O39-1),"")</f>
        <v/>
      </c>
      <c r="R40" s="33" t="n">
        <v>44476</v>
      </c>
    </row>
    <row r="41">
      <c r="A41" s="6" t="n">
        <v>44470</v>
      </c>
      <c r="B41" s="7" t="inlineStr">
        <is>
          <t>FY2022</t>
        </is>
      </c>
      <c r="C41" s="30" t="n">
        <v>5.34</v>
      </c>
      <c r="D41" s="32">
        <f>IFERROR(IF(OR(C41="",C29=""),"",C41/C29-1),"")</f>
        <v/>
      </c>
      <c r="E41" s="32">
        <f>IFERROR(IF(OR(C41="",C40=""),"",C41/C40-1),"")</f>
        <v/>
      </c>
      <c r="F41" s="30" t="n">
        <v>6.2</v>
      </c>
      <c r="G41" s="32">
        <f>IFERROR(IF(OR(F41="",F29=""),"",F41/F29-1),"")</f>
        <v/>
      </c>
      <c r="H41" s="32">
        <f>IFERROR(IF(OR(F41="",F40=""),"",F41/F40-1),"")</f>
        <v/>
      </c>
      <c r="I41" s="30" t="n"/>
      <c r="J41" s="32">
        <f>IFERROR(IF(OR(I41="",I29=""),"",I41/I29-1),"")</f>
        <v/>
      </c>
      <c r="K41" s="32">
        <f>IFERROR(IF(OR(I41="",I40=""),"",I41/I40-1),"")</f>
        <v/>
      </c>
      <c r="L41" s="30" t="n">
        <v>11.54</v>
      </c>
      <c r="M41" s="32">
        <f>IFERROR(IF(OR(L41="",L29=""),"",L41/L29-1),"")</f>
        <v/>
      </c>
      <c r="N41" s="32">
        <f>IFERROR(IF(OR(L41="",L40=""),"",L41/L40-1),"")</f>
        <v/>
      </c>
      <c r="O41" s="30" t="n">
        <v>566.02</v>
      </c>
      <c r="P41" s="32">
        <f>IFERROR(IF(OR(O41="",O29=""),"",O41/O29-1),"")</f>
        <v/>
      </c>
      <c r="Q41" s="32">
        <f>IFERROR(IF(OR(O41="",O40=""),"",O41/O40-1),"")</f>
        <v/>
      </c>
      <c r="R41" s="33" t="n">
        <v>44568</v>
      </c>
    </row>
    <row r="42">
      <c r="A42" s="6" t="n">
        <v>44501</v>
      </c>
      <c r="B42" s="7" t="inlineStr">
        <is>
          <t>FY2022</t>
        </is>
      </c>
      <c r="C42" s="30" t="n">
        <v>4.77</v>
      </c>
      <c r="D42" s="32">
        <f>IFERROR(IF(OR(C42="",C30=""),"",C42/C30-1),"")</f>
        <v/>
      </c>
      <c r="E42" s="32">
        <f>IFERROR(IF(OR(C42="",C41=""),"",C42/C41-1),"")</f>
        <v/>
      </c>
      <c r="F42" s="30" t="n">
        <v>5.68</v>
      </c>
      <c r="G42" s="32">
        <f>IFERROR(IF(OR(F42="",F30=""),"",F42/F30-1),"")</f>
        <v/>
      </c>
      <c r="H42" s="32">
        <f>IFERROR(IF(OR(F42="",F41=""),"",F42/F41-1),"")</f>
        <v/>
      </c>
      <c r="I42" s="30" t="n"/>
      <c r="J42" s="32">
        <f>IFERROR(IF(OR(I42="",I30=""),"",I42/I30-1),"")</f>
        <v/>
      </c>
      <c r="K42" s="32">
        <f>IFERROR(IF(OR(I42="",I41=""),"",I42/I41-1),"")</f>
        <v/>
      </c>
      <c r="L42" s="30" t="n">
        <v>12.52</v>
      </c>
      <c r="M42" s="32">
        <f>IFERROR(IF(OR(L42="",L30=""),"",L42/L30-1),"")</f>
        <v/>
      </c>
      <c r="N42" s="32">
        <f>IFERROR(IF(OR(L42="",L41=""),"",L42/L41-1),"")</f>
        <v/>
      </c>
      <c r="O42" s="30" t="n">
        <v>472.09</v>
      </c>
      <c r="P42" s="32">
        <f>IFERROR(IF(OR(O42="",O30=""),"",O42/O30-1),"")</f>
        <v/>
      </c>
      <c r="Q42" s="32">
        <f>IFERROR(IF(OR(O42="",O41=""),"",O42/O41-1),"")</f>
        <v/>
      </c>
      <c r="R42" s="33" t="n">
        <v>44568</v>
      </c>
    </row>
    <row r="43">
      <c r="A43" s="6" t="n">
        <v>44531</v>
      </c>
      <c r="B43" s="7" t="inlineStr">
        <is>
          <t>FY2022</t>
        </is>
      </c>
      <c r="C43" s="30" t="n">
        <v>6.26</v>
      </c>
      <c r="D43" s="32">
        <f>IFERROR(IF(OR(C43="",C31=""),"",C43/C31-1),"")</f>
        <v/>
      </c>
      <c r="E43" s="32">
        <f>IFERROR(IF(OR(C43="",C42=""),"",C43/C42-1),"")</f>
        <v/>
      </c>
      <c r="F43" s="30" t="n">
        <v>7.41</v>
      </c>
      <c r="G43" s="32">
        <f>IFERROR(IF(OR(F43="",F31=""),"",F43/F31-1),"")</f>
        <v/>
      </c>
      <c r="H43" s="32">
        <f>IFERROR(IF(OR(F43="",F42=""),"",F43/F42-1),"")</f>
        <v/>
      </c>
      <c r="I43" s="30" t="n"/>
      <c r="J43" s="32">
        <f>IFERROR(IF(OR(I43="",I31=""),"",I43/I31-1),"")</f>
        <v/>
      </c>
      <c r="K43" s="32">
        <f>IFERROR(IF(OR(I43="",I42=""),"",I43/I42-1),"")</f>
        <v/>
      </c>
      <c r="L43" s="30" t="n">
        <v>13.81</v>
      </c>
      <c r="M43" s="32">
        <f>IFERROR(IF(OR(L43="",L31=""),"",L43/L31-1),"")</f>
        <v/>
      </c>
      <c r="N43" s="32">
        <f>IFERROR(IF(OR(L43="",L42=""),"",L43/L42-1),"")</f>
        <v/>
      </c>
      <c r="O43" s="30" t="n">
        <v>719.36</v>
      </c>
      <c r="P43" s="32">
        <f>IFERROR(IF(OR(O43="",O31=""),"",O43/O31-1),"")</f>
        <v/>
      </c>
      <c r="Q43" s="32">
        <f>IFERROR(IF(OR(O43="",O42=""),"",O43/O42-1),"")</f>
        <v/>
      </c>
      <c r="R43" s="33" t="n">
        <v>44568</v>
      </c>
    </row>
    <row r="44">
      <c r="A44" s="6" t="n">
        <v>44562</v>
      </c>
      <c r="B44" s="7" t="inlineStr">
        <is>
          <t>FY2022</t>
        </is>
      </c>
      <c r="C44" s="30" t="n">
        <v>5.34</v>
      </c>
      <c r="D44" s="32">
        <f>IFERROR(IF(OR(C44="",C32=""),"",C44/C32-1),"")</f>
        <v/>
      </c>
      <c r="E44" s="32">
        <f>IFERROR(IF(OR(C44="",C43=""),"",C44/C43-1),"")</f>
        <v/>
      </c>
      <c r="F44" s="30" t="n">
        <v>7.24</v>
      </c>
      <c r="G44" s="32">
        <f>IFERROR(IF(OR(F44="",F32=""),"",F44/F32-1),"")</f>
        <v/>
      </c>
      <c r="H44" s="32">
        <f>IFERROR(IF(OR(F44="",F43=""),"",F44/F43-1),"")</f>
        <v/>
      </c>
      <c r="I44" s="30" t="n"/>
      <c r="J44" s="32">
        <f>IFERROR(IF(OR(I44="",I32=""),"",I44/I32-1),"")</f>
        <v/>
      </c>
      <c r="K44" s="32">
        <f>IFERROR(IF(OR(I44="",I43=""),"",I44/I43-1),"")</f>
        <v/>
      </c>
      <c r="L44" s="30" t="n">
        <v>12.57</v>
      </c>
      <c r="M44" s="32">
        <f>IFERROR(IF(OR(L44="",L32=""),"",L44/L32-1),"")</f>
        <v/>
      </c>
      <c r="N44" s="32">
        <f>IFERROR(IF(OR(L44="",L43=""),"",L44/L43-1),"")</f>
        <v/>
      </c>
      <c r="O44" s="30" t="n">
        <v>1074.7</v>
      </c>
      <c r="P44" s="32">
        <f>IFERROR(IF(OR(O44="",O32=""),"",O44/O32-1),"")</f>
        <v/>
      </c>
      <c r="Q44" s="32">
        <f>IFERROR(IF(OR(O44="",O43=""),"",O44/O43-1),"")</f>
        <v/>
      </c>
      <c r="R44" s="33" t="n">
        <v>44627</v>
      </c>
    </row>
    <row r="45">
      <c r="A45" s="6" t="n">
        <v>44593</v>
      </c>
      <c r="B45" s="7" t="inlineStr">
        <is>
          <t>FY2022</t>
        </is>
      </c>
      <c r="C45" s="30" t="n">
        <v>5.82</v>
      </c>
      <c r="D45" s="32">
        <f>IFERROR(IF(OR(C45="",C33=""),"",C45/C33-1),"")</f>
        <v/>
      </c>
      <c r="E45" s="32">
        <f>IFERROR(IF(OR(C45="",C44=""),"",C45/C44-1),"")</f>
        <v/>
      </c>
      <c r="F45" s="30" t="n">
        <v>7.04</v>
      </c>
      <c r="G45" s="32">
        <f>IFERROR(IF(OR(F45="",F33=""),"",F45/F33-1),"")</f>
        <v/>
      </c>
      <c r="H45" s="32">
        <f>IFERROR(IF(OR(F45="",F44=""),"",F45/F44-1),"")</f>
        <v/>
      </c>
      <c r="I45" s="30" t="n"/>
      <c r="J45" s="32">
        <f>IFERROR(IF(OR(I45="",I33=""),"",I45/I33-1),"")</f>
        <v/>
      </c>
      <c r="K45" s="32">
        <f>IFERROR(IF(OR(I45="",I44=""),"",I45/I44-1),"")</f>
        <v/>
      </c>
      <c r="L45" s="30" t="n">
        <v>13.4</v>
      </c>
      <c r="M45" s="32">
        <f>IFERROR(IF(OR(L45="",L33=""),"",L45/L33-1),"")</f>
        <v/>
      </c>
      <c r="N45" s="32">
        <f>IFERROR(IF(OR(L45="",L44=""),"",L45/L44-1),"")</f>
        <v/>
      </c>
      <c r="O45" s="30" t="n">
        <v>584.1799999999999</v>
      </c>
      <c r="P45" s="32">
        <f>IFERROR(IF(OR(O45="",O33=""),"",O45/O33-1),"")</f>
        <v/>
      </c>
      <c r="Q45" s="32">
        <f>IFERROR(IF(OR(O45="",O44=""),"",O45/O44-1),"")</f>
        <v/>
      </c>
      <c r="R45" s="33" t="n">
        <v>44627</v>
      </c>
    </row>
    <row r="46">
      <c r="A46" s="6" t="n">
        <v>44621</v>
      </c>
      <c r="B46" s="7" t="inlineStr">
        <is>
          <t>FY2022</t>
        </is>
      </c>
      <c r="C46" s="34">
        <f>'FY Totals'!B7-'FY Totals'!D7</f>
        <v/>
      </c>
      <c r="D46" s="32">
        <f>IFERROR(IF(OR(C46="",C34=""),"",C46/C34-1),"")</f>
        <v/>
      </c>
      <c r="E46" s="32">
        <f>IFERROR(IF(OR(C46="",C45=""),"",C46/C45-1),"")</f>
        <v/>
      </c>
      <c r="F46" s="34">
        <f>'FY Totals'!E7-'FY Totals'!G7</f>
        <v/>
      </c>
      <c r="G46" s="32">
        <f>IFERROR(IF(OR(F46="",F34=""),"",F46/F34-1),"")</f>
        <v/>
      </c>
      <c r="H46" s="32">
        <f>IFERROR(IF(OR(F46="",F45=""),"",F46/F45-1),"")</f>
        <v/>
      </c>
      <c r="I46" s="30" t="n"/>
      <c r="J46" s="32">
        <f>IFERROR(IF(OR(I46="",I34=""),"",I46/I34-1),"")</f>
        <v/>
      </c>
      <c r="K46" s="32">
        <f>IFERROR(IF(OR(I46="",I45=""),"",I46/I45-1),"")</f>
        <v/>
      </c>
      <c r="L46" s="34">
        <f>'FY Totals'!K7-'FY Totals'!M7</f>
        <v/>
      </c>
      <c r="M46" s="32">
        <f>IFERROR(IF(OR(L46="",L34=""),"",L46/L34-1),"")</f>
        <v/>
      </c>
      <c r="N46" s="32">
        <f>IFERROR(IF(OR(L46="",L45=""),"",L46/L45-1),"")</f>
        <v/>
      </c>
      <c r="O46" s="34">
        <f>'FY Totals'!N7-'FY Totals'!P7</f>
        <v/>
      </c>
      <c r="P46" s="32">
        <f>IFERROR(IF(OR(O46="",O34=""),"",O46/O34-1),"")</f>
        <v/>
      </c>
      <c r="Q46" s="32">
        <f>IFERROR(IF(OR(O46="",O45=""),"",O46/O45-1),"")</f>
        <v/>
      </c>
      <c r="R46" s="33" t="n"/>
    </row>
    <row r="47">
      <c r="A47" s="6" t="n">
        <v>44652</v>
      </c>
      <c r="B47" s="7" t="inlineStr">
        <is>
          <t>FY2023</t>
        </is>
      </c>
      <c r="C47" s="30" t="n">
        <v>3.39</v>
      </c>
      <c r="D47" s="32">
        <f>IFERROR(IF(OR(C47="",C35=""),"",C47/C35-1),"")</f>
        <v/>
      </c>
      <c r="E47" s="32">
        <f>IFERROR(IF(OR(C47="",C46=""),"",C47/C46-1),"")</f>
        <v/>
      </c>
      <c r="F47" s="30" t="n">
        <v>4.86</v>
      </c>
      <c r="G47" s="32">
        <f>IFERROR(IF(OR(F47="",F35=""),"",F47/F35-1),"")</f>
        <v/>
      </c>
      <c r="H47" s="32">
        <f>IFERROR(IF(OR(F47="",F46=""),"",F47/F46-1),"")</f>
        <v/>
      </c>
      <c r="I47" s="30" t="n"/>
      <c r="J47" s="32">
        <f>IFERROR(IF(OR(I47="",I35=""),"",I47/I35-1),"")</f>
        <v/>
      </c>
      <c r="K47" s="32">
        <f>IFERROR(IF(OR(I47="",I46=""),"",I47/I46-1),"")</f>
        <v/>
      </c>
      <c r="L47" s="30" t="n">
        <v>8.85</v>
      </c>
      <c r="M47" s="32">
        <f>IFERROR(IF(OR(L47="",L35=""),"",L47/L35-1),"")</f>
        <v/>
      </c>
      <c r="N47" s="32">
        <f>IFERROR(IF(OR(L47="",L46=""),"",L47/L46-1),"")</f>
        <v/>
      </c>
      <c r="O47" s="30" t="n">
        <v>849.54</v>
      </c>
      <c r="P47" s="32">
        <f>IFERROR(IF(OR(O47="",O35=""),"",O47/O35-1),"")</f>
        <v/>
      </c>
      <c r="Q47" s="32">
        <f>IFERROR(IF(OR(O47="",O46=""),"",O47/O46-1),"")</f>
        <v/>
      </c>
      <c r="R47" s="33" t="n">
        <v>44749</v>
      </c>
    </row>
    <row r="48">
      <c r="A48" s="6" t="n">
        <v>44682</v>
      </c>
      <c r="B48" s="7" t="inlineStr">
        <is>
          <t>FY2023</t>
        </is>
      </c>
      <c r="C48" s="30" t="n">
        <v>3.33</v>
      </c>
      <c r="D48" s="32">
        <f>IFERROR(IF(OR(C48="",C36=""),"",C48/C36-1),"")</f>
        <v/>
      </c>
      <c r="E48" s="32">
        <f>IFERROR(IF(OR(C48="",C47=""),"",C48/C47-1),"")</f>
        <v/>
      </c>
      <c r="F48" s="30" t="n">
        <v>4.71</v>
      </c>
      <c r="G48" s="32">
        <f>IFERROR(IF(OR(F48="",F36=""),"",F48/F36-1),"")</f>
        <v/>
      </c>
      <c r="H48" s="32">
        <f>IFERROR(IF(OR(F48="",F47=""),"",F48/F47-1),"")</f>
        <v/>
      </c>
      <c r="I48" s="30" t="n"/>
      <c r="J48" s="32">
        <f>IFERROR(IF(OR(I48="",I36=""),"",I48/I36-1),"")</f>
        <v/>
      </c>
      <c r="K48" s="32">
        <f>IFERROR(IF(OR(I48="",I47=""),"",I48/I47-1),"")</f>
        <v/>
      </c>
      <c r="L48" s="30" t="n">
        <v>12.19</v>
      </c>
      <c r="M48" s="32">
        <f>IFERROR(IF(OR(L48="",L36=""),"",L48/L36-1),"")</f>
        <v/>
      </c>
      <c r="N48" s="32">
        <f>IFERROR(IF(OR(L48="",L47=""),"",L48/L47-1),"")</f>
        <v/>
      </c>
      <c r="O48" s="30" t="n">
        <v>669.2</v>
      </c>
      <c r="P48" s="32">
        <f>IFERROR(IF(OR(O48="",O36=""),"",O48/O36-1),"")</f>
        <v/>
      </c>
      <c r="Q48" s="32">
        <f>IFERROR(IF(OR(O48="",O47=""),"",O48/O47-1),"")</f>
        <v/>
      </c>
      <c r="R48" s="33" t="n">
        <v>44749</v>
      </c>
    </row>
    <row r="49">
      <c r="A49" s="6" t="n">
        <v>44713</v>
      </c>
      <c r="B49" s="7" t="inlineStr">
        <is>
          <t>FY2023</t>
        </is>
      </c>
      <c r="C49" s="30" t="n">
        <v>4.29</v>
      </c>
      <c r="D49" s="32">
        <f>IFERROR(IF(OR(C49="",C37=""),"",C49/C37-1),"")</f>
        <v/>
      </c>
      <c r="E49" s="32">
        <f>IFERROR(IF(OR(C49="",C48=""),"",C49/C48-1),"")</f>
        <v/>
      </c>
      <c r="F49" s="30" t="n">
        <v>5.63</v>
      </c>
      <c r="G49" s="32">
        <f>IFERROR(IF(OR(F49="",F37=""),"",F49/F37-1),"")</f>
        <v/>
      </c>
      <c r="H49" s="32">
        <f>IFERROR(IF(OR(F49="",F48=""),"",F49/F48-1),"")</f>
        <v/>
      </c>
      <c r="I49" s="30" t="n"/>
      <c r="J49" s="32">
        <f>IFERROR(IF(OR(I49="",I37=""),"",I49/I37-1),"")</f>
        <v/>
      </c>
      <c r="K49" s="32">
        <f>IFERROR(IF(OR(I49="",I48=""),"",I49/I48-1),"")</f>
        <v/>
      </c>
      <c r="L49" s="30" t="n">
        <v>10.8</v>
      </c>
      <c r="M49" s="32">
        <f>IFERROR(IF(OR(L49="",L37=""),"",L49/L37-1),"")</f>
        <v/>
      </c>
      <c r="N49" s="32">
        <f>IFERROR(IF(OR(L49="",L48=""),"",L49/L48-1),"")</f>
        <v/>
      </c>
      <c r="O49" s="30" t="n">
        <v>690.61</v>
      </c>
      <c r="P49" s="32">
        <f>IFERROR(IF(OR(O49="",O37=""),"",O49/O37-1),"")</f>
        <v/>
      </c>
      <c r="Q49" s="32">
        <f>IFERROR(IF(OR(O49="",O48=""),"",O49/O48-1),"")</f>
        <v/>
      </c>
      <c r="R49" s="33" t="n">
        <v>44749</v>
      </c>
    </row>
    <row r="50">
      <c r="A50" s="6" t="n">
        <v>44743</v>
      </c>
      <c r="B50" s="7" t="inlineStr">
        <is>
          <t>FY2023</t>
        </is>
      </c>
      <c r="C50" s="30" t="n">
        <v>4.5</v>
      </c>
      <c r="D50" s="32">
        <f>IFERROR(IF(OR(C50="",C38=""),"",C50/C38-1),"")</f>
        <v/>
      </c>
      <c r="E50" s="32">
        <f>IFERROR(IF(OR(C50="",C49=""),"",C50/C49-1),"")</f>
        <v/>
      </c>
      <c r="F50" s="30" t="n">
        <v>6.29</v>
      </c>
      <c r="G50" s="32">
        <f>IFERROR(IF(OR(F50="",F38=""),"",F50/F38-1),"")</f>
        <v/>
      </c>
      <c r="H50" s="32">
        <f>IFERROR(IF(OR(F50="",F49=""),"",F50/F49-1),"")</f>
        <v/>
      </c>
      <c r="I50" s="30" t="n"/>
      <c r="J50" s="32">
        <f>IFERROR(IF(OR(I50="",I38=""),"",I50/I38-1),"")</f>
        <v/>
      </c>
      <c r="K50" s="32">
        <f>IFERROR(IF(OR(I50="",I49=""),"",I50/I49-1),"")</f>
        <v/>
      </c>
      <c r="L50" s="30" t="n">
        <v>13.44</v>
      </c>
      <c r="M50" s="32">
        <f>IFERROR(IF(OR(L50="",L38=""),"",L50/L38-1),"")</f>
        <v/>
      </c>
      <c r="N50" s="32">
        <f>IFERROR(IF(OR(L50="",L49=""),"",L50/L49-1),"")</f>
        <v/>
      </c>
      <c r="O50" s="30" t="n">
        <v>957.28</v>
      </c>
      <c r="P50" s="32">
        <f>IFERROR(IF(OR(O50="",O38=""),"",O50/O38-1),"")</f>
        <v/>
      </c>
      <c r="Q50" s="32">
        <f>IFERROR(IF(OR(O50="",O49=""),"",O50/O49-1),"")</f>
        <v/>
      </c>
      <c r="R50" s="33" t="n">
        <v>44841</v>
      </c>
    </row>
    <row r="51">
      <c r="A51" s="6" t="n">
        <v>44774</v>
      </c>
      <c r="B51" s="7" t="inlineStr">
        <is>
          <t>FY2023</t>
        </is>
      </c>
      <c r="C51" s="30" t="n">
        <v>4.69</v>
      </c>
      <c r="D51" s="32">
        <f>IFERROR(IF(OR(C51="",C39=""),"",C51/C39-1),"")</f>
        <v/>
      </c>
      <c r="E51" s="32">
        <f>IFERROR(IF(OR(C51="",C50=""),"",C51/C50-1),"")</f>
        <v/>
      </c>
      <c r="F51" s="30" t="n">
        <v>6.25</v>
      </c>
      <c r="G51" s="32">
        <f>IFERROR(IF(OR(F51="",F39=""),"",F51/F39-1),"")</f>
        <v/>
      </c>
      <c r="H51" s="32">
        <f>IFERROR(IF(OR(F51="",F50=""),"",F51/F50-1),"")</f>
        <v/>
      </c>
      <c r="I51" s="30" t="n"/>
      <c r="J51" s="32">
        <f>IFERROR(IF(OR(I51="",I39=""),"",I51/I39-1),"")</f>
        <v/>
      </c>
      <c r="K51" s="32">
        <f>IFERROR(IF(OR(I51="",I50=""),"",I51/I50-1),"")</f>
        <v/>
      </c>
      <c r="L51" s="30" t="n">
        <v>14.21</v>
      </c>
      <c r="M51" s="32">
        <f>IFERROR(IF(OR(L51="",L39=""),"",L51/L39-1),"")</f>
        <v/>
      </c>
      <c r="N51" s="32">
        <f>IFERROR(IF(OR(L51="",L50=""),"",L51/L50-1),"")</f>
        <v/>
      </c>
      <c r="O51" s="30" t="n">
        <v>753.51</v>
      </c>
      <c r="P51" s="32">
        <f>IFERROR(IF(OR(O51="",O39=""),"",O51/O39-1),"")</f>
        <v/>
      </c>
      <c r="Q51" s="32">
        <f>IFERROR(IF(OR(O51="",O50=""),"",O51/O50-1),"")</f>
        <v/>
      </c>
      <c r="R51" s="33" t="n">
        <v>44841</v>
      </c>
    </row>
    <row r="52">
      <c r="A52" s="6" t="n">
        <v>44805</v>
      </c>
      <c r="B52" s="7" t="inlineStr">
        <is>
          <t>FY2023</t>
        </is>
      </c>
      <c r="C52" s="30" t="n">
        <v>5.93</v>
      </c>
      <c r="D52" s="32">
        <f>IFERROR(IF(OR(C52="",C40=""),"",C52/C40-1),"")</f>
        <v/>
      </c>
      <c r="E52" s="32">
        <f>IFERROR(IF(OR(C52="",C51=""),"",C52/C51-1),"")</f>
        <v/>
      </c>
      <c r="F52" s="30" t="n">
        <v>7.46</v>
      </c>
      <c r="G52" s="32">
        <f>IFERROR(IF(OR(F52="",F40=""),"",F52/F40-1),"")</f>
        <v/>
      </c>
      <c r="H52" s="32">
        <f>IFERROR(IF(OR(F52="",F51=""),"",F52/F51-1),"")</f>
        <v/>
      </c>
      <c r="I52" s="30" t="n"/>
      <c r="J52" s="32">
        <f>IFERROR(IF(OR(I52="",I40=""),"",I52/I40-1),"")</f>
        <v/>
      </c>
      <c r="K52" s="32">
        <f>IFERROR(IF(OR(I52="",I51=""),"",I52/I51-1),"")</f>
        <v/>
      </c>
      <c r="L52" s="30" t="n">
        <v>14.1</v>
      </c>
      <c r="M52" s="32">
        <f>IFERROR(IF(OR(L52="",L40=""),"",L52/L40-1),"")</f>
        <v/>
      </c>
      <c r="N52" s="32">
        <f>IFERROR(IF(OR(L52="",L51=""),"",L52/L51-1),"")</f>
        <v/>
      </c>
      <c r="O52" s="30" t="n">
        <v>879.91</v>
      </c>
      <c r="P52" s="32">
        <f>IFERROR(IF(OR(O52="",O40=""),"",O52/O40-1),"")</f>
        <v/>
      </c>
      <c r="Q52" s="32">
        <f>IFERROR(IF(OR(O52="",O51=""),"",O52/O51-1),"")</f>
        <v/>
      </c>
      <c r="R52" s="33" t="n">
        <v>44841</v>
      </c>
    </row>
    <row r="53">
      <c r="A53" s="6" t="n">
        <v>44835</v>
      </c>
      <c r="B53" s="7" t="inlineStr">
        <is>
          <t>FY2023</t>
        </is>
      </c>
      <c r="C53" s="30" t="n">
        <v>3.97</v>
      </c>
      <c r="D53" s="32">
        <f>IFERROR(IF(OR(C53="",C41=""),"",C53/C41-1),"")</f>
        <v/>
      </c>
      <c r="E53" s="32">
        <f>IFERROR(IF(OR(C53="",C52=""),"",C53/C52-1),"")</f>
        <v/>
      </c>
      <c r="F53" s="30" t="n">
        <v>5.21</v>
      </c>
      <c r="G53" s="32">
        <f>IFERROR(IF(OR(F53="",F41=""),"",F53/F41-1),"")</f>
        <v/>
      </c>
      <c r="H53" s="32">
        <f>IFERROR(IF(OR(F53="",F52=""),"",F53/F52-1),"")</f>
        <v/>
      </c>
      <c r="I53" s="30" t="n"/>
      <c r="J53" s="32">
        <f>IFERROR(IF(OR(I53="",I41=""),"",I53/I41-1),"")</f>
        <v/>
      </c>
      <c r="K53" s="32">
        <f>IFERROR(IF(OR(I53="",I52=""),"",I53/I52-1),"")</f>
        <v/>
      </c>
      <c r="L53" s="30" t="n">
        <v>12.08</v>
      </c>
      <c r="M53" s="32">
        <f>IFERROR(IF(OR(L53="",L41=""),"",L53/L41-1),"")</f>
        <v/>
      </c>
      <c r="N53" s="32">
        <f>IFERROR(IF(OR(L53="",L52=""),"",L53/L52-1),"")</f>
        <v/>
      </c>
      <c r="O53" s="30" t="n">
        <v>768.71</v>
      </c>
      <c r="P53" s="32">
        <f>IFERROR(IF(OR(O53="",O41=""),"",O53/O41-1),"")</f>
        <v/>
      </c>
      <c r="Q53" s="32">
        <f>IFERROR(IF(OR(O53="",O52=""),"",O53/O52-1),"")</f>
        <v/>
      </c>
      <c r="R53" s="33" t="n">
        <v>44935</v>
      </c>
    </row>
    <row r="54">
      <c r="A54" s="6" t="n">
        <v>44866</v>
      </c>
      <c r="B54" s="7" t="inlineStr">
        <is>
          <t>FY2023</t>
        </is>
      </c>
      <c r="C54" s="30" t="n">
        <v>4.61</v>
      </c>
      <c r="D54" s="32">
        <f>IFERROR(IF(OR(C54="",C42=""),"",C54/C42-1),"")</f>
        <v/>
      </c>
      <c r="E54" s="32">
        <f>IFERROR(IF(OR(C54="",C53=""),"",C54/C53-1),"")</f>
        <v/>
      </c>
      <c r="F54" s="30" t="n">
        <v>5.78</v>
      </c>
      <c r="G54" s="32">
        <f>IFERROR(IF(OR(F54="",F42=""),"",F54/F42-1),"")</f>
        <v/>
      </c>
      <c r="H54" s="32">
        <f>IFERROR(IF(OR(F54="",F53=""),"",F54/F53-1),"")</f>
        <v/>
      </c>
      <c r="I54" s="30" t="n"/>
      <c r="J54" s="32">
        <f>IFERROR(IF(OR(I54="",I42=""),"",I54/I42-1),"")</f>
        <v/>
      </c>
      <c r="K54" s="32">
        <f>IFERROR(IF(OR(I54="",I53=""),"",I54/I53-1),"")</f>
        <v/>
      </c>
      <c r="L54" s="30" t="n">
        <v>12.65</v>
      </c>
      <c r="M54" s="32">
        <f>IFERROR(IF(OR(L54="",L42=""),"",L54/L42-1),"")</f>
        <v/>
      </c>
      <c r="N54" s="32">
        <f>IFERROR(IF(OR(L54="",L53=""),"",L54/L53-1),"")</f>
        <v/>
      </c>
      <c r="O54" s="30" t="n">
        <v>598.41</v>
      </c>
      <c r="P54" s="32">
        <f>IFERROR(IF(OR(O54="",O42=""),"",O54/O42-1),"")</f>
        <v/>
      </c>
      <c r="Q54" s="32">
        <f>IFERROR(IF(OR(O54="",O53=""),"",O54/O53-1),"")</f>
        <v/>
      </c>
      <c r="R54" s="33" t="n">
        <v>44935</v>
      </c>
    </row>
    <row r="55">
      <c r="A55" s="6" t="n">
        <v>44896</v>
      </c>
      <c r="B55" s="7" t="inlineStr">
        <is>
          <t>FY2023</t>
        </is>
      </c>
      <c r="C55" s="30" t="n">
        <v>5.77</v>
      </c>
      <c r="D55" s="32">
        <f>IFERROR(IF(OR(C55="",C43=""),"",C55/C43-1),"")</f>
        <v/>
      </c>
      <c r="E55" s="32">
        <f>IFERROR(IF(OR(C55="",C54=""),"",C55/C54-1),"")</f>
        <v/>
      </c>
      <c r="F55" s="30" t="n">
        <v>7.22</v>
      </c>
      <c r="G55" s="32">
        <f>IFERROR(IF(OR(F55="",F43=""),"",F55/F43-1),"")</f>
        <v/>
      </c>
      <c r="H55" s="32">
        <f>IFERROR(IF(OR(F55="",F54=""),"",F55/F54-1),"")</f>
        <v/>
      </c>
      <c r="I55" s="30" t="n"/>
      <c r="J55" s="32">
        <f>IFERROR(IF(OR(I55="",I43=""),"",I55/I43-1),"")</f>
        <v/>
      </c>
      <c r="K55" s="32">
        <f>IFERROR(IF(OR(I55="",I54=""),"",I55/I54-1),"")</f>
        <v/>
      </c>
      <c r="L55" s="30" t="n">
        <v>14.55</v>
      </c>
      <c r="M55" s="32">
        <f>IFERROR(IF(OR(L55="",L43=""),"",L55/L43-1),"")</f>
        <v/>
      </c>
      <c r="N55" s="32">
        <f>IFERROR(IF(OR(L55="",L54=""),"",L55/L54-1),"")</f>
        <v/>
      </c>
      <c r="O55" s="30" t="n">
        <v>754.75</v>
      </c>
      <c r="P55" s="32">
        <f>IFERROR(IF(OR(O55="",O43=""),"",O55/O43-1),"")</f>
        <v/>
      </c>
      <c r="Q55" s="32">
        <f>IFERROR(IF(OR(O55="",O54=""),"",O55/O54-1),"")</f>
        <v/>
      </c>
      <c r="R55" s="33" t="n">
        <v>44935</v>
      </c>
    </row>
    <row r="56">
      <c r="A56" s="6" t="n">
        <v>44927</v>
      </c>
      <c r="B56" s="7" t="inlineStr">
        <is>
          <t>FY2023</t>
        </is>
      </c>
      <c r="C56" s="30" t="n">
        <v>5.42</v>
      </c>
      <c r="D56" s="32">
        <f>IFERROR(IF(OR(C56="",C44=""),"",C56/C44-1),"")</f>
        <v/>
      </c>
      <c r="E56" s="32">
        <f>IFERROR(IF(OR(C56="",C55=""),"",C56/C55-1),"")</f>
        <v/>
      </c>
      <c r="F56" s="30" t="n">
        <v>7.49</v>
      </c>
      <c r="G56" s="32">
        <f>IFERROR(IF(OR(F56="",F44=""),"",F56/F44-1),"")</f>
        <v/>
      </c>
      <c r="H56" s="32">
        <f>IFERROR(IF(OR(F56="",F55=""),"",F56/F55-1),"")</f>
        <v/>
      </c>
      <c r="I56" s="30" t="n"/>
      <c r="J56" s="32">
        <f>IFERROR(IF(OR(I56="",I44=""),"",I56/I44-1),"")</f>
        <v/>
      </c>
      <c r="K56" s="32">
        <f>IFERROR(IF(OR(I56="",I55=""),"",I56/I55-1),"")</f>
        <v/>
      </c>
      <c r="L56" s="30" t="n">
        <v>14.39</v>
      </c>
      <c r="M56" s="32">
        <f>IFERROR(IF(OR(L56="",L44=""),"",L56/L44-1),"")</f>
        <v/>
      </c>
      <c r="N56" s="32">
        <f>IFERROR(IF(OR(L56="",L55=""),"",L56/L55-1),"")</f>
        <v/>
      </c>
      <c r="O56" s="30" t="n">
        <v>1415</v>
      </c>
      <c r="P56" s="32">
        <f>IFERROR(IF(OR(O56="",O44=""),"",O56/O44-1),"")</f>
        <v/>
      </c>
      <c r="Q56" s="32">
        <f>IFERROR(IF(OR(O56="",O55=""),"",O56/O55-1),"")</f>
        <v/>
      </c>
      <c r="R56" s="33" t="n">
        <v>44993</v>
      </c>
    </row>
    <row r="57">
      <c r="A57" s="6" t="n">
        <v>44958</v>
      </c>
      <c r="B57" s="7" t="inlineStr">
        <is>
          <t>FY2023</t>
        </is>
      </c>
      <c r="C57" s="30" t="n">
        <v>6.25</v>
      </c>
      <c r="D57" s="32">
        <f>IFERROR(IF(OR(C57="",C45=""),"",C57/C45-1),"")</f>
        <v/>
      </c>
      <c r="E57" s="32">
        <f>IFERROR(IF(OR(C57="",C56=""),"",C57/C56-1),"")</f>
        <v/>
      </c>
      <c r="F57" s="30" t="n">
        <v>7.46</v>
      </c>
      <c r="G57" s="32">
        <f>IFERROR(IF(OR(F57="",F45=""),"",F57/F45-1),"")</f>
        <v/>
      </c>
      <c r="H57" s="32">
        <f>IFERROR(IF(OR(F57="",F56=""),"",F57/F56-1),"")</f>
        <v/>
      </c>
      <c r="I57" s="30" t="n"/>
      <c r="J57" s="32">
        <f>IFERROR(IF(OR(I57="",I45=""),"",I57/I45-1),"")</f>
        <v/>
      </c>
      <c r="K57" s="32">
        <f>IFERROR(IF(OR(I57="",I56=""),"",I57/I56-1),"")</f>
        <v/>
      </c>
      <c r="L57" s="30" t="n">
        <v>13.3</v>
      </c>
      <c r="M57" s="32">
        <f>IFERROR(IF(OR(L57="",L45=""),"",L57/L45-1),"")</f>
        <v/>
      </c>
      <c r="N57" s="32">
        <f>IFERROR(IF(OR(L57="",L56=""),"",L57/L56-1),"")</f>
        <v/>
      </c>
      <c r="O57" s="30" t="n">
        <v>976.46</v>
      </c>
      <c r="P57" s="32">
        <f>IFERROR(IF(OR(O57="",O45=""),"",O57/O45-1),"")</f>
        <v/>
      </c>
      <c r="Q57" s="32">
        <f>IFERROR(IF(OR(O57="",O56=""),"",O57/O56-1),"")</f>
        <v/>
      </c>
      <c r="R57" s="33" t="n">
        <v>44993</v>
      </c>
    </row>
    <row r="58">
      <c r="A58" s="6" t="n">
        <v>44986</v>
      </c>
      <c r="B58" s="7" t="inlineStr">
        <is>
          <t>FY2023</t>
        </is>
      </c>
      <c r="C58" s="34">
        <f>'FY Totals'!B8-'FY Totals'!D8</f>
        <v/>
      </c>
      <c r="D58" s="32">
        <f>IFERROR(IF(OR(C58="",C46=""),"",C58/C46-1),"")</f>
        <v/>
      </c>
      <c r="E58" s="32">
        <f>IFERROR(IF(OR(C58="",C57=""),"",C58/C57-1),"")</f>
        <v/>
      </c>
      <c r="F58" s="34">
        <f>'FY Totals'!E8-'FY Totals'!G8</f>
        <v/>
      </c>
      <c r="G58" s="32">
        <f>IFERROR(IF(OR(F58="",F46=""),"",F58/F46-1),"")</f>
        <v/>
      </c>
      <c r="H58" s="32">
        <f>IFERROR(IF(OR(F58="",F57=""),"",F58/F57-1),"")</f>
        <v/>
      </c>
      <c r="I58" s="30" t="n"/>
      <c r="J58" s="32">
        <f>IFERROR(IF(OR(I58="",I46=""),"",I58/I46-1),"")</f>
        <v/>
      </c>
      <c r="K58" s="32">
        <f>IFERROR(IF(OR(I58="",I57=""),"",I58/I57-1),"")</f>
        <v/>
      </c>
      <c r="L58" s="34">
        <f>'FY Totals'!K8-'FY Totals'!M8</f>
        <v/>
      </c>
      <c r="M58" s="32">
        <f>IFERROR(IF(OR(L58="",L46=""),"",L58/L46-1),"")</f>
        <v/>
      </c>
      <c r="N58" s="32">
        <f>IFERROR(IF(OR(L58="",L57=""),"",L58/L57-1),"")</f>
        <v/>
      </c>
      <c r="O58" s="34">
        <f>'FY Totals'!N8-'FY Totals'!P8</f>
        <v/>
      </c>
      <c r="P58" s="32">
        <f>IFERROR(IF(OR(O58="",O46=""),"",O58/O46-1),"")</f>
        <v/>
      </c>
      <c r="Q58" s="32">
        <f>IFERROR(IF(OR(O58="",O57=""),"",O58/O57-1),"")</f>
        <v/>
      </c>
      <c r="R58" s="33" t="n"/>
    </row>
    <row r="59">
      <c r="A59" s="6" t="n">
        <v>45017</v>
      </c>
      <c r="B59" s="7" t="inlineStr">
        <is>
          <t>FY2024</t>
        </is>
      </c>
      <c r="C59" s="30" t="n">
        <v>2.33</v>
      </c>
      <c r="D59" s="32">
        <f>IFERROR(IF(OR(C59="",C47=""),"",C59/C47-1),"")</f>
        <v/>
      </c>
      <c r="E59" s="32">
        <f>IFERROR(IF(OR(C59="",C58=""),"",C59/C58-1),"")</f>
        <v/>
      </c>
      <c r="F59" s="30" t="n">
        <v>3.68</v>
      </c>
      <c r="G59" s="32">
        <f>IFERROR(IF(OR(F59="",F47=""),"",F59/F47-1),"")</f>
        <v/>
      </c>
      <c r="H59" s="32">
        <f>IFERROR(IF(OR(F59="",F58=""),"",F59/F58-1),"")</f>
        <v/>
      </c>
      <c r="I59" s="30" t="n"/>
      <c r="J59" s="32">
        <f>IFERROR(IF(OR(I59="",I47=""),"",I59/I47-1),"")</f>
        <v/>
      </c>
      <c r="K59" s="32">
        <f>IFERROR(IF(OR(I59="",I58=""),"",I59/I58-1),"")</f>
        <v/>
      </c>
      <c r="L59" s="30" t="n">
        <v>7.34</v>
      </c>
      <c r="M59" s="32">
        <f>IFERROR(IF(OR(L59="",L47=""),"",L59/L47-1),"")</f>
        <v/>
      </c>
      <c r="N59" s="32">
        <f>IFERROR(IF(OR(L59="",L58=""),"",L59/L58-1),"")</f>
        <v/>
      </c>
      <c r="O59" s="30" t="n">
        <v>840.55</v>
      </c>
      <c r="P59" s="32">
        <f>IFERROR(IF(OR(O59="",O47=""),"",O59/O47-1),"")</f>
        <v/>
      </c>
      <c r="Q59" s="32">
        <f>IFERROR(IF(OR(O59="",O58=""),"",O59/O58-1),"")</f>
        <v/>
      </c>
      <c r="R59" s="33" t="n">
        <v>45114</v>
      </c>
    </row>
    <row r="60">
      <c r="A60" s="6" t="n">
        <v>45047</v>
      </c>
      <c r="B60" s="7" t="inlineStr">
        <is>
          <t>FY2024</t>
        </is>
      </c>
      <c r="C60" s="30" t="n">
        <v>3.46</v>
      </c>
      <c r="D60" s="32">
        <f>IFERROR(IF(OR(C60="",C48=""),"",C60/C48-1),"")</f>
        <v/>
      </c>
      <c r="E60" s="32">
        <f>IFERROR(IF(OR(C60="",C59=""),"",C60/C59-1),"")</f>
        <v/>
      </c>
      <c r="F60" s="30" t="n">
        <v>4.66</v>
      </c>
      <c r="G60" s="32">
        <f>IFERROR(IF(OR(F60="",F48=""),"",F60/F48-1),"")</f>
        <v/>
      </c>
      <c r="H60" s="32">
        <f>IFERROR(IF(OR(F60="",F59=""),"",F60/F59-1),"")</f>
        <v/>
      </c>
      <c r="I60" s="30" t="n"/>
      <c r="J60" s="32">
        <f>IFERROR(IF(OR(I60="",I48=""),"",I60/I48-1),"")</f>
        <v/>
      </c>
      <c r="K60" s="32">
        <f>IFERROR(IF(OR(I60="",I59=""),"",I60/I59-1),"")</f>
        <v/>
      </c>
      <c r="L60" s="30" t="n">
        <v>9.94</v>
      </c>
      <c r="M60" s="32">
        <f>IFERROR(IF(OR(L60="",L48=""),"",L60/L48-1),"")</f>
        <v/>
      </c>
      <c r="N60" s="32">
        <f>IFERROR(IF(OR(L60="",L59=""),"",L60/L59-1),"")</f>
        <v/>
      </c>
      <c r="O60" s="30" t="n">
        <v>811.22</v>
      </c>
      <c r="P60" s="32">
        <f>IFERROR(IF(OR(O60="",O48=""),"",O60/O48-1),"")</f>
        <v/>
      </c>
      <c r="Q60" s="32">
        <f>IFERROR(IF(OR(O60="",O59=""),"",O60/O59-1),"")</f>
        <v/>
      </c>
      <c r="R60" s="33" t="n">
        <v>45114</v>
      </c>
    </row>
    <row r="61">
      <c r="A61" s="6" t="n">
        <v>45078</v>
      </c>
      <c r="B61" s="7" t="inlineStr">
        <is>
          <t>FY2024</t>
        </is>
      </c>
      <c r="C61" s="30" t="n">
        <v>4.82</v>
      </c>
      <c r="D61" s="32">
        <f>IFERROR(IF(OR(C61="",C49=""),"",C61/C49-1),"")</f>
        <v/>
      </c>
      <c r="E61" s="32">
        <f>IFERROR(IF(OR(C61="",C60=""),"",C61/C60-1),"")</f>
        <v/>
      </c>
      <c r="F61" s="30" t="n">
        <v>6.26</v>
      </c>
      <c r="G61" s="32">
        <f>IFERROR(IF(OR(F61="",F49=""),"",F61/F49-1),"")</f>
        <v/>
      </c>
      <c r="H61" s="32">
        <f>IFERROR(IF(OR(F61="",F60=""),"",F61/F60-1),"")</f>
        <v/>
      </c>
      <c r="I61" s="30" t="n"/>
      <c r="J61" s="32">
        <f>IFERROR(IF(OR(I61="",I49=""),"",I61/I49-1),"")</f>
        <v/>
      </c>
      <c r="K61" s="32">
        <f>IFERROR(IF(OR(I61="",I60=""),"",I61/I60-1),"")</f>
        <v/>
      </c>
      <c r="L61" s="30" t="n">
        <v>13.24</v>
      </c>
      <c r="M61" s="32">
        <f>IFERROR(IF(OR(L61="",L49=""),"",L61/L49-1),"")</f>
        <v/>
      </c>
      <c r="N61" s="32">
        <f>IFERROR(IF(OR(L61="",L60=""),"",L61/L60-1),"")</f>
        <v/>
      </c>
      <c r="O61" s="30" t="n">
        <v>751.28</v>
      </c>
      <c r="P61" s="32">
        <f>IFERROR(IF(OR(O61="",O49=""),"",O61/O49-1),"")</f>
        <v/>
      </c>
      <c r="Q61" s="32">
        <f>IFERROR(IF(OR(O61="",O60=""),"",O61/O60-1),"")</f>
        <v/>
      </c>
      <c r="R61" s="33" t="n">
        <v>45114</v>
      </c>
    </row>
    <row r="62">
      <c r="A62" s="6" t="n">
        <v>45108</v>
      </c>
      <c r="B62" s="7" t="inlineStr">
        <is>
          <t>FY2024</t>
        </is>
      </c>
      <c r="C62" s="30" t="n">
        <v>4.85</v>
      </c>
      <c r="D62" s="32">
        <f>IFERROR(IF(OR(C62="",C50=""),"",C62/C50-1),"")</f>
        <v/>
      </c>
      <c r="E62" s="32">
        <f>IFERROR(IF(OR(C62="",C61=""),"",C62/C61-1),"")</f>
        <v/>
      </c>
      <c r="F62" s="30" t="n">
        <v>6.65</v>
      </c>
      <c r="G62" s="32">
        <f>IFERROR(IF(OR(F62="",F50=""),"",F62/F50-1),"")</f>
        <v/>
      </c>
      <c r="H62" s="32">
        <f>IFERROR(IF(OR(F62="",F61=""),"",F62/F61-1),"")</f>
        <v/>
      </c>
      <c r="I62" s="30" t="n"/>
      <c r="J62" s="32">
        <f>IFERROR(IF(OR(I62="",I50=""),"",I62/I50-1),"")</f>
        <v/>
      </c>
      <c r="K62" s="32">
        <f>IFERROR(IF(OR(I62="",I61=""),"",I62/I61-1),"")</f>
        <v/>
      </c>
      <c r="L62" s="30" t="n">
        <v>16.39</v>
      </c>
      <c r="M62" s="32">
        <f>IFERROR(IF(OR(L62="",L50=""),"",L62/L50-1),"")</f>
        <v/>
      </c>
      <c r="N62" s="32">
        <f>IFERROR(IF(OR(L62="",L61=""),"",L62/L61-1),"")</f>
        <v/>
      </c>
      <c r="O62" s="30" t="n">
        <v>834.41</v>
      </c>
      <c r="P62" s="32">
        <f>IFERROR(IF(OR(O62="",O50=""),"",O62/O50-1),"")</f>
        <v/>
      </c>
      <c r="Q62" s="32">
        <f>IFERROR(IF(OR(O62="",O61=""),"",O62/O61-1),"")</f>
        <v/>
      </c>
      <c r="R62" s="33" t="n">
        <v>45208</v>
      </c>
    </row>
    <row r="63">
      <c r="A63" s="6" t="n">
        <v>45139</v>
      </c>
      <c r="B63" s="7" t="inlineStr">
        <is>
          <t>FY2024</t>
        </is>
      </c>
      <c r="C63" s="30" t="n">
        <v>5.26</v>
      </c>
      <c r="D63" s="32">
        <f>IFERROR(IF(OR(C63="",C51=""),"",C63/C51-1),"")</f>
        <v/>
      </c>
      <c r="E63" s="32">
        <f>IFERROR(IF(OR(C63="",C62=""),"",C63/C62-1),"")</f>
        <v/>
      </c>
      <c r="F63" s="30" t="n">
        <v>6.64</v>
      </c>
      <c r="G63" s="32">
        <f>IFERROR(IF(OR(F63="",F51=""),"",F63/F51-1),"")</f>
        <v/>
      </c>
      <c r="H63" s="32">
        <f>IFERROR(IF(OR(F63="",F62=""),"",F63/F62-1),"")</f>
        <v/>
      </c>
      <c r="I63" s="30" t="n"/>
      <c r="J63" s="32">
        <f>IFERROR(IF(OR(I63="",I51=""),"",I63/I51-1),"")</f>
        <v/>
      </c>
      <c r="K63" s="32">
        <f>IFERROR(IF(OR(I63="",I62=""),"",I63/I62-1),"")</f>
        <v/>
      </c>
      <c r="L63" s="30" t="n">
        <v>13.44</v>
      </c>
      <c r="M63" s="32">
        <f>IFERROR(IF(OR(L63="",L51=""),"",L63/L51-1),"")</f>
        <v/>
      </c>
      <c r="N63" s="32">
        <f>IFERROR(IF(OR(L63="",L62=""),"",L63/L62-1),"")</f>
        <v/>
      </c>
      <c r="O63" s="30" t="n">
        <v>854.97</v>
      </c>
      <c r="P63" s="32">
        <f>IFERROR(IF(OR(O63="",O51=""),"",O63/O51-1),"")</f>
        <v/>
      </c>
      <c r="Q63" s="32">
        <f>IFERROR(IF(OR(O63="",O62=""),"",O63/O62-1),"")</f>
        <v/>
      </c>
      <c r="R63" s="33" t="n">
        <v>45208</v>
      </c>
    </row>
    <row r="64">
      <c r="A64" s="6" t="n">
        <v>45170</v>
      </c>
      <c r="B64" s="7" t="inlineStr">
        <is>
          <t>FY2024</t>
        </is>
      </c>
      <c r="C64" s="30" t="n">
        <v>5.62</v>
      </c>
      <c r="D64" s="32">
        <f>IFERROR(IF(OR(C64="",C52=""),"",C64/C52-1),"")</f>
        <v/>
      </c>
      <c r="E64" s="32">
        <f>IFERROR(IF(OR(C64="",C63=""),"",C64/C63-1),"")</f>
        <v/>
      </c>
      <c r="F64" s="30" t="n">
        <v>7.33</v>
      </c>
      <c r="G64" s="32">
        <f>IFERROR(IF(OR(F64="",F52=""),"",F64/F52-1),"")</f>
        <v/>
      </c>
      <c r="H64" s="32">
        <f>IFERROR(IF(OR(F64="",F63=""),"",F64/F63-1),"")</f>
        <v/>
      </c>
      <c r="I64" s="30" t="n"/>
      <c r="J64" s="32">
        <f>IFERROR(IF(OR(I64="",I52=""),"",I64/I52-1),"")</f>
        <v/>
      </c>
      <c r="K64" s="32">
        <f>IFERROR(IF(OR(I64="",I63=""),"",I64/I63-1),"")</f>
        <v/>
      </c>
      <c r="L64" s="30" t="n">
        <v>13.76</v>
      </c>
      <c r="M64" s="32">
        <f>IFERROR(IF(OR(L64="",L52=""),"",L64/L52-1),"")</f>
        <v/>
      </c>
      <c r="N64" s="32">
        <f>IFERROR(IF(OR(L64="",L63=""),"",L64/L63-1),"")</f>
        <v/>
      </c>
      <c r="O64" s="30" t="n">
        <v>821.41</v>
      </c>
      <c r="P64" s="32">
        <f>IFERROR(IF(OR(O64="",O52=""),"",O64/O52-1),"")</f>
        <v/>
      </c>
      <c r="Q64" s="32">
        <f>IFERROR(IF(OR(O64="",O63=""),"",O64/O63-1),"")</f>
        <v/>
      </c>
      <c r="R64" s="33" t="n">
        <v>45208</v>
      </c>
    </row>
    <row r="65">
      <c r="A65" s="6" t="n">
        <v>45200</v>
      </c>
      <c r="B65" s="7" t="inlineStr">
        <is>
          <t>FY2024</t>
        </is>
      </c>
      <c r="C65" s="30" t="n">
        <v>4.81</v>
      </c>
      <c r="D65" s="32">
        <f>IFERROR(IF(OR(C65="",C53=""),"",C65/C53-1),"")</f>
        <v/>
      </c>
      <c r="E65" s="32">
        <f>IFERROR(IF(OR(C65="",C64=""),"",C65/C64-1),"")</f>
        <v/>
      </c>
      <c r="F65" s="30" t="n">
        <v>6.03</v>
      </c>
      <c r="G65" s="32">
        <f>IFERROR(IF(OR(F65="",F53=""),"",F65/F53-1),"")</f>
        <v/>
      </c>
      <c r="H65" s="32">
        <f>IFERROR(IF(OR(F65="",F64=""),"",F65/F64-1),"")</f>
        <v/>
      </c>
      <c r="I65" s="30" t="n"/>
      <c r="J65" s="32">
        <f>IFERROR(IF(OR(I65="",I53=""),"",I65/I53-1),"")</f>
        <v/>
      </c>
      <c r="K65" s="32">
        <f>IFERROR(IF(OR(I65="",I64=""),"",I65/I64-1),"")</f>
        <v/>
      </c>
      <c r="L65" s="30" t="n">
        <v>13.29</v>
      </c>
      <c r="M65" s="32">
        <f>IFERROR(IF(OR(L65="",L53=""),"",L65/L53-1),"")</f>
        <v/>
      </c>
      <c r="N65" s="32">
        <f>IFERROR(IF(OR(L65="",L64=""),"",L65/L64-1),"")</f>
        <v/>
      </c>
      <c r="O65" s="30" t="n">
        <v>773.6900000000001</v>
      </c>
      <c r="P65" s="32">
        <f>IFERROR(IF(OR(O65="",O53=""),"",O65/O53-1),"")</f>
        <v/>
      </c>
      <c r="Q65" s="32">
        <f>IFERROR(IF(OR(O65="",O64=""),"",O65/O64-1),"")</f>
        <v/>
      </c>
      <c r="R65" s="33" t="n">
        <v>45267</v>
      </c>
    </row>
    <row r="66">
      <c r="A66" s="6" t="n">
        <v>45231</v>
      </c>
      <c r="B66" s="7" t="inlineStr">
        <is>
          <t>FY2024</t>
        </is>
      </c>
      <c r="C66" s="30" t="n">
        <v>4.48</v>
      </c>
      <c r="D66" s="32">
        <f>IFERROR(IF(OR(C66="",C54=""),"",C66/C54-1),"")</f>
        <v/>
      </c>
      <c r="E66" s="32">
        <f>IFERROR(IF(OR(C66="",C65=""),"",C66/C65-1),"")</f>
        <v/>
      </c>
      <c r="F66" s="30" t="n">
        <v>5.55</v>
      </c>
      <c r="G66" s="32">
        <f>IFERROR(IF(OR(F66="",F54=""),"",F66/F54-1),"")</f>
        <v/>
      </c>
      <c r="H66" s="32">
        <f>IFERROR(IF(OR(F66="",F65=""),"",F66/F65-1),"")</f>
        <v/>
      </c>
      <c r="I66" s="30" t="n"/>
      <c r="J66" s="32">
        <f>IFERROR(IF(OR(I66="",I54=""),"",I66/I54-1),"")</f>
        <v/>
      </c>
      <c r="K66" s="32">
        <f>IFERROR(IF(OR(I66="",I65=""),"",I66/I65-1),"")</f>
        <v/>
      </c>
      <c r="L66" s="30" t="n">
        <v>12.91</v>
      </c>
      <c r="M66" s="32">
        <f>IFERROR(IF(OR(L66="",L54=""),"",L66/L54-1),"")</f>
        <v/>
      </c>
      <c r="N66" s="32">
        <f>IFERROR(IF(OR(L66="",L65=""),"",L66/L65-1),"")</f>
        <v/>
      </c>
      <c r="O66" s="30" t="n">
        <v>793.26</v>
      </c>
      <c r="P66" s="32">
        <f>IFERROR(IF(OR(O66="",O54=""),"",O66/O54-1),"")</f>
        <v/>
      </c>
      <c r="Q66" s="32">
        <f>IFERROR(IF(OR(O66="",O65=""),"",O66/O65-1),"")</f>
        <v/>
      </c>
      <c r="R66" s="33" t="n">
        <v>45267</v>
      </c>
    </row>
    <row r="67">
      <c r="A67" s="6" t="n">
        <v>45261</v>
      </c>
      <c r="B67" s="7" t="inlineStr">
        <is>
          <t>FY2024</t>
        </is>
      </c>
      <c r="C67" s="30" t="n">
        <v>6.5</v>
      </c>
      <c r="D67" s="32">
        <f>IFERROR(IF(OR(C67="",C55=""),"",C67/C55-1),"")</f>
        <v/>
      </c>
      <c r="E67" s="32">
        <f>IFERROR(IF(OR(C67="",C66=""),"",C67/C66-1),"")</f>
        <v/>
      </c>
      <c r="F67" s="30" t="n">
        <v>7.49</v>
      </c>
      <c r="G67" s="32">
        <f>IFERROR(IF(OR(F67="",F55=""),"",F67/F55-1),"")</f>
        <v/>
      </c>
      <c r="H67" s="32">
        <f>IFERROR(IF(OR(F67="",F66=""),"",F67/F66-1),"")</f>
        <v/>
      </c>
      <c r="I67" s="30" t="n"/>
      <c r="J67" s="32">
        <f>IFERROR(IF(OR(I67="",I55=""),"",I67/I55-1),"")</f>
        <v/>
      </c>
      <c r="K67" s="32">
        <f>IFERROR(IF(OR(I67="",I66=""),"",I67/I66-1),"")</f>
        <v/>
      </c>
      <c r="L67" s="30" t="n">
        <v>14.97</v>
      </c>
      <c r="M67" s="32">
        <f>IFERROR(IF(OR(L67="",L55=""),"",L67/L55-1),"")</f>
        <v/>
      </c>
      <c r="N67" s="32">
        <f>IFERROR(IF(OR(L67="",L66=""),"",L67/L66-1),"")</f>
        <v/>
      </c>
      <c r="O67" s="30" t="n">
        <v>747.7</v>
      </c>
      <c r="P67" s="32">
        <f>IFERROR(IF(OR(O67="",O55=""),"",O67/O55-1),"")</f>
        <v/>
      </c>
      <c r="Q67" s="32">
        <f>IFERROR(IF(OR(O67="",O66=""),"",O67/O66-1),"")</f>
        <v/>
      </c>
      <c r="R67" s="33" t="n">
        <v>45300</v>
      </c>
    </row>
    <row r="68">
      <c r="A68" s="6" t="n">
        <v>45292</v>
      </c>
      <c r="B68" s="7" t="inlineStr">
        <is>
          <t>FY2024</t>
        </is>
      </c>
      <c r="C68" s="30" t="n">
        <v>6.63</v>
      </c>
      <c r="D68" s="32">
        <f>IFERROR(IF(OR(C68="",C56=""),"",C68/C56-1),"")</f>
        <v/>
      </c>
      <c r="E68" s="32">
        <f>IFERROR(IF(OR(C68="",C67=""),"",C68/C67-1),"")</f>
        <v/>
      </c>
      <c r="F68" s="30" t="n">
        <v>8.09</v>
      </c>
      <c r="G68" s="32">
        <f>IFERROR(IF(OR(F68="",F56=""),"",F68/F56-1),"")</f>
        <v/>
      </c>
      <c r="H68" s="32">
        <f>IFERROR(IF(OR(F68="",F67=""),"",F68/F67-1),"")</f>
        <v/>
      </c>
      <c r="I68" s="30" t="n"/>
      <c r="J68" s="32">
        <f>IFERROR(IF(OR(I68="",I56=""),"",I68/I56-1),"")</f>
        <v/>
      </c>
      <c r="K68" s="32">
        <f>IFERROR(IF(OR(I68="",I67=""),"",I68/I67-1),"")</f>
        <v/>
      </c>
      <c r="L68" s="30" t="n">
        <v>15.65</v>
      </c>
      <c r="M68" s="32">
        <f>IFERROR(IF(OR(L68="",L56=""),"",L68/L56-1),"")</f>
        <v/>
      </c>
      <c r="N68" s="32">
        <f>IFERROR(IF(OR(L68="",L67=""),"",L68/L67-1),"")</f>
        <v/>
      </c>
      <c r="O68" s="30" t="n">
        <v>1076.18</v>
      </c>
      <c r="P68" s="32">
        <f>IFERROR(IF(OR(O68="",O56=""),"",O68/O56-1),"")</f>
        <v/>
      </c>
      <c r="Q68" s="32">
        <f>IFERROR(IF(OR(O68="",O67=""),"",O68/O67-1),"")</f>
        <v/>
      </c>
      <c r="R68" s="33" t="n">
        <v>45400</v>
      </c>
    </row>
    <row r="69">
      <c r="A69" s="6" t="n">
        <v>45323</v>
      </c>
      <c r="B69" s="7" t="inlineStr">
        <is>
          <t>FY2024</t>
        </is>
      </c>
      <c r="C69" s="30" t="n">
        <v>8.369999999999999</v>
      </c>
      <c r="D69" s="32">
        <f>IFERROR(IF(OR(C69="",C57=""),"",C69/C57-1),"")</f>
        <v/>
      </c>
      <c r="E69" s="32">
        <f>IFERROR(IF(OR(C69="",C68=""),"",C69/C68-1),"")</f>
        <v/>
      </c>
      <c r="F69" s="30" t="n">
        <v>10.33</v>
      </c>
      <c r="G69" s="32">
        <f>IFERROR(IF(OR(F69="",F57=""),"",F69/F57-1),"")</f>
        <v/>
      </c>
      <c r="H69" s="32">
        <f>IFERROR(IF(OR(F69="",F68=""),"",F69/F68-1),"")</f>
        <v/>
      </c>
      <c r="I69" s="30" t="n"/>
      <c r="J69" s="32">
        <f>IFERROR(IF(OR(I69="",I57=""),"",I69/I57-1),"")</f>
        <v/>
      </c>
      <c r="K69" s="32">
        <f>IFERROR(IF(OR(I69="",I68=""),"",I69/I68-1),"")</f>
        <v/>
      </c>
      <c r="L69" s="30" t="n">
        <v>17.63</v>
      </c>
      <c r="M69" s="32">
        <f>IFERROR(IF(OR(L69="",L57=""),"",L69/L57-1),"")</f>
        <v/>
      </c>
      <c r="N69" s="32">
        <f>IFERROR(IF(OR(L69="",L68=""),"",L69/L68-1),"")</f>
        <v/>
      </c>
      <c r="O69" s="30" t="n">
        <v>808.13</v>
      </c>
      <c r="P69" s="32">
        <f>IFERROR(IF(OR(O69="",O57=""),"",O69/O57-1),"")</f>
        <v/>
      </c>
      <c r="Q69" s="32">
        <f>IFERROR(IF(OR(O69="",O68=""),"",O69/O68-1),"")</f>
        <v/>
      </c>
      <c r="R69" s="33" t="n">
        <v>45400</v>
      </c>
    </row>
    <row r="70">
      <c r="A70" s="6" t="n">
        <v>45352</v>
      </c>
      <c r="B70" s="7" t="inlineStr">
        <is>
          <t>FY2024</t>
        </is>
      </c>
      <c r="C70" s="30" t="n">
        <v>15.01</v>
      </c>
      <c r="D70" s="32">
        <f>IFERROR(IF(OR(C70="",C58=""),"",C70/C58-1),"")</f>
        <v/>
      </c>
      <c r="E70" s="32">
        <f>IFERROR(IF(OR(C70="",C69=""),"",C70/C69-1),"")</f>
        <v/>
      </c>
      <c r="F70" s="30" t="n">
        <v>17.74</v>
      </c>
      <c r="G70" s="32">
        <f>IFERROR(IF(OR(F70="",F58=""),"",F70/F58-1),"")</f>
        <v/>
      </c>
      <c r="H70" s="32">
        <f>IFERROR(IF(OR(F70="",F69=""),"",F70/F69-1),"")</f>
        <v/>
      </c>
      <c r="I70" s="30" t="n"/>
      <c r="J70" s="32">
        <f>IFERROR(IF(OR(I70="",I58=""),"",I70/I58-1),"")</f>
        <v/>
      </c>
      <c r="K70" s="32">
        <f>IFERROR(IF(OR(I70="",I69=""),"",I70/I69-1),"")</f>
        <v/>
      </c>
      <c r="L70" s="30" t="n">
        <v>32.25</v>
      </c>
      <c r="M70" s="32">
        <f>IFERROR(IF(OR(L70="",L58=""),"",L70/L58-1),"")</f>
        <v/>
      </c>
      <c r="N70" s="32">
        <f>IFERROR(IF(OR(L70="",L69=""),"",L70/L69-1),"")</f>
        <v/>
      </c>
      <c r="O70" s="30" t="n">
        <v>1108.31</v>
      </c>
      <c r="P70" s="32">
        <f>IFERROR(IF(OR(O70="",O58=""),"",O70/O58-1),"")</f>
        <v/>
      </c>
      <c r="Q70" s="32">
        <f>IFERROR(IF(OR(O70="",O69=""),"",O70/O69-1),"")</f>
        <v/>
      </c>
      <c r="R70" s="33" t="n">
        <v>45400</v>
      </c>
    </row>
    <row r="71">
      <c r="A71" s="6" t="n">
        <v>45383</v>
      </c>
      <c r="B71" s="7" t="inlineStr">
        <is>
          <t>FY2025</t>
        </is>
      </c>
      <c r="C71" s="30" t="n">
        <v>4.01</v>
      </c>
      <c r="D71" s="32">
        <f>IFERROR(IF(OR(C71="",C59=""),"",C71/C59-1),"")</f>
        <v/>
      </c>
      <c r="E71" s="32">
        <f>IFERROR(IF(OR(C71="",C70=""),"",C71/C70-1),"")</f>
        <v/>
      </c>
      <c r="F71" s="30" t="n">
        <v>5.26</v>
      </c>
      <c r="G71" s="32">
        <f>IFERROR(IF(OR(F71="",F59=""),"",F71/F59-1),"")</f>
        <v/>
      </c>
      <c r="H71" s="32">
        <f>IFERROR(IF(OR(F71="",F70=""),"",F71/F70-1),"")</f>
        <v/>
      </c>
      <c r="I71" s="30" t="n"/>
      <c r="J71" s="32">
        <f>IFERROR(IF(OR(I71="",I59=""),"",I71/I59-1),"")</f>
        <v/>
      </c>
      <c r="K71" s="32">
        <f>IFERROR(IF(OR(I71="",I70=""),"",I71/I70-1),"")</f>
        <v/>
      </c>
      <c r="L71" s="30" t="n">
        <v>9.4</v>
      </c>
      <c r="M71" s="32">
        <f>IFERROR(IF(OR(L71="",L59=""),"",L71/L59-1),"")</f>
        <v/>
      </c>
      <c r="N71" s="32">
        <f>IFERROR(IF(OR(L71="",L70=""),"",L71/L70-1),"")</f>
        <v/>
      </c>
      <c r="O71" s="30" t="n">
        <v>981.96</v>
      </c>
      <c r="P71" s="32">
        <f>IFERROR(IF(OR(O71="",O59=""),"",O71/O59-1),"")</f>
        <v/>
      </c>
      <c r="Q71" s="32">
        <f>IFERROR(IF(OR(O71="",O70=""),"",O71/O70-1),"")</f>
        <v/>
      </c>
      <c r="R71" s="33" t="n">
        <v>45481</v>
      </c>
    </row>
    <row r="72">
      <c r="A72" s="6" t="n">
        <v>45413</v>
      </c>
      <c r="B72" s="7" t="inlineStr">
        <is>
          <t>FY2025</t>
        </is>
      </c>
      <c r="C72" s="30" t="n">
        <v>5.42</v>
      </c>
      <c r="D72" s="32">
        <f>IFERROR(IF(OR(C72="",C60=""),"",C72/C60-1),"")</f>
        <v/>
      </c>
      <c r="E72" s="32">
        <f>IFERROR(IF(OR(C72="",C71=""),"",C72/C71-1),"")</f>
        <v/>
      </c>
      <c r="F72" s="30" t="n">
        <v>7.05</v>
      </c>
      <c r="G72" s="32">
        <f>IFERROR(IF(OR(F72="",F60=""),"",F72/F60-1),"")</f>
        <v/>
      </c>
      <c r="H72" s="32">
        <f>IFERROR(IF(OR(F72="",F71=""),"",F72/F71-1),"")</f>
        <v/>
      </c>
      <c r="I72" s="30" t="n"/>
      <c r="J72" s="32">
        <f>IFERROR(IF(OR(I72="",I60=""),"",I72/I60-1),"")</f>
        <v/>
      </c>
      <c r="K72" s="32">
        <f>IFERROR(IF(OR(I72="",I71=""),"",I72/I71-1),"")</f>
        <v/>
      </c>
      <c r="L72" s="30" t="n">
        <v>13.18</v>
      </c>
      <c r="M72" s="32">
        <f>IFERROR(IF(OR(L72="",L60=""),"",L72/L60-1),"")</f>
        <v/>
      </c>
      <c r="N72" s="32">
        <f>IFERROR(IF(OR(L72="",L71=""),"",L72/L71-1),"")</f>
        <v/>
      </c>
      <c r="O72" s="30" t="n">
        <v>889.24</v>
      </c>
      <c r="P72" s="32">
        <f>IFERROR(IF(OR(O72="",O60=""),"",O72/O60-1),"")</f>
        <v/>
      </c>
      <c r="Q72" s="32">
        <f>IFERROR(IF(OR(O72="",O71=""),"",O72/O71-1),"")</f>
        <v/>
      </c>
      <c r="R72" s="33" t="n">
        <v>45481</v>
      </c>
    </row>
    <row r="73">
      <c r="A73" s="6" t="n">
        <v>45444</v>
      </c>
      <c r="B73" s="7" t="inlineStr">
        <is>
          <t>FY2025</t>
        </is>
      </c>
      <c r="C73" s="30" t="n">
        <v>6.15</v>
      </c>
      <c r="D73" s="32">
        <f>IFERROR(IF(OR(C73="",C61=""),"",C73/C61-1),"")</f>
        <v/>
      </c>
      <c r="E73" s="32">
        <f>IFERROR(IF(OR(C73="",C72=""),"",C73/C72-1),"")</f>
        <v/>
      </c>
      <c r="F73" s="30" t="n">
        <v>7.32</v>
      </c>
      <c r="G73" s="32">
        <f>IFERROR(IF(OR(F73="",F61=""),"",F73/F61-1),"")</f>
        <v/>
      </c>
      <c r="H73" s="32">
        <f>IFERROR(IF(OR(F73="",F72=""),"",F73/F72-1),"")</f>
        <v/>
      </c>
      <c r="I73" s="30" t="n"/>
      <c r="J73" s="32">
        <f>IFERROR(IF(OR(I73="",I61=""),"",I73/I61-1),"")</f>
        <v/>
      </c>
      <c r="K73" s="32">
        <f>IFERROR(IF(OR(I73="",I72=""),"",I73/I72-1),"")</f>
        <v/>
      </c>
      <c r="L73" s="30" t="n">
        <v>15.11</v>
      </c>
      <c r="M73" s="32">
        <f>IFERROR(IF(OR(L73="",L61=""),"",L73/L61-1),"")</f>
        <v/>
      </c>
      <c r="N73" s="32">
        <f>IFERROR(IF(OR(L73="",L72=""),"",L73/L72-1),"")</f>
        <v/>
      </c>
      <c r="O73" s="30" t="n">
        <v>853.48</v>
      </c>
      <c r="P73" s="32">
        <f>IFERROR(IF(OR(O73="",O61=""),"",O73/O61-1),"")</f>
        <v/>
      </c>
      <c r="Q73" s="32">
        <f>IFERROR(IF(OR(O73="",O72=""),"",O73/O72-1),"")</f>
        <v/>
      </c>
      <c r="R73" s="33" t="n">
        <v>45481</v>
      </c>
    </row>
    <row r="74">
      <c r="A74" s="6" t="n">
        <v>45474</v>
      </c>
      <c r="B74" s="7" t="inlineStr">
        <is>
          <t>FY2025</t>
        </is>
      </c>
      <c r="C74" s="30" t="n">
        <v>6.81</v>
      </c>
      <c r="D74" s="32">
        <f>IFERROR(IF(OR(C74="",C62=""),"",C74/C62-1),"")</f>
        <v/>
      </c>
      <c r="E74" s="32">
        <f>IFERROR(IF(OR(C74="",C73=""),"",C74/C73-1),"")</f>
        <v/>
      </c>
      <c r="F74" s="30" t="n">
        <v>8.25</v>
      </c>
      <c r="G74" s="32">
        <f>IFERROR(IF(OR(F74="",F62=""),"",F74/F62-1),"")</f>
        <v/>
      </c>
      <c r="H74" s="32">
        <f>IFERROR(IF(OR(F74="",F73=""),"",F74/F73-1),"")</f>
        <v/>
      </c>
      <c r="I74" s="30" t="n"/>
      <c r="J74" s="32">
        <f>IFERROR(IF(OR(I74="",I62=""),"",I74/I62-1),"")</f>
        <v/>
      </c>
      <c r="K74" s="32">
        <f>IFERROR(IF(OR(I74="",I73=""),"",I74/I73-1),"")</f>
        <v/>
      </c>
      <c r="L74" s="30" t="n">
        <v>17.6</v>
      </c>
      <c r="M74" s="32">
        <f>IFERROR(IF(OR(L74="",L62=""),"",L74/L62-1),"")</f>
        <v/>
      </c>
      <c r="N74" s="32">
        <f>IFERROR(IF(OR(L74="",L73=""),"",L74/L73-1),"")</f>
        <v/>
      </c>
      <c r="O74" s="30" t="n">
        <v>998.35</v>
      </c>
      <c r="P74" s="32">
        <f>IFERROR(IF(OR(O74="",O62=""),"",O74/O62-1),"")</f>
        <v/>
      </c>
      <c r="Q74" s="32">
        <f>IFERROR(IF(OR(O74="",O73=""),"",O74/O73-1),"")</f>
        <v/>
      </c>
      <c r="R74" s="33" t="n">
        <v>45576</v>
      </c>
    </row>
    <row r="75">
      <c r="A75" s="6" t="n">
        <v>45505</v>
      </c>
      <c r="B75" s="7" t="inlineStr">
        <is>
          <t>FY2025</t>
        </is>
      </c>
      <c r="C75" s="30" t="n">
        <v>6.81</v>
      </c>
      <c r="D75" s="32">
        <f>IFERROR(IF(OR(C75="",C63=""),"",C75/C63-1),"")</f>
        <v/>
      </c>
      <c r="E75" s="32">
        <f>IFERROR(IF(OR(C75="",C74=""),"",C75/C74-1),"")</f>
        <v/>
      </c>
      <c r="F75" s="30" t="n">
        <v>7.97</v>
      </c>
      <c r="G75" s="32">
        <f>IFERROR(IF(OR(F75="",F63=""),"",F75/F63-1),"")</f>
        <v/>
      </c>
      <c r="H75" s="32">
        <f>IFERROR(IF(OR(F75="",F74=""),"",F75/F74-1),"")</f>
        <v/>
      </c>
      <c r="I75" s="30" t="n"/>
      <c r="J75" s="32">
        <f>IFERROR(IF(OR(I75="",I63=""),"",I75/I63-1),"")</f>
        <v/>
      </c>
      <c r="K75" s="32">
        <f>IFERROR(IF(OR(I75="",I74=""),"",I75/I74-1),"")</f>
        <v/>
      </c>
      <c r="L75" s="30" t="n">
        <v>15.09</v>
      </c>
      <c r="M75" s="32">
        <f>IFERROR(IF(OR(L75="",L63=""),"",L75/L63-1),"")</f>
        <v/>
      </c>
      <c r="N75" s="32">
        <f>IFERROR(IF(OR(L75="",L74=""),"",L75/L74-1),"")</f>
        <v/>
      </c>
      <c r="O75" s="30" t="n">
        <v>973.76</v>
      </c>
      <c r="P75" s="32">
        <f>IFERROR(IF(OR(O75="",O63=""),"",O75/O63-1),"")</f>
        <v/>
      </c>
      <c r="Q75" s="32">
        <f>IFERROR(IF(OR(O75="",O74=""),"",O75/O74-1),"")</f>
        <v/>
      </c>
      <c r="R75" s="33" t="n">
        <v>45576</v>
      </c>
    </row>
    <row r="76">
      <c r="A76" s="6" t="n">
        <v>45536</v>
      </c>
      <c r="B76" s="7" t="inlineStr">
        <is>
          <t>FY2025</t>
        </is>
      </c>
      <c r="C76" s="30" t="n">
        <v>7.45</v>
      </c>
      <c r="D76" s="32">
        <f>IFERROR(IF(OR(C76="",C64=""),"",C76/C64-1),"")</f>
        <v/>
      </c>
      <c r="E76" s="32">
        <f>IFERROR(IF(OR(C76="",C75=""),"",C76/C75-1),"")</f>
        <v/>
      </c>
      <c r="F76" s="30" t="n">
        <v>8.81</v>
      </c>
      <c r="G76" s="32">
        <f>IFERROR(IF(OR(F76="",F64=""),"",F76/F64-1),"")</f>
        <v/>
      </c>
      <c r="H76" s="32">
        <f>IFERROR(IF(OR(F76="",F75=""),"",F76/F75-1),"")</f>
        <v/>
      </c>
      <c r="I76" s="30" t="n"/>
      <c r="J76" s="32">
        <f>IFERROR(IF(OR(I76="",I64=""),"",I76/I64-1),"")</f>
        <v/>
      </c>
      <c r="K76" s="32">
        <f>IFERROR(IF(OR(I76="",I75=""),"",I76/I75-1),"")</f>
        <v/>
      </c>
      <c r="L76" s="30" t="n">
        <v>16.6</v>
      </c>
      <c r="M76" s="32">
        <f>IFERROR(IF(OR(L76="",L64=""),"",L76/L64-1),"")</f>
        <v/>
      </c>
      <c r="N76" s="32">
        <f>IFERROR(IF(OR(L76="",L75=""),"",L76/L75-1),"")</f>
        <v/>
      </c>
      <c r="O76" s="30" t="n">
        <v>976.23</v>
      </c>
      <c r="P76" s="32">
        <f>IFERROR(IF(OR(O76="",O64=""),"",O76/O64-1),"")</f>
        <v/>
      </c>
      <c r="Q76" s="32">
        <f>IFERROR(IF(OR(O76="",O75=""),"",O76/O75-1),"")</f>
        <v/>
      </c>
      <c r="R76" s="33" t="n">
        <v>45576</v>
      </c>
    </row>
    <row r="77">
      <c r="A77" s="6" t="n">
        <v>45566</v>
      </c>
      <c r="B77" s="7" t="inlineStr">
        <is>
          <t>FY2025</t>
        </is>
      </c>
      <c r="C77" s="30" t="n">
        <v>5.85</v>
      </c>
      <c r="D77" s="32">
        <f>IFERROR(IF(OR(C77="",C65=""),"",C77/C65-1),"")</f>
        <v/>
      </c>
      <c r="E77" s="32">
        <f>IFERROR(IF(OR(C77="",C76=""),"",C77/C76-1),"")</f>
        <v/>
      </c>
      <c r="F77" s="30" t="n">
        <v>7.13</v>
      </c>
      <c r="G77" s="32">
        <f>IFERROR(IF(OR(F77="",F65=""),"",F77/F65-1),"")</f>
        <v/>
      </c>
      <c r="H77" s="32">
        <f>IFERROR(IF(OR(F77="",F76=""),"",F77/F76-1),"")</f>
        <v/>
      </c>
      <c r="I77" s="30" t="n"/>
      <c r="J77" s="32">
        <f>IFERROR(IF(OR(I77="",I65=""),"",I77/I65-1),"")</f>
        <v/>
      </c>
      <c r="K77" s="32">
        <f>IFERROR(IF(OR(I77="",I76=""),"",I77/I76-1),"")</f>
        <v/>
      </c>
      <c r="L77" s="30" t="n">
        <v>16.65</v>
      </c>
      <c r="M77" s="32">
        <f>IFERROR(IF(OR(L77="",L65=""),"",L77/L65-1),"")</f>
        <v/>
      </c>
      <c r="N77" s="32">
        <f>IFERROR(IF(OR(L77="",L76=""),"",L77/L76-1),"")</f>
        <v/>
      </c>
      <c r="O77" s="30" t="n">
        <v>909.47</v>
      </c>
      <c r="P77" s="32">
        <f>IFERROR(IF(OR(O77="",O65=""),"",O77/O65-1),"")</f>
        <v/>
      </c>
      <c r="Q77" s="32">
        <f>IFERROR(IF(OR(O77="",O76=""),"",O77/O76-1),"")</f>
        <v/>
      </c>
      <c r="R77" s="33" t="n">
        <v>45667</v>
      </c>
    </row>
    <row r="78">
      <c r="A78" s="6" t="n">
        <v>45597</v>
      </c>
      <c r="B78" s="7" t="inlineStr">
        <is>
          <t>FY2025</t>
        </is>
      </c>
      <c r="C78" s="30" t="n">
        <v>5.74</v>
      </c>
      <c r="D78" s="32">
        <f>IFERROR(IF(OR(C78="",C66=""),"",C78/C66-1),"")</f>
        <v/>
      </c>
      <c r="E78" s="32">
        <f>IFERROR(IF(OR(C78="",C77=""),"",C78/C77-1),"")</f>
        <v/>
      </c>
      <c r="F78" s="30" t="n">
        <v>8.59</v>
      </c>
      <c r="G78" s="32">
        <f>IFERROR(IF(OR(F78="",F66=""),"",F78/F66-1),"")</f>
        <v/>
      </c>
      <c r="H78" s="32">
        <f>IFERROR(IF(OR(F78="",F77=""),"",F78/F77-1),"")</f>
        <v/>
      </c>
      <c r="I78" s="30" t="n"/>
      <c r="J78" s="32">
        <f>IFERROR(IF(OR(I78="",I66=""),"",I78/I66-1),"")</f>
        <v/>
      </c>
      <c r="K78" s="32">
        <f>IFERROR(IF(OR(I78="",I77=""),"",I78/I77-1),"")</f>
        <v/>
      </c>
      <c r="L78" s="30" t="n">
        <v>32.22</v>
      </c>
      <c r="M78" s="32">
        <f>IFERROR(IF(OR(L78="",L66=""),"",L78/L66-1),"")</f>
        <v/>
      </c>
      <c r="N78" s="32">
        <f>IFERROR(IF(OR(L78="",L77=""),"",L78/L77-1),"")</f>
        <v/>
      </c>
      <c r="O78" s="30" t="n">
        <v>955.65</v>
      </c>
      <c r="P78" s="32">
        <f>IFERROR(IF(OR(O78="",O66=""),"",O78/O66-1),"")</f>
        <v/>
      </c>
      <c r="Q78" s="32">
        <f>IFERROR(IF(OR(O78="",O77=""),"",O78/O77-1),"")</f>
        <v/>
      </c>
      <c r="R78" s="33" t="n">
        <v>45667</v>
      </c>
    </row>
    <row r="79">
      <c r="A79" s="6" t="n">
        <v>45627</v>
      </c>
      <c r="B79" s="7" t="inlineStr">
        <is>
          <t>FY2025</t>
        </is>
      </c>
      <c r="C79" s="30" t="n">
        <v>7.11</v>
      </c>
      <c r="D79" s="32">
        <f>IFERROR(IF(OR(C79="",C67=""),"",C79/C67-1),"")</f>
        <v/>
      </c>
      <c r="E79" s="32">
        <f>IFERROR(IF(OR(C79="",C78=""),"",C79/C78-1),"")</f>
        <v/>
      </c>
      <c r="F79" s="30" t="n">
        <v>8.66</v>
      </c>
      <c r="G79" s="32">
        <f>IFERROR(IF(OR(F79="",F67=""),"",F79/F67-1),"")</f>
        <v/>
      </c>
      <c r="H79" s="32">
        <f>IFERROR(IF(OR(F79="",F78=""),"",F79/F78-1),"")</f>
        <v/>
      </c>
      <c r="I79" s="30" t="n"/>
      <c r="J79" s="32">
        <f>IFERROR(IF(OR(I79="",I67=""),"",I79/I67-1),"")</f>
        <v/>
      </c>
      <c r="K79" s="32">
        <f>IFERROR(IF(OR(I79="",I78=""),"",I79/I78-1),"")</f>
        <v/>
      </c>
      <c r="L79" s="30" t="n">
        <v>15.55</v>
      </c>
      <c r="M79" s="32">
        <f>IFERROR(IF(OR(L79="",L67=""),"",L79/L67-1),"")</f>
        <v/>
      </c>
      <c r="N79" s="32">
        <f>IFERROR(IF(OR(L79="",L78=""),"",L79/L78-1),"")</f>
        <v/>
      </c>
      <c r="O79" s="30" t="n">
        <v>1068.26</v>
      </c>
      <c r="P79" s="32">
        <f>IFERROR(IF(OR(O79="",O67=""),"",O79/O67-1),"")</f>
        <v/>
      </c>
      <c r="Q79" s="32">
        <f>IFERROR(IF(OR(O79="",O78=""),"",O79/O78-1),"")</f>
        <v/>
      </c>
      <c r="R79" s="33" t="n">
        <v>45667</v>
      </c>
    </row>
    <row r="80">
      <c r="A80" s="6" t="n">
        <v>45658</v>
      </c>
      <c r="B80" s="7" t="inlineStr">
        <is>
          <t>FY2025</t>
        </is>
      </c>
      <c r="C80" s="30" t="n">
        <v>7.21</v>
      </c>
      <c r="D80" s="32">
        <f>IFERROR(IF(OR(C80="",C68=""),"",C80/C68-1),"")</f>
        <v/>
      </c>
      <c r="E80" s="32">
        <f>IFERROR(IF(OR(C80="",C79=""),"",C80/C79-1),"")</f>
        <v/>
      </c>
      <c r="F80" s="30" t="n">
        <v>9.51</v>
      </c>
      <c r="G80" s="32">
        <f>IFERROR(IF(OR(F80="",F68=""),"",F80/F68-1),"")</f>
        <v/>
      </c>
      <c r="H80" s="32">
        <f>IFERROR(IF(OR(F80="",F79=""),"",F80/F79-1),"")</f>
        <v/>
      </c>
      <c r="I80" s="30" t="n">
        <v>7.79</v>
      </c>
      <c r="J80" s="32">
        <f>IFERROR(IF(OR(I80="",I68=""),"",I80/I68-1),"")</f>
        <v/>
      </c>
      <c r="K80" s="32">
        <f>IFERROR(IF(OR(I80="",I79=""),"",I80/I79-1),"")</f>
        <v/>
      </c>
      <c r="L80" s="30" t="n">
        <v>17.78</v>
      </c>
      <c r="M80" s="32">
        <f>IFERROR(IF(OR(L80="",L68=""),"",L80/L68-1),"")</f>
        <v/>
      </c>
      <c r="N80" s="32">
        <f>IFERROR(IF(OR(L80="",L79=""),"",L80/L79-1),"")</f>
        <v/>
      </c>
      <c r="O80" s="30" t="n">
        <v>1409.83</v>
      </c>
      <c r="P80" s="32">
        <f>IFERROR(IF(OR(O80="",O68=""),"",O80/O68-1),"")</f>
        <v/>
      </c>
      <c r="Q80" s="32">
        <f>IFERROR(IF(OR(O80="",O79=""),"",O80/O79-1),"")</f>
        <v/>
      </c>
      <c r="R80" s="33" t="n">
        <v>45727</v>
      </c>
    </row>
    <row r="81">
      <c r="A81" s="6" t="n">
        <v>45689</v>
      </c>
      <c r="B81" s="7" t="inlineStr">
        <is>
          <t>FY2025</t>
        </is>
      </c>
      <c r="C81" s="30" t="n">
        <v>7.31</v>
      </c>
      <c r="D81" s="32">
        <f>IFERROR(IF(OR(C81="",C69=""),"",C81/C69-1),"")</f>
        <v/>
      </c>
      <c r="E81" s="32">
        <f>IFERROR(IF(OR(C81="",C80=""),"",C81/C80-1),"")</f>
        <v/>
      </c>
      <c r="F81" s="30" t="n">
        <v>8.789999999999999</v>
      </c>
      <c r="G81" s="32">
        <f>IFERROR(IF(OR(F81="",F69=""),"",F81/F69-1),"")</f>
        <v/>
      </c>
      <c r="H81" s="32">
        <f>IFERROR(IF(OR(F81="",F80=""),"",F81/F80-1),"")</f>
        <v/>
      </c>
      <c r="I81" s="30" t="n">
        <v>7.63</v>
      </c>
      <c r="J81" s="32">
        <f>IFERROR(IF(OR(I81="",I69=""),"",I81/I69-1),"")</f>
        <v/>
      </c>
      <c r="K81" s="32">
        <f>IFERROR(IF(OR(I81="",I80=""),"",I81/I80-1),"")</f>
        <v/>
      </c>
      <c r="L81" s="30" t="n">
        <v>18.57</v>
      </c>
      <c r="M81" s="32">
        <f>IFERROR(IF(OR(L81="",L69=""),"",L81/L69-1),"")</f>
        <v/>
      </c>
      <c r="N81" s="32">
        <f>IFERROR(IF(OR(L81="",L80=""),"",L81/L80-1),"")</f>
        <v/>
      </c>
      <c r="O81" s="30" t="n">
        <v>833.74</v>
      </c>
      <c r="P81" s="32">
        <f>IFERROR(IF(OR(O81="",O69=""),"",O81/O69-1),"")</f>
        <v/>
      </c>
      <c r="Q81" s="32">
        <f>IFERROR(IF(OR(O81="",O80=""),"",O81/O80-1),"")</f>
        <v/>
      </c>
      <c r="R81" s="33" t="n">
        <v>45727</v>
      </c>
    </row>
    <row r="82">
      <c r="A82" s="6" t="n">
        <v>45717</v>
      </c>
      <c r="B82" s="7" t="inlineStr">
        <is>
          <t>FY2025</t>
        </is>
      </c>
      <c r="C82" s="34">
        <f>'FY Totals'!B10-'FY Totals'!D10</f>
        <v/>
      </c>
      <c r="D82" s="32">
        <f>IFERROR(IF(OR(C82="",C70=""),"",C82/C70-1),"")</f>
        <v/>
      </c>
      <c r="E82" s="32">
        <f>IFERROR(IF(OR(C82="",C81=""),"",C82/C81-1),"")</f>
        <v/>
      </c>
      <c r="F82" s="34">
        <f>'FY Totals'!E10-'FY Totals'!G10</f>
        <v/>
      </c>
      <c r="G82" s="32">
        <f>IFERROR(IF(OR(F82="",F70=""),"",F82/F70-1),"")</f>
        <v/>
      </c>
      <c r="H82" s="32">
        <f>IFERROR(IF(OR(F82="",F81=""),"",F82/F81-1),"")</f>
        <v/>
      </c>
      <c r="I82" s="34">
        <f>'FY Totals'!H10-'FY Totals'!J10</f>
        <v/>
      </c>
      <c r="J82" s="32">
        <f>IFERROR(IF(OR(I82="",I70=""),"",I82/I70-1),"")</f>
        <v/>
      </c>
      <c r="K82" s="32">
        <f>IFERROR(IF(OR(I82="",I81=""),"",I82/I81-1),"")</f>
        <v/>
      </c>
      <c r="L82" s="34">
        <f>'FY Totals'!K10-'FY Totals'!M10</f>
        <v/>
      </c>
      <c r="M82" s="32">
        <f>IFERROR(IF(OR(L82="",L70=""),"",L82/L70-1),"")</f>
        <v/>
      </c>
      <c r="N82" s="32">
        <f>IFERROR(IF(OR(L82="",L81=""),"",L82/L81-1),"")</f>
        <v/>
      </c>
      <c r="O82" s="34">
        <f>'FY Totals'!N10-'FY Totals'!P10</f>
        <v/>
      </c>
      <c r="P82" s="32">
        <f>IFERROR(IF(OR(O82="",O70=""),"",O82/O70-1),"")</f>
        <v/>
      </c>
      <c r="Q82" s="32">
        <f>IFERROR(IF(OR(O82="",O81=""),"",O82/O81-1),"")</f>
        <v/>
      </c>
      <c r="R82" s="33" t="n"/>
    </row>
    <row r="83">
      <c r="A83" s="6" t="n">
        <v>45748</v>
      </c>
      <c r="B83" s="7" t="inlineStr">
        <is>
          <t>FY2026</t>
        </is>
      </c>
      <c r="C83" s="30" t="n">
        <v>3.38</v>
      </c>
      <c r="D83" s="32">
        <f>IFERROR(IF(OR(C83="",C71=""),"",C83/C71-1),"")</f>
        <v/>
      </c>
      <c r="E83" s="32">
        <f>IFERROR(IF(OR(C83="",C82=""),"",C83/C82-1),"")</f>
        <v/>
      </c>
      <c r="F83" s="30" t="n">
        <v>4.98</v>
      </c>
      <c r="G83" s="32">
        <f>IFERROR(IF(OR(F83="",F71=""),"",F83/F71-1),"")</f>
        <v/>
      </c>
      <c r="H83" s="32">
        <f>IFERROR(IF(OR(F83="",F82=""),"",F83/F82-1),"")</f>
        <v/>
      </c>
      <c r="I83" s="30" t="n">
        <v>3.74</v>
      </c>
      <c r="J83" s="32">
        <f>IFERROR(IF(OR(I83="",I71=""),"",I83/I71-1),"")</f>
        <v/>
      </c>
      <c r="K83" s="32">
        <f>IFERROR(IF(OR(I83="",I82=""),"",I83/I82-1),"")</f>
        <v/>
      </c>
      <c r="L83" s="30" t="n">
        <v>10.32</v>
      </c>
      <c r="M83" s="32">
        <f>IFERROR(IF(OR(L83="",L71=""),"",L83/L71-1),"")</f>
        <v/>
      </c>
      <c r="N83" s="32">
        <f>IFERROR(IF(OR(L83="",L82=""),"",L83/L82-1),"")</f>
        <v/>
      </c>
      <c r="O83" s="30" t="n">
        <v>1727.22</v>
      </c>
      <c r="P83" s="32">
        <f>IFERROR(IF(OR(O83="",O71=""),"",O83/O71-1),"")</f>
        <v/>
      </c>
      <c r="Q83" s="32">
        <f>IFERROR(IF(OR(O83="",O82=""),"",O83/O82-1),"")</f>
        <v/>
      </c>
      <c r="R83" s="33" t="n">
        <v>45848</v>
      </c>
    </row>
    <row r="84">
      <c r="A84" s="6" t="n">
        <v>45778</v>
      </c>
      <c r="B84" s="7" t="inlineStr">
        <is>
          <t>FY2026</t>
        </is>
      </c>
      <c r="C84" s="30" t="n">
        <v>4.65</v>
      </c>
      <c r="D84" s="32">
        <f>IFERROR(IF(OR(C84="",C72=""),"",C84/C72-1),"")</f>
        <v/>
      </c>
      <c r="E84" s="32">
        <f>IFERROR(IF(OR(C84="",C83=""),"",C84/C83-1),"")</f>
        <v/>
      </c>
      <c r="F84" s="30" t="n">
        <v>6.73</v>
      </c>
      <c r="G84" s="32">
        <f>IFERROR(IF(OR(F84="",F72=""),"",F84/F72-1),"")</f>
        <v/>
      </c>
      <c r="H84" s="32">
        <f>IFERROR(IF(OR(F84="",F83=""),"",F84/F83-1),"")</f>
        <v/>
      </c>
      <c r="I84" s="30" t="n">
        <v>5.65</v>
      </c>
      <c r="J84" s="32">
        <f>IFERROR(IF(OR(I84="",I72=""),"",I84/I72-1),"")</f>
        <v/>
      </c>
      <c r="K84" s="32">
        <f>IFERROR(IF(OR(I84="",I83=""),"",I84/I83-1),"")</f>
        <v/>
      </c>
      <c r="L84" s="30" t="n">
        <v>14.07</v>
      </c>
      <c r="M84" s="32">
        <f>IFERROR(IF(OR(L84="",L72=""),"",L84/L72-1),"")</f>
        <v/>
      </c>
      <c r="N84" s="32">
        <f>IFERROR(IF(OR(L84="",L83=""),"",L84/L83-1),"")</f>
        <v/>
      </c>
      <c r="O84" s="30" t="n">
        <v>979.92</v>
      </c>
      <c r="P84" s="32">
        <f>IFERROR(IF(OR(O84="",O72=""),"",O84/O72-1),"")</f>
        <v/>
      </c>
      <c r="Q84" s="32">
        <f>IFERROR(IF(OR(O84="",O83=""),"",O84/O83-1),"")</f>
        <v/>
      </c>
      <c r="R84" s="33" t="n">
        <v>45848</v>
      </c>
    </row>
    <row r="85">
      <c r="A85" s="6" t="n">
        <v>45809</v>
      </c>
      <c r="B85" s="7" t="inlineStr">
        <is>
          <t>FY2026</t>
        </is>
      </c>
      <c r="C85" s="30" t="n">
        <v>5.53</v>
      </c>
      <c r="D85" s="32">
        <f>IFERROR(IF(OR(C85="",C73=""),"",C85/C73-1),"")</f>
        <v/>
      </c>
      <c r="E85" s="32">
        <f>IFERROR(IF(OR(C85="",C84=""),"",C85/C84-1),"")</f>
        <v/>
      </c>
      <c r="F85" s="30" t="n">
        <v>6.94</v>
      </c>
      <c r="G85" s="32">
        <f>IFERROR(IF(OR(F85="",F73=""),"",F85/F73-1),"")</f>
        <v/>
      </c>
      <c r="H85" s="32">
        <f>IFERROR(IF(OR(F85="",F84=""),"",F85/F84-1),"")</f>
        <v/>
      </c>
      <c r="I85" s="30" t="n">
        <v>5.73</v>
      </c>
      <c r="J85" s="32">
        <f>IFERROR(IF(OR(I85="",I73=""),"",I85/I73-1),"")</f>
        <v/>
      </c>
      <c r="K85" s="32">
        <f>IFERROR(IF(OR(I85="",I84=""),"",I85/I84-1),"")</f>
        <v/>
      </c>
      <c r="L85" s="30" t="n">
        <v>15.73</v>
      </c>
      <c r="M85" s="32">
        <f>IFERROR(IF(OR(L85="",L73=""),"",L85/L73-1),"")</f>
        <v/>
      </c>
      <c r="N85" s="32">
        <f>IFERROR(IF(OR(L85="",L84=""),"",L85/L84-1),"")</f>
        <v/>
      </c>
      <c r="O85" s="30" t="n">
        <v>1007.37</v>
      </c>
      <c r="P85" s="32">
        <f>IFERROR(IF(OR(O85="",O73=""),"",O85/O73-1),"")</f>
        <v/>
      </c>
      <c r="Q85" s="32">
        <f>IFERROR(IF(OR(O85="",O84=""),"",O85/O84-1),"")</f>
        <v/>
      </c>
      <c r="R85" s="33" t="n">
        <v>45848</v>
      </c>
    </row>
    <row r="86">
      <c r="A86" s="6" t="n">
        <v>45839</v>
      </c>
      <c r="B86" s="7" t="inlineStr">
        <is>
          <t>FY2026</t>
        </is>
      </c>
      <c r="C86" s="30" t="n">
        <v>6.54</v>
      </c>
      <c r="D86" s="32">
        <f>IFERROR(IF(OR(C86="",C74=""),"",C86/C74-1),"")</f>
        <v/>
      </c>
      <c r="E86" s="32">
        <f>IFERROR(IF(OR(C86="",C85=""),"",C86/C85-1),"")</f>
        <v/>
      </c>
      <c r="F86" s="30" t="n">
        <v>8.289999999999999</v>
      </c>
      <c r="G86" s="32">
        <f>IFERROR(IF(OR(F86="",F74=""),"",F86/F74-1),"")</f>
        <v/>
      </c>
      <c r="H86" s="32">
        <f>IFERROR(IF(OR(F86="",F85=""),"",F86/F85-1),"")</f>
        <v/>
      </c>
      <c r="I86" s="30" t="n">
        <v>6.77</v>
      </c>
      <c r="J86" s="32">
        <f>IFERROR(IF(OR(I86="",I74=""),"",I86/I74-1),"")</f>
        <v/>
      </c>
      <c r="K86" s="32">
        <f>IFERROR(IF(OR(I86="",I85=""),"",I86/I85-1),"")</f>
        <v/>
      </c>
      <c r="L86" s="30" t="n">
        <v>19.06</v>
      </c>
      <c r="M86" s="32">
        <f>IFERROR(IF(OR(L86="",L74=""),"",L86/L74-1),"")</f>
        <v/>
      </c>
      <c r="N86" s="32">
        <f>IFERROR(IF(OR(L86="",L85=""),"",L86/L85-1),"")</f>
        <v/>
      </c>
      <c r="O86" s="30" t="n">
        <v>1085.67</v>
      </c>
      <c r="P86" s="32">
        <f>IFERROR(IF(OR(O86="",O74=""),"",O86/O74-1),"")</f>
        <v/>
      </c>
      <c r="Q86" s="32">
        <f>IFERROR(IF(OR(O86="",O85=""),"",O86/O85-1),"")</f>
        <v/>
      </c>
      <c r="R86" s="33" t="n">
        <v>45939</v>
      </c>
    </row>
    <row r="87">
      <c r="A87" s="6" t="n">
        <v>45870</v>
      </c>
      <c r="B87" s="7" t="inlineStr">
        <is>
          <t>FY2026</t>
        </is>
      </c>
      <c r="C87" s="30" t="n">
        <v>5.92</v>
      </c>
      <c r="D87" s="32">
        <f>IFERROR(IF(OR(C87="",C75=""),"",C87/C75-1),"")</f>
        <v/>
      </c>
      <c r="E87" s="32">
        <f>IFERROR(IF(OR(C87="",C86=""),"",C87/C86-1),"")</f>
        <v/>
      </c>
      <c r="F87" s="30" t="n">
        <v>7.22</v>
      </c>
      <c r="G87" s="32">
        <f>IFERROR(IF(OR(F87="",F75=""),"",F87/F75-1),"")</f>
        <v/>
      </c>
      <c r="H87" s="32">
        <f>IFERROR(IF(OR(F87="",F86=""),"",F87/F86-1),"")</f>
        <v/>
      </c>
      <c r="I87" s="30" t="n">
        <v>5.91</v>
      </c>
      <c r="J87" s="32">
        <f>IFERROR(IF(OR(I87="",I75=""),"",I87/I75-1),"")</f>
        <v/>
      </c>
      <c r="K87" s="32">
        <f>IFERROR(IF(OR(I87="",I86=""),"",I87/I86-1),"")</f>
        <v/>
      </c>
      <c r="L87" s="30" t="n">
        <v>17.76</v>
      </c>
      <c r="M87" s="32">
        <f>IFERROR(IF(OR(L87="",L75=""),"",L87/L75-1),"")</f>
        <v/>
      </c>
      <c r="N87" s="32">
        <f>IFERROR(IF(OR(L87="",L86=""),"",L87/L86-1),"")</f>
        <v/>
      </c>
      <c r="O87" s="30" t="n">
        <v>871.99</v>
      </c>
      <c r="P87" s="32">
        <f>IFERROR(IF(OR(O87="",O75=""),"",O87/O75-1),"")</f>
        <v/>
      </c>
      <c r="Q87" s="32">
        <f>IFERROR(IF(OR(O87="",O86=""),"",O87/O86-1),"")</f>
        <v/>
      </c>
      <c r="R87" s="33" t="n">
        <v>45939</v>
      </c>
    </row>
    <row r="88">
      <c r="A88" s="6" t="n">
        <v>45901</v>
      </c>
      <c r="B88" s="7" t="inlineStr">
        <is>
          <t>FY2026</t>
        </is>
      </c>
      <c r="C88" s="30" t="n">
        <v>6.82</v>
      </c>
      <c r="D88" s="32">
        <f>IFERROR(IF(OR(C88="",C76=""),"",C88/C76-1),"")</f>
        <v/>
      </c>
      <c r="E88" s="32">
        <f>IFERROR(IF(OR(C88="",C87=""),"",C88/C87-1),"")</f>
        <v/>
      </c>
      <c r="F88" s="30" t="n">
        <v>8.710000000000001</v>
      </c>
      <c r="G88" s="32">
        <f>IFERROR(IF(OR(F88="",F76=""),"",F88/F76-1),"")</f>
        <v/>
      </c>
      <c r="H88" s="32">
        <f>IFERROR(IF(OR(F88="",F87=""),"",F88/F87-1),"")</f>
        <v/>
      </c>
      <c r="I88" s="30" t="n">
        <v>7.39</v>
      </c>
      <c r="J88" s="32">
        <f>IFERROR(IF(OR(I88="",I76=""),"",I88/I76-1),"")</f>
        <v/>
      </c>
      <c r="K88" s="32">
        <f>IFERROR(IF(OR(I88="",I87=""),"",I88/I87-1),"")</f>
        <v/>
      </c>
      <c r="L88" s="30" t="n">
        <v>17.61</v>
      </c>
      <c r="M88" s="32">
        <f>IFERROR(IF(OR(L88="",L76=""),"",L88/L76-1),"")</f>
        <v/>
      </c>
      <c r="N88" s="32">
        <f>IFERROR(IF(OR(L88="",L87=""),"",L88/L87-1),"")</f>
        <v/>
      </c>
      <c r="O88" s="30" t="n">
        <v>1098.59</v>
      </c>
      <c r="P88" s="32">
        <f>IFERROR(IF(OR(O88="",O76=""),"",O88/O76-1),"")</f>
        <v/>
      </c>
      <c r="Q88" s="32">
        <f>IFERROR(IF(OR(O88="",O87=""),"",O88/O87-1),"")</f>
        <v/>
      </c>
      <c r="R88" s="33" t="n">
        <v>45939</v>
      </c>
    </row>
    <row r="89">
      <c r="A89" s="6" t="n">
        <v>45931</v>
      </c>
      <c r="B89" s="7" t="inlineStr">
        <is>
          <t>FY2026</t>
        </is>
      </c>
      <c r="C89" s="30" t="n">
        <v>6.01</v>
      </c>
      <c r="D89" s="32">
        <f>IFERROR(IF(OR(C89="",C77=""),"",C89/C77-1),"")</f>
        <v/>
      </c>
      <c r="E89" s="32">
        <f>IFERROR(IF(OR(C89="",C88=""),"",C89/C88-1),"")</f>
        <v/>
      </c>
      <c r="F89" s="30" t="n">
        <v>7.34</v>
      </c>
      <c r="G89" s="32">
        <f>IFERROR(IF(OR(F89="",F77=""),"",F89/F77-1),"")</f>
        <v/>
      </c>
      <c r="H89" s="32">
        <f>IFERROR(IF(OR(F89="",F88=""),"",F89/F88-1),"")</f>
        <v/>
      </c>
      <c r="I89" s="30" t="n">
        <v>6.01</v>
      </c>
      <c r="J89" s="32">
        <f>IFERROR(IF(OR(I89="",I77=""),"",I89/I77-1),"")</f>
        <v/>
      </c>
      <c r="K89" s="32">
        <f>IFERROR(IF(OR(I89="",I88=""),"",I89/I88-1),"")</f>
        <v/>
      </c>
      <c r="L89" s="30" t="n">
        <v>17.73</v>
      </c>
      <c r="M89" s="32">
        <f>IFERROR(IF(OR(L89="",L77=""),"",L89/L77-1),"")</f>
        <v/>
      </c>
      <c r="N89" s="32">
        <f>IFERROR(IF(OR(L89="",L88=""),"",L89/L88-1),"")</f>
        <v/>
      </c>
      <c r="O89" s="30" t="n">
        <v>1119.9</v>
      </c>
      <c r="P89" s="32">
        <f>IFERROR(IF(OR(O89="",O77=""),"",O89/O77-1),"")</f>
        <v/>
      </c>
      <c r="Q89" s="32">
        <f>IFERROR(IF(OR(O89="",O88=""),"",O89/O88-1),"")</f>
        <v/>
      </c>
      <c r="R89" s="33" t="n">
        <v>46032</v>
      </c>
    </row>
    <row r="90">
      <c r="A90" s="6" t="n">
        <v>45962</v>
      </c>
      <c r="B90" s="7" t="inlineStr">
        <is>
          <t>FY2026</t>
        </is>
      </c>
      <c r="C90" s="30" t="n">
        <v>6.5</v>
      </c>
      <c r="D90" s="32">
        <f>IFERROR(IF(OR(C90="",C78=""),"",C90/C78-1),"")</f>
        <v/>
      </c>
      <c r="E90" s="32">
        <f>IFERROR(IF(OR(C90="",C89=""),"",C90/C89-1),"")</f>
        <v/>
      </c>
      <c r="F90" s="30" t="n">
        <v>8.630000000000001</v>
      </c>
      <c r="G90" s="32">
        <f>IFERROR(IF(OR(F90="",F78=""),"",F90/F78-1),"")</f>
        <v/>
      </c>
      <c r="H90" s="32">
        <f>IFERROR(IF(OR(F90="",F89=""),"",F90/F89-1),"")</f>
        <v/>
      </c>
      <c r="I90" s="30" t="n">
        <v>7.18</v>
      </c>
      <c r="J90" s="32">
        <f>IFERROR(IF(OR(I90="",I78=""),"",I90/I78-1),"")</f>
        <v/>
      </c>
      <c r="K90" s="32">
        <f>IFERROR(IF(OR(I90="",I89=""),"",I90/I89-1),"")</f>
        <v/>
      </c>
      <c r="L90" s="30" t="n">
        <v>19.16</v>
      </c>
      <c r="M90" s="32">
        <f>IFERROR(IF(OR(L90="",L78=""),"",L90/L78-1),"")</f>
        <v/>
      </c>
      <c r="N90" s="32">
        <f>IFERROR(IF(OR(L90="",L89=""),"",L90/L89-1),"")</f>
        <v/>
      </c>
      <c r="O90" s="30" t="n">
        <v>1087.2</v>
      </c>
      <c r="P90" s="32">
        <f>IFERROR(IF(OR(O90="",O78=""),"",O90/O78-1),"")</f>
        <v/>
      </c>
      <c r="Q90" s="32">
        <f>IFERROR(IF(OR(O90="",O89=""),"",O90/O89-1),"")</f>
        <v/>
      </c>
      <c r="R90" s="33" t="n">
        <v>46032</v>
      </c>
    </row>
    <row r="91">
      <c r="A91" s="6" t="n">
        <v>45992</v>
      </c>
      <c r="B91" s="7" t="inlineStr">
        <is>
          <t>FY2026</t>
        </is>
      </c>
      <c r="C91" s="30" t="n">
        <v>7.93</v>
      </c>
      <c r="D91" s="32">
        <f>IFERROR(IF(OR(C91="",C79=""),"",C91/C79-1),"")</f>
        <v/>
      </c>
      <c r="E91" s="32">
        <f>IFERROR(IF(OR(C91="",C90=""),"",C91/C90-1),"")</f>
        <v/>
      </c>
      <c r="F91" s="30" t="n">
        <v>9.289999999999999</v>
      </c>
      <c r="G91" s="32">
        <f>IFERROR(IF(OR(F91="",F79=""),"",F91/F79-1),"")</f>
        <v/>
      </c>
      <c r="H91" s="32">
        <f>IFERROR(IF(OR(F91="",F90=""),"",F91/F90-1),"")</f>
        <v/>
      </c>
      <c r="I91" s="30" t="n">
        <v>7.97</v>
      </c>
      <c r="J91" s="32">
        <f>IFERROR(IF(OR(I91="",I79=""),"",I91/I79-1),"")</f>
        <v/>
      </c>
      <c r="K91" s="32">
        <f>IFERROR(IF(OR(I91="",I90=""),"",I91/I90-1),"")</f>
        <v/>
      </c>
      <c r="L91" s="30" t="n">
        <v>19.45</v>
      </c>
      <c r="M91" s="32">
        <f>IFERROR(IF(OR(L91="",L79=""),"",L91/L79-1),"")</f>
        <v/>
      </c>
      <c r="N91" s="32">
        <f>IFERROR(IF(OR(L91="",L90=""),"",L91/L90-1),"")</f>
        <v/>
      </c>
      <c r="O91" s="30" t="n">
        <v>1182.28</v>
      </c>
      <c r="P91" s="32">
        <f>IFERROR(IF(OR(O91="",O79=""),"",O91/O79-1),"")</f>
        <v/>
      </c>
      <c r="Q91" s="32">
        <f>IFERROR(IF(OR(O91="",O90=""),"",O91/O90-1),"")</f>
        <v/>
      </c>
      <c r="R91" s="33" t="n">
        <v>46032</v>
      </c>
    </row>
    <row r="92">
      <c r="A92" s="6" t="n">
        <v>46023</v>
      </c>
      <c r="B92" s="7" t="inlineStr">
        <is>
          <t>FY2026</t>
        </is>
      </c>
      <c r="C92" s="30" t="n">
        <v>7.84</v>
      </c>
      <c r="D92" s="32">
        <f>IFERROR(IF(OR(C92="",C80=""),"",C92/C80-1),"")</f>
        <v/>
      </c>
      <c r="E92" s="32">
        <f>IFERROR(IF(OR(C92="",C91=""),"",C92/C91-1),"")</f>
        <v/>
      </c>
      <c r="F92" s="30" t="n">
        <v>9.9</v>
      </c>
      <c r="G92" s="32">
        <f>IFERROR(IF(OR(F92="",F80=""),"",F92/F80-1),"")</f>
        <v/>
      </c>
      <c r="H92" s="32">
        <f>IFERROR(IF(OR(F92="",F91=""),"",F92/F91-1),"")</f>
        <v/>
      </c>
      <c r="I92" s="30" t="n">
        <v>8.18</v>
      </c>
      <c r="J92" s="32">
        <f>IFERROR(IF(OR(I92="",I80=""),"",I92/I80-1),"")</f>
        <v/>
      </c>
      <c r="K92" s="32">
        <f>IFERROR(IF(OR(I92="",I91=""),"",I92/I91-1),"")</f>
        <v/>
      </c>
      <c r="L92" s="30" t="n">
        <v>19.9</v>
      </c>
      <c r="M92" s="32">
        <f>IFERROR(IF(OR(L92="",L80=""),"",L92/L80-1),"")</f>
        <v/>
      </c>
      <c r="N92" s="32">
        <f>IFERROR(IF(OR(L92="",L91=""),"",L92/L91-1),"")</f>
        <v/>
      </c>
      <c r="O92" s="30" t="n">
        <v>1656.71</v>
      </c>
      <c r="P92" s="32">
        <f>IFERROR(IF(OR(O92="",O80=""),"",O92/O80-1),"")</f>
        <v/>
      </c>
      <c r="Q92" s="32">
        <f>IFERROR(IF(OR(O92="",O91=""),"",O92/O91-1),"")</f>
        <v/>
      </c>
      <c r="R92" s="33" t="n">
        <v>46090</v>
      </c>
    </row>
    <row r="93">
      <c r="A93" s="6" t="n">
        <v>46054</v>
      </c>
      <c r="B93" s="7" t="inlineStr">
        <is>
          <t>FY2026</t>
        </is>
      </c>
      <c r="C93" s="30" t="n">
        <v>7.87</v>
      </c>
      <c r="D93" s="32">
        <f>IFERROR(IF(OR(C93="",C81=""),"",C93/C81-1),"")</f>
        <v/>
      </c>
      <c r="E93" s="32">
        <f>IFERROR(IF(OR(C93="",C92=""),"",C93/C92-1),"")</f>
        <v/>
      </c>
      <c r="F93" s="30" t="n">
        <v>9.869999999999999</v>
      </c>
      <c r="G93" s="32">
        <f>IFERROR(IF(OR(F93="",F81=""),"",F93/F81-1),"")</f>
        <v/>
      </c>
      <c r="H93" s="32">
        <f>IFERROR(IF(OR(F93="",F92=""),"",F93/F92-1),"")</f>
        <v/>
      </c>
      <c r="I93" s="30" t="n">
        <v>8.380000000000001</v>
      </c>
      <c r="J93" s="32">
        <f>IFERROR(IF(OR(I93="",I81=""),"",I93/I81-1),"")</f>
        <v/>
      </c>
      <c r="K93" s="32">
        <f>IFERROR(IF(OR(I93="",I92=""),"",I93/I92-1),"")</f>
        <v/>
      </c>
      <c r="L93" s="30" t="n">
        <v>21.48</v>
      </c>
      <c r="M93" s="32">
        <f>IFERROR(IF(OR(L93="",L81=""),"",L93/L81-1),"")</f>
        <v/>
      </c>
      <c r="N93" s="32">
        <f>IFERROR(IF(OR(L93="",L92=""),"",L93/L92-1),"")</f>
        <v/>
      </c>
      <c r="O93" s="30" t="n">
        <v>1096.13</v>
      </c>
      <c r="P93" s="32">
        <f>IFERROR(IF(OR(O93="",O81=""),"",O93/O81-1),"")</f>
        <v/>
      </c>
      <c r="Q93" s="32">
        <f>IFERROR(IF(OR(O93="",O92=""),"",O93/O92-1),"")</f>
        <v/>
      </c>
      <c r="R93" s="33" t="n">
        <v>46090</v>
      </c>
    </row>
    <row r="94">
      <c r="A94" s="6" t="n">
        <v>46082</v>
      </c>
      <c r="B94" s="7" t="inlineStr">
        <is>
          <t>FY2026</t>
        </is>
      </c>
      <c r="C94" s="34">
        <f>'FY Totals'!B11-'FY Totals'!D11</f>
        <v/>
      </c>
      <c r="D94" s="32">
        <f>IFERROR(IF(OR(C94="",C82=""),"",C94/C82-1),"")</f>
        <v/>
      </c>
      <c r="E94" s="32">
        <f>IFERROR(IF(OR(C94="",C93=""),"",C94/C93-1),"")</f>
        <v/>
      </c>
      <c r="F94" s="34">
        <f>'FY Totals'!E11-'FY Totals'!G11</f>
        <v/>
      </c>
      <c r="G94" s="32">
        <f>IFERROR(IF(OR(F94="",F82=""),"",F94/F82-1),"")</f>
        <v/>
      </c>
      <c r="H94" s="32">
        <f>IFERROR(IF(OR(F94="",F93=""),"",F94/F93-1),"")</f>
        <v/>
      </c>
      <c r="I94" s="34">
        <f>'FY Totals'!H11-'FY Totals'!J11</f>
        <v/>
      </c>
      <c r="J94" s="32">
        <f>IFERROR(IF(OR(I94="",I82=""),"",I94/I82-1),"")</f>
        <v/>
      </c>
      <c r="K94" s="32">
        <f>IFERROR(IF(OR(I94="",I93=""),"",I94/I93-1),"")</f>
        <v/>
      </c>
      <c r="L94" s="34">
        <f>'FY Totals'!K11-'FY Totals'!M11</f>
        <v/>
      </c>
      <c r="M94" s="32">
        <f>IFERROR(IF(OR(L94="",L82=""),"",L94/L82-1),"")</f>
        <v/>
      </c>
      <c r="N94" s="32">
        <f>IFERROR(IF(OR(L94="",L93=""),"",L94/L93-1),"")</f>
        <v/>
      </c>
      <c r="O94" s="34">
        <f>'FY Totals'!N11-'FY Totals'!P11</f>
        <v/>
      </c>
      <c r="P94" s="32">
        <f>IFERROR(IF(OR(O94="",O82=""),"",O94/O82-1),"")</f>
        <v/>
      </c>
      <c r="Q94" s="32">
        <f>IFERROR(IF(OR(O94="",O93=""),"",O94/O93-1),"")</f>
        <v/>
      </c>
      <c r="R94" s="33" t="n"/>
    </row>
    <row r="95">
      <c r="A95" s="6" t="n">
        <v>46113</v>
      </c>
      <c r="B95" s="7" t="inlineStr">
        <is>
          <t>FY2027</t>
        </is>
      </c>
      <c r="C95" s="30" t="n">
        <v>4.21</v>
      </c>
      <c r="D95" s="32">
        <f>IFERROR(IF(OR(C95="",C83=""),"",C95/C83-1),"")</f>
        <v/>
      </c>
      <c r="E95" s="32">
        <f>IFERROR(IF(OR(C95="",C94=""),"",C95/C94-1),"")</f>
        <v/>
      </c>
      <c r="F95" s="30" t="n">
        <v>6.18</v>
      </c>
      <c r="G95" s="32">
        <f>IFERROR(IF(OR(F95="",F83=""),"",F95/F83-1),"")</f>
        <v/>
      </c>
      <c r="H95" s="32">
        <f>IFERROR(IF(OR(F95="",F94=""),"",F95/F94-1),"")</f>
        <v/>
      </c>
      <c r="I95" s="30" t="n">
        <v>4.6</v>
      </c>
      <c r="J95" s="32">
        <f>IFERROR(IF(OR(I95="",I83=""),"",I95/I83-1),"")</f>
        <v/>
      </c>
      <c r="K95" s="32">
        <f>IFERROR(IF(OR(I95="",I94=""),"",I95/I94-1),"")</f>
        <v/>
      </c>
      <c r="L95" s="30" t="n">
        <v>12.96</v>
      </c>
      <c r="M95" s="32">
        <f>IFERROR(IF(OR(L95="",L83=""),"",L95/L83-1),"")</f>
        <v/>
      </c>
      <c r="N95" s="32">
        <f>IFERROR(IF(OR(L95="",L94=""),"",L95/L94-1),"")</f>
        <v/>
      </c>
      <c r="O95" s="30" t="n">
        <v>1776.83</v>
      </c>
      <c r="P95" s="32">
        <f>IFERROR(IF(OR(O95="",O83=""),"",O95/O83-1),"")</f>
        <v/>
      </c>
      <c r="Q95" s="32">
        <f>IFERROR(IF(OR(O95="",O94=""),"",O95/O94-1),"")</f>
        <v/>
      </c>
      <c r="R95" s="33" t="n">
        <v>46211</v>
      </c>
    </row>
    <row r="96">
      <c r="A96" s="6" t="n">
        <v>46143</v>
      </c>
      <c r="B96" s="7" t="inlineStr">
        <is>
          <t>FY2027</t>
        </is>
      </c>
      <c r="C96" s="30" t="n">
        <v>4.94</v>
      </c>
      <c r="D96" s="32">
        <f>IFERROR(IF(OR(C96="",C84=""),"",C96/C84-1),"")</f>
        <v/>
      </c>
      <c r="E96" s="32">
        <f>IFERROR(IF(OR(C96="",C95=""),"",C96/C95-1),"")</f>
        <v/>
      </c>
      <c r="F96" s="30" t="n">
        <v>7.22</v>
      </c>
      <c r="G96" s="32">
        <f>IFERROR(IF(OR(F96="",F84=""),"",F96/F84-1),"")</f>
        <v/>
      </c>
      <c r="H96" s="32">
        <f>IFERROR(IF(OR(F96="",F95=""),"",F96/F95-1),"")</f>
        <v/>
      </c>
      <c r="I96" s="30" t="n">
        <v>5.58</v>
      </c>
      <c r="J96" s="32">
        <f>IFERROR(IF(OR(I96="",I84=""),"",I96/I84-1),"")</f>
        <v/>
      </c>
      <c r="K96" s="32">
        <f>IFERROR(IF(OR(I96="",I95=""),"",I96/I95-1),"")</f>
        <v/>
      </c>
      <c r="L96" s="30" t="n">
        <v>16.03</v>
      </c>
      <c r="M96" s="32">
        <f>IFERROR(IF(OR(L96="",L84=""),"",L96/L84-1),"")</f>
        <v/>
      </c>
      <c r="N96" s="32">
        <f>IFERROR(IF(OR(L96="",L95=""),"",L96/L95-1),"")</f>
        <v/>
      </c>
      <c r="O96" s="30" t="n">
        <v>1666.5</v>
      </c>
      <c r="P96" s="32">
        <f>IFERROR(IF(OR(O96="",O84=""),"",O96/O84-1),"")</f>
        <v/>
      </c>
      <c r="Q96" s="32">
        <f>IFERROR(IF(OR(O96="",O95=""),"",O96/O95-1),"")</f>
        <v/>
      </c>
      <c r="R96" s="33" t="n">
        <v>46211</v>
      </c>
    </row>
    <row r="97">
      <c r="A97" s="6" t="n">
        <v>46174</v>
      </c>
      <c r="B97" s="7" t="inlineStr">
        <is>
          <t>FY2027</t>
        </is>
      </c>
      <c r="C97" s="30" t="n">
        <v>6.23</v>
      </c>
      <c r="D97" s="32">
        <f>IFERROR(IF(OR(C97="",C85=""),"",C97/C85-1),"")</f>
        <v/>
      </c>
      <c r="E97" s="32">
        <f>IFERROR(IF(OR(C97="",C96=""),"",C97/C96-1),"")</f>
        <v/>
      </c>
      <c r="F97" s="30" t="n">
        <v>7.95</v>
      </c>
      <c r="G97" s="32">
        <f>IFERROR(IF(OR(F97="",F85=""),"",F97/F85-1),"")</f>
        <v/>
      </c>
      <c r="H97" s="32">
        <f>IFERROR(IF(OR(F97="",F96=""),"",F97/F96-1),"")</f>
        <v/>
      </c>
      <c r="I97" s="30" t="n">
        <v>6.28</v>
      </c>
      <c r="J97" s="32">
        <f>IFERROR(IF(OR(I97="",I85=""),"",I97/I85-1),"")</f>
        <v/>
      </c>
      <c r="K97" s="32">
        <f>IFERROR(IF(OR(I97="",I96=""),"",I97/I96-1),"")</f>
        <v/>
      </c>
      <c r="L97" s="30" t="n">
        <v>19.67</v>
      </c>
      <c r="M97" s="32">
        <f>IFERROR(IF(OR(L97="",L85=""),"",L97/L85-1),"")</f>
        <v/>
      </c>
      <c r="N97" s="32">
        <f>IFERROR(IF(OR(L97="",L96=""),"",L97/L96-1),"")</f>
        <v/>
      </c>
      <c r="O97" s="30" t="n">
        <v>1453.33</v>
      </c>
      <c r="P97" s="32">
        <f>IFERROR(IF(OR(O97="",O85=""),"",O97/O85-1),"")</f>
        <v/>
      </c>
      <c r="Q97" s="32">
        <f>IFERROR(IF(OR(O97="",O96=""),"",O97/O96-1),"")</f>
        <v/>
      </c>
      <c r="R97" s="33" t="n">
        <v>46211</v>
      </c>
    </row>
    <row r="98">
      <c r="A98" s="6" t="n">
        <v>46204</v>
      </c>
      <c r="B98" s="7" t="inlineStr">
        <is>
          <t>FY2027</t>
        </is>
      </c>
      <c r="C98" s="30" t="n">
        <v>7.12</v>
      </c>
      <c r="D98" s="32">
        <f>IFERROR(IF(OR(C98="",C86=""),"",C98/C86-1),"")</f>
        <v/>
      </c>
      <c r="E98" s="32">
        <f>IFERROR(IF(OR(C98="",C97=""),"",C98/C97-1),"")</f>
        <v/>
      </c>
      <c r="F98" s="30" t="n">
        <v>9.49</v>
      </c>
      <c r="G98" s="32">
        <f>IFERROR(IF(OR(F98="",F86=""),"",F98/F86-1),"")</f>
        <v/>
      </c>
      <c r="H98" s="32">
        <f>IFERROR(IF(OR(F98="",F97=""),"",F98/F97-1),"")</f>
        <v/>
      </c>
      <c r="I98" s="30" t="n">
        <v>7.58</v>
      </c>
      <c r="J98" s="32">
        <f>IFERROR(IF(OR(I98="",I86=""),"",I98/I86-1),"")</f>
        <v/>
      </c>
      <c r="K98" s="32">
        <f>IFERROR(IF(OR(I98="",I97=""),"",I98/I97-1),"")</f>
        <v/>
      </c>
      <c r="L98" s="30" t="n">
        <v>23.01</v>
      </c>
      <c r="M98" s="32">
        <f>IFERROR(IF(OR(L98="",L86=""),"",L98/L86-1),"")</f>
        <v/>
      </c>
      <c r="N98" s="32">
        <f>IFERROR(IF(OR(L98="",L97=""),"",L98/L97-1),"")</f>
        <v/>
      </c>
      <c r="O98" s="30" t="n">
        <v>1307.91</v>
      </c>
      <c r="P98" s="32">
        <f>IFERROR(IF(OR(O98="",O86=""),"",O98/O86-1),"")</f>
        <v/>
      </c>
      <c r="Q98" s="32">
        <f>IFERROR(IF(OR(O98="",O97=""),"",O98/O97-1),"")</f>
        <v/>
      </c>
      <c r="R98" s="33" t="n">
        <v>46303</v>
      </c>
    </row>
    <row r="99">
      <c r="A99" s="6" t="n">
        <v>46235</v>
      </c>
      <c r="B99" s="7" t="inlineStr">
        <is>
          <t>FY2027</t>
        </is>
      </c>
      <c r="C99" s="30" t="n">
        <v>6.57</v>
      </c>
      <c r="D99" s="32">
        <f>IFERROR(IF(OR(C99="",C87=""),"",C99/C87-1),"")</f>
        <v/>
      </c>
      <c r="E99" s="32">
        <f>IFERROR(IF(OR(C99="",C98=""),"",C99/C98-1),"")</f>
        <v/>
      </c>
      <c r="F99" s="30" t="n">
        <v>8.91</v>
      </c>
      <c r="G99" s="32">
        <f>IFERROR(IF(OR(F99="",F87=""),"",F99/F87-1),"")</f>
        <v/>
      </c>
      <c r="H99" s="32">
        <f>IFERROR(IF(OR(F99="",F98=""),"",F99/F98-1),"")</f>
        <v/>
      </c>
      <c r="I99" s="30" t="n">
        <v>7.36</v>
      </c>
      <c r="J99" s="32">
        <f>IFERROR(IF(OR(I99="",I87=""),"",I99/I87-1),"")</f>
        <v/>
      </c>
      <c r="K99" s="32">
        <f>IFERROR(IF(OR(I99="",I98=""),"",I99/I98-1),"")</f>
        <v/>
      </c>
      <c r="L99" s="30" t="n">
        <v>19.53</v>
      </c>
      <c r="M99" s="32">
        <f>IFERROR(IF(OR(L99="",L87=""),"",L99/L87-1),"")</f>
        <v/>
      </c>
      <c r="N99" s="32">
        <f>IFERROR(IF(OR(L99="",L98=""),"",L99/L98-1),"")</f>
        <v/>
      </c>
      <c r="O99" s="30" t="n">
        <v>1377.1</v>
      </c>
      <c r="P99" s="32">
        <f>IFERROR(IF(OR(O99="",O87=""),"",O99/O87-1),"")</f>
        <v/>
      </c>
      <c r="Q99" s="32">
        <f>IFERROR(IF(OR(O99="",O98=""),"",O99/O98-1),"")</f>
        <v/>
      </c>
      <c r="R99" s="33" t="n">
        <v>46303</v>
      </c>
    </row>
    <row r="100">
      <c r="A100" s="6" t="n">
        <v>46266</v>
      </c>
      <c r="B100" s="7" t="inlineStr">
        <is>
          <t>FY2027</t>
        </is>
      </c>
      <c r="C100" s="30" t="n">
        <v>6.92</v>
      </c>
      <c r="D100" s="32">
        <f>IFERROR(IF(OR(C100="",C88=""),"",C100/C88-1),"")</f>
        <v/>
      </c>
      <c r="E100" s="32">
        <f>IFERROR(IF(OR(C100="",C99=""),"",C100/C99-1),"")</f>
        <v/>
      </c>
      <c r="F100" s="30" t="n">
        <v>9.59</v>
      </c>
      <c r="G100" s="32">
        <f>IFERROR(IF(OR(F100="",F88=""),"",F100/F88-1),"")</f>
        <v/>
      </c>
      <c r="H100" s="32">
        <f>IFERROR(IF(OR(F100="",F99=""),"",F100/F99-1),"")</f>
        <v/>
      </c>
      <c r="I100" s="30" t="n">
        <v>7.26</v>
      </c>
      <c r="J100" s="32">
        <f>IFERROR(IF(OR(I100="",I88=""),"",I100/I88-1),"")</f>
        <v/>
      </c>
      <c r="K100" s="32">
        <f>IFERROR(IF(OR(I100="",I99=""),"",I100/I99-1),"")</f>
        <v/>
      </c>
      <c r="L100" s="30" t="n">
        <v>27.01</v>
      </c>
      <c r="M100" s="32">
        <f>IFERROR(IF(OR(L100="",L88=""),"",L100/L88-1),"")</f>
        <v/>
      </c>
      <c r="N100" s="32">
        <f>IFERROR(IF(OR(L100="",L99=""),"",L100/L99-1),"")</f>
        <v/>
      </c>
      <c r="O100" s="30" t="n">
        <v>1230.25</v>
      </c>
      <c r="P100" s="32">
        <f>IFERROR(IF(OR(O100="",O88=""),"",O100/O88-1),"")</f>
        <v/>
      </c>
      <c r="Q100" s="32">
        <f>IFERROR(IF(OR(O100="",O99=""),"",O100/O99-1),"")</f>
        <v/>
      </c>
      <c r="R100" s="33" t="n">
        <v>46303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ICICI Pru Life - quarterly (fiscal Apr-Mar), INR Bn = sum of the three Monthly rows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>
      <c r="A2" s="19" t="inlineStr">
        <is>
          <t>Live SUM of Monthly; blank if any month of the quarter is missing. Q4 includes the derived March (FY - 11M). Quarter sums are checked against company-reported quarter totals on Quality Check.</t>
        </is>
      </c>
    </row>
    <row r="4" ht="42" customHeight="1">
      <c r="A4" s="3" t="inlineStr">
        <is>
          <t>Quarter</t>
        </is>
      </c>
      <c r="B4" s="3" t="inlineStr">
        <is>
          <t>Fiscal Year</t>
        </is>
      </c>
      <c r="C4" s="3" t="inlineStr">
        <is>
          <t>Quarter End</t>
        </is>
      </c>
      <c r="D4" s="20" t="inlineStr">
        <is>
          <t>RWRP (INR Bn)</t>
        </is>
      </c>
      <c r="E4" s="21" t="inlineStr">
        <is>
          <t>RWRP YoY</t>
        </is>
      </c>
      <c r="F4" s="21" t="inlineStr">
        <is>
          <t>RWRP QoQ</t>
        </is>
      </c>
      <c r="G4" s="22" t="inlineStr">
        <is>
          <t>APE (INR Bn)</t>
        </is>
      </c>
      <c r="H4" s="23" t="inlineStr">
        <is>
          <t>APE YoY</t>
        </is>
      </c>
      <c r="I4" s="23" t="inlineStr">
        <is>
          <t>APE QoQ</t>
        </is>
      </c>
      <c r="J4" s="24" t="inlineStr">
        <is>
          <t>Retail APE (INR Bn)</t>
        </is>
      </c>
      <c r="K4" s="25" t="inlineStr">
        <is>
          <t>Retail APE YoY</t>
        </is>
      </c>
      <c r="L4" s="25" t="inlineStr">
        <is>
          <t>Retail APE QoQ</t>
        </is>
      </c>
      <c r="M4" s="26" t="inlineStr">
        <is>
          <t>NB Premium (INR Bn)</t>
        </is>
      </c>
      <c r="N4" s="27" t="inlineStr">
        <is>
          <t>NB Premium YoY</t>
        </is>
      </c>
      <c r="O4" s="27" t="inlineStr">
        <is>
          <t>NB Premium QoQ</t>
        </is>
      </c>
      <c r="P4" s="28" t="inlineStr">
        <is>
          <t>NB Sum Assured (INR Bn)</t>
        </is>
      </c>
      <c r="Q4" s="29" t="inlineStr">
        <is>
          <t>NB Sum Assured YoY</t>
        </is>
      </c>
      <c r="R4" s="29" t="inlineStr">
        <is>
          <t>NB Sum Assured QoQ</t>
        </is>
      </c>
    </row>
    <row r="5">
      <c r="A5" s="7" t="inlineStr">
        <is>
          <t>Q3FY19</t>
        </is>
      </c>
      <c r="B5" s="7" t="inlineStr">
        <is>
          <t>FY2019</t>
        </is>
      </c>
      <c r="C5" s="6" t="n">
        <v>43435</v>
      </c>
      <c r="D5" s="30">
        <f>IF(COUNT(Monthly!C5:C7)&lt;3,"",SUM(Monthly!C5:C7))</f>
        <v/>
      </c>
      <c r="E5" s="32" t="n"/>
      <c r="F5" s="32" t="n"/>
      <c r="G5" s="30">
        <f>IF(COUNT(Monthly!F5:F7)&lt;3,"",SUM(Monthly!F5:F7))</f>
        <v/>
      </c>
      <c r="H5" s="32" t="n"/>
      <c r="I5" s="32" t="n"/>
      <c r="J5" s="30">
        <f>IF(COUNT(Monthly!I5:I7)&lt;3,"",SUM(Monthly!I5:I7))</f>
        <v/>
      </c>
      <c r="K5" s="32" t="n"/>
      <c r="L5" s="32" t="n"/>
      <c r="M5" s="30">
        <f>IF(COUNT(Monthly!L5:L7)&lt;3,"",SUM(Monthly!L5:L7))</f>
        <v/>
      </c>
      <c r="N5" s="32" t="n"/>
      <c r="O5" s="32" t="n"/>
      <c r="P5" s="30">
        <f>IF(COUNT(Monthly!O5:O7)&lt;3,"",SUM(Monthly!O5:O7))</f>
        <v/>
      </c>
      <c r="Q5" s="32" t="n"/>
      <c r="R5" s="32" t="n"/>
    </row>
    <row r="6">
      <c r="A6" s="7" t="inlineStr">
        <is>
          <t>Q4FY19</t>
        </is>
      </c>
      <c r="B6" s="7" t="inlineStr">
        <is>
          <t>FY2019</t>
        </is>
      </c>
      <c r="C6" s="6" t="n">
        <v>43525</v>
      </c>
      <c r="D6" s="30">
        <f>IF(COUNT(Monthly!C8:C10)&lt;3,"",SUM(Monthly!C8:C10))</f>
        <v/>
      </c>
      <c r="E6" s="32" t="n"/>
      <c r="F6" s="32">
        <f>IFERROR(IF(OR(D6="",D5=""),"",D6/D5-1),"")</f>
        <v/>
      </c>
      <c r="G6" s="30">
        <f>IF(COUNT(Monthly!F8:F10)&lt;3,"",SUM(Monthly!F8:F10))</f>
        <v/>
      </c>
      <c r="H6" s="32" t="n"/>
      <c r="I6" s="32">
        <f>IFERROR(IF(OR(G6="",G5=""),"",G6/G5-1),"")</f>
        <v/>
      </c>
      <c r="J6" s="30">
        <f>IF(COUNT(Monthly!I8:I10)&lt;3,"",SUM(Monthly!I8:I10))</f>
        <v/>
      </c>
      <c r="K6" s="32" t="n"/>
      <c r="L6" s="32">
        <f>IFERROR(IF(OR(J6="",J5=""),"",J6/J5-1),"")</f>
        <v/>
      </c>
      <c r="M6" s="30">
        <f>IF(COUNT(Monthly!L8:L10)&lt;3,"",SUM(Monthly!L8:L10))</f>
        <v/>
      </c>
      <c r="N6" s="32" t="n"/>
      <c r="O6" s="32">
        <f>IFERROR(IF(OR(M6="",M5=""),"",M6/M5-1),"")</f>
        <v/>
      </c>
      <c r="P6" s="30">
        <f>IF(COUNT(Monthly!O8:O10)&lt;3,"",SUM(Monthly!O8:O10))</f>
        <v/>
      </c>
      <c r="Q6" s="32" t="n"/>
      <c r="R6" s="32">
        <f>IFERROR(IF(OR(P6="",P5=""),"",P6/P5-1),"")</f>
        <v/>
      </c>
    </row>
    <row r="7">
      <c r="A7" s="7" t="inlineStr">
        <is>
          <t>Q1FY20</t>
        </is>
      </c>
      <c r="B7" s="7" t="inlineStr">
        <is>
          <t>FY2020</t>
        </is>
      </c>
      <c r="C7" s="6" t="n">
        <v>43617</v>
      </c>
      <c r="D7" s="30">
        <f>IF(COUNT(Monthly!C11:C13)&lt;3,"",SUM(Monthly!C11:C13))</f>
        <v/>
      </c>
      <c r="E7" s="32" t="n"/>
      <c r="F7" s="32">
        <f>IFERROR(IF(OR(D7="",D6=""),"",D7/D6-1),"")</f>
        <v/>
      </c>
      <c r="G7" s="30">
        <f>IF(COUNT(Monthly!F11:F13)&lt;3,"",SUM(Monthly!F11:F13))</f>
        <v/>
      </c>
      <c r="H7" s="32" t="n"/>
      <c r="I7" s="32">
        <f>IFERROR(IF(OR(G7="",G6=""),"",G7/G6-1),"")</f>
        <v/>
      </c>
      <c r="J7" s="30">
        <f>IF(COUNT(Monthly!I11:I13)&lt;3,"",SUM(Monthly!I11:I13))</f>
        <v/>
      </c>
      <c r="K7" s="32" t="n"/>
      <c r="L7" s="32">
        <f>IFERROR(IF(OR(J7="",J6=""),"",J7/J6-1),"")</f>
        <v/>
      </c>
      <c r="M7" s="30">
        <f>IF(COUNT(Monthly!L11:L13)&lt;3,"",SUM(Monthly!L11:L13))</f>
        <v/>
      </c>
      <c r="N7" s="32" t="n"/>
      <c r="O7" s="32">
        <f>IFERROR(IF(OR(M7="",M6=""),"",M7/M6-1),"")</f>
        <v/>
      </c>
      <c r="P7" s="30">
        <f>IF(COUNT(Monthly!O11:O13)&lt;3,"",SUM(Monthly!O11:O13))</f>
        <v/>
      </c>
      <c r="Q7" s="32" t="n"/>
      <c r="R7" s="32">
        <f>IFERROR(IF(OR(P7="",P6=""),"",P7/P6-1),"")</f>
        <v/>
      </c>
    </row>
    <row r="8">
      <c r="A8" s="7" t="inlineStr">
        <is>
          <t>Q2FY20</t>
        </is>
      </c>
      <c r="B8" s="7" t="inlineStr">
        <is>
          <t>FY2020</t>
        </is>
      </c>
      <c r="C8" s="6" t="n">
        <v>43709</v>
      </c>
      <c r="D8" s="30">
        <f>IF(COUNT(Monthly!C14:C16)&lt;3,"",SUM(Monthly!C14:C16))</f>
        <v/>
      </c>
      <c r="E8" s="32" t="n"/>
      <c r="F8" s="32">
        <f>IFERROR(IF(OR(D8="",D7=""),"",D8/D7-1),"")</f>
        <v/>
      </c>
      <c r="G8" s="30">
        <f>IF(COUNT(Monthly!F14:F16)&lt;3,"",SUM(Monthly!F14:F16))</f>
        <v/>
      </c>
      <c r="H8" s="32" t="n"/>
      <c r="I8" s="32">
        <f>IFERROR(IF(OR(G8="",G7=""),"",G8/G7-1),"")</f>
        <v/>
      </c>
      <c r="J8" s="30">
        <f>IF(COUNT(Monthly!I14:I16)&lt;3,"",SUM(Monthly!I14:I16))</f>
        <v/>
      </c>
      <c r="K8" s="32" t="n"/>
      <c r="L8" s="32">
        <f>IFERROR(IF(OR(J8="",J7=""),"",J8/J7-1),"")</f>
        <v/>
      </c>
      <c r="M8" s="30">
        <f>IF(COUNT(Monthly!L14:L16)&lt;3,"",SUM(Monthly!L14:L16))</f>
        <v/>
      </c>
      <c r="N8" s="32" t="n"/>
      <c r="O8" s="32">
        <f>IFERROR(IF(OR(M8="",M7=""),"",M8/M7-1),"")</f>
        <v/>
      </c>
      <c r="P8" s="30">
        <f>IF(COUNT(Monthly!O14:O16)&lt;3,"",SUM(Monthly!O14:O16))</f>
        <v/>
      </c>
      <c r="Q8" s="32" t="n"/>
      <c r="R8" s="32">
        <f>IFERROR(IF(OR(P8="",P7=""),"",P8/P7-1),"")</f>
        <v/>
      </c>
    </row>
    <row r="9">
      <c r="A9" s="7" t="inlineStr">
        <is>
          <t>Q3FY20</t>
        </is>
      </c>
      <c r="B9" s="7" t="inlineStr">
        <is>
          <t>FY2020</t>
        </is>
      </c>
      <c r="C9" s="6" t="n">
        <v>43800</v>
      </c>
      <c r="D9" s="30">
        <f>IF(COUNT(Monthly!C17:C19)&lt;3,"",SUM(Monthly!C17:C19))</f>
        <v/>
      </c>
      <c r="E9" s="32">
        <f>IFERROR(IF(OR(D9="",D5=""),"",D9/D5-1),"")</f>
        <v/>
      </c>
      <c r="F9" s="32">
        <f>IFERROR(IF(OR(D9="",D8=""),"",D9/D8-1),"")</f>
        <v/>
      </c>
      <c r="G9" s="30">
        <f>IF(COUNT(Monthly!F17:F19)&lt;3,"",SUM(Monthly!F17:F19))</f>
        <v/>
      </c>
      <c r="H9" s="32">
        <f>IFERROR(IF(OR(G9="",G5=""),"",G9/G5-1),"")</f>
        <v/>
      </c>
      <c r="I9" s="32">
        <f>IFERROR(IF(OR(G9="",G8=""),"",G9/G8-1),"")</f>
        <v/>
      </c>
      <c r="J9" s="30">
        <f>IF(COUNT(Monthly!I17:I19)&lt;3,"",SUM(Monthly!I17:I19))</f>
        <v/>
      </c>
      <c r="K9" s="32">
        <f>IFERROR(IF(OR(J9="",J5=""),"",J9/J5-1),"")</f>
        <v/>
      </c>
      <c r="L9" s="32">
        <f>IFERROR(IF(OR(J9="",J8=""),"",J9/J8-1),"")</f>
        <v/>
      </c>
      <c r="M9" s="30">
        <f>IF(COUNT(Monthly!L17:L19)&lt;3,"",SUM(Monthly!L17:L19))</f>
        <v/>
      </c>
      <c r="N9" s="32">
        <f>IFERROR(IF(OR(M9="",M5=""),"",M9/M5-1),"")</f>
        <v/>
      </c>
      <c r="O9" s="32">
        <f>IFERROR(IF(OR(M9="",M8=""),"",M9/M8-1),"")</f>
        <v/>
      </c>
      <c r="P9" s="30">
        <f>IF(COUNT(Monthly!O17:O19)&lt;3,"",SUM(Monthly!O17:O19))</f>
        <v/>
      </c>
      <c r="Q9" s="32">
        <f>IFERROR(IF(OR(P9="",P5=""),"",P9/P5-1),"")</f>
        <v/>
      </c>
      <c r="R9" s="32">
        <f>IFERROR(IF(OR(P9="",P8=""),"",P9/P8-1),"")</f>
        <v/>
      </c>
    </row>
    <row r="10">
      <c r="A10" s="7" t="inlineStr">
        <is>
          <t>Q4FY20</t>
        </is>
      </c>
      <c r="B10" s="7" t="inlineStr">
        <is>
          <t>FY2020</t>
        </is>
      </c>
      <c r="C10" s="6" t="n">
        <v>43891</v>
      </c>
      <c r="D10" s="30">
        <f>IF(COUNT(Monthly!C20:C22)&lt;3,"",SUM(Monthly!C20:C22))</f>
        <v/>
      </c>
      <c r="E10" s="32">
        <f>IFERROR(IF(OR(D10="",D6=""),"",D10/D6-1),"")</f>
        <v/>
      </c>
      <c r="F10" s="32">
        <f>IFERROR(IF(OR(D10="",D9=""),"",D10/D9-1),"")</f>
        <v/>
      </c>
      <c r="G10" s="30">
        <f>IF(COUNT(Monthly!F20:F22)&lt;3,"",SUM(Monthly!F20:F22))</f>
        <v/>
      </c>
      <c r="H10" s="32">
        <f>IFERROR(IF(OR(G10="",G6=""),"",G10/G6-1),"")</f>
        <v/>
      </c>
      <c r="I10" s="32">
        <f>IFERROR(IF(OR(G10="",G9=""),"",G10/G9-1),"")</f>
        <v/>
      </c>
      <c r="J10" s="30">
        <f>IF(COUNT(Monthly!I20:I22)&lt;3,"",SUM(Monthly!I20:I22))</f>
        <v/>
      </c>
      <c r="K10" s="32">
        <f>IFERROR(IF(OR(J10="",J6=""),"",J10/J6-1),"")</f>
        <v/>
      </c>
      <c r="L10" s="32">
        <f>IFERROR(IF(OR(J10="",J9=""),"",J10/J9-1),"")</f>
        <v/>
      </c>
      <c r="M10" s="30">
        <f>IF(COUNT(Monthly!L20:L22)&lt;3,"",SUM(Monthly!L20:L22))</f>
        <v/>
      </c>
      <c r="N10" s="32">
        <f>IFERROR(IF(OR(M10="",M6=""),"",M10/M6-1),"")</f>
        <v/>
      </c>
      <c r="O10" s="32">
        <f>IFERROR(IF(OR(M10="",M9=""),"",M10/M9-1),"")</f>
        <v/>
      </c>
      <c r="P10" s="30">
        <f>IF(COUNT(Monthly!O20:O22)&lt;3,"",SUM(Monthly!O20:O22))</f>
        <v/>
      </c>
      <c r="Q10" s="32">
        <f>IFERROR(IF(OR(P10="",P6=""),"",P10/P6-1),"")</f>
        <v/>
      </c>
      <c r="R10" s="32">
        <f>IFERROR(IF(OR(P10="",P9=""),"",P10/P9-1),"")</f>
        <v/>
      </c>
    </row>
    <row r="11">
      <c r="A11" s="7" t="inlineStr">
        <is>
          <t>Q1FY21</t>
        </is>
      </c>
      <c r="B11" s="7" t="inlineStr">
        <is>
          <t>FY2021</t>
        </is>
      </c>
      <c r="C11" s="6" t="n">
        <v>43983</v>
      </c>
      <c r="D11" s="30">
        <f>IF(COUNT(Monthly!C23:C25)&lt;3,"",SUM(Monthly!C23:C25))</f>
        <v/>
      </c>
      <c r="E11" s="32">
        <f>IFERROR(IF(OR(D11="",D7=""),"",D11/D7-1),"")</f>
        <v/>
      </c>
      <c r="F11" s="32">
        <f>IFERROR(IF(OR(D11="",D10=""),"",D11/D10-1),"")</f>
        <v/>
      </c>
      <c r="G11" s="30">
        <f>IF(COUNT(Monthly!F23:F25)&lt;3,"",SUM(Monthly!F23:F25))</f>
        <v/>
      </c>
      <c r="H11" s="32">
        <f>IFERROR(IF(OR(G11="",G7=""),"",G11/G7-1),"")</f>
        <v/>
      </c>
      <c r="I11" s="32">
        <f>IFERROR(IF(OR(G11="",G10=""),"",G11/G10-1),"")</f>
        <v/>
      </c>
      <c r="J11" s="30">
        <f>IF(COUNT(Monthly!I23:I25)&lt;3,"",SUM(Monthly!I23:I25))</f>
        <v/>
      </c>
      <c r="K11" s="32">
        <f>IFERROR(IF(OR(J11="",J7=""),"",J11/J7-1),"")</f>
        <v/>
      </c>
      <c r="L11" s="32">
        <f>IFERROR(IF(OR(J11="",J10=""),"",J11/J10-1),"")</f>
        <v/>
      </c>
      <c r="M11" s="30">
        <f>IF(COUNT(Monthly!L23:L25)&lt;3,"",SUM(Monthly!L23:L25))</f>
        <v/>
      </c>
      <c r="N11" s="32">
        <f>IFERROR(IF(OR(M11="",M7=""),"",M11/M7-1),"")</f>
        <v/>
      </c>
      <c r="O11" s="32">
        <f>IFERROR(IF(OR(M11="",M10=""),"",M11/M10-1),"")</f>
        <v/>
      </c>
      <c r="P11" s="30">
        <f>IF(COUNT(Monthly!O23:O25)&lt;3,"",SUM(Monthly!O23:O25))</f>
        <v/>
      </c>
      <c r="Q11" s="32">
        <f>IFERROR(IF(OR(P11="",P7=""),"",P11/P7-1),"")</f>
        <v/>
      </c>
      <c r="R11" s="32">
        <f>IFERROR(IF(OR(P11="",P10=""),"",P11/P10-1),"")</f>
        <v/>
      </c>
    </row>
    <row r="12">
      <c r="A12" s="7" t="inlineStr">
        <is>
          <t>Q2FY21</t>
        </is>
      </c>
      <c r="B12" s="7" t="inlineStr">
        <is>
          <t>FY2021</t>
        </is>
      </c>
      <c r="C12" s="6" t="n">
        <v>44075</v>
      </c>
      <c r="D12" s="30">
        <f>IF(COUNT(Monthly!C26:C28)&lt;3,"",SUM(Monthly!C26:C28))</f>
        <v/>
      </c>
      <c r="E12" s="32">
        <f>IFERROR(IF(OR(D12="",D8=""),"",D12/D8-1),"")</f>
        <v/>
      </c>
      <c r="F12" s="32">
        <f>IFERROR(IF(OR(D12="",D11=""),"",D12/D11-1),"")</f>
        <v/>
      </c>
      <c r="G12" s="30">
        <f>IF(COUNT(Monthly!F26:F28)&lt;3,"",SUM(Monthly!F26:F28))</f>
        <v/>
      </c>
      <c r="H12" s="32">
        <f>IFERROR(IF(OR(G12="",G8=""),"",G12/G8-1),"")</f>
        <v/>
      </c>
      <c r="I12" s="32">
        <f>IFERROR(IF(OR(G12="",G11=""),"",G12/G11-1),"")</f>
        <v/>
      </c>
      <c r="J12" s="30">
        <f>IF(COUNT(Monthly!I26:I28)&lt;3,"",SUM(Monthly!I26:I28))</f>
        <v/>
      </c>
      <c r="K12" s="32">
        <f>IFERROR(IF(OR(J12="",J8=""),"",J12/J8-1),"")</f>
        <v/>
      </c>
      <c r="L12" s="32">
        <f>IFERROR(IF(OR(J12="",J11=""),"",J12/J11-1),"")</f>
        <v/>
      </c>
      <c r="M12" s="30">
        <f>IF(COUNT(Monthly!L26:L28)&lt;3,"",SUM(Monthly!L26:L28))</f>
        <v/>
      </c>
      <c r="N12" s="32">
        <f>IFERROR(IF(OR(M12="",M8=""),"",M12/M8-1),"")</f>
        <v/>
      </c>
      <c r="O12" s="32">
        <f>IFERROR(IF(OR(M12="",M11=""),"",M12/M11-1),"")</f>
        <v/>
      </c>
      <c r="P12" s="30">
        <f>IF(COUNT(Monthly!O26:O28)&lt;3,"",SUM(Monthly!O26:O28))</f>
        <v/>
      </c>
      <c r="Q12" s="32">
        <f>IFERROR(IF(OR(P12="",P8=""),"",P12/P8-1),"")</f>
        <v/>
      </c>
      <c r="R12" s="32">
        <f>IFERROR(IF(OR(P12="",P11=""),"",P12/P11-1),"")</f>
        <v/>
      </c>
    </row>
    <row r="13">
      <c r="A13" s="7" t="inlineStr">
        <is>
          <t>Q3FY21</t>
        </is>
      </c>
      <c r="B13" s="7" t="inlineStr">
        <is>
          <t>FY2021</t>
        </is>
      </c>
      <c r="C13" s="6" t="n">
        <v>44166</v>
      </c>
      <c r="D13" s="30">
        <f>IF(COUNT(Monthly!C29:C31)&lt;3,"",SUM(Monthly!C29:C31))</f>
        <v/>
      </c>
      <c r="E13" s="32">
        <f>IFERROR(IF(OR(D13="",D9=""),"",D13/D9-1),"")</f>
        <v/>
      </c>
      <c r="F13" s="32">
        <f>IFERROR(IF(OR(D13="",D12=""),"",D13/D12-1),"")</f>
        <v/>
      </c>
      <c r="G13" s="30">
        <f>IF(COUNT(Monthly!F29:F31)&lt;3,"",SUM(Monthly!F29:F31))</f>
        <v/>
      </c>
      <c r="H13" s="32">
        <f>IFERROR(IF(OR(G13="",G9=""),"",G13/G9-1),"")</f>
        <v/>
      </c>
      <c r="I13" s="32">
        <f>IFERROR(IF(OR(G13="",G12=""),"",G13/G12-1),"")</f>
        <v/>
      </c>
      <c r="J13" s="30">
        <f>IF(COUNT(Monthly!I29:I31)&lt;3,"",SUM(Monthly!I29:I31))</f>
        <v/>
      </c>
      <c r="K13" s="32">
        <f>IFERROR(IF(OR(J13="",J9=""),"",J13/J9-1),"")</f>
        <v/>
      </c>
      <c r="L13" s="32">
        <f>IFERROR(IF(OR(J13="",J12=""),"",J13/J12-1),"")</f>
        <v/>
      </c>
      <c r="M13" s="30">
        <f>IF(COUNT(Monthly!L29:L31)&lt;3,"",SUM(Monthly!L29:L31))</f>
        <v/>
      </c>
      <c r="N13" s="32">
        <f>IFERROR(IF(OR(M13="",M9=""),"",M13/M9-1),"")</f>
        <v/>
      </c>
      <c r="O13" s="32">
        <f>IFERROR(IF(OR(M13="",M12=""),"",M13/M12-1),"")</f>
        <v/>
      </c>
      <c r="P13" s="30">
        <f>IF(COUNT(Monthly!O29:O31)&lt;3,"",SUM(Monthly!O29:O31))</f>
        <v/>
      </c>
      <c r="Q13" s="32">
        <f>IFERROR(IF(OR(P13="",P9=""),"",P13/P9-1),"")</f>
        <v/>
      </c>
      <c r="R13" s="32">
        <f>IFERROR(IF(OR(P13="",P12=""),"",P13/P12-1),"")</f>
        <v/>
      </c>
    </row>
    <row r="14">
      <c r="A14" s="7" t="inlineStr">
        <is>
          <t>Q4FY21</t>
        </is>
      </c>
      <c r="B14" s="7" t="inlineStr">
        <is>
          <t>FY2021</t>
        </is>
      </c>
      <c r="C14" s="6" t="n">
        <v>44256</v>
      </c>
      <c r="D14" s="30">
        <f>IF(COUNT(Monthly!C32:C34)&lt;3,"",SUM(Monthly!C32:C34))</f>
        <v/>
      </c>
      <c r="E14" s="32">
        <f>IFERROR(IF(OR(D14="",D10=""),"",D14/D10-1),"")</f>
        <v/>
      </c>
      <c r="F14" s="32">
        <f>IFERROR(IF(OR(D14="",D13=""),"",D14/D13-1),"")</f>
        <v/>
      </c>
      <c r="G14" s="30">
        <f>IF(COUNT(Monthly!F32:F34)&lt;3,"",SUM(Monthly!F32:F34))</f>
        <v/>
      </c>
      <c r="H14" s="32">
        <f>IFERROR(IF(OR(G14="",G10=""),"",G14/G10-1),"")</f>
        <v/>
      </c>
      <c r="I14" s="32">
        <f>IFERROR(IF(OR(G14="",G13=""),"",G14/G13-1),"")</f>
        <v/>
      </c>
      <c r="J14" s="30">
        <f>IF(COUNT(Monthly!I32:I34)&lt;3,"",SUM(Monthly!I32:I34))</f>
        <v/>
      </c>
      <c r="K14" s="32">
        <f>IFERROR(IF(OR(J14="",J10=""),"",J14/J10-1),"")</f>
        <v/>
      </c>
      <c r="L14" s="32">
        <f>IFERROR(IF(OR(J14="",J13=""),"",J14/J13-1),"")</f>
        <v/>
      </c>
      <c r="M14" s="30">
        <f>IF(COUNT(Monthly!L32:L34)&lt;3,"",SUM(Monthly!L32:L34))</f>
        <v/>
      </c>
      <c r="N14" s="32">
        <f>IFERROR(IF(OR(M14="",M10=""),"",M14/M10-1),"")</f>
        <v/>
      </c>
      <c r="O14" s="32">
        <f>IFERROR(IF(OR(M14="",M13=""),"",M14/M13-1),"")</f>
        <v/>
      </c>
      <c r="P14" s="30">
        <f>IF(COUNT(Monthly!O32:O34)&lt;3,"",SUM(Monthly!O32:O34))</f>
        <v/>
      </c>
      <c r="Q14" s="32">
        <f>IFERROR(IF(OR(P14="",P10=""),"",P14/P10-1),"")</f>
        <v/>
      </c>
      <c r="R14" s="32">
        <f>IFERROR(IF(OR(P14="",P13=""),"",P14/P13-1),"")</f>
        <v/>
      </c>
    </row>
    <row r="15">
      <c r="A15" s="7" t="inlineStr">
        <is>
          <t>Q1FY22</t>
        </is>
      </c>
      <c r="B15" s="7" t="inlineStr">
        <is>
          <t>FY2022</t>
        </is>
      </c>
      <c r="C15" s="6" t="n">
        <v>44348</v>
      </c>
      <c r="D15" s="30">
        <f>IF(COUNT(Monthly!C35:C37)&lt;3,"",SUM(Monthly!C35:C37))</f>
        <v/>
      </c>
      <c r="E15" s="32">
        <f>IFERROR(IF(OR(D15="",D11=""),"",D15/D11-1),"")</f>
        <v/>
      </c>
      <c r="F15" s="32">
        <f>IFERROR(IF(OR(D15="",D14=""),"",D15/D14-1),"")</f>
        <v/>
      </c>
      <c r="G15" s="30">
        <f>IF(COUNT(Monthly!F35:F37)&lt;3,"",SUM(Monthly!F35:F37))</f>
        <v/>
      </c>
      <c r="H15" s="32">
        <f>IFERROR(IF(OR(G15="",G11=""),"",G15/G11-1),"")</f>
        <v/>
      </c>
      <c r="I15" s="32">
        <f>IFERROR(IF(OR(G15="",G14=""),"",G15/G14-1),"")</f>
        <v/>
      </c>
      <c r="J15" s="30">
        <f>IF(COUNT(Monthly!I35:I37)&lt;3,"",SUM(Monthly!I35:I37))</f>
        <v/>
      </c>
      <c r="K15" s="32">
        <f>IFERROR(IF(OR(J15="",J11=""),"",J15/J11-1),"")</f>
        <v/>
      </c>
      <c r="L15" s="32">
        <f>IFERROR(IF(OR(J15="",J14=""),"",J15/J14-1),"")</f>
        <v/>
      </c>
      <c r="M15" s="30">
        <f>IF(COUNT(Monthly!L35:L37)&lt;3,"",SUM(Monthly!L35:L37))</f>
        <v/>
      </c>
      <c r="N15" s="32">
        <f>IFERROR(IF(OR(M15="",M11=""),"",M15/M11-1),"")</f>
        <v/>
      </c>
      <c r="O15" s="32">
        <f>IFERROR(IF(OR(M15="",M14=""),"",M15/M14-1),"")</f>
        <v/>
      </c>
      <c r="P15" s="30">
        <f>IF(COUNT(Monthly!O35:O37)&lt;3,"",SUM(Monthly!O35:O37))</f>
        <v/>
      </c>
      <c r="Q15" s="32">
        <f>IFERROR(IF(OR(P15="",P11=""),"",P15/P11-1),"")</f>
        <v/>
      </c>
      <c r="R15" s="32">
        <f>IFERROR(IF(OR(P15="",P14=""),"",P15/P14-1),"")</f>
        <v/>
      </c>
    </row>
    <row r="16">
      <c r="A16" s="7" t="inlineStr">
        <is>
          <t>Q2FY22</t>
        </is>
      </c>
      <c r="B16" s="7" t="inlineStr">
        <is>
          <t>FY2022</t>
        </is>
      </c>
      <c r="C16" s="6" t="n">
        <v>44440</v>
      </c>
      <c r="D16" s="30">
        <f>IF(COUNT(Monthly!C38:C40)&lt;3,"",SUM(Monthly!C38:C40))</f>
        <v/>
      </c>
      <c r="E16" s="32">
        <f>IFERROR(IF(OR(D16="",D12=""),"",D16/D12-1),"")</f>
        <v/>
      </c>
      <c r="F16" s="32">
        <f>IFERROR(IF(OR(D16="",D15=""),"",D16/D15-1),"")</f>
        <v/>
      </c>
      <c r="G16" s="30">
        <f>IF(COUNT(Monthly!F38:F40)&lt;3,"",SUM(Monthly!F38:F40))</f>
        <v/>
      </c>
      <c r="H16" s="32">
        <f>IFERROR(IF(OR(G16="",G12=""),"",G16/G12-1),"")</f>
        <v/>
      </c>
      <c r="I16" s="32">
        <f>IFERROR(IF(OR(G16="",G15=""),"",G16/G15-1),"")</f>
        <v/>
      </c>
      <c r="J16" s="30">
        <f>IF(COUNT(Monthly!I38:I40)&lt;3,"",SUM(Monthly!I38:I40))</f>
        <v/>
      </c>
      <c r="K16" s="32">
        <f>IFERROR(IF(OR(J16="",J12=""),"",J16/J12-1),"")</f>
        <v/>
      </c>
      <c r="L16" s="32">
        <f>IFERROR(IF(OR(J16="",J15=""),"",J16/J15-1),"")</f>
        <v/>
      </c>
      <c r="M16" s="30">
        <f>IF(COUNT(Monthly!L38:L40)&lt;3,"",SUM(Monthly!L38:L40))</f>
        <v/>
      </c>
      <c r="N16" s="32">
        <f>IFERROR(IF(OR(M16="",M12=""),"",M16/M12-1),"")</f>
        <v/>
      </c>
      <c r="O16" s="32">
        <f>IFERROR(IF(OR(M16="",M15=""),"",M16/M15-1),"")</f>
        <v/>
      </c>
      <c r="P16" s="30">
        <f>IF(COUNT(Monthly!O38:O40)&lt;3,"",SUM(Monthly!O38:O40))</f>
        <v/>
      </c>
      <c r="Q16" s="32">
        <f>IFERROR(IF(OR(P16="",P12=""),"",P16/P12-1),"")</f>
        <v/>
      </c>
      <c r="R16" s="32">
        <f>IFERROR(IF(OR(P16="",P15=""),"",P16/P15-1),"")</f>
        <v/>
      </c>
    </row>
    <row r="17">
      <c r="A17" s="7" t="inlineStr">
        <is>
          <t>Q3FY22</t>
        </is>
      </c>
      <c r="B17" s="7" t="inlineStr">
        <is>
          <t>FY2022</t>
        </is>
      </c>
      <c r="C17" s="6" t="n">
        <v>44531</v>
      </c>
      <c r="D17" s="30">
        <f>IF(COUNT(Monthly!C41:C43)&lt;3,"",SUM(Monthly!C41:C43))</f>
        <v/>
      </c>
      <c r="E17" s="32">
        <f>IFERROR(IF(OR(D17="",D13=""),"",D17/D13-1),"")</f>
        <v/>
      </c>
      <c r="F17" s="32">
        <f>IFERROR(IF(OR(D17="",D16=""),"",D17/D16-1),"")</f>
        <v/>
      </c>
      <c r="G17" s="30">
        <f>IF(COUNT(Monthly!F41:F43)&lt;3,"",SUM(Monthly!F41:F43))</f>
        <v/>
      </c>
      <c r="H17" s="32">
        <f>IFERROR(IF(OR(G17="",G13=""),"",G17/G13-1),"")</f>
        <v/>
      </c>
      <c r="I17" s="32">
        <f>IFERROR(IF(OR(G17="",G16=""),"",G17/G16-1),"")</f>
        <v/>
      </c>
      <c r="J17" s="30">
        <f>IF(COUNT(Monthly!I41:I43)&lt;3,"",SUM(Monthly!I41:I43))</f>
        <v/>
      </c>
      <c r="K17" s="32">
        <f>IFERROR(IF(OR(J17="",J13=""),"",J17/J13-1),"")</f>
        <v/>
      </c>
      <c r="L17" s="32">
        <f>IFERROR(IF(OR(J17="",J16=""),"",J17/J16-1),"")</f>
        <v/>
      </c>
      <c r="M17" s="30">
        <f>IF(COUNT(Monthly!L41:L43)&lt;3,"",SUM(Monthly!L41:L43))</f>
        <v/>
      </c>
      <c r="N17" s="32">
        <f>IFERROR(IF(OR(M17="",M13=""),"",M17/M13-1),"")</f>
        <v/>
      </c>
      <c r="O17" s="32">
        <f>IFERROR(IF(OR(M17="",M16=""),"",M17/M16-1),"")</f>
        <v/>
      </c>
      <c r="P17" s="30">
        <f>IF(COUNT(Monthly!O41:O43)&lt;3,"",SUM(Monthly!O41:O43))</f>
        <v/>
      </c>
      <c r="Q17" s="32">
        <f>IFERROR(IF(OR(P17="",P13=""),"",P17/P13-1),"")</f>
        <v/>
      </c>
      <c r="R17" s="32">
        <f>IFERROR(IF(OR(P17="",P16=""),"",P17/P16-1),"")</f>
        <v/>
      </c>
    </row>
    <row r="18">
      <c r="A18" s="7" t="inlineStr">
        <is>
          <t>Q4FY22</t>
        </is>
      </c>
      <c r="B18" s="7" t="inlineStr">
        <is>
          <t>FY2022</t>
        </is>
      </c>
      <c r="C18" s="6" t="n">
        <v>44621</v>
      </c>
      <c r="D18" s="30">
        <f>IF(COUNT(Monthly!C44:C46)&lt;3,"",SUM(Monthly!C44:C46))</f>
        <v/>
      </c>
      <c r="E18" s="32">
        <f>IFERROR(IF(OR(D18="",D14=""),"",D18/D14-1),"")</f>
        <v/>
      </c>
      <c r="F18" s="32">
        <f>IFERROR(IF(OR(D18="",D17=""),"",D18/D17-1),"")</f>
        <v/>
      </c>
      <c r="G18" s="30">
        <f>IF(COUNT(Monthly!F44:F46)&lt;3,"",SUM(Monthly!F44:F46))</f>
        <v/>
      </c>
      <c r="H18" s="32">
        <f>IFERROR(IF(OR(G18="",G14=""),"",G18/G14-1),"")</f>
        <v/>
      </c>
      <c r="I18" s="32">
        <f>IFERROR(IF(OR(G18="",G17=""),"",G18/G17-1),"")</f>
        <v/>
      </c>
      <c r="J18" s="30">
        <f>IF(COUNT(Monthly!I44:I46)&lt;3,"",SUM(Monthly!I44:I46))</f>
        <v/>
      </c>
      <c r="K18" s="32">
        <f>IFERROR(IF(OR(J18="",J14=""),"",J18/J14-1),"")</f>
        <v/>
      </c>
      <c r="L18" s="32">
        <f>IFERROR(IF(OR(J18="",J17=""),"",J18/J17-1),"")</f>
        <v/>
      </c>
      <c r="M18" s="30">
        <f>IF(COUNT(Monthly!L44:L46)&lt;3,"",SUM(Monthly!L44:L46))</f>
        <v/>
      </c>
      <c r="N18" s="32">
        <f>IFERROR(IF(OR(M18="",M14=""),"",M18/M14-1),"")</f>
        <v/>
      </c>
      <c r="O18" s="32">
        <f>IFERROR(IF(OR(M18="",M17=""),"",M18/M17-1),"")</f>
        <v/>
      </c>
      <c r="P18" s="30">
        <f>IF(COUNT(Monthly!O44:O46)&lt;3,"",SUM(Monthly!O44:O46))</f>
        <v/>
      </c>
      <c r="Q18" s="32">
        <f>IFERROR(IF(OR(P18="",P14=""),"",P18/P14-1),"")</f>
        <v/>
      </c>
      <c r="R18" s="32">
        <f>IFERROR(IF(OR(P18="",P17=""),"",P18/P17-1),"")</f>
        <v/>
      </c>
    </row>
    <row r="19">
      <c r="A19" s="7" t="inlineStr">
        <is>
          <t>Q1FY23</t>
        </is>
      </c>
      <c r="B19" s="7" t="inlineStr">
        <is>
          <t>FY2023</t>
        </is>
      </c>
      <c r="C19" s="6" t="n">
        <v>44713</v>
      </c>
      <c r="D19" s="30">
        <f>IF(COUNT(Monthly!C47:C49)&lt;3,"",SUM(Monthly!C47:C49))</f>
        <v/>
      </c>
      <c r="E19" s="32">
        <f>IFERROR(IF(OR(D19="",D15=""),"",D19/D15-1),"")</f>
        <v/>
      </c>
      <c r="F19" s="32">
        <f>IFERROR(IF(OR(D19="",D18=""),"",D19/D18-1),"")</f>
        <v/>
      </c>
      <c r="G19" s="30">
        <f>IF(COUNT(Monthly!F47:F49)&lt;3,"",SUM(Monthly!F47:F49))</f>
        <v/>
      </c>
      <c r="H19" s="32">
        <f>IFERROR(IF(OR(G19="",G15=""),"",G19/G15-1),"")</f>
        <v/>
      </c>
      <c r="I19" s="32">
        <f>IFERROR(IF(OR(G19="",G18=""),"",G19/G18-1),"")</f>
        <v/>
      </c>
      <c r="J19" s="30">
        <f>IF(COUNT(Monthly!I47:I49)&lt;3,"",SUM(Monthly!I47:I49))</f>
        <v/>
      </c>
      <c r="K19" s="32">
        <f>IFERROR(IF(OR(J19="",J15=""),"",J19/J15-1),"")</f>
        <v/>
      </c>
      <c r="L19" s="32">
        <f>IFERROR(IF(OR(J19="",J18=""),"",J19/J18-1),"")</f>
        <v/>
      </c>
      <c r="M19" s="30">
        <f>IF(COUNT(Monthly!L47:L49)&lt;3,"",SUM(Monthly!L47:L49))</f>
        <v/>
      </c>
      <c r="N19" s="32">
        <f>IFERROR(IF(OR(M19="",M15=""),"",M19/M15-1),"")</f>
        <v/>
      </c>
      <c r="O19" s="32">
        <f>IFERROR(IF(OR(M19="",M18=""),"",M19/M18-1),"")</f>
        <v/>
      </c>
      <c r="P19" s="30">
        <f>IF(COUNT(Monthly!O47:O49)&lt;3,"",SUM(Monthly!O47:O49))</f>
        <v/>
      </c>
      <c r="Q19" s="32">
        <f>IFERROR(IF(OR(P19="",P15=""),"",P19/P15-1),"")</f>
        <v/>
      </c>
      <c r="R19" s="32">
        <f>IFERROR(IF(OR(P19="",P18=""),"",P19/P18-1),"")</f>
        <v/>
      </c>
    </row>
    <row r="20">
      <c r="A20" s="7" t="inlineStr">
        <is>
          <t>Q2FY23</t>
        </is>
      </c>
      <c r="B20" s="7" t="inlineStr">
        <is>
          <t>FY2023</t>
        </is>
      </c>
      <c r="C20" s="6" t="n">
        <v>44805</v>
      </c>
      <c r="D20" s="30">
        <f>IF(COUNT(Monthly!C50:C52)&lt;3,"",SUM(Monthly!C50:C52))</f>
        <v/>
      </c>
      <c r="E20" s="32">
        <f>IFERROR(IF(OR(D20="",D16=""),"",D20/D16-1),"")</f>
        <v/>
      </c>
      <c r="F20" s="32">
        <f>IFERROR(IF(OR(D20="",D19=""),"",D20/D19-1),"")</f>
        <v/>
      </c>
      <c r="G20" s="30">
        <f>IF(COUNT(Monthly!F50:F52)&lt;3,"",SUM(Monthly!F50:F52))</f>
        <v/>
      </c>
      <c r="H20" s="32">
        <f>IFERROR(IF(OR(G20="",G16=""),"",G20/G16-1),"")</f>
        <v/>
      </c>
      <c r="I20" s="32">
        <f>IFERROR(IF(OR(G20="",G19=""),"",G20/G19-1),"")</f>
        <v/>
      </c>
      <c r="J20" s="30">
        <f>IF(COUNT(Monthly!I50:I52)&lt;3,"",SUM(Monthly!I50:I52))</f>
        <v/>
      </c>
      <c r="K20" s="32">
        <f>IFERROR(IF(OR(J20="",J16=""),"",J20/J16-1),"")</f>
        <v/>
      </c>
      <c r="L20" s="32">
        <f>IFERROR(IF(OR(J20="",J19=""),"",J20/J19-1),"")</f>
        <v/>
      </c>
      <c r="M20" s="30">
        <f>IF(COUNT(Monthly!L50:L52)&lt;3,"",SUM(Monthly!L50:L52))</f>
        <v/>
      </c>
      <c r="N20" s="32">
        <f>IFERROR(IF(OR(M20="",M16=""),"",M20/M16-1),"")</f>
        <v/>
      </c>
      <c r="O20" s="32">
        <f>IFERROR(IF(OR(M20="",M19=""),"",M20/M19-1),"")</f>
        <v/>
      </c>
      <c r="P20" s="30">
        <f>IF(COUNT(Monthly!O50:O52)&lt;3,"",SUM(Monthly!O50:O52))</f>
        <v/>
      </c>
      <c r="Q20" s="32">
        <f>IFERROR(IF(OR(P20="",P16=""),"",P20/P16-1),"")</f>
        <v/>
      </c>
      <c r="R20" s="32">
        <f>IFERROR(IF(OR(P20="",P19=""),"",P20/P19-1),"")</f>
        <v/>
      </c>
    </row>
    <row r="21">
      <c r="A21" s="7" t="inlineStr">
        <is>
          <t>Q3FY23</t>
        </is>
      </c>
      <c r="B21" s="7" t="inlineStr">
        <is>
          <t>FY2023</t>
        </is>
      </c>
      <c r="C21" s="6" t="n">
        <v>44896</v>
      </c>
      <c r="D21" s="30">
        <f>IF(COUNT(Monthly!C53:C55)&lt;3,"",SUM(Monthly!C53:C55))</f>
        <v/>
      </c>
      <c r="E21" s="32">
        <f>IFERROR(IF(OR(D21="",D17=""),"",D21/D17-1),"")</f>
        <v/>
      </c>
      <c r="F21" s="32">
        <f>IFERROR(IF(OR(D21="",D20=""),"",D21/D20-1),"")</f>
        <v/>
      </c>
      <c r="G21" s="30">
        <f>IF(COUNT(Monthly!F53:F55)&lt;3,"",SUM(Monthly!F53:F55))</f>
        <v/>
      </c>
      <c r="H21" s="32">
        <f>IFERROR(IF(OR(G21="",G17=""),"",G21/G17-1),"")</f>
        <v/>
      </c>
      <c r="I21" s="32">
        <f>IFERROR(IF(OR(G21="",G20=""),"",G21/G20-1),"")</f>
        <v/>
      </c>
      <c r="J21" s="30">
        <f>IF(COUNT(Monthly!I53:I55)&lt;3,"",SUM(Monthly!I53:I55))</f>
        <v/>
      </c>
      <c r="K21" s="32">
        <f>IFERROR(IF(OR(J21="",J17=""),"",J21/J17-1),"")</f>
        <v/>
      </c>
      <c r="L21" s="32">
        <f>IFERROR(IF(OR(J21="",J20=""),"",J21/J20-1),"")</f>
        <v/>
      </c>
      <c r="M21" s="30">
        <f>IF(COUNT(Monthly!L53:L55)&lt;3,"",SUM(Monthly!L53:L55))</f>
        <v/>
      </c>
      <c r="N21" s="32">
        <f>IFERROR(IF(OR(M21="",M17=""),"",M21/M17-1),"")</f>
        <v/>
      </c>
      <c r="O21" s="32">
        <f>IFERROR(IF(OR(M21="",M20=""),"",M21/M20-1),"")</f>
        <v/>
      </c>
      <c r="P21" s="30">
        <f>IF(COUNT(Monthly!O53:O55)&lt;3,"",SUM(Monthly!O53:O55))</f>
        <v/>
      </c>
      <c r="Q21" s="32">
        <f>IFERROR(IF(OR(P21="",P17=""),"",P21/P17-1),"")</f>
        <v/>
      </c>
      <c r="R21" s="32">
        <f>IFERROR(IF(OR(P21="",P20=""),"",P21/P20-1),"")</f>
        <v/>
      </c>
    </row>
    <row r="22">
      <c r="A22" s="7" t="inlineStr">
        <is>
          <t>Q4FY23</t>
        </is>
      </c>
      <c r="B22" s="7" t="inlineStr">
        <is>
          <t>FY2023</t>
        </is>
      </c>
      <c r="C22" s="6" t="n">
        <v>44986</v>
      </c>
      <c r="D22" s="30">
        <f>IF(COUNT(Monthly!C56:C58)&lt;3,"",SUM(Monthly!C56:C58))</f>
        <v/>
      </c>
      <c r="E22" s="32">
        <f>IFERROR(IF(OR(D22="",D18=""),"",D22/D18-1),"")</f>
        <v/>
      </c>
      <c r="F22" s="32">
        <f>IFERROR(IF(OR(D22="",D21=""),"",D22/D21-1),"")</f>
        <v/>
      </c>
      <c r="G22" s="30">
        <f>IF(COUNT(Monthly!F56:F58)&lt;3,"",SUM(Monthly!F56:F58))</f>
        <v/>
      </c>
      <c r="H22" s="32">
        <f>IFERROR(IF(OR(G22="",G18=""),"",G22/G18-1),"")</f>
        <v/>
      </c>
      <c r="I22" s="32">
        <f>IFERROR(IF(OR(G22="",G21=""),"",G22/G21-1),"")</f>
        <v/>
      </c>
      <c r="J22" s="30">
        <f>IF(COUNT(Monthly!I56:I58)&lt;3,"",SUM(Monthly!I56:I58))</f>
        <v/>
      </c>
      <c r="K22" s="32">
        <f>IFERROR(IF(OR(J22="",J18=""),"",J22/J18-1),"")</f>
        <v/>
      </c>
      <c r="L22" s="32">
        <f>IFERROR(IF(OR(J22="",J21=""),"",J22/J21-1),"")</f>
        <v/>
      </c>
      <c r="M22" s="30">
        <f>IF(COUNT(Monthly!L56:L58)&lt;3,"",SUM(Monthly!L56:L58))</f>
        <v/>
      </c>
      <c r="N22" s="32">
        <f>IFERROR(IF(OR(M22="",M18=""),"",M22/M18-1),"")</f>
        <v/>
      </c>
      <c r="O22" s="32">
        <f>IFERROR(IF(OR(M22="",M21=""),"",M22/M21-1),"")</f>
        <v/>
      </c>
      <c r="P22" s="30">
        <f>IF(COUNT(Monthly!O56:O58)&lt;3,"",SUM(Monthly!O56:O58))</f>
        <v/>
      </c>
      <c r="Q22" s="32">
        <f>IFERROR(IF(OR(P22="",P18=""),"",P22/P18-1),"")</f>
        <v/>
      </c>
      <c r="R22" s="32">
        <f>IFERROR(IF(OR(P22="",P21=""),"",P22/P21-1),"")</f>
        <v/>
      </c>
    </row>
    <row r="23">
      <c r="A23" s="7" t="inlineStr">
        <is>
          <t>Q1FY24</t>
        </is>
      </c>
      <c r="B23" s="7" t="inlineStr">
        <is>
          <t>FY2024</t>
        </is>
      </c>
      <c r="C23" s="6" t="n">
        <v>45078</v>
      </c>
      <c r="D23" s="30">
        <f>IF(COUNT(Monthly!C59:C61)&lt;3,"",SUM(Monthly!C59:C61))</f>
        <v/>
      </c>
      <c r="E23" s="32">
        <f>IFERROR(IF(OR(D23="",D19=""),"",D23/D19-1),"")</f>
        <v/>
      </c>
      <c r="F23" s="32">
        <f>IFERROR(IF(OR(D23="",D22=""),"",D23/D22-1),"")</f>
        <v/>
      </c>
      <c r="G23" s="30">
        <f>IF(COUNT(Monthly!F59:F61)&lt;3,"",SUM(Monthly!F59:F61))</f>
        <v/>
      </c>
      <c r="H23" s="32">
        <f>IFERROR(IF(OR(G23="",G19=""),"",G23/G19-1),"")</f>
        <v/>
      </c>
      <c r="I23" s="32">
        <f>IFERROR(IF(OR(G23="",G22=""),"",G23/G22-1),"")</f>
        <v/>
      </c>
      <c r="J23" s="30">
        <f>IF(COUNT(Monthly!I59:I61)&lt;3,"",SUM(Monthly!I59:I61))</f>
        <v/>
      </c>
      <c r="K23" s="32">
        <f>IFERROR(IF(OR(J23="",J19=""),"",J23/J19-1),"")</f>
        <v/>
      </c>
      <c r="L23" s="32">
        <f>IFERROR(IF(OR(J23="",J22=""),"",J23/J22-1),"")</f>
        <v/>
      </c>
      <c r="M23" s="30">
        <f>IF(COUNT(Monthly!L59:L61)&lt;3,"",SUM(Monthly!L59:L61))</f>
        <v/>
      </c>
      <c r="N23" s="32">
        <f>IFERROR(IF(OR(M23="",M19=""),"",M23/M19-1),"")</f>
        <v/>
      </c>
      <c r="O23" s="32">
        <f>IFERROR(IF(OR(M23="",M22=""),"",M23/M22-1),"")</f>
        <v/>
      </c>
      <c r="P23" s="30">
        <f>IF(COUNT(Monthly!O59:O61)&lt;3,"",SUM(Monthly!O59:O61))</f>
        <v/>
      </c>
      <c r="Q23" s="32">
        <f>IFERROR(IF(OR(P23="",P19=""),"",P23/P19-1),"")</f>
        <v/>
      </c>
      <c r="R23" s="32">
        <f>IFERROR(IF(OR(P23="",P22=""),"",P23/P22-1),"")</f>
        <v/>
      </c>
    </row>
    <row r="24">
      <c r="A24" s="7" t="inlineStr">
        <is>
          <t>Q2FY24</t>
        </is>
      </c>
      <c r="B24" s="7" t="inlineStr">
        <is>
          <t>FY2024</t>
        </is>
      </c>
      <c r="C24" s="6" t="n">
        <v>45170</v>
      </c>
      <c r="D24" s="30">
        <f>IF(COUNT(Monthly!C62:C64)&lt;3,"",SUM(Monthly!C62:C64))</f>
        <v/>
      </c>
      <c r="E24" s="32">
        <f>IFERROR(IF(OR(D24="",D20=""),"",D24/D20-1),"")</f>
        <v/>
      </c>
      <c r="F24" s="32">
        <f>IFERROR(IF(OR(D24="",D23=""),"",D24/D23-1),"")</f>
        <v/>
      </c>
      <c r="G24" s="30">
        <f>IF(COUNT(Monthly!F62:F64)&lt;3,"",SUM(Monthly!F62:F64))</f>
        <v/>
      </c>
      <c r="H24" s="32">
        <f>IFERROR(IF(OR(G24="",G20=""),"",G24/G20-1),"")</f>
        <v/>
      </c>
      <c r="I24" s="32">
        <f>IFERROR(IF(OR(G24="",G23=""),"",G24/G23-1),"")</f>
        <v/>
      </c>
      <c r="J24" s="30">
        <f>IF(COUNT(Monthly!I62:I64)&lt;3,"",SUM(Monthly!I62:I64))</f>
        <v/>
      </c>
      <c r="K24" s="32">
        <f>IFERROR(IF(OR(J24="",J20=""),"",J24/J20-1),"")</f>
        <v/>
      </c>
      <c r="L24" s="32">
        <f>IFERROR(IF(OR(J24="",J23=""),"",J24/J23-1),"")</f>
        <v/>
      </c>
      <c r="M24" s="30">
        <f>IF(COUNT(Monthly!L62:L64)&lt;3,"",SUM(Monthly!L62:L64))</f>
        <v/>
      </c>
      <c r="N24" s="32">
        <f>IFERROR(IF(OR(M24="",M20=""),"",M24/M20-1),"")</f>
        <v/>
      </c>
      <c r="O24" s="32">
        <f>IFERROR(IF(OR(M24="",M23=""),"",M24/M23-1),"")</f>
        <v/>
      </c>
      <c r="P24" s="30">
        <f>IF(COUNT(Monthly!O62:O64)&lt;3,"",SUM(Monthly!O62:O64))</f>
        <v/>
      </c>
      <c r="Q24" s="32">
        <f>IFERROR(IF(OR(P24="",P20=""),"",P24/P20-1),"")</f>
        <v/>
      </c>
      <c r="R24" s="32">
        <f>IFERROR(IF(OR(P24="",P23=""),"",P24/P23-1),"")</f>
        <v/>
      </c>
    </row>
    <row r="25">
      <c r="A25" s="7" t="inlineStr">
        <is>
          <t>Q3FY24</t>
        </is>
      </c>
      <c r="B25" s="7" t="inlineStr">
        <is>
          <t>FY2024</t>
        </is>
      </c>
      <c r="C25" s="6" t="n">
        <v>45261</v>
      </c>
      <c r="D25" s="30">
        <f>IF(COUNT(Monthly!C65:C67)&lt;3,"",SUM(Monthly!C65:C67))</f>
        <v/>
      </c>
      <c r="E25" s="32">
        <f>IFERROR(IF(OR(D25="",D21=""),"",D25/D21-1),"")</f>
        <v/>
      </c>
      <c r="F25" s="32">
        <f>IFERROR(IF(OR(D25="",D24=""),"",D25/D24-1),"")</f>
        <v/>
      </c>
      <c r="G25" s="30">
        <f>IF(COUNT(Monthly!F65:F67)&lt;3,"",SUM(Monthly!F65:F67))</f>
        <v/>
      </c>
      <c r="H25" s="32">
        <f>IFERROR(IF(OR(G25="",G21=""),"",G25/G21-1),"")</f>
        <v/>
      </c>
      <c r="I25" s="32">
        <f>IFERROR(IF(OR(G25="",G24=""),"",G25/G24-1),"")</f>
        <v/>
      </c>
      <c r="J25" s="30">
        <f>IF(COUNT(Monthly!I65:I67)&lt;3,"",SUM(Monthly!I65:I67))</f>
        <v/>
      </c>
      <c r="K25" s="32">
        <f>IFERROR(IF(OR(J25="",J21=""),"",J25/J21-1),"")</f>
        <v/>
      </c>
      <c r="L25" s="32">
        <f>IFERROR(IF(OR(J25="",J24=""),"",J25/J24-1),"")</f>
        <v/>
      </c>
      <c r="M25" s="30">
        <f>IF(COUNT(Monthly!L65:L67)&lt;3,"",SUM(Monthly!L65:L67))</f>
        <v/>
      </c>
      <c r="N25" s="32">
        <f>IFERROR(IF(OR(M25="",M21=""),"",M25/M21-1),"")</f>
        <v/>
      </c>
      <c r="O25" s="32">
        <f>IFERROR(IF(OR(M25="",M24=""),"",M25/M24-1),"")</f>
        <v/>
      </c>
      <c r="P25" s="30">
        <f>IF(COUNT(Monthly!O65:O67)&lt;3,"",SUM(Monthly!O65:O67))</f>
        <v/>
      </c>
      <c r="Q25" s="32">
        <f>IFERROR(IF(OR(P25="",P21=""),"",P25/P21-1),"")</f>
        <v/>
      </c>
      <c r="R25" s="32">
        <f>IFERROR(IF(OR(P25="",P24=""),"",P25/P24-1),"")</f>
        <v/>
      </c>
    </row>
    <row r="26">
      <c r="A26" s="7" t="inlineStr">
        <is>
          <t>Q4FY24</t>
        </is>
      </c>
      <c r="B26" s="7" t="inlineStr">
        <is>
          <t>FY2024</t>
        </is>
      </c>
      <c r="C26" s="6" t="n">
        <v>45352</v>
      </c>
      <c r="D26" s="30">
        <f>IF(COUNT(Monthly!C68:C70)&lt;3,"",SUM(Monthly!C68:C70))</f>
        <v/>
      </c>
      <c r="E26" s="32">
        <f>IFERROR(IF(OR(D26="",D22=""),"",D26/D22-1),"")</f>
        <v/>
      </c>
      <c r="F26" s="32">
        <f>IFERROR(IF(OR(D26="",D25=""),"",D26/D25-1),"")</f>
        <v/>
      </c>
      <c r="G26" s="30">
        <f>IF(COUNT(Monthly!F68:F70)&lt;3,"",SUM(Monthly!F68:F70))</f>
        <v/>
      </c>
      <c r="H26" s="32">
        <f>IFERROR(IF(OR(G26="",G22=""),"",G26/G22-1),"")</f>
        <v/>
      </c>
      <c r="I26" s="32">
        <f>IFERROR(IF(OR(G26="",G25=""),"",G26/G25-1),"")</f>
        <v/>
      </c>
      <c r="J26" s="30">
        <f>IF(COUNT(Monthly!I68:I70)&lt;3,"",SUM(Monthly!I68:I70))</f>
        <v/>
      </c>
      <c r="K26" s="32">
        <f>IFERROR(IF(OR(J26="",J22=""),"",J26/J22-1),"")</f>
        <v/>
      </c>
      <c r="L26" s="32">
        <f>IFERROR(IF(OR(J26="",J25=""),"",J26/J25-1),"")</f>
        <v/>
      </c>
      <c r="M26" s="30">
        <f>IF(COUNT(Monthly!L68:L70)&lt;3,"",SUM(Monthly!L68:L70))</f>
        <v/>
      </c>
      <c r="N26" s="32">
        <f>IFERROR(IF(OR(M26="",M22=""),"",M26/M22-1),"")</f>
        <v/>
      </c>
      <c r="O26" s="32">
        <f>IFERROR(IF(OR(M26="",M25=""),"",M26/M25-1),"")</f>
        <v/>
      </c>
      <c r="P26" s="30">
        <f>IF(COUNT(Monthly!O68:O70)&lt;3,"",SUM(Monthly!O68:O70))</f>
        <v/>
      </c>
      <c r="Q26" s="32">
        <f>IFERROR(IF(OR(P26="",P22=""),"",P26/P22-1),"")</f>
        <v/>
      </c>
      <c r="R26" s="32">
        <f>IFERROR(IF(OR(P26="",P25=""),"",P26/P25-1),"")</f>
        <v/>
      </c>
    </row>
    <row r="27">
      <c r="A27" s="7" t="inlineStr">
        <is>
          <t>Q1FY25</t>
        </is>
      </c>
      <c r="B27" s="7" t="inlineStr">
        <is>
          <t>FY2025</t>
        </is>
      </c>
      <c r="C27" s="6" t="n">
        <v>45444</v>
      </c>
      <c r="D27" s="30">
        <f>IF(COUNT(Monthly!C71:C73)&lt;3,"",SUM(Monthly!C71:C73))</f>
        <v/>
      </c>
      <c r="E27" s="32">
        <f>IFERROR(IF(OR(D27="",D23=""),"",D27/D23-1),"")</f>
        <v/>
      </c>
      <c r="F27" s="32">
        <f>IFERROR(IF(OR(D27="",D26=""),"",D27/D26-1),"")</f>
        <v/>
      </c>
      <c r="G27" s="30">
        <f>IF(COUNT(Monthly!F71:F73)&lt;3,"",SUM(Monthly!F71:F73))</f>
        <v/>
      </c>
      <c r="H27" s="32">
        <f>IFERROR(IF(OR(G27="",G23=""),"",G27/G23-1),"")</f>
        <v/>
      </c>
      <c r="I27" s="32">
        <f>IFERROR(IF(OR(G27="",G26=""),"",G27/G26-1),"")</f>
        <v/>
      </c>
      <c r="J27" s="30">
        <f>IF(COUNT(Monthly!I71:I73)&lt;3,"",SUM(Monthly!I71:I73))</f>
        <v/>
      </c>
      <c r="K27" s="32">
        <f>IFERROR(IF(OR(J27="",J23=""),"",J27/J23-1),"")</f>
        <v/>
      </c>
      <c r="L27" s="32">
        <f>IFERROR(IF(OR(J27="",J26=""),"",J27/J26-1),"")</f>
        <v/>
      </c>
      <c r="M27" s="30">
        <f>IF(COUNT(Monthly!L71:L73)&lt;3,"",SUM(Monthly!L71:L73))</f>
        <v/>
      </c>
      <c r="N27" s="32">
        <f>IFERROR(IF(OR(M27="",M23=""),"",M27/M23-1),"")</f>
        <v/>
      </c>
      <c r="O27" s="32">
        <f>IFERROR(IF(OR(M27="",M26=""),"",M27/M26-1),"")</f>
        <v/>
      </c>
      <c r="P27" s="30">
        <f>IF(COUNT(Monthly!O71:O73)&lt;3,"",SUM(Monthly!O71:O73))</f>
        <v/>
      </c>
      <c r="Q27" s="32">
        <f>IFERROR(IF(OR(P27="",P23=""),"",P27/P23-1),"")</f>
        <v/>
      </c>
      <c r="R27" s="32">
        <f>IFERROR(IF(OR(P27="",P26=""),"",P27/P26-1),"")</f>
        <v/>
      </c>
    </row>
    <row r="28">
      <c r="A28" s="7" t="inlineStr">
        <is>
          <t>Q2FY25</t>
        </is>
      </c>
      <c r="B28" s="7" t="inlineStr">
        <is>
          <t>FY2025</t>
        </is>
      </c>
      <c r="C28" s="6" t="n">
        <v>45536</v>
      </c>
      <c r="D28" s="30">
        <f>IF(COUNT(Monthly!C74:C76)&lt;3,"",SUM(Monthly!C74:C76))</f>
        <v/>
      </c>
      <c r="E28" s="32">
        <f>IFERROR(IF(OR(D28="",D24=""),"",D28/D24-1),"")</f>
        <v/>
      </c>
      <c r="F28" s="32">
        <f>IFERROR(IF(OR(D28="",D27=""),"",D28/D27-1),"")</f>
        <v/>
      </c>
      <c r="G28" s="30">
        <f>IF(COUNT(Monthly!F74:F76)&lt;3,"",SUM(Monthly!F74:F76))</f>
        <v/>
      </c>
      <c r="H28" s="32">
        <f>IFERROR(IF(OR(G28="",G24=""),"",G28/G24-1),"")</f>
        <v/>
      </c>
      <c r="I28" s="32">
        <f>IFERROR(IF(OR(G28="",G27=""),"",G28/G27-1),"")</f>
        <v/>
      </c>
      <c r="J28" s="30">
        <f>IF(COUNT(Monthly!I74:I76)&lt;3,"",SUM(Monthly!I74:I76))</f>
        <v/>
      </c>
      <c r="K28" s="32">
        <f>IFERROR(IF(OR(J28="",J24=""),"",J28/J24-1),"")</f>
        <v/>
      </c>
      <c r="L28" s="32">
        <f>IFERROR(IF(OR(J28="",J27=""),"",J28/J27-1),"")</f>
        <v/>
      </c>
      <c r="M28" s="30">
        <f>IF(COUNT(Monthly!L74:L76)&lt;3,"",SUM(Monthly!L74:L76))</f>
        <v/>
      </c>
      <c r="N28" s="32">
        <f>IFERROR(IF(OR(M28="",M24=""),"",M28/M24-1),"")</f>
        <v/>
      </c>
      <c r="O28" s="32">
        <f>IFERROR(IF(OR(M28="",M27=""),"",M28/M27-1),"")</f>
        <v/>
      </c>
      <c r="P28" s="30">
        <f>IF(COUNT(Monthly!O74:O76)&lt;3,"",SUM(Monthly!O74:O76))</f>
        <v/>
      </c>
      <c r="Q28" s="32">
        <f>IFERROR(IF(OR(P28="",P24=""),"",P28/P24-1),"")</f>
        <v/>
      </c>
      <c r="R28" s="32">
        <f>IFERROR(IF(OR(P28="",P27=""),"",P28/P27-1),"")</f>
        <v/>
      </c>
    </row>
    <row r="29">
      <c r="A29" s="7" t="inlineStr">
        <is>
          <t>Q3FY25</t>
        </is>
      </c>
      <c r="B29" s="7" t="inlineStr">
        <is>
          <t>FY2025</t>
        </is>
      </c>
      <c r="C29" s="6" t="n">
        <v>45627</v>
      </c>
      <c r="D29" s="30">
        <f>IF(COUNT(Monthly!C77:C79)&lt;3,"",SUM(Monthly!C77:C79))</f>
        <v/>
      </c>
      <c r="E29" s="32">
        <f>IFERROR(IF(OR(D29="",D25=""),"",D29/D25-1),"")</f>
        <v/>
      </c>
      <c r="F29" s="32">
        <f>IFERROR(IF(OR(D29="",D28=""),"",D29/D28-1),"")</f>
        <v/>
      </c>
      <c r="G29" s="30">
        <f>IF(COUNT(Monthly!F77:F79)&lt;3,"",SUM(Monthly!F77:F79))</f>
        <v/>
      </c>
      <c r="H29" s="32">
        <f>IFERROR(IF(OR(G29="",G25=""),"",G29/G25-1),"")</f>
        <v/>
      </c>
      <c r="I29" s="32">
        <f>IFERROR(IF(OR(G29="",G28=""),"",G29/G28-1),"")</f>
        <v/>
      </c>
      <c r="J29" s="30">
        <f>IF(COUNT(Monthly!I77:I79)&lt;3,"",SUM(Monthly!I77:I79))</f>
        <v/>
      </c>
      <c r="K29" s="32">
        <f>IFERROR(IF(OR(J29="",J25=""),"",J29/J25-1),"")</f>
        <v/>
      </c>
      <c r="L29" s="32">
        <f>IFERROR(IF(OR(J29="",J28=""),"",J29/J28-1),"")</f>
        <v/>
      </c>
      <c r="M29" s="30">
        <f>IF(COUNT(Monthly!L77:L79)&lt;3,"",SUM(Monthly!L77:L79))</f>
        <v/>
      </c>
      <c r="N29" s="32">
        <f>IFERROR(IF(OR(M29="",M25=""),"",M29/M25-1),"")</f>
        <v/>
      </c>
      <c r="O29" s="32">
        <f>IFERROR(IF(OR(M29="",M28=""),"",M29/M28-1),"")</f>
        <v/>
      </c>
      <c r="P29" s="30">
        <f>IF(COUNT(Monthly!O77:O79)&lt;3,"",SUM(Monthly!O77:O79))</f>
        <v/>
      </c>
      <c r="Q29" s="32">
        <f>IFERROR(IF(OR(P29="",P25=""),"",P29/P25-1),"")</f>
        <v/>
      </c>
      <c r="R29" s="32">
        <f>IFERROR(IF(OR(P29="",P28=""),"",P29/P28-1),"")</f>
        <v/>
      </c>
    </row>
    <row r="30">
      <c r="A30" s="7" t="inlineStr">
        <is>
          <t>Q4FY25</t>
        </is>
      </c>
      <c r="B30" s="7" t="inlineStr">
        <is>
          <t>FY2025</t>
        </is>
      </c>
      <c r="C30" s="6" t="n">
        <v>45717</v>
      </c>
      <c r="D30" s="30">
        <f>IF(COUNT(Monthly!C80:C82)&lt;3,"",SUM(Monthly!C80:C82))</f>
        <v/>
      </c>
      <c r="E30" s="32">
        <f>IFERROR(IF(OR(D30="",D26=""),"",D30/D26-1),"")</f>
        <v/>
      </c>
      <c r="F30" s="32">
        <f>IFERROR(IF(OR(D30="",D29=""),"",D30/D29-1),"")</f>
        <v/>
      </c>
      <c r="G30" s="30">
        <f>IF(COUNT(Monthly!F80:F82)&lt;3,"",SUM(Monthly!F80:F82))</f>
        <v/>
      </c>
      <c r="H30" s="32">
        <f>IFERROR(IF(OR(G30="",G26=""),"",G30/G26-1),"")</f>
        <v/>
      </c>
      <c r="I30" s="32">
        <f>IFERROR(IF(OR(G30="",G29=""),"",G30/G29-1),"")</f>
        <v/>
      </c>
      <c r="J30" s="30">
        <f>IF(COUNT(Monthly!I80:I82)&lt;3,"",SUM(Monthly!I80:I82))</f>
        <v/>
      </c>
      <c r="K30" s="32">
        <f>IFERROR(IF(OR(J30="",J26=""),"",J30/J26-1),"")</f>
        <v/>
      </c>
      <c r="L30" s="32">
        <f>IFERROR(IF(OR(J30="",J29=""),"",J30/J29-1),"")</f>
        <v/>
      </c>
      <c r="M30" s="30">
        <f>IF(COUNT(Monthly!L80:L82)&lt;3,"",SUM(Monthly!L80:L82))</f>
        <v/>
      </c>
      <c r="N30" s="32">
        <f>IFERROR(IF(OR(M30="",M26=""),"",M30/M26-1),"")</f>
        <v/>
      </c>
      <c r="O30" s="32">
        <f>IFERROR(IF(OR(M30="",M29=""),"",M30/M29-1),"")</f>
        <v/>
      </c>
      <c r="P30" s="30">
        <f>IF(COUNT(Monthly!O80:O82)&lt;3,"",SUM(Monthly!O80:O82))</f>
        <v/>
      </c>
      <c r="Q30" s="32">
        <f>IFERROR(IF(OR(P30="",P26=""),"",P30/P26-1),"")</f>
        <v/>
      </c>
      <c r="R30" s="32">
        <f>IFERROR(IF(OR(P30="",P29=""),"",P30/P29-1),"")</f>
        <v/>
      </c>
    </row>
    <row r="31">
      <c r="A31" s="7" t="inlineStr">
        <is>
          <t>Q1FY26</t>
        </is>
      </c>
      <c r="B31" s="7" t="inlineStr">
        <is>
          <t>FY2026</t>
        </is>
      </c>
      <c r="C31" s="6" t="n">
        <v>45809</v>
      </c>
      <c r="D31" s="30">
        <f>IF(COUNT(Monthly!C83:C85)&lt;3,"",SUM(Monthly!C83:C85))</f>
        <v/>
      </c>
      <c r="E31" s="32">
        <f>IFERROR(IF(OR(D31="",D27=""),"",D31/D27-1),"")</f>
        <v/>
      </c>
      <c r="F31" s="32">
        <f>IFERROR(IF(OR(D31="",D30=""),"",D31/D30-1),"")</f>
        <v/>
      </c>
      <c r="G31" s="30">
        <f>IF(COUNT(Monthly!F83:F85)&lt;3,"",SUM(Monthly!F83:F85))</f>
        <v/>
      </c>
      <c r="H31" s="32">
        <f>IFERROR(IF(OR(G31="",G27=""),"",G31/G27-1),"")</f>
        <v/>
      </c>
      <c r="I31" s="32">
        <f>IFERROR(IF(OR(G31="",G30=""),"",G31/G30-1),"")</f>
        <v/>
      </c>
      <c r="J31" s="30">
        <f>IF(COUNT(Monthly!I83:I85)&lt;3,"",SUM(Monthly!I83:I85))</f>
        <v/>
      </c>
      <c r="K31" s="32">
        <f>IFERROR(IF(OR(J31="",J27=""),"",J31/J27-1),"")</f>
        <v/>
      </c>
      <c r="L31" s="32">
        <f>IFERROR(IF(OR(J31="",J30=""),"",J31/J30-1),"")</f>
        <v/>
      </c>
      <c r="M31" s="30">
        <f>IF(COUNT(Monthly!L83:L85)&lt;3,"",SUM(Monthly!L83:L85))</f>
        <v/>
      </c>
      <c r="N31" s="32">
        <f>IFERROR(IF(OR(M31="",M27=""),"",M31/M27-1),"")</f>
        <v/>
      </c>
      <c r="O31" s="32">
        <f>IFERROR(IF(OR(M31="",M30=""),"",M31/M30-1),"")</f>
        <v/>
      </c>
      <c r="P31" s="30">
        <f>IF(COUNT(Monthly!O83:O85)&lt;3,"",SUM(Monthly!O83:O85))</f>
        <v/>
      </c>
      <c r="Q31" s="32">
        <f>IFERROR(IF(OR(P31="",P27=""),"",P31/P27-1),"")</f>
        <v/>
      </c>
      <c r="R31" s="32">
        <f>IFERROR(IF(OR(P31="",P30=""),"",P31/P30-1),"")</f>
        <v/>
      </c>
    </row>
    <row r="32">
      <c r="A32" s="7" t="inlineStr">
        <is>
          <t>Q2FY26</t>
        </is>
      </c>
      <c r="B32" s="7" t="inlineStr">
        <is>
          <t>FY2026</t>
        </is>
      </c>
      <c r="C32" s="6" t="n">
        <v>45901</v>
      </c>
      <c r="D32" s="30">
        <f>IF(COUNT(Monthly!C86:C88)&lt;3,"",SUM(Monthly!C86:C88))</f>
        <v/>
      </c>
      <c r="E32" s="32">
        <f>IFERROR(IF(OR(D32="",D28=""),"",D32/D28-1),"")</f>
        <v/>
      </c>
      <c r="F32" s="32">
        <f>IFERROR(IF(OR(D32="",D31=""),"",D32/D31-1),"")</f>
        <v/>
      </c>
      <c r="G32" s="30">
        <f>IF(COUNT(Monthly!F86:F88)&lt;3,"",SUM(Monthly!F86:F88))</f>
        <v/>
      </c>
      <c r="H32" s="32">
        <f>IFERROR(IF(OR(G32="",G28=""),"",G32/G28-1),"")</f>
        <v/>
      </c>
      <c r="I32" s="32">
        <f>IFERROR(IF(OR(G32="",G31=""),"",G32/G31-1),"")</f>
        <v/>
      </c>
      <c r="J32" s="30">
        <f>IF(COUNT(Monthly!I86:I88)&lt;3,"",SUM(Monthly!I86:I88))</f>
        <v/>
      </c>
      <c r="K32" s="32">
        <f>IFERROR(IF(OR(J32="",J28=""),"",J32/J28-1),"")</f>
        <v/>
      </c>
      <c r="L32" s="32">
        <f>IFERROR(IF(OR(J32="",J31=""),"",J32/J31-1),"")</f>
        <v/>
      </c>
      <c r="M32" s="30">
        <f>IF(COUNT(Monthly!L86:L88)&lt;3,"",SUM(Monthly!L86:L88))</f>
        <v/>
      </c>
      <c r="N32" s="32">
        <f>IFERROR(IF(OR(M32="",M28=""),"",M32/M28-1),"")</f>
        <v/>
      </c>
      <c r="O32" s="32">
        <f>IFERROR(IF(OR(M32="",M31=""),"",M32/M31-1),"")</f>
        <v/>
      </c>
      <c r="P32" s="30">
        <f>IF(COUNT(Monthly!O86:O88)&lt;3,"",SUM(Monthly!O86:O88))</f>
        <v/>
      </c>
      <c r="Q32" s="32">
        <f>IFERROR(IF(OR(P32="",P28=""),"",P32/P28-1),"")</f>
        <v/>
      </c>
      <c r="R32" s="32">
        <f>IFERROR(IF(OR(P32="",P31=""),"",P32/P31-1),"")</f>
        <v/>
      </c>
    </row>
    <row r="33">
      <c r="A33" s="7" t="inlineStr">
        <is>
          <t>Q3FY26</t>
        </is>
      </c>
      <c r="B33" s="7" t="inlineStr">
        <is>
          <t>FY2026</t>
        </is>
      </c>
      <c r="C33" s="6" t="n">
        <v>45992</v>
      </c>
      <c r="D33" s="30">
        <f>IF(COUNT(Monthly!C89:C91)&lt;3,"",SUM(Monthly!C89:C91))</f>
        <v/>
      </c>
      <c r="E33" s="32">
        <f>IFERROR(IF(OR(D33="",D29=""),"",D33/D29-1),"")</f>
        <v/>
      </c>
      <c r="F33" s="32">
        <f>IFERROR(IF(OR(D33="",D32=""),"",D33/D32-1),"")</f>
        <v/>
      </c>
      <c r="G33" s="30">
        <f>IF(COUNT(Monthly!F89:F91)&lt;3,"",SUM(Monthly!F89:F91))</f>
        <v/>
      </c>
      <c r="H33" s="32">
        <f>IFERROR(IF(OR(G33="",G29=""),"",G33/G29-1),"")</f>
        <v/>
      </c>
      <c r="I33" s="32">
        <f>IFERROR(IF(OR(G33="",G32=""),"",G33/G32-1),"")</f>
        <v/>
      </c>
      <c r="J33" s="30">
        <f>IF(COUNT(Monthly!I89:I91)&lt;3,"",SUM(Monthly!I89:I91))</f>
        <v/>
      </c>
      <c r="K33" s="32">
        <f>IFERROR(IF(OR(J33="",J29=""),"",J33/J29-1),"")</f>
        <v/>
      </c>
      <c r="L33" s="32">
        <f>IFERROR(IF(OR(J33="",J32=""),"",J33/J32-1),"")</f>
        <v/>
      </c>
      <c r="M33" s="30">
        <f>IF(COUNT(Monthly!L89:L91)&lt;3,"",SUM(Monthly!L89:L91))</f>
        <v/>
      </c>
      <c r="N33" s="32">
        <f>IFERROR(IF(OR(M33="",M29=""),"",M33/M29-1),"")</f>
        <v/>
      </c>
      <c r="O33" s="32">
        <f>IFERROR(IF(OR(M33="",M32=""),"",M33/M32-1),"")</f>
        <v/>
      </c>
      <c r="P33" s="30">
        <f>IF(COUNT(Monthly!O89:O91)&lt;3,"",SUM(Monthly!O89:O91))</f>
        <v/>
      </c>
      <c r="Q33" s="32">
        <f>IFERROR(IF(OR(P33="",P29=""),"",P33/P29-1),"")</f>
        <v/>
      </c>
      <c r="R33" s="32">
        <f>IFERROR(IF(OR(P33="",P32=""),"",P33/P32-1),"")</f>
        <v/>
      </c>
    </row>
    <row r="34">
      <c r="A34" s="7" t="inlineStr">
        <is>
          <t>Q4FY26</t>
        </is>
      </c>
      <c r="B34" s="7" t="inlineStr">
        <is>
          <t>FY2026</t>
        </is>
      </c>
      <c r="C34" s="6" t="n">
        <v>46082</v>
      </c>
      <c r="D34" s="30">
        <f>IF(COUNT(Monthly!C92:C94)&lt;3,"",SUM(Monthly!C92:C94))</f>
        <v/>
      </c>
      <c r="E34" s="32">
        <f>IFERROR(IF(OR(D34="",D30=""),"",D34/D30-1),"")</f>
        <v/>
      </c>
      <c r="F34" s="32">
        <f>IFERROR(IF(OR(D34="",D33=""),"",D34/D33-1),"")</f>
        <v/>
      </c>
      <c r="G34" s="30">
        <f>IF(COUNT(Monthly!F92:F94)&lt;3,"",SUM(Monthly!F92:F94))</f>
        <v/>
      </c>
      <c r="H34" s="32">
        <f>IFERROR(IF(OR(G34="",G30=""),"",G34/G30-1),"")</f>
        <v/>
      </c>
      <c r="I34" s="32">
        <f>IFERROR(IF(OR(G34="",G33=""),"",G34/G33-1),"")</f>
        <v/>
      </c>
      <c r="J34" s="30">
        <f>IF(COUNT(Monthly!I92:I94)&lt;3,"",SUM(Monthly!I92:I94))</f>
        <v/>
      </c>
      <c r="K34" s="32">
        <f>IFERROR(IF(OR(J34="",J30=""),"",J34/J30-1),"")</f>
        <v/>
      </c>
      <c r="L34" s="32">
        <f>IFERROR(IF(OR(J34="",J33=""),"",J34/J33-1),"")</f>
        <v/>
      </c>
      <c r="M34" s="30">
        <f>IF(COUNT(Monthly!L92:L94)&lt;3,"",SUM(Monthly!L92:L94))</f>
        <v/>
      </c>
      <c r="N34" s="32">
        <f>IFERROR(IF(OR(M34="",M30=""),"",M34/M30-1),"")</f>
        <v/>
      </c>
      <c r="O34" s="32">
        <f>IFERROR(IF(OR(M34="",M33=""),"",M34/M33-1),"")</f>
        <v/>
      </c>
      <c r="P34" s="30">
        <f>IF(COUNT(Monthly!O92:O94)&lt;3,"",SUM(Monthly!O92:O94))</f>
        <v/>
      </c>
      <c r="Q34" s="32">
        <f>IFERROR(IF(OR(P34="",P30=""),"",P34/P30-1),"")</f>
        <v/>
      </c>
      <c r="R34" s="32">
        <f>IFERROR(IF(OR(P34="",P33=""),"",P34/P33-1),"")</f>
        <v/>
      </c>
    </row>
    <row r="35">
      <c r="A35" s="7" t="inlineStr">
        <is>
          <t>Q1FY27</t>
        </is>
      </c>
      <c r="B35" s="7" t="inlineStr">
        <is>
          <t>FY2027</t>
        </is>
      </c>
      <c r="C35" s="6" t="n">
        <v>46174</v>
      </c>
      <c r="D35" s="30">
        <f>IF(COUNT(Monthly!C95:C97)&lt;3,"",SUM(Monthly!C95:C97))</f>
        <v/>
      </c>
      <c r="E35" s="32">
        <f>IFERROR(IF(OR(D35="",D31=""),"",D35/D31-1),"")</f>
        <v/>
      </c>
      <c r="F35" s="32">
        <f>IFERROR(IF(OR(D35="",D34=""),"",D35/D34-1),"")</f>
        <v/>
      </c>
      <c r="G35" s="30">
        <f>IF(COUNT(Monthly!F95:F97)&lt;3,"",SUM(Monthly!F95:F97))</f>
        <v/>
      </c>
      <c r="H35" s="32">
        <f>IFERROR(IF(OR(G35="",G31=""),"",G35/G31-1),"")</f>
        <v/>
      </c>
      <c r="I35" s="32">
        <f>IFERROR(IF(OR(G35="",G34=""),"",G35/G34-1),"")</f>
        <v/>
      </c>
      <c r="J35" s="30">
        <f>IF(COUNT(Monthly!I95:I97)&lt;3,"",SUM(Monthly!I95:I97))</f>
        <v/>
      </c>
      <c r="K35" s="32">
        <f>IFERROR(IF(OR(J35="",J31=""),"",J35/J31-1),"")</f>
        <v/>
      </c>
      <c r="L35" s="32">
        <f>IFERROR(IF(OR(J35="",J34=""),"",J35/J34-1),"")</f>
        <v/>
      </c>
      <c r="M35" s="30">
        <f>IF(COUNT(Monthly!L95:L97)&lt;3,"",SUM(Monthly!L95:L97))</f>
        <v/>
      </c>
      <c r="N35" s="32">
        <f>IFERROR(IF(OR(M35="",M31=""),"",M35/M31-1),"")</f>
        <v/>
      </c>
      <c r="O35" s="32">
        <f>IFERROR(IF(OR(M35="",M34=""),"",M35/M34-1),"")</f>
        <v/>
      </c>
      <c r="P35" s="30">
        <f>IF(COUNT(Monthly!O95:O97)&lt;3,"",SUM(Monthly!O95:O97))</f>
        <v/>
      </c>
      <c r="Q35" s="32">
        <f>IFERROR(IF(OR(P35="",P31=""),"",P35/P31-1),"")</f>
        <v/>
      </c>
      <c r="R35" s="32">
        <f>IFERROR(IF(OR(P35="",P34=""),"",P35/P34-1),"")</f>
        <v/>
      </c>
    </row>
    <row r="36">
      <c r="A36" s="7" t="inlineStr">
        <is>
          <t>Q2FY27</t>
        </is>
      </c>
      <c r="B36" s="7" t="inlineStr">
        <is>
          <t>FY2027</t>
        </is>
      </c>
      <c r="C36" s="6" t="n">
        <v>46266</v>
      </c>
      <c r="D36" s="30">
        <f>IF(COUNT(Monthly!C98:C100)&lt;3,"",SUM(Monthly!C98:C100))</f>
        <v/>
      </c>
      <c r="E36" s="32">
        <f>IFERROR(IF(OR(D36="",D32=""),"",D36/D32-1),"")</f>
        <v/>
      </c>
      <c r="F36" s="32">
        <f>IFERROR(IF(OR(D36="",D35=""),"",D36/D35-1),"")</f>
        <v/>
      </c>
      <c r="G36" s="30">
        <f>IF(COUNT(Monthly!F98:F100)&lt;3,"",SUM(Monthly!F98:F100))</f>
        <v/>
      </c>
      <c r="H36" s="32">
        <f>IFERROR(IF(OR(G36="",G32=""),"",G36/G32-1),"")</f>
        <v/>
      </c>
      <c r="I36" s="32">
        <f>IFERROR(IF(OR(G36="",G35=""),"",G36/G35-1),"")</f>
        <v/>
      </c>
      <c r="J36" s="30">
        <f>IF(COUNT(Monthly!I98:I100)&lt;3,"",SUM(Monthly!I98:I100))</f>
        <v/>
      </c>
      <c r="K36" s="32">
        <f>IFERROR(IF(OR(J36="",J32=""),"",J36/J32-1),"")</f>
        <v/>
      </c>
      <c r="L36" s="32">
        <f>IFERROR(IF(OR(J36="",J35=""),"",J36/J35-1),"")</f>
        <v/>
      </c>
      <c r="M36" s="30">
        <f>IF(COUNT(Monthly!L98:L100)&lt;3,"",SUM(Monthly!L98:L100))</f>
        <v/>
      </c>
      <c r="N36" s="32">
        <f>IFERROR(IF(OR(M36="",M32=""),"",M36/M32-1),"")</f>
        <v/>
      </c>
      <c r="O36" s="32">
        <f>IFERROR(IF(OR(M36="",M35=""),"",M36/M35-1),"")</f>
        <v/>
      </c>
      <c r="P36" s="30">
        <f>IF(COUNT(Monthly!O98:O100)&lt;3,"",SUM(Monthly!O98:O100))</f>
        <v/>
      </c>
      <c r="Q36" s="32">
        <f>IFERROR(IF(OR(P36="",P32=""),"",P36/P32-1),"")</f>
        <v/>
      </c>
      <c r="R36" s="32">
        <f>IFERROR(IF(OR(P36="",P35=""),"",P36/P35-1),"")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ICICI Pru Life - fiscal-year totals as reported (INR Bn); 11M = Apr-Feb cumulative, used to derive March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3" ht="42" customHeight="1">
      <c r="A3" s="3" t="inlineStr">
        <is>
          <t>Fiscal Year</t>
        </is>
      </c>
      <c r="B3" s="21" t="inlineStr">
        <is>
          <t>RWRP FY (INR Bn)</t>
        </is>
      </c>
      <c r="C3" s="21" t="inlineStr">
        <is>
          <t>RWRP FY YoY</t>
        </is>
      </c>
      <c r="D3" s="21" t="inlineStr">
        <is>
          <t>RWRP 11M (INR Bn)</t>
        </is>
      </c>
      <c r="E3" s="23" t="inlineStr">
        <is>
          <t>APE FY (INR Bn)</t>
        </is>
      </c>
      <c r="F3" s="23" t="inlineStr">
        <is>
          <t>APE FY YoY</t>
        </is>
      </c>
      <c r="G3" s="23" t="inlineStr">
        <is>
          <t>APE 11M (INR Bn)</t>
        </is>
      </c>
      <c r="H3" s="25" t="inlineStr">
        <is>
          <t>Retail APE FY (INR Bn)</t>
        </is>
      </c>
      <c r="I3" s="25" t="inlineStr">
        <is>
          <t>Retail APE FY YoY</t>
        </is>
      </c>
      <c r="J3" s="25" t="inlineStr">
        <is>
          <t>Retail APE 11M (INR Bn)</t>
        </is>
      </c>
      <c r="K3" s="27" t="inlineStr">
        <is>
          <t>NB Premium FY (INR Bn)</t>
        </is>
      </c>
      <c r="L3" s="27" t="inlineStr">
        <is>
          <t>NB Premium FY YoY</t>
        </is>
      </c>
      <c r="M3" s="27" t="inlineStr">
        <is>
          <t>NB Premium 11M (INR Bn)</t>
        </is>
      </c>
      <c r="N3" s="29" t="inlineStr">
        <is>
          <t>NB Sum Assured FY (INR Bn)</t>
        </is>
      </c>
      <c r="O3" s="29" t="inlineStr">
        <is>
          <t>NB Sum Assured FY YoY</t>
        </is>
      </c>
      <c r="P3" s="29" t="inlineStr">
        <is>
          <t>NB Sum Assured 11M (INR Bn)</t>
        </is>
      </c>
    </row>
    <row r="4">
      <c r="A4" s="7" t="inlineStr">
        <is>
          <t>FY2019</t>
        </is>
      </c>
      <c r="B4" s="35" t="n">
        <v>70.95</v>
      </c>
      <c r="C4" s="32" t="n"/>
      <c r="D4" s="35" t="n">
        <v>61.58</v>
      </c>
      <c r="E4" s="35" t="n">
        <v>77.98999999999999</v>
      </c>
      <c r="F4" s="32" t="n"/>
      <c r="G4" s="35" t="n">
        <v>68.06999999999999</v>
      </c>
      <c r="H4" s="35" t="n"/>
      <c r="I4" s="32" t="n"/>
      <c r="J4" s="35" t="n"/>
      <c r="K4" s="35" t="n"/>
      <c r="L4" s="32" t="n"/>
      <c r="M4" s="35" t="n"/>
      <c r="N4" s="35" t="n"/>
      <c r="O4" s="32" t="n"/>
      <c r="P4" s="35" t="n"/>
    </row>
    <row r="5">
      <c r="A5" s="7" t="inlineStr">
        <is>
          <t>FY2020</t>
        </is>
      </c>
      <c r="B5" s="35" t="n">
        <v>66.43000000000001</v>
      </c>
      <c r="C5" s="32">
        <f>IFERROR(IF(OR(B5="",B4=""),"",B5/B4-1),"")</f>
        <v/>
      </c>
      <c r="D5" s="35" t="n">
        <v>61.65</v>
      </c>
      <c r="E5" s="35" t="n">
        <v>73.81</v>
      </c>
      <c r="F5" s="32">
        <f>IFERROR(IF(OR(E5="",E4=""),"",E5/E4-1),"")</f>
        <v/>
      </c>
      <c r="G5" s="35" t="n">
        <v>68.52</v>
      </c>
      <c r="H5" s="35" t="n"/>
      <c r="I5" s="32">
        <f>IFERROR(IF(OR(H5="",H4=""),"",H5/H4-1),"")</f>
        <v/>
      </c>
      <c r="J5" s="35" t="n"/>
      <c r="K5" s="35" t="n">
        <v>123.48</v>
      </c>
      <c r="L5" s="32">
        <f>IFERROR(IF(OR(K5="",K4=""),"",K5/K4-1),"")</f>
        <v/>
      </c>
      <c r="M5" s="35" t="n"/>
      <c r="N5" s="35" t="n">
        <v>5711.84</v>
      </c>
      <c r="O5" s="32">
        <f>IFERROR(IF(OR(N5="",N4=""),"",N5/N4-1),"")</f>
        <v/>
      </c>
      <c r="P5" s="35" t="n"/>
    </row>
    <row r="6">
      <c r="A6" s="7" t="inlineStr">
        <is>
          <t>FY2021</t>
        </is>
      </c>
      <c r="B6" s="35" t="n">
        <v>54.54</v>
      </c>
      <c r="C6" s="32">
        <f>IFERROR(IF(OR(B6="",B5=""),"",B6/B5-1),"")</f>
        <v/>
      </c>
      <c r="D6" s="35" t="n">
        <v>45.06</v>
      </c>
      <c r="E6" s="35" t="n">
        <v>64.62</v>
      </c>
      <c r="F6" s="32">
        <f>IFERROR(IF(OR(E6="",E5=""),"",E6/E5-1),"")</f>
        <v/>
      </c>
      <c r="G6" s="35" t="n">
        <v>53.61</v>
      </c>
      <c r="H6" s="35" t="n"/>
      <c r="I6" s="32">
        <f>IFERROR(IF(OR(H6="",H5=""),"",H6/H5-1),"")</f>
        <v/>
      </c>
      <c r="J6" s="35" t="n"/>
      <c r="K6" s="35" t="n">
        <v>130.32</v>
      </c>
      <c r="L6" s="32">
        <f>IFERROR(IF(OR(K6="",K5=""),"",K6/K5-1),"")</f>
        <v/>
      </c>
      <c r="M6" s="35" t="n">
        <v>108.75</v>
      </c>
      <c r="N6" s="35" t="n">
        <v>6166.84</v>
      </c>
      <c r="O6" s="32">
        <f>IFERROR(IF(OR(N6="",N5=""),"",N6/N5-1),"")</f>
        <v/>
      </c>
      <c r="P6" s="35" t="n">
        <v>5354.69</v>
      </c>
    </row>
    <row r="7">
      <c r="A7" s="7" t="inlineStr">
        <is>
          <t>FY2022</t>
        </is>
      </c>
      <c r="B7" s="35" t="n">
        <v>62.99</v>
      </c>
      <c r="C7" s="32">
        <f>IFERROR(IF(OR(B7="",B6=""),"",B7/B6-1),"")</f>
        <v/>
      </c>
      <c r="D7" s="35" t="n">
        <v>53.41</v>
      </c>
      <c r="E7" s="35" t="n">
        <v>77.33</v>
      </c>
      <c r="F7" s="32">
        <f>IFERROR(IF(OR(E7="",E6=""),"",E7/E6-1),"")</f>
        <v/>
      </c>
      <c r="G7" s="35" t="n">
        <v>65.52</v>
      </c>
      <c r="H7" s="35" t="n"/>
      <c r="I7" s="32">
        <f>IFERROR(IF(OR(H7="",H6=""),"",H7/H6-1),"")</f>
        <v/>
      </c>
      <c r="J7" s="35" t="n"/>
      <c r="K7" s="35" t="n">
        <v>150.36</v>
      </c>
      <c r="L7" s="32">
        <f>IFERROR(IF(OR(K7="",K6=""),"",K7/K6-1),"")</f>
        <v/>
      </c>
      <c r="M7" s="35" t="n">
        <v>128.45</v>
      </c>
      <c r="N7" s="35" t="n">
        <v>7731.46</v>
      </c>
      <c r="O7" s="32">
        <f>IFERROR(IF(OR(N7="",N6=""),"",N7/N6-1),"")</f>
        <v/>
      </c>
      <c r="P7" s="35" t="n">
        <v>6790.52</v>
      </c>
    </row>
    <row r="8">
      <c r="A8" s="7" t="inlineStr">
        <is>
          <t>FY2023</t>
        </is>
      </c>
      <c r="B8" s="35" t="n">
        <v>67.38</v>
      </c>
      <c r="C8" s="32">
        <f>IFERROR(IF(OR(B8="",B7=""),"",B8/B7-1),"")</f>
        <v/>
      </c>
      <c r="D8" s="35" t="n">
        <v>52.15</v>
      </c>
      <c r="E8" s="35" t="n">
        <v>86.40000000000001</v>
      </c>
      <c r="F8" s="32">
        <f>IFERROR(IF(OR(E8="",E7=""),"",E8/E7-1),"")</f>
        <v/>
      </c>
      <c r="G8" s="35" t="n">
        <v>68.34999999999999</v>
      </c>
      <c r="H8" s="35" t="n"/>
      <c r="I8" s="32">
        <f>IFERROR(IF(OR(H8="",H7=""),"",H8/H7-1),"")</f>
        <v/>
      </c>
      <c r="J8" s="35" t="n"/>
      <c r="K8" s="35" t="n">
        <v>169.22</v>
      </c>
      <c r="L8" s="32">
        <f>IFERROR(IF(OR(K8="",K7=""),"",K8/K7-1),"")</f>
        <v/>
      </c>
      <c r="M8" s="35" t="n">
        <v>140.57</v>
      </c>
      <c r="N8" s="35" t="n">
        <v>10413.92</v>
      </c>
      <c r="O8" s="32">
        <f>IFERROR(IF(OR(N8="",N7=""),"",N8/N7-1),"")</f>
        <v/>
      </c>
      <c r="P8" s="35" t="n">
        <v>9313.379999999999</v>
      </c>
    </row>
    <row r="9">
      <c r="A9" s="7" t="inlineStr">
        <is>
          <t>FY2024</t>
        </is>
      </c>
      <c r="B9" s="35" t="n">
        <v>72.13</v>
      </c>
      <c r="C9" s="32">
        <f>IFERROR(IF(OR(B9="",B8=""),"",B9/B8-1),"")</f>
        <v/>
      </c>
      <c r="D9" s="35" t="n">
        <v>57.13</v>
      </c>
      <c r="E9" s="35" t="n">
        <v>90.45999999999999</v>
      </c>
      <c r="F9" s="32">
        <f>IFERROR(IF(OR(E9="",E8=""),"",E9/E8-1),"")</f>
        <v/>
      </c>
      <c r="G9" s="35" t="n">
        <v>72.72</v>
      </c>
      <c r="H9" s="35" t="n">
        <v>76.8</v>
      </c>
      <c r="I9" s="32">
        <f>IFERROR(IF(OR(H9="",H8=""),"",H9/H8-1),"")</f>
        <v/>
      </c>
      <c r="J9" s="35" t="n"/>
      <c r="K9" s="35" t="n">
        <v>180.81</v>
      </c>
      <c r="L9" s="32">
        <f>IFERROR(IF(OR(K9="",K8=""),"",K9/K8-1),"")</f>
        <v/>
      </c>
      <c r="M9" s="35" t="n">
        <v>148.55</v>
      </c>
      <c r="N9" s="35" t="n">
        <v>10221.11</v>
      </c>
      <c r="O9" s="32">
        <f>IFERROR(IF(OR(N9="",N8=""),"",N9/N8-1),"")</f>
        <v/>
      </c>
      <c r="P9" s="35" t="n">
        <v>9112.799999999999</v>
      </c>
    </row>
    <row r="10">
      <c r="A10" s="7" t="inlineStr">
        <is>
          <t>FY2025</t>
        </is>
      </c>
      <c r="B10" s="35" t="n">
        <v>83.06999999999999</v>
      </c>
      <c r="C10" s="32">
        <f>IFERROR(IF(OR(B10="",B9=""),"",B10/B9-1),"")</f>
        <v/>
      </c>
      <c r="D10" s="35" t="n">
        <v>69.88</v>
      </c>
      <c r="E10" s="35" t="n">
        <v>104.07</v>
      </c>
      <c r="F10" s="32">
        <f>IFERROR(IF(OR(E10="",E9=""),"",E10/E9-1),"")</f>
        <v/>
      </c>
      <c r="G10" s="35" t="n">
        <v>87.34</v>
      </c>
      <c r="H10" s="35" t="n">
        <v>87.05</v>
      </c>
      <c r="I10" s="32">
        <f>IFERROR(IF(OR(H10="",H9=""),"",H10/H9-1),"")</f>
        <v/>
      </c>
      <c r="J10" s="35" t="n">
        <v>72.95</v>
      </c>
      <c r="K10" s="35" t="n">
        <v>225.83</v>
      </c>
      <c r="L10" s="32">
        <f>IFERROR(IF(OR(K10="",K9=""),"",K10/K9-1),"")</f>
        <v/>
      </c>
      <c r="M10" s="35" t="n">
        <v>187.74</v>
      </c>
      <c r="N10" s="35" t="n">
        <v>11944.01</v>
      </c>
      <c r="O10" s="32">
        <f>IFERROR(IF(OR(N10="",N9=""),"",N10/N9-1),"")</f>
        <v/>
      </c>
      <c r="P10" s="35" t="n">
        <v>10849.97</v>
      </c>
    </row>
    <row r="11">
      <c r="A11" s="7" t="inlineStr">
        <is>
          <t>FY2026</t>
        </is>
      </c>
      <c r="B11" s="35" t="n">
        <v>82.06</v>
      </c>
      <c r="C11" s="32">
        <f>IFERROR(IF(OR(B11="",B10=""),"",B11/B10-1),"")</f>
        <v/>
      </c>
      <c r="D11" s="35" t="n">
        <v>68.98999999999999</v>
      </c>
      <c r="E11" s="35" t="n">
        <v>106.41</v>
      </c>
      <c r="F11" s="32">
        <f>IFERROR(IF(OR(E11="",E10=""),"",E11/E10-1),"")</f>
        <v/>
      </c>
      <c r="G11" s="35" t="n">
        <v>87.88</v>
      </c>
      <c r="H11" s="35" t="n">
        <v>86.92</v>
      </c>
      <c r="I11" s="32">
        <f>IFERROR(IF(OR(H11="",H10=""),"",H11/H10-1),"")</f>
        <v/>
      </c>
      <c r="J11" s="35" t="n">
        <v>72.91</v>
      </c>
      <c r="K11" s="35" t="n">
        <v>248.1</v>
      </c>
      <c r="L11" s="32">
        <f>IFERROR(IF(OR(K11="",K10=""),"",K11/K10-1),"")</f>
        <v/>
      </c>
      <c r="M11" s="35" t="n">
        <v>192.29</v>
      </c>
      <c r="N11" s="35" t="n">
        <v>14502.24</v>
      </c>
      <c r="O11" s="32">
        <f>IFERROR(IF(OR(N11="",N10=""),"",N11/N10-1),"")</f>
        <v/>
      </c>
      <c r="P11" s="35" t="n">
        <v>12912.94</v>
      </c>
    </row>
    <row r="12">
      <c r="A12" s="7" t="inlineStr">
        <is>
          <t>FY2027</t>
        </is>
      </c>
      <c r="B12" s="35" t="n"/>
      <c r="C12" s="32">
        <f>IFERROR(IF(OR(B12="",B11=""),"",B12/B11-1),"")</f>
        <v/>
      </c>
      <c r="D12" s="35" t="n"/>
      <c r="E12" s="35" t="n"/>
      <c r="F12" s="32">
        <f>IFERROR(IF(OR(E12="",E11=""),"",E12/E11-1),"")</f>
        <v/>
      </c>
      <c r="G12" s="35" t="n"/>
      <c r="H12" s="35" t="n"/>
      <c r="I12" s="32">
        <f>IFERROR(IF(OR(H12="",H11=""),"",H12/H11-1),"")</f>
        <v/>
      </c>
      <c r="J12" s="35" t="n"/>
      <c r="K12" s="35" t="n"/>
      <c r="L12" s="32">
        <f>IFERROR(IF(OR(K12="",K11=""),"",K12/K11-1),"")</f>
        <v/>
      </c>
      <c r="M12" s="35" t="n"/>
      <c r="N12" s="35" t="n"/>
      <c r="O12" s="32">
        <f>IFERROR(IF(OR(N12="",N11=""),"",N12/N11-1),"")</f>
        <v/>
      </c>
      <c r="P12" s="3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8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13" customWidth="1" min="4" max="4"/>
    <col width="10" customWidth="1" min="5" max="5"/>
    <col width="13" customWidth="1" min="6" max="6"/>
    <col width="11" customWidth="1" min="7" max="7"/>
    <col width="14" customWidth="1" min="8" max="8"/>
    <col width="12" customWidth="1" min="9" max="9"/>
    <col width="10" customWidth="1" min="10" max="10"/>
    <col width="10" customWidth="1" min="11" max="11"/>
    <col width="10" customWidth="1" min="12" max="12"/>
    <col width="52" customWidth="1" min="13" max="13"/>
  </cols>
  <sheetData>
    <row r="1">
      <c r="A1" s="1" t="inlineStr">
        <is>
          <t>Prior-year cross-check: prior-year figure implied by each release's YoY (value / (1+YoY)) vs the figure published earlier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19" t="inlineStr">
        <is>
          <t>A reclassification or restatement of last year shows up as CHECK. Tolerance = rounding of the value (0.005), of the YoY (0.05pp) and of the earlier figure (0.005). Latest release first.</t>
        </is>
      </c>
    </row>
    <row r="4" ht="42" customHeight="1">
      <c r="A4" s="3" t="inlineStr">
        <is>
          <t>Release Date</t>
        </is>
      </c>
      <c r="B4" s="3" t="inlineStr">
        <is>
          <t>Metric</t>
        </is>
      </c>
      <c r="C4" s="3" t="inlineStr">
        <is>
          <t>Period</t>
        </is>
      </c>
      <c r="D4" s="3" t="inlineStr">
        <is>
          <t>Reported Value (INR Bn)</t>
        </is>
      </c>
      <c r="E4" s="3" t="inlineStr">
        <is>
          <t>Reported YoY</t>
        </is>
      </c>
      <c r="F4" s="3" t="inlineStr">
        <is>
          <t>Implied Prior-Year (INR Bn)</t>
        </is>
      </c>
      <c r="G4" s="3" t="inlineStr">
        <is>
          <t>Prior Period</t>
        </is>
      </c>
      <c r="H4" s="3" t="inlineStr">
        <is>
          <t>Prior as Published Earlier (INR Bn)</t>
        </is>
      </c>
      <c r="I4" s="3" t="inlineStr">
        <is>
          <t>Published On</t>
        </is>
      </c>
      <c r="J4" s="3" t="inlineStr">
        <is>
          <t>Difference</t>
        </is>
      </c>
      <c r="K4" s="3" t="inlineStr">
        <is>
          <t>Rounding Tolerance</t>
        </is>
      </c>
      <c r="L4" s="3" t="inlineStr">
        <is>
          <t>Status</t>
        </is>
      </c>
      <c r="M4" s="3" t="inlineStr">
        <is>
          <t>Note</t>
        </is>
      </c>
    </row>
    <row r="5">
      <c r="A5" s="33" t="n">
        <v>46303</v>
      </c>
      <c r="B5" s="7" t="inlineStr">
        <is>
          <t>NB Sum Assured</t>
        </is>
      </c>
      <c r="C5" s="7" t="inlineStr">
        <is>
          <t>Sep-26</t>
        </is>
      </c>
      <c r="D5" s="35" t="n">
        <v>1230.25</v>
      </c>
      <c r="E5" s="32" t="n">
        <v>0.12</v>
      </c>
      <c r="F5" s="35">
        <f>D5/(1+E5)</f>
        <v/>
      </c>
      <c r="G5" s="7" t="inlineStr">
        <is>
          <t>Sep-25</t>
        </is>
      </c>
      <c r="H5" s="35" t="n">
        <v>1098.59</v>
      </c>
      <c r="I5" s="33" t="n">
        <v>45939</v>
      </c>
      <c r="J5" s="36">
        <f>F5-H5</f>
        <v/>
      </c>
      <c r="K5" s="16">
        <f>0.005/(1+E5)+D5*0.0005/(1+E5)^2+0.005</f>
        <v/>
      </c>
      <c r="L5" s="17">
        <f>IF(ABS(J5)&lt;=K5,"OK",IF(M5&lt;&gt;"","EXPLAINED","CHECK"))</f>
        <v/>
      </c>
      <c r="M5" s="7" t="inlineStr"/>
    </row>
    <row r="6">
      <c r="A6" s="33" t="n">
        <v>46303</v>
      </c>
      <c r="B6" s="7" t="inlineStr">
        <is>
          <t>NB Sum Assured</t>
        </is>
      </c>
      <c r="C6" s="7" t="inlineStr">
        <is>
          <t>Aug-26</t>
        </is>
      </c>
      <c r="D6" s="35" t="n">
        <v>1377.1</v>
      </c>
      <c r="E6" s="32" t="n">
        <v>0.579</v>
      </c>
      <c r="F6" s="35">
        <f>D6/(1+E6)</f>
        <v/>
      </c>
      <c r="G6" s="7" t="inlineStr">
        <is>
          <t>Aug-25</t>
        </is>
      </c>
      <c r="H6" s="35" t="n">
        <v>871.99</v>
      </c>
      <c r="I6" s="33" t="n">
        <v>45939</v>
      </c>
      <c r="J6" s="36">
        <f>F6-H6</f>
        <v/>
      </c>
      <c r="K6" s="16">
        <f>0.005/(1+E6)+D6*0.0005/(1+E6)^2+0.005</f>
        <v/>
      </c>
      <c r="L6" s="17">
        <f>IF(ABS(J6)&lt;=K6,"OK",IF(M6&lt;&gt;"","EXPLAINED","CHECK"))</f>
        <v/>
      </c>
      <c r="M6" s="7" t="inlineStr"/>
    </row>
    <row r="7">
      <c r="A7" s="33" t="n">
        <v>46303</v>
      </c>
      <c r="B7" s="7" t="inlineStr">
        <is>
          <t>NB Sum Assured</t>
        </is>
      </c>
      <c r="C7" s="7" t="inlineStr">
        <is>
          <t>Jul-26</t>
        </is>
      </c>
      <c r="D7" s="35" t="n">
        <v>1307.91</v>
      </c>
      <c r="E7" s="32" t="n">
        <v>0.205</v>
      </c>
      <c r="F7" s="35">
        <f>D7/(1+E7)</f>
        <v/>
      </c>
      <c r="G7" s="7" t="inlineStr">
        <is>
          <t>Jul-25</t>
        </is>
      </c>
      <c r="H7" s="35" t="n">
        <v>1085.67</v>
      </c>
      <c r="I7" s="33" t="n">
        <v>45939</v>
      </c>
      <c r="J7" s="36">
        <f>F7-H7</f>
        <v/>
      </c>
      <c r="K7" s="16">
        <f>0.005/(1+E7)+D7*0.0005/(1+E7)^2+0.005</f>
        <v/>
      </c>
      <c r="L7" s="17">
        <f>IF(ABS(J7)&lt;=K7,"OK",IF(M7&lt;&gt;"","EXPLAINED","CHECK"))</f>
        <v/>
      </c>
      <c r="M7" s="7" t="inlineStr"/>
    </row>
    <row r="8">
      <c r="A8" s="33" t="n">
        <v>46303</v>
      </c>
      <c r="B8" s="7" t="inlineStr">
        <is>
          <t>NB Premium</t>
        </is>
      </c>
      <c r="C8" s="7" t="inlineStr">
        <is>
          <t>Sep-26</t>
        </is>
      </c>
      <c r="D8" s="35" t="n">
        <v>27.01</v>
      </c>
      <c r="E8" s="32" t="n">
        <v>0.534</v>
      </c>
      <c r="F8" s="35">
        <f>D8/(1+E8)</f>
        <v/>
      </c>
      <c r="G8" s="7" t="inlineStr">
        <is>
          <t>Sep-25</t>
        </is>
      </c>
      <c r="H8" s="35" t="n">
        <v>17.61</v>
      </c>
      <c r="I8" s="33" t="n">
        <v>45939</v>
      </c>
      <c r="J8" s="36">
        <f>F8-H8</f>
        <v/>
      </c>
      <c r="K8" s="16">
        <f>0.005/(1+E8)+D8*0.0005/(1+E8)^2+0.005</f>
        <v/>
      </c>
      <c r="L8" s="17">
        <f>IF(ABS(J8)&lt;=K8,"OK",IF(M8&lt;&gt;"","EXPLAINED","CHECK"))</f>
        <v/>
      </c>
      <c r="M8" s="7" t="inlineStr"/>
    </row>
    <row r="9">
      <c r="A9" s="33" t="n">
        <v>46303</v>
      </c>
      <c r="B9" s="7" t="inlineStr">
        <is>
          <t>NB Premium</t>
        </is>
      </c>
      <c r="C9" s="7" t="inlineStr">
        <is>
          <t>Aug-26</t>
        </is>
      </c>
      <c r="D9" s="35" t="n">
        <v>19.53</v>
      </c>
      <c r="E9" s="32" t="n">
        <v>0.1</v>
      </c>
      <c r="F9" s="35">
        <f>D9/(1+E9)</f>
        <v/>
      </c>
      <c r="G9" s="7" t="inlineStr">
        <is>
          <t>Aug-25</t>
        </is>
      </c>
      <c r="H9" s="35" t="n">
        <v>17.76</v>
      </c>
      <c r="I9" s="33" t="n">
        <v>45939</v>
      </c>
      <c r="J9" s="36">
        <f>F9-H9</f>
        <v/>
      </c>
      <c r="K9" s="16">
        <f>0.005/(1+E9)+D9*0.0005/(1+E9)^2+0.005</f>
        <v/>
      </c>
      <c r="L9" s="17">
        <f>IF(ABS(J9)&lt;=K9,"OK",IF(M9&lt;&gt;"","EXPLAINED","CHECK"))</f>
        <v/>
      </c>
      <c r="M9" s="7" t="inlineStr"/>
    </row>
    <row r="10">
      <c r="A10" s="33" t="n">
        <v>46303</v>
      </c>
      <c r="B10" s="7" t="inlineStr">
        <is>
          <t>NB Premium</t>
        </is>
      </c>
      <c r="C10" s="7" t="inlineStr">
        <is>
          <t>Jul-26</t>
        </is>
      </c>
      <c r="D10" s="35" t="n">
        <v>23.01</v>
      </c>
      <c r="E10" s="32" t="n">
        <v>0.207</v>
      </c>
      <c r="F10" s="35">
        <f>D10/(1+E10)</f>
        <v/>
      </c>
      <c r="G10" s="7" t="inlineStr">
        <is>
          <t>Jul-25</t>
        </is>
      </c>
      <c r="H10" s="35" t="n">
        <v>19.06</v>
      </c>
      <c r="I10" s="33" t="n">
        <v>45939</v>
      </c>
      <c r="J10" s="36">
        <f>F10-H10</f>
        <v/>
      </c>
      <c r="K10" s="16">
        <f>0.005/(1+E10)+D10*0.0005/(1+E10)^2+0.005</f>
        <v/>
      </c>
      <c r="L10" s="17">
        <f>IF(ABS(J10)&lt;=K10,"OK",IF(M10&lt;&gt;"","EXPLAINED","CHECK"))</f>
        <v/>
      </c>
      <c r="M10" s="7" t="inlineStr"/>
    </row>
    <row r="11">
      <c r="A11" s="33" t="n">
        <v>46303</v>
      </c>
      <c r="B11" s="7" t="inlineStr">
        <is>
          <t>Retail APE</t>
        </is>
      </c>
      <c r="C11" s="7" t="inlineStr">
        <is>
          <t>Sep-26</t>
        </is>
      </c>
      <c r="D11" s="35" t="n">
        <v>7.26</v>
      </c>
      <c r="E11" s="32" t="n">
        <v>-0.018</v>
      </c>
      <c r="F11" s="35">
        <f>D11/(1+E11)</f>
        <v/>
      </c>
      <c r="G11" s="7" t="inlineStr">
        <is>
          <t>Sep-25</t>
        </is>
      </c>
      <c r="H11" s="35" t="n">
        <v>7.39</v>
      </c>
      <c r="I11" s="33" t="n">
        <v>45939</v>
      </c>
      <c r="J11" s="36">
        <f>F11-H11</f>
        <v/>
      </c>
      <c r="K11" s="16">
        <f>0.005/(1+E11)+D11*0.0005/(1+E11)^2+0.005</f>
        <v/>
      </c>
      <c r="L11" s="17">
        <f>IF(ABS(J11)&lt;=K11,"OK",IF(M11&lt;&gt;"","EXPLAINED","CHECK"))</f>
        <v/>
      </c>
      <c r="M11" s="7" t="inlineStr"/>
    </row>
    <row r="12">
      <c r="A12" s="33" t="n">
        <v>46303</v>
      </c>
      <c r="B12" s="7" t="inlineStr">
        <is>
          <t>Retail APE</t>
        </is>
      </c>
      <c r="C12" s="7" t="inlineStr">
        <is>
          <t>Aug-26</t>
        </is>
      </c>
      <c r="D12" s="35" t="n">
        <v>7.36</v>
      </c>
      <c r="E12" s="32" t="n">
        <v>0.245</v>
      </c>
      <c r="F12" s="35">
        <f>D12/(1+E12)</f>
        <v/>
      </c>
      <c r="G12" s="7" t="inlineStr">
        <is>
          <t>Aug-25</t>
        </is>
      </c>
      <c r="H12" s="35" t="n">
        <v>5.91</v>
      </c>
      <c r="I12" s="33" t="n">
        <v>45939</v>
      </c>
      <c r="J12" s="36">
        <f>F12-H12</f>
        <v/>
      </c>
      <c r="K12" s="16">
        <f>0.005/(1+E12)+D12*0.0005/(1+E12)^2+0.005</f>
        <v/>
      </c>
      <c r="L12" s="17">
        <f>IF(ABS(J12)&lt;=K12,"OK",IF(M12&lt;&gt;"","EXPLAINED","CHECK"))</f>
        <v/>
      </c>
      <c r="M12" s="7" t="inlineStr"/>
    </row>
    <row r="13">
      <c r="A13" s="33" t="n">
        <v>46303</v>
      </c>
      <c r="B13" s="7" t="inlineStr">
        <is>
          <t>Retail APE</t>
        </is>
      </c>
      <c r="C13" s="7" t="inlineStr">
        <is>
          <t>Jul-26</t>
        </is>
      </c>
      <c r="D13" s="35" t="n">
        <v>7.58</v>
      </c>
      <c r="E13" s="32" t="n">
        <v>0.12</v>
      </c>
      <c r="F13" s="35">
        <f>D13/(1+E13)</f>
        <v/>
      </c>
      <c r="G13" s="7" t="inlineStr">
        <is>
          <t>Jul-25</t>
        </is>
      </c>
      <c r="H13" s="35" t="n">
        <v>6.77</v>
      </c>
      <c r="I13" s="33" t="n">
        <v>45939</v>
      </c>
      <c r="J13" s="36">
        <f>F13-H13</f>
        <v/>
      </c>
      <c r="K13" s="16">
        <f>0.005/(1+E13)+D13*0.0005/(1+E13)^2+0.005</f>
        <v/>
      </c>
      <c r="L13" s="17">
        <f>IF(ABS(J13)&lt;=K13,"OK",IF(M13&lt;&gt;"","EXPLAINED","CHECK"))</f>
        <v/>
      </c>
      <c r="M13" s="7" t="inlineStr"/>
    </row>
    <row r="14">
      <c r="A14" s="33" t="n">
        <v>46303</v>
      </c>
      <c r="B14" s="7" t="inlineStr">
        <is>
          <t>APE</t>
        </is>
      </c>
      <c r="C14" s="7" t="inlineStr">
        <is>
          <t>Sep-26</t>
        </is>
      </c>
      <c r="D14" s="35" t="n">
        <v>9.59</v>
      </c>
      <c r="E14" s="32" t="n">
        <v>0.101</v>
      </c>
      <c r="F14" s="35">
        <f>D14/(1+E14)</f>
        <v/>
      </c>
      <c r="G14" s="7" t="inlineStr">
        <is>
          <t>Sep-25</t>
        </is>
      </c>
      <c r="H14" s="35" t="n">
        <v>8.710000000000001</v>
      </c>
      <c r="I14" s="33" t="n">
        <v>45939</v>
      </c>
      <c r="J14" s="36">
        <f>F14-H14</f>
        <v/>
      </c>
      <c r="K14" s="16">
        <f>0.005/(1+E14)+D14*0.0005/(1+E14)^2+0.005</f>
        <v/>
      </c>
      <c r="L14" s="17">
        <f>IF(ABS(J14)&lt;=K14,"OK",IF(M14&lt;&gt;"","EXPLAINED","CHECK"))</f>
        <v/>
      </c>
      <c r="M14" s="7" t="inlineStr"/>
    </row>
    <row r="15">
      <c r="A15" s="33" t="n">
        <v>46303</v>
      </c>
      <c r="B15" s="7" t="inlineStr">
        <is>
          <t>APE</t>
        </is>
      </c>
      <c r="C15" s="7" t="inlineStr">
        <is>
          <t>Aug-26</t>
        </is>
      </c>
      <c r="D15" s="35" t="n">
        <v>8.91</v>
      </c>
      <c r="E15" s="32" t="n">
        <v>0.234</v>
      </c>
      <c r="F15" s="35">
        <f>D15/(1+E15)</f>
        <v/>
      </c>
      <c r="G15" s="7" t="inlineStr">
        <is>
          <t>Aug-25</t>
        </is>
      </c>
      <c r="H15" s="35" t="n">
        <v>7.22</v>
      </c>
      <c r="I15" s="33" t="n">
        <v>45939</v>
      </c>
      <c r="J15" s="36">
        <f>F15-H15</f>
        <v/>
      </c>
      <c r="K15" s="16">
        <f>0.005/(1+E15)+D15*0.0005/(1+E15)^2+0.005</f>
        <v/>
      </c>
      <c r="L15" s="17">
        <f>IF(ABS(J15)&lt;=K15,"OK",IF(M15&lt;&gt;"","EXPLAINED","CHECK"))</f>
        <v/>
      </c>
      <c r="M15" s="7" t="inlineStr"/>
    </row>
    <row r="16">
      <c r="A16" s="33" t="n">
        <v>46303</v>
      </c>
      <c r="B16" s="7" t="inlineStr">
        <is>
          <t>APE</t>
        </is>
      </c>
      <c r="C16" s="7" t="inlineStr">
        <is>
          <t>Jul-26</t>
        </is>
      </c>
      <c r="D16" s="35" t="n">
        <v>9.49</v>
      </c>
      <c r="E16" s="32" t="n">
        <v>0.145</v>
      </c>
      <c r="F16" s="35">
        <f>D16/(1+E16)</f>
        <v/>
      </c>
      <c r="G16" s="7" t="inlineStr">
        <is>
          <t>Jul-25</t>
        </is>
      </c>
      <c r="H16" s="35" t="n">
        <v>8.289999999999999</v>
      </c>
      <c r="I16" s="33" t="n">
        <v>45939</v>
      </c>
      <c r="J16" s="36">
        <f>F16-H16</f>
        <v/>
      </c>
      <c r="K16" s="16">
        <f>0.005/(1+E16)+D16*0.0005/(1+E16)^2+0.005</f>
        <v/>
      </c>
      <c r="L16" s="17">
        <f>IF(ABS(J16)&lt;=K16,"OK",IF(M16&lt;&gt;"","EXPLAINED","CHECK"))</f>
        <v/>
      </c>
      <c r="M16" s="7" t="inlineStr"/>
    </row>
    <row r="17">
      <c r="A17" s="33" t="n">
        <v>46303</v>
      </c>
      <c r="B17" s="7" t="inlineStr">
        <is>
          <t>RWRP</t>
        </is>
      </c>
      <c r="C17" s="7" t="inlineStr">
        <is>
          <t>Sep-26</t>
        </is>
      </c>
      <c r="D17" s="35" t="n">
        <v>6.92</v>
      </c>
      <c r="E17" s="32" t="n">
        <v>0.015</v>
      </c>
      <c r="F17" s="35">
        <f>D17/(1+E17)</f>
        <v/>
      </c>
      <c r="G17" s="7" t="inlineStr">
        <is>
          <t>Sep-25</t>
        </is>
      </c>
      <c r="H17" s="35" t="n">
        <v>6.82</v>
      </c>
      <c r="I17" s="33" t="n">
        <v>45939</v>
      </c>
      <c r="J17" s="36">
        <f>F17-H17</f>
        <v/>
      </c>
      <c r="K17" s="16">
        <f>0.005/(1+E17)+D17*0.0005/(1+E17)^2+0.005</f>
        <v/>
      </c>
      <c r="L17" s="17">
        <f>IF(ABS(J17)&lt;=K17,"OK",IF(M17&lt;&gt;"","EXPLAINED","CHECK"))</f>
        <v/>
      </c>
      <c r="M17" s="7" t="inlineStr"/>
    </row>
    <row r="18">
      <c r="A18" s="33" t="n">
        <v>46303</v>
      </c>
      <c r="B18" s="7" t="inlineStr">
        <is>
          <t>RWRP</t>
        </is>
      </c>
      <c r="C18" s="7" t="inlineStr">
        <is>
          <t>Aug-26</t>
        </is>
      </c>
      <c r="D18" s="35" t="n">
        <v>6.57</v>
      </c>
      <c r="E18" s="32" t="n">
        <v>0.11</v>
      </c>
      <c r="F18" s="35">
        <f>D18/(1+E18)</f>
        <v/>
      </c>
      <c r="G18" s="7" t="inlineStr">
        <is>
          <t>Aug-25</t>
        </is>
      </c>
      <c r="H18" s="35" t="n">
        <v>5.92</v>
      </c>
      <c r="I18" s="33" t="n">
        <v>45939</v>
      </c>
      <c r="J18" s="36">
        <f>F18-H18</f>
        <v/>
      </c>
      <c r="K18" s="16">
        <f>0.005/(1+E18)+D18*0.0005/(1+E18)^2+0.005</f>
        <v/>
      </c>
      <c r="L18" s="17">
        <f>IF(ABS(J18)&lt;=K18,"OK",IF(M18&lt;&gt;"","EXPLAINED","CHECK"))</f>
        <v/>
      </c>
      <c r="M18" s="7" t="inlineStr"/>
    </row>
    <row r="19">
      <c r="A19" s="33" t="n">
        <v>46303</v>
      </c>
      <c r="B19" s="7" t="inlineStr">
        <is>
          <t>RWRP</t>
        </is>
      </c>
      <c r="C19" s="7" t="inlineStr">
        <is>
          <t>Jul-26</t>
        </is>
      </c>
      <c r="D19" s="35" t="n">
        <v>7.12</v>
      </c>
      <c r="E19" s="32" t="n">
        <v>0.08900000000000001</v>
      </c>
      <c r="F19" s="35">
        <f>D19/(1+E19)</f>
        <v/>
      </c>
      <c r="G19" s="7" t="inlineStr">
        <is>
          <t>Jul-25</t>
        </is>
      </c>
      <c r="H19" s="35" t="n">
        <v>6.54</v>
      </c>
      <c r="I19" s="33" t="n">
        <v>45939</v>
      </c>
      <c r="J19" s="36">
        <f>F19-H19</f>
        <v/>
      </c>
      <c r="K19" s="16">
        <f>0.005/(1+E19)+D19*0.0005/(1+E19)^2+0.005</f>
        <v/>
      </c>
      <c r="L19" s="17">
        <f>IF(ABS(J19)&lt;=K19,"OK",IF(M19&lt;&gt;"","EXPLAINED","CHECK"))</f>
        <v/>
      </c>
      <c r="M19" s="7" t="inlineStr"/>
    </row>
    <row r="20">
      <c r="A20" s="33" t="n">
        <v>46241</v>
      </c>
      <c r="B20" s="7" t="inlineStr">
        <is>
          <t>NB Sum Assured</t>
        </is>
      </c>
      <c r="C20" s="7" t="inlineStr">
        <is>
          <t>Q1-FY2027</t>
        </is>
      </c>
      <c r="D20" s="35" t="n">
        <v>4896.65</v>
      </c>
      <c r="E20" s="32" t="n">
        <v>0.318</v>
      </c>
      <c r="F20" s="35">
        <f>D20/(1+E20)</f>
        <v/>
      </c>
      <c r="G20" s="7" t="inlineStr">
        <is>
          <t>Q1-FY2026</t>
        </is>
      </c>
      <c r="H20" s="35" t="n">
        <v>3714.52</v>
      </c>
      <c r="I20" s="33" t="n">
        <v>45999</v>
      </c>
      <c r="J20" s="36">
        <f>F20-H20</f>
        <v/>
      </c>
      <c r="K20" s="16">
        <f>0.005/(1+E20)+D20*0.0005/(1+E20)^2+0.005</f>
        <v/>
      </c>
      <c r="L20" s="17">
        <f>IF(ABS(J20)&lt;=K20,"OK",IF(M20&lt;&gt;"","EXPLAINED","CHECK"))</f>
        <v/>
      </c>
      <c r="M20" s="7" t="inlineStr"/>
    </row>
    <row r="21">
      <c r="A21" s="33" t="n">
        <v>46241</v>
      </c>
      <c r="B21" s="7" t="inlineStr">
        <is>
          <t>NB Sum Assured</t>
        </is>
      </c>
      <c r="C21" s="7" t="inlineStr">
        <is>
          <t>FY2026</t>
        </is>
      </c>
      <c r="D21" s="35" t="n">
        <v>14502.24</v>
      </c>
      <c r="E21" s="32" t="n">
        <v>0.214</v>
      </c>
      <c r="F21" s="35">
        <f>D21/(1+E21)</f>
        <v/>
      </c>
      <c r="G21" s="7" t="inlineStr">
        <is>
          <t>FY2025</t>
        </is>
      </c>
      <c r="H21" s="35" t="n">
        <v>11944.01</v>
      </c>
      <c r="I21" s="33" t="n">
        <v>46090</v>
      </c>
      <c r="J21" s="36">
        <f>F21-H21</f>
        <v/>
      </c>
      <c r="K21" s="16">
        <f>0.005/(1+E21)+D21*0.0005/(1+E21)^2+0.005</f>
        <v/>
      </c>
      <c r="L21" s="17">
        <f>IF(ABS(J21)&lt;=K21,"OK",IF(M21&lt;&gt;"","EXPLAINED","CHECK"))</f>
        <v/>
      </c>
      <c r="M21" s="7" t="inlineStr"/>
    </row>
    <row r="22">
      <c r="A22" s="33" t="n">
        <v>46241</v>
      </c>
      <c r="B22" s="7" t="inlineStr">
        <is>
          <t>NB Sum Assured</t>
        </is>
      </c>
      <c r="C22" s="7" t="inlineStr">
        <is>
          <t>Jul-26</t>
        </is>
      </c>
      <c r="D22" s="35" t="n">
        <v>1307.91</v>
      </c>
      <c r="E22" s="32" t="n">
        <v>0.205</v>
      </c>
      <c r="F22" s="35">
        <f>D22/(1+E22)</f>
        <v/>
      </c>
      <c r="G22" s="7" t="inlineStr">
        <is>
          <t>Jul-25</t>
        </is>
      </c>
      <c r="H22" s="35" t="n">
        <v>1085.67</v>
      </c>
      <c r="I22" s="33" t="n">
        <v>45939</v>
      </c>
      <c r="J22" s="36">
        <f>F22-H22</f>
        <v/>
      </c>
      <c r="K22" s="16">
        <f>0.005/(1+E22)+D22*0.0005/(1+E22)^2+0.005</f>
        <v/>
      </c>
      <c r="L22" s="17">
        <f>IF(ABS(J22)&lt;=K22,"OK",IF(M22&lt;&gt;"","EXPLAINED","CHECK"))</f>
        <v/>
      </c>
      <c r="M22" s="7" t="inlineStr"/>
    </row>
    <row r="23">
      <c r="A23" s="33" t="n">
        <v>46241</v>
      </c>
      <c r="B23" s="7" t="inlineStr">
        <is>
          <t>NB Premium</t>
        </is>
      </c>
      <c r="C23" s="7" t="inlineStr">
        <is>
          <t>Q1-FY2027</t>
        </is>
      </c>
      <c r="D23" s="35" t="n">
        <v>48.66</v>
      </c>
      <c r="E23" s="32" t="n">
        <v>0.213</v>
      </c>
      <c r="F23" s="35">
        <f>D23/(1+E23)</f>
        <v/>
      </c>
      <c r="G23" s="7" t="inlineStr">
        <is>
          <t>Q1-FY2026</t>
        </is>
      </c>
      <c r="H23" s="35" t="n">
        <v>40.12</v>
      </c>
      <c r="I23" s="33" t="n">
        <v>45999</v>
      </c>
      <c r="J23" s="36">
        <f>F23-H23</f>
        <v/>
      </c>
      <c r="K23" s="16">
        <f>0.005/(1+E23)+D23*0.0005/(1+E23)^2+0.005</f>
        <v/>
      </c>
      <c r="L23" s="17">
        <f>IF(ABS(J23)&lt;=K23,"OK",IF(M23&lt;&gt;"","EXPLAINED","CHECK"))</f>
        <v/>
      </c>
      <c r="M23" s="7" t="inlineStr"/>
    </row>
    <row r="24">
      <c r="A24" s="33" t="n">
        <v>46241</v>
      </c>
      <c r="B24" s="7" t="inlineStr">
        <is>
          <t>NB Premium</t>
        </is>
      </c>
      <c r="C24" s="7" t="inlineStr">
        <is>
          <t>FY2026</t>
        </is>
      </c>
      <c r="D24" s="35" t="n">
        <v>248.1</v>
      </c>
      <c r="E24" s="32" t="n">
        <v>0.099</v>
      </c>
      <c r="F24" s="35">
        <f>D24/(1+E24)</f>
        <v/>
      </c>
      <c r="G24" s="7" t="inlineStr">
        <is>
          <t>FY2025</t>
        </is>
      </c>
      <c r="H24" s="35" t="n">
        <v>225.83</v>
      </c>
      <c r="I24" s="33" t="n">
        <v>46090</v>
      </c>
      <c r="J24" s="36">
        <f>F24-H24</f>
        <v/>
      </c>
      <c r="K24" s="16">
        <f>0.005/(1+E24)+D24*0.0005/(1+E24)^2+0.005</f>
        <v/>
      </c>
      <c r="L24" s="17">
        <f>IF(ABS(J24)&lt;=K24,"OK",IF(M24&lt;&gt;"","EXPLAINED","CHECK"))</f>
        <v/>
      </c>
      <c r="M24" s="7" t="inlineStr"/>
    </row>
    <row r="25">
      <c r="A25" s="33" t="n">
        <v>46241</v>
      </c>
      <c r="B25" s="7" t="inlineStr">
        <is>
          <t>NB Premium</t>
        </is>
      </c>
      <c r="C25" s="7" t="inlineStr">
        <is>
          <t>Jul-26</t>
        </is>
      </c>
      <c r="D25" s="35" t="n">
        <v>23.01</v>
      </c>
      <c r="E25" s="32" t="n">
        <v>0.207</v>
      </c>
      <c r="F25" s="35">
        <f>D25/(1+E25)</f>
        <v/>
      </c>
      <c r="G25" s="7" t="inlineStr">
        <is>
          <t>Jul-25</t>
        </is>
      </c>
      <c r="H25" s="35" t="n">
        <v>19.06</v>
      </c>
      <c r="I25" s="33" t="n">
        <v>45939</v>
      </c>
      <c r="J25" s="36">
        <f>F25-H25</f>
        <v/>
      </c>
      <c r="K25" s="16">
        <f>0.005/(1+E25)+D25*0.0005/(1+E25)^2+0.005</f>
        <v/>
      </c>
      <c r="L25" s="17">
        <f>IF(ABS(J25)&lt;=K25,"OK",IF(M25&lt;&gt;"","EXPLAINED","CHECK"))</f>
        <v/>
      </c>
      <c r="M25" s="7" t="inlineStr"/>
    </row>
    <row r="26">
      <c r="A26" s="33" t="n">
        <v>46241</v>
      </c>
      <c r="B26" s="7" t="inlineStr">
        <is>
          <t>Retail APE</t>
        </is>
      </c>
      <c r="C26" s="7" t="inlineStr">
        <is>
          <t>Q1-FY2027</t>
        </is>
      </c>
      <c r="D26" s="35" t="n">
        <v>16.46</v>
      </c>
      <c r="E26" s="32" t="n">
        <v>0.08900000000000001</v>
      </c>
      <c r="F26" s="35">
        <f>D26/(1+E26)</f>
        <v/>
      </c>
      <c r="G26" s="7" t="inlineStr">
        <is>
          <t>Q1-FY2026</t>
        </is>
      </c>
      <c r="H26" s="35" t="n">
        <v>15.12</v>
      </c>
      <c r="I26" s="33" t="n">
        <v>45999</v>
      </c>
      <c r="J26" s="36">
        <f>F26-H26</f>
        <v/>
      </c>
      <c r="K26" s="16">
        <f>0.005/(1+E26)+D26*0.0005/(1+E26)^2+0.005</f>
        <v/>
      </c>
      <c r="L26" s="17">
        <f>IF(ABS(J26)&lt;=K26,"OK",IF(M26&lt;&gt;"","EXPLAINED","CHECK"))</f>
        <v/>
      </c>
      <c r="M26" s="7" t="inlineStr"/>
    </row>
    <row r="27">
      <c r="A27" s="33" t="n">
        <v>46241</v>
      </c>
      <c r="B27" s="7" t="inlineStr">
        <is>
          <t>Retail APE</t>
        </is>
      </c>
      <c r="C27" s="7" t="inlineStr">
        <is>
          <t>FY2026</t>
        </is>
      </c>
      <c r="D27" s="35" t="n">
        <v>86.92</v>
      </c>
      <c r="E27" s="32" t="n">
        <v>-0.001</v>
      </c>
      <c r="F27" s="35">
        <f>D27/(1+E27)</f>
        <v/>
      </c>
      <c r="G27" s="7" t="inlineStr">
        <is>
          <t>FY2025</t>
        </is>
      </c>
      <c r="H27" s="35" t="n">
        <v>87.05</v>
      </c>
      <c r="I27" s="33" t="n">
        <v>46090</v>
      </c>
      <c r="J27" s="36">
        <f>F27-H27</f>
        <v/>
      </c>
      <c r="K27" s="16">
        <f>0.005/(1+E27)+D27*0.0005/(1+E27)^2+0.005</f>
        <v/>
      </c>
      <c r="L27" s="17">
        <f>IF(ABS(J27)&lt;=K27,"OK",IF(M27&lt;&gt;"","EXPLAINED","CHECK"))</f>
        <v/>
      </c>
      <c r="M27" s="7" t="inlineStr"/>
    </row>
    <row r="28">
      <c r="A28" s="33" t="n">
        <v>46241</v>
      </c>
      <c r="B28" s="7" t="inlineStr">
        <is>
          <t>Retail APE</t>
        </is>
      </c>
      <c r="C28" s="7" t="inlineStr">
        <is>
          <t>Jul-26</t>
        </is>
      </c>
      <c r="D28" s="35" t="n">
        <v>7.58</v>
      </c>
      <c r="E28" s="32" t="n">
        <v>0.12</v>
      </c>
      <c r="F28" s="35">
        <f>D28/(1+E28)</f>
        <v/>
      </c>
      <c r="G28" s="7" t="inlineStr">
        <is>
          <t>Jul-25</t>
        </is>
      </c>
      <c r="H28" s="35" t="n">
        <v>6.77</v>
      </c>
      <c r="I28" s="33" t="n">
        <v>45939</v>
      </c>
      <c r="J28" s="36">
        <f>F28-H28</f>
        <v/>
      </c>
      <c r="K28" s="16">
        <f>0.005/(1+E28)+D28*0.0005/(1+E28)^2+0.005</f>
        <v/>
      </c>
      <c r="L28" s="17">
        <f>IF(ABS(J28)&lt;=K28,"OK",IF(M28&lt;&gt;"","EXPLAINED","CHECK"))</f>
        <v/>
      </c>
      <c r="M28" s="7" t="inlineStr"/>
    </row>
    <row r="29">
      <c r="A29" s="33" t="n">
        <v>46241</v>
      </c>
      <c r="B29" s="7" t="inlineStr">
        <is>
          <t>APE</t>
        </is>
      </c>
      <c r="C29" s="7" t="inlineStr">
        <is>
          <t>Q1-FY2027</t>
        </is>
      </c>
      <c r="D29" s="35" t="n">
        <v>21.36</v>
      </c>
      <c r="E29" s="32" t="n">
        <v>0.146</v>
      </c>
      <c r="F29" s="35">
        <f>D29/(1+E29)</f>
        <v/>
      </c>
      <c r="G29" s="7" t="inlineStr">
        <is>
          <t>Q1-FY2026</t>
        </is>
      </c>
      <c r="H29" s="35" t="n">
        <v>18.64</v>
      </c>
      <c r="I29" s="33" t="n">
        <v>45999</v>
      </c>
      <c r="J29" s="36">
        <f>F29-H29</f>
        <v/>
      </c>
      <c r="K29" s="16">
        <f>0.005/(1+E29)+D29*0.0005/(1+E29)^2+0.005</f>
        <v/>
      </c>
      <c r="L29" s="17">
        <f>IF(ABS(J29)&lt;=K29,"OK",IF(M29&lt;&gt;"","EXPLAINED","CHECK"))</f>
        <v/>
      </c>
      <c r="M29" s="7" t="inlineStr"/>
    </row>
    <row r="30">
      <c r="A30" s="33" t="n">
        <v>46241</v>
      </c>
      <c r="B30" s="7" t="inlineStr">
        <is>
          <t>APE</t>
        </is>
      </c>
      <c r="C30" s="7" t="inlineStr">
        <is>
          <t>FY2026</t>
        </is>
      </c>
      <c r="D30" s="35" t="n">
        <v>106.41</v>
      </c>
      <c r="E30" s="32" t="n">
        <v>0.022</v>
      </c>
      <c r="F30" s="35">
        <f>D30/(1+E30)</f>
        <v/>
      </c>
      <c r="G30" s="7" t="inlineStr">
        <is>
          <t>FY2025</t>
        </is>
      </c>
      <c r="H30" s="35" t="n">
        <v>104.07</v>
      </c>
      <c r="I30" s="33" t="n">
        <v>46090</v>
      </c>
      <c r="J30" s="36">
        <f>F30-H30</f>
        <v/>
      </c>
      <c r="K30" s="16">
        <f>0.005/(1+E30)+D30*0.0005/(1+E30)^2+0.005</f>
        <v/>
      </c>
      <c r="L30" s="17">
        <f>IF(ABS(J30)&lt;=K30,"OK",IF(M30&lt;&gt;"","EXPLAINED","CHECK"))</f>
        <v/>
      </c>
      <c r="M30" s="7" t="inlineStr"/>
    </row>
    <row r="31">
      <c r="A31" s="33" t="n">
        <v>46241</v>
      </c>
      <c r="B31" s="7" t="inlineStr">
        <is>
          <t>APE</t>
        </is>
      </c>
      <c r="C31" s="7" t="inlineStr">
        <is>
          <t>Jul-26</t>
        </is>
      </c>
      <c r="D31" s="35" t="n">
        <v>9.49</v>
      </c>
      <c r="E31" s="32" t="n">
        <v>0.145</v>
      </c>
      <c r="F31" s="35">
        <f>D31/(1+E31)</f>
        <v/>
      </c>
      <c r="G31" s="7" t="inlineStr">
        <is>
          <t>Jul-25</t>
        </is>
      </c>
      <c r="H31" s="35" t="n">
        <v>8.289999999999999</v>
      </c>
      <c r="I31" s="33" t="n">
        <v>45939</v>
      </c>
      <c r="J31" s="36">
        <f>F31-H31</f>
        <v/>
      </c>
      <c r="K31" s="16">
        <f>0.005/(1+E31)+D31*0.0005/(1+E31)^2+0.005</f>
        <v/>
      </c>
      <c r="L31" s="17">
        <f>IF(ABS(J31)&lt;=K31,"OK",IF(M31&lt;&gt;"","EXPLAINED","CHECK"))</f>
        <v/>
      </c>
      <c r="M31" s="7" t="inlineStr"/>
    </row>
    <row r="32">
      <c r="A32" s="33" t="n">
        <v>46241</v>
      </c>
      <c r="B32" s="7" t="inlineStr">
        <is>
          <t>RWRP</t>
        </is>
      </c>
      <c r="C32" s="7" t="inlineStr">
        <is>
          <t>Q1-FY2027</t>
        </is>
      </c>
      <c r="D32" s="35" t="n">
        <v>15.38</v>
      </c>
      <c r="E32" s="32" t="n">
        <v>0.134</v>
      </c>
      <c r="F32" s="35">
        <f>D32/(1+E32)</f>
        <v/>
      </c>
      <c r="G32" s="7" t="inlineStr">
        <is>
          <t>Q1-FY2026</t>
        </is>
      </c>
      <c r="H32" s="35" t="n">
        <v>13.56</v>
      </c>
      <c r="I32" s="33" t="n">
        <v>45999</v>
      </c>
      <c r="J32" s="36">
        <f>F32-H32</f>
        <v/>
      </c>
      <c r="K32" s="16">
        <f>0.005/(1+E32)+D32*0.0005/(1+E32)^2+0.005</f>
        <v/>
      </c>
      <c r="L32" s="17">
        <f>IF(ABS(J32)&lt;=K32,"OK",IF(M32&lt;&gt;"","EXPLAINED","CHECK"))</f>
        <v/>
      </c>
      <c r="M32" s="7" t="inlineStr"/>
    </row>
    <row r="33">
      <c r="A33" s="33" t="n">
        <v>46241</v>
      </c>
      <c r="B33" s="7" t="inlineStr">
        <is>
          <t>RWRP</t>
        </is>
      </c>
      <c r="C33" s="7" t="inlineStr">
        <is>
          <t>FY2026</t>
        </is>
      </c>
      <c r="D33" s="35" t="n">
        <v>82.06</v>
      </c>
      <c r="E33" s="32" t="n">
        <v>-0.012</v>
      </c>
      <c r="F33" s="35">
        <f>D33/(1+E33)</f>
        <v/>
      </c>
      <c r="G33" s="7" t="inlineStr">
        <is>
          <t>FY2025</t>
        </is>
      </c>
      <c r="H33" s="35" t="n">
        <v>83.06999999999999</v>
      </c>
      <c r="I33" s="33" t="n">
        <v>46090</v>
      </c>
      <c r="J33" s="36">
        <f>F33-H33</f>
        <v/>
      </c>
      <c r="K33" s="16">
        <f>0.005/(1+E33)+D33*0.0005/(1+E33)^2+0.005</f>
        <v/>
      </c>
      <c r="L33" s="17">
        <f>IF(ABS(J33)&lt;=K33,"OK",IF(M33&lt;&gt;"","EXPLAINED","CHECK"))</f>
        <v/>
      </c>
      <c r="M33" s="7" t="inlineStr"/>
    </row>
    <row r="34">
      <c r="A34" s="33" t="n">
        <v>46241</v>
      </c>
      <c r="B34" s="7" t="inlineStr">
        <is>
          <t>RWRP</t>
        </is>
      </c>
      <c r="C34" s="7" t="inlineStr">
        <is>
          <t>Jul-26</t>
        </is>
      </c>
      <c r="D34" s="35" t="n">
        <v>7.12</v>
      </c>
      <c r="E34" s="32" t="n">
        <v>0.08900000000000001</v>
      </c>
      <c r="F34" s="35">
        <f>D34/(1+E34)</f>
        <v/>
      </c>
      <c r="G34" s="7" t="inlineStr">
        <is>
          <t>Jul-25</t>
        </is>
      </c>
      <c r="H34" s="35" t="n">
        <v>6.54</v>
      </c>
      <c r="I34" s="33" t="n">
        <v>45939</v>
      </c>
      <c r="J34" s="36">
        <f>F34-H34</f>
        <v/>
      </c>
      <c r="K34" s="16">
        <f>0.005/(1+E34)+D34*0.0005/(1+E34)^2+0.005</f>
        <v/>
      </c>
      <c r="L34" s="17">
        <f>IF(ABS(J34)&lt;=K34,"OK",IF(M34&lt;&gt;"","EXPLAINED","CHECK"))</f>
        <v/>
      </c>
      <c r="M34" s="7" t="inlineStr"/>
    </row>
    <row r="35">
      <c r="A35" s="33" t="n">
        <v>46211</v>
      </c>
      <c r="B35" s="7" t="inlineStr">
        <is>
          <t>NB Sum Assured</t>
        </is>
      </c>
      <c r="C35" s="7" t="inlineStr">
        <is>
          <t>Q1-FY2027</t>
        </is>
      </c>
      <c r="D35" s="35" t="n">
        <v>4896.65</v>
      </c>
      <c r="E35" s="32" t="n">
        <v>0.318</v>
      </c>
      <c r="F35" s="35">
        <f>D35/(1+E35)</f>
        <v/>
      </c>
      <c r="G35" s="7" t="inlineStr">
        <is>
          <t>Q1-FY2026</t>
        </is>
      </c>
      <c r="H35" s="35" t="n">
        <v>3714.52</v>
      </c>
      <c r="I35" s="33" t="n">
        <v>45999</v>
      </c>
      <c r="J35" s="36">
        <f>F35-H35</f>
        <v/>
      </c>
      <c r="K35" s="16">
        <f>0.005/(1+E35)+D35*0.0005/(1+E35)^2+0.005</f>
        <v/>
      </c>
      <c r="L35" s="17">
        <f>IF(ABS(J35)&lt;=K35,"OK",IF(M35&lt;&gt;"","EXPLAINED","CHECK"))</f>
        <v/>
      </c>
      <c r="M35" s="7" t="inlineStr"/>
    </row>
    <row r="36">
      <c r="A36" s="33" t="n">
        <v>46211</v>
      </c>
      <c r="B36" s="7" t="inlineStr">
        <is>
          <t>NB Sum Assured</t>
        </is>
      </c>
      <c r="C36" s="7" t="inlineStr">
        <is>
          <t>FY2026</t>
        </is>
      </c>
      <c r="D36" s="35" t="n">
        <v>14502.24</v>
      </c>
      <c r="E36" s="32" t="n">
        <v>0.214</v>
      </c>
      <c r="F36" s="35">
        <f>D36/(1+E36)</f>
        <v/>
      </c>
      <c r="G36" s="7" t="inlineStr">
        <is>
          <t>FY2025</t>
        </is>
      </c>
      <c r="H36" s="35" t="n">
        <v>11944.01</v>
      </c>
      <c r="I36" s="33" t="n">
        <v>46090</v>
      </c>
      <c r="J36" s="36">
        <f>F36-H36</f>
        <v/>
      </c>
      <c r="K36" s="16">
        <f>0.005/(1+E36)+D36*0.0005/(1+E36)^2+0.005</f>
        <v/>
      </c>
      <c r="L36" s="17">
        <f>IF(ABS(J36)&lt;=K36,"OK",IF(M36&lt;&gt;"","EXPLAINED","CHECK"))</f>
        <v/>
      </c>
      <c r="M36" s="7" t="inlineStr"/>
    </row>
    <row r="37">
      <c r="A37" s="33" t="n">
        <v>46211</v>
      </c>
      <c r="B37" s="7" t="inlineStr">
        <is>
          <t>NB Sum Assured</t>
        </is>
      </c>
      <c r="C37" s="7" t="inlineStr">
        <is>
          <t>Jun-26</t>
        </is>
      </c>
      <c r="D37" s="35" t="n">
        <v>1453.33</v>
      </c>
      <c r="E37" s="32" t="n">
        <v>0.4429999999999999</v>
      </c>
      <c r="F37" s="35">
        <f>D37/(1+E37)</f>
        <v/>
      </c>
      <c r="G37" s="7" t="inlineStr">
        <is>
          <t>Jun-25</t>
        </is>
      </c>
      <c r="H37" s="35" t="n">
        <v>1007.37</v>
      </c>
      <c r="I37" s="33" t="n">
        <v>45848</v>
      </c>
      <c r="J37" s="36">
        <f>F37-H37</f>
        <v/>
      </c>
      <c r="K37" s="16">
        <f>0.005/(1+E37)+D37*0.0005/(1+E37)^2+0.005</f>
        <v/>
      </c>
      <c r="L37" s="17">
        <f>IF(ABS(J37)&lt;=K37,"OK",IF(M37&lt;&gt;"","EXPLAINED","CHECK"))</f>
        <v/>
      </c>
      <c r="M37" s="7" t="inlineStr"/>
    </row>
    <row r="38">
      <c r="A38" s="33" t="n">
        <v>46211</v>
      </c>
      <c r="B38" s="7" t="inlineStr">
        <is>
          <t>NB Sum Assured</t>
        </is>
      </c>
      <c r="C38" s="7" t="inlineStr">
        <is>
          <t>May-26</t>
        </is>
      </c>
      <c r="D38" s="35" t="n">
        <v>1666.5</v>
      </c>
      <c r="E38" s="32" t="n">
        <v>0.701</v>
      </c>
      <c r="F38" s="35">
        <f>D38/(1+E38)</f>
        <v/>
      </c>
      <c r="G38" s="7" t="inlineStr">
        <is>
          <t>May-25</t>
        </is>
      </c>
      <c r="H38" s="35" t="n">
        <v>979.92</v>
      </c>
      <c r="I38" s="33" t="n">
        <v>45848</v>
      </c>
      <c r="J38" s="36">
        <f>F38-H38</f>
        <v/>
      </c>
      <c r="K38" s="16">
        <f>0.005/(1+E38)+D38*0.0005/(1+E38)^2+0.005</f>
        <v/>
      </c>
      <c r="L38" s="17">
        <f>IF(ABS(J38)&lt;=K38,"OK",IF(M38&lt;&gt;"","EXPLAINED","CHECK"))</f>
        <v/>
      </c>
      <c r="M38" s="7" t="inlineStr"/>
    </row>
    <row r="39">
      <c r="A39" s="33" t="n">
        <v>46211</v>
      </c>
      <c r="B39" s="7" t="inlineStr">
        <is>
          <t>NB Sum Assured</t>
        </is>
      </c>
      <c r="C39" s="7" t="inlineStr">
        <is>
          <t>Apr-26</t>
        </is>
      </c>
      <c r="D39" s="35" t="n">
        <v>1776.83</v>
      </c>
      <c r="E39" s="32" t="n">
        <v>0.029</v>
      </c>
      <c r="F39" s="35">
        <f>D39/(1+E39)</f>
        <v/>
      </c>
      <c r="G39" s="7" t="inlineStr">
        <is>
          <t>Apr-25</t>
        </is>
      </c>
      <c r="H39" s="35" t="n">
        <v>1727.22</v>
      </c>
      <c r="I39" s="33" t="n">
        <v>45848</v>
      </c>
      <c r="J39" s="36">
        <f>F39-H39</f>
        <v/>
      </c>
      <c r="K39" s="16">
        <f>0.005/(1+E39)+D39*0.0005/(1+E39)^2+0.005</f>
        <v/>
      </c>
      <c r="L39" s="17">
        <f>IF(ABS(J39)&lt;=K39,"OK",IF(M39&lt;&gt;"","EXPLAINED","CHECK"))</f>
        <v/>
      </c>
      <c r="M39" s="7" t="inlineStr"/>
    </row>
    <row r="40">
      <c r="A40" s="33" t="n">
        <v>46211</v>
      </c>
      <c r="B40" s="7" t="inlineStr">
        <is>
          <t>NB Premium</t>
        </is>
      </c>
      <c r="C40" s="7" t="inlineStr">
        <is>
          <t>Q1-FY2027</t>
        </is>
      </c>
      <c r="D40" s="35" t="n">
        <v>48.66</v>
      </c>
      <c r="E40" s="32" t="n">
        <v>0.213</v>
      </c>
      <c r="F40" s="35">
        <f>D40/(1+E40)</f>
        <v/>
      </c>
      <c r="G40" s="7" t="inlineStr">
        <is>
          <t>Q1-FY2026</t>
        </is>
      </c>
      <c r="H40" s="35" t="n">
        <v>40.12</v>
      </c>
      <c r="I40" s="33" t="n">
        <v>45999</v>
      </c>
      <c r="J40" s="36">
        <f>F40-H40</f>
        <v/>
      </c>
      <c r="K40" s="16">
        <f>0.005/(1+E40)+D40*0.0005/(1+E40)^2+0.005</f>
        <v/>
      </c>
      <c r="L40" s="17">
        <f>IF(ABS(J40)&lt;=K40,"OK",IF(M40&lt;&gt;"","EXPLAINED","CHECK"))</f>
        <v/>
      </c>
      <c r="M40" s="7" t="inlineStr"/>
    </row>
    <row r="41">
      <c r="A41" s="33" t="n">
        <v>46211</v>
      </c>
      <c r="B41" s="7" t="inlineStr">
        <is>
          <t>NB Premium</t>
        </is>
      </c>
      <c r="C41" s="7" t="inlineStr">
        <is>
          <t>FY2026</t>
        </is>
      </c>
      <c r="D41" s="35" t="n">
        <v>248.1</v>
      </c>
      <c r="E41" s="32" t="n">
        <v>0.099</v>
      </c>
      <c r="F41" s="35">
        <f>D41/(1+E41)</f>
        <v/>
      </c>
      <c r="G41" s="7" t="inlineStr">
        <is>
          <t>FY2025</t>
        </is>
      </c>
      <c r="H41" s="35" t="n">
        <v>225.83</v>
      </c>
      <c r="I41" s="33" t="n">
        <v>46090</v>
      </c>
      <c r="J41" s="36">
        <f>F41-H41</f>
        <v/>
      </c>
      <c r="K41" s="16">
        <f>0.005/(1+E41)+D41*0.0005/(1+E41)^2+0.005</f>
        <v/>
      </c>
      <c r="L41" s="17">
        <f>IF(ABS(J41)&lt;=K41,"OK",IF(M41&lt;&gt;"","EXPLAINED","CHECK"))</f>
        <v/>
      </c>
      <c r="M41" s="7" t="inlineStr"/>
    </row>
    <row r="42">
      <c r="A42" s="33" t="n">
        <v>46211</v>
      </c>
      <c r="B42" s="7" t="inlineStr">
        <is>
          <t>NB Premium</t>
        </is>
      </c>
      <c r="C42" s="7" t="inlineStr">
        <is>
          <t>Jun-26</t>
        </is>
      </c>
      <c r="D42" s="35" t="n">
        <v>19.67</v>
      </c>
      <c r="E42" s="32" t="n">
        <v>0.25</v>
      </c>
      <c r="F42" s="35">
        <f>D42/(1+E42)</f>
        <v/>
      </c>
      <c r="G42" s="7" t="inlineStr">
        <is>
          <t>Jun-25</t>
        </is>
      </c>
      <c r="H42" s="35" t="n">
        <v>15.73</v>
      </c>
      <c r="I42" s="33" t="n">
        <v>45848</v>
      </c>
      <c r="J42" s="36">
        <f>F42-H42</f>
        <v/>
      </c>
      <c r="K42" s="16">
        <f>0.005/(1+E42)+D42*0.0005/(1+E42)^2+0.005</f>
        <v/>
      </c>
      <c r="L42" s="17">
        <f>IF(ABS(J42)&lt;=K42,"OK",IF(M42&lt;&gt;"","EXPLAINED","CHECK"))</f>
        <v/>
      </c>
      <c r="M42" s="7" t="inlineStr"/>
    </row>
    <row r="43">
      <c r="A43" s="33" t="n">
        <v>46211</v>
      </c>
      <c r="B43" s="7" t="inlineStr">
        <is>
          <t>NB Premium</t>
        </is>
      </c>
      <c r="C43" s="7" t="inlineStr">
        <is>
          <t>May-26</t>
        </is>
      </c>
      <c r="D43" s="35" t="n">
        <v>16.03</v>
      </c>
      <c r="E43" s="32" t="n">
        <v>0.139</v>
      </c>
      <c r="F43" s="35">
        <f>D43/(1+E43)</f>
        <v/>
      </c>
      <c r="G43" s="7" t="inlineStr">
        <is>
          <t>May-25</t>
        </is>
      </c>
      <c r="H43" s="35" t="n">
        <v>14.07</v>
      </c>
      <c r="I43" s="33" t="n">
        <v>45848</v>
      </c>
      <c r="J43" s="36">
        <f>F43-H43</f>
        <v/>
      </c>
      <c r="K43" s="16">
        <f>0.005/(1+E43)+D43*0.0005/(1+E43)^2+0.005</f>
        <v/>
      </c>
      <c r="L43" s="17">
        <f>IF(ABS(J43)&lt;=K43,"OK",IF(M43&lt;&gt;"","EXPLAINED","CHECK"))</f>
        <v/>
      </c>
      <c r="M43" s="7" t="inlineStr"/>
    </row>
    <row r="44">
      <c r="A44" s="33" t="n">
        <v>46211</v>
      </c>
      <c r="B44" s="7" t="inlineStr">
        <is>
          <t>NB Premium</t>
        </is>
      </c>
      <c r="C44" s="7" t="inlineStr">
        <is>
          <t>Apr-26</t>
        </is>
      </c>
      <c r="D44" s="35" t="n">
        <v>12.96</v>
      </c>
      <c r="E44" s="32" t="n">
        <v>0.256</v>
      </c>
      <c r="F44" s="35">
        <f>D44/(1+E44)</f>
        <v/>
      </c>
      <c r="G44" s="7" t="inlineStr">
        <is>
          <t>Apr-25</t>
        </is>
      </c>
      <c r="H44" s="35" t="n">
        <v>10.32</v>
      </c>
      <c r="I44" s="33" t="n">
        <v>45848</v>
      </c>
      <c r="J44" s="36">
        <f>F44-H44</f>
        <v/>
      </c>
      <c r="K44" s="16">
        <f>0.005/(1+E44)+D44*0.0005/(1+E44)^2+0.005</f>
        <v/>
      </c>
      <c r="L44" s="17">
        <f>IF(ABS(J44)&lt;=K44,"OK",IF(M44&lt;&gt;"","EXPLAINED","CHECK"))</f>
        <v/>
      </c>
      <c r="M44" s="7" t="inlineStr"/>
    </row>
    <row r="45">
      <c r="A45" s="33" t="n">
        <v>46211</v>
      </c>
      <c r="B45" s="7" t="inlineStr">
        <is>
          <t>Retail APE</t>
        </is>
      </c>
      <c r="C45" s="7" t="inlineStr">
        <is>
          <t>Q1-FY2027</t>
        </is>
      </c>
      <c r="D45" s="35" t="n">
        <v>16.46</v>
      </c>
      <c r="E45" s="32" t="n">
        <v>0.08900000000000001</v>
      </c>
      <c r="F45" s="35">
        <f>D45/(1+E45)</f>
        <v/>
      </c>
      <c r="G45" s="7" t="inlineStr">
        <is>
          <t>Q1-FY2026</t>
        </is>
      </c>
      <c r="H45" s="35" t="n">
        <v>15.12</v>
      </c>
      <c r="I45" s="33" t="n">
        <v>45999</v>
      </c>
      <c r="J45" s="36">
        <f>F45-H45</f>
        <v/>
      </c>
      <c r="K45" s="16">
        <f>0.005/(1+E45)+D45*0.0005/(1+E45)^2+0.005</f>
        <v/>
      </c>
      <c r="L45" s="17">
        <f>IF(ABS(J45)&lt;=K45,"OK",IF(M45&lt;&gt;"","EXPLAINED","CHECK"))</f>
        <v/>
      </c>
      <c r="M45" s="7" t="inlineStr"/>
    </row>
    <row r="46">
      <c r="A46" s="33" t="n">
        <v>46211</v>
      </c>
      <c r="B46" s="7" t="inlineStr">
        <is>
          <t>Retail APE</t>
        </is>
      </c>
      <c r="C46" s="7" t="inlineStr">
        <is>
          <t>FY2026</t>
        </is>
      </c>
      <c r="D46" s="35" t="n">
        <v>86.92</v>
      </c>
      <c r="E46" s="32" t="n">
        <v>-0.001</v>
      </c>
      <c r="F46" s="35">
        <f>D46/(1+E46)</f>
        <v/>
      </c>
      <c r="G46" s="7" t="inlineStr">
        <is>
          <t>FY2025</t>
        </is>
      </c>
      <c r="H46" s="35" t="n">
        <v>87.05</v>
      </c>
      <c r="I46" s="33" t="n">
        <v>46090</v>
      </c>
      <c r="J46" s="36">
        <f>F46-H46</f>
        <v/>
      </c>
      <c r="K46" s="16">
        <f>0.005/(1+E46)+D46*0.0005/(1+E46)^2+0.005</f>
        <v/>
      </c>
      <c r="L46" s="17">
        <f>IF(ABS(J46)&lt;=K46,"OK",IF(M46&lt;&gt;"","EXPLAINED","CHECK"))</f>
        <v/>
      </c>
      <c r="M46" s="7" t="inlineStr"/>
    </row>
    <row r="47">
      <c r="A47" s="33" t="n">
        <v>46211</v>
      </c>
      <c r="B47" s="7" t="inlineStr">
        <is>
          <t>Retail APE</t>
        </is>
      </c>
      <c r="C47" s="7" t="inlineStr">
        <is>
          <t>Jun-26</t>
        </is>
      </c>
      <c r="D47" s="35" t="n">
        <v>6.28</v>
      </c>
      <c r="E47" s="32" t="n">
        <v>0.096</v>
      </c>
      <c r="F47" s="35">
        <f>D47/(1+E47)</f>
        <v/>
      </c>
      <c r="G47" s="7" t="inlineStr">
        <is>
          <t>Jun-25</t>
        </is>
      </c>
      <c r="H47" s="35" t="n">
        <v>5.73</v>
      </c>
      <c r="I47" s="33" t="n">
        <v>45848</v>
      </c>
      <c r="J47" s="36">
        <f>F47-H47</f>
        <v/>
      </c>
      <c r="K47" s="16">
        <f>0.005/(1+E47)+D47*0.0005/(1+E47)^2+0.005</f>
        <v/>
      </c>
      <c r="L47" s="17">
        <f>IF(ABS(J47)&lt;=K47,"OK",IF(M47&lt;&gt;"","EXPLAINED","CHECK"))</f>
        <v/>
      </c>
      <c r="M47" s="7" t="inlineStr"/>
    </row>
    <row r="48">
      <c r="A48" s="33" t="n">
        <v>46211</v>
      </c>
      <c r="B48" s="7" t="inlineStr">
        <is>
          <t>Retail APE</t>
        </is>
      </c>
      <c r="C48" s="7" t="inlineStr">
        <is>
          <t>May-26</t>
        </is>
      </c>
      <c r="D48" s="35" t="n">
        <v>5.58</v>
      </c>
      <c r="E48" s="32" t="n">
        <v>-0.012</v>
      </c>
      <c r="F48" s="35">
        <f>D48/(1+E48)</f>
        <v/>
      </c>
      <c r="G48" s="7" t="inlineStr">
        <is>
          <t>May-25</t>
        </is>
      </c>
      <c r="H48" s="35" t="n">
        <v>5.65</v>
      </c>
      <c r="I48" s="33" t="n">
        <v>45848</v>
      </c>
      <c r="J48" s="36">
        <f>F48-H48</f>
        <v/>
      </c>
      <c r="K48" s="16">
        <f>0.005/(1+E48)+D48*0.0005/(1+E48)^2+0.005</f>
        <v/>
      </c>
      <c r="L48" s="17">
        <f>IF(ABS(J48)&lt;=K48,"OK",IF(M48&lt;&gt;"","EXPLAINED","CHECK"))</f>
        <v/>
      </c>
      <c r="M48" s="7" t="inlineStr"/>
    </row>
    <row r="49">
      <c r="A49" s="33" t="n">
        <v>46211</v>
      </c>
      <c r="B49" s="7" t="inlineStr">
        <is>
          <t>Retail APE</t>
        </is>
      </c>
      <c r="C49" s="7" t="inlineStr">
        <is>
          <t>Apr-26</t>
        </is>
      </c>
      <c r="D49" s="35" t="n">
        <v>4.6</v>
      </c>
      <c r="E49" s="32" t="n">
        <v>0.23</v>
      </c>
      <c r="F49" s="35">
        <f>D49/(1+E49)</f>
        <v/>
      </c>
      <c r="G49" s="7" t="inlineStr">
        <is>
          <t>Apr-25</t>
        </is>
      </c>
      <c r="H49" s="35" t="n">
        <v>3.74</v>
      </c>
      <c r="I49" s="33" t="n">
        <v>45848</v>
      </c>
      <c r="J49" s="36">
        <f>F49-H49</f>
        <v/>
      </c>
      <c r="K49" s="16">
        <f>0.005/(1+E49)+D49*0.0005/(1+E49)^2+0.005</f>
        <v/>
      </c>
      <c r="L49" s="17">
        <f>IF(ABS(J49)&lt;=K49,"OK",IF(M49&lt;&gt;"","EXPLAINED","CHECK"))</f>
        <v/>
      </c>
      <c r="M49" s="7" t="inlineStr"/>
    </row>
    <row r="50">
      <c r="A50" s="33" t="n">
        <v>46211</v>
      </c>
      <c r="B50" s="7" t="inlineStr">
        <is>
          <t>APE</t>
        </is>
      </c>
      <c r="C50" s="7" t="inlineStr">
        <is>
          <t>Q1-FY2027</t>
        </is>
      </c>
      <c r="D50" s="35" t="n">
        <v>21.36</v>
      </c>
      <c r="E50" s="32" t="n">
        <v>0.146</v>
      </c>
      <c r="F50" s="35">
        <f>D50/(1+E50)</f>
        <v/>
      </c>
      <c r="G50" s="7" t="inlineStr">
        <is>
          <t>Q1-FY2026</t>
        </is>
      </c>
      <c r="H50" s="35" t="n">
        <v>18.64</v>
      </c>
      <c r="I50" s="33" t="n">
        <v>45999</v>
      </c>
      <c r="J50" s="36">
        <f>F50-H50</f>
        <v/>
      </c>
      <c r="K50" s="16">
        <f>0.005/(1+E50)+D50*0.0005/(1+E50)^2+0.005</f>
        <v/>
      </c>
      <c r="L50" s="17">
        <f>IF(ABS(J50)&lt;=K50,"OK",IF(M50&lt;&gt;"","EXPLAINED","CHECK"))</f>
        <v/>
      </c>
      <c r="M50" s="7" t="inlineStr"/>
    </row>
    <row r="51">
      <c r="A51" s="33" t="n">
        <v>46211</v>
      </c>
      <c r="B51" s="7" t="inlineStr">
        <is>
          <t>APE</t>
        </is>
      </c>
      <c r="C51" s="7" t="inlineStr">
        <is>
          <t>FY2026</t>
        </is>
      </c>
      <c r="D51" s="35" t="n">
        <v>106.41</v>
      </c>
      <c r="E51" s="32" t="n">
        <v>0.022</v>
      </c>
      <c r="F51" s="35">
        <f>D51/(1+E51)</f>
        <v/>
      </c>
      <c r="G51" s="7" t="inlineStr">
        <is>
          <t>FY2025</t>
        </is>
      </c>
      <c r="H51" s="35" t="n">
        <v>104.07</v>
      </c>
      <c r="I51" s="33" t="n">
        <v>46090</v>
      </c>
      <c r="J51" s="36">
        <f>F51-H51</f>
        <v/>
      </c>
      <c r="K51" s="16">
        <f>0.005/(1+E51)+D51*0.0005/(1+E51)^2+0.005</f>
        <v/>
      </c>
      <c r="L51" s="17">
        <f>IF(ABS(J51)&lt;=K51,"OK",IF(M51&lt;&gt;"","EXPLAINED","CHECK"))</f>
        <v/>
      </c>
      <c r="M51" s="7" t="inlineStr"/>
    </row>
    <row r="52">
      <c r="A52" s="33" t="n">
        <v>46211</v>
      </c>
      <c r="B52" s="7" t="inlineStr">
        <is>
          <t>APE</t>
        </is>
      </c>
      <c r="C52" s="7" t="inlineStr">
        <is>
          <t>Jun-26</t>
        </is>
      </c>
      <c r="D52" s="35" t="n">
        <v>7.95</v>
      </c>
      <c r="E52" s="32" t="n">
        <v>0.146</v>
      </c>
      <c r="F52" s="35">
        <f>D52/(1+E52)</f>
        <v/>
      </c>
      <c r="G52" s="7" t="inlineStr">
        <is>
          <t>Jun-25</t>
        </is>
      </c>
      <c r="H52" s="35" t="n">
        <v>6.94</v>
      </c>
      <c r="I52" s="33" t="n">
        <v>45848</v>
      </c>
      <c r="J52" s="36">
        <f>F52-H52</f>
        <v/>
      </c>
      <c r="K52" s="16">
        <f>0.005/(1+E52)+D52*0.0005/(1+E52)^2+0.005</f>
        <v/>
      </c>
      <c r="L52" s="17">
        <f>IF(ABS(J52)&lt;=K52,"OK",IF(M52&lt;&gt;"","EXPLAINED","CHECK"))</f>
        <v/>
      </c>
      <c r="M52" s="7" t="inlineStr"/>
    </row>
    <row r="53">
      <c r="A53" s="33" t="n">
        <v>46211</v>
      </c>
      <c r="B53" s="7" t="inlineStr">
        <is>
          <t>APE</t>
        </is>
      </c>
      <c r="C53" s="7" t="inlineStr">
        <is>
          <t>May-26</t>
        </is>
      </c>
      <c r="D53" s="35" t="n">
        <v>7.22</v>
      </c>
      <c r="E53" s="32" t="n">
        <v>0.073</v>
      </c>
      <c r="F53" s="35">
        <f>D53/(1+E53)</f>
        <v/>
      </c>
      <c r="G53" s="7" t="inlineStr">
        <is>
          <t>May-25</t>
        </is>
      </c>
      <c r="H53" s="35" t="n">
        <v>6.73</v>
      </c>
      <c r="I53" s="33" t="n">
        <v>45848</v>
      </c>
      <c r="J53" s="36">
        <f>F53-H53</f>
        <v/>
      </c>
      <c r="K53" s="16">
        <f>0.005/(1+E53)+D53*0.0005/(1+E53)^2+0.005</f>
        <v/>
      </c>
      <c r="L53" s="17">
        <f>IF(ABS(J53)&lt;=K53,"OK",IF(M53&lt;&gt;"","EXPLAINED","CHECK"))</f>
        <v/>
      </c>
      <c r="M53" s="7" t="inlineStr"/>
    </row>
    <row r="54">
      <c r="A54" s="33" t="n">
        <v>46211</v>
      </c>
      <c r="B54" s="7" t="inlineStr">
        <is>
          <t>APE</t>
        </is>
      </c>
      <c r="C54" s="7" t="inlineStr">
        <is>
          <t>Apr-26</t>
        </is>
      </c>
      <c r="D54" s="35" t="n">
        <v>6.18</v>
      </c>
      <c r="E54" s="32" t="n">
        <v>0.241</v>
      </c>
      <c r="F54" s="35">
        <f>D54/(1+E54)</f>
        <v/>
      </c>
      <c r="G54" s="7" t="inlineStr">
        <is>
          <t>Apr-25</t>
        </is>
      </c>
      <c r="H54" s="35" t="n">
        <v>4.98</v>
      </c>
      <c r="I54" s="33" t="n">
        <v>45848</v>
      </c>
      <c r="J54" s="36">
        <f>F54-H54</f>
        <v/>
      </c>
      <c r="K54" s="16">
        <f>0.005/(1+E54)+D54*0.0005/(1+E54)^2+0.005</f>
        <v/>
      </c>
      <c r="L54" s="17">
        <f>IF(ABS(J54)&lt;=K54,"OK",IF(M54&lt;&gt;"","EXPLAINED","CHECK"))</f>
        <v/>
      </c>
      <c r="M54" s="7" t="inlineStr"/>
    </row>
    <row r="55">
      <c r="A55" s="33" t="n">
        <v>46211</v>
      </c>
      <c r="B55" s="7" t="inlineStr">
        <is>
          <t>RWRP</t>
        </is>
      </c>
      <c r="C55" s="7" t="inlineStr">
        <is>
          <t>Q1-FY2027</t>
        </is>
      </c>
      <c r="D55" s="35" t="n">
        <v>15.38</v>
      </c>
      <c r="E55" s="32" t="n">
        <v>0.134</v>
      </c>
      <c r="F55" s="35">
        <f>D55/(1+E55)</f>
        <v/>
      </c>
      <c r="G55" s="7" t="inlineStr">
        <is>
          <t>Q1-FY2026</t>
        </is>
      </c>
      <c r="H55" s="35" t="n">
        <v>13.56</v>
      </c>
      <c r="I55" s="33" t="n">
        <v>45999</v>
      </c>
      <c r="J55" s="36">
        <f>F55-H55</f>
        <v/>
      </c>
      <c r="K55" s="16">
        <f>0.005/(1+E55)+D55*0.0005/(1+E55)^2+0.005</f>
        <v/>
      </c>
      <c r="L55" s="17">
        <f>IF(ABS(J55)&lt;=K55,"OK",IF(M55&lt;&gt;"","EXPLAINED","CHECK"))</f>
        <v/>
      </c>
      <c r="M55" s="7" t="inlineStr"/>
    </row>
    <row r="56">
      <c r="A56" s="33" t="n">
        <v>46211</v>
      </c>
      <c r="B56" s="7" t="inlineStr">
        <is>
          <t>RWRP</t>
        </is>
      </c>
      <c r="C56" s="7" t="inlineStr">
        <is>
          <t>FY2026</t>
        </is>
      </c>
      <c r="D56" s="35" t="n">
        <v>82.06</v>
      </c>
      <c r="E56" s="32" t="n">
        <v>-0.012</v>
      </c>
      <c r="F56" s="35">
        <f>D56/(1+E56)</f>
        <v/>
      </c>
      <c r="G56" s="7" t="inlineStr">
        <is>
          <t>FY2025</t>
        </is>
      </c>
      <c r="H56" s="35" t="n">
        <v>83.06999999999999</v>
      </c>
      <c r="I56" s="33" t="n">
        <v>46090</v>
      </c>
      <c r="J56" s="36">
        <f>F56-H56</f>
        <v/>
      </c>
      <c r="K56" s="16">
        <f>0.005/(1+E56)+D56*0.0005/(1+E56)^2+0.005</f>
        <v/>
      </c>
      <c r="L56" s="17">
        <f>IF(ABS(J56)&lt;=K56,"OK",IF(M56&lt;&gt;"","EXPLAINED","CHECK"))</f>
        <v/>
      </c>
      <c r="M56" s="7" t="inlineStr"/>
    </row>
    <row r="57">
      <c r="A57" s="33" t="n">
        <v>46211</v>
      </c>
      <c r="B57" s="7" t="inlineStr">
        <is>
          <t>RWRP</t>
        </is>
      </c>
      <c r="C57" s="7" t="inlineStr">
        <is>
          <t>Jun-26</t>
        </is>
      </c>
      <c r="D57" s="35" t="n">
        <v>6.23</v>
      </c>
      <c r="E57" s="32" t="n">
        <v>0.127</v>
      </c>
      <c r="F57" s="35">
        <f>D57/(1+E57)</f>
        <v/>
      </c>
      <c r="G57" s="7" t="inlineStr">
        <is>
          <t>Jun-25</t>
        </is>
      </c>
      <c r="H57" s="35" t="n">
        <v>5.53</v>
      </c>
      <c r="I57" s="33" t="n">
        <v>45848</v>
      </c>
      <c r="J57" s="36">
        <f>F57-H57</f>
        <v/>
      </c>
      <c r="K57" s="16">
        <f>0.005/(1+E57)+D57*0.0005/(1+E57)^2+0.005</f>
        <v/>
      </c>
      <c r="L57" s="17">
        <f>IF(ABS(J57)&lt;=K57,"OK",IF(M57&lt;&gt;"","EXPLAINED","CHECK"))</f>
        <v/>
      </c>
      <c r="M57" s="7" t="inlineStr"/>
    </row>
    <row r="58">
      <c r="A58" s="33" t="n">
        <v>46211</v>
      </c>
      <c r="B58" s="7" t="inlineStr">
        <is>
          <t>RWRP</t>
        </is>
      </c>
      <c r="C58" s="7" t="inlineStr">
        <is>
          <t>May-26</t>
        </is>
      </c>
      <c r="D58" s="35" t="n">
        <v>4.94</v>
      </c>
      <c r="E58" s="32" t="n">
        <v>0.062</v>
      </c>
      <c r="F58" s="35">
        <f>D58/(1+E58)</f>
        <v/>
      </c>
      <c r="G58" s="7" t="inlineStr">
        <is>
          <t>May-25</t>
        </is>
      </c>
      <c r="H58" s="35" t="n">
        <v>4.65</v>
      </c>
      <c r="I58" s="33" t="n">
        <v>45848</v>
      </c>
      <c r="J58" s="36">
        <f>F58-H58</f>
        <v/>
      </c>
      <c r="K58" s="16">
        <f>0.005/(1+E58)+D58*0.0005/(1+E58)^2+0.005</f>
        <v/>
      </c>
      <c r="L58" s="17">
        <f>IF(ABS(J58)&lt;=K58,"OK",IF(M58&lt;&gt;"","EXPLAINED","CHECK"))</f>
        <v/>
      </c>
      <c r="M58" s="7" t="inlineStr"/>
    </row>
    <row r="59">
      <c r="A59" s="33" t="n">
        <v>46211</v>
      </c>
      <c r="B59" s="7" t="inlineStr">
        <is>
          <t>RWRP</t>
        </is>
      </c>
      <c r="C59" s="7" t="inlineStr">
        <is>
          <t>Apr-26</t>
        </is>
      </c>
      <c r="D59" s="35" t="n">
        <v>4.21</v>
      </c>
      <c r="E59" s="32" t="n">
        <v>0.246</v>
      </c>
      <c r="F59" s="35">
        <f>D59/(1+E59)</f>
        <v/>
      </c>
      <c r="G59" s="7" t="inlineStr">
        <is>
          <t>Apr-25</t>
        </is>
      </c>
      <c r="H59" s="35" t="n">
        <v>3.38</v>
      </c>
      <c r="I59" s="33" t="n">
        <v>45848</v>
      </c>
      <c r="J59" s="36">
        <f>F59-H59</f>
        <v/>
      </c>
      <c r="K59" s="16">
        <f>0.005/(1+E59)+D59*0.0005/(1+E59)^2+0.005</f>
        <v/>
      </c>
      <c r="L59" s="17">
        <f>IF(ABS(J59)&lt;=K59,"OK",IF(M59&lt;&gt;"","EXPLAINED","CHECK"))</f>
        <v/>
      </c>
      <c r="M59" s="7" t="inlineStr"/>
    </row>
    <row r="60">
      <c r="A60" s="33" t="n">
        <v>46182</v>
      </c>
      <c r="B60" s="7" t="inlineStr">
        <is>
          <t>NB Sum Assured</t>
        </is>
      </c>
      <c r="C60" s="7" t="inlineStr">
        <is>
          <t>FY2026</t>
        </is>
      </c>
      <c r="D60" s="35" t="n">
        <v>14502.24</v>
      </c>
      <c r="E60" s="32" t="n">
        <v>0.214</v>
      </c>
      <c r="F60" s="35">
        <f>D60/(1+E60)</f>
        <v/>
      </c>
      <c r="G60" s="7" t="inlineStr">
        <is>
          <t>FY2025</t>
        </is>
      </c>
      <c r="H60" s="35" t="n">
        <v>11944.01</v>
      </c>
      <c r="I60" s="33" t="n">
        <v>46090</v>
      </c>
      <c r="J60" s="36">
        <f>F60-H60</f>
        <v/>
      </c>
      <c r="K60" s="16">
        <f>0.005/(1+E60)+D60*0.0005/(1+E60)^2+0.005</f>
        <v/>
      </c>
      <c r="L60" s="17">
        <f>IF(ABS(J60)&lt;=K60,"OK",IF(M60&lt;&gt;"","EXPLAINED","CHECK"))</f>
        <v/>
      </c>
      <c r="M60" s="7" t="inlineStr"/>
    </row>
    <row r="61">
      <c r="A61" s="33" t="n">
        <v>46182</v>
      </c>
      <c r="B61" s="7" t="inlineStr">
        <is>
          <t>NB Sum Assured</t>
        </is>
      </c>
      <c r="C61" s="7" t="inlineStr">
        <is>
          <t>May-26</t>
        </is>
      </c>
      <c r="D61" s="35" t="n">
        <v>1666.5</v>
      </c>
      <c r="E61" s="32" t="n">
        <v>0.701</v>
      </c>
      <c r="F61" s="35">
        <f>D61/(1+E61)</f>
        <v/>
      </c>
      <c r="G61" s="7" t="inlineStr">
        <is>
          <t>May-25</t>
        </is>
      </c>
      <c r="H61" s="35" t="n">
        <v>979.92</v>
      </c>
      <c r="I61" s="33" t="n">
        <v>45848</v>
      </c>
      <c r="J61" s="36">
        <f>F61-H61</f>
        <v/>
      </c>
      <c r="K61" s="16">
        <f>0.005/(1+E61)+D61*0.0005/(1+E61)^2+0.005</f>
        <v/>
      </c>
      <c r="L61" s="17">
        <f>IF(ABS(J61)&lt;=K61,"OK",IF(M61&lt;&gt;"","EXPLAINED","CHECK"))</f>
        <v/>
      </c>
      <c r="M61" s="7" t="inlineStr"/>
    </row>
    <row r="62">
      <c r="A62" s="33" t="n">
        <v>46182</v>
      </c>
      <c r="B62" s="7" t="inlineStr">
        <is>
          <t>NB Sum Assured</t>
        </is>
      </c>
      <c r="C62" s="7" t="inlineStr">
        <is>
          <t>Apr-26</t>
        </is>
      </c>
      <c r="D62" s="35" t="n">
        <v>1776.83</v>
      </c>
      <c r="E62" s="32" t="n">
        <v>0.029</v>
      </c>
      <c r="F62" s="35">
        <f>D62/(1+E62)</f>
        <v/>
      </c>
      <c r="G62" s="7" t="inlineStr">
        <is>
          <t>Apr-25</t>
        </is>
      </c>
      <c r="H62" s="35" t="n">
        <v>1727.22</v>
      </c>
      <c r="I62" s="33" t="n">
        <v>45848</v>
      </c>
      <c r="J62" s="36">
        <f>F62-H62</f>
        <v/>
      </c>
      <c r="K62" s="16">
        <f>0.005/(1+E62)+D62*0.0005/(1+E62)^2+0.005</f>
        <v/>
      </c>
      <c r="L62" s="17">
        <f>IF(ABS(J62)&lt;=K62,"OK",IF(M62&lt;&gt;"","EXPLAINED","CHECK"))</f>
        <v/>
      </c>
      <c r="M62" s="7" t="inlineStr"/>
    </row>
    <row r="63">
      <c r="A63" s="33" t="n">
        <v>46182</v>
      </c>
      <c r="B63" s="7" t="inlineStr">
        <is>
          <t>NB Premium</t>
        </is>
      </c>
      <c r="C63" s="7" t="inlineStr">
        <is>
          <t>FY2026</t>
        </is>
      </c>
      <c r="D63" s="35" t="n">
        <v>248.1</v>
      </c>
      <c r="E63" s="32" t="n">
        <v>0.099</v>
      </c>
      <c r="F63" s="35">
        <f>D63/(1+E63)</f>
        <v/>
      </c>
      <c r="G63" s="7" t="inlineStr">
        <is>
          <t>FY2025</t>
        </is>
      </c>
      <c r="H63" s="35" t="n">
        <v>225.83</v>
      </c>
      <c r="I63" s="33" t="n">
        <v>46090</v>
      </c>
      <c r="J63" s="36">
        <f>F63-H63</f>
        <v/>
      </c>
      <c r="K63" s="16">
        <f>0.005/(1+E63)+D63*0.0005/(1+E63)^2+0.005</f>
        <v/>
      </c>
      <c r="L63" s="17">
        <f>IF(ABS(J63)&lt;=K63,"OK",IF(M63&lt;&gt;"","EXPLAINED","CHECK"))</f>
        <v/>
      </c>
      <c r="M63" s="7" t="inlineStr"/>
    </row>
    <row r="64">
      <c r="A64" s="33" t="n">
        <v>46182</v>
      </c>
      <c r="B64" s="7" t="inlineStr">
        <is>
          <t>NB Premium</t>
        </is>
      </c>
      <c r="C64" s="7" t="inlineStr">
        <is>
          <t>May-26</t>
        </is>
      </c>
      <c r="D64" s="35" t="n">
        <v>16.03</v>
      </c>
      <c r="E64" s="32" t="n">
        <v>0.139</v>
      </c>
      <c r="F64" s="35">
        <f>D64/(1+E64)</f>
        <v/>
      </c>
      <c r="G64" s="7" t="inlineStr">
        <is>
          <t>May-25</t>
        </is>
      </c>
      <c r="H64" s="35" t="n">
        <v>14.07</v>
      </c>
      <c r="I64" s="33" t="n">
        <v>45848</v>
      </c>
      <c r="J64" s="36">
        <f>F64-H64</f>
        <v/>
      </c>
      <c r="K64" s="16">
        <f>0.005/(1+E64)+D64*0.0005/(1+E64)^2+0.005</f>
        <v/>
      </c>
      <c r="L64" s="17">
        <f>IF(ABS(J64)&lt;=K64,"OK",IF(M64&lt;&gt;"","EXPLAINED","CHECK"))</f>
        <v/>
      </c>
      <c r="M64" s="7" t="inlineStr"/>
    </row>
    <row r="65">
      <c r="A65" s="33" t="n">
        <v>46182</v>
      </c>
      <c r="B65" s="7" t="inlineStr">
        <is>
          <t>NB Premium</t>
        </is>
      </c>
      <c r="C65" s="7" t="inlineStr">
        <is>
          <t>Apr-26</t>
        </is>
      </c>
      <c r="D65" s="35" t="n">
        <v>12.96</v>
      </c>
      <c r="E65" s="32" t="n">
        <v>0.256</v>
      </c>
      <c r="F65" s="35">
        <f>D65/(1+E65)</f>
        <v/>
      </c>
      <c r="G65" s="7" t="inlineStr">
        <is>
          <t>Apr-25</t>
        </is>
      </c>
      <c r="H65" s="35" t="n">
        <v>10.32</v>
      </c>
      <c r="I65" s="33" t="n">
        <v>45848</v>
      </c>
      <c r="J65" s="36">
        <f>F65-H65</f>
        <v/>
      </c>
      <c r="K65" s="16">
        <f>0.005/(1+E65)+D65*0.0005/(1+E65)^2+0.005</f>
        <v/>
      </c>
      <c r="L65" s="17">
        <f>IF(ABS(J65)&lt;=K65,"OK",IF(M65&lt;&gt;"","EXPLAINED","CHECK"))</f>
        <v/>
      </c>
      <c r="M65" s="7" t="inlineStr"/>
    </row>
    <row r="66">
      <c r="A66" s="33" t="n">
        <v>46182</v>
      </c>
      <c r="B66" s="7" t="inlineStr">
        <is>
          <t>Retail APE</t>
        </is>
      </c>
      <c r="C66" s="7" t="inlineStr">
        <is>
          <t>FY2026</t>
        </is>
      </c>
      <c r="D66" s="35" t="n">
        <v>86.92</v>
      </c>
      <c r="E66" s="32" t="n">
        <v>-0.001</v>
      </c>
      <c r="F66" s="35">
        <f>D66/(1+E66)</f>
        <v/>
      </c>
      <c r="G66" s="7" t="inlineStr">
        <is>
          <t>FY2025</t>
        </is>
      </c>
      <c r="H66" s="35" t="n">
        <v>87.05</v>
      </c>
      <c r="I66" s="33" t="n">
        <v>46090</v>
      </c>
      <c r="J66" s="36">
        <f>F66-H66</f>
        <v/>
      </c>
      <c r="K66" s="16">
        <f>0.005/(1+E66)+D66*0.0005/(1+E66)^2+0.005</f>
        <v/>
      </c>
      <c r="L66" s="17">
        <f>IF(ABS(J66)&lt;=K66,"OK",IF(M66&lt;&gt;"","EXPLAINED","CHECK"))</f>
        <v/>
      </c>
      <c r="M66" s="7" t="inlineStr"/>
    </row>
    <row r="67">
      <c r="A67" s="33" t="n">
        <v>46182</v>
      </c>
      <c r="B67" s="7" t="inlineStr">
        <is>
          <t>Retail APE</t>
        </is>
      </c>
      <c r="C67" s="7" t="inlineStr">
        <is>
          <t>May-26</t>
        </is>
      </c>
      <c r="D67" s="35" t="n">
        <v>5.58</v>
      </c>
      <c r="E67" s="32" t="n">
        <v>-0.012</v>
      </c>
      <c r="F67" s="35">
        <f>D67/(1+E67)</f>
        <v/>
      </c>
      <c r="G67" s="7" t="inlineStr">
        <is>
          <t>May-25</t>
        </is>
      </c>
      <c r="H67" s="35" t="n">
        <v>5.65</v>
      </c>
      <c r="I67" s="33" t="n">
        <v>45848</v>
      </c>
      <c r="J67" s="36">
        <f>F67-H67</f>
        <v/>
      </c>
      <c r="K67" s="16">
        <f>0.005/(1+E67)+D67*0.0005/(1+E67)^2+0.005</f>
        <v/>
      </c>
      <c r="L67" s="17">
        <f>IF(ABS(J67)&lt;=K67,"OK",IF(M67&lt;&gt;"","EXPLAINED","CHECK"))</f>
        <v/>
      </c>
      <c r="M67" s="7" t="inlineStr"/>
    </row>
    <row r="68">
      <c r="A68" s="33" t="n">
        <v>46182</v>
      </c>
      <c r="B68" s="7" t="inlineStr">
        <is>
          <t>Retail APE</t>
        </is>
      </c>
      <c r="C68" s="7" t="inlineStr">
        <is>
          <t>Apr-26</t>
        </is>
      </c>
      <c r="D68" s="35" t="n">
        <v>4.6</v>
      </c>
      <c r="E68" s="32" t="n">
        <v>0.23</v>
      </c>
      <c r="F68" s="35">
        <f>D68/(1+E68)</f>
        <v/>
      </c>
      <c r="G68" s="7" t="inlineStr">
        <is>
          <t>Apr-25</t>
        </is>
      </c>
      <c r="H68" s="35" t="n">
        <v>3.74</v>
      </c>
      <c r="I68" s="33" t="n">
        <v>45848</v>
      </c>
      <c r="J68" s="36">
        <f>F68-H68</f>
        <v/>
      </c>
      <c r="K68" s="16">
        <f>0.005/(1+E68)+D68*0.0005/(1+E68)^2+0.005</f>
        <v/>
      </c>
      <c r="L68" s="17">
        <f>IF(ABS(J68)&lt;=K68,"OK",IF(M68&lt;&gt;"","EXPLAINED","CHECK"))</f>
        <v/>
      </c>
      <c r="M68" s="7" t="inlineStr"/>
    </row>
    <row r="69">
      <c r="A69" s="33" t="n">
        <v>46182</v>
      </c>
      <c r="B69" s="7" t="inlineStr">
        <is>
          <t>APE</t>
        </is>
      </c>
      <c r="C69" s="7" t="inlineStr">
        <is>
          <t>FY2026</t>
        </is>
      </c>
      <c r="D69" s="35" t="n">
        <v>106.41</v>
      </c>
      <c r="E69" s="32" t="n">
        <v>0.022</v>
      </c>
      <c r="F69" s="35">
        <f>D69/(1+E69)</f>
        <v/>
      </c>
      <c r="G69" s="7" t="inlineStr">
        <is>
          <t>FY2025</t>
        </is>
      </c>
      <c r="H69" s="35" t="n">
        <v>104.07</v>
      </c>
      <c r="I69" s="33" t="n">
        <v>46090</v>
      </c>
      <c r="J69" s="36">
        <f>F69-H69</f>
        <v/>
      </c>
      <c r="K69" s="16">
        <f>0.005/(1+E69)+D69*0.0005/(1+E69)^2+0.005</f>
        <v/>
      </c>
      <c r="L69" s="17">
        <f>IF(ABS(J69)&lt;=K69,"OK",IF(M69&lt;&gt;"","EXPLAINED","CHECK"))</f>
        <v/>
      </c>
      <c r="M69" s="7" t="inlineStr"/>
    </row>
    <row r="70">
      <c r="A70" s="33" t="n">
        <v>46182</v>
      </c>
      <c r="B70" s="7" t="inlineStr">
        <is>
          <t>APE</t>
        </is>
      </c>
      <c r="C70" s="7" t="inlineStr">
        <is>
          <t>May-26</t>
        </is>
      </c>
      <c r="D70" s="35" t="n">
        <v>7.22</v>
      </c>
      <c r="E70" s="32" t="n">
        <v>0.073</v>
      </c>
      <c r="F70" s="35">
        <f>D70/(1+E70)</f>
        <v/>
      </c>
      <c r="G70" s="7" t="inlineStr">
        <is>
          <t>May-25</t>
        </is>
      </c>
      <c r="H70" s="35" t="n">
        <v>6.73</v>
      </c>
      <c r="I70" s="33" t="n">
        <v>45848</v>
      </c>
      <c r="J70" s="36">
        <f>F70-H70</f>
        <v/>
      </c>
      <c r="K70" s="16">
        <f>0.005/(1+E70)+D70*0.0005/(1+E70)^2+0.005</f>
        <v/>
      </c>
      <c r="L70" s="17">
        <f>IF(ABS(J70)&lt;=K70,"OK",IF(M70&lt;&gt;"","EXPLAINED","CHECK"))</f>
        <v/>
      </c>
      <c r="M70" s="7" t="inlineStr"/>
    </row>
    <row r="71">
      <c r="A71" s="33" t="n">
        <v>46182</v>
      </c>
      <c r="B71" s="7" t="inlineStr">
        <is>
          <t>APE</t>
        </is>
      </c>
      <c r="C71" s="7" t="inlineStr">
        <is>
          <t>Apr-26</t>
        </is>
      </c>
      <c r="D71" s="35" t="n">
        <v>6.18</v>
      </c>
      <c r="E71" s="32" t="n">
        <v>0.241</v>
      </c>
      <c r="F71" s="35">
        <f>D71/(1+E71)</f>
        <v/>
      </c>
      <c r="G71" s="7" t="inlineStr">
        <is>
          <t>Apr-25</t>
        </is>
      </c>
      <c r="H71" s="35" t="n">
        <v>4.98</v>
      </c>
      <c r="I71" s="33" t="n">
        <v>45848</v>
      </c>
      <c r="J71" s="36">
        <f>F71-H71</f>
        <v/>
      </c>
      <c r="K71" s="16">
        <f>0.005/(1+E71)+D71*0.0005/(1+E71)^2+0.005</f>
        <v/>
      </c>
      <c r="L71" s="17">
        <f>IF(ABS(J71)&lt;=K71,"OK",IF(M71&lt;&gt;"","EXPLAINED","CHECK"))</f>
        <v/>
      </c>
      <c r="M71" s="7" t="inlineStr"/>
    </row>
    <row r="72">
      <c r="A72" s="33" t="n">
        <v>46182</v>
      </c>
      <c r="B72" s="7" t="inlineStr">
        <is>
          <t>RWRP</t>
        </is>
      </c>
      <c r="C72" s="7" t="inlineStr">
        <is>
          <t>FY2026</t>
        </is>
      </c>
      <c r="D72" s="35" t="n">
        <v>82.06</v>
      </c>
      <c r="E72" s="32" t="n">
        <v>-0.012</v>
      </c>
      <c r="F72" s="35">
        <f>D72/(1+E72)</f>
        <v/>
      </c>
      <c r="G72" s="7" t="inlineStr">
        <is>
          <t>FY2025</t>
        </is>
      </c>
      <c r="H72" s="35" t="n">
        <v>83.06999999999999</v>
      </c>
      <c r="I72" s="33" t="n">
        <v>46090</v>
      </c>
      <c r="J72" s="36">
        <f>F72-H72</f>
        <v/>
      </c>
      <c r="K72" s="16">
        <f>0.005/(1+E72)+D72*0.0005/(1+E72)^2+0.005</f>
        <v/>
      </c>
      <c r="L72" s="17">
        <f>IF(ABS(J72)&lt;=K72,"OK",IF(M72&lt;&gt;"","EXPLAINED","CHECK"))</f>
        <v/>
      </c>
      <c r="M72" s="7" t="inlineStr"/>
    </row>
    <row r="73">
      <c r="A73" s="33" t="n">
        <v>46182</v>
      </c>
      <c r="B73" s="7" t="inlineStr">
        <is>
          <t>RWRP</t>
        </is>
      </c>
      <c r="C73" s="7" t="inlineStr">
        <is>
          <t>May-26</t>
        </is>
      </c>
      <c r="D73" s="35" t="n">
        <v>4.94</v>
      </c>
      <c r="E73" s="32" t="n">
        <v>0.062</v>
      </c>
      <c r="F73" s="35">
        <f>D73/(1+E73)</f>
        <v/>
      </c>
      <c r="G73" s="7" t="inlineStr">
        <is>
          <t>May-25</t>
        </is>
      </c>
      <c r="H73" s="35" t="n">
        <v>4.65</v>
      </c>
      <c r="I73" s="33" t="n">
        <v>45848</v>
      </c>
      <c r="J73" s="36">
        <f>F73-H73</f>
        <v/>
      </c>
      <c r="K73" s="16">
        <f>0.005/(1+E73)+D73*0.0005/(1+E73)^2+0.005</f>
        <v/>
      </c>
      <c r="L73" s="17">
        <f>IF(ABS(J73)&lt;=K73,"OK",IF(M73&lt;&gt;"","EXPLAINED","CHECK"))</f>
        <v/>
      </c>
      <c r="M73" s="7" t="inlineStr"/>
    </row>
    <row r="74">
      <c r="A74" s="33" t="n">
        <v>46182</v>
      </c>
      <c r="B74" s="7" t="inlineStr">
        <is>
          <t>RWRP</t>
        </is>
      </c>
      <c r="C74" s="7" t="inlineStr">
        <is>
          <t>Apr-26</t>
        </is>
      </c>
      <c r="D74" s="35" t="n">
        <v>4.21</v>
      </c>
      <c r="E74" s="32" t="n">
        <v>0.246</v>
      </c>
      <c r="F74" s="35">
        <f>D74/(1+E74)</f>
        <v/>
      </c>
      <c r="G74" s="7" t="inlineStr">
        <is>
          <t>Apr-25</t>
        </is>
      </c>
      <c r="H74" s="35" t="n">
        <v>3.38</v>
      </c>
      <c r="I74" s="33" t="n">
        <v>45848</v>
      </c>
      <c r="J74" s="36">
        <f>F74-H74</f>
        <v/>
      </c>
      <c r="K74" s="16">
        <f>0.005/(1+E74)+D74*0.0005/(1+E74)^2+0.005</f>
        <v/>
      </c>
      <c r="L74" s="17">
        <f>IF(ABS(J74)&lt;=K74,"OK",IF(M74&lt;&gt;"","EXPLAINED","CHECK"))</f>
        <v/>
      </c>
      <c r="M74" s="7" t="inlineStr"/>
    </row>
    <row r="75">
      <c r="A75" s="33" t="n">
        <v>46150</v>
      </c>
      <c r="B75" s="7" t="inlineStr">
        <is>
          <t>NB Sum Assured</t>
        </is>
      </c>
      <c r="C75" s="7" t="inlineStr">
        <is>
          <t>FY2026</t>
        </is>
      </c>
      <c r="D75" s="35" t="n">
        <v>14502.24</v>
      </c>
      <c r="E75" s="32" t="n">
        <v>0.214</v>
      </c>
      <c r="F75" s="35">
        <f>D75/(1+E75)</f>
        <v/>
      </c>
      <c r="G75" s="7" t="inlineStr">
        <is>
          <t>FY2025</t>
        </is>
      </c>
      <c r="H75" s="35" t="n">
        <v>11944.01</v>
      </c>
      <c r="I75" s="33" t="n">
        <v>46090</v>
      </c>
      <c r="J75" s="36">
        <f>F75-H75</f>
        <v/>
      </c>
      <c r="K75" s="16">
        <f>0.005/(1+E75)+D75*0.0005/(1+E75)^2+0.005</f>
        <v/>
      </c>
      <c r="L75" s="17">
        <f>IF(ABS(J75)&lt;=K75,"OK",IF(M75&lt;&gt;"","EXPLAINED","CHECK"))</f>
        <v/>
      </c>
      <c r="M75" s="7" t="inlineStr"/>
    </row>
    <row r="76">
      <c r="A76" s="33" t="n">
        <v>46150</v>
      </c>
      <c r="B76" s="7" t="inlineStr">
        <is>
          <t>NB Sum Assured</t>
        </is>
      </c>
      <c r="C76" s="7" t="inlineStr">
        <is>
          <t>Apr-26</t>
        </is>
      </c>
      <c r="D76" s="35" t="n">
        <v>1776.83</v>
      </c>
      <c r="E76" s="32" t="n">
        <v>0.029</v>
      </c>
      <c r="F76" s="35">
        <f>D76/(1+E76)</f>
        <v/>
      </c>
      <c r="G76" s="7" t="inlineStr">
        <is>
          <t>Apr-25</t>
        </is>
      </c>
      <c r="H76" s="35" t="n">
        <v>1727.22</v>
      </c>
      <c r="I76" s="33" t="n">
        <v>45848</v>
      </c>
      <c r="J76" s="36">
        <f>F76-H76</f>
        <v/>
      </c>
      <c r="K76" s="16">
        <f>0.005/(1+E76)+D76*0.0005/(1+E76)^2+0.005</f>
        <v/>
      </c>
      <c r="L76" s="17">
        <f>IF(ABS(J76)&lt;=K76,"OK",IF(M76&lt;&gt;"","EXPLAINED","CHECK"))</f>
        <v/>
      </c>
      <c r="M76" s="7" t="inlineStr"/>
    </row>
    <row r="77">
      <c r="A77" s="33" t="n">
        <v>46150</v>
      </c>
      <c r="B77" s="7" t="inlineStr">
        <is>
          <t>NB Premium</t>
        </is>
      </c>
      <c r="C77" s="7" t="inlineStr">
        <is>
          <t>FY2026</t>
        </is>
      </c>
      <c r="D77" s="35" t="n">
        <v>248.1</v>
      </c>
      <c r="E77" s="32" t="n">
        <v>0.099</v>
      </c>
      <c r="F77" s="35">
        <f>D77/(1+E77)</f>
        <v/>
      </c>
      <c r="G77" s="7" t="inlineStr">
        <is>
          <t>FY2025</t>
        </is>
      </c>
      <c r="H77" s="35" t="n">
        <v>225.83</v>
      </c>
      <c r="I77" s="33" t="n">
        <v>46090</v>
      </c>
      <c r="J77" s="36">
        <f>F77-H77</f>
        <v/>
      </c>
      <c r="K77" s="16">
        <f>0.005/(1+E77)+D77*0.0005/(1+E77)^2+0.005</f>
        <v/>
      </c>
      <c r="L77" s="17">
        <f>IF(ABS(J77)&lt;=K77,"OK",IF(M77&lt;&gt;"","EXPLAINED","CHECK"))</f>
        <v/>
      </c>
      <c r="M77" s="7" t="inlineStr"/>
    </row>
    <row r="78">
      <c r="A78" s="33" t="n">
        <v>46150</v>
      </c>
      <c r="B78" s="7" t="inlineStr">
        <is>
          <t>NB Premium</t>
        </is>
      </c>
      <c r="C78" s="7" t="inlineStr">
        <is>
          <t>Apr-26</t>
        </is>
      </c>
      <c r="D78" s="35" t="n">
        <v>12.96</v>
      </c>
      <c r="E78" s="32" t="n">
        <v>0.256</v>
      </c>
      <c r="F78" s="35">
        <f>D78/(1+E78)</f>
        <v/>
      </c>
      <c r="G78" s="7" t="inlineStr">
        <is>
          <t>Apr-25</t>
        </is>
      </c>
      <c r="H78" s="35" t="n">
        <v>10.32</v>
      </c>
      <c r="I78" s="33" t="n">
        <v>45848</v>
      </c>
      <c r="J78" s="36">
        <f>F78-H78</f>
        <v/>
      </c>
      <c r="K78" s="16">
        <f>0.005/(1+E78)+D78*0.0005/(1+E78)^2+0.005</f>
        <v/>
      </c>
      <c r="L78" s="17">
        <f>IF(ABS(J78)&lt;=K78,"OK",IF(M78&lt;&gt;"","EXPLAINED","CHECK"))</f>
        <v/>
      </c>
      <c r="M78" s="7" t="inlineStr"/>
    </row>
    <row r="79">
      <c r="A79" s="33" t="n">
        <v>46150</v>
      </c>
      <c r="B79" s="7" t="inlineStr">
        <is>
          <t>Retail APE</t>
        </is>
      </c>
      <c r="C79" s="7" t="inlineStr">
        <is>
          <t>FY2026</t>
        </is>
      </c>
      <c r="D79" s="35" t="n">
        <v>86.92</v>
      </c>
      <c r="E79" s="32" t="n">
        <v>-0.001</v>
      </c>
      <c r="F79" s="35">
        <f>D79/(1+E79)</f>
        <v/>
      </c>
      <c r="G79" s="7" t="inlineStr">
        <is>
          <t>FY2025</t>
        </is>
      </c>
      <c r="H79" s="35" t="n">
        <v>87.05</v>
      </c>
      <c r="I79" s="33" t="n">
        <v>46090</v>
      </c>
      <c r="J79" s="36">
        <f>F79-H79</f>
        <v/>
      </c>
      <c r="K79" s="16">
        <f>0.005/(1+E79)+D79*0.0005/(1+E79)^2+0.005</f>
        <v/>
      </c>
      <c r="L79" s="17">
        <f>IF(ABS(J79)&lt;=K79,"OK",IF(M79&lt;&gt;"","EXPLAINED","CHECK"))</f>
        <v/>
      </c>
      <c r="M79" s="7" t="inlineStr"/>
    </row>
    <row r="80">
      <c r="A80" s="33" t="n">
        <v>46150</v>
      </c>
      <c r="B80" s="7" t="inlineStr">
        <is>
          <t>Retail APE</t>
        </is>
      </c>
      <c r="C80" s="7" t="inlineStr">
        <is>
          <t>Apr-26</t>
        </is>
      </c>
      <c r="D80" s="35" t="n">
        <v>4.6</v>
      </c>
      <c r="E80" s="32" t="n">
        <v>0.23</v>
      </c>
      <c r="F80" s="35">
        <f>D80/(1+E80)</f>
        <v/>
      </c>
      <c r="G80" s="7" t="inlineStr">
        <is>
          <t>Apr-25</t>
        </is>
      </c>
      <c r="H80" s="35" t="n">
        <v>3.74</v>
      </c>
      <c r="I80" s="33" t="n">
        <v>45848</v>
      </c>
      <c r="J80" s="36">
        <f>F80-H80</f>
        <v/>
      </c>
      <c r="K80" s="16">
        <f>0.005/(1+E80)+D80*0.0005/(1+E80)^2+0.005</f>
        <v/>
      </c>
      <c r="L80" s="17">
        <f>IF(ABS(J80)&lt;=K80,"OK",IF(M80&lt;&gt;"","EXPLAINED","CHECK"))</f>
        <v/>
      </c>
      <c r="M80" s="7" t="inlineStr"/>
    </row>
    <row r="81">
      <c r="A81" s="33" t="n">
        <v>46150</v>
      </c>
      <c r="B81" s="7" t="inlineStr">
        <is>
          <t>APE</t>
        </is>
      </c>
      <c r="C81" s="7" t="inlineStr">
        <is>
          <t>FY2026</t>
        </is>
      </c>
      <c r="D81" s="35" t="n">
        <v>106.41</v>
      </c>
      <c r="E81" s="32" t="n">
        <v>0.022</v>
      </c>
      <c r="F81" s="35">
        <f>D81/(1+E81)</f>
        <v/>
      </c>
      <c r="G81" s="7" t="inlineStr">
        <is>
          <t>FY2025</t>
        </is>
      </c>
      <c r="H81" s="35" t="n">
        <v>104.07</v>
      </c>
      <c r="I81" s="33" t="n">
        <v>46090</v>
      </c>
      <c r="J81" s="36">
        <f>F81-H81</f>
        <v/>
      </c>
      <c r="K81" s="16">
        <f>0.005/(1+E81)+D81*0.0005/(1+E81)^2+0.005</f>
        <v/>
      </c>
      <c r="L81" s="17">
        <f>IF(ABS(J81)&lt;=K81,"OK",IF(M81&lt;&gt;"","EXPLAINED","CHECK"))</f>
        <v/>
      </c>
      <c r="M81" s="7" t="inlineStr"/>
    </row>
    <row r="82">
      <c r="A82" s="33" t="n">
        <v>46150</v>
      </c>
      <c r="B82" s="7" t="inlineStr">
        <is>
          <t>APE</t>
        </is>
      </c>
      <c r="C82" s="7" t="inlineStr">
        <is>
          <t>Apr-26</t>
        </is>
      </c>
      <c r="D82" s="35" t="n">
        <v>6.18</v>
      </c>
      <c r="E82" s="32" t="n">
        <v>0.241</v>
      </c>
      <c r="F82" s="35">
        <f>D82/(1+E82)</f>
        <v/>
      </c>
      <c r="G82" s="7" t="inlineStr">
        <is>
          <t>Apr-25</t>
        </is>
      </c>
      <c r="H82" s="35" t="n">
        <v>4.98</v>
      </c>
      <c r="I82" s="33" t="n">
        <v>45848</v>
      </c>
      <c r="J82" s="36">
        <f>F82-H82</f>
        <v/>
      </c>
      <c r="K82" s="16">
        <f>0.005/(1+E82)+D82*0.0005/(1+E82)^2+0.005</f>
        <v/>
      </c>
      <c r="L82" s="17">
        <f>IF(ABS(J82)&lt;=K82,"OK",IF(M82&lt;&gt;"","EXPLAINED","CHECK"))</f>
        <v/>
      </c>
      <c r="M82" s="7" t="inlineStr"/>
    </row>
    <row r="83">
      <c r="A83" s="33" t="n">
        <v>46150</v>
      </c>
      <c r="B83" s="7" t="inlineStr">
        <is>
          <t>RWRP</t>
        </is>
      </c>
      <c r="C83" s="7" t="inlineStr">
        <is>
          <t>FY2026</t>
        </is>
      </c>
      <c r="D83" s="35" t="n">
        <v>82.06</v>
      </c>
      <c r="E83" s="32" t="n">
        <v>-0.012</v>
      </c>
      <c r="F83" s="35">
        <f>D83/(1+E83)</f>
        <v/>
      </c>
      <c r="G83" s="7" t="inlineStr">
        <is>
          <t>FY2025</t>
        </is>
      </c>
      <c r="H83" s="35" t="n">
        <v>83.06999999999999</v>
      </c>
      <c r="I83" s="33" t="n">
        <v>46090</v>
      </c>
      <c r="J83" s="36">
        <f>F83-H83</f>
        <v/>
      </c>
      <c r="K83" s="16">
        <f>0.005/(1+E83)+D83*0.0005/(1+E83)^2+0.005</f>
        <v/>
      </c>
      <c r="L83" s="17">
        <f>IF(ABS(J83)&lt;=K83,"OK",IF(M83&lt;&gt;"","EXPLAINED","CHECK"))</f>
        <v/>
      </c>
      <c r="M83" s="7" t="inlineStr"/>
    </row>
    <row r="84">
      <c r="A84" s="33" t="n">
        <v>46150</v>
      </c>
      <c r="B84" s="7" t="inlineStr">
        <is>
          <t>RWRP</t>
        </is>
      </c>
      <c r="C84" s="7" t="inlineStr">
        <is>
          <t>Apr-26</t>
        </is>
      </c>
      <c r="D84" s="35" t="n">
        <v>4.21</v>
      </c>
      <c r="E84" s="32" t="n">
        <v>0.246</v>
      </c>
      <c r="F84" s="35">
        <f>D84/(1+E84)</f>
        <v/>
      </c>
      <c r="G84" s="7" t="inlineStr">
        <is>
          <t>Apr-25</t>
        </is>
      </c>
      <c r="H84" s="35" t="n">
        <v>3.38</v>
      </c>
      <c r="I84" s="33" t="n">
        <v>45848</v>
      </c>
      <c r="J84" s="36">
        <f>F84-H84</f>
        <v/>
      </c>
      <c r="K84" s="16">
        <f>0.005/(1+E84)+D84*0.0005/(1+E84)^2+0.005</f>
        <v/>
      </c>
      <c r="L84" s="17">
        <f>IF(ABS(J84)&lt;=K84,"OK",IF(M84&lt;&gt;"","EXPLAINED","CHECK"))</f>
        <v/>
      </c>
      <c r="M84" s="7" t="inlineStr"/>
    </row>
    <row r="85">
      <c r="A85" s="33" t="n">
        <v>46090</v>
      </c>
      <c r="B85" s="7" t="inlineStr">
        <is>
          <t>NB Sum Assured</t>
        </is>
      </c>
      <c r="C85" s="7" t="inlineStr">
        <is>
          <t>Q3-FY2026</t>
        </is>
      </c>
      <c r="D85" s="35" t="n">
        <v>3389.38</v>
      </c>
      <c r="E85" s="32" t="n">
        <v>0.155</v>
      </c>
      <c r="F85" s="35">
        <f>D85/(1+E85)</f>
        <v/>
      </c>
      <c r="G85" s="7" t="inlineStr">
        <is>
          <t>Q3-FY2025</t>
        </is>
      </c>
      <c r="H85" s="35" t="n">
        <v>2933.38</v>
      </c>
      <c r="I85" s="33" t="n">
        <v>45727</v>
      </c>
      <c r="J85" s="36">
        <f>F85-H85</f>
        <v/>
      </c>
      <c r="K85" s="16">
        <f>0.005/(1+E85)+D85*0.0005/(1+E85)^2+0.005</f>
        <v/>
      </c>
      <c r="L85" s="17">
        <f>IF(ABS(J85)&lt;=K85,"OK",IF(M85&lt;&gt;"","EXPLAINED","CHECK"))</f>
        <v/>
      </c>
      <c r="M85" s="7" t="inlineStr"/>
    </row>
    <row r="86">
      <c r="A86" s="33" t="n">
        <v>46090</v>
      </c>
      <c r="B86" s="7" t="inlineStr">
        <is>
          <t>NB Sum Assured</t>
        </is>
      </c>
      <c r="C86" s="7" t="inlineStr">
        <is>
          <t>FY2025</t>
        </is>
      </c>
      <c r="D86" s="35" t="n">
        <v>11944.01</v>
      </c>
      <c r="E86" s="32" t="n">
        <v>0.169</v>
      </c>
      <c r="F86" s="35">
        <f>D86/(1+E86)</f>
        <v/>
      </c>
      <c r="G86" s="7" t="inlineStr">
        <is>
          <t>FY2024</t>
        </is>
      </c>
      <c r="H86" s="35" t="n">
        <v>10221.11</v>
      </c>
      <c r="I86" s="33" t="n">
        <v>45727</v>
      </c>
      <c r="J86" s="36">
        <f>F86-H86</f>
        <v/>
      </c>
      <c r="K86" s="16">
        <f>0.005/(1+E86)+D86*0.0005/(1+E86)^2+0.005</f>
        <v/>
      </c>
      <c r="L86" s="17">
        <f>IF(ABS(J86)&lt;=K86,"OK",IF(M86&lt;&gt;"","EXPLAINED","CHECK"))</f>
        <v/>
      </c>
      <c r="M86" s="7" t="inlineStr"/>
    </row>
    <row r="87">
      <c r="A87" s="33" t="n">
        <v>46090</v>
      </c>
      <c r="B87" s="7" t="inlineStr">
        <is>
          <t>NB Sum Assured</t>
        </is>
      </c>
      <c r="C87" s="7" t="inlineStr">
        <is>
          <t>11M-FY2026</t>
        </is>
      </c>
      <c r="D87" s="35" t="n">
        <v>12912.94</v>
      </c>
      <c r="E87" s="32" t="n">
        <v>0.19</v>
      </c>
      <c r="F87" s="35">
        <f>D87/(1+E87)</f>
        <v/>
      </c>
      <c r="G87" s="7" t="inlineStr">
        <is>
          <t>11M-FY2025</t>
        </is>
      </c>
      <c r="H87" s="35" t="n">
        <v>10849.97</v>
      </c>
      <c r="I87" s="33" t="n">
        <v>45727</v>
      </c>
      <c r="J87" s="36">
        <f>F87-H87</f>
        <v/>
      </c>
      <c r="K87" s="16">
        <f>0.005/(1+E87)+D87*0.0005/(1+E87)^2+0.005</f>
        <v/>
      </c>
      <c r="L87" s="17">
        <f>IF(ABS(J87)&lt;=K87,"OK",IF(M87&lt;&gt;"","EXPLAINED","CHECK"))</f>
        <v/>
      </c>
      <c r="M87" s="7" t="inlineStr"/>
    </row>
    <row r="88">
      <c r="A88" s="33" t="n">
        <v>46090</v>
      </c>
      <c r="B88" s="7" t="inlineStr">
        <is>
          <t>NB Sum Assured</t>
        </is>
      </c>
      <c r="C88" s="7" t="inlineStr">
        <is>
          <t>Feb-26</t>
        </is>
      </c>
      <c r="D88" s="35" t="n">
        <v>1096.13</v>
      </c>
      <c r="E88" s="32" t="n">
        <v>0.315</v>
      </c>
      <c r="F88" s="35">
        <f>D88/(1+E88)</f>
        <v/>
      </c>
      <c r="G88" s="7" t="inlineStr">
        <is>
          <t>Feb-25</t>
        </is>
      </c>
      <c r="H88" s="35" t="n">
        <v>833.74</v>
      </c>
      <c r="I88" s="33" t="n">
        <v>45727</v>
      </c>
      <c r="J88" s="36">
        <f>F88-H88</f>
        <v/>
      </c>
      <c r="K88" s="16">
        <f>0.005/(1+E88)+D88*0.0005/(1+E88)^2+0.005</f>
        <v/>
      </c>
      <c r="L88" s="17">
        <f>IF(ABS(J88)&lt;=K88,"OK",IF(M88&lt;&gt;"","EXPLAINED","CHECK"))</f>
        <v/>
      </c>
      <c r="M88" s="7" t="inlineStr"/>
    </row>
    <row r="89">
      <c r="A89" s="33" t="n">
        <v>46090</v>
      </c>
      <c r="B89" s="7" t="inlineStr">
        <is>
          <t>NB Sum Assured</t>
        </is>
      </c>
      <c r="C89" s="7" t="inlineStr">
        <is>
          <t>Jan-26</t>
        </is>
      </c>
      <c r="D89" s="35" t="n">
        <v>1656.71</v>
      </c>
      <c r="E89" s="32" t="n">
        <v>0.175</v>
      </c>
      <c r="F89" s="35">
        <f>D89/(1+E89)</f>
        <v/>
      </c>
      <c r="G89" s="7" t="inlineStr">
        <is>
          <t>Jan-25</t>
        </is>
      </c>
      <c r="H89" s="35" t="n">
        <v>1409.83</v>
      </c>
      <c r="I89" s="33" t="n">
        <v>45727</v>
      </c>
      <c r="J89" s="36">
        <f>F89-H89</f>
        <v/>
      </c>
      <c r="K89" s="16">
        <f>0.005/(1+E89)+D89*0.0005/(1+E89)^2+0.005</f>
        <v/>
      </c>
      <c r="L89" s="17">
        <f>IF(ABS(J89)&lt;=K89,"OK",IF(M89&lt;&gt;"","EXPLAINED","CHECK"))</f>
        <v/>
      </c>
      <c r="M89" s="7" t="inlineStr"/>
    </row>
    <row r="90">
      <c r="A90" s="33" t="n">
        <v>46090</v>
      </c>
      <c r="B90" s="7" t="inlineStr">
        <is>
          <t>NB Premium</t>
        </is>
      </c>
      <c r="C90" s="7" t="inlineStr">
        <is>
          <t>Q3-FY2026</t>
        </is>
      </c>
      <c r="D90" s="35" t="n">
        <v>56.34</v>
      </c>
      <c r="E90" s="32" t="n">
        <v>-0.125</v>
      </c>
      <c r="F90" s="35">
        <f>D90/(1+E90)</f>
        <v/>
      </c>
      <c r="G90" s="7" t="inlineStr">
        <is>
          <t>Q3-FY2025</t>
        </is>
      </c>
      <c r="H90" s="35" t="n">
        <v>64.42</v>
      </c>
      <c r="I90" s="33" t="n">
        <v>45727</v>
      </c>
      <c r="J90" s="36">
        <f>F90-H90</f>
        <v/>
      </c>
      <c r="K90" s="16">
        <f>0.005/(1+E90)+D90*0.0005/(1+E90)^2+0.005</f>
        <v/>
      </c>
      <c r="L90" s="17">
        <f>IF(ABS(J90)&lt;=K90,"OK",IF(M90&lt;&gt;"","EXPLAINED","CHECK"))</f>
        <v/>
      </c>
      <c r="M90" s="7" t="inlineStr"/>
    </row>
    <row r="91">
      <c r="A91" s="33" t="n">
        <v>46090</v>
      </c>
      <c r="B91" s="7" t="inlineStr">
        <is>
          <t>NB Premium</t>
        </is>
      </c>
      <c r="C91" s="7" t="inlineStr">
        <is>
          <t>FY2025</t>
        </is>
      </c>
      <c r="D91" s="35" t="n">
        <v>225.83</v>
      </c>
      <c r="E91" s="32" t="n">
        <v>0.249</v>
      </c>
      <c r="F91" s="35">
        <f>D91/(1+E91)</f>
        <v/>
      </c>
      <c r="G91" s="7" t="inlineStr">
        <is>
          <t>FY2024</t>
        </is>
      </c>
      <c r="H91" s="35" t="n">
        <v>180.81</v>
      </c>
      <c r="I91" s="33" t="n">
        <v>45727</v>
      </c>
      <c r="J91" s="36">
        <f>F91-H91</f>
        <v/>
      </c>
      <c r="K91" s="16">
        <f>0.005/(1+E91)+D91*0.0005/(1+E91)^2+0.005</f>
        <v/>
      </c>
      <c r="L91" s="17">
        <f>IF(ABS(J91)&lt;=K91,"OK",IF(M91&lt;&gt;"","EXPLAINED","CHECK"))</f>
        <v/>
      </c>
      <c r="M91" s="7" t="inlineStr"/>
    </row>
    <row r="92">
      <c r="A92" s="33" t="n">
        <v>46090</v>
      </c>
      <c r="B92" s="7" t="inlineStr">
        <is>
          <t>NB Premium</t>
        </is>
      </c>
      <c r="C92" s="7" t="inlineStr">
        <is>
          <t>11M-FY2026</t>
        </is>
      </c>
      <c r="D92" s="35" t="n">
        <v>192.29</v>
      </c>
      <c r="E92" s="32" t="n">
        <v>0.024</v>
      </c>
      <c r="F92" s="35">
        <f>D92/(1+E92)</f>
        <v/>
      </c>
      <c r="G92" s="7" t="inlineStr">
        <is>
          <t>11M-FY2025</t>
        </is>
      </c>
      <c r="H92" s="35" t="n">
        <v>187.74</v>
      </c>
      <c r="I92" s="33" t="n">
        <v>45727</v>
      </c>
      <c r="J92" s="36">
        <f>F92-H92</f>
        <v/>
      </c>
      <c r="K92" s="16">
        <f>0.005/(1+E92)+D92*0.0005/(1+E92)^2+0.005</f>
        <v/>
      </c>
      <c r="L92" s="17">
        <f>IF(ABS(J92)&lt;=K92,"OK",IF(M92&lt;&gt;"","EXPLAINED","CHECK"))</f>
        <v/>
      </c>
      <c r="M92" s="7" t="inlineStr"/>
    </row>
    <row r="93">
      <c r="A93" s="33" t="n">
        <v>46090</v>
      </c>
      <c r="B93" s="7" t="inlineStr">
        <is>
          <t>NB Premium</t>
        </is>
      </c>
      <c r="C93" s="7" t="inlineStr">
        <is>
          <t>Feb-26</t>
        </is>
      </c>
      <c r="D93" s="35" t="n">
        <v>21.48</v>
      </c>
      <c r="E93" s="32" t="n">
        <v>0.157</v>
      </c>
      <c r="F93" s="35">
        <f>D93/(1+E93)</f>
        <v/>
      </c>
      <c r="G93" s="7" t="inlineStr">
        <is>
          <t>Feb-25</t>
        </is>
      </c>
      <c r="H93" s="35" t="n">
        <v>18.57</v>
      </c>
      <c r="I93" s="33" t="n">
        <v>45727</v>
      </c>
      <c r="J93" s="36">
        <f>F93-H93</f>
        <v/>
      </c>
      <c r="K93" s="16">
        <f>0.005/(1+E93)+D93*0.0005/(1+E93)^2+0.005</f>
        <v/>
      </c>
      <c r="L93" s="17">
        <f>IF(ABS(J93)&lt;=K93,"OK",IF(M93&lt;&gt;"","EXPLAINED","CHECK"))</f>
        <v/>
      </c>
      <c r="M93" s="7" t="inlineStr"/>
    </row>
    <row r="94">
      <c r="A94" s="33" t="n">
        <v>46090</v>
      </c>
      <c r="B94" s="7" t="inlineStr">
        <is>
          <t>NB Premium</t>
        </is>
      </c>
      <c r="C94" s="7" t="inlineStr">
        <is>
          <t>Jan-26</t>
        </is>
      </c>
      <c r="D94" s="35" t="n">
        <v>19.9</v>
      </c>
      <c r="E94" s="32" t="n">
        <v>0.12</v>
      </c>
      <c r="F94" s="35">
        <f>D94/(1+E94)</f>
        <v/>
      </c>
      <c r="G94" s="7" t="inlineStr">
        <is>
          <t>Jan-25</t>
        </is>
      </c>
      <c r="H94" s="35" t="n">
        <v>17.78</v>
      </c>
      <c r="I94" s="33" t="n">
        <v>45727</v>
      </c>
      <c r="J94" s="36">
        <f>F94-H94</f>
        <v/>
      </c>
      <c r="K94" s="16">
        <f>0.005/(1+E94)+D94*0.0005/(1+E94)^2+0.005</f>
        <v/>
      </c>
      <c r="L94" s="17">
        <f>IF(ABS(J94)&lt;=K94,"OK",IF(M94&lt;&gt;"","EXPLAINED","CHECK"))</f>
        <v/>
      </c>
      <c r="M94" s="7" t="inlineStr"/>
    </row>
    <row r="95">
      <c r="A95" s="33" t="n">
        <v>46090</v>
      </c>
      <c r="B95" s="7" t="inlineStr">
        <is>
          <t>Retail APE</t>
        </is>
      </c>
      <c r="C95" s="7" t="inlineStr">
        <is>
          <t>Q3-FY2026</t>
        </is>
      </c>
      <c r="D95" s="35" t="n">
        <v>21.16</v>
      </c>
      <c r="E95" s="32" t="n">
        <v>0.099</v>
      </c>
      <c r="F95" s="35">
        <f>D95/(1+E95)</f>
        <v/>
      </c>
      <c r="G95" s="7" t="inlineStr">
        <is>
          <t>Q3-FY2025</t>
        </is>
      </c>
      <c r="H95" s="35" t="n">
        <v>19.26</v>
      </c>
      <c r="I95" s="33" t="n">
        <v>45727</v>
      </c>
      <c r="J95" s="36">
        <f>F95-H95</f>
        <v/>
      </c>
      <c r="K95" s="16">
        <f>0.005/(1+E95)+D95*0.0005/(1+E95)^2+0.005</f>
        <v/>
      </c>
      <c r="L95" s="17">
        <f>IF(ABS(J95)&lt;=K95,"OK",IF(M95&lt;&gt;"","EXPLAINED","CHECK"))</f>
        <v/>
      </c>
      <c r="M95" s="7" t="inlineStr"/>
    </row>
    <row r="96">
      <c r="A96" s="33" t="n">
        <v>46090</v>
      </c>
      <c r="B96" s="7" t="inlineStr">
        <is>
          <t>Retail APE</t>
        </is>
      </c>
      <c r="C96" s="7" t="inlineStr">
        <is>
          <t>FY2025</t>
        </is>
      </c>
      <c r="D96" s="35" t="n">
        <v>87.05</v>
      </c>
      <c r="E96" s="32" t="n">
        <v>0.133</v>
      </c>
      <c r="F96" s="35">
        <f>D96/(1+E96)</f>
        <v/>
      </c>
      <c r="G96" s="7" t="inlineStr">
        <is>
          <t>FY2024</t>
        </is>
      </c>
      <c r="H96" s="35" t="n">
        <v>76.8</v>
      </c>
      <c r="I96" s="33" t="n">
        <v>45727</v>
      </c>
      <c r="J96" s="36">
        <f>F96-H96</f>
        <v/>
      </c>
      <c r="K96" s="16">
        <f>0.005/(1+E96)+D96*0.0005/(1+E96)^2+0.005</f>
        <v/>
      </c>
      <c r="L96" s="17">
        <f>IF(ABS(J96)&lt;=K96,"OK",IF(M96&lt;&gt;"","EXPLAINED","CHECK"))</f>
        <v/>
      </c>
      <c r="M96" s="7" t="inlineStr"/>
    </row>
    <row r="97">
      <c r="A97" s="33" t="n">
        <v>46090</v>
      </c>
      <c r="B97" s="7" t="inlineStr">
        <is>
          <t>Retail APE</t>
        </is>
      </c>
      <c r="C97" s="7" t="inlineStr">
        <is>
          <t>11M-FY2026</t>
        </is>
      </c>
      <c r="D97" s="35" t="n">
        <v>72.91</v>
      </c>
      <c r="E97" s="32" t="n">
        <v>-0.001</v>
      </c>
      <c r="F97" s="35">
        <f>D97/(1+E97)</f>
        <v/>
      </c>
      <c r="G97" s="7" t="inlineStr">
        <is>
          <t>11M-FY2025</t>
        </is>
      </c>
      <c r="H97" s="35" t="n">
        <v>72.95</v>
      </c>
      <c r="I97" s="33" t="n">
        <v>45727</v>
      </c>
      <c r="J97" s="36">
        <f>F97-H97</f>
        <v/>
      </c>
      <c r="K97" s="16">
        <f>0.005/(1+E97)+D97*0.0005/(1+E97)^2+0.005</f>
        <v/>
      </c>
      <c r="L97" s="17">
        <f>IF(ABS(J97)&lt;=K97,"OK",IF(M97&lt;&gt;"","EXPLAINED","CHECK"))</f>
        <v/>
      </c>
      <c r="M97" s="7" t="inlineStr"/>
    </row>
    <row r="98">
      <c r="A98" s="33" t="n">
        <v>46090</v>
      </c>
      <c r="B98" s="7" t="inlineStr">
        <is>
          <t>Retail APE</t>
        </is>
      </c>
      <c r="C98" s="7" t="inlineStr">
        <is>
          <t>Feb-26</t>
        </is>
      </c>
      <c r="D98" s="35" t="n">
        <v>8.380000000000001</v>
      </c>
      <c r="E98" s="32" t="n">
        <v>0.098</v>
      </c>
      <c r="F98" s="35">
        <f>D98/(1+E98)</f>
        <v/>
      </c>
      <c r="G98" s="7" t="inlineStr">
        <is>
          <t>Feb-25</t>
        </is>
      </c>
      <c r="H98" s="35" t="n">
        <v>7.63</v>
      </c>
      <c r="I98" s="33" t="n">
        <v>45727</v>
      </c>
      <c r="J98" s="36">
        <f>F98-H98</f>
        <v/>
      </c>
      <c r="K98" s="16">
        <f>0.005/(1+E98)+D98*0.0005/(1+E98)^2+0.005</f>
        <v/>
      </c>
      <c r="L98" s="17">
        <f>IF(ABS(J98)&lt;=K98,"OK",IF(M98&lt;&gt;"","EXPLAINED","CHECK"))</f>
        <v/>
      </c>
      <c r="M98" s="7" t="inlineStr"/>
    </row>
    <row r="99">
      <c r="A99" s="33" t="n">
        <v>46090</v>
      </c>
      <c r="B99" s="7" t="inlineStr">
        <is>
          <t>Retail APE</t>
        </is>
      </c>
      <c r="C99" s="7" t="inlineStr">
        <is>
          <t>Jan-26</t>
        </is>
      </c>
      <c r="D99" s="35" t="n">
        <v>8.18</v>
      </c>
      <c r="E99" s="32" t="n">
        <v>0.05</v>
      </c>
      <c r="F99" s="35">
        <f>D99/(1+E99)</f>
        <v/>
      </c>
      <c r="G99" s="7" t="inlineStr">
        <is>
          <t>Jan-25</t>
        </is>
      </c>
      <c r="H99" s="35" t="n">
        <v>7.79</v>
      </c>
      <c r="I99" s="33" t="n">
        <v>45727</v>
      </c>
      <c r="J99" s="36">
        <f>F99-H99</f>
        <v/>
      </c>
      <c r="K99" s="16">
        <f>0.005/(1+E99)+D99*0.0005/(1+E99)^2+0.005</f>
        <v/>
      </c>
      <c r="L99" s="17">
        <f>IF(ABS(J99)&lt;=K99,"OK",IF(M99&lt;&gt;"","EXPLAINED","CHECK"))</f>
        <v/>
      </c>
      <c r="M99" s="7" t="inlineStr"/>
    </row>
    <row r="100">
      <c r="A100" s="33" t="n">
        <v>46090</v>
      </c>
      <c r="B100" s="7" t="inlineStr">
        <is>
          <t>APE</t>
        </is>
      </c>
      <c r="C100" s="7" t="inlineStr">
        <is>
          <t>Q3-FY2026</t>
        </is>
      </c>
      <c r="D100" s="35" t="n">
        <v>25.25</v>
      </c>
      <c r="E100" s="32" t="n">
        <v>0.036</v>
      </c>
      <c r="F100" s="35">
        <f>D100/(1+E100)</f>
        <v/>
      </c>
      <c r="G100" s="7" t="inlineStr">
        <is>
          <t>Q3-FY2025</t>
        </is>
      </c>
      <c r="H100" s="35" t="n">
        <v>24.38</v>
      </c>
      <c r="I100" s="33" t="n">
        <v>45727</v>
      </c>
      <c r="J100" s="36">
        <f>F100-H100</f>
        <v/>
      </c>
      <c r="K100" s="16">
        <f>0.005/(1+E100)+D100*0.0005/(1+E100)^2+0.005</f>
        <v/>
      </c>
      <c r="L100" s="17">
        <f>IF(ABS(J100)&lt;=K100,"OK",IF(M100&lt;&gt;"","EXPLAINED","CHECK"))</f>
        <v/>
      </c>
      <c r="M100" s="7" t="inlineStr"/>
    </row>
    <row r="101">
      <c r="A101" s="33" t="n">
        <v>46090</v>
      </c>
      <c r="B101" s="7" t="inlineStr">
        <is>
          <t>APE</t>
        </is>
      </c>
      <c r="C101" s="7" t="inlineStr">
        <is>
          <t>FY2025</t>
        </is>
      </c>
      <c r="D101" s="35" t="n">
        <v>104.07</v>
      </c>
      <c r="E101" s="32" t="n">
        <v>0.15</v>
      </c>
      <c r="F101" s="35">
        <f>D101/(1+E101)</f>
        <v/>
      </c>
      <c r="G101" s="7" t="inlineStr">
        <is>
          <t>FY2024</t>
        </is>
      </c>
      <c r="H101" s="35" t="n">
        <v>90.45999999999999</v>
      </c>
      <c r="I101" s="33" t="n">
        <v>45727</v>
      </c>
      <c r="J101" s="36">
        <f>F101-H101</f>
        <v/>
      </c>
      <c r="K101" s="16">
        <f>0.005/(1+E101)+D101*0.0005/(1+E101)^2+0.005</f>
        <v/>
      </c>
      <c r="L101" s="17">
        <f>IF(ABS(J101)&lt;=K101,"OK",IF(M101&lt;&gt;"","EXPLAINED","CHECK"))</f>
        <v/>
      </c>
      <c r="M101" s="7" t="inlineStr"/>
    </row>
    <row r="102">
      <c r="A102" s="33" t="n">
        <v>46090</v>
      </c>
      <c r="B102" s="7" t="inlineStr">
        <is>
          <t>APE</t>
        </is>
      </c>
      <c r="C102" s="7" t="inlineStr">
        <is>
          <t>11M-FY2026</t>
        </is>
      </c>
      <c r="D102" s="35" t="n">
        <v>87.88</v>
      </c>
      <c r="E102" s="32" t="n">
        <v>0.006</v>
      </c>
      <c r="F102" s="35">
        <f>D102/(1+E102)</f>
        <v/>
      </c>
      <c r="G102" s="7" t="inlineStr">
        <is>
          <t>11M-FY2025</t>
        </is>
      </c>
      <c r="H102" s="35" t="n">
        <v>87.34</v>
      </c>
      <c r="I102" s="33" t="n">
        <v>45727</v>
      </c>
      <c r="J102" s="36">
        <f>F102-H102</f>
        <v/>
      </c>
      <c r="K102" s="16">
        <f>0.005/(1+E102)+D102*0.0005/(1+E102)^2+0.005</f>
        <v/>
      </c>
      <c r="L102" s="17">
        <f>IF(ABS(J102)&lt;=K102,"OK",IF(M102&lt;&gt;"","EXPLAINED","CHECK"))</f>
        <v/>
      </c>
      <c r="M102" s="7" t="inlineStr"/>
    </row>
    <row r="103">
      <c r="A103" s="33" t="n">
        <v>46090</v>
      </c>
      <c r="B103" s="7" t="inlineStr">
        <is>
          <t>APE</t>
        </is>
      </c>
      <c r="C103" s="7" t="inlineStr">
        <is>
          <t>Feb-26</t>
        </is>
      </c>
      <c r="D103" s="35" t="n">
        <v>9.869999999999999</v>
      </c>
      <c r="E103" s="32" t="n">
        <v>0.123</v>
      </c>
      <c r="F103" s="35">
        <f>D103/(1+E103)</f>
        <v/>
      </c>
      <c r="G103" s="7" t="inlineStr">
        <is>
          <t>Feb-25</t>
        </is>
      </c>
      <c r="H103" s="35" t="n">
        <v>8.789999999999999</v>
      </c>
      <c r="I103" s="33" t="n">
        <v>45727</v>
      </c>
      <c r="J103" s="36">
        <f>F103-H103</f>
        <v/>
      </c>
      <c r="K103" s="16">
        <f>0.005/(1+E103)+D103*0.0005/(1+E103)^2+0.005</f>
        <v/>
      </c>
      <c r="L103" s="17">
        <f>IF(ABS(J103)&lt;=K103,"OK",IF(M103&lt;&gt;"","EXPLAINED","CHECK"))</f>
        <v/>
      </c>
      <c r="M103" s="7" t="inlineStr"/>
    </row>
    <row r="104">
      <c r="A104" s="33" t="n">
        <v>46090</v>
      </c>
      <c r="B104" s="7" t="inlineStr">
        <is>
          <t>APE</t>
        </is>
      </c>
      <c r="C104" s="7" t="inlineStr">
        <is>
          <t>Jan-26</t>
        </is>
      </c>
      <c r="D104" s="35" t="n">
        <v>9.9</v>
      </c>
      <c r="E104" s="32" t="n">
        <v>0.04099999999999999</v>
      </c>
      <c r="F104" s="35">
        <f>D104/(1+E104)</f>
        <v/>
      </c>
      <c r="G104" s="7" t="inlineStr">
        <is>
          <t>Jan-25</t>
        </is>
      </c>
      <c r="H104" s="35" t="n">
        <v>9.51</v>
      </c>
      <c r="I104" s="33" t="n">
        <v>45727</v>
      </c>
      <c r="J104" s="36">
        <f>F104-H104</f>
        <v/>
      </c>
      <c r="K104" s="16">
        <f>0.005/(1+E104)+D104*0.0005/(1+E104)^2+0.005</f>
        <v/>
      </c>
      <c r="L104" s="17">
        <f>IF(ABS(J104)&lt;=K104,"OK",IF(M104&lt;&gt;"","EXPLAINED","CHECK"))</f>
        <v/>
      </c>
      <c r="M104" s="7" t="inlineStr"/>
    </row>
    <row r="105">
      <c r="A105" s="33" t="n">
        <v>46090</v>
      </c>
      <c r="B105" s="7" t="inlineStr">
        <is>
          <t>RWRP</t>
        </is>
      </c>
      <c r="C105" s="7" t="inlineStr">
        <is>
          <t>Q3-FY2026</t>
        </is>
      </c>
      <c r="D105" s="35" t="n">
        <v>20.43</v>
      </c>
      <c r="E105" s="32" t="n">
        <v>0.09300000000000001</v>
      </c>
      <c r="F105" s="35">
        <f>D105/(1+E105)</f>
        <v/>
      </c>
      <c r="G105" s="7" t="inlineStr">
        <is>
          <t>Q3-FY2025</t>
        </is>
      </c>
      <c r="H105" s="35" t="n">
        <v>18.7</v>
      </c>
      <c r="I105" s="33" t="n">
        <v>45727</v>
      </c>
      <c r="J105" s="36">
        <f>F105-H105</f>
        <v/>
      </c>
      <c r="K105" s="16">
        <f>0.005/(1+E105)+D105*0.0005/(1+E105)^2+0.005</f>
        <v/>
      </c>
      <c r="L105" s="17">
        <f>IF(ABS(J105)&lt;=K105,"OK",IF(M105&lt;&gt;"","EXPLAINED","CHECK"))</f>
        <v/>
      </c>
      <c r="M105" s="7" t="inlineStr"/>
    </row>
    <row r="106">
      <c r="A106" s="33" t="n">
        <v>46090</v>
      </c>
      <c r="B106" s="7" t="inlineStr">
        <is>
          <t>RWRP</t>
        </is>
      </c>
      <c r="C106" s="7" t="inlineStr">
        <is>
          <t>FY2025</t>
        </is>
      </c>
      <c r="D106" s="35" t="n">
        <v>83.06999999999999</v>
      </c>
      <c r="E106" s="32" t="n">
        <v>0.152</v>
      </c>
      <c r="F106" s="35">
        <f>D106/(1+E106)</f>
        <v/>
      </c>
      <c r="G106" s="7" t="inlineStr">
        <is>
          <t>FY2024</t>
        </is>
      </c>
      <c r="H106" s="35" t="n">
        <v>72.13</v>
      </c>
      <c r="I106" s="33" t="n">
        <v>45727</v>
      </c>
      <c r="J106" s="36">
        <f>F106-H106</f>
        <v/>
      </c>
      <c r="K106" s="16">
        <f>0.005/(1+E106)+D106*0.0005/(1+E106)^2+0.005</f>
        <v/>
      </c>
      <c r="L106" s="17">
        <f>IF(ABS(J106)&lt;=K106,"OK",IF(M106&lt;&gt;"","EXPLAINED","CHECK"))</f>
        <v/>
      </c>
      <c r="M106" s="7" t="inlineStr"/>
    </row>
    <row r="107">
      <c r="A107" s="33" t="n">
        <v>46090</v>
      </c>
      <c r="B107" s="7" t="inlineStr">
        <is>
          <t>RWRP</t>
        </is>
      </c>
      <c r="C107" s="7" t="inlineStr">
        <is>
          <t>11M-FY2026</t>
        </is>
      </c>
      <c r="D107" s="35" t="n">
        <v>68.98999999999999</v>
      </c>
      <c r="E107" s="32" t="n">
        <v>-0.013</v>
      </c>
      <c r="F107" s="35">
        <f>D107/(1+E107)</f>
        <v/>
      </c>
      <c r="G107" s="7" t="inlineStr">
        <is>
          <t>11M-FY2025</t>
        </is>
      </c>
      <c r="H107" s="35" t="n">
        <v>69.88</v>
      </c>
      <c r="I107" s="33" t="n">
        <v>45727</v>
      </c>
      <c r="J107" s="36">
        <f>F107-H107</f>
        <v/>
      </c>
      <c r="K107" s="16">
        <f>0.005/(1+E107)+D107*0.0005/(1+E107)^2+0.005</f>
        <v/>
      </c>
      <c r="L107" s="17">
        <f>IF(ABS(J107)&lt;=K107,"OK",IF(M107&lt;&gt;"","EXPLAINED","CHECK"))</f>
        <v/>
      </c>
      <c r="M107" s="7" t="inlineStr"/>
    </row>
    <row r="108">
      <c r="A108" s="33" t="n">
        <v>46090</v>
      </c>
      <c r="B108" s="7" t="inlineStr">
        <is>
          <t>RWRP</t>
        </is>
      </c>
      <c r="C108" s="7" t="inlineStr">
        <is>
          <t>Feb-26</t>
        </is>
      </c>
      <c r="D108" s="35" t="n">
        <v>7.87</v>
      </c>
      <c r="E108" s="32" t="n">
        <v>0.077</v>
      </c>
      <c r="F108" s="35">
        <f>D108/(1+E108)</f>
        <v/>
      </c>
      <c r="G108" s="7" t="inlineStr">
        <is>
          <t>Feb-25</t>
        </is>
      </c>
      <c r="H108" s="35" t="n">
        <v>7.31</v>
      </c>
      <c r="I108" s="33" t="n">
        <v>45727</v>
      </c>
      <c r="J108" s="36">
        <f>F108-H108</f>
        <v/>
      </c>
      <c r="K108" s="16">
        <f>0.005/(1+E108)+D108*0.0005/(1+E108)^2+0.005</f>
        <v/>
      </c>
      <c r="L108" s="17">
        <f>IF(ABS(J108)&lt;=K108,"OK",IF(M108&lt;&gt;"","EXPLAINED","CHECK"))</f>
        <v/>
      </c>
      <c r="M108" s="7" t="inlineStr"/>
    </row>
    <row r="109">
      <c r="A109" s="33" t="n">
        <v>46090</v>
      </c>
      <c r="B109" s="7" t="inlineStr">
        <is>
          <t>RWRP</t>
        </is>
      </c>
      <c r="C109" s="7" t="inlineStr">
        <is>
          <t>Jan-26</t>
        </is>
      </c>
      <c r="D109" s="35" t="n">
        <v>7.84</v>
      </c>
      <c r="E109" s="32" t="n">
        <v>0.08699999999999999</v>
      </c>
      <c r="F109" s="35">
        <f>D109/(1+E109)</f>
        <v/>
      </c>
      <c r="G109" s="7" t="inlineStr">
        <is>
          <t>Jan-25</t>
        </is>
      </c>
      <c r="H109" s="35" t="n">
        <v>7.21</v>
      </c>
      <c r="I109" s="33" t="n">
        <v>45727</v>
      </c>
      <c r="J109" s="36">
        <f>F109-H109</f>
        <v/>
      </c>
      <c r="K109" s="16">
        <f>0.005/(1+E109)+D109*0.0005/(1+E109)^2+0.005</f>
        <v/>
      </c>
      <c r="L109" s="17">
        <f>IF(ABS(J109)&lt;=K109,"OK",IF(M109&lt;&gt;"","EXPLAINED","CHECK"))</f>
        <v/>
      </c>
      <c r="M109" s="7" t="inlineStr"/>
    </row>
    <row r="110">
      <c r="A110" s="33" t="n">
        <v>46062</v>
      </c>
      <c r="B110" s="7" t="inlineStr">
        <is>
          <t>NB Sum Assured</t>
        </is>
      </c>
      <c r="C110" s="7" t="inlineStr">
        <is>
          <t>Q3-FY2026</t>
        </is>
      </c>
      <c r="D110" s="35" t="n">
        <v>3389.38</v>
      </c>
      <c r="E110" s="32" t="n">
        <v>0.155</v>
      </c>
      <c r="F110" s="35">
        <f>D110/(1+E110)</f>
        <v/>
      </c>
      <c r="G110" s="7" t="inlineStr">
        <is>
          <t>Q3-FY2025</t>
        </is>
      </c>
      <c r="H110" s="35" t="n">
        <v>2933.38</v>
      </c>
      <c r="I110" s="33" t="n">
        <v>45727</v>
      </c>
      <c r="J110" s="36">
        <f>F110-H110</f>
        <v/>
      </c>
      <c r="K110" s="16">
        <f>0.005/(1+E110)+D110*0.0005/(1+E110)^2+0.005</f>
        <v/>
      </c>
      <c r="L110" s="17">
        <f>IF(ABS(J110)&lt;=K110,"OK",IF(M110&lt;&gt;"","EXPLAINED","CHECK"))</f>
        <v/>
      </c>
      <c r="M110" s="7" t="inlineStr"/>
    </row>
    <row r="111">
      <c r="A111" s="33" t="n">
        <v>46062</v>
      </c>
      <c r="B111" s="7" t="inlineStr">
        <is>
          <t>NB Sum Assured</t>
        </is>
      </c>
      <c r="C111" s="7" t="inlineStr">
        <is>
          <t>FY2025</t>
        </is>
      </c>
      <c r="D111" s="35" t="n">
        <v>11944.01</v>
      </c>
      <c r="E111" s="32" t="n">
        <v>0.169</v>
      </c>
      <c r="F111" s="35">
        <f>D111/(1+E111)</f>
        <v/>
      </c>
      <c r="G111" s="7" t="inlineStr">
        <is>
          <t>FY2024</t>
        </is>
      </c>
      <c r="H111" s="35" t="n">
        <v>10221.11</v>
      </c>
      <c r="I111" s="33" t="n">
        <v>45727</v>
      </c>
      <c r="J111" s="36">
        <f>F111-H111</f>
        <v/>
      </c>
      <c r="K111" s="16">
        <f>0.005/(1+E111)+D111*0.0005/(1+E111)^2+0.005</f>
        <v/>
      </c>
      <c r="L111" s="17">
        <f>IF(ABS(J111)&lt;=K111,"OK",IF(M111&lt;&gt;"","EXPLAINED","CHECK"))</f>
        <v/>
      </c>
      <c r="M111" s="7" t="inlineStr"/>
    </row>
    <row r="112">
      <c r="A112" s="33" t="n">
        <v>46062</v>
      </c>
      <c r="B112" s="7" t="inlineStr">
        <is>
          <t>NB Sum Assured</t>
        </is>
      </c>
      <c r="C112" s="7" t="inlineStr">
        <is>
          <t>Jan-26</t>
        </is>
      </c>
      <c r="D112" s="35" t="n">
        <v>1656.71</v>
      </c>
      <c r="E112" s="32" t="n">
        <v>0.175</v>
      </c>
      <c r="F112" s="35">
        <f>D112/(1+E112)</f>
        <v/>
      </c>
      <c r="G112" s="7" t="inlineStr">
        <is>
          <t>Jan-25</t>
        </is>
      </c>
      <c r="H112" s="35" t="n">
        <v>1409.83</v>
      </c>
      <c r="I112" s="33" t="n">
        <v>45727</v>
      </c>
      <c r="J112" s="36">
        <f>F112-H112</f>
        <v/>
      </c>
      <c r="K112" s="16">
        <f>0.005/(1+E112)+D112*0.0005/(1+E112)^2+0.005</f>
        <v/>
      </c>
      <c r="L112" s="17">
        <f>IF(ABS(J112)&lt;=K112,"OK",IF(M112&lt;&gt;"","EXPLAINED","CHECK"))</f>
        <v/>
      </c>
      <c r="M112" s="7" t="inlineStr"/>
    </row>
    <row r="113">
      <c r="A113" s="33" t="n">
        <v>46062</v>
      </c>
      <c r="B113" s="7" t="inlineStr">
        <is>
          <t>NB Premium</t>
        </is>
      </c>
      <c r="C113" s="7" t="inlineStr">
        <is>
          <t>Q3-FY2026</t>
        </is>
      </c>
      <c r="D113" s="35" t="n">
        <v>56.34</v>
      </c>
      <c r="E113" s="32" t="n">
        <v>-0.125</v>
      </c>
      <c r="F113" s="35">
        <f>D113/(1+E113)</f>
        <v/>
      </c>
      <c r="G113" s="7" t="inlineStr">
        <is>
          <t>Q3-FY2025</t>
        </is>
      </c>
      <c r="H113" s="35" t="n">
        <v>64.42</v>
      </c>
      <c r="I113" s="33" t="n">
        <v>45727</v>
      </c>
      <c r="J113" s="36">
        <f>F113-H113</f>
        <v/>
      </c>
      <c r="K113" s="16">
        <f>0.005/(1+E113)+D113*0.0005/(1+E113)^2+0.005</f>
        <v/>
      </c>
      <c r="L113" s="17">
        <f>IF(ABS(J113)&lt;=K113,"OK",IF(M113&lt;&gt;"","EXPLAINED","CHECK"))</f>
        <v/>
      </c>
      <c r="M113" s="7" t="inlineStr"/>
    </row>
    <row r="114">
      <c r="A114" s="33" t="n">
        <v>46062</v>
      </c>
      <c r="B114" s="7" t="inlineStr">
        <is>
          <t>NB Premium</t>
        </is>
      </c>
      <c r="C114" s="7" t="inlineStr">
        <is>
          <t>FY2025</t>
        </is>
      </c>
      <c r="D114" s="35" t="n">
        <v>225.83</v>
      </c>
      <c r="E114" s="32" t="n">
        <v>0.249</v>
      </c>
      <c r="F114" s="35">
        <f>D114/(1+E114)</f>
        <v/>
      </c>
      <c r="G114" s="7" t="inlineStr">
        <is>
          <t>FY2024</t>
        </is>
      </c>
      <c r="H114" s="35" t="n">
        <v>180.81</v>
      </c>
      <c r="I114" s="33" t="n">
        <v>45727</v>
      </c>
      <c r="J114" s="36">
        <f>F114-H114</f>
        <v/>
      </c>
      <c r="K114" s="16">
        <f>0.005/(1+E114)+D114*0.0005/(1+E114)^2+0.005</f>
        <v/>
      </c>
      <c r="L114" s="17">
        <f>IF(ABS(J114)&lt;=K114,"OK",IF(M114&lt;&gt;"","EXPLAINED","CHECK"))</f>
        <v/>
      </c>
      <c r="M114" s="7" t="inlineStr"/>
    </row>
    <row r="115">
      <c r="A115" s="33" t="n">
        <v>46062</v>
      </c>
      <c r="B115" s="7" t="inlineStr">
        <is>
          <t>NB Premium</t>
        </is>
      </c>
      <c r="C115" s="7" t="inlineStr">
        <is>
          <t>Jan-26</t>
        </is>
      </c>
      <c r="D115" s="35" t="n">
        <v>19.9</v>
      </c>
      <c r="E115" s="32" t="n">
        <v>0.12</v>
      </c>
      <c r="F115" s="35">
        <f>D115/(1+E115)</f>
        <v/>
      </c>
      <c r="G115" s="7" t="inlineStr">
        <is>
          <t>Jan-25</t>
        </is>
      </c>
      <c r="H115" s="35" t="n">
        <v>17.78</v>
      </c>
      <c r="I115" s="33" t="n">
        <v>45727</v>
      </c>
      <c r="J115" s="36">
        <f>F115-H115</f>
        <v/>
      </c>
      <c r="K115" s="16">
        <f>0.005/(1+E115)+D115*0.0005/(1+E115)^2+0.005</f>
        <v/>
      </c>
      <c r="L115" s="17">
        <f>IF(ABS(J115)&lt;=K115,"OK",IF(M115&lt;&gt;"","EXPLAINED","CHECK"))</f>
        <v/>
      </c>
      <c r="M115" s="7" t="inlineStr"/>
    </row>
    <row r="116">
      <c r="A116" s="33" t="n">
        <v>46062</v>
      </c>
      <c r="B116" s="7" t="inlineStr">
        <is>
          <t>Retail APE</t>
        </is>
      </c>
      <c r="C116" s="7" t="inlineStr">
        <is>
          <t>Q3-FY2026</t>
        </is>
      </c>
      <c r="D116" s="35" t="n">
        <v>21.16</v>
      </c>
      <c r="E116" s="32" t="n">
        <v>0.099</v>
      </c>
      <c r="F116" s="35">
        <f>D116/(1+E116)</f>
        <v/>
      </c>
      <c r="G116" s="7" t="inlineStr">
        <is>
          <t>Q3-FY2025</t>
        </is>
      </c>
      <c r="H116" s="35" t="n">
        <v>19.26</v>
      </c>
      <c r="I116" s="33" t="n">
        <v>45727</v>
      </c>
      <c r="J116" s="36">
        <f>F116-H116</f>
        <v/>
      </c>
      <c r="K116" s="16">
        <f>0.005/(1+E116)+D116*0.0005/(1+E116)^2+0.005</f>
        <v/>
      </c>
      <c r="L116" s="17">
        <f>IF(ABS(J116)&lt;=K116,"OK",IF(M116&lt;&gt;"","EXPLAINED","CHECK"))</f>
        <v/>
      </c>
      <c r="M116" s="7" t="inlineStr"/>
    </row>
    <row r="117">
      <c r="A117" s="33" t="n">
        <v>46062</v>
      </c>
      <c r="B117" s="7" t="inlineStr">
        <is>
          <t>Retail APE</t>
        </is>
      </c>
      <c r="C117" s="7" t="inlineStr">
        <is>
          <t>FY2025</t>
        </is>
      </c>
      <c r="D117" s="35" t="n">
        <v>87.05</v>
      </c>
      <c r="E117" s="32" t="n">
        <v>0.133</v>
      </c>
      <c r="F117" s="35">
        <f>D117/(1+E117)</f>
        <v/>
      </c>
      <c r="G117" s="7" t="inlineStr">
        <is>
          <t>FY2024</t>
        </is>
      </c>
      <c r="H117" s="35" t="n">
        <v>76.8</v>
      </c>
      <c r="I117" s="33" t="n">
        <v>45727</v>
      </c>
      <c r="J117" s="36">
        <f>F117-H117</f>
        <v/>
      </c>
      <c r="K117" s="16">
        <f>0.005/(1+E117)+D117*0.0005/(1+E117)^2+0.005</f>
        <v/>
      </c>
      <c r="L117" s="17">
        <f>IF(ABS(J117)&lt;=K117,"OK",IF(M117&lt;&gt;"","EXPLAINED","CHECK"))</f>
        <v/>
      </c>
      <c r="M117" s="7" t="inlineStr"/>
    </row>
    <row r="118">
      <c r="A118" s="33" t="n">
        <v>46062</v>
      </c>
      <c r="B118" s="7" t="inlineStr">
        <is>
          <t>Retail APE</t>
        </is>
      </c>
      <c r="C118" s="7" t="inlineStr">
        <is>
          <t>Jan-26</t>
        </is>
      </c>
      <c r="D118" s="35" t="n">
        <v>8.18</v>
      </c>
      <c r="E118" s="32" t="n">
        <v>0.05</v>
      </c>
      <c r="F118" s="35">
        <f>D118/(1+E118)</f>
        <v/>
      </c>
      <c r="G118" s="7" t="inlineStr">
        <is>
          <t>Jan-25</t>
        </is>
      </c>
      <c r="H118" s="35" t="n">
        <v>7.79</v>
      </c>
      <c r="I118" s="33" t="n">
        <v>45727</v>
      </c>
      <c r="J118" s="36">
        <f>F118-H118</f>
        <v/>
      </c>
      <c r="K118" s="16">
        <f>0.005/(1+E118)+D118*0.0005/(1+E118)^2+0.005</f>
        <v/>
      </c>
      <c r="L118" s="17">
        <f>IF(ABS(J118)&lt;=K118,"OK",IF(M118&lt;&gt;"","EXPLAINED","CHECK"))</f>
        <v/>
      </c>
      <c r="M118" s="7" t="inlineStr"/>
    </row>
    <row r="119">
      <c r="A119" s="33" t="n">
        <v>46062</v>
      </c>
      <c r="B119" s="7" t="inlineStr">
        <is>
          <t>APE</t>
        </is>
      </c>
      <c r="C119" s="7" t="inlineStr">
        <is>
          <t>Q3-FY2026</t>
        </is>
      </c>
      <c r="D119" s="35" t="n">
        <v>25.25</v>
      </c>
      <c r="E119" s="32" t="n">
        <v>0.036</v>
      </c>
      <c r="F119" s="35">
        <f>D119/(1+E119)</f>
        <v/>
      </c>
      <c r="G119" s="7" t="inlineStr">
        <is>
          <t>Q3-FY2025</t>
        </is>
      </c>
      <c r="H119" s="35" t="n">
        <v>24.38</v>
      </c>
      <c r="I119" s="33" t="n">
        <v>45727</v>
      </c>
      <c r="J119" s="36">
        <f>F119-H119</f>
        <v/>
      </c>
      <c r="K119" s="16">
        <f>0.005/(1+E119)+D119*0.0005/(1+E119)^2+0.005</f>
        <v/>
      </c>
      <c r="L119" s="17">
        <f>IF(ABS(J119)&lt;=K119,"OK",IF(M119&lt;&gt;"","EXPLAINED","CHECK"))</f>
        <v/>
      </c>
      <c r="M119" s="7" t="inlineStr"/>
    </row>
    <row r="120">
      <c r="A120" s="33" t="n">
        <v>46062</v>
      </c>
      <c r="B120" s="7" t="inlineStr">
        <is>
          <t>APE</t>
        </is>
      </c>
      <c r="C120" s="7" t="inlineStr">
        <is>
          <t>FY2025</t>
        </is>
      </c>
      <c r="D120" s="35" t="n">
        <v>104.07</v>
      </c>
      <c r="E120" s="32" t="n">
        <v>0.15</v>
      </c>
      <c r="F120" s="35">
        <f>D120/(1+E120)</f>
        <v/>
      </c>
      <c r="G120" s="7" t="inlineStr">
        <is>
          <t>FY2024</t>
        </is>
      </c>
      <c r="H120" s="35" t="n">
        <v>90.45999999999999</v>
      </c>
      <c r="I120" s="33" t="n">
        <v>45727</v>
      </c>
      <c r="J120" s="36">
        <f>F120-H120</f>
        <v/>
      </c>
      <c r="K120" s="16">
        <f>0.005/(1+E120)+D120*0.0005/(1+E120)^2+0.005</f>
        <v/>
      </c>
      <c r="L120" s="17">
        <f>IF(ABS(J120)&lt;=K120,"OK",IF(M120&lt;&gt;"","EXPLAINED","CHECK"))</f>
        <v/>
      </c>
      <c r="M120" s="7" t="inlineStr"/>
    </row>
    <row r="121">
      <c r="A121" s="33" t="n">
        <v>46062</v>
      </c>
      <c r="B121" s="7" t="inlineStr">
        <is>
          <t>APE</t>
        </is>
      </c>
      <c r="C121" s="7" t="inlineStr">
        <is>
          <t>Jan-26</t>
        </is>
      </c>
      <c r="D121" s="35" t="n">
        <v>9.9</v>
      </c>
      <c r="E121" s="32" t="n">
        <v>0.04099999999999999</v>
      </c>
      <c r="F121" s="35">
        <f>D121/(1+E121)</f>
        <v/>
      </c>
      <c r="G121" s="7" t="inlineStr">
        <is>
          <t>Jan-25</t>
        </is>
      </c>
      <c r="H121" s="35" t="n">
        <v>9.51</v>
      </c>
      <c r="I121" s="33" t="n">
        <v>45727</v>
      </c>
      <c r="J121" s="36">
        <f>F121-H121</f>
        <v/>
      </c>
      <c r="K121" s="16">
        <f>0.005/(1+E121)+D121*0.0005/(1+E121)^2+0.005</f>
        <v/>
      </c>
      <c r="L121" s="17">
        <f>IF(ABS(J121)&lt;=K121,"OK",IF(M121&lt;&gt;"","EXPLAINED","CHECK"))</f>
        <v/>
      </c>
      <c r="M121" s="7" t="inlineStr"/>
    </row>
    <row r="122">
      <c r="A122" s="33" t="n">
        <v>46062</v>
      </c>
      <c r="B122" s="7" t="inlineStr">
        <is>
          <t>RWRP</t>
        </is>
      </c>
      <c r="C122" s="7" t="inlineStr">
        <is>
          <t>Q3-FY2026</t>
        </is>
      </c>
      <c r="D122" s="35" t="n">
        <v>20.43</v>
      </c>
      <c r="E122" s="32" t="n">
        <v>0.09300000000000001</v>
      </c>
      <c r="F122" s="35">
        <f>D122/(1+E122)</f>
        <v/>
      </c>
      <c r="G122" s="7" t="inlineStr">
        <is>
          <t>Q3-FY2025</t>
        </is>
      </c>
      <c r="H122" s="35" t="n">
        <v>18.7</v>
      </c>
      <c r="I122" s="33" t="n">
        <v>45727</v>
      </c>
      <c r="J122" s="36">
        <f>F122-H122</f>
        <v/>
      </c>
      <c r="K122" s="16">
        <f>0.005/(1+E122)+D122*0.0005/(1+E122)^2+0.005</f>
        <v/>
      </c>
      <c r="L122" s="17">
        <f>IF(ABS(J122)&lt;=K122,"OK",IF(M122&lt;&gt;"","EXPLAINED","CHECK"))</f>
        <v/>
      </c>
      <c r="M122" s="7" t="inlineStr"/>
    </row>
    <row r="123">
      <c r="A123" s="33" t="n">
        <v>46062</v>
      </c>
      <c r="B123" s="7" t="inlineStr">
        <is>
          <t>RWRP</t>
        </is>
      </c>
      <c r="C123" s="7" t="inlineStr">
        <is>
          <t>FY2025</t>
        </is>
      </c>
      <c r="D123" s="35" t="n">
        <v>83.06999999999999</v>
      </c>
      <c r="E123" s="32" t="n">
        <v>0.152</v>
      </c>
      <c r="F123" s="35">
        <f>D123/(1+E123)</f>
        <v/>
      </c>
      <c r="G123" s="7" t="inlineStr">
        <is>
          <t>FY2024</t>
        </is>
      </c>
      <c r="H123" s="35" t="n">
        <v>72.13</v>
      </c>
      <c r="I123" s="33" t="n">
        <v>45727</v>
      </c>
      <c r="J123" s="36">
        <f>F123-H123</f>
        <v/>
      </c>
      <c r="K123" s="16">
        <f>0.005/(1+E123)+D123*0.0005/(1+E123)^2+0.005</f>
        <v/>
      </c>
      <c r="L123" s="17">
        <f>IF(ABS(J123)&lt;=K123,"OK",IF(M123&lt;&gt;"","EXPLAINED","CHECK"))</f>
        <v/>
      </c>
      <c r="M123" s="7" t="inlineStr"/>
    </row>
    <row r="124">
      <c r="A124" s="33" t="n">
        <v>46062</v>
      </c>
      <c r="B124" s="7" t="inlineStr">
        <is>
          <t>RWRP</t>
        </is>
      </c>
      <c r="C124" s="7" t="inlineStr">
        <is>
          <t>Jan-26</t>
        </is>
      </c>
      <c r="D124" s="35" t="n">
        <v>7.84</v>
      </c>
      <c r="E124" s="32" t="n">
        <v>0.08699999999999999</v>
      </c>
      <c r="F124" s="35">
        <f>D124/(1+E124)</f>
        <v/>
      </c>
      <c r="G124" s="7" t="inlineStr">
        <is>
          <t>Jan-25</t>
        </is>
      </c>
      <c r="H124" s="35" t="n">
        <v>7.21</v>
      </c>
      <c r="I124" s="33" t="n">
        <v>45727</v>
      </c>
      <c r="J124" s="36">
        <f>F124-H124</f>
        <v/>
      </c>
      <c r="K124" s="16">
        <f>0.005/(1+E124)+D124*0.0005/(1+E124)^2+0.005</f>
        <v/>
      </c>
      <c r="L124" s="17">
        <f>IF(ABS(J124)&lt;=K124,"OK",IF(M124&lt;&gt;"","EXPLAINED","CHECK"))</f>
        <v/>
      </c>
      <c r="M124" s="7" t="inlineStr"/>
    </row>
    <row r="125">
      <c r="A125" s="33" t="n">
        <v>46032</v>
      </c>
      <c r="B125" s="7" t="inlineStr">
        <is>
          <t>NB Sum Assured</t>
        </is>
      </c>
      <c r="C125" s="7" t="inlineStr">
        <is>
          <t>Q3-FY2026</t>
        </is>
      </c>
      <c r="D125" s="35" t="n">
        <v>3389.38</v>
      </c>
      <c r="E125" s="32" t="n">
        <v>0.155</v>
      </c>
      <c r="F125" s="35">
        <f>D125/(1+E125)</f>
        <v/>
      </c>
      <c r="G125" s="7" t="inlineStr">
        <is>
          <t>Q3-FY2025</t>
        </is>
      </c>
      <c r="H125" s="35" t="n">
        <v>2933.38</v>
      </c>
      <c r="I125" s="33" t="n">
        <v>45727</v>
      </c>
      <c r="J125" s="36">
        <f>F125-H125</f>
        <v/>
      </c>
      <c r="K125" s="16">
        <f>0.005/(1+E125)+D125*0.0005/(1+E125)^2+0.005</f>
        <v/>
      </c>
      <c r="L125" s="17">
        <f>IF(ABS(J125)&lt;=K125,"OK",IF(M125&lt;&gt;"","EXPLAINED","CHECK"))</f>
        <v/>
      </c>
      <c r="M125" s="7" t="inlineStr"/>
    </row>
    <row r="126">
      <c r="A126" s="33" t="n">
        <v>46032</v>
      </c>
      <c r="B126" s="7" t="inlineStr">
        <is>
          <t>NB Sum Assured</t>
        </is>
      </c>
      <c r="C126" s="7" t="inlineStr">
        <is>
          <t>FY2025</t>
        </is>
      </c>
      <c r="D126" s="35" t="n">
        <v>11944.01</v>
      </c>
      <c r="E126" s="32" t="n">
        <v>0.169</v>
      </c>
      <c r="F126" s="35">
        <f>D126/(1+E126)</f>
        <v/>
      </c>
      <c r="G126" s="7" t="inlineStr">
        <is>
          <t>FY2024</t>
        </is>
      </c>
      <c r="H126" s="35" t="n">
        <v>10221.11</v>
      </c>
      <c r="I126" s="33" t="n">
        <v>45727</v>
      </c>
      <c r="J126" s="36">
        <f>F126-H126</f>
        <v/>
      </c>
      <c r="K126" s="16">
        <f>0.005/(1+E126)+D126*0.0005/(1+E126)^2+0.005</f>
        <v/>
      </c>
      <c r="L126" s="17">
        <f>IF(ABS(J126)&lt;=K126,"OK",IF(M126&lt;&gt;"","EXPLAINED","CHECK"))</f>
        <v/>
      </c>
      <c r="M126" s="7" t="inlineStr"/>
    </row>
    <row r="127">
      <c r="A127" s="33" t="n">
        <v>46032</v>
      </c>
      <c r="B127" s="7" t="inlineStr">
        <is>
          <t>NB Sum Assured</t>
        </is>
      </c>
      <c r="C127" s="7" t="inlineStr">
        <is>
          <t>Dec-25</t>
        </is>
      </c>
      <c r="D127" s="35" t="n">
        <v>1182.28</v>
      </c>
      <c r="E127" s="32" t="n">
        <v>0.107</v>
      </c>
      <c r="F127" s="35">
        <f>D127/(1+E127)</f>
        <v/>
      </c>
      <c r="G127" s="7" t="inlineStr">
        <is>
          <t>Dec-24</t>
        </is>
      </c>
      <c r="H127" s="35" t="n">
        <v>1068.26</v>
      </c>
      <c r="I127" s="33" t="n">
        <v>45667</v>
      </c>
      <c r="J127" s="36">
        <f>F127-H127</f>
        <v/>
      </c>
      <c r="K127" s="16">
        <f>0.005/(1+E127)+D127*0.0005/(1+E127)^2+0.005</f>
        <v/>
      </c>
      <c r="L127" s="17">
        <f>IF(ABS(J127)&lt;=K127,"OK",IF(M127&lt;&gt;"","EXPLAINED","CHECK"))</f>
        <v/>
      </c>
      <c r="M127" s="7" t="inlineStr"/>
    </row>
    <row r="128">
      <c r="A128" s="33" t="n">
        <v>46032</v>
      </c>
      <c r="B128" s="7" t="inlineStr">
        <is>
          <t>NB Sum Assured</t>
        </is>
      </c>
      <c r="C128" s="7" t="inlineStr">
        <is>
          <t>Nov-25</t>
        </is>
      </c>
      <c r="D128" s="35" t="n">
        <v>1087.2</v>
      </c>
      <c r="E128" s="32" t="n">
        <v>0.138</v>
      </c>
      <c r="F128" s="35">
        <f>D128/(1+E128)</f>
        <v/>
      </c>
      <c r="G128" s="7" t="inlineStr">
        <is>
          <t>Nov-24</t>
        </is>
      </c>
      <c r="H128" s="35" t="n">
        <v>955.65</v>
      </c>
      <c r="I128" s="33" t="n">
        <v>45667</v>
      </c>
      <c r="J128" s="36">
        <f>F128-H128</f>
        <v/>
      </c>
      <c r="K128" s="16">
        <f>0.005/(1+E128)+D128*0.0005/(1+E128)^2+0.005</f>
        <v/>
      </c>
      <c r="L128" s="17">
        <f>IF(ABS(J128)&lt;=K128,"OK",IF(M128&lt;&gt;"","EXPLAINED","CHECK"))</f>
        <v/>
      </c>
      <c r="M128" s="7" t="inlineStr"/>
    </row>
    <row r="129">
      <c r="A129" s="33" t="n">
        <v>46032</v>
      </c>
      <c r="B129" s="7" t="inlineStr">
        <is>
          <t>NB Sum Assured</t>
        </is>
      </c>
      <c r="C129" s="7" t="inlineStr">
        <is>
          <t>Oct-25</t>
        </is>
      </c>
      <c r="D129" s="35" t="n">
        <v>1119.9</v>
      </c>
      <c r="E129" s="32" t="n">
        <v>0.231</v>
      </c>
      <c r="F129" s="35">
        <f>D129/(1+E129)</f>
        <v/>
      </c>
      <c r="G129" s="7" t="inlineStr">
        <is>
          <t>Oct-24</t>
        </is>
      </c>
      <c r="H129" s="35" t="n">
        <v>909.47</v>
      </c>
      <c r="I129" s="33" t="n">
        <v>45667</v>
      </c>
      <c r="J129" s="36">
        <f>F129-H129</f>
        <v/>
      </c>
      <c r="K129" s="16">
        <f>0.005/(1+E129)+D129*0.0005/(1+E129)^2+0.005</f>
        <v/>
      </c>
      <c r="L129" s="17">
        <f>IF(ABS(J129)&lt;=K129,"OK",IF(M129&lt;&gt;"","EXPLAINED","CHECK"))</f>
        <v/>
      </c>
      <c r="M129" s="7" t="inlineStr"/>
    </row>
    <row r="130">
      <c r="A130" s="33" t="n">
        <v>46032</v>
      </c>
      <c r="B130" s="7" t="inlineStr">
        <is>
          <t>NB Premium</t>
        </is>
      </c>
      <c r="C130" s="7" t="inlineStr">
        <is>
          <t>Q3-FY2026</t>
        </is>
      </c>
      <c r="D130" s="35" t="n">
        <v>56.34</v>
      </c>
      <c r="E130" s="32" t="n">
        <v>-0.125</v>
      </c>
      <c r="F130" s="35">
        <f>D130/(1+E130)</f>
        <v/>
      </c>
      <c r="G130" s="7" t="inlineStr">
        <is>
          <t>Q3-FY2025</t>
        </is>
      </c>
      <c r="H130" s="35" t="n">
        <v>64.42</v>
      </c>
      <c r="I130" s="33" t="n">
        <v>45727</v>
      </c>
      <c r="J130" s="36">
        <f>F130-H130</f>
        <v/>
      </c>
      <c r="K130" s="16">
        <f>0.005/(1+E130)+D130*0.0005/(1+E130)^2+0.005</f>
        <v/>
      </c>
      <c r="L130" s="17">
        <f>IF(ABS(J130)&lt;=K130,"OK",IF(M130&lt;&gt;"","EXPLAINED","CHECK"))</f>
        <v/>
      </c>
      <c r="M130" s="7" t="inlineStr"/>
    </row>
    <row r="131">
      <c r="A131" s="33" t="n">
        <v>46032</v>
      </c>
      <c r="B131" s="7" t="inlineStr">
        <is>
          <t>NB Premium</t>
        </is>
      </c>
      <c r="C131" s="7" t="inlineStr">
        <is>
          <t>FY2025</t>
        </is>
      </c>
      <c r="D131" s="35" t="n">
        <v>225.83</v>
      </c>
      <c r="E131" s="32" t="n">
        <v>0.249</v>
      </c>
      <c r="F131" s="35">
        <f>D131/(1+E131)</f>
        <v/>
      </c>
      <c r="G131" s="7" t="inlineStr">
        <is>
          <t>FY2024</t>
        </is>
      </c>
      <c r="H131" s="35" t="n">
        <v>180.81</v>
      </c>
      <c r="I131" s="33" t="n">
        <v>45727</v>
      </c>
      <c r="J131" s="36">
        <f>F131-H131</f>
        <v/>
      </c>
      <c r="K131" s="16">
        <f>0.005/(1+E131)+D131*0.0005/(1+E131)^2+0.005</f>
        <v/>
      </c>
      <c r="L131" s="17">
        <f>IF(ABS(J131)&lt;=K131,"OK",IF(M131&lt;&gt;"","EXPLAINED","CHECK"))</f>
        <v/>
      </c>
      <c r="M131" s="7" t="inlineStr"/>
    </row>
    <row r="132">
      <c r="A132" s="33" t="n">
        <v>46032</v>
      </c>
      <c r="B132" s="7" t="inlineStr">
        <is>
          <t>NB Premium</t>
        </is>
      </c>
      <c r="C132" s="7" t="inlineStr">
        <is>
          <t>Dec-25</t>
        </is>
      </c>
      <c r="D132" s="35" t="n">
        <v>19.45</v>
      </c>
      <c r="E132" s="32" t="n">
        <v>0.251</v>
      </c>
      <c r="F132" s="35">
        <f>D132/(1+E132)</f>
        <v/>
      </c>
      <c r="G132" s="7" t="inlineStr">
        <is>
          <t>Dec-24</t>
        </is>
      </c>
      <c r="H132" s="35" t="n">
        <v>15.55</v>
      </c>
      <c r="I132" s="33" t="n">
        <v>45667</v>
      </c>
      <c r="J132" s="36">
        <f>F132-H132</f>
        <v/>
      </c>
      <c r="K132" s="16">
        <f>0.005/(1+E132)+D132*0.0005/(1+E132)^2+0.005</f>
        <v/>
      </c>
      <c r="L132" s="17">
        <f>IF(ABS(J132)&lt;=K132,"OK",IF(M132&lt;&gt;"","EXPLAINED","CHECK"))</f>
        <v/>
      </c>
      <c r="M132" s="7" t="inlineStr"/>
    </row>
    <row r="133">
      <c r="A133" s="33" t="n">
        <v>46032</v>
      </c>
      <c r="B133" s="7" t="inlineStr">
        <is>
          <t>NB Premium</t>
        </is>
      </c>
      <c r="C133" s="7" t="inlineStr">
        <is>
          <t>Nov-25</t>
        </is>
      </c>
      <c r="D133" s="35" t="n">
        <v>19.16</v>
      </c>
      <c r="E133" s="32" t="n">
        <v>-0.405</v>
      </c>
      <c r="F133" s="35">
        <f>D133/(1+E133)</f>
        <v/>
      </c>
      <c r="G133" s="7" t="inlineStr">
        <is>
          <t>Nov-24</t>
        </is>
      </c>
      <c r="H133" s="35" t="n">
        <v>32.22</v>
      </c>
      <c r="I133" s="33" t="n">
        <v>45667</v>
      </c>
      <c r="J133" s="36">
        <f>F133-H133</f>
        <v/>
      </c>
      <c r="K133" s="16">
        <f>0.005/(1+E133)+D133*0.0005/(1+E133)^2+0.005</f>
        <v/>
      </c>
      <c r="L133" s="17">
        <f>IF(ABS(J133)&lt;=K133,"OK",IF(M133&lt;&gt;"","EXPLAINED","CHECK"))</f>
        <v/>
      </c>
      <c r="M133" s="7" t="inlineStr"/>
    </row>
    <row r="134">
      <c r="A134" s="33" t="n">
        <v>46032</v>
      </c>
      <c r="B134" s="7" t="inlineStr">
        <is>
          <t>NB Premium</t>
        </is>
      </c>
      <c r="C134" s="7" t="inlineStr">
        <is>
          <t>Oct-25</t>
        </is>
      </c>
      <c r="D134" s="35" t="n">
        <v>17.73</v>
      </c>
      <c r="E134" s="32" t="n">
        <v>0.065</v>
      </c>
      <c r="F134" s="35">
        <f>D134/(1+E134)</f>
        <v/>
      </c>
      <c r="G134" s="7" t="inlineStr">
        <is>
          <t>Oct-24</t>
        </is>
      </c>
      <c r="H134" s="35" t="n">
        <v>16.65</v>
      </c>
      <c r="I134" s="33" t="n">
        <v>45667</v>
      </c>
      <c r="J134" s="36">
        <f>F134-H134</f>
        <v/>
      </c>
      <c r="K134" s="16">
        <f>0.005/(1+E134)+D134*0.0005/(1+E134)^2+0.005</f>
        <v/>
      </c>
      <c r="L134" s="17">
        <f>IF(ABS(J134)&lt;=K134,"OK",IF(M134&lt;&gt;"","EXPLAINED","CHECK"))</f>
        <v/>
      </c>
      <c r="M134" s="7" t="inlineStr"/>
    </row>
    <row r="135">
      <c r="A135" s="33" t="n">
        <v>46032</v>
      </c>
      <c r="B135" s="7" t="inlineStr">
        <is>
          <t>Retail APE</t>
        </is>
      </c>
      <c r="C135" s="7" t="inlineStr">
        <is>
          <t>Q3-FY2026</t>
        </is>
      </c>
      <c r="D135" s="35" t="n">
        <v>21.16</v>
      </c>
      <c r="E135" s="32" t="n">
        <v>0.099</v>
      </c>
      <c r="F135" s="35">
        <f>D135/(1+E135)</f>
        <v/>
      </c>
      <c r="G135" s="7" t="inlineStr">
        <is>
          <t>Q3-FY2025</t>
        </is>
      </c>
      <c r="H135" s="35" t="n">
        <v>19.26</v>
      </c>
      <c r="I135" s="33" t="n">
        <v>45727</v>
      </c>
      <c r="J135" s="36">
        <f>F135-H135</f>
        <v/>
      </c>
      <c r="K135" s="16">
        <f>0.005/(1+E135)+D135*0.0005/(1+E135)^2+0.005</f>
        <v/>
      </c>
      <c r="L135" s="17">
        <f>IF(ABS(J135)&lt;=K135,"OK",IF(M135&lt;&gt;"","EXPLAINED","CHECK"))</f>
        <v/>
      </c>
      <c r="M135" s="7" t="inlineStr"/>
    </row>
    <row r="136">
      <c r="A136" s="33" t="n">
        <v>46032</v>
      </c>
      <c r="B136" s="7" t="inlineStr">
        <is>
          <t>Retail APE</t>
        </is>
      </c>
      <c r="C136" s="7" t="inlineStr">
        <is>
          <t>FY2025</t>
        </is>
      </c>
      <c r="D136" s="35" t="n">
        <v>87.05</v>
      </c>
      <c r="E136" s="32" t="n">
        <v>0.133</v>
      </c>
      <c r="F136" s="35">
        <f>D136/(1+E136)</f>
        <v/>
      </c>
      <c r="G136" s="7" t="inlineStr">
        <is>
          <t>FY2024</t>
        </is>
      </c>
      <c r="H136" s="35" t="n">
        <v>76.8</v>
      </c>
      <c r="I136" s="33" t="n">
        <v>45727</v>
      </c>
      <c r="J136" s="36">
        <f>F136-H136</f>
        <v/>
      </c>
      <c r="K136" s="16">
        <f>0.005/(1+E136)+D136*0.0005/(1+E136)^2+0.005</f>
        <v/>
      </c>
      <c r="L136" s="17">
        <f>IF(ABS(J136)&lt;=K136,"OK",IF(M136&lt;&gt;"","EXPLAINED","CHECK"))</f>
        <v/>
      </c>
      <c r="M136" s="7" t="inlineStr"/>
    </row>
    <row r="137">
      <c r="A137" s="33" t="n">
        <v>46032</v>
      </c>
      <c r="B137" s="7" t="inlineStr">
        <is>
          <t>APE</t>
        </is>
      </c>
      <c r="C137" s="7" t="inlineStr">
        <is>
          <t>Q3-FY2026</t>
        </is>
      </c>
      <c r="D137" s="35" t="n">
        <v>25.25</v>
      </c>
      <c r="E137" s="32" t="n">
        <v>0.036</v>
      </c>
      <c r="F137" s="35">
        <f>D137/(1+E137)</f>
        <v/>
      </c>
      <c r="G137" s="7" t="inlineStr">
        <is>
          <t>Q3-FY2025</t>
        </is>
      </c>
      <c r="H137" s="35" t="n">
        <v>24.38</v>
      </c>
      <c r="I137" s="33" t="n">
        <v>45727</v>
      </c>
      <c r="J137" s="36">
        <f>F137-H137</f>
        <v/>
      </c>
      <c r="K137" s="16">
        <f>0.005/(1+E137)+D137*0.0005/(1+E137)^2+0.005</f>
        <v/>
      </c>
      <c r="L137" s="17">
        <f>IF(ABS(J137)&lt;=K137,"OK",IF(M137&lt;&gt;"","EXPLAINED","CHECK"))</f>
        <v/>
      </c>
      <c r="M137" s="7" t="inlineStr"/>
    </row>
    <row r="138">
      <c r="A138" s="33" t="n">
        <v>46032</v>
      </c>
      <c r="B138" s="7" t="inlineStr">
        <is>
          <t>APE</t>
        </is>
      </c>
      <c r="C138" s="7" t="inlineStr">
        <is>
          <t>FY2025</t>
        </is>
      </c>
      <c r="D138" s="35" t="n">
        <v>104.07</v>
      </c>
      <c r="E138" s="32" t="n">
        <v>0.15</v>
      </c>
      <c r="F138" s="35">
        <f>D138/(1+E138)</f>
        <v/>
      </c>
      <c r="G138" s="7" t="inlineStr">
        <is>
          <t>FY2024</t>
        </is>
      </c>
      <c r="H138" s="35" t="n">
        <v>90.45999999999999</v>
      </c>
      <c r="I138" s="33" t="n">
        <v>45727</v>
      </c>
      <c r="J138" s="36">
        <f>F138-H138</f>
        <v/>
      </c>
      <c r="K138" s="16">
        <f>0.005/(1+E138)+D138*0.0005/(1+E138)^2+0.005</f>
        <v/>
      </c>
      <c r="L138" s="17">
        <f>IF(ABS(J138)&lt;=K138,"OK",IF(M138&lt;&gt;"","EXPLAINED","CHECK"))</f>
        <v/>
      </c>
      <c r="M138" s="7" t="inlineStr"/>
    </row>
    <row r="139">
      <c r="A139" s="33" t="n">
        <v>46032</v>
      </c>
      <c r="B139" s="7" t="inlineStr">
        <is>
          <t>APE</t>
        </is>
      </c>
      <c r="C139" s="7" t="inlineStr">
        <is>
          <t>Dec-25</t>
        </is>
      </c>
      <c r="D139" s="35" t="n">
        <v>9.289999999999999</v>
      </c>
      <c r="E139" s="32" t="n">
        <v>0.073</v>
      </c>
      <c r="F139" s="35">
        <f>D139/(1+E139)</f>
        <v/>
      </c>
      <c r="G139" s="7" t="inlineStr">
        <is>
          <t>Dec-24</t>
        </is>
      </c>
      <c r="H139" s="35" t="n">
        <v>8.66</v>
      </c>
      <c r="I139" s="33" t="n">
        <v>45667</v>
      </c>
      <c r="J139" s="36">
        <f>F139-H139</f>
        <v/>
      </c>
      <c r="K139" s="16">
        <f>0.005/(1+E139)+D139*0.0005/(1+E139)^2+0.005</f>
        <v/>
      </c>
      <c r="L139" s="17">
        <f>IF(ABS(J139)&lt;=K139,"OK",IF(M139&lt;&gt;"","EXPLAINED","CHECK"))</f>
        <v/>
      </c>
      <c r="M139" s="7" t="inlineStr"/>
    </row>
    <row r="140">
      <c r="A140" s="33" t="n">
        <v>46032</v>
      </c>
      <c r="B140" s="7" t="inlineStr">
        <is>
          <t>APE</t>
        </is>
      </c>
      <c r="C140" s="7" t="inlineStr">
        <is>
          <t>Nov-25</t>
        </is>
      </c>
      <c r="D140" s="35" t="n">
        <v>8.630000000000001</v>
      </c>
      <c r="E140" s="32" t="n">
        <v>0.005</v>
      </c>
      <c r="F140" s="35">
        <f>D140/(1+E140)</f>
        <v/>
      </c>
      <c r="G140" s="7" t="inlineStr">
        <is>
          <t>Nov-24</t>
        </is>
      </c>
      <c r="H140" s="35" t="n">
        <v>8.59</v>
      </c>
      <c r="I140" s="33" t="n">
        <v>45667</v>
      </c>
      <c r="J140" s="36">
        <f>F140-H140</f>
        <v/>
      </c>
      <c r="K140" s="16">
        <f>0.005/(1+E140)+D140*0.0005/(1+E140)^2+0.005</f>
        <v/>
      </c>
      <c r="L140" s="17">
        <f>IF(ABS(J140)&lt;=K140,"OK",IF(M140&lt;&gt;"","EXPLAINED","CHECK"))</f>
        <v/>
      </c>
      <c r="M140" s="7" t="inlineStr"/>
    </row>
    <row r="141">
      <c r="A141" s="33" t="n">
        <v>46032</v>
      </c>
      <c r="B141" s="7" t="inlineStr">
        <is>
          <t>APE</t>
        </is>
      </c>
      <c r="C141" s="7" t="inlineStr">
        <is>
          <t>Oct-25</t>
        </is>
      </c>
      <c r="D141" s="35" t="n">
        <v>7.34</v>
      </c>
      <c r="E141" s="32" t="n">
        <v>0.029</v>
      </c>
      <c r="F141" s="35">
        <f>D141/(1+E141)</f>
        <v/>
      </c>
      <c r="G141" s="7" t="inlineStr">
        <is>
          <t>Oct-24</t>
        </is>
      </c>
      <c r="H141" s="35" t="n">
        <v>7.13</v>
      </c>
      <c r="I141" s="33" t="n">
        <v>45667</v>
      </c>
      <c r="J141" s="36">
        <f>F141-H141</f>
        <v/>
      </c>
      <c r="K141" s="16">
        <f>0.005/(1+E141)+D141*0.0005/(1+E141)^2+0.005</f>
        <v/>
      </c>
      <c r="L141" s="17">
        <f>IF(ABS(J141)&lt;=K141,"OK",IF(M141&lt;&gt;"","EXPLAINED","CHECK"))</f>
        <v/>
      </c>
      <c r="M141" s="7" t="inlineStr"/>
    </row>
    <row r="142">
      <c r="A142" s="33" t="n">
        <v>46032</v>
      </c>
      <c r="B142" s="7" t="inlineStr">
        <is>
          <t>RWRP</t>
        </is>
      </c>
      <c r="C142" s="7" t="inlineStr">
        <is>
          <t>Q3-FY2026</t>
        </is>
      </c>
      <c r="D142" s="35" t="n">
        <v>20.43</v>
      </c>
      <c r="E142" s="32" t="n">
        <v>0.09300000000000001</v>
      </c>
      <c r="F142" s="35">
        <f>D142/(1+E142)</f>
        <v/>
      </c>
      <c r="G142" s="7" t="inlineStr">
        <is>
          <t>Q3-FY2025</t>
        </is>
      </c>
      <c r="H142" s="35" t="n">
        <v>18.7</v>
      </c>
      <c r="I142" s="33" t="n">
        <v>45727</v>
      </c>
      <c r="J142" s="36">
        <f>F142-H142</f>
        <v/>
      </c>
      <c r="K142" s="16">
        <f>0.005/(1+E142)+D142*0.0005/(1+E142)^2+0.005</f>
        <v/>
      </c>
      <c r="L142" s="17">
        <f>IF(ABS(J142)&lt;=K142,"OK",IF(M142&lt;&gt;"","EXPLAINED","CHECK"))</f>
        <v/>
      </c>
      <c r="M142" s="7" t="inlineStr"/>
    </row>
    <row r="143">
      <c r="A143" s="33" t="n">
        <v>46032</v>
      </c>
      <c r="B143" s="7" t="inlineStr">
        <is>
          <t>RWRP</t>
        </is>
      </c>
      <c r="C143" s="7" t="inlineStr">
        <is>
          <t>FY2025</t>
        </is>
      </c>
      <c r="D143" s="35" t="n">
        <v>83.06999999999999</v>
      </c>
      <c r="E143" s="32" t="n">
        <v>0.152</v>
      </c>
      <c r="F143" s="35">
        <f>D143/(1+E143)</f>
        <v/>
      </c>
      <c r="G143" s="7" t="inlineStr">
        <is>
          <t>FY2024</t>
        </is>
      </c>
      <c r="H143" s="35" t="n">
        <v>72.13</v>
      </c>
      <c r="I143" s="33" t="n">
        <v>45727</v>
      </c>
      <c r="J143" s="36">
        <f>F143-H143</f>
        <v/>
      </c>
      <c r="K143" s="16">
        <f>0.005/(1+E143)+D143*0.0005/(1+E143)^2+0.005</f>
        <v/>
      </c>
      <c r="L143" s="17">
        <f>IF(ABS(J143)&lt;=K143,"OK",IF(M143&lt;&gt;"","EXPLAINED","CHECK"))</f>
        <v/>
      </c>
      <c r="M143" s="7" t="inlineStr"/>
    </row>
    <row r="144">
      <c r="A144" s="33" t="n">
        <v>46032</v>
      </c>
      <c r="B144" s="7" t="inlineStr">
        <is>
          <t>RWRP</t>
        </is>
      </c>
      <c r="C144" s="7" t="inlineStr">
        <is>
          <t>Dec-25</t>
        </is>
      </c>
      <c r="D144" s="35" t="n">
        <v>7.93</v>
      </c>
      <c r="E144" s="32" t="n">
        <v>0.115</v>
      </c>
      <c r="F144" s="35">
        <f>D144/(1+E144)</f>
        <v/>
      </c>
      <c r="G144" s="7" t="inlineStr">
        <is>
          <t>Dec-24</t>
        </is>
      </c>
      <c r="H144" s="35" t="n">
        <v>7.11</v>
      </c>
      <c r="I144" s="33" t="n">
        <v>45667</v>
      </c>
      <c r="J144" s="36">
        <f>F144-H144</f>
        <v/>
      </c>
      <c r="K144" s="16">
        <f>0.005/(1+E144)+D144*0.0005/(1+E144)^2+0.005</f>
        <v/>
      </c>
      <c r="L144" s="17">
        <f>IF(ABS(J144)&lt;=K144,"OK",IF(M144&lt;&gt;"","EXPLAINED","CHECK"))</f>
        <v/>
      </c>
      <c r="M144" s="7" t="inlineStr"/>
    </row>
    <row r="145">
      <c r="A145" s="33" t="n">
        <v>46032</v>
      </c>
      <c r="B145" s="7" t="inlineStr">
        <is>
          <t>RWRP</t>
        </is>
      </c>
      <c r="C145" s="7" t="inlineStr">
        <is>
          <t>Nov-25</t>
        </is>
      </c>
      <c r="D145" s="35" t="n">
        <v>6.5</v>
      </c>
      <c r="E145" s="32" t="n">
        <v>0.132</v>
      </c>
      <c r="F145" s="35">
        <f>D145/(1+E145)</f>
        <v/>
      </c>
      <c r="G145" s="7" t="inlineStr">
        <is>
          <t>Nov-24</t>
        </is>
      </c>
      <c r="H145" s="35" t="n">
        <v>5.74</v>
      </c>
      <c r="I145" s="33" t="n">
        <v>45667</v>
      </c>
      <c r="J145" s="36">
        <f>F145-H145</f>
        <v/>
      </c>
      <c r="K145" s="16">
        <f>0.005/(1+E145)+D145*0.0005/(1+E145)^2+0.005</f>
        <v/>
      </c>
      <c r="L145" s="17">
        <f>IF(ABS(J145)&lt;=K145,"OK",IF(M145&lt;&gt;"","EXPLAINED","CHECK"))</f>
        <v/>
      </c>
      <c r="M145" s="7" t="inlineStr"/>
    </row>
    <row r="146">
      <c r="A146" s="33" t="n">
        <v>46032</v>
      </c>
      <c r="B146" s="7" t="inlineStr">
        <is>
          <t>RWRP</t>
        </is>
      </c>
      <c r="C146" s="7" t="inlineStr">
        <is>
          <t>Oct-25</t>
        </is>
      </c>
      <c r="D146" s="35" t="n">
        <v>6.01</v>
      </c>
      <c r="E146" s="32" t="n">
        <v>0.027</v>
      </c>
      <c r="F146" s="35">
        <f>D146/(1+E146)</f>
        <v/>
      </c>
      <c r="G146" s="7" t="inlineStr">
        <is>
          <t>Oct-24</t>
        </is>
      </c>
      <c r="H146" s="35" t="n">
        <v>5.85</v>
      </c>
      <c r="I146" s="33" t="n">
        <v>45667</v>
      </c>
      <c r="J146" s="36">
        <f>F146-H146</f>
        <v/>
      </c>
      <c r="K146" s="16">
        <f>0.005/(1+E146)+D146*0.0005/(1+E146)^2+0.005</f>
        <v/>
      </c>
      <c r="L146" s="17">
        <f>IF(ABS(J146)&lt;=K146,"OK",IF(M146&lt;&gt;"","EXPLAINED","CHECK"))</f>
        <v/>
      </c>
      <c r="M146" s="7" t="inlineStr"/>
    </row>
    <row r="147">
      <c r="A147" s="33" t="n">
        <v>45999</v>
      </c>
      <c r="B147" s="7" t="inlineStr">
        <is>
          <t>NB Sum Assured</t>
        </is>
      </c>
      <c r="C147" s="7" t="inlineStr">
        <is>
          <t>Q2-FY2026</t>
        </is>
      </c>
      <c r="D147" s="35" t="n">
        <v>3056.19</v>
      </c>
      <c r="E147" s="32" t="n">
        <v>0.03700000000000001</v>
      </c>
      <c r="F147" s="35">
        <f>D147/(1+E147)</f>
        <v/>
      </c>
      <c r="G147" s="7" t="inlineStr">
        <is>
          <t>Q2-FY2025</t>
        </is>
      </c>
      <c r="H147" s="35" t="n">
        <v>2948.34</v>
      </c>
      <c r="I147" s="33" t="n">
        <v>45727</v>
      </c>
      <c r="J147" s="36">
        <f>F147-H147</f>
        <v/>
      </c>
      <c r="K147" s="16">
        <f>0.005/(1+E147)+D147*0.0005/(1+E147)^2+0.005</f>
        <v/>
      </c>
      <c r="L147" s="17">
        <f>IF(ABS(J147)&lt;=K147,"OK",IF(M147&lt;&gt;"","EXPLAINED","CHECK"))</f>
        <v/>
      </c>
      <c r="M147" s="7" t="inlineStr"/>
    </row>
    <row r="148">
      <c r="A148" s="33" t="n">
        <v>45999</v>
      </c>
      <c r="B148" s="7" t="inlineStr">
        <is>
          <t>NB Sum Assured</t>
        </is>
      </c>
      <c r="C148" s="7" t="inlineStr">
        <is>
          <t>Q1-FY2026</t>
        </is>
      </c>
      <c r="D148" s="35" t="n">
        <v>3714.52</v>
      </c>
      <c r="E148" s="32" t="n">
        <v>0.363</v>
      </c>
      <c r="F148" s="35">
        <f>D148/(1+E148)</f>
        <v/>
      </c>
      <c r="G148" s="7" t="inlineStr">
        <is>
          <t>Q1-FY2025</t>
        </is>
      </c>
      <c r="H148" s="35" t="n">
        <v>2724.68</v>
      </c>
      <c r="I148" s="33" t="n">
        <v>45727</v>
      </c>
      <c r="J148" s="36">
        <f>F148-H148</f>
        <v/>
      </c>
      <c r="K148" s="16">
        <f>0.005/(1+E148)+D148*0.0005/(1+E148)^2+0.005</f>
        <v/>
      </c>
      <c r="L148" s="17">
        <f>IF(ABS(J148)&lt;=K148,"OK",IF(M148&lt;&gt;"","EXPLAINED","CHECK"))</f>
        <v/>
      </c>
      <c r="M148" s="7" t="inlineStr"/>
    </row>
    <row r="149">
      <c r="A149" s="33" t="n">
        <v>45999</v>
      </c>
      <c r="B149" s="7" t="inlineStr">
        <is>
          <t>NB Sum Assured</t>
        </is>
      </c>
      <c r="C149" s="7" t="inlineStr">
        <is>
          <t>FY2025</t>
        </is>
      </c>
      <c r="D149" s="35" t="n">
        <v>11944.01</v>
      </c>
      <c r="E149" s="32" t="n">
        <v>0.169</v>
      </c>
      <c r="F149" s="35">
        <f>D149/(1+E149)</f>
        <v/>
      </c>
      <c r="G149" s="7" t="inlineStr">
        <is>
          <t>FY2024</t>
        </is>
      </c>
      <c r="H149" s="35" t="n">
        <v>10221.11</v>
      </c>
      <c r="I149" s="33" t="n">
        <v>45727</v>
      </c>
      <c r="J149" s="36">
        <f>F149-H149</f>
        <v/>
      </c>
      <c r="K149" s="16">
        <f>0.005/(1+E149)+D149*0.0005/(1+E149)^2+0.005</f>
        <v/>
      </c>
      <c r="L149" s="17">
        <f>IF(ABS(J149)&lt;=K149,"OK",IF(M149&lt;&gt;"","EXPLAINED","CHECK"))</f>
        <v/>
      </c>
      <c r="M149" s="7" t="inlineStr"/>
    </row>
    <row r="150">
      <c r="A150" s="33" t="n">
        <v>45999</v>
      </c>
      <c r="B150" s="7" t="inlineStr">
        <is>
          <t>NB Sum Assured</t>
        </is>
      </c>
      <c r="C150" s="7" t="inlineStr">
        <is>
          <t>Nov-25</t>
        </is>
      </c>
      <c r="D150" s="35" t="n">
        <v>1087.2</v>
      </c>
      <c r="E150" s="32" t="n">
        <v>0.138</v>
      </c>
      <c r="F150" s="35">
        <f>D150/(1+E150)</f>
        <v/>
      </c>
      <c r="G150" s="7" t="inlineStr">
        <is>
          <t>Nov-24</t>
        </is>
      </c>
      <c r="H150" s="35" t="n">
        <v>955.65</v>
      </c>
      <c r="I150" s="33" t="n">
        <v>45667</v>
      </c>
      <c r="J150" s="36">
        <f>F150-H150</f>
        <v/>
      </c>
      <c r="K150" s="16">
        <f>0.005/(1+E150)+D150*0.0005/(1+E150)^2+0.005</f>
        <v/>
      </c>
      <c r="L150" s="17">
        <f>IF(ABS(J150)&lt;=K150,"OK",IF(M150&lt;&gt;"","EXPLAINED","CHECK"))</f>
        <v/>
      </c>
      <c r="M150" s="7" t="inlineStr"/>
    </row>
    <row r="151">
      <c r="A151" s="33" t="n">
        <v>45999</v>
      </c>
      <c r="B151" s="7" t="inlineStr">
        <is>
          <t>NB Sum Assured</t>
        </is>
      </c>
      <c r="C151" s="7" t="inlineStr">
        <is>
          <t>Oct-25</t>
        </is>
      </c>
      <c r="D151" s="35" t="n">
        <v>1119.9</v>
      </c>
      <c r="E151" s="32" t="n">
        <v>0.231</v>
      </c>
      <c r="F151" s="35">
        <f>D151/(1+E151)</f>
        <v/>
      </c>
      <c r="G151" s="7" t="inlineStr">
        <is>
          <t>Oct-24</t>
        </is>
      </c>
      <c r="H151" s="35" t="n">
        <v>909.47</v>
      </c>
      <c r="I151" s="33" t="n">
        <v>45667</v>
      </c>
      <c r="J151" s="36">
        <f>F151-H151</f>
        <v/>
      </c>
      <c r="K151" s="16">
        <f>0.005/(1+E151)+D151*0.0005/(1+E151)^2+0.005</f>
        <v/>
      </c>
      <c r="L151" s="17">
        <f>IF(ABS(J151)&lt;=K151,"OK",IF(M151&lt;&gt;"","EXPLAINED","CHECK"))</f>
        <v/>
      </c>
      <c r="M151" s="7" t="inlineStr"/>
    </row>
    <row r="152">
      <c r="A152" s="33" t="n">
        <v>45999</v>
      </c>
      <c r="B152" s="7" t="inlineStr">
        <is>
          <t>NB Premium</t>
        </is>
      </c>
      <c r="C152" s="7" t="inlineStr">
        <is>
          <t>Q2-FY2026</t>
        </is>
      </c>
      <c r="D152" s="35" t="n">
        <v>54.44</v>
      </c>
      <c r="E152" s="32" t="n">
        <v>0.104</v>
      </c>
      <c r="F152" s="35">
        <f>D152/(1+E152)</f>
        <v/>
      </c>
      <c r="G152" s="7" t="inlineStr">
        <is>
          <t>Q2-FY2025</t>
        </is>
      </c>
      <c r="H152" s="35" t="n">
        <v>49.29</v>
      </c>
      <c r="I152" s="33" t="n">
        <v>45727</v>
      </c>
      <c r="J152" s="36">
        <f>F152-H152</f>
        <v/>
      </c>
      <c r="K152" s="16">
        <f>0.005/(1+E152)+D152*0.0005/(1+E152)^2+0.005</f>
        <v/>
      </c>
      <c r="L152" s="17">
        <f>IF(ABS(J152)&lt;=K152,"OK",IF(M152&lt;&gt;"","EXPLAINED","CHECK"))</f>
        <v/>
      </c>
      <c r="M152" s="7" t="inlineStr"/>
    </row>
    <row r="153">
      <c r="A153" s="33" t="n">
        <v>45999</v>
      </c>
      <c r="B153" s="7" t="inlineStr">
        <is>
          <t>NB Premium</t>
        </is>
      </c>
      <c r="C153" s="7" t="inlineStr">
        <is>
          <t>Q1-FY2026</t>
        </is>
      </c>
      <c r="D153" s="35" t="n">
        <v>40.12</v>
      </c>
      <c r="E153" s="32" t="n">
        <v>0.065</v>
      </c>
      <c r="F153" s="35">
        <f>D153/(1+E153)</f>
        <v/>
      </c>
      <c r="G153" s="7" t="inlineStr">
        <is>
          <t>Q1-FY2025</t>
        </is>
      </c>
      <c r="H153" s="35" t="n">
        <v>37.69</v>
      </c>
      <c r="I153" s="33" t="n">
        <v>45727</v>
      </c>
      <c r="J153" s="36">
        <f>F153-H153</f>
        <v/>
      </c>
      <c r="K153" s="16">
        <f>0.005/(1+E153)+D153*0.0005/(1+E153)^2+0.005</f>
        <v/>
      </c>
      <c r="L153" s="17">
        <f>IF(ABS(J153)&lt;=K153,"OK",IF(M153&lt;&gt;"","EXPLAINED","CHECK"))</f>
        <v/>
      </c>
      <c r="M153" s="7" t="inlineStr"/>
    </row>
    <row r="154">
      <c r="A154" s="33" t="n">
        <v>45999</v>
      </c>
      <c r="B154" s="7" t="inlineStr">
        <is>
          <t>NB Premium</t>
        </is>
      </c>
      <c r="C154" s="7" t="inlineStr">
        <is>
          <t>FY2025</t>
        </is>
      </c>
      <c r="D154" s="35" t="n">
        <v>225.83</v>
      </c>
      <c r="E154" s="32" t="n">
        <v>0.249</v>
      </c>
      <c r="F154" s="35">
        <f>D154/(1+E154)</f>
        <v/>
      </c>
      <c r="G154" s="7" t="inlineStr">
        <is>
          <t>FY2024</t>
        </is>
      </c>
      <c r="H154" s="35" t="n">
        <v>180.81</v>
      </c>
      <c r="I154" s="33" t="n">
        <v>45727</v>
      </c>
      <c r="J154" s="36">
        <f>F154-H154</f>
        <v/>
      </c>
      <c r="K154" s="16">
        <f>0.005/(1+E154)+D154*0.0005/(1+E154)^2+0.005</f>
        <v/>
      </c>
      <c r="L154" s="17">
        <f>IF(ABS(J154)&lt;=K154,"OK",IF(M154&lt;&gt;"","EXPLAINED","CHECK"))</f>
        <v/>
      </c>
      <c r="M154" s="7" t="inlineStr"/>
    </row>
    <row r="155">
      <c r="A155" s="33" t="n">
        <v>45999</v>
      </c>
      <c r="B155" s="7" t="inlineStr">
        <is>
          <t>NB Premium</t>
        </is>
      </c>
      <c r="C155" s="7" t="inlineStr">
        <is>
          <t>Nov-25</t>
        </is>
      </c>
      <c r="D155" s="35" t="n">
        <v>19.16</v>
      </c>
      <c r="E155" s="32" t="n">
        <v>-0.405</v>
      </c>
      <c r="F155" s="35">
        <f>D155/(1+E155)</f>
        <v/>
      </c>
      <c r="G155" s="7" t="inlineStr">
        <is>
          <t>Nov-24</t>
        </is>
      </c>
      <c r="H155" s="35" t="n">
        <v>32.22</v>
      </c>
      <c r="I155" s="33" t="n">
        <v>45667</v>
      </c>
      <c r="J155" s="36">
        <f>F155-H155</f>
        <v/>
      </c>
      <c r="K155" s="16">
        <f>0.005/(1+E155)+D155*0.0005/(1+E155)^2+0.005</f>
        <v/>
      </c>
      <c r="L155" s="17">
        <f>IF(ABS(J155)&lt;=K155,"OK",IF(M155&lt;&gt;"","EXPLAINED","CHECK"))</f>
        <v/>
      </c>
      <c r="M155" s="7" t="inlineStr"/>
    </row>
    <row r="156">
      <c r="A156" s="33" t="n">
        <v>45999</v>
      </c>
      <c r="B156" s="7" t="inlineStr">
        <is>
          <t>NB Premium</t>
        </is>
      </c>
      <c r="C156" s="7" t="inlineStr">
        <is>
          <t>Oct-25</t>
        </is>
      </c>
      <c r="D156" s="35" t="n">
        <v>17.73</v>
      </c>
      <c r="E156" s="32" t="n">
        <v>0.065</v>
      </c>
      <c r="F156" s="35">
        <f>D156/(1+E156)</f>
        <v/>
      </c>
      <c r="G156" s="7" t="inlineStr">
        <is>
          <t>Oct-24</t>
        </is>
      </c>
      <c r="H156" s="35" t="n">
        <v>16.65</v>
      </c>
      <c r="I156" s="33" t="n">
        <v>45667</v>
      </c>
      <c r="J156" s="36">
        <f>F156-H156</f>
        <v/>
      </c>
      <c r="K156" s="16">
        <f>0.005/(1+E156)+D156*0.0005/(1+E156)^2+0.005</f>
        <v/>
      </c>
      <c r="L156" s="17">
        <f>IF(ABS(J156)&lt;=K156,"OK",IF(M156&lt;&gt;"","EXPLAINED","CHECK"))</f>
        <v/>
      </c>
      <c r="M156" s="7" t="inlineStr"/>
    </row>
    <row r="157">
      <c r="A157" s="33" t="n">
        <v>45999</v>
      </c>
      <c r="B157" s="7" t="inlineStr">
        <is>
          <t>Retail APE</t>
        </is>
      </c>
      <c r="C157" s="7" t="inlineStr">
        <is>
          <t>Q2-FY2026</t>
        </is>
      </c>
      <c r="D157" s="35" t="n">
        <v>20.07</v>
      </c>
      <c r="E157" s="32" t="n">
        <v>-0.07099999999999999</v>
      </c>
      <c r="F157" s="35">
        <f>D157/(1+E157)</f>
        <v/>
      </c>
      <c r="G157" s="7" t="inlineStr">
        <is>
          <t>Q2-FY2025</t>
        </is>
      </c>
      <c r="H157" s="35" t="n">
        <v>21.61</v>
      </c>
      <c r="I157" s="33" t="n">
        <v>45727</v>
      </c>
      <c r="J157" s="36">
        <f>F157-H157</f>
        <v/>
      </c>
      <c r="K157" s="16">
        <f>0.005/(1+E157)+D157*0.0005/(1+E157)^2+0.005</f>
        <v/>
      </c>
      <c r="L157" s="17">
        <f>IF(ABS(J157)&lt;=K157,"OK",IF(M157&lt;&gt;"","EXPLAINED","CHECK"))</f>
        <v/>
      </c>
      <c r="M157" s="7" t="inlineStr"/>
    </row>
    <row r="158">
      <c r="A158" s="33" t="n">
        <v>45999</v>
      </c>
      <c r="B158" s="7" t="inlineStr">
        <is>
          <t>Retail APE</t>
        </is>
      </c>
      <c r="C158" s="7" t="inlineStr">
        <is>
          <t>Q1-FY2026</t>
        </is>
      </c>
      <c r="D158" s="35" t="n">
        <v>15.12</v>
      </c>
      <c r="E158" s="32" t="n">
        <v>-0.092</v>
      </c>
      <c r="F158" s="35">
        <f>D158/(1+E158)</f>
        <v/>
      </c>
      <c r="G158" s="7" t="inlineStr">
        <is>
          <t>Q1-FY2025</t>
        </is>
      </c>
      <c r="H158" s="35" t="n">
        <v>16.66</v>
      </c>
      <c r="I158" s="33" t="n">
        <v>45727</v>
      </c>
      <c r="J158" s="36">
        <f>F158-H158</f>
        <v/>
      </c>
      <c r="K158" s="16">
        <f>0.005/(1+E158)+D158*0.0005/(1+E158)^2+0.005</f>
        <v/>
      </c>
      <c r="L158" s="17">
        <f>IF(ABS(J158)&lt;=K158,"OK",IF(M158&lt;&gt;"","EXPLAINED","CHECK"))</f>
        <v/>
      </c>
      <c r="M158" s="7" t="inlineStr"/>
    </row>
    <row r="159">
      <c r="A159" s="33" t="n">
        <v>45999</v>
      </c>
      <c r="B159" s="7" t="inlineStr">
        <is>
          <t>Retail APE</t>
        </is>
      </c>
      <c r="C159" s="7" t="inlineStr">
        <is>
          <t>FY2025</t>
        </is>
      </c>
      <c r="D159" s="35" t="n">
        <v>87.05</v>
      </c>
      <c r="E159" s="32" t="n">
        <v>0.133</v>
      </c>
      <c r="F159" s="35">
        <f>D159/(1+E159)</f>
        <v/>
      </c>
      <c r="G159" s="7" t="inlineStr">
        <is>
          <t>FY2024</t>
        </is>
      </c>
      <c r="H159" s="35" t="n">
        <v>76.8</v>
      </c>
      <c r="I159" s="33" t="n">
        <v>45727</v>
      </c>
      <c r="J159" s="36">
        <f>F159-H159</f>
        <v/>
      </c>
      <c r="K159" s="16">
        <f>0.005/(1+E159)+D159*0.0005/(1+E159)^2+0.005</f>
        <v/>
      </c>
      <c r="L159" s="17">
        <f>IF(ABS(J159)&lt;=K159,"OK",IF(M159&lt;&gt;"","EXPLAINED","CHECK"))</f>
        <v/>
      </c>
      <c r="M159" s="7" t="inlineStr"/>
    </row>
    <row r="160">
      <c r="A160" s="33" t="n">
        <v>45999</v>
      </c>
      <c r="B160" s="7" t="inlineStr">
        <is>
          <t>APE</t>
        </is>
      </c>
      <c r="C160" s="7" t="inlineStr">
        <is>
          <t>Q2-FY2026</t>
        </is>
      </c>
      <c r="D160" s="35" t="n">
        <v>24.21</v>
      </c>
      <c r="E160" s="32" t="n">
        <v>-0.033</v>
      </c>
      <c r="F160" s="35">
        <f>D160/(1+E160)</f>
        <v/>
      </c>
      <c r="G160" s="7" t="inlineStr">
        <is>
          <t>Q2-FY2025</t>
        </is>
      </c>
      <c r="H160" s="35" t="n">
        <v>25.03</v>
      </c>
      <c r="I160" s="33" t="n">
        <v>45727</v>
      </c>
      <c r="J160" s="36">
        <f>F160-H160</f>
        <v/>
      </c>
      <c r="K160" s="16">
        <f>0.005/(1+E160)+D160*0.0005/(1+E160)^2+0.005</f>
        <v/>
      </c>
      <c r="L160" s="17">
        <f>IF(ABS(J160)&lt;=K160,"OK",IF(M160&lt;&gt;"","EXPLAINED","CHECK"))</f>
        <v/>
      </c>
      <c r="M160" s="7" t="inlineStr"/>
    </row>
    <row r="161">
      <c r="A161" s="33" t="n">
        <v>45999</v>
      </c>
      <c r="B161" s="7" t="inlineStr">
        <is>
          <t>APE</t>
        </is>
      </c>
      <c r="C161" s="7" t="inlineStr">
        <is>
          <t>Q1-FY2026</t>
        </is>
      </c>
      <c r="D161" s="35" t="n">
        <v>18.64</v>
      </c>
      <c r="E161" s="32" t="n">
        <v>-0.05</v>
      </c>
      <c r="F161" s="35">
        <f>D161/(1+E161)</f>
        <v/>
      </c>
      <c r="G161" s="7" t="inlineStr">
        <is>
          <t>Q1-FY2025</t>
        </is>
      </c>
      <c r="H161" s="35" t="n">
        <v>19.63</v>
      </c>
      <c r="I161" s="33" t="n">
        <v>45727</v>
      </c>
      <c r="J161" s="36">
        <f>F161-H161</f>
        <v/>
      </c>
      <c r="K161" s="16">
        <f>0.005/(1+E161)+D161*0.0005/(1+E161)^2+0.005</f>
        <v/>
      </c>
      <c r="L161" s="17">
        <f>IF(ABS(J161)&lt;=K161,"OK",IF(M161&lt;&gt;"","EXPLAINED","CHECK"))</f>
        <v/>
      </c>
      <c r="M161" s="7" t="inlineStr"/>
    </row>
    <row r="162">
      <c r="A162" s="33" t="n">
        <v>45999</v>
      </c>
      <c r="B162" s="7" t="inlineStr">
        <is>
          <t>APE</t>
        </is>
      </c>
      <c r="C162" s="7" t="inlineStr">
        <is>
          <t>FY2025</t>
        </is>
      </c>
      <c r="D162" s="35" t="n">
        <v>104.07</v>
      </c>
      <c r="E162" s="32" t="n">
        <v>0.15</v>
      </c>
      <c r="F162" s="35">
        <f>D162/(1+E162)</f>
        <v/>
      </c>
      <c r="G162" s="7" t="inlineStr">
        <is>
          <t>FY2024</t>
        </is>
      </c>
      <c r="H162" s="35" t="n">
        <v>90.45999999999999</v>
      </c>
      <c r="I162" s="33" t="n">
        <v>45727</v>
      </c>
      <c r="J162" s="36">
        <f>F162-H162</f>
        <v/>
      </c>
      <c r="K162" s="16">
        <f>0.005/(1+E162)+D162*0.0005/(1+E162)^2+0.005</f>
        <v/>
      </c>
      <c r="L162" s="17">
        <f>IF(ABS(J162)&lt;=K162,"OK",IF(M162&lt;&gt;"","EXPLAINED","CHECK"))</f>
        <v/>
      </c>
      <c r="M162" s="7" t="inlineStr"/>
    </row>
    <row r="163">
      <c r="A163" s="33" t="n">
        <v>45999</v>
      </c>
      <c r="B163" s="7" t="inlineStr">
        <is>
          <t>APE</t>
        </is>
      </c>
      <c r="C163" s="7" t="inlineStr">
        <is>
          <t>Nov-25</t>
        </is>
      </c>
      <c r="D163" s="35" t="n">
        <v>8.630000000000001</v>
      </c>
      <c r="E163" s="32" t="n">
        <v>0.005</v>
      </c>
      <c r="F163" s="35">
        <f>D163/(1+E163)</f>
        <v/>
      </c>
      <c r="G163" s="7" t="inlineStr">
        <is>
          <t>Nov-24</t>
        </is>
      </c>
      <c r="H163" s="35" t="n">
        <v>8.59</v>
      </c>
      <c r="I163" s="33" t="n">
        <v>45667</v>
      </c>
      <c r="J163" s="36">
        <f>F163-H163</f>
        <v/>
      </c>
      <c r="K163" s="16">
        <f>0.005/(1+E163)+D163*0.0005/(1+E163)^2+0.005</f>
        <v/>
      </c>
      <c r="L163" s="17">
        <f>IF(ABS(J163)&lt;=K163,"OK",IF(M163&lt;&gt;"","EXPLAINED","CHECK"))</f>
        <v/>
      </c>
      <c r="M163" s="7" t="inlineStr"/>
    </row>
    <row r="164">
      <c r="A164" s="33" t="n">
        <v>45999</v>
      </c>
      <c r="B164" s="7" t="inlineStr">
        <is>
          <t>APE</t>
        </is>
      </c>
      <c r="C164" s="7" t="inlineStr">
        <is>
          <t>Oct-25</t>
        </is>
      </c>
      <c r="D164" s="35" t="n">
        <v>7.34</v>
      </c>
      <c r="E164" s="32" t="n">
        <v>0.029</v>
      </c>
      <c r="F164" s="35">
        <f>D164/(1+E164)</f>
        <v/>
      </c>
      <c r="G164" s="7" t="inlineStr">
        <is>
          <t>Oct-24</t>
        </is>
      </c>
      <c r="H164" s="35" t="n">
        <v>7.13</v>
      </c>
      <c r="I164" s="33" t="n">
        <v>45667</v>
      </c>
      <c r="J164" s="36">
        <f>F164-H164</f>
        <v/>
      </c>
      <c r="K164" s="16">
        <f>0.005/(1+E164)+D164*0.0005/(1+E164)^2+0.005</f>
        <v/>
      </c>
      <c r="L164" s="17">
        <f>IF(ABS(J164)&lt;=K164,"OK",IF(M164&lt;&gt;"","EXPLAINED","CHECK"))</f>
        <v/>
      </c>
      <c r="M164" s="7" t="inlineStr"/>
    </row>
    <row r="165">
      <c r="A165" s="33" t="n">
        <v>45999</v>
      </c>
      <c r="B165" s="7" t="inlineStr">
        <is>
          <t>RWRP</t>
        </is>
      </c>
      <c r="C165" s="7" t="inlineStr">
        <is>
          <t>Q2-FY2026</t>
        </is>
      </c>
      <c r="D165" s="35" t="n">
        <v>19.28</v>
      </c>
      <c r="E165" s="32" t="n">
        <v>-0.08500000000000001</v>
      </c>
      <c r="F165" s="35">
        <f>D165/(1+E165)</f>
        <v/>
      </c>
      <c r="G165" s="7" t="inlineStr">
        <is>
          <t>Q2-FY2025</t>
        </is>
      </c>
      <c r="H165" s="35" t="n">
        <v>21.08</v>
      </c>
      <c r="I165" s="33" t="n">
        <v>45727</v>
      </c>
      <c r="J165" s="36">
        <f>F165-H165</f>
        <v/>
      </c>
      <c r="K165" s="16">
        <f>0.005/(1+E165)+D165*0.0005/(1+E165)^2+0.005</f>
        <v/>
      </c>
      <c r="L165" s="17">
        <f>IF(ABS(J165)&lt;=K165,"OK",IF(M165&lt;&gt;"","EXPLAINED","CHECK"))</f>
        <v/>
      </c>
      <c r="M165" s="7" t="inlineStr"/>
    </row>
    <row r="166">
      <c r="A166" s="33" t="n">
        <v>45999</v>
      </c>
      <c r="B166" s="7" t="inlineStr">
        <is>
          <t>RWRP</t>
        </is>
      </c>
      <c r="C166" s="7" t="inlineStr">
        <is>
          <t>Q1-FY2026</t>
        </is>
      </c>
      <c r="D166" s="35" t="n">
        <v>13.56</v>
      </c>
      <c r="E166" s="32" t="n">
        <v>-0.13</v>
      </c>
      <c r="F166" s="35">
        <f>D166/(1+E166)</f>
        <v/>
      </c>
      <c r="G166" s="7" t="inlineStr">
        <is>
          <t>Q1-FY2025</t>
        </is>
      </c>
      <c r="H166" s="35" t="n">
        <v>15.58</v>
      </c>
      <c r="I166" s="33" t="n">
        <v>45727</v>
      </c>
      <c r="J166" s="36">
        <f>F166-H166</f>
        <v/>
      </c>
      <c r="K166" s="16">
        <f>0.005/(1+E166)+D166*0.0005/(1+E166)^2+0.005</f>
        <v/>
      </c>
      <c r="L166" s="17">
        <f>IF(ABS(J166)&lt;=K166,"OK",IF(M166&lt;&gt;"","EXPLAINED","CHECK"))</f>
        <v/>
      </c>
      <c r="M166" s="7" t="inlineStr"/>
    </row>
    <row r="167">
      <c r="A167" s="33" t="n">
        <v>45999</v>
      </c>
      <c r="B167" s="7" t="inlineStr">
        <is>
          <t>RWRP</t>
        </is>
      </c>
      <c r="C167" s="7" t="inlineStr">
        <is>
          <t>FY2025</t>
        </is>
      </c>
      <c r="D167" s="35" t="n">
        <v>83.06999999999999</v>
      </c>
      <c r="E167" s="32" t="n">
        <v>0.152</v>
      </c>
      <c r="F167" s="35">
        <f>D167/(1+E167)</f>
        <v/>
      </c>
      <c r="G167" s="7" t="inlineStr">
        <is>
          <t>FY2024</t>
        </is>
      </c>
      <c r="H167" s="35" t="n">
        <v>72.13</v>
      </c>
      <c r="I167" s="33" t="n">
        <v>45727</v>
      </c>
      <c r="J167" s="36">
        <f>F167-H167</f>
        <v/>
      </c>
      <c r="K167" s="16">
        <f>0.005/(1+E167)+D167*0.0005/(1+E167)^2+0.005</f>
        <v/>
      </c>
      <c r="L167" s="17">
        <f>IF(ABS(J167)&lt;=K167,"OK",IF(M167&lt;&gt;"","EXPLAINED","CHECK"))</f>
        <v/>
      </c>
      <c r="M167" s="7" t="inlineStr"/>
    </row>
    <row r="168">
      <c r="A168" s="33" t="n">
        <v>45999</v>
      </c>
      <c r="B168" s="7" t="inlineStr">
        <is>
          <t>RWRP</t>
        </is>
      </c>
      <c r="C168" s="7" t="inlineStr">
        <is>
          <t>Nov-25</t>
        </is>
      </c>
      <c r="D168" s="35" t="n">
        <v>6.5</v>
      </c>
      <c r="E168" s="32" t="n">
        <v>0.132</v>
      </c>
      <c r="F168" s="35">
        <f>D168/(1+E168)</f>
        <v/>
      </c>
      <c r="G168" s="7" t="inlineStr">
        <is>
          <t>Nov-24</t>
        </is>
      </c>
      <c r="H168" s="35" t="n">
        <v>5.74</v>
      </c>
      <c r="I168" s="33" t="n">
        <v>45667</v>
      </c>
      <c r="J168" s="36">
        <f>F168-H168</f>
        <v/>
      </c>
      <c r="K168" s="16">
        <f>0.005/(1+E168)+D168*0.0005/(1+E168)^2+0.005</f>
        <v/>
      </c>
      <c r="L168" s="17">
        <f>IF(ABS(J168)&lt;=K168,"OK",IF(M168&lt;&gt;"","EXPLAINED","CHECK"))</f>
        <v/>
      </c>
      <c r="M168" s="7" t="inlineStr"/>
    </row>
    <row r="169">
      <c r="A169" s="33" t="n">
        <v>45999</v>
      </c>
      <c r="B169" s="7" t="inlineStr">
        <is>
          <t>RWRP</t>
        </is>
      </c>
      <c r="C169" s="7" t="inlineStr">
        <is>
          <t>Oct-25</t>
        </is>
      </c>
      <c r="D169" s="35" t="n">
        <v>6.01</v>
      </c>
      <c r="E169" s="32" t="n">
        <v>0.027</v>
      </c>
      <c r="F169" s="35">
        <f>D169/(1+E169)</f>
        <v/>
      </c>
      <c r="G169" s="7" t="inlineStr">
        <is>
          <t>Oct-24</t>
        </is>
      </c>
      <c r="H169" s="35" t="n">
        <v>5.85</v>
      </c>
      <c r="I169" s="33" t="n">
        <v>45667</v>
      </c>
      <c r="J169" s="36">
        <f>F169-H169</f>
        <v/>
      </c>
      <c r="K169" s="16">
        <f>0.005/(1+E169)+D169*0.0005/(1+E169)^2+0.005</f>
        <v/>
      </c>
      <c r="L169" s="17">
        <f>IF(ABS(J169)&lt;=K169,"OK",IF(M169&lt;&gt;"","EXPLAINED","CHECK"))</f>
        <v/>
      </c>
      <c r="M169" s="7" t="inlineStr"/>
    </row>
    <row r="170">
      <c r="A170" s="33" t="n">
        <v>45968</v>
      </c>
      <c r="B170" s="7" t="inlineStr">
        <is>
          <t>NB Sum Assured</t>
        </is>
      </c>
      <c r="C170" s="7" t="inlineStr">
        <is>
          <t>Q2-FY2026</t>
        </is>
      </c>
      <c r="D170" s="35" t="n">
        <v>3056.19</v>
      </c>
      <c r="E170" s="32" t="n">
        <v>0.03700000000000001</v>
      </c>
      <c r="F170" s="35">
        <f>D170/(1+E170)</f>
        <v/>
      </c>
      <c r="G170" s="7" t="inlineStr">
        <is>
          <t>Q2-FY2025</t>
        </is>
      </c>
      <c r="H170" s="35" t="n">
        <v>2948.34</v>
      </c>
      <c r="I170" s="33" t="n">
        <v>45727</v>
      </c>
      <c r="J170" s="36">
        <f>F170-H170</f>
        <v/>
      </c>
      <c r="K170" s="16">
        <f>0.005/(1+E170)+D170*0.0005/(1+E170)^2+0.005</f>
        <v/>
      </c>
      <c r="L170" s="17">
        <f>IF(ABS(J170)&lt;=K170,"OK",IF(M170&lt;&gt;"","EXPLAINED","CHECK"))</f>
        <v/>
      </c>
      <c r="M170" s="7" t="inlineStr"/>
    </row>
    <row r="171">
      <c r="A171" s="33" t="n">
        <v>45968</v>
      </c>
      <c r="B171" s="7" t="inlineStr">
        <is>
          <t>NB Sum Assured</t>
        </is>
      </c>
      <c r="C171" s="7" t="inlineStr">
        <is>
          <t>Q1-FY2026</t>
        </is>
      </c>
      <c r="D171" s="35" t="n">
        <v>3714.52</v>
      </c>
      <c r="E171" s="32" t="n">
        <v>0.363</v>
      </c>
      <c r="F171" s="35">
        <f>D171/(1+E171)</f>
        <v/>
      </c>
      <c r="G171" s="7" t="inlineStr">
        <is>
          <t>Q1-FY2025</t>
        </is>
      </c>
      <c r="H171" s="35" t="n">
        <v>2724.68</v>
      </c>
      <c r="I171" s="33" t="n">
        <v>45727</v>
      </c>
      <c r="J171" s="36">
        <f>F171-H171</f>
        <v/>
      </c>
      <c r="K171" s="16">
        <f>0.005/(1+E171)+D171*0.0005/(1+E171)^2+0.005</f>
        <v/>
      </c>
      <c r="L171" s="17">
        <f>IF(ABS(J171)&lt;=K171,"OK",IF(M171&lt;&gt;"","EXPLAINED","CHECK"))</f>
        <v/>
      </c>
      <c r="M171" s="7" t="inlineStr"/>
    </row>
    <row r="172">
      <c r="A172" s="33" t="n">
        <v>45968</v>
      </c>
      <c r="B172" s="7" t="inlineStr">
        <is>
          <t>NB Sum Assured</t>
        </is>
      </c>
      <c r="C172" s="7" t="inlineStr">
        <is>
          <t>FY2025</t>
        </is>
      </c>
      <c r="D172" s="35" t="n">
        <v>11944.01</v>
      </c>
      <c r="E172" s="32" t="n">
        <v>0.169</v>
      </c>
      <c r="F172" s="35">
        <f>D172/(1+E172)</f>
        <v/>
      </c>
      <c r="G172" s="7" t="inlineStr">
        <is>
          <t>FY2024</t>
        </is>
      </c>
      <c r="H172" s="35" t="n">
        <v>10221.11</v>
      </c>
      <c r="I172" s="33" t="n">
        <v>45727</v>
      </c>
      <c r="J172" s="36">
        <f>F172-H172</f>
        <v/>
      </c>
      <c r="K172" s="16">
        <f>0.005/(1+E172)+D172*0.0005/(1+E172)^2+0.005</f>
        <v/>
      </c>
      <c r="L172" s="17">
        <f>IF(ABS(J172)&lt;=K172,"OK",IF(M172&lt;&gt;"","EXPLAINED","CHECK"))</f>
        <v/>
      </c>
      <c r="M172" s="7" t="inlineStr"/>
    </row>
    <row r="173">
      <c r="A173" s="33" t="n">
        <v>45968</v>
      </c>
      <c r="B173" s="7" t="inlineStr">
        <is>
          <t>NB Sum Assured</t>
        </is>
      </c>
      <c r="C173" s="7" t="inlineStr">
        <is>
          <t>Oct-25</t>
        </is>
      </c>
      <c r="D173" s="35" t="n">
        <v>1119.9</v>
      </c>
      <c r="E173" s="32" t="n">
        <v>0.231</v>
      </c>
      <c r="F173" s="35">
        <f>D173/(1+E173)</f>
        <v/>
      </c>
      <c r="G173" s="7" t="inlineStr">
        <is>
          <t>Oct-24</t>
        </is>
      </c>
      <c r="H173" s="35" t="n">
        <v>909.47</v>
      </c>
      <c r="I173" s="33" t="n">
        <v>45667</v>
      </c>
      <c r="J173" s="36">
        <f>F173-H173</f>
        <v/>
      </c>
      <c r="K173" s="16">
        <f>0.005/(1+E173)+D173*0.0005/(1+E173)^2+0.005</f>
        <v/>
      </c>
      <c r="L173" s="17">
        <f>IF(ABS(J173)&lt;=K173,"OK",IF(M173&lt;&gt;"","EXPLAINED","CHECK"))</f>
        <v/>
      </c>
      <c r="M173" s="7" t="inlineStr"/>
    </row>
    <row r="174">
      <c r="A174" s="33" t="n">
        <v>45968</v>
      </c>
      <c r="B174" s="7" t="inlineStr">
        <is>
          <t>NB Premium</t>
        </is>
      </c>
      <c r="C174" s="7" t="inlineStr">
        <is>
          <t>Q2-FY2026</t>
        </is>
      </c>
      <c r="D174" s="35" t="n">
        <v>54.44</v>
      </c>
      <c r="E174" s="32" t="n">
        <v>0.104</v>
      </c>
      <c r="F174" s="35">
        <f>D174/(1+E174)</f>
        <v/>
      </c>
      <c r="G174" s="7" t="inlineStr">
        <is>
          <t>Q2-FY2025</t>
        </is>
      </c>
      <c r="H174" s="35" t="n">
        <v>49.29</v>
      </c>
      <c r="I174" s="33" t="n">
        <v>45727</v>
      </c>
      <c r="J174" s="36">
        <f>F174-H174</f>
        <v/>
      </c>
      <c r="K174" s="16">
        <f>0.005/(1+E174)+D174*0.0005/(1+E174)^2+0.005</f>
        <v/>
      </c>
      <c r="L174" s="17">
        <f>IF(ABS(J174)&lt;=K174,"OK",IF(M174&lt;&gt;"","EXPLAINED","CHECK"))</f>
        <v/>
      </c>
      <c r="M174" s="7" t="inlineStr"/>
    </row>
    <row r="175">
      <c r="A175" s="33" t="n">
        <v>45968</v>
      </c>
      <c r="B175" s="7" t="inlineStr">
        <is>
          <t>NB Premium</t>
        </is>
      </c>
      <c r="C175" s="7" t="inlineStr">
        <is>
          <t>Q1-FY2026</t>
        </is>
      </c>
      <c r="D175" s="35" t="n">
        <v>40.12</v>
      </c>
      <c r="E175" s="32" t="n">
        <v>0.065</v>
      </c>
      <c r="F175" s="35">
        <f>D175/(1+E175)</f>
        <v/>
      </c>
      <c r="G175" s="7" t="inlineStr">
        <is>
          <t>Q1-FY2025</t>
        </is>
      </c>
      <c r="H175" s="35" t="n">
        <v>37.69</v>
      </c>
      <c r="I175" s="33" t="n">
        <v>45727</v>
      </c>
      <c r="J175" s="36">
        <f>F175-H175</f>
        <v/>
      </c>
      <c r="K175" s="16">
        <f>0.005/(1+E175)+D175*0.0005/(1+E175)^2+0.005</f>
        <v/>
      </c>
      <c r="L175" s="17">
        <f>IF(ABS(J175)&lt;=K175,"OK",IF(M175&lt;&gt;"","EXPLAINED","CHECK"))</f>
        <v/>
      </c>
      <c r="M175" s="7" t="inlineStr"/>
    </row>
    <row r="176">
      <c r="A176" s="33" t="n">
        <v>45968</v>
      </c>
      <c r="B176" s="7" t="inlineStr">
        <is>
          <t>NB Premium</t>
        </is>
      </c>
      <c r="C176" s="7" t="inlineStr">
        <is>
          <t>FY2025</t>
        </is>
      </c>
      <c r="D176" s="35" t="n">
        <v>225.83</v>
      </c>
      <c r="E176" s="32" t="n">
        <v>0.249</v>
      </c>
      <c r="F176" s="35">
        <f>D176/(1+E176)</f>
        <v/>
      </c>
      <c r="G176" s="7" t="inlineStr">
        <is>
          <t>FY2024</t>
        </is>
      </c>
      <c r="H176" s="35" t="n">
        <v>180.81</v>
      </c>
      <c r="I176" s="33" t="n">
        <v>45727</v>
      </c>
      <c r="J176" s="36">
        <f>F176-H176</f>
        <v/>
      </c>
      <c r="K176" s="16">
        <f>0.005/(1+E176)+D176*0.0005/(1+E176)^2+0.005</f>
        <v/>
      </c>
      <c r="L176" s="17">
        <f>IF(ABS(J176)&lt;=K176,"OK",IF(M176&lt;&gt;"","EXPLAINED","CHECK"))</f>
        <v/>
      </c>
      <c r="M176" s="7" t="inlineStr"/>
    </row>
    <row r="177">
      <c r="A177" s="33" t="n">
        <v>45968</v>
      </c>
      <c r="B177" s="7" t="inlineStr">
        <is>
          <t>NB Premium</t>
        </is>
      </c>
      <c r="C177" s="7" t="inlineStr">
        <is>
          <t>Oct-25</t>
        </is>
      </c>
      <c r="D177" s="35" t="n">
        <v>17.73</v>
      </c>
      <c r="E177" s="32" t="n">
        <v>0.065</v>
      </c>
      <c r="F177" s="35">
        <f>D177/(1+E177)</f>
        <v/>
      </c>
      <c r="G177" s="7" t="inlineStr">
        <is>
          <t>Oct-24</t>
        </is>
      </c>
      <c r="H177" s="35" t="n">
        <v>16.65</v>
      </c>
      <c r="I177" s="33" t="n">
        <v>45667</v>
      </c>
      <c r="J177" s="36">
        <f>F177-H177</f>
        <v/>
      </c>
      <c r="K177" s="16">
        <f>0.005/(1+E177)+D177*0.0005/(1+E177)^2+0.005</f>
        <v/>
      </c>
      <c r="L177" s="17">
        <f>IF(ABS(J177)&lt;=K177,"OK",IF(M177&lt;&gt;"","EXPLAINED","CHECK"))</f>
        <v/>
      </c>
      <c r="M177" s="7" t="inlineStr"/>
    </row>
    <row r="178">
      <c r="A178" s="33" t="n">
        <v>45968</v>
      </c>
      <c r="B178" s="7" t="inlineStr">
        <is>
          <t>Retail APE</t>
        </is>
      </c>
      <c r="C178" s="7" t="inlineStr">
        <is>
          <t>Q2-FY2026</t>
        </is>
      </c>
      <c r="D178" s="35" t="n">
        <v>20.07</v>
      </c>
      <c r="E178" s="32" t="n">
        <v>-0.07099999999999999</v>
      </c>
      <c r="F178" s="35">
        <f>D178/(1+E178)</f>
        <v/>
      </c>
      <c r="G178" s="7" t="inlineStr">
        <is>
          <t>Q2-FY2025</t>
        </is>
      </c>
      <c r="H178" s="35" t="n">
        <v>21.61</v>
      </c>
      <c r="I178" s="33" t="n">
        <v>45727</v>
      </c>
      <c r="J178" s="36">
        <f>F178-H178</f>
        <v/>
      </c>
      <c r="K178" s="16">
        <f>0.005/(1+E178)+D178*0.0005/(1+E178)^2+0.005</f>
        <v/>
      </c>
      <c r="L178" s="17">
        <f>IF(ABS(J178)&lt;=K178,"OK",IF(M178&lt;&gt;"","EXPLAINED","CHECK"))</f>
        <v/>
      </c>
      <c r="M178" s="7" t="inlineStr"/>
    </row>
    <row r="179">
      <c r="A179" s="33" t="n">
        <v>45968</v>
      </c>
      <c r="B179" s="7" t="inlineStr">
        <is>
          <t>Retail APE</t>
        </is>
      </c>
      <c r="C179" s="7" t="inlineStr">
        <is>
          <t>Q1-FY2026</t>
        </is>
      </c>
      <c r="D179" s="35" t="n">
        <v>15.12</v>
      </c>
      <c r="E179" s="32" t="n">
        <v>-0.092</v>
      </c>
      <c r="F179" s="35">
        <f>D179/(1+E179)</f>
        <v/>
      </c>
      <c r="G179" s="7" t="inlineStr">
        <is>
          <t>Q1-FY2025</t>
        </is>
      </c>
      <c r="H179" s="35" t="n">
        <v>16.66</v>
      </c>
      <c r="I179" s="33" t="n">
        <v>45727</v>
      </c>
      <c r="J179" s="36">
        <f>F179-H179</f>
        <v/>
      </c>
      <c r="K179" s="16">
        <f>0.005/(1+E179)+D179*0.0005/(1+E179)^2+0.005</f>
        <v/>
      </c>
      <c r="L179" s="17">
        <f>IF(ABS(J179)&lt;=K179,"OK",IF(M179&lt;&gt;"","EXPLAINED","CHECK"))</f>
        <v/>
      </c>
      <c r="M179" s="7" t="inlineStr"/>
    </row>
    <row r="180">
      <c r="A180" s="33" t="n">
        <v>45968</v>
      </c>
      <c r="B180" s="7" t="inlineStr">
        <is>
          <t>Retail APE</t>
        </is>
      </c>
      <c r="C180" s="7" t="inlineStr">
        <is>
          <t>FY2025</t>
        </is>
      </c>
      <c r="D180" s="35" t="n">
        <v>87.05</v>
      </c>
      <c r="E180" s="32" t="n">
        <v>0.133</v>
      </c>
      <c r="F180" s="35">
        <f>D180/(1+E180)</f>
        <v/>
      </c>
      <c r="G180" s="7" t="inlineStr">
        <is>
          <t>FY2024</t>
        </is>
      </c>
      <c r="H180" s="35" t="n">
        <v>76.8</v>
      </c>
      <c r="I180" s="33" t="n">
        <v>45727</v>
      </c>
      <c r="J180" s="36">
        <f>F180-H180</f>
        <v/>
      </c>
      <c r="K180" s="16">
        <f>0.005/(1+E180)+D180*0.0005/(1+E180)^2+0.005</f>
        <v/>
      </c>
      <c r="L180" s="17">
        <f>IF(ABS(J180)&lt;=K180,"OK",IF(M180&lt;&gt;"","EXPLAINED","CHECK"))</f>
        <v/>
      </c>
      <c r="M180" s="7" t="inlineStr"/>
    </row>
    <row r="181">
      <c r="A181" s="33" t="n">
        <v>45968</v>
      </c>
      <c r="B181" s="7" t="inlineStr">
        <is>
          <t>APE</t>
        </is>
      </c>
      <c r="C181" s="7" t="inlineStr">
        <is>
          <t>Q2-FY2026</t>
        </is>
      </c>
      <c r="D181" s="35" t="n">
        <v>24.21</v>
      </c>
      <c r="E181" s="32" t="n">
        <v>-0.033</v>
      </c>
      <c r="F181" s="35">
        <f>D181/(1+E181)</f>
        <v/>
      </c>
      <c r="G181" s="7" t="inlineStr">
        <is>
          <t>Q2-FY2025</t>
        </is>
      </c>
      <c r="H181" s="35" t="n">
        <v>25.03</v>
      </c>
      <c r="I181" s="33" t="n">
        <v>45727</v>
      </c>
      <c r="J181" s="36">
        <f>F181-H181</f>
        <v/>
      </c>
      <c r="K181" s="16">
        <f>0.005/(1+E181)+D181*0.0005/(1+E181)^2+0.005</f>
        <v/>
      </c>
      <c r="L181" s="17">
        <f>IF(ABS(J181)&lt;=K181,"OK",IF(M181&lt;&gt;"","EXPLAINED","CHECK"))</f>
        <v/>
      </c>
      <c r="M181" s="7" t="inlineStr"/>
    </row>
    <row r="182">
      <c r="A182" s="33" t="n">
        <v>45968</v>
      </c>
      <c r="B182" s="7" t="inlineStr">
        <is>
          <t>APE</t>
        </is>
      </c>
      <c r="C182" s="7" t="inlineStr">
        <is>
          <t>Q1-FY2026</t>
        </is>
      </c>
      <c r="D182" s="35" t="n">
        <v>18.64</v>
      </c>
      <c r="E182" s="32" t="n">
        <v>-0.05</v>
      </c>
      <c r="F182" s="35">
        <f>D182/(1+E182)</f>
        <v/>
      </c>
      <c r="G182" s="7" t="inlineStr">
        <is>
          <t>Q1-FY2025</t>
        </is>
      </c>
      <c r="H182" s="35" t="n">
        <v>19.63</v>
      </c>
      <c r="I182" s="33" t="n">
        <v>45727</v>
      </c>
      <c r="J182" s="36">
        <f>F182-H182</f>
        <v/>
      </c>
      <c r="K182" s="16">
        <f>0.005/(1+E182)+D182*0.0005/(1+E182)^2+0.005</f>
        <v/>
      </c>
      <c r="L182" s="17">
        <f>IF(ABS(J182)&lt;=K182,"OK",IF(M182&lt;&gt;"","EXPLAINED","CHECK"))</f>
        <v/>
      </c>
      <c r="M182" s="7" t="inlineStr"/>
    </row>
    <row r="183">
      <c r="A183" s="33" t="n">
        <v>45968</v>
      </c>
      <c r="B183" s="7" t="inlineStr">
        <is>
          <t>APE</t>
        </is>
      </c>
      <c r="C183" s="7" t="inlineStr">
        <is>
          <t>FY2025</t>
        </is>
      </c>
      <c r="D183" s="35" t="n">
        <v>104.07</v>
      </c>
      <c r="E183" s="32" t="n">
        <v>0.15</v>
      </c>
      <c r="F183" s="35">
        <f>D183/(1+E183)</f>
        <v/>
      </c>
      <c r="G183" s="7" t="inlineStr">
        <is>
          <t>FY2024</t>
        </is>
      </c>
      <c r="H183" s="35" t="n">
        <v>90.45999999999999</v>
      </c>
      <c r="I183" s="33" t="n">
        <v>45727</v>
      </c>
      <c r="J183" s="36">
        <f>F183-H183</f>
        <v/>
      </c>
      <c r="K183" s="16">
        <f>0.005/(1+E183)+D183*0.0005/(1+E183)^2+0.005</f>
        <v/>
      </c>
      <c r="L183" s="17">
        <f>IF(ABS(J183)&lt;=K183,"OK",IF(M183&lt;&gt;"","EXPLAINED","CHECK"))</f>
        <v/>
      </c>
      <c r="M183" s="7" t="inlineStr"/>
    </row>
    <row r="184">
      <c r="A184" s="33" t="n">
        <v>45968</v>
      </c>
      <c r="B184" s="7" t="inlineStr">
        <is>
          <t>APE</t>
        </is>
      </c>
      <c r="C184" s="7" t="inlineStr">
        <is>
          <t>Oct-25</t>
        </is>
      </c>
      <c r="D184" s="35" t="n">
        <v>7.34</v>
      </c>
      <c r="E184" s="32" t="n">
        <v>0.029</v>
      </c>
      <c r="F184" s="35">
        <f>D184/(1+E184)</f>
        <v/>
      </c>
      <c r="G184" s="7" t="inlineStr">
        <is>
          <t>Oct-24</t>
        </is>
      </c>
      <c r="H184" s="35" t="n">
        <v>7.13</v>
      </c>
      <c r="I184" s="33" t="n">
        <v>45667</v>
      </c>
      <c r="J184" s="36">
        <f>F184-H184</f>
        <v/>
      </c>
      <c r="K184" s="16">
        <f>0.005/(1+E184)+D184*0.0005/(1+E184)^2+0.005</f>
        <v/>
      </c>
      <c r="L184" s="17">
        <f>IF(ABS(J184)&lt;=K184,"OK",IF(M184&lt;&gt;"","EXPLAINED","CHECK"))</f>
        <v/>
      </c>
      <c r="M184" s="7" t="inlineStr"/>
    </row>
    <row r="185">
      <c r="A185" s="33" t="n">
        <v>45968</v>
      </c>
      <c r="B185" s="7" t="inlineStr">
        <is>
          <t>RWRP</t>
        </is>
      </c>
      <c r="C185" s="7" t="inlineStr">
        <is>
          <t>Q2-FY2026</t>
        </is>
      </c>
      <c r="D185" s="35" t="n">
        <v>19.28</v>
      </c>
      <c r="E185" s="32" t="n">
        <v>-0.08500000000000001</v>
      </c>
      <c r="F185" s="35">
        <f>D185/(1+E185)</f>
        <v/>
      </c>
      <c r="G185" s="7" t="inlineStr">
        <is>
          <t>Q2-FY2025</t>
        </is>
      </c>
      <c r="H185" s="35" t="n">
        <v>21.08</v>
      </c>
      <c r="I185" s="33" t="n">
        <v>45727</v>
      </c>
      <c r="J185" s="36">
        <f>F185-H185</f>
        <v/>
      </c>
      <c r="K185" s="16">
        <f>0.005/(1+E185)+D185*0.0005/(1+E185)^2+0.005</f>
        <v/>
      </c>
      <c r="L185" s="17">
        <f>IF(ABS(J185)&lt;=K185,"OK",IF(M185&lt;&gt;"","EXPLAINED","CHECK"))</f>
        <v/>
      </c>
      <c r="M185" s="7" t="inlineStr"/>
    </row>
    <row r="186">
      <c r="A186" s="33" t="n">
        <v>45968</v>
      </c>
      <c r="B186" s="7" t="inlineStr">
        <is>
          <t>RWRP</t>
        </is>
      </c>
      <c r="C186" s="7" t="inlineStr">
        <is>
          <t>Q1-FY2026</t>
        </is>
      </c>
      <c r="D186" s="35" t="n">
        <v>13.56</v>
      </c>
      <c r="E186" s="32" t="n">
        <v>-0.13</v>
      </c>
      <c r="F186" s="35">
        <f>D186/(1+E186)</f>
        <v/>
      </c>
      <c r="G186" s="7" t="inlineStr">
        <is>
          <t>Q1-FY2025</t>
        </is>
      </c>
      <c r="H186" s="35" t="n">
        <v>15.58</v>
      </c>
      <c r="I186" s="33" t="n">
        <v>45727</v>
      </c>
      <c r="J186" s="36">
        <f>F186-H186</f>
        <v/>
      </c>
      <c r="K186" s="16">
        <f>0.005/(1+E186)+D186*0.0005/(1+E186)^2+0.005</f>
        <v/>
      </c>
      <c r="L186" s="17">
        <f>IF(ABS(J186)&lt;=K186,"OK",IF(M186&lt;&gt;"","EXPLAINED","CHECK"))</f>
        <v/>
      </c>
      <c r="M186" s="7" t="inlineStr"/>
    </row>
    <row r="187">
      <c r="A187" s="33" t="n">
        <v>45968</v>
      </c>
      <c r="B187" s="7" t="inlineStr">
        <is>
          <t>RWRP</t>
        </is>
      </c>
      <c r="C187" s="7" t="inlineStr">
        <is>
          <t>FY2025</t>
        </is>
      </c>
      <c r="D187" s="35" t="n">
        <v>83.06999999999999</v>
      </c>
      <c r="E187" s="32" t="n">
        <v>0.152</v>
      </c>
      <c r="F187" s="35">
        <f>D187/(1+E187)</f>
        <v/>
      </c>
      <c r="G187" s="7" t="inlineStr">
        <is>
          <t>FY2024</t>
        </is>
      </c>
      <c r="H187" s="35" t="n">
        <v>72.13</v>
      </c>
      <c r="I187" s="33" t="n">
        <v>45727</v>
      </c>
      <c r="J187" s="36">
        <f>F187-H187</f>
        <v/>
      </c>
      <c r="K187" s="16">
        <f>0.005/(1+E187)+D187*0.0005/(1+E187)^2+0.005</f>
        <v/>
      </c>
      <c r="L187" s="17">
        <f>IF(ABS(J187)&lt;=K187,"OK",IF(M187&lt;&gt;"","EXPLAINED","CHECK"))</f>
        <v/>
      </c>
      <c r="M187" s="7" t="inlineStr"/>
    </row>
    <row r="188">
      <c r="A188" s="33" t="n">
        <v>45968</v>
      </c>
      <c r="B188" s="7" t="inlineStr">
        <is>
          <t>RWRP</t>
        </is>
      </c>
      <c r="C188" s="7" t="inlineStr">
        <is>
          <t>Oct-25</t>
        </is>
      </c>
      <c r="D188" s="35" t="n">
        <v>6.01</v>
      </c>
      <c r="E188" s="32" t="n">
        <v>0.027</v>
      </c>
      <c r="F188" s="35">
        <f>D188/(1+E188)</f>
        <v/>
      </c>
      <c r="G188" s="7" t="inlineStr">
        <is>
          <t>Oct-24</t>
        </is>
      </c>
      <c r="H188" s="35" t="n">
        <v>5.85</v>
      </c>
      <c r="I188" s="33" t="n">
        <v>45667</v>
      </c>
      <c r="J188" s="36">
        <f>F188-H188</f>
        <v/>
      </c>
      <c r="K188" s="16">
        <f>0.005/(1+E188)+D188*0.0005/(1+E188)^2+0.005</f>
        <v/>
      </c>
      <c r="L188" s="17">
        <f>IF(ABS(J188)&lt;=K188,"OK",IF(M188&lt;&gt;"","EXPLAINED","CHECK"))</f>
        <v/>
      </c>
      <c r="M188" s="7" t="inlineStr"/>
    </row>
    <row r="189">
      <c r="A189" s="33" t="n">
        <v>45939</v>
      </c>
      <c r="B189" s="7" t="inlineStr">
        <is>
          <t>NB Sum Assured</t>
        </is>
      </c>
      <c r="C189" s="7" t="inlineStr">
        <is>
          <t>Q1-FY2026</t>
        </is>
      </c>
      <c r="D189" s="35" t="n">
        <v>3714.52</v>
      </c>
      <c r="E189" s="32" t="n">
        <v>0.363</v>
      </c>
      <c r="F189" s="35">
        <f>D189/(1+E189)</f>
        <v/>
      </c>
      <c r="G189" s="7" t="inlineStr">
        <is>
          <t>Q1-FY2025</t>
        </is>
      </c>
      <c r="H189" s="35" t="n">
        <v>2724.68</v>
      </c>
      <c r="I189" s="33" t="n">
        <v>45727</v>
      </c>
      <c r="J189" s="36">
        <f>F189-H189</f>
        <v/>
      </c>
      <c r="K189" s="16">
        <f>0.005/(1+E189)+D189*0.0005/(1+E189)^2+0.005</f>
        <v/>
      </c>
      <c r="L189" s="17">
        <f>IF(ABS(J189)&lt;=K189,"OK",IF(M189&lt;&gt;"","EXPLAINED","CHECK"))</f>
        <v/>
      </c>
      <c r="M189" s="7" t="inlineStr"/>
    </row>
    <row r="190">
      <c r="A190" s="33" t="n">
        <v>45939</v>
      </c>
      <c r="B190" s="7" t="inlineStr">
        <is>
          <t>NB Sum Assured</t>
        </is>
      </c>
      <c r="C190" s="7" t="inlineStr">
        <is>
          <t>FY2025</t>
        </is>
      </c>
      <c r="D190" s="35" t="n">
        <v>11944.01</v>
      </c>
      <c r="E190" s="32" t="n">
        <v>0.169</v>
      </c>
      <c r="F190" s="35">
        <f>D190/(1+E190)</f>
        <v/>
      </c>
      <c r="G190" s="7" t="inlineStr">
        <is>
          <t>FY2024</t>
        </is>
      </c>
      <c r="H190" s="35" t="n">
        <v>10221.11</v>
      </c>
      <c r="I190" s="33" t="n">
        <v>45727</v>
      </c>
      <c r="J190" s="36">
        <f>F190-H190</f>
        <v/>
      </c>
      <c r="K190" s="16">
        <f>0.005/(1+E190)+D190*0.0005/(1+E190)^2+0.005</f>
        <v/>
      </c>
      <c r="L190" s="17">
        <f>IF(ABS(J190)&lt;=K190,"OK",IF(M190&lt;&gt;"","EXPLAINED","CHECK"))</f>
        <v/>
      </c>
      <c r="M190" s="7" t="inlineStr"/>
    </row>
    <row r="191">
      <c r="A191" s="33" t="n">
        <v>45939</v>
      </c>
      <c r="B191" s="7" t="inlineStr">
        <is>
          <t>NB Sum Assured</t>
        </is>
      </c>
      <c r="C191" s="7" t="inlineStr">
        <is>
          <t>Sep-25</t>
        </is>
      </c>
      <c r="D191" s="35" t="n">
        <v>1098.59</v>
      </c>
      <c r="E191" s="32" t="n">
        <v>0.125</v>
      </c>
      <c r="F191" s="35">
        <f>D191/(1+E191)</f>
        <v/>
      </c>
      <c r="G191" s="7" t="inlineStr">
        <is>
          <t>Sep-24</t>
        </is>
      </c>
      <c r="H191" s="35" t="n">
        <v>976.23</v>
      </c>
      <c r="I191" s="33" t="n">
        <v>45576</v>
      </c>
      <c r="J191" s="36">
        <f>F191-H191</f>
        <v/>
      </c>
      <c r="K191" s="16">
        <f>0.005/(1+E191)+D191*0.0005/(1+E191)^2+0.005</f>
        <v/>
      </c>
      <c r="L191" s="17">
        <f>IF(ABS(J191)&lt;=K191,"OK",IF(M191&lt;&gt;"","EXPLAINED","CHECK"))</f>
        <v/>
      </c>
      <c r="M191" s="7" t="inlineStr"/>
    </row>
    <row r="192">
      <c r="A192" s="33" t="n">
        <v>45939</v>
      </c>
      <c r="B192" s="7" t="inlineStr">
        <is>
          <t>NB Sum Assured</t>
        </is>
      </c>
      <c r="C192" s="7" t="inlineStr">
        <is>
          <t>Aug-25</t>
        </is>
      </c>
      <c r="D192" s="35" t="n">
        <v>871.99</v>
      </c>
      <c r="E192" s="32" t="n">
        <v>-0.105</v>
      </c>
      <c r="F192" s="35">
        <f>D192/(1+E192)</f>
        <v/>
      </c>
      <c r="G192" s="7" t="inlineStr">
        <is>
          <t>Aug-24</t>
        </is>
      </c>
      <c r="H192" s="35" t="n">
        <v>973.76</v>
      </c>
      <c r="I192" s="33" t="n">
        <v>45576</v>
      </c>
      <c r="J192" s="36">
        <f>F192-H192</f>
        <v/>
      </c>
      <c r="K192" s="16">
        <f>0.005/(1+E192)+D192*0.0005/(1+E192)^2+0.005</f>
        <v/>
      </c>
      <c r="L192" s="17">
        <f>IF(ABS(J192)&lt;=K192,"OK",IF(M192&lt;&gt;"","EXPLAINED","CHECK"))</f>
        <v/>
      </c>
      <c r="M192" s="7" t="inlineStr"/>
    </row>
    <row r="193">
      <c r="A193" s="33" t="n">
        <v>45939</v>
      </c>
      <c r="B193" s="7" t="inlineStr">
        <is>
          <t>NB Sum Assured</t>
        </is>
      </c>
      <c r="C193" s="7" t="inlineStr">
        <is>
          <t>Jul-25</t>
        </is>
      </c>
      <c r="D193" s="35" t="n">
        <v>1085.67</v>
      </c>
      <c r="E193" s="32" t="n">
        <v>0.08699999999999999</v>
      </c>
      <c r="F193" s="35">
        <f>D193/(1+E193)</f>
        <v/>
      </c>
      <c r="G193" s="7" t="inlineStr">
        <is>
          <t>Jul-24</t>
        </is>
      </c>
      <c r="H193" s="35" t="n">
        <v>998.35</v>
      </c>
      <c r="I193" s="33" t="n">
        <v>45576</v>
      </c>
      <c r="J193" s="36">
        <f>F193-H193</f>
        <v/>
      </c>
      <c r="K193" s="16">
        <f>0.005/(1+E193)+D193*0.0005/(1+E193)^2+0.005</f>
        <v/>
      </c>
      <c r="L193" s="17">
        <f>IF(ABS(J193)&lt;=K193,"OK",IF(M193&lt;&gt;"","EXPLAINED","CHECK"))</f>
        <v/>
      </c>
      <c r="M193" s="7" t="inlineStr"/>
    </row>
    <row r="194">
      <c r="A194" s="33" t="n">
        <v>45939</v>
      </c>
      <c r="B194" s="7" t="inlineStr">
        <is>
          <t>NB Premium</t>
        </is>
      </c>
      <c r="C194" s="7" t="inlineStr">
        <is>
          <t>Q1-FY2026</t>
        </is>
      </c>
      <c r="D194" s="35" t="n">
        <v>40.12</v>
      </c>
      <c r="E194" s="32" t="n">
        <v>0.065</v>
      </c>
      <c r="F194" s="35">
        <f>D194/(1+E194)</f>
        <v/>
      </c>
      <c r="G194" s="7" t="inlineStr">
        <is>
          <t>Q1-FY2025</t>
        </is>
      </c>
      <c r="H194" s="35" t="n">
        <v>37.69</v>
      </c>
      <c r="I194" s="33" t="n">
        <v>45727</v>
      </c>
      <c r="J194" s="36">
        <f>F194-H194</f>
        <v/>
      </c>
      <c r="K194" s="16">
        <f>0.005/(1+E194)+D194*0.0005/(1+E194)^2+0.005</f>
        <v/>
      </c>
      <c r="L194" s="17">
        <f>IF(ABS(J194)&lt;=K194,"OK",IF(M194&lt;&gt;"","EXPLAINED","CHECK"))</f>
        <v/>
      </c>
      <c r="M194" s="7" t="inlineStr"/>
    </row>
    <row r="195">
      <c r="A195" s="33" t="n">
        <v>45939</v>
      </c>
      <c r="B195" s="7" t="inlineStr">
        <is>
          <t>NB Premium</t>
        </is>
      </c>
      <c r="C195" s="7" t="inlineStr">
        <is>
          <t>FY2025</t>
        </is>
      </c>
      <c r="D195" s="35" t="n">
        <v>225.83</v>
      </c>
      <c r="E195" s="32" t="n">
        <v>0.249</v>
      </c>
      <c r="F195" s="35">
        <f>D195/(1+E195)</f>
        <v/>
      </c>
      <c r="G195" s="7" t="inlineStr">
        <is>
          <t>FY2024</t>
        </is>
      </c>
      <c r="H195" s="35" t="n">
        <v>180.81</v>
      </c>
      <c r="I195" s="33" t="n">
        <v>45727</v>
      </c>
      <c r="J195" s="36">
        <f>F195-H195</f>
        <v/>
      </c>
      <c r="K195" s="16">
        <f>0.005/(1+E195)+D195*0.0005/(1+E195)^2+0.005</f>
        <v/>
      </c>
      <c r="L195" s="17">
        <f>IF(ABS(J195)&lt;=K195,"OK",IF(M195&lt;&gt;"","EXPLAINED","CHECK"))</f>
        <v/>
      </c>
      <c r="M195" s="7" t="inlineStr"/>
    </row>
    <row r="196">
      <c r="A196" s="33" t="n">
        <v>45939</v>
      </c>
      <c r="B196" s="7" t="inlineStr">
        <is>
          <t>NB Premium</t>
        </is>
      </c>
      <c r="C196" s="7" t="inlineStr">
        <is>
          <t>Sep-25</t>
        </is>
      </c>
      <c r="D196" s="35" t="n">
        <v>17.61</v>
      </c>
      <c r="E196" s="32" t="n">
        <v>0.061</v>
      </c>
      <c r="F196" s="35">
        <f>D196/(1+E196)</f>
        <v/>
      </c>
      <c r="G196" s="7" t="inlineStr">
        <is>
          <t>Sep-24</t>
        </is>
      </c>
      <c r="H196" s="35" t="n">
        <v>16.6</v>
      </c>
      <c r="I196" s="33" t="n">
        <v>45576</v>
      </c>
      <c r="J196" s="36">
        <f>F196-H196</f>
        <v/>
      </c>
      <c r="K196" s="16">
        <f>0.005/(1+E196)+D196*0.0005/(1+E196)^2+0.005</f>
        <v/>
      </c>
      <c r="L196" s="17">
        <f>IF(ABS(J196)&lt;=K196,"OK",IF(M196&lt;&gt;"","EXPLAINED","CHECK"))</f>
        <v/>
      </c>
      <c r="M196" s="7" t="inlineStr"/>
    </row>
    <row r="197">
      <c r="A197" s="33" t="n">
        <v>45939</v>
      </c>
      <c r="B197" s="7" t="inlineStr">
        <is>
          <t>NB Premium</t>
        </is>
      </c>
      <c r="C197" s="7" t="inlineStr">
        <is>
          <t>Aug-25</t>
        </is>
      </c>
      <c r="D197" s="35" t="n">
        <v>17.76</v>
      </c>
      <c r="E197" s="32" t="n">
        <v>0.177</v>
      </c>
      <c r="F197" s="35">
        <f>D197/(1+E197)</f>
        <v/>
      </c>
      <c r="G197" s="7" t="inlineStr">
        <is>
          <t>Aug-24</t>
        </is>
      </c>
      <c r="H197" s="35" t="n">
        <v>15.09</v>
      </c>
      <c r="I197" s="33" t="n">
        <v>45576</v>
      </c>
      <c r="J197" s="36">
        <f>F197-H197</f>
        <v/>
      </c>
      <c r="K197" s="16">
        <f>0.005/(1+E197)+D197*0.0005/(1+E197)^2+0.005</f>
        <v/>
      </c>
      <c r="L197" s="17">
        <f>IF(ABS(J197)&lt;=K197,"OK",IF(M197&lt;&gt;"","EXPLAINED","CHECK"))</f>
        <v/>
      </c>
      <c r="M197" s="7" t="inlineStr"/>
    </row>
    <row r="198">
      <c r="A198" s="33" t="n">
        <v>45939</v>
      </c>
      <c r="B198" s="7" t="inlineStr">
        <is>
          <t>NB Premium</t>
        </is>
      </c>
      <c r="C198" s="7" t="inlineStr">
        <is>
          <t>Jul-25</t>
        </is>
      </c>
      <c r="D198" s="35" t="n">
        <v>19.06</v>
      </c>
      <c r="E198" s="32" t="n">
        <v>0.083</v>
      </c>
      <c r="F198" s="35">
        <f>D198/(1+E198)</f>
        <v/>
      </c>
      <c r="G198" s="7" t="inlineStr">
        <is>
          <t>Jul-24</t>
        </is>
      </c>
      <c r="H198" s="35" t="n">
        <v>17.6</v>
      </c>
      <c r="I198" s="33" t="n">
        <v>45576</v>
      </c>
      <c r="J198" s="36">
        <f>F198-H198</f>
        <v/>
      </c>
      <c r="K198" s="16">
        <f>0.005/(1+E198)+D198*0.0005/(1+E198)^2+0.005</f>
        <v/>
      </c>
      <c r="L198" s="17">
        <f>IF(ABS(J198)&lt;=K198,"OK",IF(M198&lt;&gt;"","EXPLAINED","CHECK"))</f>
        <v/>
      </c>
      <c r="M198" s="7" t="inlineStr"/>
    </row>
    <row r="199">
      <c r="A199" s="33" t="n">
        <v>45939</v>
      </c>
      <c r="B199" s="7" t="inlineStr">
        <is>
          <t>Retail APE</t>
        </is>
      </c>
      <c r="C199" s="7" t="inlineStr">
        <is>
          <t>Q1-FY2026</t>
        </is>
      </c>
      <c r="D199" s="35" t="n">
        <v>15.12</v>
      </c>
      <c r="E199" s="32" t="n">
        <v>-0.092</v>
      </c>
      <c r="F199" s="35">
        <f>D199/(1+E199)</f>
        <v/>
      </c>
      <c r="G199" s="7" t="inlineStr">
        <is>
          <t>Q1-FY2025</t>
        </is>
      </c>
      <c r="H199" s="35" t="n">
        <v>16.66</v>
      </c>
      <c r="I199" s="33" t="n">
        <v>45727</v>
      </c>
      <c r="J199" s="36">
        <f>F199-H199</f>
        <v/>
      </c>
      <c r="K199" s="16">
        <f>0.005/(1+E199)+D199*0.0005/(1+E199)^2+0.005</f>
        <v/>
      </c>
      <c r="L199" s="17">
        <f>IF(ABS(J199)&lt;=K199,"OK",IF(M199&lt;&gt;"","EXPLAINED","CHECK"))</f>
        <v/>
      </c>
      <c r="M199" s="7" t="inlineStr"/>
    </row>
    <row r="200">
      <c r="A200" s="33" t="n">
        <v>45939</v>
      </c>
      <c r="B200" s="7" t="inlineStr">
        <is>
          <t>Retail APE</t>
        </is>
      </c>
      <c r="C200" s="7" t="inlineStr">
        <is>
          <t>FY2025</t>
        </is>
      </c>
      <c r="D200" s="35" t="n">
        <v>87.05</v>
      </c>
      <c r="E200" s="32" t="n">
        <v>0.133</v>
      </c>
      <c r="F200" s="35">
        <f>D200/(1+E200)</f>
        <v/>
      </c>
      <c r="G200" s="7" t="inlineStr">
        <is>
          <t>FY2024</t>
        </is>
      </c>
      <c r="H200" s="35" t="n">
        <v>76.8</v>
      </c>
      <c r="I200" s="33" t="n">
        <v>45727</v>
      </c>
      <c r="J200" s="36">
        <f>F200-H200</f>
        <v/>
      </c>
      <c r="K200" s="16">
        <f>0.005/(1+E200)+D200*0.0005/(1+E200)^2+0.005</f>
        <v/>
      </c>
      <c r="L200" s="17">
        <f>IF(ABS(J200)&lt;=K200,"OK",IF(M200&lt;&gt;"","EXPLAINED","CHECK"))</f>
        <v/>
      </c>
      <c r="M200" s="7" t="inlineStr"/>
    </row>
    <row r="201">
      <c r="A201" s="33" t="n">
        <v>45939</v>
      </c>
      <c r="B201" s="7" t="inlineStr">
        <is>
          <t>APE</t>
        </is>
      </c>
      <c r="C201" s="7" t="inlineStr">
        <is>
          <t>Q1-FY2026</t>
        </is>
      </c>
      <c r="D201" s="35" t="n">
        <v>18.64</v>
      </c>
      <c r="E201" s="32" t="n">
        <v>-0.05</v>
      </c>
      <c r="F201" s="35">
        <f>D201/(1+E201)</f>
        <v/>
      </c>
      <c r="G201" s="7" t="inlineStr">
        <is>
          <t>Q1-FY2025</t>
        </is>
      </c>
      <c r="H201" s="35" t="n">
        <v>19.63</v>
      </c>
      <c r="I201" s="33" t="n">
        <v>45727</v>
      </c>
      <c r="J201" s="36">
        <f>F201-H201</f>
        <v/>
      </c>
      <c r="K201" s="16">
        <f>0.005/(1+E201)+D201*0.0005/(1+E201)^2+0.005</f>
        <v/>
      </c>
      <c r="L201" s="17">
        <f>IF(ABS(J201)&lt;=K201,"OK",IF(M201&lt;&gt;"","EXPLAINED","CHECK"))</f>
        <v/>
      </c>
      <c r="M201" s="7" t="inlineStr"/>
    </row>
    <row r="202">
      <c r="A202" s="33" t="n">
        <v>45939</v>
      </c>
      <c r="B202" s="7" t="inlineStr">
        <is>
          <t>APE</t>
        </is>
      </c>
      <c r="C202" s="7" t="inlineStr">
        <is>
          <t>FY2025</t>
        </is>
      </c>
      <c r="D202" s="35" t="n">
        <v>104.07</v>
      </c>
      <c r="E202" s="32" t="n">
        <v>0.15</v>
      </c>
      <c r="F202" s="35">
        <f>D202/(1+E202)</f>
        <v/>
      </c>
      <c r="G202" s="7" t="inlineStr">
        <is>
          <t>FY2024</t>
        </is>
      </c>
      <c r="H202" s="35" t="n">
        <v>90.45999999999999</v>
      </c>
      <c r="I202" s="33" t="n">
        <v>45727</v>
      </c>
      <c r="J202" s="36">
        <f>F202-H202</f>
        <v/>
      </c>
      <c r="K202" s="16">
        <f>0.005/(1+E202)+D202*0.0005/(1+E202)^2+0.005</f>
        <v/>
      </c>
      <c r="L202" s="17">
        <f>IF(ABS(J202)&lt;=K202,"OK",IF(M202&lt;&gt;"","EXPLAINED","CHECK"))</f>
        <v/>
      </c>
      <c r="M202" s="7" t="inlineStr"/>
    </row>
    <row r="203">
      <c r="A203" s="33" t="n">
        <v>45939</v>
      </c>
      <c r="B203" s="7" t="inlineStr">
        <is>
          <t>APE</t>
        </is>
      </c>
      <c r="C203" s="7" t="inlineStr">
        <is>
          <t>Sep-25</t>
        </is>
      </c>
      <c r="D203" s="35" t="n">
        <v>8.710000000000001</v>
      </c>
      <c r="E203" s="32" t="n">
        <v>-0.011</v>
      </c>
      <c r="F203" s="35">
        <f>D203/(1+E203)</f>
        <v/>
      </c>
      <c r="G203" s="7" t="inlineStr">
        <is>
          <t>Sep-24</t>
        </is>
      </c>
      <c r="H203" s="35" t="n">
        <v>8.81</v>
      </c>
      <c r="I203" s="33" t="n">
        <v>45576</v>
      </c>
      <c r="J203" s="36">
        <f>F203-H203</f>
        <v/>
      </c>
      <c r="K203" s="16">
        <f>0.005/(1+E203)+D203*0.0005/(1+E203)^2+0.005</f>
        <v/>
      </c>
      <c r="L203" s="17">
        <f>IF(ABS(J203)&lt;=K203,"OK",IF(M203&lt;&gt;"","EXPLAINED","CHECK"))</f>
        <v/>
      </c>
      <c r="M203" s="7" t="inlineStr"/>
    </row>
    <row r="204">
      <c r="A204" s="33" t="n">
        <v>45939</v>
      </c>
      <c r="B204" s="7" t="inlineStr">
        <is>
          <t>APE</t>
        </is>
      </c>
      <c r="C204" s="7" t="inlineStr">
        <is>
          <t>Aug-25</t>
        </is>
      </c>
      <c r="D204" s="35" t="n">
        <v>7.22</v>
      </c>
      <c r="E204" s="32" t="n">
        <v>-0.094</v>
      </c>
      <c r="F204" s="35">
        <f>D204/(1+E204)</f>
        <v/>
      </c>
      <c r="G204" s="7" t="inlineStr">
        <is>
          <t>Aug-24</t>
        </is>
      </c>
      <c r="H204" s="35" t="n">
        <v>7.97</v>
      </c>
      <c r="I204" s="33" t="n">
        <v>45576</v>
      </c>
      <c r="J204" s="36">
        <f>F204-H204</f>
        <v/>
      </c>
      <c r="K204" s="16">
        <f>0.005/(1+E204)+D204*0.0005/(1+E204)^2+0.005</f>
        <v/>
      </c>
      <c r="L204" s="17">
        <f>IF(ABS(J204)&lt;=K204,"OK",IF(M204&lt;&gt;"","EXPLAINED","CHECK"))</f>
        <v/>
      </c>
      <c r="M204" s="7" t="inlineStr"/>
    </row>
    <row r="205">
      <c r="A205" s="33" t="n">
        <v>45939</v>
      </c>
      <c r="B205" s="7" t="inlineStr">
        <is>
          <t>APE</t>
        </is>
      </c>
      <c r="C205" s="7" t="inlineStr">
        <is>
          <t>Jul-25</t>
        </is>
      </c>
      <c r="D205" s="35" t="n">
        <v>8.289999999999999</v>
      </c>
      <c r="E205" s="32" t="n">
        <v>0.005</v>
      </c>
      <c r="F205" s="35">
        <f>D205/(1+E205)</f>
        <v/>
      </c>
      <c r="G205" s="7" t="inlineStr">
        <is>
          <t>Jul-24</t>
        </is>
      </c>
      <c r="H205" s="35" t="n">
        <v>8.25</v>
      </c>
      <c r="I205" s="33" t="n">
        <v>45576</v>
      </c>
      <c r="J205" s="36">
        <f>F205-H205</f>
        <v/>
      </c>
      <c r="K205" s="16">
        <f>0.005/(1+E205)+D205*0.0005/(1+E205)^2+0.005</f>
        <v/>
      </c>
      <c r="L205" s="17">
        <f>IF(ABS(J205)&lt;=K205,"OK",IF(M205&lt;&gt;"","EXPLAINED","CHECK"))</f>
        <v/>
      </c>
      <c r="M205" s="7" t="inlineStr"/>
    </row>
    <row r="206">
      <c r="A206" s="33" t="n">
        <v>45939</v>
      </c>
      <c r="B206" s="7" t="inlineStr">
        <is>
          <t>RWRP</t>
        </is>
      </c>
      <c r="C206" s="7" t="inlineStr">
        <is>
          <t>Q1-FY2026</t>
        </is>
      </c>
      <c r="D206" s="35" t="n">
        <v>13.56</v>
      </c>
      <c r="E206" s="32" t="n">
        <v>-0.13</v>
      </c>
      <c r="F206" s="35">
        <f>D206/(1+E206)</f>
        <v/>
      </c>
      <c r="G206" s="7" t="inlineStr">
        <is>
          <t>Q1-FY2025</t>
        </is>
      </c>
      <c r="H206" s="35" t="n">
        <v>15.58</v>
      </c>
      <c r="I206" s="33" t="n">
        <v>45727</v>
      </c>
      <c r="J206" s="36">
        <f>F206-H206</f>
        <v/>
      </c>
      <c r="K206" s="16">
        <f>0.005/(1+E206)+D206*0.0005/(1+E206)^2+0.005</f>
        <v/>
      </c>
      <c r="L206" s="17">
        <f>IF(ABS(J206)&lt;=K206,"OK",IF(M206&lt;&gt;"","EXPLAINED","CHECK"))</f>
        <v/>
      </c>
      <c r="M206" s="7" t="inlineStr"/>
    </row>
    <row r="207">
      <c r="A207" s="33" t="n">
        <v>45939</v>
      </c>
      <c r="B207" s="7" t="inlineStr">
        <is>
          <t>RWRP</t>
        </is>
      </c>
      <c r="C207" s="7" t="inlineStr">
        <is>
          <t>FY2025</t>
        </is>
      </c>
      <c r="D207" s="35" t="n">
        <v>83.06999999999999</v>
      </c>
      <c r="E207" s="32" t="n">
        <v>0.152</v>
      </c>
      <c r="F207" s="35">
        <f>D207/(1+E207)</f>
        <v/>
      </c>
      <c r="G207" s="7" t="inlineStr">
        <is>
          <t>FY2024</t>
        </is>
      </c>
      <c r="H207" s="35" t="n">
        <v>72.13</v>
      </c>
      <c r="I207" s="33" t="n">
        <v>45727</v>
      </c>
      <c r="J207" s="36">
        <f>F207-H207</f>
        <v/>
      </c>
      <c r="K207" s="16">
        <f>0.005/(1+E207)+D207*0.0005/(1+E207)^2+0.005</f>
        <v/>
      </c>
      <c r="L207" s="17">
        <f>IF(ABS(J207)&lt;=K207,"OK",IF(M207&lt;&gt;"","EXPLAINED","CHECK"))</f>
        <v/>
      </c>
      <c r="M207" s="7" t="inlineStr"/>
    </row>
    <row r="208">
      <c r="A208" s="33" t="n">
        <v>45939</v>
      </c>
      <c r="B208" s="7" t="inlineStr">
        <is>
          <t>RWRP</t>
        </is>
      </c>
      <c r="C208" s="7" t="inlineStr">
        <is>
          <t>Sep-25</t>
        </is>
      </c>
      <c r="D208" s="35" t="n">
        <v>6.82</v>
      </c>
      <c r="E208" s="32" t="n">
        <v>-0.08500000000000001</v>
      </c>
      <c r="F208" s="35">
        <f>D208/(1+E208)</f>
        <v/>
      </c>
      <c r="G208" s="7" t="inlineStr">
        <is>
          <t>Sep-24</t>
        </is>
      </c>
      <c r="H208" s="35" t="n">
        <v>7.45</v>
      </c>
      <c r="I208" s="33" t="n">
        <v>45576</v>
      </c>
      <c r="J208" s="36">
        <f>F208-H208</f>
        <v/>
      </c>
      <c r="K208" s="16">
        <f>0.005/(1+E208)+D208*0.0005/(1+E208)^2+0.005</f>
        <v/>
      </c>
      <c r="L208" s="17">
        <f>IF(ABS(J208)&lt;=K208,"OK",IF(M208&lt;&gt;"","EXPLAINED","CHECK"))</f>
        <v/>
      </c>
      <c r="M208" s="7" t="inlineStr"/>
    </row>
    <row r="209">
      <c r="A209" s="33" t="n">
        <v>45939</v>
      </c>
      <c r="B209" s="7" t="inlineStr">
        <is>
          <t>RWRP</t>
        </is>
      </c>
      <c r="C209" s="7" t="inlineStr">
        <is>
          <t>Aug-25</t>
        </is>
      </c>
      <c r="D209" s="35" t="n">
        <v>5.92</v>
      </c>
      <c r="E209" s="32" t="n">
        <v>-0.131</v>
      </c>
      <c r="F209" s="35">
        <f>D209/(1+E209)</f>
        <v/>
      </c>
      <c r="G209" s="7" t="inlineStr">
        <is>
          <t>Aug-24</t>
        </is>
      </c>
      <c r="H209" s="35" t="n">
        <v>6.81</v>
      </c>
      <c r="I209" s="33" t="n">
        <v>45576</v>
      </c>
      <c r="J209" s="36">
        <f>F209-H209</f>
        <v/>
      </c>
      <c r="K209" s="16">
        <f>0.005/(1+E209)+D209*0.0005/(1+E209)^2+0.005</f>
        <v/>
      </c>
      <c r="L209" s="17">
        <f>IF(ABS(J209)&lt;=K209,"OK",IF(M209&lt;&gt;"","EXPLAINED","CHECK"))</f>
        <v/>
      </c>
      <c r="M209" s="7" t="inlineStr"/>
    </row>
    <row r="210">
      <c r="A210" s="33" t="n">
        <v>45939</v>
      </c>
      <c r="B210" s="7" t="inlineStr">
        <is>
          <t>RWRP</t>
        </is>
      </c>
      <c r="C210" s="7" t="inlineStr">
        <is>
          <t>Jul-25</t>
        </is>
      </c>
      <c r="D210" s="35" t="n">
        <v>6.54</v>
      </c>
      <c r="E210" s="32" t="n">
        <v>-0.04</v>
      </c>
      <c r="F210" s="35">
        <f>D210/(1+E210)</f>
        <v/>
      </c>
      <c r="G210" s="7" t="inlineStr">
        <is>
          <t>Jul-24</t>
        </is>
      </c>
      <c r="H210" s="35" t="n">
        <v>6.81</v>
      </c>
      <c r="I210" s="33" t="n">
        <v>45576</v>
      </c>
      <c r="J210" s="36">
        <f>F210-H210</f>
        <v/>
      </c>
      <c r="K210" s="16">
        <f>0.005/(1+E210)+D210*0.0005/(1+E210)^2+0.005</f>
        <v/>
      </c>
      <c r="L210" s="17">
        <f>IF(ABS(J210)&lt;=K210,"OK",IF(M210&lt;&gt;"","EXPLAINED","CHECK"))</f>
        <v/>
      </c>
      <c r="M210" s="7" t="inlineStr"/>
    </row>
    <row r="211">
      <c r="A211" s="33" t="n">
        <v>45909</v>
      </c>
      <c r="B211" s="7" t="inlineStr">
        <is>
          <t>NB Sum Assured</t>
        </is>
      </c>
      <c r="C211" s="7" t="inlineStr">
        <is>
          <t>Q1-FY2026</t>
        </is>
      </c>
      <c r="D211" s="35" t="n">
        <v>3714.52</v>
      </c>
      <c r="E211" s="32" t="n">
        <v>0.363</v>
      </c>
      <c r="F211" s="35">
        <f>D211/(1+E211)</f>
        <v/>
      </c>
      <c r="G211" s="7" t="inlineStr">
        <is>
          <t>Q1-FY2025</t>
        </is>
      </c>
      <c r="H211" s="35" t="n">
        <v>2724.68</v>
      </c>
      <c r="I211" s="33" t="n">
        <v>45727</v>
      </c>
      <c r="J211" s="36">
        <f>F211-H211</f>
        <v/>
      </c>
      <c r="K211" s="16">
        <f>0.005/(1+E211)+D211*0.0005/(1+E211)^2+0.005</f>
        <v/>
      </c>
      <c r="L211" s="17">
        <f>IF(ABS(J211)&lt;=K211,"OK",IF(M211&lt;&gt;"","EXPLAINED","CHECK"))</f>
        <v/>
      </c>
      <c r="M211" s="7" t="inlineStr"/>
    </row>
    <row r="212">
      <c r="A212" s="33" t="n">
        <v>45909</v>
      </c>
      <c r="B212" s="7" t="inlineStr">
        <is>
          <t>NB Sum Assured</t>
        </is>
      </c>
      <c r="C212" s="7" t="inlineStr">
        <is>
          <t>FY2025</t>
        </is>
      </c>
      <c r="D212" s="35" t="n">
        <v>11944.01</v>
      </c>
      <c r="E212" s="32" t="n">
        <v>0.169</v>
      </c>
      <c r="F212" s="35">
        <f>D212/(1+E212)</f>
        <v/>
      </c>
      <c r="G212" s="7" t="inlineStr">
        <is>
          <t>FY2024</t>
        </is>
      </c>
      <c r="H212" s="35" t="n">
        <v>10221.11</v>
      </c>
      <c r="I212" s="33" t="n">
        <v>45727</v>
      </c>
      <c r="J212" s="36">
        <f>F212-H212</f>
        <v/>
      </c>
      <c r="K212" s="16">
        <f>0.005/(1+E212)+D212*0.0005/(1+E212)^2+0.005</f>
        <v/>
      </c>
      <c r="L212" s="17">
        <f>IF(ABS(J212)&lt;=K212,"OK",IF(M212&lt;&gt;"","EXPLAINED","CHECK"))</f>
        <v/>
      </c>
      <c r="M212" s="7" t="inlineStr"/>
    </row>
    <row r="213">
      <c r="A213" s="33" t="n">
        <v>45909</v>
      </c>
      <c r="B213" s="7" t="inlineStr">
        <is>
          <t>NB Sum Assured</t>
        </is>
      </c>
      <c r="C213" s="7" t="inlineStr">
        <is>
          <t>Aug-25</t>
        </is>
      </c>
      <c r="D213" s="35" t="n">
        <v>871.99</v>
      </c>
      <c r="E213" s="32" t="n">
        <v>-0.105</v>
      </c>
      <c r="F213" s="35">
        <f>D213/(1+E213)</f>
        <v/>
      </c>
      <c r="G213" s="7" t="inlineStr">
        <is>
          <t>Aug-24</t>
        </is>
      </c>
      <c r="H213" s="35" t="n">
        <v>973.76</v>
      </c>
      <c r="I213" s="33" t="n">
        <v>45576</v>
      </c>
      <c r="J213" s="36">
        <f>F213-H213</f>
        <v/>
      </c>
      <c r="K213" s="16">
        <f>0.005/(1+E213)+D213*0.0005/(1+E213)^2+0.005</f>
        <v/>
      </c>
      <c r="L213" s="17">
        <f>IF(ABS(J213)&lt;=K213,"OK",IF(M213&lt;&gt;"","EXPLAINED","CHECK"))</f>
        <v/>
      </c>
      <c r="M213" s="7" t="inlineStr"/>
    </row>
    <row r="214">
      <c r="A214" s="33" t="n">
        <v>45909</v>
      </c>
      <c r="B214" s="7" t="inlineStr">
        <is>
          <t>NB Sum Assured</t>
        </is>
      </c>
      <c r="C214" s="7" t="inlineStr">
        <is>
          <t>Jul-25</t>
        </is>
      </c>
      <c r="D214" s="35" t="n">
        <v>1085.67</v>
      </c>
      <c r="E214" s="32" t="n">
        <v>0.08699999999999999</v>
      </c>
      <c r="F214" s="35">
        <f>D214/(1+E214)</f>
        <v/>
      </c>
      <c r="G214" s="7" t="inlineStr">
        <is>
          <t>Jul-24</t>
        </is>
      </c>
      <c r="H214" s="35" t="n">
        <v>998.35</v>
      </c>
      <c r="I214" s="33" t="n">
        <v>45576</v>
      </c>
      <c r="J214" s="36">
        <f>F214-H214</f>
        <v/>
      </c>
      <c r="K214" s="16">
        <f>0.005/(1+E214)+D214*0.0005/(1+E214)^2+0.005</f>
        <v/>
      </c>
      <c r="L214" s="17">
        <f>IF(ABS(J214)&lt;=K214,"OK",IF(M214&lt;&gt;"","EXPLAINED","CHECK"))</f>
        <v/>
      </c>
      <c r="M214" s="7" t="inlineStr"/>
    </row>
    <row r="215">
      <c r="A215" s="33" t="n">
        <v>45909</v>
      </c>
      <c r="B215" s="7" t="inlineStr">
        <is>
          <t>NB Premium</t>
        </is>
      </c>
      <c r="C215" s="7" t="inlineStr">
        <is>
          <t>Q1-FY2026</t>
        </is>
      </c>
      <c r="D215" s="35" t="n">
        <v>40.12</v>
      </c>
      <c r="E215" s="32" t="n">
        <v>0.065</v>
      </c>
      <c r="F215" s="35">
        <f>D215/(1+E215)</f>
        <v/>
      </c>
      <c r="G215" s="7" t="inlineStr">
        <is>
          <t>Q1-FY2025</t>
        </is>
      </c>
      <c r="H215" s="35" t="n">
        <v>37.69</v>
      </c>
      <c r="I215" s="33" t="n">
        <v>45727</v>
      </c>
      <c r="J215" s="36">
        <f>F215-H215</f>
        <v/>
      </c>
      <c r="K215" s="16">
        <f>0.005/(1+E215)+D215*0.0005/(1+E215)^2+0.005</f>
        <v/>
      </c>
      <c r="L215" s="17">
        <f>IF(ABS(J215)&lt;=K215,"OK",IF(M215&lt;&gt;"","EXPLAINED","CHECK"))</f>
        <v/>
      </c>
      <c r="M215" s="7" t="inlineStr"/>
    </row>
    <row r="216">
      <c r="A216" s="33" t="n">
        <v>45909</v>
      </c>
      <c r="B216" s="7" t="inlineStr">
        <is>
          <t>NB Premium</t>
        </is>
      </c>
      <c r="C216" s="7" t="inlineStr">
        <is>
          <t>FY2025</t>
        </is>
      </c>
      <c r="D216" s="35" t="n">
        <v>225.83</v>
      </c>
      <c r="E216" s="32" t="n">
        <v>0.249</v>
      </c>
      <c r="F216" s="35">
        <f>D216/(1+E216)</f>
        <v/>
      </c>
      <c r="G216" s="7" t="inlineStr">
        <is>
          <t>FY2024</t>
        </is>
      </c>
      <c r="H216" s="35" t="n">
        <v>180.81</v>
      </c>
      <c r="I216" s="33" t="n">
        <v>45727</v>
      </c>
      <c r="J216" s="36">
        <f>F216-H216</f>
        <v/>
      </c>
      <c r="K216" s="16">
        <f>0.005/(1+E216)+D216*0.0005/(1+E216)^2+0.005</f>
        <v/>
      </c>
      <c r="L216" s="17">
        <f>IF(ABS(J216)&lt;=K216,"OK",IF(M216&lt;&gt;"","EXPLAINED","CHECK"))</f>
        <v/>
      </c>
      <c r="M216" s="7" t="inlineStr"/>
    </row>
    <row r="217">
      <c r="A217" s="33" t="n">
        <v>45909</v>
      </c>
      <c r="B217" s="7" t="inlineStr">
        <is>
          <t>NB Premium</t>
        </is>
      </c>
      <c r="C217" s="7" t="inlineStr">
        <is>
          <t>Aug-25</t>
        </is>
      </c>
      <c r="D217" s="35" t="n">
        <v>17.76</v>
      </c>
      <c r="E217" s="32" t="n">
        <v>0.177</v>
      </c>
      <c r="F217" s="35">
        <f>D217/(1+E217)</f>
        <v/>
      </c>
      <c r="G217" s="7" t="inlineStr">
        <is>
          <t>Aug-24</t>
        </is>
      </c>
      <c r="H217" s="35" t="n">
        <v>15.09</v>
      </c>
      <c r="I217" s="33" t="n">
        <v>45576</v>
      </c>
      <c r="J217" s="36">
        <f>F217-H217</f>
        <v/>
      </c>
      <c r="K217" s="16">
        <f>0.005/(1+E217)+D217*0.0005/(1+E217)^2+0.005</f>
        <v/>
      </c>
      <c r="L217" s="17">
        <f>IF(ABS(J217)&lt;=K217,"OK",IF(M217&lt;&gt;"","EXPLAINED","CHECK"))</f>
        <v/>
      </c>
      <c r="M217" s="7" t="inlineStr"/>
    </row>
    <row r="218">
      <c r="A218" s="33" t="n">
        <v>45909</v>
      </c>
      <c r="B218" s="7" t="inlineStr">
        <is>
          <t>NB Premium</t>
        </is>
      </c>
      <c r="C218" s="7" t="inlineStr">
        <is>
          <t>Jul-25</t>
        </is>
      </c>
      <c r="D218" s="35" t="n">
        <v>19.06</v>
      </c>
      <c r="E218" s="32" t="n">
        <v>0.083</v>
      </c>
      <c r="F218" s="35">
        <f>D218/(1+E218)</f>
        <v/>
      </c>
      <c r="G218" s="7" t="inlineStr">
        <is>
          <t>Jul-24</t>
        </is>
      </c>
      <c r="H218" s="35" t="n">
        <v>17.6</v>
      </c>
      <c r="I218" s="33" t="n">
        <v>45576</v>
      </c>
      <c r="J218" s="36">
        <f>F218-H218</f>
        <v/>
      </c>
      <c r="K218" s="16">
        <f>0.005/(1+E218)+D218*0.0005/(1+E218)^2+0.005</f>
        <v/>
      </c>
      <c r="L218" s="17">
        <f>IF(ABS(J218)&lt;=K218,"OK",IF(M218&lt;&gt;"","EXPLAINED","CHECK"))</f>
        <v/>
      </c>
      <c r="M218" s="7" t="inlineStr"/>
    </row>
    <row r="219">
      <c r="A219" s="33" t="n">
        <v>45909</v>
      </c>
      <c r="B219" s="7" t="inlineStr">
        <is>
          <t>Retail APE</t>
        </is>
      </c>
      <c r="C219" s="7" t="inlineStr">
        <is>
          <t>Q1-FY2026</t>
        </is>
      </c>
      <c r="D219" s="35" t="n">
        <v>15.12</v>
      </c>
      <c r="E219" s="32" t="n">
        <v>-0.092</v>
      </c>
      <c r="F219" s="35">
        <f>D219/(1+E219)</f>
        <v/>
      </c>
      <c r="G219" s="7" t="inlineStr">
        <is>
          <t>Q1-FY2025</t>
        </is>
      </c>
      <c r="H219" s="35" t="n">
        <v>16.66</v>
      </c>
      <c r="I219" s="33" t="n">
        <v>45727</v>
      </c>
      <c r="J219" s="36">
        <f>F219-H219</f>
        <v/>
      </c>
      <c r="K219" s="16">
        <f>0.005/(1+E219)+D219*0.0005/(1+E219)^2+0.005</f>
        <v/>
      </c>
      <c r="L219" s="17">
        <f>IF(ABS(J219)&lt;=K219,"OK",IF(M219&lt;&gt;"","EXPLAINED","CHECK"))</f>
        <v/>
      </c>
      <c r="M219" s="7" t="inlineStr"/>
    </row>
    <row r="220">
      <c r="A220" s="33" t="n">
        <v>45909</v>
      </c>
      <c r="B220" s="7" t="inlineStr">
        <is>
          <t>Retail APE</t>
        </is>
      </c>
      <c r="C220" s="7" t="inlineStr">
        <is>
          <t>FY2025</t>
        </is>
      </c>
      <c r="D220" s="35" t="n">
        <v>87.05</v>
      </c>
      <c r="E220" s="32" t="n">
        <v>0.133</v>
      </c>
      <c r="F220" s="35">
        <f>D220/(1+E220)</f>
        <v/>
      </c>
      <c r="G220" s="7" t="inlineStr">
        <is>
          <t>FY2024</t>
        </is>
      </c>
      <c r="H220" s="35" t="n">
        <v>76.8</v>
      </c>
      <c r="I220" s="33" t="n">
        <v>45727</v>
      </c>
      <c r="J220" s="36">
        <f>F220-H220</f>
        <v/>
      </c>
      <c r="K220" s="16">
        <f>0.005/(1+E220)+D220*0.0005/(1+E220)^2+0.005</f>
        <v/>
      </c>
      <c r="L220" s="17">
        <f>IF(ABS(J220)&lt;=K220,"OK",IF(M220&lt;&gt;"","EXPLAINED","CHECK"))</f>
        <v/>
      </c>
      <c r="M220" s="7" t="inlineStr"/>
    </row>
    <row r="221">
      <c r="A221" s="33" t="n">
        <v>45909</v>
      </c>
      <c r="B221" s="7" t="inlineStr">
        <is>
          <t>APE</t>
        </is>
      </c>
      <c r="C221" s="7" t="inlineStr">
        <is>
          <t>Q1-FY2026</t>
        </is>
      </c>
      <c r="D221" s="35" t="n">
        <v>18.64</v>
      </c>
      <c r="E221" s="32" t="n">
        <v>-0.05</v>
      </c>
      <c r="F221" s="35">
        <f>D221/(1+E221)</f>
        <v/>
      </c>
      <c r="G221" s="7" t="inlineStr">
        <is>
          <t>Q1-FY2025</t>
        </is>
      </c>
      <c r="H221" s="35" t="n">
        <v>19.63</v>
      </c>
      <c r="I221" s="33" t="n">
        <v>45727</v>
      </c>
      <c r="J221" s="36">
        <f>F221-H221</f>
        <v/>
      </c>
      <c r="K221" s="16">
        <f>0.005/(1+E221)+D221*0.0005/(1+E221)^2+0.005</f>
        <v/>
      </c>
      <c r="L221" s="17">
        <f>IF(ABS(J221)&lt;=K221,"OK",IF(M221&lt;&gt;"","EXPLAINED","CHECK"))</f>
        <v/>
      </c>
      <c r="M221" s="7" t="inlineStr"/>
    </row>
    <row r="222">
      <c r="A222" s="33" t="n">
        <v>45909</v>
      </c>
      <c r="B222" s="7" t="inlineStr">
        <is>
          <t>APE</t>
        </is>
      </c>
      <c r="C222" s="7" t="inlineStr">
        <is>
          <t>FY2025</t>
        </is>
      </c>
      <c r="D222" s="35" t="n">
        <v>104.07</v>
      </c>
      <c r="E222" s="32" t="n">
        <v>0.15</v>
      </c>
      <c r="F222" s="35">
        <f>D222/(1+E222)</f>
        <v/>
      </c>
      <c r="G222" s="7" t="inlineStr">
        <is>
          <t>FY2024</t>
        </is>
      </c>
      <c r="H222" s="35" t="n">
        <v>90.45999999999999</v>
      </c>
      <c r="I222" s="33" t="n">
        <v>45727</v>
      </c>
      <c r="J222" s="36">
        <f>F222-H222</f>
        <v/>
      </c>
      <c r="K222" s="16">
        <f>0.005/(1+E222)+D222*0.0005/(1+E222)^2+0.005</f>
        <v/>
      </c>
      <c r="L222" s="17">
        <f>IF(ABS(J222)&lt;=K222,"OK",IF(M222&lt;&gt;"","EXPLAINED","CHECK"))</f>
        <v/>
      </c>
      <c r="M222" s="7" t="inlineStr"/>
    </row>
    <row r="223">
      <c r="A223" s="33" t="n">
        <v>45909</v>
      </c>
      <c r="B223" s="7" t="inlineStr">
        <is>
          <t>APE</t>
        </is>
      </c>
      <c r="C223" s="7" t="inlineStr">
        <is>
          <t>Aug-25</t>
        </is>
      </c>
      <c r="D223" s="35" t="n">
        <v>7.22</v>
      </c>
      <c r="E223" s="32" t="n">
        <v>-0.094</v>
      </c>
      <c r="F223" s="35">
        <f>D223/(1+E223)</f>
        <v/>
      </c>
      <c r="G223" s="7" t="inlineStr">
        <is>
          <t>Aug-24</t>
        </is>
      </c>
      <c r="H223" s="35" t="n">
        <v>7.97</v>
      </c>
      <c r="I223" s="33" t="n">
        <v>45576</v>
      </c>
      <c r="J223" s="36">
        <f>F223-H223</f>
        <v/>
      </c>
      <c r="K223" s="16">
        <f>0.005/(1+E223)+D223*0.0005/(1+E223)^2+0.005</f>
        <v/>
      </c>
      <c r="L223" s="17">
        <f>IF(ABS(J223)&lt;=K223,"OK",IF(M223&lt;&gt;"","EXPLAINED","CHECK"))</f>
        <v/>
      </c>
      <c r="M223" s="7" t="inlineStr"/>
    </row>
    <row r="224">
      <c r="A224" s="33" t="n">
        <v>45909</v>
      </c>
      <c r="B224" s="7" t="inlineStr">
        <is>
          <t>APE</t>
        </is>
      </c>
      <c r="C224" s="7" t="inlineStr">
        <is>
          <t>Jul-25</t>
        </is>
      </c>
      <c r="D224" s="35" t="n">
        <v>8.289999999999999</v>
      </c>
      <c r="E224" s="32" t="n">
        <v>0.005</v>
      </c>
      <c r="F224" s="35">
        <f>D224/(1+E224)</f>
        <v/>
      </c>
      <c r="G224" s="7" t="inlineStr">
        <is>
          <t>Jul-24</t>
        </is>
      </c>
      <c r="H224" s="35" t="n">
        <v>8.25</v>
      </c>
      <c r="I224" s="33" t="n">
        <v>45576</v>
      </c>
      <c r="J224" s="36">
        <f>F224-H224</f>
        <v/>
      </c>
      <c r="K224" s="16">
        <f>0.005/(1+E224)+D224*0.0005/(1+E224)^2+0.005</f>
        <v/>
      </c>
      <c r="L224" s="17">
        <f>IF(ABS(J224)&lt;=K224,"OK",IF(M224&lt;&gt;"","EXPLAINED","CHECK"))</f>
        <v/>
      </c>
      <c r="M224" s="7" t="inlineStr"/>
    </row>
    <row r="225">
      <c r="A225" s="33" t="n">
        <v>45909</v>
      </c>
      <c r="B225" s="7" t="inlineStr">
        <is>
          <t>RWRP</t>
        </is>
      </c>
      <c r="C225" s="7" t="inlineStr">
        <is>
          <t>Q1-FY2026</t>
        </is>
      </c>
      <c r="D225" s="35" t="n">
        <v>13.56</v>
      </c>
      <c r="E225" s="32" t="n">
        <v>-0.13</v>
      </c>
      <c r="F225" s="35">
        <f>D225/(1+E225)</f>
        <v/>
      </c>
      <c r="G225" s="7" t="inlineStr">
        <is>
          <t>Q1-FY2025</t>
        </is>
      </c>
      <c r="H225" s="35" t="n">
        <v>15.58</v>
      </c>
      <c r="I225" s="33" t="n">
        <v>45727</v>
      </c>
      <c r="J225" s="36">
        <f>F225-H225</f>
        <v/>
      </c>
      <c r="K225" s="16">
        <f>0.005/(1+E225)+D225*0.0005/(1+E225)^2+0.005</f>
        <v/>
      </c>
      <c r="L225" s="17">
        <f>IF(ABS(J225)&lt;=K225,"OK",IF(M225&lt;&gt;"","EXPLAINED","CHECK"))</f>
        <v/>
      </c>
      <c r="M225" s="7" t="inlineStr"/>
    </row>
    <row r="226">
      <c r="A226" s="33" t="n">
        <v>45909</v>
      </c>
      <c r="B226" s="7" t="inlineStr">
        <is>
          <t>RWRP</t>
        </is>
      </c>
      <c r="C226" s="7" t="inlineStr">
        <is>
          <t>FY2025</t>
        </is>
      </c>
      <c r="D226" s="35" t="n">
        <v>83.06999999999999</v>
      </c>
      <c r="E226" s="32" t="n">
        <v>0.152</v>
      </c>
      <c r="F226" s="35">
        <f>D226/(1+E226)</f>
        <v/>
      </c>
      <c r="G226" s="7" t="inlineStr">
        <is>
          <t>FY2024</t>
        </is>
      </c>
      <c r="H226" s="35" t="n">
        <v>72.13</v>
      </c>
      <c r="I226" s="33" t="n">
        <v>45727</v>
      </c>
      <c r="J226" s="36">
        <f>F226-H226</f>
        <v/>
      </c>
      <c r="K226" s="16">
        <f>0.005/(1+E226)+D226*0.0005/(1+E226)^2+0.005</f>
        <v/>
      </c>
      <c r="L226" s="17">
        <f>IF(ABS(J226)&lt;=K226,"OK",IF(M226&lt;&gt;"","EXPLAINED","CHECK"))</f>
        <v/>
      </c>
      <c r="M226" s="7" t="inlineStr"/>
    </row>
    <row r="227">
      <c r="A227" s="33" t="n">
        <v>45909</v>
      </c>
      <c r="B227" s="7" t="inlineStr">
        <is>
          <t>RWRP</t>
        </is>
      </c>
      <c r="C227" s="7" t="inlineStr">
        <is>
          <t>Aug-25</t>
        </is>
      </c>
      <c r="D227" s="35" t="n">
        <v>5.92</v>
      </c>
      <c r="E227" s="32" t="n">
        <v>-0.131</v>
      </c>
      <c r="F227" s="35">
        <f>D227/(1+E227)</f>
        <v/>
      </c>
      <c r="G227" s="7" t="inlineStr">
        <is>
          <t>Aug-24</t>
        </is>
      </c>
      <c r="H227" s="35" t="n">
        <v>6.81</v>
      </c>
      <c r="I227" s="33" t="n">
        <v>45576</v>
      </c>
      <c r="J227" s="36">
        <f>F227-H227</f>
        <v/>
      </c>
      <c r="K227" s="16">
        <f>0.005/(1+E227)+D227*0.0005/(1+E227)^2+0.005</f>
        <v/>
      </c>
      <c r="L227" s="17">
        <f>IF(ABS(J227)&lt;=K227,"OK",IF(M227&lt;&gt;"","EXPLAINED","CHECK"))</f>
        <v/>
      </c>
      <c r="M227" s="7" t="inlineStr"/>
    </row>
    <row r="228">
      <c r="A228" s="33" t="n">
        <v>45909</v>
      </c>
      <c r="B228" s="7" t="inlineStr">
        <is>
          <t>RWRP</t>
        </is>
      </c>
      <c r="C228" s="7" t="inlineStr">
        <is>
          <t>Jul-25</t>
        </is>
      </c>
      <c r="D228" s="35" t="n">
        <v>6.54</v>
      </c>
      <c r="E228" s="32" t="n">
        <v>-0.04</v>
      </c>
      <c r="F228" s="35">
        <f>D228/(1+E228)</f>
        <v/>
      </c>
      <c r="G228" s="7" t="inlineStr">
        <is>
          <t>Jul-24</t>
        </is>
      </c>
      <c r="H228" s="35" t="n">
        <v>6.81</v>
      </c>
      <c r="I228" s="33" t="n">
        <v>45576</v>
      </c>
      <c r="J228" s="36">
        <f>F228-H228</f>
        <v/>
      </c>
      <c r="K228" s="16">
        <f>0.005/(1+E228)+D228*0.0005/(1+E228)^2+0.005</f>
        <v/>
      </c>
      <c r="L228" s="17">
        <f>IF(ABS(J228)&lt;=K228,"OK",IF(M228&lt;&gt;"","EXPLAINED","CHECK"))</f>
        <v/>
      </c>
      <c r="M228" s="7" t="inlineStr"/>
    </row>
    <row r="229">
      <c r="A229" s="33" t="n">
        <v>45877</v>
      </c>
      <c r="B229" s="7" t="inlineStr">
        <is>
          <t>NB Sum Assured</t>
        </is>
      </c>
      <c r="C229" s="7" t="inlineStr">
        <is>
          <t>Q1-FY2026</t>
        </is>
      </c>
      <c r="D229" s="35" t="n">
        <v>3714.52</v>
      </c>
      <c r="E229" s="32" t="n">
        <v>0.363</v>
      </c>
      <c r="F229" s="35">
        <f>D229/(1+E229)</f>
        <v/>
      </c>
      <c r="G229" s="7" t="inlineStr">
        <is>
          <t>Q1-FY2025</t>
        </is>
      </c>
      <c r="H229" s="35" t="n">
        <v>2724.68</v>
      </c>
      <c r="I229" s="33" t="n">
        <v>45727</v>
      </c>
      <c r="J229" s="36">
        <f>F229-H229</f>
        <v/>
      </c>
      <c r="K229" s="16">
        <f>0.005/(1+E229)+D229*0.0005/(1+E229)^2+0.005</f>
        <v/>
      </c>
      <c r="L229" s="17">
        <f>IF(ABS(J229)&lt;=K229,"OK",IF(M229&lt;&gt;"","EXPLAINED","CHECK"))</f>
        <v/>
      </c>
      <c r="M229" s="7" t="inlineStr"/>
    </row>
    <row r="230">
      <c r="A230" s="33" t="n">
        <v>45877</v>
      </c>
      <c r="B230" s="7" t="inlineStr">
        <is>
          <t>NB Sum Assured</t>
        </is>
      </c>
      <c r="C230" s="7" t="inlineStr">
        <is>
          <t>FY2025</t>
        </is>
      </c>
      <c r="D230" s="35" t="n">
        <v>11944.01</v>
      </c>
      <c r="E230" s="32" t="n">
        <v>0.169</v>
      </c>
      <c r="F230" s="35">
        <f>D230/(1+E230)</f>
        <v/>
      </c>
      <c r="G230" s="7" t="inlineStr">
        <is>
          <t>FY2024</t>
        </is>
      </c>
      <c r="H230" s="35" t="n">
        <v>10221.11</v>
      </c>
      <c r="I230" s="33" t="n">
        <v>45727</v>
      </c>
      <c r="J230" s="36">
        <f>F230-H230</f>
        <v/>
      </c>
      <c r="K230" s="16">
        <f>0.005/(1+E230)+D230*0.0005/(1+E230)^2+0.005</f>
        <v/>
      </c>
      <c r="L230" s="17">
        <f>IF(ABS(J230)&lt;=K230,"OK",IF(M230&lt;&gt;"","EXPLAINED","CHECK"))</f>
        <v/>
      </c>
      <c r="M230" s="7" t="inlineStr"/>
    </row>
    <row r="231">
      <c r="A231" s="33" t="n">
        <v>45877</v>
      </c>
      <c r="B231" s="7" t="inlineStr">
        <is>
          <t>NB Sum Assured</t>
        </is>
      </c>
      <c r="C231" s="7" t="inlineStr">
        <is>
          <t>Jul-25</t>
        </is>
      </c>
      <c r="D231" s="35" t="n">
        <v>1085.67</v>
      </c>
      <c r="E231" s="32" t="n">
        <v>0.08699999999999999</v>
      </c>
      <c r="F231" s="35">
        <f>D231/(1+E231)</f>
        <v/>
      </c>
      <c r="G231" s="7" t="inlineStr">
        <is>
          <t>Jul-24</t>
        </is>
      </c>
      <c r="H231" s="35" t="n">
        <v>998.35</v>
      </c>
      <c r="I231" s="33" t="n">
        <v>45576</v>
      </c>
      <c r="J231" s="36">
        <f>F231-H231</f>
        <v/>
      </c>
      <c r="K231" s="16">
        <f>0.005/(1+E231)+D231*0.0005/(1+E231)^2+0.005</f>
        <v/>
      </c>
      <c r="L231" s="17">
        <f>IF(ABS(J231)&lt;=K231,"OK",IF(M231&lt;&gt;"","EXPLAINED","CHECK"))</f>
        <v/>
      </c>
      <c r="M231" s="7" t="inlineStr"/>
    </row>
    <row r="232">
      <c r="A232" s="33" t="n">
        <v>45877</v>
      </c>
      <c r="B232" s="7" t="inlineStr">
        <is>
          <t>NB Premium</t>
        </is>
      </c>
      <c r="C232" s="7" t="inlineStr">
        <is>
          <t>Q1-FY2026</t>
        </is>
      </c>
      <c r="D232" s="35" t="n">
        <v>40.12</v>
      </c>
      <c r="E232" s="32" t="n">
        <v>0.065</v>
      </c>
      <c r="F232" s="35">
        <f>D232/(1+E232)</f>
        <v/>
      </c>
      <c r="G232" s="7" t="inlineStr">
        <is>
          <t>Q1-FY2025</t>
        </is>
      </c>
      <c r="H232" s="35" t="n">
        <v>37.69</v>
      </c>
      <c r="I232" s="33" t="n">
        <v>45727</v>
      </c>
      <c r="J232" s="36">
        <f>F232-H232</f>
        <v/>
      </c>
      <c r="K232" s="16">
        <f>0.005/(1+E232)+D232*0.0005/(1+E232)^2+0.005</f>
        <v/>
      </c>
      <c r="L232" s="17">
        <f>IF(ABS(J232)&lt;=K232,"OK",IF(M232&lt;&gt;"","EXPLAINED","CHECK"))</f>
        <v/>
      </c>
      <c r="M232" s="7" t="inlineStr"/>
    </row>
    <row r="233">
      <c r="A233" s="33" t="n">
        <v>45877</v>
      </c>
      <c r="B233" s="7" t="inlineStr">
        <is>
          <t>NB Premium</t>
        </is>
      </c>
      <c r="C233" s="7" t="inlineStr">
        <is>
          <t>FY2025</t>
        </is>
      </c>
      <c r="D233" s="35" t="n">
        <v>225.83</v>
      </c>
      <c r="E233" s="32" t="n">
        <v>0.249</v>
      </c>
      <c r="F233" s="35">
        <f>D233/(1+E233)</f>
        <v/>
      </c>
      <c r="G233" s="7" t="inlineStr">
        <is>
          <t>FY2024</t>
        </is>
      </c>
      <c r="H233" s="35" t="n">
        <v>180.81</v>
      </c>
      <c r="I233" s="33" t="n">
        <v>45727</v>
      </c>
      <c r="J233" s="36">
        <f>F233-H233</f>
        <v/>
      </c>
      <c r="K233" s="16">
        <f>0.005/(1+E233)+D233*0.0005/(1+E233)^2+0.005</f>
        <v/>
      </c>
      <c r="L233" s="17">
        <f>IF(ABS(J233)&lt;=K233,"OK",IF(M233&lt;&gt;"","EXPLAINED","CHECK"))</f>
        <v/>
      </c>
      <c r="M233" s="7" t="inlineStr"/>
    </row>
    <row r="234">
      <c r="A234" s="33" t="n">
        <v>45877</v>
      </c>
      <c r="B234" s="7" t="inlineStr">
        <is>
          <t>NB Premium</t>
        </is>
      </c>
      <c r="C234" s="7" t="inlineStr">
        <is>
          <t>Jul-25</t>
        </is>
      </c>
      <c r="D234" s="35" t="n">
        <v>19.06</v>
      </c>
      <c r="E234" s="32" t="n">
        <v>0.083</v>
      </c>
      <c r="F234" s="35">
        <f>D234/(1+E234)</f>
        <v/>
      </c>
      <c r="G234" s="7" t="inlineStr">
        <is>
          <t>Jul-24</t>
        </is>
      </c>
      <c r="H234" s="35" t="n">
        <v>17.6</v>
      </c>
      <c r="I234" s="33" t="n">
        <v>45576</v>
      </c>
      <c r="J234" s="36">
        <f>F234-H234</f>
        <v/>
      </c>
      <c r="K234" s="16">
        <f>0.005/(1+E234)+D234*0.0005/(1+E234)^2+0.005</f>
        <v/>
      </c>
      <c r="L234" s="17">
        <f>IF(ABS(J234)&lt;=K234,"OK",IF(M234&lt;&gt;"","EXPLAINED","CHECK"))</f>
        <v/>
      </c>
      <c r="M234" s="7" t="inlineStr"/>
    </row>
    <row r="235">
      <c r="A235" s="33" t="n">
        <v>45877</v>
      </c>
      <c r="B235" s="7" t="inlineStr">
        <is>
          <t>Retail APE</t>
        </is>
      </c>
      <c r="C235" s="7" t="inlineStr">
        <is>
          <t>Q1-FY2026</t>
        </is>
      </c>
      <c r="D235" s="35" t="n">
        <v>15.12</v>
      </c>
      <c r="E235" s="32" t="n">
        <v>-0.092</v>
      </c>
      <c r="F235" s="35">
        <f>D235/(1+E235)</f>
        <v/>
      </c>
      <c r="G235" s="7" t="inlineStr">
        <is>
          <t>Q1-FY2025</t>
        </is>
      </c>
      <c r="H235" s="35" t="n">
        <v>16.66</v>
      </c>
      <c r="I235" s="33" t="n">
        <v>45727</v>
      </c>
      <c r="J235" s="36">
        <f>F235-H235</f>
        <v/>
      </c>
      <c r="K235" s="16">
        <f>0.005/(1+E235)+D235*0.0005/(1+E235)^2+0.005</f>
        <v/>
      </c>
      <c r="L235" s="17">
        <f>IF(ABS(J235)&lt;=K235,"OK",IF(M235&lt;&gt;"","EXPLAINED","CHECK"))</f>
        <v/>
      </c>
      <c r="M235" s="7" t="inlineStr"/>
    </row>
    <row r="236">
      <c r="A236" s="33" t="n">
        <v>45877</v>
      </c>
      <c r="B236" s="7" t="inlineStr">
        <is>
          <t>Retail APE</t>
        </is>
      </c>
      <c r="C236" s="7" t="inlineStr">
        <is>
          <t>FY2025</t>
        </is>
      </c>
      <c r="D236" s="35" t="n">
        <v>87.05</v>
      </c>
      <c r="E236" s="32" t="n">
        <v>0.133</v>
      </c>
      <c r="F236" s="35">
        <f>D236/(1+E236)</f>
        <v/>
      </c>
      <c r="G236" s="7" t="inlineStr">
        <is>
          <t>FY2024</t>
        </is>
      </c>
      <c r="H236" s="35" t="n">
        <v>76.8</v>
      </c>
      <c r="I236" s="33" t="n">
        <v>45727</v>
      </c>
      <c r="J236" s="36">
        <f>F236-H236</f>
        <v/>
      </c>
      <c r="K236" s="16">
        <f>0.005/(1+E236)+D236*0.0005/(1+E236)^2+0.005</f>
        <v/>
      </c>
      <c r="L236" s="17">
        <f>IF(ABS(J236)&lt;=K236,"OK",IF(M236&lt;&gt;"","EXPLAINED","CHECK"))</f>
        <v/>
      </c>
      <c r="M236" s="7" t="inlineStr"/>
    </row>
    <row r="237">
      <c r="A237" s="33" t="n">
        <v>45877</v>
      </c>
      <c r="B237" s="7" t="inlineStr">
        <is>
          <t>APE</t>
        </is>
      </c>
      <c r="C237" s="7" t="inlineStr">
        <is>
          <t>Q1-FY2026</t>
        </is>
      </c>
      <c r="D237" s="35" t="n">
        <v>18.64</v>
      </c>
      <c r="E237" s="32" t="n">
        <v>-0.05</v>
      </c>
      <c r="F237" s="35">
        <f>D237/(1+E237)</f>
        <v/>
      </c>
      <c r="G237" s="7" t="inlineStr">
        <is>
          <t>Q1-FY2025</t>
        </is>
      </c>
      <c r="H237" s="35" t="n">
        <v>19.63</v>
      </c>
      <c r="I237" s="33" t="n">
        <v>45727</v>
      </c>
      <c r="J237" s="36">
        <f>F237-H237</f>
        <v/>
      </c>
      <c r="K237" s="16">
        <f>0.005/(1+E237)+D237*0.0005/(1+E237)^2+0.005</f>
        <v/>
      </c>
      <c r="L237" s="17">
        <f>IF(ABS(J237)&lt;=K237,"OK",IF(M237&lt;&gt;"","EXPLAINED","CHECK"))</f>
        <v/>
      </c>
      <c r="M237" s="7" t="inlineStr"/>
    </row>
    <row r="238">
      <c r="A238" s="33" t="n">
        <v>45877</v>
      </c>
      <c r="B238" s="7" t="inlineStr">
        <is>
          <t>APE</t>
        </is>
      </c>
      <c r="C238" s="7" t="inlineStr">
        <is>
          <t>FY2025</t>
        </is>
      </c>
      <c r="D238" s="35" t="n">
        <v>104.07</v>
      </c>
      <c r="E238" s="32" t="n">
        <v>0.15</v>
      </c>
      <c r="F238" s="35">
        <f>D238/(1+E238)</f>
        <v/>
      </c>
      <c r="G238" s="7" t="inlineStr">
        <is>
          <t>FY2024</t>
        </is>
      </c>
      <c r="H238" s="35" t="n">
        <v>90.45999999999999</v>
      </c>
      <c r="I238" s="33" t="n">
        <v>45727</v>
      </c>
      <c r="J238" s="36">
        <f>F238-H238</f>
        <v/>
      </c>
      <c r="K238" s="16">
        <f>0.005/(1+E238)+D238*0.0005/(1+E238)^2+0.005</f>
        <v/>
      </c>
      <c r="L238" s="17">
        <f>IF(ABS(J238)&lt;=K238,"OK",IF(M238&lt;&gt;"","EXPLAINED","CHECK"))</f>
        <v/>
      </c>
      <c r="M238" s="7" t="inlineStr"/>
    </row>
    <row r="239">
      <c r="A239" s="33" t="n">
        <v>45877</v>
      </c>
      <c r="B239" s="7" t="inlineStr">
        <is>
          <t>APE</t>
        </is>
      </c>
      <c r="C239" s="7" t="inlineStr">
        <is>
          <t>Jul-25</t>
        </is>
      </c>
      <c r="D239" s="35" t="n">
        <v>8.300000000000001</v>
      </c>
      <c r="E239" s="32" t="n">
        <v>0.006</v>
      </c>
      <c r="F239" s="35">
        <f>D239/(1+E239)</f>
        <v/>
      </c>
      <c r="G239" s="7" t="inlineStr">
        <is>
          <t>Jul-24</t>
        </is>
      </c>
      <c r="H239" s="35" t="n">
        <v>8.25</v>
      </c>
      <c r="I239" s="33" t="n">
        <v>45576</v>
      </c>
      <c r="J239" s="36">
        <f>F239-H239</f>
        <v/>
      </c>
      <c r="K239" s="16">
        <f>0.005/(1+E239)+D239*0.0005/(1+E239)^2+0.005</f>
        <v/>
      </c>
      <c r="L239" s="17">
        <f>IF(ABS(J239)&lt;=K239,"OK",IF(M239&lt;&gt;"","EXPLAINED","CHECK"))</f>
        <v/>
      </c>
      <c r="M239" s="7" t="inlineStr"/>
    </row>
    <row r="240">
      <c r="A240" s="33" t="n">
        <v>45877</v>
      </c>
      <c r="B240" s="7" t="inlineStr">
        <is>
          <t>RWRP</t>
        </is>
      </c>
      <c r="C240" s="7" t="inlineStr">
        <is>
          <t>Q1-FY2026</t>
        </is>
      </c>
      <c r="D240" s="35" t="n">
        <v>13.56</v>
      </c>
      <c r="E240" s="32" t="n">
        <v>-0.13</v>
      </c>
      <c r="F240" s="35">
        <f>D240/(1+E240)</f>
        <v/>
      </c>
      <c r="G240" s="7" t="inlineStr">
        <is>
          <t>Q1-FY2025</t>
        </is>
      </c>
      <c r="H240" s="35" t="n">
        <v>15.58</v>
      </c>
      <c r="I240" s="33" t="n">
        <v>45727</v>
      </c>
      <c r="J240" s="36">
        <f>F240-H240</f>
        <v/>
      </c>
      <c r="K240" s="16">
        <f>0.005/(1+E240)+D240*0.0005/(1+E240)^2+0.005</f>
        <v/>
      </c>
      <c r="L240" s="17">
        <f>IF(ABS(J240)&lt;=K240,"OK",IF(M240&lt;&gt;"","EXPLAINED","CHECK"))</f>
        <v/>
      </c>
      <c r="M240" s="7" t="inlineStr"/>
    </row>
    <row r="241">
      <c r="A241" s="33" t="n">
        <v>45877</v>
      </c>
      <c r="B241" s="7" t="inlineStr">
        <is>
          <t>RWRP</t>
        </is>
      </c>
      <c r="C241" s="7" t="inlineStr">
        <is>
          <t>FY2025</t>
        </is>
      </c>
      <c r="D241" s="35" t="n">
        <v>83.06999999999999</v>
      </c>
      <c r="E241" s="32" t="n">
        <v>0.152</v>
      </c>
      <c r="F241" s="35">
        <f>D241/(1+E241)</f>
        <v/>
      </c>
      <c r="G241" s="7" t="inlineStr">
        <is>
          <t>FY2024</t>
        </is>
      </c>
      <c r="H241" s="35" t="n">
        <v>72.13</v>
      </c>
      <c r="I241" s="33" t="n">
        <v>45727</v>
      </c>
      <c r="J241" s="36">
        <f>F241-H241</f>
        <v/>
      </c>
      <c r="K241" s="16">
        <f>0.005/(1+E241)+D241*0.0005/(1+E241)^2+0.005</f>
        <v/>
      </c>
      <c r="L241" s="17">
        <f>IF(ABS(J241)&lt;=K241,"OK",IF(M241&lt;&gt;"","EXPLAINED","CHECK"))</f>
        <v/>
      </c>
      <c r="M241" s="7" t="inlineStr"/>
    </row>
    <row r="242">
      <c r="A242" s="33" t="n">
        <v>45877</v>
      </c>
      <c r="B242" s="7" t="inlineStr">
        <is>
          <t>RWRP</t>
        </is>
      </c>
      <c r="C242" s="7" t="inlineStr">
        <is>
          <t>Jul-25</t>
        </is>
      </c>
      <c r="D242" s="35" t="n">
        <v>6.54</v>
      </c>
      <c r="E242" s="32" t="n">
        <v>-0.04</v>
      </c>
      <c r="F242" s="35">
        <f>D242/(1+E242)</f>
        <v/>
      </c>
      <c r="G242" s="7" t="inlineStr">
        <is>
          <t>Jul-24</t>
        </is>
      </c>
      <c r="H242" s="35" t="n">
        <v>6.81</v>
      </c>
      <c r="I242" s="33" t="n">
        <v>45576</v>
      </c>
      <c r="J242" s="36">
        <f>F242-H242</f>
        <v/>
      </c>
      <c r="K242" s="16">
        <f>0.005/(1+E242)+D242*0.0005/(1+E242)^2+0.005</f>
        <v/>
      </c>
      <c r="L242" s="17">
        <f>IF(ABS(J242)&lt;=K242,"OK",IF(M242&lt;&gt;"","EXPLAINED","CHECK"))</f>
        <v/>
      </c>
      <c r="M242" s="7" t="inlineStr"/>
    </row>
    <row r="243">
      <c r="A243" s="33" t="n">
        <v>45848</v>
      </c>
      <c r="B243" s="7" t="inlineStr">
        <is>
          <t>NB Sum Assured</t>
        </is>
      </c>
      <c r="C243" s="7" t="inlineStr">
        <is>
          <t>Q1-FY2026</t>
        </is>
      </c>
      <c r="D243" s="35" t="n">
        <v>3741.52</v>
      </c>
      <c r="E243" s="32" t="n">
        <v>0.363</v>
      </c>
      <c r="F243" s="35">
        <f>D243/(1+E243)</f>
        <v/>
      </c>
      <c r="G243" s="7" t="inlineStr">
        <is>
          <t>Q1-FY2025</t>
        </is>
      </c>
      <c r="H243" s="35" t="n">
        <v>2724.68</v>
      </c>
      <c r="I243" s="33" t="n">
        <v>45727</v>
      </c>
      <c r="J243" s="36">
        <f>F243-H243</f>
        <v/>
      </c>
      <c r="K243" s="16">
        <f>0.005/(1+E243)+D243*0.0005/(1+E243)^2+0.005</f>
        <v/>
      </c>
      <c r="L243" s="17">
        <f>IF(ABS(J243)&lt;=K243,"OK",IF(M243&lt;&gt;"","EXPLAINED","CHECK"))</f>
        <v/>
      </c>
      <c r="M243" s="7" t="inlineStr">
        <is>
          <t>Reported 3,741.52 later revised to 3,714.52 from the 2025-08-08 release; its own YoY matches the revised figure</t>
        </is>
      </c>
    </row>
    <row r="244">
      <c r="A244" s="33" t="n">
        <v>45848</v>
      </c>
      <c r="B244" s="7" t="inlineStr">
        <is>
          <t>NB Sum Assured</t>
        </is>
      </c>
      <c r="C244" s="7" t="inlineStr">
        <is>
          <t>FY2025</t>
        </is>
      </c>
      <c r="D244" s="35" t="n">
        <v>11944.01</v>
      </c>
      <c r="E244" s="32" t="n">
        <v>0.169</v>
      </c>
      <c r="F244" s="35">
        <f>D244/(1+E244)</f>
        <v/>
      </c>
      <c r="G244" s="7" t="inlineStr">
        <is>
          <t>FY2024</t>
        </is>
      </c>
      <c r="H244" s="35" t="n">
        <v>10221.11</v>
      </c>
      <c r="I244" s="33" t="n">
        <v>45727</v>
      </c>
      <c r="J244" s="36">
        <f>F244-H244</f>
        <v/>
      </c>
      <c r="K244" s="16">
        <f>0.005/(1+E244)+D244*0.0005/(1+E244)^2+0.005</f>
        <v/>
      </c>
      <c r="L244" s="17">
        <f>IF(ABS(J244)&lt;=K244,"OK",IF(M244&lt;&gt;"","EXPLAINED","CHECK"))</f>
        <v/>
      </c>
      <c r="M244" s="7" t="inlineStr"/>
    </row>
    <row r="245">
      <c r="A245" s="33" t="n">
        <v>45848</v>
      </c>
      <c r="B245" s="7" t="inlineStr">
        <is>
          <t>NB Sum Assured</t>
        </is>
      </c>
      <c r="C245" s="7" t="inlineStr">
        <is>
          <t>Jun-25</t>
        </is>
      </c>
      <c r="D245" s="35" t="n">
        <v>1007.37</v>
      </c>
      <c r="E245" s="32" t="n">
        <v>0.18</v>
      </c>
      <c r="F245" s="35">
        <f>D245/(1+E245)</f>
        <v/>
      </c>
      <c r="G245" s="7" t="inlineStr">
        <is>
          <t>Jun-24</t>
        </is>
      </c>
      <c r="H245" s="35" t="n">
        <v>853.48</v>
      </c>
      <c r="I245" s="33" t="n">
        <v>45481</v>
      </c>
      <c r="J245" s="36">
        <f>F245-H245</f>
        <v/>
      </c>
      <c r="K245" s="16">
        <f>0.005/(1+E245)+D245*0.0005/(1+E245)^2+0.005</f>
        <v/>
      </c>
      <c r="L245" s="17">
        <f>IF(ABS(J245)&lt;=K245,"OK",IF(M245&lt;&gt;"","EXPLAINED","CHECK"))</f>
        <v/>
      </c>
      <c r="M245" s="7" t="inlineStr"/>
    </row>
    <row r="246">
      <c r="A246" s="33" t="n">
        <v>45848</v>
      </c>
      <c r="B246" s="7" t="inlineStr">
        <is>
          <t>NB Sum Assured</t>
        </is>
      </c>
      <c r="C246" s="7" t="inlineStr">
        <is>
          <t>May-25</t>
        </is>
      </c>
      <c r="D246" s="35" t="n">
        <v>979.92</v>
      </c>
      <c r="E246" s="32" t="n">
        <v>0.102</v>
      </c>
      <c r="F246" s="35">
        <f>D246/(1+E246)</f>
        <v/>
      </c>
      <c r="G246" s="7" t="inlineStr">
        <is>
          <t>May-24</t>
        </is>
      </c>
      <c r="H246" s="35" t="n">
        <v>889.24</v>
      </c>
      <c r="I246" s="33" t="n">
        <v>45481</v>
      </c>
      <c r="J246" s="36">
        <f>F246-H246</f>
        <v/>
      </c>
      <c r="K246" s="16">
        <f>0.005/(1+E246)+D246*0.0005/(1+E246)^2+0.005</f>
        <v/>
      </c>
      <c r="L246" s="17">
        <f>IF(ABS(J246)&lt;=K246,"OK",IF(M246&lt;&gt;"","EXPLAINED","CHECK"))</f>
        <v/>
      </c>
      <c r="M246" s="7" t="inlineStr"/>
    </row>
    <row r="247">
      <c r="A247" s="33" t="n">
        <v>45848</v>
      </c>
      <c r="B247" s="7" t="inlineStr">
        <is>
          <t>NB Sum Assured</t>
        </is>
      </c>
      <c r="C247" s="7" t="inlineStr">
        <is>
          <t>Apr-25</t>
        </is>
      </c>
      <c r="D247" s="35" t="n">
        <v>1727.22</v>
      </c>
      <c r="E247" s="32" t="n">
        <v>0.759</v>
      </c>
      <c r="F247" s="35">
        <f>D247/(1+E247)</f>
        <v/>
      </c>
      <c r="G247" s="7" t="inlineStr">
        <is>
          <t>Apr-24</t>
        </is>
      </c>
      <c r="H247" s="35" t="n">
        <v>981.96</v>
      </c>
      <c r="I247" s="33" t="n">
        <v>45481</v>
      </c>
      <c r="J247" s="36">
        <f>F247-H247</f>
        <v/>
      </c>
      <c r="K247" s="16">
        <f>0.005/(1+E247)+D247*0.0005/(1+E247)^2+0.005</f>
        <v/>
      </c>
      <c r="L247" s="17">
        <f>IF(ABS(J247)&lt;=K247,"OK",IF(M247&lt;&gt;"","EXPLAINED","CHECK"))</f>
        <v/>
      </c>
      <c r="M247" s="7" t="inlineStr"/>
    </row>
    <row r="248">
      <c r="A248" s="33" t="n">
        <v>45848</v>
      </c>
      <c r="B248" s="7" t="inlineStr">
        <is>
          <t>NB Premium</t>
        </is>
      </c>
      <c r="C248" s="7" t="inlineStr">
        <is>
          <t>Q1-FY2026</t>
        </is>
      </c>
      <c r="D248" s="35" t="n">
        <v>40.12</v>
      </c>
      <c r="E248" s="32" t="n">
        <v>0.065</v>
      </c>
      <c r="F248" s="35">
        <f>D248/(1+E248)</f>
        <v/>
      </c>
      <c r="G248" s="7" t="inlineStr">
        <is>
          <t>Q1-FY2025</t>
        </is>
      </c>
      <c r="H248" s="35" t="n">
        <v>37.69</v>
      </c>
      <c r="I248" s="33" t="n">
        <v>45727</v>
      </c>
      <c r="J248" s="36">
        <f>F248-H248</f>
        <v/>
      </c>
      <c r="K248" s="16">
        <f>0.005/(1+E248)+D248*0.0005/(1+E248)^2+0.005</f>
        <v/>
      </c>
      <c r="L248" s="17">
        <f>IF(ABS(J248)&lt;=K248,"OK",IF(M248&lt;&gt;"","EXPLAINED","CHECK"))</f>
        <v/>
      </c>
      <c r="M248" s="7" t="inlineStr"/>
    </row>
    <row r="249">
      <c r="A249" s="33" t="n">
        <v>45848</v>
      </c>
      <c r="B249" s="7" t="inlineStr">
        <is>
          <t>NB Premium</t>
        </is>
      </c>
      <c r="C249" s="7" t="inlineStr">
        <is>
          <t>FY2025</t>
        </is>
      </c>
      <c r="D249" s="35" t="n">
        <v>225.83</v>
      </c>
      <c r="E249" s="32" t="n">
        <v>0.249</v>
      </c>
      <c r="F249" s="35">
        <f>D249/(1+E249)</f>
        <v/>
      </c>
      <c r="G249" s="7" t="inlineStr">
        <is>
          <t>FY2024</t>
        </is>
      </c>
      <c r="H249" s="35" t="n">
        <v>180.81</v>
      </c>
      <c r="I249" s="33" t="n">
        <v>45727</v>
      </c>
      <c r="J249" s="36">
        <f>F249-H249</f>
        <v/>
      </c>
      <c r="K249" s="16">
        <f>0.005/(1+E249)+D249*0.0005/(1+E249)^2+0.005</f>
        <v/>
      </c>
      <c r="L249" s="17">
        <f>IF(ABS(J249)&lt;=K249,"OK",IF(M249&lt;&gt;"","EXPLAINED","CHECK"))</f>
        <v/>
      </c>
      <c r="M249" s="7" t="inlineStr"/>
    </row>
    <row r="250">
      <c r="A250" s="33" t="n">
        <v>45848</v>
      </c>
      <c r="B250" s="7" t="inlineStr">
        <is>
          <t>NB Premium</t>
        </is>
      </c>
      <c r="C250" s="7" t="inlineStr">
        <is>
          <t>Jun-25</t>
        </is>
      </c>
      <c r="D250" s="35" t="n">
        <v>15.73</v>
      </c>
      <c r="E250" s="32" t="n">
        <v>0.04099999999999999</v>
      </c>
      <c r="F250" s="35">
        <f>D250/(1+E250)</f>
        <v/>
      </c>
      <c r="G250" s="7" t="inlineStr">
        <is>
          <t>Jun-24</t>
        </is>
      </c>
      <c r="H250" s="35" t="n">
        <v>15.11</v>
      </c>
      <c r="I250" s="33" t="n">
        <v>45481</v>
      </c>
      <c r="J250" s="36">
        <f>F250-H250</f>
        <v/>
      </c>
      <c r="K250" s="16">
        <f>0.005/(1+E250)+D250*0.0005/(1+E250)^2+0.005</f>
        <v/>
      </c>
      <c r="L250" s="17">
        <f>IF(ABS(J250)&lt;=K250,"OK",IF(M250&lt;&gt;"","EXPLAINED","CHECK"))</f>
        <v/>
      </c>
      <c r="M250" s="7" t="inlineStr"/>
    </row>
    <row r="251">
      <c r="A251" s="33" t="n">
        <v>45848</v>
      </c>
      <c r="B251" s="7" t="inlineStr">
        <is>
          <t>NB Premium</t>
        </is>
      </c>
      <c r="C251" s="7" t="inlineStr">
        <is>
          <t>May-25</t>
        </is>
      </c>
      <c r="D251" s="35" t="n">
        <v>14.07</v>
      </c>
      <c r="E251" s="32" t="n">
        <v>0.068</v>
      </c>
      <c r="F251" s="35">
        <f>D251/(1+E251)</f>
        <v/>
      </c>
      <c r="G251" s="7" t="inlineStr">
        <is>
          <t>May-24</t>
        </is>
      </c>
      <c r="H251" s="35" t="n">
        <v>13.18</v>
      </c>
      <c r="I251" s="33" t="n">
        <v>45481</v>
      </c>
      <c r="J251" s="36">
        <f>F251-H251</f>
        <v/>
      </c>
      <c r="K251" s="16">
        <f>0.005/(1+E251)+D251*0.0005/(1+E251)^2+0.005</f>
        <v/>
      </c>
      <c r="L251" s="17">
        <f>IF(ABS(J251)&lt;=K251,"OK",IF(M251&lt;&gt;"","EXPLAINED","CHECK"))</f>
        <v/>
      </c>
      <c r="M251" s="7" t="inlineStr"/>
    </row>
    <row r="252">
      <c r="A252" s="33" t="n">
        <v>45848</v>
      </c>
      <c r="B252" s="7" t="inlineStr">
        <is>
          <t>NB Premium</t>
        </is>
      </c>
      <c r="C252" s="7" t="inlineStr">
        <is>
          <t>Apr-25</t>
        </is>
      </c>
      <c r="D252" s="35" t="n">
        <v>10.32</v>
      </c>
      <c r="E252" s="32" t="n">
        <v>0.098</v>
      </c>
      <c r="F252" s="35">
        <f>D252/(1+E252)</f>
        <v/>
      </c>
      <c r="G252" s="7" t="inlineStr">
        <is>
          <t>Apr-24</t>
        </is>
      </c>
      <c r="H252" s="35" t="n">
        <v>9.4</v>
      </c>
      <c r="I252" s="33" t="n">
        <v>45481</v>
      </c>
      <c r="J252" s="36">
        <f>F252-H252</f>
        <v/>
      </c>
      <c r="K252" s="16">
        <f>0.005/(1+E252)+D252*0.0005/(1+E252)^2+0.005</f>
        <v/>
      </c>
      <c r="L252" s="17">
        <f>IF(ABS(J252)&lt;=K252,"OK",IF(M252&lt;&gt;"","EXPLAINED","CHECK"))</f>
        <v/>
      </c>
      <c r="M252" s="7" t="inlineStr"/>
    </row>
    <row r="253">
      <c r="A253" s="33" t="n">
        <v>45848</v>
      </c>
      <c r="B253" s="7" t="inlineStr">
        <is>
          <t>Retail APE</t>
        </is>
      </c>
      <c r="C253" s="7" t="inlineStr">
        <is>
          <t>Q1-FY2026</t>
        </is>
      </c>
      <c r="D253" s="35" t="n">
        <v>15.12</v>
      </c>
      <c r="E253" s="32" t="n">
        <v>-0.092</v>
      </c>
      <c r="F253" s="35">
        <f>D253/(1+E253)</f>
        <v/>
      </c>
      <c r="G253" s="7" t="inlineStr">
        <is>
          <t>Q1-FY2025</t>
        </is>
      </c>
      <c r="H253" s="35" t="n">
        <v>16.66</v>
      </c>
      <c r="I253" s="33" t="n">
        <v>45727</v>
      </c>
      <c r="J253" s="36">
        <f>F253-H253</f>
        <v/>
      </c>
      <c r="K253" s="16">
        <f>0.005/(1+E253)+D253*0.0005/(1+E253)^2+0.005</f>
        <v/>
      </c>
      <c r="L253" s="17">
        <f>IF(ABS(J253)&lt;=K253,"OK",IF(M253&lt;&gt;"","EXPLAINED","CHECK"))</f>
        <v/>
      </c>
      <c r="M253" s="7" t="inlineStr"/>
    </row>
    <row r="254">
      <c r="A254" s="33" t="n">
        <v>45848</v>
      </c>
      <c r="B254" s="7" t="inlineStr">
        <is>
          <t>Retail APE</t>
        </is>
      </c>
      <c r="C254" s="7" t="inlineStr">
        <is>
          <t>FY2025</t>
        </is>
      </c>
      <c r="D254" s="35" t="n">
        <v>87.05</v>
      </c>
      <c r="E254" s="32" t="n">
        <v>0.133</v>
      </c>
      <c r="F254" s="35">
        <f>D254/(1+E254)</f>
        <v/>
      </c>
      <c r="G254" s="7" t="inlineStr">
        <is>
          <t>FY2024</t>
        </is>
      </c>
      <c r="H254" s="35" t="n">
        <v>76.8</v>
      </c>
      <c r="I254" s="33" t="n">
        <v>45727</v>
      </c>
      <c r="J254" s="36">
        <f>F254-H254</f>
        <v/>
      </c>
      <c r="K254" s="16">
        <f>0.005/(1+E254)+D254*0.0005/(1+E254)^2+0.005</f>
        <v/>
      </c>
      <c r="L254" s="17">
        <f>IF(ABS(J254)&lt;=K254,"OK",IF(M254&lt;&gt;"","EXPLAINED","CHECK"))</f>
        <v/>
      </c>
      <c r="M254" s="7" t="inlineStr"/>
    </row>
    <row r="255">
      <c r="A255" s="33" t="n">
        <v>45848</v>
      </c>
      <c r="B255" s="7" t="inlineStr">
        <is>
          <t>APE</t>
        </is>
      </c>
      <c r="C255" s="7" t="inlineStr">
        <is>
          <t>Q1-FY2026</t>
        </is>
      </c>
      <c r="D255" s="35" t="n">
        <v>18.64</v>
      </c>
      <c r="E255" s="32" t="n">
        <v>-0.05</v>
      </c>
      <c r="F255" s="35">
        <f>D255/(1+E255)</f>
        <v/>
      </c>
      <c r="G255" s="7" t="inlineStr">
        <is>
          <t>Q1-FY2025</t>
        </is>
      </c>
      <c r="H255" s="35" t="n">
        <v>19.63</v>
      </c>
      <c r="I255" s="33" t="n">
        <v>45727</v>
      </c>
      <c r="J255" s="36">
        <f>F255-H255</f>
        <v/>
      </c>
      <c r="K255" s="16">
        <f>0.005/(1+E255)+D255*0.0005/(1+E255)^2+0.005</f>
        <v/>
      </c>
      <c r="L255" s="17">
        <f>IF(ABS(J255)&lt;=K255,"OK",IF(M255&lt;&gt;"","EXPLAINED","CHECK"))</f>
        <v/>
      </c>
      <c r="M255" s="7" t="inlineStr"/>
    </row>
    <row r="256">
      <c r="A256" s="33" t="n">
        <v>45848</v>
      </c>
      <c r="B256" s="7" t="inlineStr">
        <is>
          <t>APE</t>
        </is>
      </c>
      <c r="C256" s="7" t="inlineStr">
        <is>
          <t>FY2025</t>
        </is>
      </c>
      <c r="D256" s="35" t="n">
        <v>104.07</v>
      </c>
      <c r="E256" s="32" t="n">
        <v>0.15</v>
      </c>
      <c r="F256" s="35">
        <f>D256/(1+E256)</f>
        <v/>
      </c>
      <c r="G256" s="7" t="inlineStr">
        <is>
          <t>FY2024</t>
        </is>
      </c>
      <c r="H256" s="35" t="n">
        <v>90.45999999999999</v>
      </c>
      <c r="I256" s="33" t="n">
        <v>45727</v>
      </c>
      <c r="J256" s="36">
        <f>F256-H256</f>
        <v/>
      </c>
      <c r="K256" s="16">
        <f>0.005/(1+E256)+D256*0.0005/(1+E256)^2+0.005</f>
        <v/>
      </c>
      <c r="L256" s="17">
        <f>IF(ABS(J256)&lt;=K256,"OK",IF(M256&lt;&gt;"","EXPLAINED","CHECK"))</f>
        <v/>
      </c>
      <c r="M256" s="7" t="inlineStr"/>
    </row>
    <row r="257">
      <c r="A257" s="33" t="n">
        <v>45848</v>
      </c>
      <c r="B257" s="7" t="inlineStr">
        <is>
          <t>APE</t>
        </is>
      </c>
      <c r="C257" s="7" t="inlineStr">
        <is>
          <t>Jun-25</t>
        </is>
      </c>
      <c r="D257" s="35" t="n">
        <v>6.94</v>
      </c>
      <c r="E257" s="32" t="n">
        <v>-0.052</v>
      </c>
      <c r="F257" s="35">
        <f>D257/(1+E257)</f>
        <v/>
      </c>
      <c r="G257" s="7" t="inlineStr">
        <is>
          <t>Jun-24</t>
        </is>
      </c>
      <c r="H257" s="35" t="n">
        <v>7.32</v>
      </c>
      <c r="I257" s="33" t="n">
        <v>45481</v>
      </c>
      <c r="J257" s="36">
        <f>F257-H257</f>
        <v/>
      </c>
      <c r="K257" s="16">
        <f>0.005/(1+E257)+D257*0.0005/(1+E257)^2+0.005</f>
        <v/>
      </c>
      <c r="L257" s="17">
        <f>IF(ABS(J257)&lt;=K257,"OK",IF(M257&lt;&gt;"","EXPLAINED","CHECK"))</f>
        <v/>
      </c>
      <c r="M257" s="7" t="inlineStr"/>
    </row>
    <row r="258">
      <c r="A258" s="33" t="n">
        <v>45848</v>
      </c>
      <c r="B258" s="7" t="inlineStr">
        <is>
          <t>APE</t>
        </is>
      </c>
      <c r="C258" s="7" t="inlineStr">
        <is>
          <t>May-25</t>
        </is>
      </c>
      <c r="D258" s="35" t="n">
        <v>6.73</v>
      </c>
      <c r="E258" s="32" t="n">
        <v>-0.045</v>
      </c>
      <c r="F258" s="35">
        <f>D258/(1+E258)</f>
        <v/>
      </c>
      <c r="G258" s="7" t="inlineStr">
        <is>
          <t>May-24</t>
        </is>
      </c>
      <c r="H258" s="35" t="n">
        <v>7.05</v>
      </c>
      <c r="I258" s="33" t="n">
        <v>45481</v>
      </c>
      <c r="J258" s="36">
        <f>F258-H258</f>
        <v/>
      </c>
      <c r="K258" s="16">
        <f>0.005/(1+E258)+D258*0.0005/(1+E258)^2+0.005</f>
        <v/>
      </c>
      <c r="L258" s="17">
        <f>IF(ABS(J258)&lt;=K258,"OK",IF(M258&lt;&gt;"","EXPLAINED","CHECK"))</f>
        <v/>
      </c>
      <c r="M258" s="7" t="inlineStr"/>
    </row>
    <row r="259">
      <c r="A259" s="33" t="n">
        <v>45848</v>
      </c>
      <c r="B259" s="7" t="inlineStr">
        <is>
          <t>APE</t>
        </is>
      </c>
      <c r="C259" s="7" t="inlineStr">
        <is>
          <t>Apr-25</t>
        </is>
      </c>
      <c r="D259" s="35" t="n">
        <v>4.98</v>
      </c>
      <c r="E259" s="32" t="n">
        <v>-0.053</v>
      </c>
      <c r="F259" s="35">
        <f>D259/(1+E259)</f>
        <v/>
      </c>
      <c r="G259" s="7" t="inlineStr">
        <is>
          <t>Apr-24</t>
        </is>
      </c>
      <c r="H259" s="35" t="n">
        <v>5.26</v>
      </c>
      <c r="I259" s="33" t="n">
        <v>45481</v>
      </c>
      <c r="J259" s="36">
        <f>F259-H259</f>
        <v/>
      </c>
      <c r="K259" s="16">
        <f>0.005/(1+E259)+D259*0.0005/(1+E259)^2+0.005</f>
        <v/>
      </c>
      <c r="L259" s="17">
        <f>IF(ABS(J259)&lt;=K259,"OK",IF(M259&lt;&gt;"","EXPLAINED","CHECK"))</f>
        <v/>
      </c>
      <c r="M259" s="7" t="inlineStr"/>
    </row>
    <row r="260">
      <c r="A260" s="33" t="n">
        <v>45848</v>
      </c>
      <c r="B260" s="7" t="inlineStr">
        <is>
          <t>RWRP</t>
        </is>
      </c>
      <c r="C260" s="7" t="inlineStr">
        <is>
          <t>Q1-FY2026</t>
        </is>
      </c>
      <c r="D260" s="35" t="n">
        <v>13.56</v>
      </c>
      <c r="E260" s="32" t="n">
        <v>-0.13</v>
      </c>
      <c r="F260" s="35">
        <f>D260/(1+E260)</f>
        <v/>
      </c>
      <c r="G260" s="7" t="inlineStr">
        <is>
          <t>Q1-FY2025</t>
        </is>
      </c>
      <c r="H260" s="35" t="n">
        <v>15.58</v>
      </c>
      <c r="I260" s="33" t="n">
        <v>45727</v>
      </c>
      <c r="J260" s="36">
        <f>F260-H260</f>
        <v/>
      </c>
      <c r="K260" s="16">
        <f>0.005/(1+E260)+D260*0.0005/(1+E260)^2+0.005</f>
        <v/>
      </c>
      <c r="L260" s="17">
        <f>IF(ABS(J260)&lt;=K260,"OK",IF(M260&lt;&gt;"","EXPLAINED","CHECK"))</f>
        <v/>
      </c>
      <c r="M260" s="7" t="inlineStr"/>
    </row>
    <row r="261">
      <c r="A261" s="33" t="n">
        <v>45848</v>
      </c>
      <c r="B261" s="7" t="inlineStr">
        <is>
          <t>RWRP</t>
        </is>
      </c>
      <c r="C261" s="7" t="inlineStr">
        <is>
          <t>FY2025</t>
        </is>
      </c>
      <c r="D261" s="35" t="n">
        <v>83.06999999999999</v>
      </c>
      <c r="E261" s="32" t="n">
        <v>0.152</v>
      </c>
      <c r="F261" s="35">
        <f>D261/(1+E261)</f>
        <v/>
      </c>
      <c r="G261" s="7" t="inlineStr">
        <is>
          <t>FY2024</t>
        </is>
      </c>
      <c r="H261" s="35" t="n">
        <v>72.13</v>
      </c>
      <c r="I261" s="33" t="n">
        <v>45727</v>
      </c>
      <c r="J261" s="36">
        <f>F261-H261</f>
        <v/>
      </c>
      <c r="K261" s="16">
        <f>0.005/(1+E261)+D261*0.0005/(1+E261)^2+0.005</f>
        <v/>
      </c>
      <c r="L261" s="17">
        <f>IF(ABS(J261)&lt;=K261,"OK",IF(M261&lt;&gt;"","EXPLAINED","CHECK"))</f>
        <v/>
      </c>
      <c r="M261" s="7" t="inlineStr"/>
    </row>
    <row r="262">
      <c r="A262" s="33" t="n">
        <v>45848</v>
      </c>
      <c r="B262" s="7" t="inlineStr">
        <is>
          <t>RWRP</t>
        </is>
      </c>
      <c r="C262" s="7" t="inlineStr">
        <is>
          <t>Jun-25</t>
        </is>
      </c>
      <c r="D262" s="35" t="n">
        <v>5.53</v>
      </c>
      <c r="E262" s="32" t="n">
        <v>-0.101</v>
      </c>
      <c r="F262" s="35">
        <f>D262/(1+E262)</f>
        <v/>
      </c>
      <c r="G262" s="7" t="inlineStr">
        <is>
          <t>Jun-24</t>
        </is>
      </c>
      <c r="H262" s="35" t="n">
        <v>6.15</v>
      </c>
      <c r="I262" s="33" t="n">
        <v>45481</v>
      </c>
      <c r="J262" s="36">
        <f>F262-H262</f>
        <v/>
      </c>
      <c r="K262" s="16">
        <f>0.005/(1+E262)+D262*0.0005/(1+E262)^2+0.005</f>
        <v/>
      </c>
      <c r="L262" s="17">
        <f>IF(ABS(J262)&lt;=K262,"OK",IF(M262&lt;&gt;"","EXPLAINED","CHECK"))</f>
        <v/>
      </c>
      <c r="M262" s="7" t="inlineStr"/>
    </row>
    <row r="263">
      <c r="A263" s="33" t="n">
        <v>45848</v>
      </c>
      <c r="B263" s="7" t="inlineStr">
        <is>
          <t>RWRP</t>
        </is>
      </c>
      <c r="C263" s="7" t="inlineStr">
        <is>
          <t>May-25</t>
        </is>
      </c>
      <c r="D263" s="35" t="n">
        <v>4.65</v>
      </c>
      <c r="E263" s="32" t="n">
        <v>-0.142</v>
      </c>
      <c r="F263" s="35">
        <f>D263/(1+E263)</f>
        <v/>
      </c>
      <c r="G263" s="7" t="inlineStr">
        <is>
          <t>May-24</t>
        </is>
      </c>
      <c r="H263" s="35" t="n">
        <v>5.42</v>
      </c>
      <c r="I263" s="33" t="n">
        <v>45481</v>
      </c>
      <c r="J263" s="36">
        <f>F263-H263</f>
        <v/>
      </c>
      <c r="K263" s="16">
        <f>0.005/(1+E263)+D263*0.0005/(1+E263)^2+0.005</f>
        <v/>
      </c>
      <c r="L263" s="17">
        <f>IF(ABS(J263)&lt;=K263,"OK",IF(M263&lt;&gt;"","EXPLAINED","CHECK"))</f>
        <v/>
      </c>
      <c r="M263" s="7" t="inlineStr"/>
    </row>
    <row r="264">
      <c r="A264" s="33" t="n">
        <v>45848</v>
      </c>
      <c r="B264" s="7" t="inlineStr">
        <is>
          <t>RWRP</t>
        </is>
      </c>
      <c r="C264" s="7" t="inlineStr">
        <is>
          <t>Apr-25</t>
        </is>
      </c>
      <c r="D264" s="35" t="n">
        <v>3.38</v>
      </c>
      <c r="E264" s="32" t="n">
        <v>-0.157</v>
      </c>
      <c r="F264" s="35">
        <f>D264/(1+E264)</f>
        <v/>
      </c>
      <c r="G264" s="7" t="inlineStr">
        <is>
          <t>Apr-24</t>
        </is>
      </c>
      <c r="H264" s="35" t="n">
        <v>4.01</v>
      </c>
      <c r="I264" s="33" t="n">
        <v>45481</v>
      </c>
      <c r="J264" s="36">
        <f>F264-H264</f>
        <v/>
      </c>
      <c r="K264" s="16">
        <f>0.005/(1+E264)+D264*0.0005/(1+E264)^2+0.005</f>
        <v/>
      </c>
      <c r="L264" s="17">
        <f>IF(ABS(J264)&lt;=K264,"OK",IF(M264&lt;&gt;"","EXPLAINED","CHECK"))</f>
        <v/>
      </c>
      <c r="M264" s="7" t="inlineStr"/>
    </row>
    <row r="265">
      <c r="A265" s="33" t="n">
        <v>45817</v>
      </c>
      <c r="B265" s="7" t="inlineStr">
        <is>
          <t>NB Sum Assured</t>
        </is>
      </c>
      <c r="C265" s="7" t="inlineStr">
        <is>
          <t>FY2025</t>
        </is>
      </c>
      <c r="D265" s="35" t="n">
        <v>11944.01</v>
      </c>
      <c r="E265" s="32" t="n">
        <v>0.169</v>
      </c>
      <c r="F265" s="35">
        <f>D265/(1+E265)</f>
        <v/>
      </c>
      <c r="G265" s="7" t="inlineStr">
        <is>
          <t>FY2024</t>
        </is>
      </c>
      <c r="H265" s="35" t="n">
        <v>10221.11</v>
      </c>
      <c r="I265" s="33" t="n">
        <v>45727</v>
      </c>
      <c r="J265" s="36">
        <f>F265-H265</f>
        <v/>
      </c>
      <c r="K265" s="16">
        <f>0.005/(1+E265)+D265*0.0005/(1+E265)^2+0.005</f>
        <v/>
      </c>
      <c r="L265" s="17">
        <f>IF(ABS(J265)&lt;=K265,"OK",IF(M265&lt;&gt;"","EXPLAINED","CHECK"))</f>
        <v/>
      </c>
      <c r="M265" s="7" t="inlineStr"/>
    </row>
    <row r="266">
      <c r="A266" s="33" t="n">
        <v>45817</v>
      </c>
      <c r="B266" s="7" t="inlineStr">
        <is>
          <t>NB Sum Assured</t>
        </is>
      </c>
      <c r="C266" s="7" t="inlineStr">
        <is>
          <t>May-25</t>
        </is>
      </c>
      <c r="D266" s="35" t="n">
        <v>979.92</v>
      </c>
      <c r="E266" s="32" t="n">
        <v>0.102</v>
      </c>
      <c r="F266" s="35">
        <f>D266/(1+E266)</f>
        <v/>
      </c>
      <c r="G266" s="7" t="inlineStr">
        <is>
          <t>May-24</t>
        </is>
      </c>
      <c r="H266" s="35" t="n">
        <v>889.24</v>
      </c>
      <c r="I266" s="33" t="n">
        <v>45481</v>
      </c>
      <c r="J266" s="36">
        <f>F266-H266</f>
        <v/>
      </c>
      <c r="K266" s="16">
        <f>0.005/(1+E266)+D266*0.0005/(1+E266)^2+0.005</f>
        <v/>
      </c>
      <c r="L266" s="17">
        <f>IF(ABS(J266)&lt;=K266,"OK",IF(M266&lt;&gt;"","EXPLAINED","CHECK"))</f>
        <v/>
      </c>
      <c r="M266" s="7" t="inlineStr"/>
    </row>
    <row r="267">
      <c r="A267" s="33" t="n">
        <v>45817</v>
      </c>
      <c r="B267" s="7" t="inlineStr">
        <is>
          <t>NB Sum Assured</t>
        </is>
      </c>
      <c r="C267" s="7" t="inlineStr">
        <is>
          <t>Apr-25</t>
        </is>
      </c>
      <c r="D267" s="35" t="n">
        <v>1727.22</v>
      </c>
      <c r="E267" s="32" t="n">
        <v>0.759</v>
      </c>
      <c r="F267" s="35">
        <f>D267/(1+E267)</f>
        <v/>
      </c>
      <c r="G267" s="7" t="inlineStr">
        <is>
          <t>Apr-24</t>
        </is>
      </c>
      <c r="H267" s="35" t="n">
        <v>981.96</v>
      </c>
      <c r="I267" s="33" t="n">
        <v>45481</v>
      </c>
      <c r="J267" s="36">
        <f>F267-H267</f>
        <v/>
      </c>
      <c r="K267" s="16">
        <f>0.005/(1+E267)+D267*0.0005/(1+E267)^2+0.005</f>
        <v/>
      </c>
      <c r="L267" s="17">
        <f>IF(ABS(J267)&lt;=K267,"OK",IF(M267&lt;&gt;"","EXPLAINED","CHECK"))</f>
        <v/>
      </c>
      <c r="M267" s="7" t="inlineStr"/>
    </row>
    <row r="268">
      <c r="A268" s="33" t="n">
        <v>45817</v>
      </c>
      <c r="B268" s="7" t="inlineStr">
        <is>
          <t>NB Premium</t>
        </is>
      </c>
      <c r="C268" s="7" t="inlineStr">
        <is>
          <t>FY2025</t>
        </is>
      </c>
      <c r="D268" s="35" t="n">
        <v>225.83</v>
      </c>
      <c r="E268" s="32" t="n">
        <v>0.249</v>
      </c>
      <c r="F268" s="35">
        <f>D268/(1+E268)</f>
        <v/>
      </c>
      <c r="G268" s="7" t="inlineStr">
        <is>
          <t>FY2024</t>
        </is>
      </c>
      <c r="H268" s="35" t="n">
        <v>180.81</v>
      </c>
      <c r="I268" s="33" t="n">
        <v>45727</v>
      </c>
      <c r="J268" s="36">
        <f>F268-H268</f>
        <v/>
      </c>
      <c r="K268" s="16">
        <f>0.005/(1+E268)+D268*0.0005/(1+E268)^2+0.005</f>
        <v/>
      </c>
      <c r="L268" s="17">
        <f>IF(ABS(J268)&lt;=K268,"OK",IF(M268&lt;&gt;"","EXPLAINED","CHECK"))</f>
        <v/>
      </c>
      <c r="M268" s="7" t="inlineStr"/>
    </row>
    <row r="269">
      <c r="A269" s="33" t="n">
        <v>45817</v>
      </c>
      <c r="B269" s="7" t="inlineStr">
        <is>
          <t>NB Premium</t>
        </is>
      </c>
      <c r="C269" s="7" t="inlineStr">
        <is>
          <t>May-25</t>
        </is>
      </c>
      <c r="D269" s="35" t="n">
        <v>14.07</v>
      </c>
      <c r="E269" s="32" t="n">
        <v>0.068</v>
      </c>
      <c r="F269" s="35">
        <f>D269/(1+E269)</f>
        <v/>
      </c>
      <c r="G269" s="7" t="inlineStr">
        <is>
          <t>May-24</t>
        </is>
      </c>
      <c r="H269" s="35" t="n">
        <v>13.18</v>
      </c>
      <c r="I269" s="33" t="n">
        <v>45481</v>
      </c>
      <c r="J269" s="36">
        <f>F269-H269</f>
        <v/>
      </c>
      <c r="K269" s="16">
        <f>0.005/(1+E269)+D269*0.0005/(1+E269)^2+0.005</f>
        <v/>
      </c>
      <c r="L269" s="17">
        <f>IF(ABS(J269)&lt;=K269,"OK",IF(M269&lt;&gt;"","EXPLAINED","CHECK"))</f>
        <v/>
      </c>
      <c r="M269" s="7" t="inlineStr"/>
    </row>
    <row r="270">
      <c r="A270" s="33" t="n">
        <v>45817</v>
      </c>
      <c r="B270" s="7" t="inlineStr">
        <is>
          <t>NB Premium</t>
        </is>
      </c>
      <c r="C270" s="7" t="inlineStr">
        <is>
          <t>Apr-25</t>
        </is>
      </c>
      <c r="D270" s="35" t="n">
        <v>10.32</v>
      </c>
      <c r="E270" s="32" t="n">
        <v>0.098</v>
      </c>
      <c r="F270" s="35">
        <f>D270/(1+E270)</f>
        <v/>
      </c>
      <c r="G270" s="7" t="inlineStr">
        <is>
          <t>Apr-24</t>
        </is>
      </c>
      <c r="H270" s="35" t="n">
        <v>9.4</v>
      </c>
      <c r="I270" s="33" t="n">
        <v>45481</v>
      </c>
      <c r="J270" s="36">
        <f>F270-H270</f>
        <v/>
      </c>
      <c r="K270" s="16">
        <f>0.005/(1+E270)+D270*0.0005/(1+E270)^2+0.005</f>
        <v/>
      </c>
      <c r="L270" s="17">
        <f>IF(ABS(J270)&lt;=K270,"OK",IF(M270&lt;&gt;"","EXPLAINED","CHECK"))</f>
        <v/>
      </c>
      <c r="M270" s="7" t="inlineStr"/>
    </row>
    <row r="271">
      <c r="A271" s="33" t="n">
        <v>45817</v>
      </c>
      <c r="B271" s="7" t="inlineStr">
        <is>
          <t>Retail APE</t>
        </is>
      </c>
      <c r="C271" s="7" t="inlineStr">
        <is>
          <t>FY2025</t>
        </is>
      </c>
      <c r="D271" s="35" t="n">
        <v>87.05</v>
      </c>
      <c r="E271" s="32" t="n">
        <v>0.133</v>
      </c>
      <c r="F271" s="35">
        <f>D271/(1+E271)</f>
        <v/>
      </c>
      <c r="G271" s="7" t="inlineStr">
        <is>
          <t>FY2024</t>
        </is>
      </c>
      <c r="H271" s="35" t="n">
        <v>76.8</v>
      </c>
      <c r="I271" s="33" t="n">
        <v>45727</v>
      </c>
      <c r="J271" s="36">
        <f>F271-H271</f>
        <v/>
      </c>
      <c r="K271" s="16">
        <f>0.005/(1+E271)+D271*0.0005/(1+E271)^2+0.005</f>
        <v/>
      </c>
      <c r="L271" s="17">
        <f>IF(ABS(J271)&lt;=K271,"OK",IF(M271&lt;&gt;"","EXPLAINED","CHECK"))</f>
        <v/>
      </c>
      <c r="M271" s="7" t="inlineStr"/>
    </row>
    <row r="272">
      <c r="A272" s="33" t="n">
        <v>45817</v>
      </c>
      <c r="B272" s="7" t="inlineStr">
        <is>
          <t>APE</t>
        </is>
      </c>
      <c r="C272" s="7" t="inlineStr">
        <is>
          <t>FY2025</t>
        </is>
      </c>
      <c r="D272" s="35" t="n">
        <v>104.07</v>
      </c>
      <c r="E272" s="32" t="n">
        <v>0.15</v>
      </c>
      <c r="F272" s="35">
        <f>D272/(1+E272)</f>
        <v/>
      </c>
      <c r="G272" s="7" t="inlineStr">
        <is>
          <t>FY2024</t>
        </is>
      </c>
      <c r="H272" s="35" t="n">
        <v>90.45999999999999</v>
      </c>
      <c r="I272" s="33" t="n">
        <v>45727</v>
      </c>
      <c r="J272" s="36">
        <f>F272-H272</f>
        <v/>
      </c>
      <c r="K272" s="16">
        <f>0.005/(1+E272)+D272*0.0005/(1+E272)^2+0.005</f>
        <v/>
      </c>
      <c r="L272" s="17">
        <f>IF(ABS(J272)&lt;=K272,"OK",IF(M272&lt;&gt;"","EXPLAINED","CHECK"))</f>
        <v/>
      </c>
      <c r="M272" s="7" t="inlineStr"/>
    </row>
    <row r="273">
      <c r="A273" s="33" t="n">
        <v>45817</v>
      </c>
      <c r="B273" s="7" t="inlineStr">
        <is>
          <t>APE</t>
        </is>
      </c>
      <c r="C273" s="7" t="inlineStr">
        <is>
          <t>May-25</t>
        </is>
      </c>
      <c r="D273" s="35" t="n">
        <v>6.73</v>
      </c>
      <c r="E273" s="32" t="n">
        <v>-0.045</v>
      </c>
      <c r="F273" s="35">
        <f>D273/(1+E273)</f>
        <v/>
      </c>
      <c r="G273" s="7" t="inlineStr">
        <is>
          <t>May-24</t>
        </is>
      </c>
      <c r="H273" s="35" t="n">
        <v>7.05</v>
      </c>
      <c r="I273" s="33" t="n">
        <v>45481</v>
      </c>
      <c r="J273" s="36">
        <f>F273-H273</f>
        <v/>
      </c>
      <c r="K273" s="16">
        <f>0.005/(1+E273)+D273*0.0005/(1+E273)^2+0.005</f>
        <v/>
      </c>
      <c r="L273" s="17">
        <f>IF(ABS(J273)&lt;=K273,"OK",IF(M273&lt;&gt;"","EXPLAINED","CHECK"))</f>
        <v/>
      </c>
      <c r="M273" s="7" t="inlineStr"/>
    </row>
    <row r="274">
      <c r="A274" s="33" t="n">
        <v>45817</v>
      </c>
      <c r="B274" s="7" t="inlineStr">
        <is>
          <t>APE</t>
        </is>
      </c>
      <c r="C274" s="7" t="inlineStr">
        <is>
          <t>Apr-25</t>
        </is>
      </c>
      <c r="D274" s="35" t="n">
        <v>4.98</v>
      </c>
      <c r="E274" s="32" t="n">
        <v>-0.053</v>
      </c>
      <c r="F274" s="35">
        <f>D274/(1+E274)</f>
        <v/>
      </c>
      <c r="G274" s="7" t="inlineStr">
        <is>
          <t>Apr-24</t>
        </is>
      </c>
      <c r="H274" s="35" t="n">
        <v>5.26</v>
      </c>
      <c r="I274" s="33" t="n">
        <v>45481</v>
      </c>
      <c r="J274" s="36">
        <f>F274-H274</f>
        <v/>
      </c>
      <c r="K274" s="16">
        <f>0.005/(1+E274)+D274*0.0005/(1+E274)^2+0.005</f>
        <v/>
      </c>
      <c r="L274" s="17">
        <f>IF(ABS(J274)&lt;=K274,"OK",IF(M274&lt;&gt;"","EXPLAINED","CHECK"))</f>
        <v/>
      </c>
      <c r="M274" s="7" t="inlineStr"/>
    </row>
    <row r="275">
      <c r="A275" s="33" t="n">
        <v>45817</v>
      </c>
      <c r="B275" s="7" t="inlineStr">
        <is>
          <t>RWRP</t>
        </is>
      </c>
      <c r="C275" s="7" t="inlineStr">
        <is>
          <t>FY2025</t>
        </is>
      </c>
      <c r="D275" s="35" t="n">
        <v>83.06999999999999</v>
      </c>
      <c r="E275" s="32" t="n">
        <v>0.152</v>
      </c>
      <c r="F275" s="35">
        <f>D275/(1+E275)</f>
        <v/>
      </c>
      <c r="G275" s="7" t="inlineStr">
        <is>
          <t>FY2024</t>
        </is>
      </c>
      <c r="H275" s="35" t="n">
        <v>72.13</v>
      </c>
      <c r="I275" s="33" t="n">
        <v>45727</v>
      </c>
      <c r="J275" s="36">
        <f>F275-H275</f>
        <v/>
      </c>
      <c r="K275" s="16">
        <f>0.005/(1+E275)+D275*0.0005/(1+E275)^2+0.005</f>
        <v/>
      </c>
      <c r="L275" s="17">
        <f>IF(ABS(J275)&lt;=K275,"OK",IF(M275&lt;&gt;"","EXPLAINED","CHECK"))</f>
        <v/>
      </c>
      <c r="M275" s="7" t="inlineStr"/>
    </row>
    <row r="276">
      <c r="A276" s="33" t="n">
        <v>45817</v>
      </c>
      <c r="B276" s="7" t="inlineStr">
        <is>
          <t>RWRP</t>
        </is>
      </c>
      <c r="C276" s="7" t="inlineStr">
        <is>
          <t>May-25</t>
        </is>
      </c>
      <c r="D276" s="35" t="n">
        <v>4.65</v>
      </c>
      <c r="E276" s="32" t="n">
        <v>-0.142</v>
      </c>
      <c r="F276" s="35">
        <f>D276/(1+E276)</f>
        <v/>
      </c>
      <c r="G276" s="7" t="inlineStr">
        <is>
          <t>May-24</t>
        </is>
      </c>
      <c r="H276" s="35" t="n">
        <v>5.42</v>
      </c>
      <c r="I276" s="33" t="n">
        <v>45481</v>
      </c>
      <c r="J276" s="36">
        <f>F276-H276</f>
        <v/>
      </c>
      <c r="K276" s="16">
        <f>0.005/(1+E276)+D276*0.0005/(1+E276)^2+0.005</f>
        <v/>
      </c>
      <c r="L276" s="17">
        <f>IF(ABS(J276)&lt;=K276,"OK",IF(M276&lt;&gt;"","EXPLAINED","CHECK"))</f>
        <v/>
      </c>
      <c r="M276" s="7" t="inlineStr"/>
    </row>
    <row r="277">
      <c r="A277" s="33" t="n">
        <v>45817</v>
      </c>
      <c r="B277" s="7" t="inlineStr">
        <is>
          <t>RWRP</t>
        </is>
      </c>
      <c r="C277" s="7" t="inlineStr">
        <is>
          <t>Apr-25</t>
        </is>
      </c>
      <c r="D277" s="35" t="n">
        <v>3.38</v>
      </c>
      <c r="E277" s="32" t="n">
        <v>-0.157</v>
      </c>
      <c r="F277" s="35">
        <f>D277/(1+E277)</f>
        <v/>
      </c>
      <c r="G277" s="7" t="inlineStr">
        <is>
          <t>Apr-24</t>
        </is>
      </c>
      <c r="H277" s="35" t="n">
        <v>4.01</v>
      </c>
      <c r="I277" s="33" t="n">
        <v>45481</v>
      </c>
      <c r="J277" s="36">
        <f>F277-H277</f>
        <v/>
      </c>
      <c r="K277" s="16">
        <f>0.005/(1+E277)+D277*0.0005/(1+E277)^2+0.005</f>
        <v/>
      </c>
      <c r="L277" s="17">
        <f>IF(ABS(J277)&lt;=K277,"OK",IF(M277&lt;&gt;"","EXPLAINED","CHECK"))</f>
        <v/>
      </c>
      <c r="M277" s="7" t="inlineStr"/>
    </row>
    <row r="278">
      <c r="A278" s="33" t="n">
        <v>45790</v>
      </c>
      <c r="B278" s="7" t="inlineStr">
        <is>
          <t>NB Sum Assured</t>
        </is>
      </c>
      <c r="C278" s="7" t="inlineStr">
        <is>
          <t>Apr-25</t>
        </is>
      </c>
      <c r="D278" s="35" t="n">
        <v>1727.22</v>
      </c>
      <c r="E278" s="32" t="n">
        <v>0.759</v>
      </c>
      <c r="F278" s="35">
        <f>D278/(1+E278)</f>
        <v/>
      </c>
      <c r="G278" s="7" t="inlineStr">
        <is>
          <t>Apr-24</t>
        </is>
      </c>
      <c r="H278" s="35" t="n">
        <v>981.96</v>
      </c>
      <c r="I278" s="33" t="n">
        <v>45481</v>
      </c>
      <c r="J278" s="36">
        <f>F278-H278</f>
        <v/>
      </c>
      <c r="K278" s="16">
        <f>0.005/(1+E278)+D278*0.0005/(1+E278)^2+0.005</f>
        <v/>
      </c>
      <c r="L278" s="17">
        <f>IF(ABS(J278)&lt;=K278,"OK",IF(M278&lt;&gt;"","EXPLAINED","CHECK"))</f>
        <v/>
      </c>
      <c r="M278" s="7" t="inlineStr"/>
    </row>
    <row r="279">
      <c r="A279" s="33" t="n">
        <v>45790</v>
      </c>
      <c r="B279" s="7" t="inlineStr">
        <is>
          <t>NB Premium</t>
        </is>
      </c>
      <c r="C279" s="7" t="inlineStr">
        <is>
          <t>Apr-25</t>
        </is>
      </c>
      <c r="D279" s="35" t="n">
        <v>10.32</v>
      </c>
      <c r="E279" s="32" t="n">
        <v>0.098</v>
      </c>
      <c r="F279" s="35">
        <f>D279/(1+E279)</f>
        <v/>
      </c>
      <c r="G279" s="7" t="inlineStr">
        <is>
          <t>Apr-24</t>
        </is>
      </c>
      <c r="H279" s="35" t="n">
        <v>9.4</v>
      </c>
      <c r="I279" s="33" t="n">
        <v>45481</v>
      </c>
      <c r="J279" s="36">
        <f>F279-H279</f>
        <v/>
      </c>
      <c r="K279" s="16">
        <f>0.005/(1+E279)+D279*0.0005/(1+E279)^2+0.005</f>
        <v/>
      </c>
      <c r="L279" s="17">
        <f>IF(ABS(J279)&lt;=K279,"OK",IF(M279&lt;&gt;"","EXPLAINED","CHECK"))</f>
        <v/>
      </c>
      <c r="M279" s="7" t="inlineStr"/>
    </row>
    <row r="280">
      <c r="A280" s="33" t="n">
        <v>45790</v>
      </c>
      <c r="B280" s="7" t="inlineStr">
        <is>
          <t>APE</t>
        </is>
      </c>
      <c r="C280" s="7" t="inlineStr">
        <is>
          <t>Apr-25</t>
        </is>
      </c>
      <c r="D280" s="35" t="n">
        <v>4.98</v>
      </c>
      <c r="E280" s="32" t="n">
        <v>-0.053</v>
      </c>
      <c r="F280" s="35">
        <f>D280/(1+E280)</f>
        <v/>
      </c>
      <c r="G280" s="7" t="inlineStr">
        <is>
          <t>Apr-24</t>
        </is>
      </c>
      <c r="H280" s="35" t="n">
        <v>5.26</v>
      </c>
      <c r="I280" s="33" t="n">
        <v>45481</v>
      </c>
      <c r="J280" s="36">
        <f>F280-H280</f>
        <v/>
      </c>
      <c r="K280" s="16">
        <f>0.005/(1+E280)+D280*0.0005/(1+E280)^2+0.005</f>
        <v/>
      </c>
      <c r="L280" s="17">
        <f>IF(ABS(J280)&lt;=K280,"OK",IF(M280&lt;&gt;"","EXPLAINED","CHECK"))</f>
        <v/>
      </c>
      <c r="M280" s="7" t="inlineStr"/>
    </row>
    <row r="281">
      <c r="A281" s="33" t="n">
        <v>45790</v>
      </c>
      <c r="B281" s="7" t="inlineStr">
        <is>
          <t>RWRP</t>
        </is>
      </c>
      <c r="C281" s="7" t="inlineStr">
        <is>
          <t>Apr-25</t>
        </is>
      </c>
      <c r="D281" s="35" t="n">
        <v>3.38</v>
      </c>
      <c r="E281" s="32" t="n">
        <v>-0.157</v>
      </c>
      <c r="F281" s="35">
        <f>D281/(1+E281)</f>
        <v/>
      </c>
      <c r="G281" s="7" t="inlineStr">
        <is>
          <t>Apr-24</t>
        </is>
      </c>
      <c r="H281" s="35" t="n">
        <v>4.01</v>
      </c>
      <c r="I281" s="33" t="n">
        <v>45481</v>
      </c>
      <c r="J281" s="36">
        <f>F281-H281</f>
        <v/>
      </c>
      <c r="K281" s="16">
        <f>0.005/(1+E281)+D281*0.0005/(1+E281)^2+0.005</f>
        <v/>
      </c>
      <c r="L281" s="17">
        <f>IF(ABS(J281)&lt;=K281,"OK",IF(M281&lt;&gt;"","EXPLAINED","CHECK"))</f>
        <v/>
      </c>
      <c r="M281" s="7" t="inlineStr"/>
    </row>
    <row r="282">
      <c r="A282" s="33" t="n">
        <v>45727</v>
      </c>
      <c r="B282" s="7" t="inlineStr">
        <is>
          <t>NB Sum Assured</t>
        </is>
      </c>
      <c r="C282" s="7" t="inlineStr">
        <is>
          <t>Q3-FY2025</t>
        </is>
      </c>
      <c r="D282" s="35" t="n">
        <v>2933.38</v>
      </c>
      <c r="E282" s="32" t="n">
        <v>0.267</v>
      </c>
      <c r="F282" s="35">
        <f>D282/(1+E282)</f>
        <v/>
      </c>
      <c r="G282" s="7" t="inlineStr">
        <is>
          <t>Q3-FY2024</t>
        </is>
      </c>
      <c r="H282" s="35" t="n">
        <v>2314.66</v>
      </c>
      <c r="I282" s="33" t="n">
        <v>45358</v>
      </c>
      <c r="J282" s="36">
        <f>F282-H282</f>
        <v/>
      </c>
      <c r="K282" s="16">
        <f>0.005/(1+E282)+D282*0.0005/(1+E282)^2+0.005</f>
        <v/>
      </c>
      <c r="L282" s="17">
        <f>IF(ABS(J282)&lt;=K282,"OK",IF(M282&lt;&gt;"","EXPLAINED","CHECK"))</f>
        <v/>
      </c>
      <c r="M282" s="7" t="inlineStr"/>
    </row>
    <row r="283">
      <c r="A283" s="33" t="n">
        <v>45727</v>
      </c>
      <c r="B283" s="7" t="inlineStr">
        <is>
          <t>NB Sum Assured</t>
        </is>
      </c>
      <c r="C283" s="7" t="inlineStr">
        <is>
          <t>Q2-FY2025</t>
        </is>
      </c>
      <c r="D283" s="35" t="n">
        <v>2948.34</v>
      </c>
      <c r="E283" s="32" t="n">
        <v>0.174</v>
      </c>
      <c r="F283" s="35">
        <f>D283/(1+E283)</f>
        <v/>
      </c>
      <c r="G283" s="7" t="inlineStr">
        <is>
          <t>Q2-FY2024</t>
        </is>
      </c>
      <c r="H283" s="35" t="n">
        <v>2510.79</v>
      </c>
      <c r="I283" s="33" t="n">
        <v>45358</v>
      </c>
      <c r="J283" s="36">
        <f>F283-H283</f>
        <v/>
      </c>
      <c r="K283" s="16">
        <f>0.005/(1+E283)+D283*0.0005/(1+E283)^2+0.005</f>
        <v/>
      </c>
      <c r="L283" s="17">
        <f>IF(ABS(J283)&lt;=K283,"OK",IF(M283&lt;&gt;"","EXPLAINED","CHECK"))</f>
        <v/>
      </c>
      <c r="M283" s="7" t="inlineStr"/>
    </row>
    <row r="284">
      <c r="A284" s="33" t="n">
        <v>45727</v>
      </c>
      <c r="B284" s="7" t="inlineStr">
        <is>
          <t>NB Sum Assured</t>
        </is>
      </c>
      <c r="C284" s="7" t="inlineStr">
        <is>
          <t>Q1-FY2025</t>
        </is>
      </c>
      <c r="D284" s="35" t="n">
        <v>2724.68</v>
      </c>
      <c r="E284" s="32" t="n">
        <v>0.134</v>
      </c>
      <c r="F284" s="35">
        <f>D284/(1+E284)</f>
        <v/>
      </c>
      <c r="G284" s="7" t="inlineStr">
        <is>
          <t>Q1-FY2024</t>
        </is>
      </c>
      <c r="H284" s="35" t="n">
        <v>2403.04</v>
      </c>
      <c r="I284" s="33" t="n">
        <v>45358</v>
      </c>
      <c r="J284" s="36">
        <f>F284-H284</f>
        <v/>
      </c>
      <c r="K284" s="16">
        <f>0.005/(1+E284)+D284*0.0005/(1+E284)^2+0.005</f>
        <v/>
      </c>
      <c r="L284" s="17">
        <f>IF(ABS(J284)&lt;=K284,"OK",IF(M284&lt;&gt;"","EXPLAINED","CHECK"))</f>
        <v/>
      </c>
      <c r="M284" s="7" t="inlineStr"/>
    </row>
    <row r="285">
      <c r="A285" s="33" t="n">
        <v>45727</v>
      </c>
      <c r="B285" s="7" t="inlineStr">
        <is>
          <t>NB Sum Assured</t>
        </is>
      </c>
      <c r="C285" s="7" t="inlineStr">
        <is>
          <t>FY2024</t>
        </is>
      </c>
      <c r="D285" s="35" t="n">
        <v>10221.11</v>
      </c>
      <c r="E285" s="32" t="n">
        <v>-0.019</v>
      </c>
      <c r="F285" s="35">
        <f>D285/(1+E285)</f>
        <v/>
      </c>
      <c r="G285" s="7" t="inlineStr">
        <is>
          <t>FY2023</t>
        </is>
      </c>
      <c r="H285" s="35" t="n">
        <v>10413.92</v>
      </c>
      <c r="I285" s="33" t="n">
        <v>45358</v>
      </c>
      <c r="J285" s="36">
        <f>F285-H285</f>
        <v/>
      </c>
      <c r="K285" s="16">
        <f>0.005/(1+E285)+D285*0.0005/(1+E285)^2+0.005</f>
        <v/>
      </c>
      <c r="L285" s="17">
        <f>IF(ABS(J285)&lt;=K285,"OK",IF(M285&lt;&gt;"","EXPLAINED","CHECK"))</f>
        <v/>
      </c>
      <c r="M285" s="7" t="inlineStr"/>
    </row>
    <row r="286">
      <c r="A286" s="33" t="n">
        <v>45727</v>
      </c>
      <c r="B286" s="7" t="inlineStr">
        <is>
          <t>NB Sum Assured</t>
        </is>
      </c>
      <c r="C286" s="7" t="inlineStr">
        <is>
          <t>11M-FY2025</t>
        </is>
      </c>
      <c r="D286" s="35" t="n">
        <v>10849.97</v>
      </c>
      <c r="E286" s="32" t="n">
        <v>0.191</v>
      </c>
      <c r="F286" s="35">
        <f>D286/(1+E286)</f>
        <v/>
      </c>
      <c r="G286" s="7" t="inlineStr">
        <is>
          <t>11M-FY2024</t>
        </is>
      </c>
      <c r="H286" s="35" t="n">
        <v>9112.799999999999</v>
      </c>
      <c r="I286" s="33" t="n">
        <v>45358</v>
      </c>
      <c r="J286" s="36">
        <f>F286-H286</f>
        <v/>
      </c>
      <c r="K286" s="16">
        <f>0.005/(1+E286)+D286*0.0005/(1+E286)^2+0.005</f>
        <v/>
      </c>
      <c r="L286" s="17">
        <f>IF(ABS(J286)&lt;=K286,"OK",IF(M286&lt;&gt;"","EXPLAINED","CHECK"))</f>
        <v/>
      </c>
      <c r="M286" s="7" t="inlineStr"/>
    </row>
    <row r="287">
      <c r="A287" s="33" t="n">
        <v>45727</v>
      </c>
      <c r="B287" s="7" t="inlineStr">
        <is>
          <t>NB Sum Assured</t>
        </is>
      </c>
      <c r="C287" s="7" t="inlineStr">
        <is>
          <t>Feb-25</t>
        </is>
      </c>
      <c r="D287" s="35" t="n">
        <v>833.74</v>
      </c>
      <c r="E287" s="32" t="n">
        <v>0.032</v>
      </c>
      <c r="F287" s="35">
        <f>D287/(1+E287)</f>
        <v/>
      </c>
      <c r="G287" s="7" t="inlineStr">
        <is>
          <t>Feb-24</t>
        </is>
      </c>
      <c r="H287" s="35" t="n">
        <v>808.13</v>
      </c>
      <c r="I287" s="33" t="n">
        <v>45400</v>
      </c>
      <c r="J287" s="36">
        <f>F287-H287</f>
        <v/>
      </c>
      <c r="K287" s="16">
        <f>0.005/(1+E287)+D287*0.0005/(1+E287)^2+0.005</f>
        <v/>
      </c>
      <c r="L287" s="17">
        <f>IF(ABS(J287)&lt;=K287,"OK",IF(M287&lt;&gt;"","EXPLAINED","CHECK"))</f>
        <v/>
      </c>
      <c r="M287" s="7" t="inlineStr"/>
    </row>
    <row r="288">
      <c r="A288" s="33" t="n">
        <v>45727</v>
      </c>
      <c r="B288" s="7" t="inlineStr">
        <is>
          <t>NB Sum Assured</t>
        </is>
      </c>
      <c r="C288" s="7" t="inlineStr">
        <is>
          <t>Jan-25</t>
        </is>
      </c>
      <c r="D288" s="35" t="n">
        <v>1409.83</v>
      </c>
      <c r="E288" s="32" t="n">
        <v>0.31</v>
      </c>
      <c r="F288" s="35">
        <f>D288/(1+E288)</f>
        <v/>
      </c>
      <c r="G288" s="7" t="inlineStr">
        <is>
          <t>Jan-24</t>
        </is>
      </c>
      <c r="H288" s="35" t="n">
        <v>1076.18</v>
      </c>
      <c r="I288" s="33" t="n">
        <v>45400</v>
      </c>
      <c r="J288" s="36">
        <f>F288-H288</f>
        <v/>
      </c>
      <c r="K288" s="16">
        <f>0.005/(1+E288)+D288*0.0005/(1+E288)^2+0.005</f>
        <v/>
      </c>
      <c r="L288" s="17">
        <f>IF(ABS(J288)&lt;=K288,"OK",IF(M288&lt;&gt;"","EXPLAINED","CHECK"))</f>
        <v/>
      </c>
      <c r="M288" s="7" t="inlineStr"/>
    </row>
    <row r="289">
      <c r="A289" s="33" t="n">
        <v>45727</v>
      </c>
      <c r="B289" s="7" t="inlineStr">
        <is>
          <t>NB Premium</t>
        </is>
      </c>
      <c r="C289" s="7" t="inlineStr">
        <is>
          <t>Q3-FY2025</t>
        </is>
      </c>
      <c r="D289" s="35" t="n">
        <v>64.42</v>
      </c>
      <c r="E289" s="32" t="n">
        <v>0.5649999999999999</v>
      </c>
      <c r="F289" s="35">
        <f>D289/(1+E289)</f>
        <v/>
      </c>
      <c r="G289" s="7" t="inlineStr">
        <is>
          <t>Q3-FY2024</t>
        </is>
      </c>
      <c r="H289" s="35" t="n">
        <v>41.17</v>
      </c>
      <c r="I289" s="33" t="n">
        <v>45358</v>
      </c>
      <c r="J289" s="36">
        <f>F289-H289</f>
        <v/>
      </c>
      <c r="K289" s="16">
        <f>0.005/(1+E289)+D289*0.0005/(1+E289)^2+0.005</f>
        <v/>
      </c>
      <c r="L289" s="17">
        <f>IF(ABS(J289)&lt;=K289,"OK",IF(M289&lt;&gt;"","EXPLAINED","CHECK"))</f>
        <v/>
      </c>
      <c r="M289" s="7" t="inlineStr"/>
    </row>
    <row r="290">
      <c r="A290" s="33" t="n">
        <v>45727</v>
      </c>
      <c r="B290" s="7" t="inlineStr">
        <is>
          <t>NB Premium</t>
        </is>
      </c>
      <c r="C290" s="7" t="inlineStr">
        <is>
          <t>Q2-FY2025</t>
        </is>
      </c>
      <c r="D290" s="35" t="n">
        <v>49.29</v>
      </c>
      <c r="E290" s="32" t="n">
        <v>0.131</v>
      </c>
      <c r="F290" s="35">
        <f>D290/(1+E290)</f>
        <v/>
      </c>
      <c r="G290" s="7" t="inlineStr">
        <is>
          <t>Q2-FY2024</t>
        </is>
      </c>
      <c r="H290" s="35" t="n">
        <v>43.59</v>
      </c>
      <c r="I290" s="33" t="n">
        <v>45358</v>
      </c>
      <c r="J290" s="36">
        <f>F290-H290</f>
        <v/>
      </c>
      <c r="K290" s="16">
        <f>0.005/(1+E290)+D290*0.0005/(1+E290)^2+0.005</f>
        <v/>
      </c>
      <c r="L290" s="17">
        <f>IF(ABS(J290)&lt;=K290,"OK",IF(M290&lt;&gt;"","EXPLAINED","CHECK"))</f>
        <v/>
      </c>
      <c r="M290" s="7" t="inlineStr"/>
    </row>
    <row r="291">
      <c r="A291" s="33" t="n">
        <v>45727</v>
      </c>
      <c r="B291" s="7" t="inlineStr">
        <is>
          <t>NB Premium</t>
        </is>
      </c>
      <c r="C291" s="7" t="inlineStr">
        <is>
          <t>Q1-FY2025</t>
        </is>
      </c>
      <c r="D291" s="35" t="n">
        <v>37.69</v>
      </c>
      <c r="E291" s="32" t="n">
        <v>0.235</v>
      </c>
      <c r="F291" s="35">
        <f>D291/(1+E291)</f>
        <v/>
      </c>
      <c r="G291" s="7" t="inlineStr">
        <is>
          <t>Q1-FY2024</t>
        </is>
      </c>
      <c r="H291" s="35" t="n">
        <v>30.51</v>
      </c>
      <c r="I291" s="33" t="n">
        <v>45358</v>
      </c>
      <c r="J291" s="36">
        <f>F291-H291</f>
        <v/>
      </c>
      <c r="K291" s="16">
        <f>0.005/(1+E291)+D291*0.0005/(1+E291)^2+0.005</f>
        <v/>
      </c>
      <c r="L291" s="17">
        <f>IF(ABS(J291)&lt;=K291,"OK",IF(M291&lt;&gt;"","EXPLAINED","CHECK"))</f>
        <v/>
      </c>
      <c r="M291" s="7" t="inlineStr"/>
    </row>
    <row r="292">
      <c r="A292" s="33" t="n">
        <v>45727</v>
      </c>
      <c r="B292" s="7" t="inlineStr">
        <is>
          <t>NB Premium</t>
        </is>
      </c>
      <c r="C292" s="7" t="inlineStr">
        <is>
          <t>FY2024</t>
        </is>
      </c>
      <c r="D292" s="35" t="n">
        <v>180.81</v>
      </c>
      <c r="E292" s="32" t="n">
        <v>0.068</v>
      </c>
      <c r="F292" s="35">
        <f>D292/(1+E292)</f>
        <v/>
      </c>
      <c r="G292" s="7" t="inlineStr">
        <is>
          <t>FY2023</t>
        </is>
      </c>
      <c r="H292" s="35" t="n">
        <v>169.22</v>
      </c>
      <c r="I292" s="33" t="n">
        <v>45358</v>
      </c>
      <c r="J292" s="36">
        <f>F292-H292</f>
        <v/>
      </c>
      <c r="K292" s="16">
        <f>0.005/(1+E292)+D292*0.0005/(1+E292)^2+0.005</f>
        <v/>
      </c>
      <c r="L292" s="17">
        <f>IF(ABS(J292)&lt;=K292,"OK",IF(M292&lt;&gt;"","EXPLAINED","CHECK"))</f>
        <v/>
      </c>
      <c r="M292" s="7" t="inlineStr"/>
    </row>
    <row r="293">
      <c r="A293" s="33" t="n">
        <v>45727</v>
      </c>
      <c r="B293" s="7" t="inlineStr">
        <is>
          <t>NB Premium</t>
        </is>
      </c>
      <c r="C293" s="7" t="inlineStr">
        <is>
          <t>11M-FY2025</t>
        </is>
      </c>
      <c r="D293" s="35" t="n">
        <v>187.74</v>
      </c>
      <c r="E293" s="32" t="n">
        <v>0.264</v>
      </c>
      <c r="F293" s="35">
        <f>D293/(1+E293)</f>
        <v/>
      </c>
      <c r="G293" s="7" t="inlineStr">
        <is>
          <t>11M-FY2024</t>
        </is>
      </c>
      <c r="H293" s="35" t="n">
        <v>148.55</v>
      </c>
      <c r="I293" s="33" t="n">
        <v>45358</v>
      </c>
      <c r="J293" s="36">
        <f>F293-H293</f>
        <v/>
      </c>
      <c r="K293" s="16">
        <f>0.005/(1+E293)+D293*0.0005/(1+E293)^2+0.005</f>
        <v/>
      </c>
      <c r="L293" s="17">
        <f>IF(ABS(J293)&lt;=K293,"OK",IF(M293&lt;&gt;"","EXPLAINED","CHECK"))</f>
        <v/>
      </c>
      <c r="M293" s="7" t="inlineStr"/>
    </row>
    <row r="294">
      <c r="A294" s="33" t="n">
        <v>45727</v>
      </c>
      <c r="B294" s="7" t="inlineStr">
        <is>
          <t>NB Premium</t>
        </is>
      </c>
      <c r="C294" s="7" t="inlineStr">
        <is>
          <t>Feb-25</t>
        </is>
      </c>
      <c r="D294" s="35" t="n">
        <v>18.57</v>
      </c>
      <c r="E294" s="32" t="n">
        <v>0.053</v>
      </c>
      <c r="F294" s="35">
        <f>D294/(1+E294)</f>
        <v/>
      </c>
      <c r="G294" s="7" t="inlineStr">
        <is>
          <t>Feb-24</t>
        </is>
      </c>
      <c r="H294" s="35" t="n">
        <v>17.63</v>
      </c>
      <c r="I294" s="33" t="n">
        <v>45400</v>
      </c>
      <c r="J294" s="36">
        <f>F294-H294</f>
        <v/>
      </c>
      <c r="K294" s="16">
        <f>0.005/(1+E294)+D294*0.0005/(1+E294)^2+0.005</f>
        <v/>
      </c>
      <c r="L294" s="17">
        <f>IF(ABS(J294)&lt;=K294,"OK",IF(M294&lt;&gt;"","EXPLAINED","CHECK"))</f>
        <v/>
      </c>
      <c r="M294" s="7" t="inlineStr"/>
    </row>
    <row r="295">
      <c r="A295" s="33" t="n">
        <v>45727</v>
      </c>
      <c r="B295" s="7" t="inlineStr">
        <is>
          <t>NB Premium</t>
        </is>
      </c>
      <c r="C295" s="7" t="inlineStr">
        <is>
          <t>Jan-25</t>
        </is>
      </c>
      <c r="D295" s="35" t="n">
        <v>17.78</v>
      </c>
      <c r="E295" s="32" t="n">
        <v>0.136</v>
      </c>
      <c r="F295" s="35">
        <f>D295/(1+E295)</f>
        <v/>
      </c>
      <c r="G295" s="7" t="inlineStr">
        <is>
          <t>Jan-24</t>
        </is>
      </c>
      <c r="H295" s="35" t="n">
        <v>15.65</v>
      </c>
      <c r="I295" s="33" t="n">
        <v>45400</v>
      </c>
      <c r="J295" s="36">
        <f>F295-H295</f>
        <v/>
      </c>
      <c r="K295" s="16">
        <f>0.005/(1+E295)+D295*0.0005/(1+E295)^2+0.005</f>
        <v/>
      </c>
      <c r="L295" s="17">
        <f>IF(ABS(J295)&lt;=K295,"OK",IF(M295&lt;&gt;"","EXPLAINED","CHECK"))</f>
        <v/>
      </c>
      <c r="M295" s="7" t="inlineStr"/>
    </row>
    <row r="296">
      <c r="A296" s="33" t="n">
        <v>45727</v>
      </c>
      <c r="B296" s="7" t="inlineStr">
        <is>
          <t>APE</t>
        </is>
      </c>
      <c r="C296" s="7" t="inlineStr">
        <is>
          <t>Q3-FY2025</t>
        </is>
      </c>
      <c r="D296" s="35" t="n">
        <v>24.38</v>
      </c>
      <c r="E296" s="32" t="n">
        <v>0.278</v>
      </c>
      <c r="F296" s="35">
        <f>D296/(1+E296)</f>
        <v/>
      </c>
      <c r="G296" s="7" t="inlineStr">
        <is>
          <t>Q3-FY2024</t>
        </is>
      </c>
      <c r="H296" s="35" t="n">
        <v>19.07</v>
      </c>
      <c r="I296" s="33" t="n">
        <v>45358</v>
      </c>
      <c r="J296" s="36">
        <f>F296-H296</f>
        <v/>
      </c>
      <c r="K296" s="16">
        <f>0.005/(1+E296)+D296*0.0005/(1+E296)^2+0.005</f>
        <v/>
      </c>
      <c r="L296" s="17">
        <f>IF(ABS(J296)&lt;=K296,"OK",IF(M296&lt;&gt;"","EXPLAINED","CHECK"))</f>
        <v/>
      </c>
      <c r="M296" s="7" t="inlineStr"/>
    </row>
    <row r="297">
      <c r="A297" s="33" t="n">
        <v>45727</v>
      </c>
      <c r="B297" s="7" t="inlineStr">
        <is>
          <t>APE</t>
        </is>
      </c>
      <c r="C297" s="7" t="inlineStr">
        <is>
          <t>Q2-FY2025</t>
        </is>
      </c>
      <c r="D297" s="35" t="n">
        <v>25.03</v>
      </c>
      <c r="E297" s="32" t="n">
        <v>0.214</v>
      </c>
      <c r="F297" s="35">
        <f>D297/(1+E297)</f>
        <v/>
      </c>
      <c r="G297" s="7" t="inlineStr">
        <is>
          <t>Q2-FY2024</t>
        </is>
      </c>
      <c r="H297" s="35" t="n">
        <v>20.62</v>
      </c>
      <c r="I297" s="33" t="n">
        <v>45358</v>
      </c>
      <c r="J297" s="36">
        <f>F297-H297</f>
        <v/>
      </c>
      <c r="K297" s="16">
        <f>0.005/(1+E297)+D297*0.0005/(1+E297)^2+0.005</f>
        <v/>
      </c>
      <c r="L297" s="17">
        <f>IF(ABS(J297)&lt;=K297,"OK",IF(M297&lt;&gt;"","EXPLAINED","CHECK"))</f>
        <v/>
      </c>
      <c r="M297" s="7" t="inlineStr"/>
    </row>
    <row r="298">
      <c r="A298" s="33" t="n">
        <v>45727</v>
      </c>
      <c r="B298" s="7" t="inlineStr">
        <is>
          <t>APE</t>
        </is>
      </c>
      <c r="C298" s="7" t="inlineStr">
        <is>
          <t>Q1-FY2025</t>
        </is>
      </c>
      <c r="D298" s="35" t="n">
        <v>19.63</v>
      </c>
      <c r="E298" s="32" t="n">
        <v>0.344</v>
      </c>
      <c r="F298" s="35">
        <f>D298/(1+E298)</f>
        <v/>
      </c>
      <c r="G298" s="7" t="inlineStr">
        <is>
          <t>Q1-FY2024</t>
        </is>
      </c>
      <c r="H298" s="35" t="n">
        <v>14.61</v>
      </c>
      <c r="I298" s="33" t="n">
        <v>45358</v>
      </c>
      <c r="J298" s="36">
        <f>F298-H298</f>
        <v/>
      </c>
      <c r="K298" s="16">
        <f>0.005/(1+E298)+D298*0.0005/(1+E298)^2+0.005</f>
        <v/>
      </c>
      <c r="L298" s="17">
        <f>IF(ABS(J298)&lt;=K298,"OK",IF(M298&lt;&gt;"","EXPLAINED","CHECK"))</f>
        <v/>
      </c>
      <c r="M298" s="7" t="inlineStr"/>
    </row>
    <row r="299">
      <c r="A299" s="33" t="n">
        <v>45727</v>
      </c>
      <c r="B299" s="7" t="inlineStr">
        <is>
          <t>APE</t>
        </is>
      </c>
      <c r="C299" s="7" t="inlineStr">
        <is>
          <t>FY2024</t>
        </is>
      </c>
      <c r="D299" s="35" t="n">
        <v>90.45999999999999</v>
      </c>
      <c r="E299" s="32" t="n">
        <v>0.047</v>
      </c>
      <c r="F299" s="35">
        <f>D299/(1+E299)</f>
        <v/>
      </c>
      <c r="G299" s="7" t="inlineStr">
        <is>
          <t>FY2023</t>
        </is>
      </c>
      <c r="H299" s="35" t="n">
        <v>86.40000000000001</v>
      </c>
      <c r="I299" s="33" t="n">
        <v>45358</v>
      </c>
      <c r="J299" s="36">
        <f>F299-H299</f>
        <v/>
      </c>
      <c r="K299" s="16">
        <f>0.005/(1+E299)+D299*0.0005/(1+E299)^2+0.005</f>
        <v/>
      </c>
      <c r="L299" s="17">
        <f>IF(ABS(J299)&lt;=K299,"OK",IF(M299&lt;&gt;"","EXPLAINED","CHECK"))</f>
        <v/>
      </c>
      <c r="M299" s="7" t="inlineStr"/>
    </row>
    <row r="300">
      <c r="A300" s="33" t="n">
        <v>45727</v>
      </c>
      <c r="B300" s="7" t="inlineStr">
        <is>
          <t>APE</t>
        </is>
      </c>
      <c r="C300" s="7" t="inlineStr">
        <is>
          <t>11M-FY2025</t>
        </is>
      </c>
      <c r="D300" s="35" t="n">
        <v>87.34</v>
      </c>
      <c r="E300" s="32" t="n">
        <v>0.201</v>
      </c>
      <c r="F300" s="35">
        <f>D300/(1+E300)</f>
        <v/>
      </c>
      <c r="G300" s="7" t="inlineStr">
        <is>
          <t>11M-FY2024</t>
        </is>
      </c>
      <c r="H300" s="35" t="n">
        <v>72.72</v>
      </c>
      <c r="I300" s="33" t="n">
        <v>45358</v>
      </c>
      <c r="J300" s="36">
        <f>F300-H300</f>
        <v/>
      </c>
      <c r="K300" s="16">
        <f>0.005/(1+E300)+D300*0.0005/(1+E300)^2+0.005</f>
        <v/>
      </c>
      <c r="L300" s="17">
        <f>IF(ABS(J300)&lt;=K300,"OK",IF(M300&lt;&gt;"","EXPLAINED","CHECK"))</f>
        <v/>
      </c>
      <c r="M300" s="7" t="inlineStr"/>
    </row>
    <row r="301">
      <c r="A301" s="33" t="n">
        <v>45727</v>
      </c>
      <c r="B301" s="7" t="inlineStr">
        <is>
          <t>APE</t>
        </is>
      </c>
      <c r="C301" s="7" t="inlineStr">
        <is>
          <t>Feb-25</t>
        </is>
      </c>
      <c r="D301" s="35" t="n">
        <v>8.789999999999999</v>
      </c>
      <c r="E301" s="32" t="n">
        <v>-0.149</v>
      </c>
      <c r="F301" s="35">
        <f>D301/(1+E301)</f>
        <v/>
      </c>
      <c r="G301" s="7" t="inlineStr">
        <is>
          <t>Feb-24</t>
        </is>
      </c>
      <c r="H301" s="35" t="n">
        <v>10.33</v>
      </c>
      <c r="I301" s="33" t="n">
        <v>45400</v>
      </c>
      <c r="J301" s="36">
        <f>F301-H301</f>
        <v/>
      </c>
      <c r="K301" s="16">
        <f>0.005/(1+E301)+D301*0.0005/(1+E301)^2+0.005</f>
        <v/>
      </c>
      <c r="L301" s="17">
        <f>IF(ABS(J301)&lt;=K301,"OK",IF(M301&lt;&gt;"","EXPLAINED","CHECK"))</f>
        <v/>
      </c>
      <c r="M301" s="7" t="inlineStr"/>
    </row>
    <row r="302">
      <c r="A302" s="33" t="n">
        <v>45727</v>
      </c>
      <c r="B302" s="7" t="inlineStr">
        <is>
          <t>APE</t>
        </is>
      </c>
      <c r="C302" s="7" t="inlineStr">
        <is>
          <t>Jan-25</t>
        </is>
      </c>
      <c r="D302" s="35" t="n">
        <v>9.51</v>
      </c>
      <c r="E302" s="32" t="n">
        <v>0.176</v>
      </c>
      <c r="F302" s="35">
        <f>D302/(1+E302)</f>
        <v/>
      </c>
      <c r="G302" s="7" t="inlineStr">
        <is>
          <t>Jan-24</t>
        </is>
      </c>
      <c r="H302" s="35" t="n">
        <v>8.09</v>
      </c>
      <c r="I302" s="33" t="n">
        <v>45400</v>
      </c>
      <c r="J302" s="36">
        <f>F302-H302</f>
        <v/>
      </c>
      <c r="K302" s="16">
        <f>0.005/(1+E302)+D302*0.0005/(1+E302)^2+0.005</f>
        <v/>
      </c>
      <c r="L302" s="17">
        <f>IF(ABS(J302)&lt;=K302,"OK",IF(M302&lt;&gt;"","EXPLAINED","CHECK"))</f>
        <v/>
      </c>
      <c r="M302" s="7" t="inlineStr"/>
    </row>
    <row r="303">
      <c r="A303" s="33" t="n">
        <v>45727</v>
      </c>
      <c r="B303" s="7" t="inlineStr">
        <is>
          <t>RWRP</t>
        </is>
      </c>
      <c r="C303" s="7" t="inlineStr">
        <is>
          <t>Q3-FY2025</t>
        </is>
      </c>
      <c r="D303" s="35" t="n">
        <v>18.7</v>
      </c>
      <c r="E303" s="32" t="n">
        <v>0.184</v>
      </c>
      <c r="F303" s="35">
        <f>D303/(1+E303)</f>
        <v/>
      </c>
      <c r="G303" s="7" t="inlineStr">
        <is>
          <t>Q3-FY2024</t>
        </is>
      </c>
      <c r="H303" s="35" t="n">
        <v>15.79</v>
      </c>
      <c r="I303" s="33" t="n">
        <v>45358</v>
      </c>
      <c r="J303" s="36">
        <f>F303-H303</f>
        <v/>
      </c>
      <c r="K303" s="16">
        <f>0.005/(1+E303)+D303*0.0005/(1+E303)^2+0.005</f>
        <v/>
      </c>
      <c r="L303" s="17">
        <f>IF(ABS(J303)&lt;=K303,"OK",IF(M303&lt;&gt;"","EXPLAINED","CHECK"))</f>
        <v/>
      </c>
      <c r="M303" s="7" t="inlineStr"/>
    </row>
    <row r="304">
      <c r="A304" s="33" t="n">
        <v>45727</v>
      </c>
      <c r="B304" s="7" t="inlineStr">
        <is>
          <t>RWRP</t>
        </is>
      </c>
      <c r="C304" s="7" t="inlineStr">
        <is>
          <t>Q2-FY2025</t>
        </is>
      </c>
      <c r="D304" s="35" t="n">
        <v>21.08</v>
      </c>
      <c r="E304" s="32" t="n">
        <v>0.339</v>
      </c>
      <c r="F304" s="35">
        <f>D304/(1+E304)</f>
        <v/>
      </c>
      <c r="G304" s="7" t="inlineStr">
        <is>
          <t>Q2-FY2024</t>
        </is>
      </c>
      <c r="H304" s="35" t="n">
        <v>15.74</v>
      </c>
      <c r="I304" s="33" t="n">
        <v>45358</v>
      </c>
      <c r="J304" s="36">
        <f>F304-H304</f>
        <v/>
      </c>
      <c r="K304" s="16">
        <f>0.005/(1+E304)+D304*0.0005/(1+E304)^2+0.005</f>
        <v/>
      </c>
      <c r="L304" s="17">
        <f>IF(ABS(J304)&lt;=K304,"OK",IF(M304&lt;&gt;"","EXPLAINED","CHECK"))</f>
        <v/>
      </c>
      <c r="M304" s="7" t="inlineStr"/>
    </row>
    <row r="305">
      <c r="A305" s="33" t="n">
        <v>45727</v>
      </c>
      <c r="B305" s="7" t="inlineStr">
        <is>
          <t>RWRP</t>
        </is>
      </c>
      <c r="C305" s="7" t="inlineStr">
        <is>
          <t>Q1-FY2025</t>
        </is>
      </c>
      <c r="D305" s="35" t="n">
        <v>15.58</v>
      </c>
      <c r="E305" s="32" t="n">
        <v>0.468</v>
      </c>
      <c r="F305" s="35">
        <f>D305/(1+E305)</f>
        <v/>
      </c>
      <c r="G305" s="7" t="inlineStr">
        <is>
          <t>Q1-FY2024</t>
        </is>
      </c>
      <c r="H305" s="35" t="n">
        <v>10.61</v>
      </c>
      <c r="I305" s="33" t="n">
        <v>45358</v>
      </c>
      <c r="J305" s="36">
        <f>F305-H305</f>
        <v/>
      </c>
      <c r="K305" s="16">
        <f>0.005/(1+E305)+D305*0.0005/(1+E305)^2+0.005</f>
        <v/>
      </c>
      <c r="L305" s="17">
        <f>IF(ABS(J305)&lt;=K305,"OK",IF(M305&lt;&gt;"","EXPLAINED","CHECK"))</f>
        <v/>
      </c>
      <c r="M305" s="7" t="inlineStr"/>
    </row>
    <row r="306">
      <c r="A306" s="33" t="n">
        <v>45727</v>
      </c>
      <c r="B306" s="7" t="inlineStr">
        <is>
          <t>RWRP</t>
        </is>
      </c>
      <c r="C306" s="7" t="inlineStr">
        <is>
          <t>FY2024</t>
        </is>
      </c>
      <c r="D306" s="35" t="n">
        <v>72.13</v>
      </c>
      <c r="E306" s="32" t="n">
        <v>0.07000000000000001</v>
      </c>
      <c r="F306" s="35">
        <f>D306/(1+E306)</f>
        <v/>
      </c>
      <c r="G306" s="7" t="inlineStr">
        <is>
          <t>FY2023</t>
        </is>
      </c>
      <c r="H306" s="35" t="n">
        <v>67.38</v>
      </c>
      <c r="I306" s="33" t="n">
        <v>45358</v>
      </c>
      <c r="J306" s="36">
        <f>F306-H306</f>
        <v/>
      </c>
      <c r="K306" s="16">
        <f>0.005/(1+E306)+D306*0.0005/(1+E306)^2+0.005</f>
        <v/>
      </c>
      <c r="L306" s="17">
        <f>IF(ABS(J306)&lt;=K306,"OK",IF(M306&lt;&gt;"","EXPLAINED","CHECK"))</f>
        <v/>
      </c>
      <c r="M306" s="7" t="inlineStr"/>
    </row>
    <row r="307">
      <c r="A307" s="33" t="n">
        <v>45727</v>
      </c>
      <c r="B307" s="7" t="inlineStr">
        <is>
          <t>RWRP</t>
        </is>
      </c>
      <c r="C307" s="7" t="inlineStr">
        <is>
          <t>11M-FY2025</t>
        </is>
      </c>
      <c r="D307" s="35" t="n">
        <v>69.88</v>
      </c>
      <c r="E307" s="32" t="n">
        <v>0.223</v>
      </c>
      <c r="F307" s="35">
        <f>D307/(1+E307)</f>
        <v/>
      </c>
      <c r="G307" s="7" t="inlineStr">
        <is>
          <t>11M-FY2024</t>
        </is>
      </c>
      <c r="H307" s="35" t="n">
        <v>57.13</v>
      </c>
      <c r="I307" s="33" t="n">
        <v>45358</v>
      </c>
      <c r="J307" s="36">
        <f>F307-H307</f>
        <v/>
      </c>
      <c r="K307" s="16">
        <f>0.005/(1+E307)+D307*0.0005/(1+E307)^2+0.005</f>
        <v/>
      </c>
      <c r="L307" s="17">
        <f>IF(ABS(J307)&lt;=K307,"OK",IF(M307&lt;&gt;"","EXPLAINED","CHECK"))</f>
        <v/>
      </c>
      <c r="M307" s="7" t="inlineStr"/>
    </row>
    <row r="308">
      <c r="A308" s="33" t="n">
        <v>45727</v>
      </c>
      <c r="B308" s="7" t="inlineStr">
        <is>
          <t>RWRP</t>
        </is>
      </c>
      <c r="C308" s="7" t="inlineStr">
        <is>
          <t>Feb-25</t>
        </is>
      </c>
      <c r="D308" s="35" t="n">
        <v>7.31</v>
      </c>
      <c r="E308" s="32" t="n">
        <v>-0.127</v>
      </c>
      <c r="F308" s="35">
        <f>D308/(1+E308)</f>
        <v/>
      </c>
      <c r="G308" s="7" t="inlineStr">
        <is>
          <t>Feb-24</t>
        </is>
      </c>
      <c r="H308" s="35" t="n">
        <v>8.369999999999999</v>
      </c>
      <c r="I308" s="33" t="n">
        <v>45400</v>
      </c>
      <c r="J308" s="36">
        <f>F308-H308</f>
        <v/>
      </c>
      <c r="K308" s="16">
        <f>0.005/(1+E308)+D308*0.0005/(1+E308)^2+0.005</f>
        <v/>
      </c>
      <c r="L308" s="17">
        <f>IF(ABS(J308)&lt;=K308,"OK",IF(M308&lt;&gt;"","EXPLAINED","CHECK"))</f>
        <v/>
      </c>
      <c r="M308" s="7" t="inlineStr"/>
    </row>
    <row r="309">
      <c r="A309" s="33" t="n">
        <v>45727</v>
      </c>
      <c r="B309" s="7" t="inlineStr">
        <is>
          <t>RWRP</t>
        </is>
      </c>
      <c r="C309" s="7" t="inlineStr">
        <is>
          <t>Jan-25</t>
        </is>
      </c>
      <c r="D309" s="35" t="n">
        <v>7.21</v>
      </c>
      <c r="E309" s="32" t="n">
        <v>0.08699999999999999</v>
      </c>
      <c r="F309" s="35">
        <f>D309/(1+E309)</f>
        <v/>
      </c>
      <c r="G309" s="7" t="inlineStr">
        <is>
          <t>Jan-24</t>
        </is>
      </c>
      <c r="H309" s="35" t="n">
        <v>6.63</v>
      </c>
      <c r="I309" s="33" t="n">
        <v>45400</v>
      </c>
      <c r="J309" s="36">
        <f>F309-H309</f>
        <v/>
      </c>
      <c r="K309" s="16">
        <f>0.005/(1+E309)+D309*0.0005/(1+E309)^2+0.005</f>
        <v/>
      </c>
      <c r="L309" s="17">
        <f>IF(ABS(J309)&lt;=K309,"OK",IF(M309&lt;&gt;"","EXPLAINED","CHECK"))</f>
        <v/>
      </c>
      <c r="M309" s="7" t="inlineStr"/>
    </row>
    <row r="310">
      <c r="A310" s="33" t="n">
        <v>45695</v>
      </c>
      <c r="B310" s="7" t="inlineStr">
        <is>
          <t>NB Sum Assured</t>
        </is>
      </c>
      <c r="C310" s="7" t="inlineStr">
        <is>
          <t>Q3-FY2025</t>
        </is>
      </c>
      <c r="D310" s="35" t="n">
        <v>2933.38</v>
      </c>
      <c r="E310" s="32" t="n">
        <v>0.267</v>
      </c>
      <c r="F310" s="35">
        <f>D310/(1+E310)</f>
        <v/>
      </c>
      <c r="G310" s="7" t="inlineStr">
        <is>
          <t>Q3-FY2024</t>
        </is>
      </c>
      <c r="H310" s="35" t="n">
        <v>2314.66</v>
      </c>
      <c r="I310" s="33" t="n">
        <v>45358</v>
      </c>
      <c r="J310" s="36">
        <f>F310-H310</f>
        <v/>
      </c>
      <c r="K310" s="16">
        <f>0.005/(1+E310)+D310*0.0005/(1+E310)^2+0.005</f>
        <v/>
      </c>
      <c r="L310" s="17">
        <f>IF(ABS(J310)&lt;=K310,"OK",IF(M310&lt;&gt;"","EXPLAINED","CHECK"))</f>
        <v/>
      </c>
      <c r="M310" s="7" t="inlineStr"/>
    </row>
    <row r="311">
      <c r="A311" s="33" t="n">
        <v>45695</v>
      </c>
      <c r="B311" s="7" t="inlineStr">
        <is>
          <t>NB Sum Assured</t>
        </is>
      </c>
      <c r="C311" s="7" t="inlineStr">
        <is>
          <t>Q2-FY2025</t>
        </is>
      </c>
      <c r="D311" s="35" t="n">
        <v>2948.34</v>
      </c>
      <c r="E311" s="32" t="n">
        <v>0.174</v>
      </c>
      <c r="F311" s="35">
        <f>D311/(1+E311)</f>
        <v/>
      </c>
      <c r="G311" s="7" t="inlineStr">
        <is>
          <t>Q2-FY2024</t>
        </is>
      </c>
      <c r="H311" s="35" t="n">
        <v>2510.79</v>
      </c>
      <c r="I311" s="33" t="n">
        <v>45358</v>
      </c>
      <c r="J311" s="36">
        <f>F311-H311</f>
        <v/>
      </c>
      <c r="K311" s="16">
        <f>0.005/(1+E311)+D311*0.0005/(1+E311)^2+0.005</f>
        <v/>
      </c>
      <c r="L311" s="17">
        <f>IF(ABS(J311)&lt;=K311,"OK",IF(M311&lt;&gt;"","EXPLAINED","CHECK"))</f>
        <v/>
      </c>
      <c r="M311" s="7" t="inlineStr"/>
    </row>
    <row r="312">
      <c r="A312" s="33" t="n">
        <v>45695</v>
      </c>
      <c r="B312" s="7" t="inlineStr">
        <is>
          <t>NB Sum Assured</t>
        </is>
      </c>
      <c r="C312" s="7" t="inlineStr">
        <is>
          <t>Q1-FY2025</t>
        </is>
      </c>
      <c r="D312" s="35" t="n">
        <v>2724.68</v>
      </c>
      <c r="E312" s="32" t="n">
        <v>0.134</v>
      </c>
      <c r="F312" s="35">
        <f>D312/(1+E312)</f>
        <v/>
      </c>
      <c r="G312" s="7" t="inlineStr">
        <is>
          <t>Q1-FY2024</t>
        </is>
      </c>
      <c r="H312" s="35" t="n">
        <v>2403.04</v>
      </c>
      <c r="I312" s="33" t="n">
        <v>45358</v>
      </c>
      <c r="J312" s="36">
        <f>F312-H312</f>
        <v/>
      </c>
      <c r="K312" s="16">
        <f>0.005/(1+E312)+D312*0.0005/(1+E312)^2+0.005</f>
        <v/>
      </c>
      <c r="L312" s="17">
        <f>IF(ABS(J312)&lt;=K312,"OK",IF(M312&lt;&gt;"","EXPLAINED","CHECK"))</f>
        <v/>
      </c>
      <c r="M312" s="7" t="inlineStr"/>
    </row>
    <row r="313">
      <c r="A313" s="33" t="n">
        <v>45695</v>
      </c>
      <c r="B313" s="7" t="inlineStr">
        <is>
          <t>NB Sum Assured</t>
        </is>
      </c>
      <c r="C313" s="7" t="inlineStr">
        <is>
          <t>FY2024</t>
        </is>
      </c>
      <c r="D313" s="35" t="n">
        <v>10221.11</v>
      </c>
      <c r="E313" s="32" t="n">
        <v>-0.019</v>
      </c>
      <c r="F313" s="35">
        <f>D313/(1+E313)</f>
        <v/>
      </c>
      <c r="G313" s="7" t="inlineStr">
        <is>
          <t>FY2023</t>
        </is>
      </c>
      <c r="H313" s="35" t="n">
        <v>10413.92</v>
      </c>
      <c r="I313" s="33" t="n">
        <v>45358</v>
      </c>
      <c r="J313" s="36">
        <f>F313-H313</f>
        <v/>
      </c>
      <c r="K313" s="16">
        <f>0.005/(1+E313)+D313*0.0005/(1+E313)^2+0.005</f>
        <v/>
      </c>
      <c r="L313" s="17">
        <f>IF(ABS(J313)&lt;=K313,"OK",IF(M313&lt;&gt;"","EXPLAINED","CHECK"))</f>
        <v/>
      </c>
      <c r="M313" s="7" t="inlineStr"/>
    </row>
    <row r="314">
      <c r="A314" s="33" t="n">
        <v>45695</v>
      </c>
      <c r="B314" s="7" t="inlineStr">
        <is>
          <t>NB Sum Assured</t>
        </is>
      </c>
      <c r="C314" s="7" t="inlineStr">
        <is>
          <t>Jan-25</t>
        </is>
      </c>
      <c r="D314" s="35" t="n">
        <v>1409.83</v>
      </c>
      <c r="E314" s="32" t="n">
        <v>0.31</v>
      </c>
      <c r="F314" s="35">
        <f>D314/(1+E314)</f>
        <v/>
      </c>
      <c r="G314" s="7" t="inlineStr">
        <is>
          <t>Jan-24</t>
        </is>
      </c>
      <c r="H314" s="35" t="n">
        <v>1076.18</v>
      </c>
      <c r="I314" s="33" t="n">
        <v>45400</v>
      </c>
      <c r="J314" s="36">
        <f>F314-H314</f>
        <v/>
      </c>
      <c r="K314" s="16">
        <f>0.005/(1+E314)+D314*0.0005/(1+E314)^2+0.005</f>
        <v/>
      </c>
      <c r="L314" s="17">
        <f>IF(ABS(J314)&lt;=K314,"OK",IF(M314&lt;&gt;"","EXPLAINED","CHECK"))</f>
        <v/>
      </c>
      <c r="M314" s="7" t="inlineStr"/>
    </row>
    <row r="315">
      <c r="A315" s="33" t="n">
        <v>45695</v>
      </c>
      <c r="B315" s="7" t="inlineStr">
        <is>
          <t>NB Premium</t>
        </is>
      </c>
      <c r="C315" s="7" t="inlineStr">
        <is>
          <t>Q3-FY2025</t>
        </is>
      </c>
      <c r="D315" s="35" t="n">
        <v>64.42</v>
      </c>
      <c r="E315" s="32" t="n">
        <v>0.5649999999999999</v>
      </c>
      <c r="F315" s="35">
        <f>D315/(1+E315)</f>
        <v/>
      </c>
      <c r="G315" s="7" t="inlineStr">
        <is>
          <t>Q3-FY2024</t>
        </is>
      </c>
      <c r="H315" s="35" t="n">
        <v>41.17</v>
      </c>
      <c r="I315" s="33" t="n">
        <v>45358</v>
      </c>
      <c r="J315" s="36">
        <f>F315-H315</f>
        <v/>
      </c>
      <c r="K315" s="16">
        <f>0.005/(1+E315)+D315*0.0005/(1+E315)^2+0.005</f>
        <v/>
      </c>
      <c r="L315" s="17">
        <f>IF(ABS(J315)&lt;=K315,"OK",IF(M315&lt;&gt;"","EXPLAINED","CHECK"))</f>
        <v/>
      </c>
      <c r="M315" s="7" t="inlineStr"/>
    </row>
    <row r="316">
      <c r="A316" s="33" t="n">
        <v>45695</v>
      </c>
      <c r="B316" s="7" t="inlineStr">
        <is>
          <t>NB Premium</t>
        </is>
      </c>
      <c r="C316" s="7" t="inlineStr">
        <is>
          <t>Q2-FY2025</t>
        </is>
      </c>
      <c r="D316" s="35" t="n">
        <v>49.29</v>
      </c>
      <c r="E316" s="32" t="n">
        <v>0.131</v>
      </c>
      <c r="F316" s="35">
        <f>D316/(1+E316)</f>
        <v/>
      </c>
      <c r="G316" s="7" t="inlineStr">
        <is>
          <t>Q2-FY2024</t>
        </is>
      </c>
      <c r="H316" s="35" t="n">
        <v>43.59</v>
      </c>
      <c r="I316" s="33" t="n">
        <v>45358</v>
      </c>
      <c r="J316" s="36">
        <f>F316-H316</f>
        <v/>
      </c>
      <c r="K316" s="16">
        <f>0.005/(1+E316)+D316*0.0005/(1+E316)^2+0.005</f>
        <v/>
      </c>
      <c r="L316" s="17">
        <f>IF(ABS(J316)&lt;=K316,"OK",IF(M316&lt;&gt;"","EXPLAINED","CHECK"))</f>
        <v/>
      </c>
      <c r="M316" s="7" t="inlineStr"/>
    </row>
    <row r="317">
      <c r="A317" s="33" t="n">
        <v>45695</v>
      </c>
      <c r="B317" s="7" t="inlineStr">
        <is>
          <t>NB Premium</t>
        </is>
      </c>
      <c r="C317" s="7" t="inlineStr">
        <is>
          <t>Q1-FY2025</t>
        </is>
      </c>
      <c r="D317" s="35" t="n">
        <v>37.69</v>
      </c>
      <c r="E317" s="32" t="n">
        <v>0.235</v>
      </c>
      <c r="F317" s="35">
        <f>D317/(1+E317)</f>
        <v/>
      </c>
      <c r="G317" s="7" t="inlineStr">
        <is>
          <t>Q1-FY2024</t>
        </is>
      </c>
      <c r="H317" s="35" t="n">
        <v>30.51</v>
      </c>
      <c r="I317" s="33" t="n">
        <v>45358</v>
      </c>
      <c r="J317" s="36">
        <f>F317-H317</f>
        <v/>
      </c>
      <c r="K317" s="16">
        <f>0.005/(1+E317)+D317*0.0005/(1+E317)^2+0.005</f>
        <v/>
      </c>
      <c r="L317" s="17">
        <f>IF(ABS(J317)&lt;=K317,"OK",IF(M317&lt;&gt;"","EXPLAINED","CHECK"))</f>
        <v/>
      </c>
      <c r="M317" s="7" t="inlineStr"/>
    </row>
    <row r="318">
      <c r="A318" s="33" t="n">
        <v>45695</v>
      </c>
      <c r="B318" s="7" t="inlineStr">
        <is>
          <t>NB Premium</t>
        </is>
      </c>
      <c r="C318" s="7" t="inlineStr">
        <is>
          <t>FY2024</t>
        </is>
      </c>
      <c r="D318" s="35" t="n">
        <v>180.81</v>
      </c>
      <c r="E318" s="32" t="n">
        <v>0.068</v>
      </c>
      <c r="F318" s="35">
        <f>D318/(1+E318)</f>
        <v/>
      </c>
      <c r="G318" s="7" t="inlineStr">
        <is>
          <t>FY2023</t>
        </is>
      </c>
      <c r="H318" s="35" t="n">
        <v>169.22</v>
      </c>
      <c r="I318" s="33" t="n">
        <v>45358</v>
      </c>
      <c r="J318" s="36">
        <f>F318-H318</f>
        <v/>
      </c>
      <c r="K318" s="16">
        <f>0.005/(1+E318)+D318*0.0005/(1+E318)^2+0.005</f>
        <v/>
      </c>
      <c r="L318" s="17">
        <f>IF(ABS(J318)&lt;=K318,"OK",IF(M318&lt;&gt;"","EXPLAINED","CHECK"))</f>
        <v/>
      </c>
      <c r="M318" s="7" t="inlineStr"/>
    </row>
    <row r="319">
      <c r="A319" s="33" t="n">
        <v>45695</v>
      </c>
      <c r="B319" s="7" t="inlineStr">
        <is>
          <t>NB Premium</t>
        </is>
      </c>
      <c r="C319" s="7" t="inlineStr">
        <is>
          <t>Jan-25</t>
        </is>
      </c>
      <c r="D319" s="35" t="n">
        <v>17.78</v>
      </c>
      <c r="E319" s="32" t="n">
        <v>0.136</v>
      </c>
      <c r="F319" s="35">
        <f>D319/(1+E319)</f>
        <v/>
      </c>
      <c r="G319" s="7" t="inlineStr">
        <is>
          <t>Jan-24</t>
        </is>
      </c>
      <c r="H319" s="35" t="n">
        <v>15.65</v>
      </c>
      <c r="I319" s="33" t="n">
        <v>45400</v>
      </c>
      <c r="J319" s="36">
        <f>F319-H319</f>
        <v/>
      </c>
      <c r="K319" s="16">
        <f>0.005/(1+E319)+D319*0.0005/(1+E319)^2+0.005</f>
        <v/>
      </c>
      <c r="L319" s="17">
        <f>IF(ABS(J319)&lt;=K319,"OK",IF(M319&lt;&gt;"","EXPLAINED","CHECK"))</f>
        <v/>
      </c>
      <c r="M319" s="7" t="inlineStr"/>
    </row>
    <row r="320">
      <c r="A320" s="33" t="n">
        <v>45695</v>
      </c>
      <c r="B320" s="7" t="inlineStr">
        <is>
          <t>APE</t>
        </is>
      </c>
      <c r="C320" s="7" t="inlineStr">
        <is>
          <t>Q3-FY2025</t>
        </is>
      </c>
      <c r="D320" s="35" t="n">
        <v>24.38</v>
      </c>
      <c r="E320" s="32" t="n">
        <v>0.278</v>
      </c>
      <c r="F320" s="35">
        <f>D320/(1+E320)</f>
        <v/>
      </c>
      <c r="G320" s="7" t="inlineStr">
        <is>
          <t>Q3-FY2024</t>
        </is>
      </c>
      <c r="H320" s="35" t="n">
        <v>19.07</v>
      </c>
      <c r="I320" s="33" t="n">
        <v>45358</v>
      </c>
      <c r="J320" s="36">
        <f>F320-H320</f>
        <v/>
      </c>
      <c r="K320" s="16">
        <f>0.005/(1+E320)+D320*0.0005/(1+E320)^2+0.005</f>
        <v/>
      </c>
      <c r="L320" s="17">
        <f>IF(ABS(J320)&lt;=K320,"OK",IF(M320&lt;&gt;"","EXPLAINED","CHECK"))</f>
        <v/>
      </c>
      <c r="M320" s="7" t="inlineStr"/>
    </row>
    <row r="321">
      <c r="A321" s="33" t="n">
        <v>45695</v>
      </c>
      <c r="B321" s="7" t="inlineStr">
        <is>
          <t>APE</t>
        </is>
      </c>
      <c r="C321" s="7" t="inlineStr">
        <is>
          <t>Q2-FY2025</t>
        </is>
      </c>
      <c r="D321" s="35" t="n">
        <v>25.03</v>
      </c>
      <c r="E321" s="32" t="n">
        <v>0.214</v>
      </c>
      <c r="F321" s="35">
        <f>D321/(1+E321)</f>
        <v/>
      </c>
      <c r="G321" s="7" t="inlineStr">
        <is>
          <t>Q2-FY2024</t>
        </is>
      </c>
      <c r="H321" s="35" t="n">
        <v>20.62</v>
      </c>
      <c r="I321" s="33" t="n">
        <v>45358</v>
      </c>
      <c r="J321" s="36">
        <f>F321-H321</f>
        <v/>
      </c>
      <c r="K321" s="16">
        <f>0.005/(1+E321)+D321*0.0005/(1+E321)^2+0.005</f>
        <v/>
      </c>
      <c r="L321" s="17">
        <f>IF(ABS(J321)&lt;=K321,"OK",IF(M321&lt;&gt;"","EXPLAINED","CHECK"))</f>
        <v/>
      </c>
      <c r="M321" s="7" t="inlineStr"/>
    </row>
    <row r="322">
      <c r="A322" s="33" t="n">
        <v>45695</v>
      </c>
      <c r="B322" s="7" t="inlineStr">
        <is>
          <t>APE</t>
        </is>
      </c>
      <c r="C322" s="7" t="inlineStr">
        <is>
          <t>Q1-FY2025</t>
        </is>
      </c>
      <c r="D322" s="35" t="n">
        <v>19.63</v>
      </c>
      <c r="E322" s="32" t="n">
        <v>0.344</v>
      </c>
      <c r="F322" s="35">
        <f>D322/(1+E322)</f>
        <v/>
      </c>
      <c r="G322" s="7" t="inlineStr">
        <is>
          <t>Q1-FY2024</t>
        </is>
      </c>
      <c r="H322" s="35" t="n">
        <v>14.61</v>
      </c>
      <c r="I322" s="33" t="n">
        <v>45358</v>
      </c>
      <c r="J322" s="36">
        <f>F322-H322</f>
        <v/>
      </c>
      <c r="K322" s="16">
        <f>0.005/(1+E322)+D322*0.0005/(1+E322)^2+0.005</f>
        <v/>
      </c>
      <c r="L322" s="17">
        <f>IF(ABS(J322)&lt;=K322,"OK",IF(M322&lt;&gt;"","EXPLAINED","CHECK"))</f>
        <v/>
      </c>
      <c r="M322" s="7" t="inlineStr"/>
    </row>
    <row r="323">
      <c r="A323" s="33" t="n">
        <v>45695</v>
      </c>
      <c r="B323" s="7" t="inlineStr">
        <is>
          <t>APE</t>
        </is>
      </c>
      <c r="C323" s="7" t="inlineStr">
        <is>
          <t>FY2024</t>
        </is>
      </c>
      <c r="D323" s="35" t="n">
        <v>90.45999999999999</v>
      </c>
      <c r="E323" s="32" t="n">
        <v>0.047</v>
      </c>
      <c r="F323" s="35">
        <f>D323/(1+E323)</f>
        <v/>
      </c>
      <c r="G323" s="7" t="inlineStr">
        <is>
          <t>FY2023</t>
        </is>
      </c>
      <c r="H323" s="35" t="n">
        <v>86.40000000000001</v>
      </c>
      <c r="I323" s="33" t="n">
        <v>45358</v>
      </c>
      <c r="J323" s="36">
        <f>F323-H323</f>
        <v/>
      </c>
      <c r="K323" s="16">
        <f>0.005/(1+E323)+D323*0.0005/(1+E323)^2+0.005</f>
        <v/>
      </c>
      <c r="L323" s="17">
        <f>IF(ABS(J323)&lt;=K323,"OK",IF(M323&lt;&gt;"","EXPLAINED","CHECK"))</f>
        <v/>
      </c>
      <c r="M323" s="7" t="inlineStr"/>
    </row>
    <row r="324">
      <c r="A324" s="33" t="n">
        <v>45695</v>
      </c>
      <c r="B324" s="7" t="inlineStr">
        <is>
          <t>APE</t>
        </is>
      </c>
      <c r="C324" s="7" t="inlineStr">
        <is>
          <t>Jan-25</t>
        </is>
      </c>
      <c r="D324" s="35" t="n">
        <v>9.51</v>
      </c>
      <c r="E324" s="32" t="n">
        <v>0.176</v>
      </c>
      <c r="F324" s="35">
        <f>D324/(1+E324)</f>
        <v/>
      </c>
      <c r="G324" s="7" t="inlineStr">
        <is>
          <t>Jan-24</t>
        </is>
      </c>
      <c r="H324" s="35" t="n">
        <v>8.09</v>
      </c>
      <c r="I324" s="33" t="n">
        <v>45400</v>
      </c>
      <c r="J324" s="36">
        <f>F324-H324</f>
        <v/>
      </c>
      <c r="K324" s="16">
        <f>0.005/(1+E324)+D324*0.0005/(1+E324)^2+0.005</f>
        <v/>
      </c>
      <c r="L324" s="17">
        <f>IF(ABS(J324)&lt;=K324,"OK",IF(M324&lt;&gt;"","EXPLAINED","CHECK"))</f>
        <v/>
      </c>
      <c r="M324" s="7" t="inlineStr"/>
    </row>
    <row r="325">
      <c r="A325" s="33" t="n">
        <v>45695</v>
      </c>
      <c r="B325" s="7" t="inlineStr">
        <is>
          <t>RWRP</t>
        </is>
      </c>
      <c r="C325" s="7" t="inlineStr">
        <is>
          <t>Q3-FY2025</t>
        </is>
      </c>
      <c r="D325" s="35" t="n">
        <v>18.7</v>
      </c>
      <c r="E325" s="32" t="n">
        <v>0.184</v>
      </c>
      <c r="F325" s="35">
        <f>D325/(1+E325)</f>
        <v/>
      </c>
      <c r="G325" s="7" t="inlineStr">
        <is>
          <t>Q3-FY2024</t>
        </is>
      </c>
      <c r="H325" s="35" t="n">
        <v>15.79</v>
      </c>
      <c r="I325" s="33" t="n">
        <v>45358</v>
      </c>
      <c r="J325" s="36">
        <f>F325-H325</f>
        <v/>
      </c>
      <c r="K325" s="16">
        <f>0.005/(1+E325)+D325*0.0005/(1+E325)^2+0.005</f>
        <v/>
      </c>
      <c r="L325" s="17">
        <f>IF(ABS(J325)&lt;=K325,"OK",IF(M325&lt;&gt;"","EXPLAINED","CHECK"))</f>
        <v/>
      </c>
      <c r="M325" s="7" t="inlineStr"/>
    </row>
    <row r="326">
      <c r="A326" s="33" t="n">
        <v>45695</v>
      </c>
      <c r="B326" s="7" t="inlineStr">
        <is>
          <t>RWRP</t>
        </is>
      </c>
      <c r="C326" s="7" t="inlineStr">
        <is>
          <t>Q2-FY2025</t>
        </is>
      </c>
      <c r="D326" s="35" t="n">
        <v>21.08</v>
      </c>
      <c r="E326" s="32" t="n">
        <v>0.339</v>
      </c>
      <c r="F326" s="35">
        <f>D326/(1+E326)</f>
        <v/>
      </c>
      <c r="G326" s="7" t="inlineStr">
        <is>
          <t>Q2-FY2024</t>
        </is>
      </c>
      <c r="H326" s="35" t="n">
        <v>15.74</v>
      </c>
      <c r="I326" s="33" t="n">
        <v>45358</v>
      </c>
      <c r="J326" s="36">
        <f>F326-H326</f>
        <v/>
      </c>
      <c r="K326" s="16">
        <f>0.005/(1+E326)+D326*0.0005/(1+E326)^2+0.005</f>
        <v/>
      </c>
      <c r="L326" s="17">
        <f>IF(ABS(J326)&lt;=K326,"OK",IF(M326&lt;&gt;"","EXPLAINED","CHECK"))</f>
        <v/>
      </c>
      <c r="M326" s="7" t="inlineStr"/>
    </row>
    <row r="327">
      <c r="A327" s="33" t="n">
        <v>45695</v>
      </c>
      <c r="B327" s="7" t="inlineStr">
        <is>
          <t>RWRP</t>
        </is>
      </c>
      <c r="C327" s="7" t="inlineStr">
        <is>
          <t>Q1-FY2025</t>
        </is>
      </c>
      <c r="D327" s="35" t="n">
        <v>15.58</v>
      </c>
      <c r="E327" s="32" t="n">
        <v>0.468</v>
      </c>
      <c r="F327" s="35">
        <f>D327/(1+E327)</f>
        <v/>
      </c>
      <c r="G327" s="7" t="inlineStr">
        <is>
          <t>Q1-FY2024</t>
        </is>
      </c>
      <c r="H327" s="35" t="n">
        <v>10.61</v>
      </c>
      <c r="I327" s="33" t="n">
        <v>45358</v>
      </c>
      <c r="J327" s="36">
        <f>F327-H327</f>
        <v/>
      </c>
      <c r="K327" s="16">
        <f>0.005/(1+E327)+D327*0.0005/(1+E327)^2+0.005</f>
        <v/>
      </c>
      <c r="L327" s="17">
        <f>IF(ABS(J327)&lt;=K327,"OK",IF(M327&lt;&gt;"","EXPLAINED","CHECK"))</f>
        <v/>
      </c>
      <c r="M327" s="7" t="inlineStr"/>
    </row>
    <row r="328">
      <c r="A328" s="33" t="n">
        <v>45695</v>
      </c>
      <c r="B328" s="7" t="inlineStr">
        <is>
          <t>RWRP</t>
        </is>
      </c>
      <c r="C328" s="7" t="inlineStr">
        <is>
          <t>FY2024</t>
        </is>
      </c>
      <c r="D328" s="35" t="n">
        <v>72.13</v>
      </c>
      <c r="E328" s="32" t="n">
        <v>0.07000000000000001</v>
      </c>
      <c r="F328" s="35">
        <f>D328/(1+E328)</f>
        <v/>
      </c>
      <c r="G328" s="7" t="inlineStr">
        <is>
          <t>FY2023</t>
        </is>
      </c>
      <c r="H328" s="35" t="n">
        <v>67.38</v>
      </c>
      <c r="I328" s="33" t="n">
        <v>45358</v>
      </c>
      <c r="J328" s="36">
        <f>F328-H328</f>
        <v/>
      </c>
      <c r="K328" s="16">
        <f>0.005/(1+E328)+D328*0.0005/(1+E328)^2+0.005</f>
        <v/>
      </c>
      <c r="L328" s="17">
        <f>IF(ABS(J328)&lt;=K328,"OK",IF(M328&lt;&gt;"","EXPLAINED","CHECK"))</f>
        <v/>
      </c>
      <c r="M328" s="7" t="inlineStr"/>
    </row>
    <row r="329">
      <c r="A329" s="33" t="n">
        <v>45695</v>
      </c>
      <c r="B329" s="7" t="inlineStr">
        <is>
          <t>RWRP</t>
        </is>
      </c>
      <c r="C329" s="7" t="inlineStr">
        <is>
          <t>Jan-25</t>
        </is>
      </c>
      <c r="D329" s="35" t="n">
        <v>7.21</v>
      </c>
      <c r="E329" s="32" t="n">
        <v>0.08699999999999999</v>
      </c>
      <c r="F329" s="35">
        <f>D329/(1+E329)</f>
        <v/>
      </c>
      <c r="G329" s="7" t="inlineStr">
        <is>
          <t>Jan-24</t>
        </is>
      </c>
      <c r="H329" s="35" t="n">
        <v>6.63</v>
      </c>
      <c r="I329" s="33" t="n">
        <v>45400</v>
      </c>
      <c r="J329" s="36">
        <f>F329-H329</f>
        <v/>
      </c>
      <c r="K329" s="16">
        <f>0.005/(1+E329)+D329*0.0005/(1+E329)^2+0.005</f>
        <v/>
      </c>
      <c r="L329" s="17">
        <f>IF(ABS(J329)&lt;=K329,"OK",IF(M329&lt;&gt;"","EXPLAINED","CHECK"))</f>
        <v/>
      </c>
      <c r="M329" s="7" t="inlineStr"/>
    </row>
    <row r="330">
      <c r="A330" s="33" t="n">
        <v>45667</v>
      </c>
      <c r="B330" s="7" t="inlineStr">
        <is>
          <t>NB Sum Assured</t>
        </is>
      </c>
      <c r="C330" s="7" t="inlineStr">
        <is>
          <t>Q3-FY2025</t>
        </is>
      </c>
      <c r="D330" s="35" t="n">
        <v>2933.38</v>
      </c>
      <c r="E330" s="32" t="n">
        <v>0.267</v>
      </c>
      <c r="F330" s="35">
        <f>D330/(1+E330)</f>
        <v/>
      </c>
      <c r="G330" s="7" t="inlineStr">
        <is>
          <t>Q3-FY2024</t>
        </is>
      </c>
      <c r="H330" s="35" t="n">
        <v>2314.66</v>
      </c>
      <c r="I330" s="33" t="n">
        <v>45358</v>
      </c>
      <c r="J330" s="36">
        <f>F330-H330</f>
        <v/>
      </c>
      <c r="K330" s="16">
        <f>0.005/(1+E330)+D330*0.0005/(1+E330)^2+0.005</f>
        <v/>
      </c>
      <c r="L330" s="17">
        <f>IF(ABS(J330)&lt;=K330,"OK",IF(M330&lt;&gt;"","EXPLAINED","CHECK"))</f>
        <v/>
      </c>
      <c r="M330" s="7" t="inlineStr"/>
    </row>
    <row r="331">
      <c r="A331" s="33" t="n">
        <v>45667</v>
      </c>
      <c r="B331" s="7" t="inlineStr">
        <is>
          <t>NB Sum Assured</t>
        </is>
      </c>
      <c r="C331" s="7" t="inlineStr">
        <is>
          <t>FY2024</t>
        </is>
      </c>
      <c r="D331" s="35" t="n">
        <v>10221.11</v>
      </c>
      <c r="E331" s="32" t="n">
        <v>-0.019</v>
      </c>
      <c r="F331" s="35">
        <f>D331/(1+E331)</f>
        <v/>
      </c>
      <c r="G331" s="7" t="inlineStr">
        <is>
          <t>FY2023</t>
        </is>
      </c>
      <c r="H331" s="35" t="n">
        <v>10413.92</v>
      </c>
      <c r="I331" s="33" t="n">
        <v>45358</v>
      </c>
      <c r="J331" s="36">
        <f>F331-H331</f>
        <v/>
      </c>
      <c r="K331" s="16">
        <f>0.005/(1+E331)+D331*0.0005/(1+E331)^2+0.005</f>
        <v/>
      </c>
      <c r="L331" s="17">
        <f>IF(ABS(J331)&lt;=K331,"OK",IF(M331&lt;&gt;"","EXPLAINED","CHECK"))</f>
        <v/>
      </c>
      <c r="M331" s="7" t="inlineStr"/>
    </row>
    <row r="332">
      <c r="A332" s="33" t="n">
        <v>45667</v>
      </c>
      <c r="B332" s="7" t="inlineStr">
        <is>
          <t>NB Sum Assured</t>
        </is>
      </c>
      <c r="C332" s="7" t="inlineStr">
        <is>
          <t>Dec-24</t>
        </is>
      </c>
      <c r="D332" s="35" t="n">
        <v>1068.26</v>
      </c>
      <c r="E332" s="32" t="n">
        <v>0.429</v>
      </c>
      <c r="F332" s="35">
        <f>D332/(1+E332)</f>
        <v/>
      </c>
      <c r="G332" s="7" t="inlineStr">
        <is>
          <t>Dec-23</t>
        </is>
      </c>
      <c r="H332" s="35" t="n">
        <v>747.7</v>
      </c>
      <c r="I332" s="33" t="n">
        <v>45300</v>
      </c>
      <c r="J332" s="36">
        <f>F332-H332</f>
        <v/>
      </c>
      <c r="K332" s="16">
        <f>0.005/(1+E332)+D332*0.0005/(1+E332)^2+0.005</f>
        <v/>
      </c>
      <c r="L332" s="17">
        <f>IF(ABS(J332)&lt;=K332,"OK",IF(M332&lt;&gt;"","EXPLAINED","CHECK"))</f>
        <v/>
      </c>
      <c r="M332" s="7" t="inlineStr"/>
    </row>
    <row r="333">
      <c r="A333" s="33" t="n">
        <v>45667</v>
      </c>
      <c r="B333" s="7" t="inlineStr">
        <is>
          <t>NB Sum Assured</t>
        </is>
      </c>
      <c r="C333" s="7" t="inlineStr">
        <is>
          <t>Nov-24</t>
        </is>
      </c>
      <c r="D333" s="35" t="n">
        <v>955.65</v>
      </c>
      <c r="E333" s="32" t="n">
        <v>0.205</v>
      </c>
      <c r="F333" s="35">
        <f>D333/(1+E333)</f>
        <v/>
      </c>
      <c r="G333" s="7" t="inlineStr">
        <is>
          <t>Nov-23</t>
        </is>
      </c>
      <c r="H333" s="35" t="n">
        <v>793.26</v>
      </c>
      <c r="I333" s="33" t="n">
        <v>45267</v>
      </c>
      <c r="J333" s="36">
        <f>F333-H333</f>
        <v/>
      </c>
      <c r="K333" s="16">
        <f>0.005/(1+E333)+D333*0.0005/(1+E333)^2+0.005</f>
        <v/>
      </c>
      <c r="L333" s="17">
        <f>IF(ABS(J333)&lt;=K333,"OK",IF(M333&lt;&gt;"","EXPLAINED","CHECK"))</f>
        <v/>
      </c>
      <c r="M333" s="7" t="inlineStr"/>
    </row>
    <row r="334">
      <c r="A334" s="33" t="n">
        <v>45667</v>
      </c>
      <c r="B334" s="7" t="inlineStr">
        <is>
          <t>NB Sum Assured</t>
        </is>
      </c>
      <c r="C334" s="7" t="inlineStr">
        <is>
          <t>Oct-24</t>
        </is>
      </c>
      <c r="D334" s="35" t="n">
        <v>909.47</v>
      </c>
      <c r="E334" s="32" t="n">
        <v>0.175</v>
      </c>
      <c r="F334" s="35">
        <f>D334/(1+E334)</f>
        <v/>
      </c>
      <c r="G334" s="7" t="inlineStr">
        <is>
          <t>Oct-23</t>
        </is>
      </c>
      <c r="H334" s="35" t="n">
        <v>773.6900000000001</v>
      </c>
      <c r="I334" s="33" t="n">
        <v>45267</v>
      </c>
      <c r="J334" s="36">
        <f>F334-H334</f>
        <v/>
      </c>
      <c r="K334" s="16">
        <f>0.005/(1+E334)+D334*0.0005/(1+E334)^2+0.005</f>
        <v/>
      </c>
      <c r="L334" s="17">
        <f>IF(ABS(J334)&lt;=K334,"OK",IF(M334&lt;&gt;"","EXPLAINED","CHECK"))</f>
        <v/>
      </c>
      <c r="M334" s="7" t="inlineStr"/>
    </row>
    <row r="335">
      <c r="A335" s="33" t="n">
        <v>45667</v>
      </c>
      <c r="B335" s="7" t="inlineStr">
        <is>
          <t>NB Premium</t>
        </is>
      </c>
      <c r="C335" s="7" t="inlineStr">
        <is>
          <t>Q3-FY2025</t>
        </is>
      </c>
      <c r="D335" s="35" t="n">
        <v>64.42</v>
      </c>
      <c r="E335" s="32" t="n">
        <v>0.5649999999999999</v>
      </c>
      <c r="F335" s="35">
        <f>D335/(1+E335)</f>
        <v/>
      </c>
      <c r="G335" s="7" t="inlineStr">
        <is>
          <t>Q3-FY2024</t>
        </is>
      </c>
      <c r="H335" s="35" t="n">
        <v>41.17</v>
      </c>
      <c r="I335" s="33" t="n">
        <v>45358</v>
      </c>
      <c r="J335" s="36">
        <f>F335-H335</f>
        <v/>
      </c>
      <c r="K335" s="16">
        <f>0.005/(1+E335)+D335*0.0005/(1+E335)^2+0.005</f>
        <v/>
      </c>
      <c r="L335" s="17">
        <f>IF(ABS(J335)&lt;=K335,"OK",IF(M335&lt;&gt;"","EXPLAINED","CHECK"))</f>
        <v/>
      </c>
      <c r="M335" s="7" t="inlineStr"/>
    </row>
    <row r="336">
      <c r="A336" s="33" t="n">
        <v>45667</v>
      </c>
      <c r="B336" s="7" t="inlineStr">
        <is>
          <t>NB Premium</t>
        </is>
      </c>
      <c r="C336" s="7" t="inlineStr">
        <is>
          <t>FY2024</t>
        </is>
      </c>
      <c r="D336" s="35" t="n">
        <v>180.81</v>
      </c>
      <c r="E336" s="32" t="n">
        <v>0.068</v>
      </c>
      <c r="F336" s="35">
        <f>D336/(1+E336)</f>
        <v/>
      </c>
      <c r="G336" s="7" t="inlineStr">
        <is>
          <t>FY2023</t>
        </is>
      </c>
      <c r="H336" s="35" t="n">
        <v>169.22</v>
      </c>
      <c r="I336" s="33" t="n">
        <v>45358</v>
      </c>
      <c r="J336" s="36">
        <f>F336-H336</f>
        <v/>
      </c>
      <c r="K336" s="16">
        <f>0.005/(1+E336)+D336*0.0005/(1+E336)^2+0.005</f>
        <v/>
      </c>
      <c r="L336" s="17">
        <f>IF(ABS(J336)&lt;=K336,"OK",IF(M336&lt;&gt;"","EXPLAINED","CHECK"))</f>
        <v/>
      </c>
      <c r="M336" s="7" t="inlineStr"/>
    </row>
    <row r="337">
      <c r="A337" s="33" t="n">
        <v>45667</v>
      </c>
      <c r="B337" s="7" t="inlineStr">
        <is>
          <t>NB Premium</t>
        </is>
      </c>
      <c r="C337" s="7" t="inlineStr">
        <is>
          <t>Dec-24</t>
        </is>
      </c>
      <c r="D337" s="35" t="n">
        <v>15.55</v>
      </c>
      <c r="E337" s="32" t="n">
        <v>0.039</v>
      </c>
      <c r="F337" s="35">
        <f>D337/(1+E337)</f>
        <v/>
      </c>
      <c r="G337" s="7" t="inlineStr">
        <is>
          <t>Dec-23</t>
        </is>
      </c>
      <c r="H337" s="35" t="n">
        <v>14.97</v>
      </c>
      <c r="I337" s="33" t="n">
        <v>45300</v>
      </c>
      <c r="J337" s="36">
        <f>F337-H337</f>
        <v/>
      </c>
      <c r="K337" s="16">
        <f>0.005/(1+E337)+D337*0.0005/(1+E337)^2+0.005</f>
        <v/>
      </c>
      <c r="L337" s="17">
        <f>IF(ABS(J337)&lt;=K337,"OK",IF(M337&lt;&gt;"","EXPLAINED","CHECK"))</f>
        <v/>
      </c>
      <c r="M337" s="7" t="inlineStr"/>
    </row>
    <row r="338">
      <c r="A338" s="33" t="n">
        <v>45667</v>
      </c>
      <c r="B338" s="7" t="inlineStr">
        <is>
          <t>NB Premium</t>
        </is>
      </c>
      <c r="C338" s="7" t="inlineStr">
        <is>
          <t>Nov-24</t>
        </is>
      </c>
      <c r="D338" s="35" t="n">
        <v>32.22</v>
      </c>
      <c r="E338" s="32" t="n">
        <v>1.496</v>
      </c>
      <c r="F338" s="35">
        <f>D338/(1+E338)</f>
        <v/>
      </c>
      <c r="G338" s="7" t="inlineStr">
        <is>
          <t>Nov-23</t>
        </is>
      </c>
      <c r="H338" s="35" t="n">
        <v>12.91</v>
      </c>
      <c r="I338" s="33" t="n">
        <v>45267</v>
      </c>
      <c r="J338" s="36">
        <f>F338-H338</f>
        <v/>
      </c>
      <c r="K338" s="16">
        <f>0.005/(1+E338)+D338*0.0005/(1+E338)^2+0.005</f>
        <v/>
      </c>
      <c r="L338" s="17">
        <f>IF(ABS(J338)&lt;=K338,"OK",IF(M338&lt;&gt;"","EXPLAINED","CHECK"))</f>
        <v/>
      </c>
      <c r="M338" s="7" t="inlineStr"/>
    </row>
    <row r="339">
      <c r="A339" s="33" t="n">
        <v>45667</v>
      </c>
      <c r="B339" s="7" t="inlineStr">
        <is>
          <t>NB Premium</t>
        </is>
      </c>
      <c r="C339" s="7" t="inlineStr">
        <is>
          <t>Oct-24</t>
        </is>
      </c>
      <c r="D339" s="35" t="n">
        <v>16.65</v>
      </c>
      <c r="E339" s="32" t="n">
        <v>0.253</v>
      </c>
      <c r="F339" s="35">
        <f>D339/(1+E339)</f>
        <v/>
      </c>
      <c r="G339" s="7" t="inlineStr">
        <is>
          <t>Oct-23</t>
        </is>
      </c>
      <c r="H339" s="35" t="n">
        <v>13.29</v>
      </c>
      <c r="I339" s="33" t="n">
        <v>45267</v>
      </c>
      <c r="J339" s="36">
        <f>F339-H339</f>
        <v/>
      </c>
      <c r="K339" s="16">
        <f>0.005/(1+E339)+D339*0.0005/(1+E339)^2+0.005</f>
        <v/>
      </c>
      <c r="L339" s="17">
        <f>IF(ABS(J339)&lt;=K339,"OK",IF(M339&lt;&gt;"","EXPLAINED","CHECK"))</f>
        <v/>
      </c>
      <c r="M339" s="7" t="inlineStr"/>
    </row>
    <row r="340">
      <c r="A340" s="33" t="n">
        <v>45667</v>
      </c>
      <c r="B340" s="7" t="inlineStr">
        <is>
          <t>APE</t>
        </is>
      </c>
      <c r="C340" s="7" t="inlineStr">
        <is>
          <t>Q3-FY2025</t>
        </is>
      </c>
      <c r="D340" s="35" t="n">
        <v>24.38</v>
      </c>
      <c r="E340" s="32" t="n">
        <v>0.278</v>
      </c>
      <c r="F340" s="35">
        <f>D340/(1+E340)</f>
        <v/>
      </c>
      <c r="G340" s="7" t="inlineStr">
        <is>
          <t>Q3-FY2024</t>
        </is>
      </c>
      <c r="H340" s="35" t="n">
        <v>19.07</v>
      </c>
      <c r="I340" s="33" t="n">
        <v>45358</v>
      </c>
      <c r="J340" s="36">
        <f>F340-H340</f>
        <v/>
      </c>
      <c r="K340" s="16">
        <f>0.005/(1+E340)+D340*0.0005/(1+E340)^2+0.005</f>
        <v/>
      </c>
      <c r="L340" s="17">
        <f>IF(ABS(J340)&lt;=K340,"OK",IF(M340&lt;&gt;"","EXPLAINED","CHECK"))</f>
        <v/>
      </c>
      <c r="M340" s="7" t="inlineStr"/>
    </row>
    <row r="341">
      <c r="A341" s="33" t="n">
        <v>45667</v>
      </c>
      <c r="B341" s="7" t="inlineStr">
        <is>
          <t>APE</t>
        </is>
      </c>
      <c r="C341" s="7" t="inlineStr">
        <is>
          <t>FY2024</t>
        </is>
      </c>
      <c r="D341" s="35" t="n">
        <v>90.45999999999999</v>
      </c>
      <c r="E341" s="32" t="n">
        <v>0.047</v>
      </c>
      <c r="F341" s="35">
        <f>D341/(1+E341)</f>
        <v/>
      </c>
      <c r="G341" s="7" t="inlineStr">
        <is>
          <t>FY2023</t>
        </is>
      </c>
      <c r="H341" s="35" t="n">
        <v>86.40000000000001</v>
      </c>
      <c r="I341" s="33" t="n">
        <v>45358</v>
      </c>
      <c r="J341" s="36">
        <f>F341-H341</f>
        <v/>
      </c>
      <c r="K341" s="16">
        <f>0.005/(1+E341)+D341*0.0005/(1+E341)^2+0.005</f>
        <v/>
      </c>
      <c r="L341" s="17">
        <f>IF(ABS(J341)&lt;=K341,"OK",IF(M341&lt;&gt;"","EXPLAINED","CHECK"))</f>
        <v/>
      </c>
      <c r="M341" s="7" t="inlineStr"/>
    </row>
    <row r="342">
      <c r="A342" s="33" t="n">
        <v>45667</v>
      </c>
      <c r="B342" s="7" t="inlineStr">
        <is>
          <t>APE</t>
        </is>
      </c>
      <c r="C342" s="7" t="inlineStr">
        <is>
          <t>Dec-24</t>
        </is>
      </c>
      <c r="D342" s="35" t="n">
        <v>8.66</v>
      </c>
      <c r="E342" s="32" t="n">
        <v>0.156</v>
      </c>
      <c r="F342" s="35">
        <f>D342/(1+E342)</f>
        <v/>
      </c>
      <c r="G342" s="7" t="inlineStr">
        <is>
          <t>Dec-23</t>
        </is>
      </c>
      <c r="H342" s="35" t="n">
        <v>7.49</v>
      </c>
      <c r="I342" s="33" t="n">
        <v>45300</v>
      </c>
      <c r="J342" s="36">
        <f>F342-H342</f>
        <v/>
      </c>
      <c r="K342" s="16">
        <f>0.005/(1+E342)+D342*0.0005/(1+E342)^2+0.005</f>
        <v/>
      </c>
      <c r="L342" s="17">
        <f>IF(ABS(J342)&lt;=K342,"OK",IF(M342&lt;&gt;"","EXPLAINED","CHECK"))</f>
        <v/>
      </c>
      <c r="M342" s="7" t="inlineStr"/>
    </row>
    <row r="343">
      <c r="A343" s="33" t="n">
        <v>45667</v>
      </c>
      <c r="B343" s="7" t="inlineStr">
        <is>
          <t>APE</t>
        </is>
      </c>
      <c r="C343" s="7" t="inlineStr">
        <is>
          <t>Nov-24</t>
        </is>
      </c>
      <c r="D343" s="35" t="n">
        <v>8.59</v>
      </c>
      <c r="E343" s="32" t="n">
        <v>0.5479999999999999</v>
      </c>
      <c r="F343" s="35">
        <f>D343/(1+E343)</f>
        <v/>
      </c>
      <c r="G343" s="7" t="inlineStr">
        <is>
          <t>Nov-23</t>
        </is>
      </c>
      <c r="H343" s="35" t="n">
        <v>5.55</v>
      </c>
      <c r="I343" s="33" t="n">
        <v>45267</v>
      </c>
      <c r="J343" s="36">
        <f>F343-H343</f>
        <v/>
      </c>
      <c r="K343" s="16">
        <f>0.005/(1+E343)+D343*0.0005/(1+E343)^2+0.005</f>
        <v/>
      </c>
      <c r="L343" s="17">
        <f>IF(ABS(J343)&lt;=K343,"OK",IF(M343&lt;&gt;"","EXPLAINED","CHECK"))</f>
        <v/>
      </c>
      <c r="M343" s="7" t="inlineStr"/>
    </row>
    <row r="344">
      <c r="A344" s="33" t="n">
        <v>45667</v>
      </c>
      <c r="B344" s="7" t="inlineStr">
        <is>
          <t>APE</t>
        </is>
      </c>
      <c r="C344" s="7" t="inlineStr">
        <is>
          <t>Oct-24</t>
        </is>
      </c>
      <c r="D344" s="35" t="n">
        <v>7.13</v>
      </c>
      <c r="E344" s="32" t="n">
        <v>0.182</v>
      </c>
      <c r="F344" s="35">
        <f>D344/(1+E344)</f>
        <v/>
      </c>
      <c r="G344" s="7" t="inlineStr">
        <is>
          <t>Oct-23</t>
        </is>
      </c>
      <c r="H344" s="35" t="n">
        <v>6.03</v>
      </c>
      <c r="I344" s="33" t="n">
        <v>45267</v>
      </c>
      <c r="J344" s="36">
        <f>F344-H344</f>
        <v/>
      </c>
      <c r="K344" s="16">
        <f>0.005/(1+E344)+D344*0.0005/(1+E344)^2+0.005</f>
        <v/>
      </c>
      <c r="L344" s="17">
        <f>IF(ABS(J344)&lt;=K344,"OK",IF(M344&lt;&gt;"","EXPLAINED","CHECK"))</f>
        <v/>
      </c>
      <c r="M344" s="7" t="inlineStr"/>
    </row>
    <row r="345">
      <c r="A345" s="33" t="n">
        <v>45667</v>
      </c>
      <c r="B345" s="7" t="inlineStr">
        <is>
          <t>RWRP</t>
        </is>
      </c>
      <c r="C345" s="7" t="inlineStr">
        <is>
          <t>Q3-FY2025</t>
        </is>
      </c>
      <c r="D345" s="35" t="n">
        <v>18.7</v>
      </c>
      <c r="E345" s="32" t="n">
        <v>0.184</v>
      </c>
      <c r="F345" s="35">
        <f>D345/(1+E345)</f>
        <v/>
      </c>
      <c r="G345" s="7" t="inlineStr">
        <is>
          <t>Q3-FY2024</t>
        </is>
      </c>
      <c r="H345" s="35" t="n">
        <v>15.79</v>
      </c>
      <c r="I345" s="33" t="n">
        <v>45358</v>
      </c>
      <c r="J345" s="36">
        <f>F345-H345</f>
        <v/>
      </c>
      <c r="K345" s="16">
        <f>0.005/(1+E345)+D345*0.0005/(1+E345)^2+0.005</f>
        <v/>
      </c>
      <c r="L345" s="17">
        <f>IF(ABS(J345)&lt;=K345,"OK",IF(M345&lt;&gt;"","EXPLAINED","CHECK"))</f>
        <v/>
      </c>
      <c r="M345" s="7" t="inlineStr"/>
    </row>
    <row r="346">
      <c r="A346" s="33" t="n">
        <v>45667</v>
      </c>
      <c r="B346" s="7" t="inlineStr">
        <is>
          <t>RWRP</t>
        </is>
      </c>
      <c r="C346" s="7" t="inlineStr">
        <is>
          <t>FY2024</t>
        </is>
      </c>
      <c r="D346" s="35" t="n">
        <v>72.13</v>
      </c>
      <c r="E346" s="32" t="n">
        <v>0.07000000000000001</v>
      </c>
      <c r="F346" s="35">
        <f>D346/(1+E346)</f>
        <v/>
      </c>
      <c r="G346" s="7" t="inlineStr">
        <is>
          <t>FY2023</t>
        </is>
      </c>
      <c r="H346" s="35" t="n">
        <v>67.38</v>
      </c>
      <c r="I346" s="33" t="n">
        <v>45358</v>
      </c>
      <c r="J346" s="36">
        <f>F346-H346</f>
        <v/>
      </c>
      <c r="K346" s="16">
        <f>0.005/(1+E346)+D346*0.0005/(1+E346)^2+0.005</f>
        <v/>
      </c>
      <c r="L346" s="17">
        <f>IF(ABS(J346)&lt;=K346,"OK",IF(M346&lt;&gt;"","EXPLAINED","CHECK"))</f>
        <v/>
      </c>
      <c r="M346" s="7" t="inlineStr"/>
    </row>
    <row r="347">
      <c r="A347" s="33" t="n">
        <v>45667</v>
      </c>
      <c r="B347" s="7" t="inlineStr">
        <is>
          <t>RWRP</t>
        </is>
      </c>
      <c r="C347" s="7" t="inlineStr">
        <is>
          <t>Dec-24</t>
        </is>
      </c>
      <c r="D347" s="35" t="n">
        <v>7.11</v>
      </c>
      <c r="E347" s="32" t="n">
        <v>0.094</v>
      </c>
      <c r="F347" s="35">
        <f>D347/(1+E347)</f>
        <v/>
      </c>
      <c r="G347" s="7" t="inlineStr">
        <is>
          <t>Dec-23</t>
        </is>
      </c>
      <c r="H347" s="35" t="n">
        <v>6.5</v>
      </c>
      <c r="I347" s="33" t="n">
        <v>45300</v>
      </c>
      <c r="J347" s="36">
        <f>F347-H347</f>
        <v/>
      </c>
      <c r="K347" s="16">
        <f>0.005/(1+E347)+D347*0.0005/(1+E347)^2+0.005</f>
        <v/>
      </c>
      <c r="L347" s="17">
        <f>IF(ABS(J347)&lt;=K347,"OK",IF(M347&lt;&gt;"","EXPLAINED","CHECK"))</f>
        <v/>
      </c>
      <c r="M347" s="7" t="inlineStr"/>
    </row>
    <row r="348">
      <c r="A348" s="33" t="n">
        <v>45667</v>
      </c>
      <c r="B348" s="7" t="inlineStr">
        <is>
          <t>RWRP</t>
        </is>
      </c>
      <c r="C348" s="7" t="inlineStr">
        <is>
          <t>Nov-24</t>
        </is>
      </c>
      <c r="D348" s="35" t="n">
        <v>5.74</v>
      </c>
      <c r="E348" s="32" t="n">
        <v>0.281</v>
      </c>
      <c r="F348" s="35">
        <f>D348/(1+E348)</f>
        <v/>
      </c>
      <c r="G348" s="7" t="inlineStr">
        <is>
          <t>Nov-23</t>
        </is>
      </c>
      <c r="H348" s="35" t="n">
        <v>4.48</v>
      </c>
      <c r="I348" s="33" t="n">
        <v>45267</v>
      </c>
      <c r="J348" s="36">
        <f>F348-H348</f>
        <v/>
      </c>
      <c r="K348" s="16">
        <f>0.005/(1+E348)+D348*0.0005/(1+E348)^2+0.005</f>
        <v/>
      </c>
      <c r="L348" s="17">
        <f>IF(ABS(J348)&lt;=K348,"OK",IF(M348&lt;&gt;"","EXPLAINED","CHECK"))</f>
        <v/>
      </c>
      <c r="M348" s="7" t="inlineStr"/>
    </row>
    <row r="349">
      <c r="A349" s="33" t="n">
        <v>45667</v>
      </c>
      <c r="B349" s="7" t="inlineStr">
        <is>
          <t>RWRP</t>
        </is>
      </c>
      <c r="C349" s="7" t="inlineStr">
        <is>
          <t>Oct-24</t>
        </is>
      </c>
      <c r="D349" s="35" t="n">
        <v>5.85</v>
      </c>
      <c r="E349" s="32" t="n">
        <v>0.216</v>
      </c>
      <c r="F349" s="35">
        <f>D349/(1+E349)</f>
        <v/>
      </c>
      <c r="G349" s="7" t="inlineStr">
        <is>
          <t>Oct-23</t>
        </is>
      </c>
      <c r="H349" s="35" t="n">
        <v>4.81</v>
      </c>
      <c r="I349" s="33" t="n">
        <v>45267</v>
      </c>
      <c r="J349" s="36">
        <f>F349-H349</f>
        <v/>
      </c>
      <c r="K349" s="16">
        <f>0.005/(1+E349)+D349*0.0005/(1+E349)^2+0.005</f>
        <v/>
      </c>
      <c r="L349" s="17">
        <f>IF(ABS(J349)&lt;=K349,"OK",IF(M349&lt;&gt;"","EXPLAINED","CHECK"))</f>
        <v/>
      </c>
      <c r="M349" s="7" t="inlineStr"/>
    </row>
    <row r="350">
      <c r="A350" s="33" t="n">
        <v>45635</v>
      </c>
      <c r="B350" s="7" t="inlineStr">
        <is>
          <t>NB Sum Assured</t>
        </is>
      </c>
      <c r="C350" s="7" t="inlineStr">
        <is>
          <t>Q2-FY2025</t>
        </is>
      </c>
      <c r="D350" s="35" t="n">
        <v>2948.34</v>
      </c>
      <c r="E350" s="32" t="n">
        <v>0.174</v>
      </c>
      <c r="F350" s="35">
        <f>D350/(1+E350)</f>
        <v/>
      </c>
      <c r="G350" s="7" t="inlineStr">
        <is>
          <t>Q2-FY2024</t>
        </is>
      </c>
      <c r="H350" s="35" t="n">
        <v>2510.79</v>
      </c>
      <c r="I350" s="33" t="n">
        <v>45358</v>
      </c>
      <c r="J350" s="36">
        <f>F350-H350</f>
        <v/>
      </c>
      <c r="K350" s="16">
        <f>0.005/(1+E350)+D350*0.0005/(1+E350)^2+0.005</f>
        <v/>
      </c>
      <c r="L350" s="17">
        <f>IF(ABS(J350)&lt;=K350,"OK",IF(M350&lt;&gt;"","EXPLAINED","CHECK"))</f>
        <v/>
      </c>
      <c r="M350" s="7" t="inlineStr"/>
    </row>
    <row r="351">
      <c r="A351" s="33" t="n">
        <v>45635</v>
      </c>
      <c r="B351" s="7" t="inlineStr">
        <is>
          <t>NB Sum Assured</t>
        </is>
      </c>
      <c r="C351" s="7" t="inlineStr">
        <is>
          <t>Q1-FY2025</t>
        </is>
      </c>
      <c r="D351" s="35" t="n">
        <v>2724.68</v>
      </c>
      <c r="E351" s="32" t="n">
        <v>0.134</v>
      </c>
      <c r="F351" s="35">
        <f>D351/(1+E351)</f>
        <v/>
      </c>
      <c r="G351" s="7" t="inlineStr">
        <is>
          <t>Q1-FY2024</t>
        </is>
      </c>
      <c r="H351" s="35" t="n">
        <v>2403.04</v>
      </c>
      <c r="I351" s="33" t="n">
        <v>45358</v>
      </c>
      <c r="J351" s="36">
        <f>F351-H351</f>
        <v/>
      </c>
      <c r="K351" s="16">
        <f>0.005/(1+E351)+D351*0.0005/(1+E351)^2+0.005</f>
        <v/>
      </c>
      <c r="L351" s="17">
        <f>IF(ABS(J351)&lt;=K351,"OK",IF(M351&lt;&gt;"","EXPLAINED","CHECK"))</f>
        <v/>
      </c>
      <c r="M351" s="7" t="inlineStr"/>
    </row>
    <row r="352">
      <c r="A352" s="33" t="n">
        <v>45635</v>
      </c>
      <c r="B352" s="7" t="inlineStr">
        <is>
          <t>NB Sum Assured</t>
        </is>
      </c>
      <c r="C352" s="7" t="inlineStr">
        <is>
          <t>FY2024</t>
        </is>
      </c>
      <c r="D352" s="35" t="n">
        <v>10221.11</v>
      </c>
      <c r="E352" s="32" t="n">
        <v>-0.019</v>
      </c>
      <c r="F352" s="35">
        <f>D352/(1+E352)</f>
        <v/>
      </c>
      <c r="G352" s="7" t="inlineStr">
        <is>
          <t>FY2023</t>
        </is>
      </c>
      <c r="H352" s="35" t="n">
        <v>10413.92</v>
      </c>
      <c r="I352" s="33" t="n">
        <v>45358</v>
      </c>
      <c r="J352" s="36">
        <f>F352-H352</f>
        <v/>
      </c>
      <c r="K352" s="16">
        <f>0.005/(1+E352)+D352*0.0005/(1+E352)^2+0.005</f>
        <v/>
      </c>
      <c r="L352" s="17">
        <f>IF(ABS(J352)&lt;=K352,"OK",IF(M352&lt;&gt;"","EXPLAINED","CHECK"))</f>
        <v/>
      </c>
      <c r="M352" s="7" t="inlineStr"/>
    </row>
    <row r="353">
      <c r="A353" s="33" t="n">
        <v>45635</v>
      </c>
      <c r="B353" s="7" t="inlineStr">
        <is>
          <t>NB Sum Assured</t>
        </is>
      </c>
      <c r="C353" s="7" t="inlineStr">
        <is>
          <t>Nov-24</t>
        </is>
      </c>
      <c r="D353" s="35" t="n">
        <v>955.65</v>
      </c>
      <c r="E353" s="32" t="n">
        <v>0.205</v>
      </c>
      <c r="F353" s="35">
        <f>D353/(1+E353)</f>
        <v/>
      </c>
      <c r="G353" s="7" t="inlineStr">
        <is>
          <t>Nov-23</t>
        </is>
      </c>
      <c r="H353" s="35" t="n">
        <v>793.26</v>
      </c>
      <c r="I353" s="33" t="n">
        <v>45267</v>
      </c>
      <c r="J353" s="36">
        <f>F353-H353</f>
        <v/>
      </c>
      <c r="K353" s="16">
        <f>0.005/(1+E353)+D353*0.0005/(1+E353)^2+0.005</f>
        <v/>
      </c>
      <c r="L353" s="17">
        <f>IF(ABS(J353)&lt;=K353,"OK",IF(M353&lt;&gt;"","EXPLAINED","CHECK"))</f>
        <v/>
      </c>
      <c r="M353" s="7" t="inlineStr"/>
    </row>
    <row r="354">
      <c r="A354" s="33" t="n">
        <v>45635</v>
      </c>
      <c r="B354" s="7" t="inlineStr">
        <is>
          <t>NB Sum Assured</t>
        </is>
      </c>
      <c r="C354" s="7" t="inlineStr">
        <is>
          <t>Oct-24</t>
        </is>
      </c>
      <c r="D354" s="35" t="n">
        <v>909.47</v>
      </c>
      <c r="E354" s="32" t="n">
        <v>0.175</v>
      </c>
      <c r="F354" s="35">
        <f>D354/(1+E354)</f>
        <v/>
      </c>
      <c r="G354" s="7" t="inlineStr">
        <is>
          <t>Oct-23</t>
        </is>
      </c>
      <c r="H354" s="35" t="n">
        <v>773.6900000000001</v>
      </c>
      <c r="I354" s="33" t="n">
        <v>45267</v>
      </c>
      <c r="J354" s="36">
        <f>F354-H354</f>
        <v/>
      </c>
      <c r="K354" s="16">
        <f>0.005/(1+E354)+D354*0.0005/(1+E354)^2+0.005</f>
        <v/>
      </c>
      <c r="L354" s="17">
        <f>IF(ABS(J354)&lt;=K354,"OK",IF(M354&lt;&gt;"","EXPLAINED","CHECK"))</f>
        <v/>
      </c>
      <c r="M354" s="7" t="inlineStr"/>
    </row>
    <row r="355">
      <c r="A355" s="33" t="n">
        <v>45635</v>
      </c>
      <c r="B355" s="7" t="inlineStr">
        <is>
          <t>NB Premium</t>
        </is>
      </c>
      <c r="C355" s="7" t="inlineStr">
        <is>
          <t>Q2-FY2025</t>
        </is>
      </c>
      <c r="D355" s="35" t="n">
        <v>49.29</v>
      </c>
      <c r="E355" s="32" t="n">
        <v>0.131</v>
      </c>
      <c r="F355" s="35">
        <f>D355/(1+E355)</f>
        <v/>
      </c>
      <c r="G355" s="7" t="inlineStr">
        <is>
          <t>Q2-FY2024</t>
        </is>
      </c>
      <c r="H355" s="35" t="n">
        <v>43.59</v>
      </c>
      <c r="I355" s="33" t="n">
        <v>45358</v>
      </c>
      <c r="J355" s="36">
        <f>F355-H355</f>
        <v/>
      </c>
      <c r="K355" s="16">
        <f>0.005/(1+E355)+D355*0.0005/(1+E355)^2+0.005</f>
        <v/>
      </c>
      <c r="L355" s="17">
        <f>IF(ABS(J355)&lt;=K355,"OK",IF(M355&lt;&gt;"","EXPLAINED","CHECK"))</f>
        <v/>
      </c>
      <c r="M355" s="7" t="inlineStr"/>
    </row>
    <row r="356">
      <c r="A356" s="33" t="n">
        <v>45635</v>
      </c>
      <c r="B356" s="7" t="inlineStr">
        <is>
          <t>NB Premium</t>
        </is>
      </c>
      <c r="C356" s="7" t="inlineStr">
        <is>
          <t>Q1-FY2025</t>
        </is>
      </c>
      <c r="D356" s="35" t="n">
        <v>37.69</v>
      </c>
      <c r="E356" s="32" t="n">
        <v>0.235</v>
      </c>
      <c r="F356" s="35">
        <f>D356/(1+E356)</f>
        <v/>
      </c>
      <c r="G356" s="7" t="inlineStr">
        <is>
          <t>Q1-FY2024</t>
        </is>
      </c>
      <c r="H356" s="35" t="n">
        <v>30.51</v>
      </c>
      <c r="I356" s="33" t="n">
        <v>45358</v>
      </c>
      <c r="J356" s="36">
        <f>F356-H356</f>
        <v/>
      </c>
      <c r="K356" s="16">
        <f>0.005/(1+E356)+D356*0.0005/(1+E356)^2+0.005</f>
        <v/>
      </c>
      <c r="L356" s="17">
        <f>IF(ABS(J356)&lt;=K356,"OK",IF(M356&lt;&gt;"","EXPLAINED","CHECK"))</f>
        <v/>
      </c>
      <c r="M356" s="7" t="inlineStr"/>
    </row>
    <row r="357">
      <c r="A357" s="33" t="n">
        <v>45635</v>
      </c>
      <c r="B357" s="7" t="inlineStr">
        <is>
          <t>NB Premium</t>
        </is>
      </c>
      <c r="C357" s="7" t="inlineStr">
        <is>
          <t>FY2024</t>
        </is>
      </c>
      <c r="D357" s="35" t="n">
        <v>180.81</v>
      </c>
      <c r="E357" s="32" t="n">
        <v>0.068</v>
      </c>
      <c r="F357" s="35">
        <f>D357/(1+E357)</f>
        <v/>
      </c>
      <c r="G357" s="7" t="inlineStr">
        <is>
          <t>FY2023</t>
        </is>
      </c>
      <c r="H357" s="35" t="n">
        <v>169.22</v>
      </c>
      <c r="I357" s="33" t="n">
        <v>45358</v>
      </c>
      <c r="J357" s="36">
        <f>F357-H357</f>
        <v/>
      </c>
      <c r="K357" s="16">
        <f>0.005/(1+E357)+D357*0.0005/(1+E357)^2+0.005</f>
        <v/>
      </c>
      <c r="L357" s="17">
        <f>IF(ABS(J357)&lt;=K357,"OK",IF(M357&lt;&gt;"","EXPLAINED","CHECK"))</f>
        <v/>
      </c>
      <c r="M357" s="7" t="inlineStr"/>
    </row>
    <row r="358">
      <c r="A358" s="33" t="n">
        <v>45635</v>
      </c>
      <c r="B358" s="7" t="inlineStr">
        <is>
          <t>NB Premium</t>
        </is>
      </c>
      <c r="C358" s="7" t="inlineStr">
        <is>
          <t>Nov-24</t>
        </is>
      </c>
      <c r="D358" s="35" t="n">
        <v>32.22</v>
      </c>
      <c r="E358" s="32" t="n">
        <v>1.496</v>
      </c>
      <c r="F358" s="35">
        <f>D358/(1+E358)</f>
        <v/>
      </c>
      <c r="G358" s="7" t="inlineStr">
        <is>
          <t>Nov-23</t>
        </is>
      </c>
      <c r="H358" s="35" t="n">
        <v>12.91</v>
      </c>
      <c r="I358" s="33" t="n">
        <v>45267</v>
      </c>
      <c r="J358" s="36">
        <f>F358-H358</f>
        <v/>
      </c>
      <c r="K358" s="16">
        <f>0.005/(1+E358)+D358*0.0005/(1+E358)^2+0.005</f>
        <v/>
      </c>
      <c r="L358" s="17">
        <f>IF(ABS(J358)&lt;=K358,"OK",IF(M358&lt;&gt;"","EXPLAINED","CHECK"))</f>
        <v/>
      </c>
      <c r="M358" s="7" t="inlineStr"/>
    </row>
    <row r="359">
      <c r="A359" s="33" t="n">
        <v>45635</v>
      </c>
      <c r="B359" s="7" t="inlineStr">
        <is>
          <t>NB Premium</t>
        </is>
      </c>
      <c r="C359" s="7" t="inlineStr">
        <is>
          <t>Oct-24</t>
        </is>
      </c>
      <c r="D359" s="35" t="n">
        <v>16.65</v>
      </c>
      <c r="E359" s="32" t="n">
        <v>0.253</v>
      </c>
      <c r="F359" s="35">
        <f>D359/(1+E359)</f>
        <v/>
      </c>
      <c r="G359" s="7" t="inlineStr">
        <is>
          <t>Oct-23</t>
        </is>
      </c>
      <c r="H359" s="35" t="n">
        <v>13.29</v>
      </c>
      <c r="I359" s="33" t="n">
        <v>45267</v>
      </c>
      <c r="J359" s="36">
        <f>F359-H359</f>
        <v/>
      </c>
      <c r="K359" s="16">
        <f>0.005/(1+E359)+D359*0.0005/(1+E359)^2+0.005</f>
        <v/>
      </c>
      <c r="L359" s="17">
        <f>IF(ABS(J359)&lt;=K359,"OK",IF(M359&lt;&gt;"","EXPLAINED","CHECK"))</f>
        <v/>
      </c>
      <c r="M359" s="7" t="inlineStr"/>
    </row>
    <row r="360">
      <c r="A360" s="33" t="n">
        <v>45635</v>
      </c>
      <c r="B360" s="7" t="inlineStr">
        <is>
          <t>APE</t>
        </is>
      </c>
      <c r="C360" s="7" t="inlineStr">
        <is>
          <t>Q2-FY2025</t>
        </is>
      </c>
      <c r="D360" s="35" t="n">
        <v>25.03</v>
      </c>
      <c r="E360" s="32" t="n">
        <v>0.214</v>
      </c>
      <c r="F360" s="35">
        <f>D360/(1+E360)</f>
        <v/>
      </c>
      <c r="G360" s="7" t="inlineStr">
        <is>
          <t>Q2-FY2024</t>
        </is>
      </c>
      <c r="H360" s="35" t="n">
        <v>20.62</v>
      </c>
      <c r="I360" s="33" t="n">
        <v>45358</v>
      </c>
      <c r="J360" s="36">
        <f>F360-H360</f>
        <v/>
      </c>
      <c r="K360" s="16">
        <f>0.005/(1+E360)+D360*0.0005/(1+E360)^2+0.005</f>
        <v/>
      </c>
      <c r="L360" s="17">
        <f>IF(ABS(J360)&lt;=K360,"OK",IF(M360&lt;&gt;"","EXPLAINED","CHECK"))</f>
        <v/>
      </c>
      <c r="M360" s="7" t="inlineStr"/>
    </row>
    <row r="361">
      <c r="A361" s="33" t="n">
        <v>45635</v>
      </c>
      <c r="B361" s="7" t="inlineStr">
        <is>
          <t>APE</t>
        </is>
      </c>
      <c r="C361" s="7" t="inlineStr">
        <is>
          <t>Q1-FY2025</t>
        </is>
      </c>
      <c r="D361" s="35" t="n">
        <v>19.63</v>
      </c>
      <c r="E361" s="32" t="n">
        <v>0.344</v>
      </c>
      <c r="F361" s="35">
        <f>D361/(1+E361)</f>
        <v/>
      </c>
      <c r="G361" s="7" t="inlineStr">
        <is>
          <t>Q1-FY2024</t>
        </is>
      </c>
      <c r="H361" s="35" t="n">
        <v>14.61</v>
      </c>
      <c r="I361" s="33" t="n">
        <v>45358</v>
      </c>
      <c r="J361" s="36">
        <f>F361-H361</f>
        <v/>
      </c>
      <c r="K361" s="16">
        <f>0.005/(1+E361)+D361*0.0005/(1+E361)^2+0.005</f>
        <v/>
      </c>
      <c r="L361" s="17">
        <f>IF(ABS(J361)&lt;=K361,"OK",IF(M361&lt;&gt;"","EXPLAINED","CHECK"))</f>
        <v/>
      </c>
      <c r="M361" s="7" t="inlineStr"/>
    </row>
    <row r="362">
      <c r="A362" s="33" t="n">
        <v>45635</v>
      </c>
      <c r="B362" s="7" t="inlineStr">
        <is>
          <t>APE</t>
        </is>
      </c>
      <c r="C362" s="7" t="inlineStr">
        <is>
          <t>FY2024</t>
        </is>
      </c>
      <c r="D362" s="35" t="n">
        <v>90.45999999999999</v>
      </c>
      <c r="E362" s="32" t="n">
        <v>0.047</v>
      </c>
      <c r="F362" s="35">
        <f>D362/(1+E362)</f>
        <v/>
      </c>
      <c r="G362" s="7" t="inlineStr">
        <is>
          <t>FY2023</t>
        </is>
      </c>
      <c r="H362" s="35" t="n">
        <v>86.40000000000001</v>
      </c>
      <c r="I362" s="33" t="n">
        <v>45358</v>
      </c>
      <c r="J362" s="36">
        <f>F362-H362</f>
        <v/>
      </c>
      <c r="K362" s="16">
        <f>0.005/(1+E362)+D362*0.0005/(1+E362)^2+0.005</f>
        <v/>
      </c>
      <c r="L362" s="17">
        <f>IF(ABS(J362)&lt;=K362,"OK",IF(M362&lt;&gt;"","EXPLAINED","CHECK"))</f>
        <v/>
      </c>
      <c r="M362" s="7" t="inlineStr"/>
    </row>
    <row r="363">
      <c r="A363" s="33" t="n">
        <v>45635</v>
      </c>
      <c r="B363" s="7" t="inlineStr">
        <is>
          <t>APE</t>
        </is>
      </c>
      <c r="C363" s="7" t="inlineStr">
        <is>
          <t>Nov-24</t>
        </is>
      </c>
      <c r="D363" s="35" t="n">
        <v>8.59</v>
      </c>
      <c r="E363" s="32" t="n">
        <v>0.5479999999999999</v>
      </c>
      <c r="F363" s="35">
        <f>D363/(1+E363)</f>
        <v/>
      </c>
      <c r="G363" s="7" t="inlineStr">
        <is>
          <t>Nov-23</t>
        </is>
      </c>
      <c r="H363" s="35" t="n">
        <v>5.55</v>
      </c>
      <c r="I363" s="33" t="n">
        <v>45267</v>
      </c>
      <c r="J363" s="36">
        <f>F363-H363</f>
        <v/>
      </c>
      <c r="K363" s="16">
        <f>0.005/(1+E363)+D363*0.0005/(1+E363)^2+0.005</f>
        <v/>
      </c>
      <c r="L363" s="17">
        <f>IF(ABS(J363)&lt;=K363,"OK",IF(M363&lt;&gt;"","EXPLAINED","CHECK"))</f>
        <v/>
      </c>
      <c r="M363" s="7" t="inlineStr"/>
    </row>
    <row r="364">
      <c r="A364" s="33" t="n">
        <v>45635</v>
      </c>
      <c r="B364" s="7" t="inlineStr">
        <is>
          <t>APE</t>
        </is>
      </c>
      <c r="C364" s="7" t="inlineStr">
        <is>
          <t>Oct-24</t>
        </is>
      </c>
      <c r="D364" s="35" t="n">
        <v>7.13</v>
      </c>
      <c r="E364" s="32" t="n">
        <v>0.182</v>
      </c>
      <c r="F364" s="35">
        <f>D364/(1+E364)</f>
        <v/>
      </c>
      <c r="G364" s="7" t="inlineStr">
        <is>
          <t>Oct-23</t>
        </is>
      </c>
      <c r="H364" s="35" t="n">
        <v>6.03</v>
      </c>
      <c r="I364" s="33" t="n">
        <v>45267</v>
      </c>
      <c r="J364" s="36">
        <f>F364-H364</f>
        <v/>
      </c>
      <c r="K364" s="16">
        <f>0.005/(1+E364)+D364*0.0005/(1+E364)^2+0.005</f>
        <v/>
      </c>
      <c r="L364" s="17">
        <f>IF(ABS(J364)&lt;=K364,"OK",IF(M364&lt;&gt;"","EXPLAINED","CHECK"))</f>
        <v/>
      </c>
      <c r="M364" s="7" t="inlineStr"/>
    </row>
    <row r="365">
      <c r="A365" s="33" t="n">
        <v>45635</v>
      </c>
      <c r="B365" s="7" t="inlineStr">
        <is>
          <t>RWRP</t>
        </is>
      </c>
      <c r="C365" s="7" t="inlineStr">
        <is>
          <t>Q2-FY2025</t>
        </is>
      </c>
      <c r="D365" s="35" t="n">
        <v>21.08</v>
      </c>
      <c r="E365" s="32" t="n">
        <v>0.339</v>
      </c>
      <c r="F365" s="35">
        <f>D365/(1+E365)</f>
        <v/>
      </c>
      <c r="G365" s="7" t="inlineStr">
        <is>
          <t>Q2-FY2024</t>
        </is>
      </c>
      <c r="H365" s="35" t="n">
        <v>15.74</v>
      </c>
      <c r="I365" s="33" t="n">
        <v>45358</v>
      </c>
      <c r="J365" s="36">
        <f>F365-H365</f>
        <v/>
      </c>
      <c r="K365" s="16">
        <f>0.005/(1+E365)+D365*0.0005/(1+E365)^2+0.005</f>
        <v/>
      </c>
      <c r="L365" s="17">
        <f>IF(ABS(J365)&lt;=K365,"OK",IF(M365&lt;&gt;"","EXPLAINED","CHECK"))</f>
        <v/>
      </c>
      <c r="M365" s="7" t="inlineStr"/>
    </row>
    <row r="366">
      <c r="A366" s="33" t="n">
        <v>45635</v>
      </c>
      <c r="B366" s="7" t="inlineStr">
        <is>
          <t>RWRP</t>
        </is>
      </c>
      <c r="C366" s="7" t="inlineStr">
        <is>
          <t>Q1-FY2025</t>
        </is>
      </c>
      <c r="D366" s="35" t="n">
        <v>15.58</v>
      </c>
      <c r="E366" s="32" t="n">
        <v>0.468</v>
      </c>
      <c r="F366" s="35">
        <f>D366/(1+E366)</f>
        <v/>
      </c>
      <c r="G366" s="7" t="inlineStr">
        <is>
          <t>Q1-FY2024</t>
        </is>
      </c>
      <c r="H366" s="35" t="n">
        <v>10.61</v>
      </c>
      <c r="I366" s="33" t="n">
        <v>45358</v>
      </c>
      <c r="J366" s="36">
        <f>F366-H366</f>
        <v/>
      </c>
      <c r="K366" s="16">
        <f>0.005/(1+E366)+D366*0.0005/(1+E366)^2+0.005</f>
        <v/>
      </c>
      <c r="L366" s="17">
        <f>IF(ABS(J366)&lt;=K366,"OK",IF(M366&lt;&gt;"","EXPLAINED","CHECK"))</f>
        <v/>
      </c>
      <c r="M366" s="7" t="inlineStr"/>
    </row>
    <row r="367">
      <c r="A367" s="33" t="n">
        <v>45635</v>
      </c>
      <c r="B367" s="7" t="inlineStr">
        <is>
          <t>RWRP</t>
        </is>
      </c>
      <c r="C367" s="7" t="inlineStr">
        <is>
          <t>FY2024</t>
        </is>
      </c>
      <c r="D367" s="35" t="n">
        <v>72.13</v>
      </c>
      <c r="E367" s="32" t="n">
        <v>0.07000000000000001</v>
      </c>
      <c r="F367" s="35">
        <f>D367/(1+E367)</f>
        <v/>
      </c>
      <c r="G367" s="7" t="inlineStr">
        <is>
          <t>FY2023</t>
        </is>
      </c>
      <c r="H367" s="35" t="n">
        <v>67.38</v>
      </c>
      <c r="I367" s="33" t="n">
        <v>45358</v>
      </c>
      <c r="J367" s="36">
        <f>F367-H367</f>
        <v/>
      </c>
      <c r="K367" s="16">
        <f>0.005/(1+E367)+D367*0.0005/(1+E367)^2+0.005</f>
        <v/>
      </c>
      <c r="L367" s="17">
        <f>IF(ABS(J367)&lt;=K367,"OK",IF(M367&lt;&gt;"","EXPLAINED","CHECK"))</f>
        <v/>
      </c>
      <c r="M367" s="7" t="inlineStr"/>
    </row>
    <row r="368">
      <c r="A368" s="33" t="n">
        <v>45635</v>
      </c>
      <c r="B368" s="7" t="inlineStr">
        <is>
          <t>RWRP</t>
        </is>
      </c>
      <c r="C368" s="7" t="inlineStr">
        <is>
          <t>Nov-24</t>
        </is>
      </c>
      <c r="D368" s="35" t="n">
        <v>5.74</v>
      </c>
      <c r="E368" s="32" t="n">
        <v>0.281</v>
      </c>
      <c r="F368" s="35">
        <f>D368/(1+E368)</f>
        <v/>
      </c>
      <c r="G368" s="7" t="inlineStr">
        <is>
          <t>Nov-23</t>
        </is>
      </c>
      <c r="H368" s="35" t="n">
        <v>4.48</v>
      </c>
      <c r="I368" s="33" t="n">
        <v>45267</v>
      </c>
      <c r="J368" s="36">
        <f>F368-H368</f>
        <v/>
      </c>
      <c r="K368" s="16">
        <f>0.005/(1+E368)+D368*0.0005/(1+E368)^2+0.005</f>
        <v/>
      </c>
      <c r="L368" s="17">
        <f>IF(ABS(J368)&lt;=K368,"OK",IF(M368&lt;&gt;"","EXPLAINED","CHECK"))</f>
        <v/>
      </c>
      <c r="M368" s="7" t="inlineStr"/>
    </row>
    <row r="369">
      <c r="A369" s="33" t="n">
        <v>45635</v>
      </c>
      <c r="B369" s="7" t="inlineStr">
        <is>
          <t>RWRP</t>
        </is>
      </c>
      <c r="C369" s="7" t="inlineStr">
        <is>
          <t>Oct-24</t>
        </is>
      </c>
      <c r="D369" s="35" t="n">
        <v>5.85</v>
      </c>
      <c r="E369" s="32" t="n">
        <v>0.216</v>
      </c>
      <c r="F369" s="35">
        <f>D369/(1+E369)</f>
        <v/>
      </c>
      <c r="G369" s="7" t="inlineStr">
        <is>
          <t>Oct-23</t>
        </is>
      </c>
      <c r="H369" s="35" t="n">
        <v>4.81</v>
      </c>
      <c r="I369" s="33" t="n">
        <v>45267</v>
      </c>
      <c r="J369" s="36">
        <f>F369-H369</f>
        <v/>
      </c>
      <c r="K369" s="16">
        <f>0.005/(1+E369)+D369*0.0005/(1+E369)^2+0.005</f>
        <v/>
      </c>
      <c r="L369" s="17">
        <f>IF(ABS(J369)&lt;=K369,"OK",IF(M369&lt;&gt;"","EXPLAINED","CHECK"))</f>
        <v/>
      </c>
      <c r="M369" s="7" t="inlineStr"/>
    </row>
    <row r="370">
      <c r="A370" s="33" t="n">
        <v>45604</v>
      </c>
      <c r="B370" s="7" t="inlineStr">
        <is>
          <t>NB Sum Assured</t>
        </is>
      </c>
      <c r="C370" s="7" t="inlineStr">
        <is>
          <t>Q2-FY2025</t>
        </is>
      </c>
      <c r="D370" s="35" t="n">
        <v>2948.34</v>
      </c>
      <c r="E370" s="32" t="n">
        <v>0.174</v>
      </c>
      <c r="F370" s="35">
        <f>D370/(1+E370)</f>
        <v/>
      </c>
      <c r="G370" s="7" t="inlineStr">
        <is>
          <t>Q2-FY2024</t>
        </is>
      </c>
      <c r="H370" s="35" t="n">
        <v>2510.79</v>
      </c>
      <c r="I370" s="33" t="n">
        <v>45358</v>
      </c>
      <c r="J370" s="36">
        <f>F370-H370</f>
        <v/>
      </c>
      <c r="K370" s="16">
        <f>0.005/(1+E370)+D370*0.0005/(1+E370)^2+0.005</f>
        <v/>
      </c>
      <c r="L370" s="17">
        <f>IF(ABS(J370)&lt;=K370,"OK",IF(M370&lt;&gt;"","EXPLAINED","CHECK"))</f>
        <v/>
      </c>
      <c r="M370" s="7" t="inlineStr"/>
    </row>
    <row r="371">
      <c r="A371" s="33" t="n">
        <v>45604</v>
      </c>
      <c r="B371" s="7" t="inlineStr">
        <is>
          <t>NB Sum Assured</t>
        </is>
      </c>
      <c r="C371" s="7" t="inlineStr">
        <is>
          <t>Q1-FY2025</t>
        </is>
      </c>
      <c r="D371" s="35" t="n">
        <v>2724.68</v>
      </c>
      <c r="E371" s="32" t="n">
        <v>0.134</v>
      </c>
      <c r="F371" s="35">
        <f>D371/(1+E371)</f>
        <v/>
      </c>
      <c r="G371" s="7" t="inlineStr">
        <is>
          <t>Q1-FY2024</t>
        </is>
      </c>
      <c r="H371" s="35" t="n">
        <v>2403.04</v>
      </c>
      <c r="I371" s="33" t="n">
        <v>45358</v>
      </c>
      <c r="J371" s="36">
        <f>F371-H371</f>
        <v/>
      </c>
      <c r="K371" s="16">
        <f>0.005/(1+E371)+D371*0.0005/(1+E371)^2+0.005</f>
        <v/>
      </c>
      <c r="L371" s="17">
        <f>IF(ABS(J371)&lt;=K371,"OK",IF(M371&lt;&gt;"","EXPLAINED","CHECK"))</f>
        <v/>
      </c>
      <c r="M371" s="7" t="inlineStr"/>
    </row>
    <row r="372">
      <c r="A372" s="33" t="n">
        <v>45604</v>
      </c>
      <c r="B372" s="7" t="inlineStr">
        <is>
          <t>NB Sum Assured</t>
        </is>
      </c>
      <c r="C372" s="7" t="inlineStr">
        <is>
          <t>FY2024</t>
        </is>
      </c>
      <c r="D372" s="35" t="n">
        <v>10221.11</v>
      </c>
      <c r="E372" s="32" t="n">
        <v>-0.019</v>
      </c>
      <c r="F372" s="35">
        <f>D372/(1+E372)</f>
        <v/>
      </c>
      <c r="G372" s="7" t="inlineStr">
        <is>
          <t>FY2023</t>
        </is>
      </c>
      <c r="H372" s="35" t="n">
        <v>10413.92</v>
      </c>
      <c r="I372" s="33" t="n">
        <v>45358</v>
      </c>
      <c r="J372" s="36">
        <f>F372-H372</f>
        <v/>
      </c>
      <c r="K372" s="16">
        <f>0.005/(1+E372)+D372*0.0005/(1+E372)^2+0.005</f>
        <v/>
      </c>
      <c r="L372" s="17">
        <f>IF(ABS(J372)&lt;=K372,"OK",IF(M372&lt;&gt;"","EXPLAINED","CHECK"))</f>
        <v/>
      </c>
      <c r="M372" s="7" t="inlineStr"/>
    </row>
    <row r="373">
      <c r="A373" s="33" t="n">
        <v>45604</v>
      </c>
      <c r="B373" s="7" t="inlineStr">
        <is>
          <t>NB Sum Assured</t>
        </is>
      </c>
      <c r="C373" s="7" t="inlineStr">
        <is>
          <t>Oct-24</t>
        </is>
      </c>
      <c r="D373" s="35" t="n">
        <v>909.47</v>
      </c>
      <c r="E373" s="32" t="n">
        <v>0.175</v>
      </c>
      <c r="F373" s="35">
        <f>D373/(1+E373)</f>
        <v/>
      </c>
      <c r="G373" s="7" t="inlineStr">
        <is>
          <t>Oct-23</t>
        </is>
      </c>
      <c r="H373" s="35" t="n">
        <v>773.6900000000001</v>
      </c>
      <c r="I373" s="33" t="n">
        <v>45267</v>
      </c>
      <c r="J373" s="36">
        <f>F373-H373</f>
        <v/>
      </c>
      <c r="K373" s="16">
        <f>0.005/(1+E373)+D373*0.0005/(1+E373)^2+0.005</f>
        <v/>
      </c>
      <c r="L373" s="17">
        <f>IF(ABS(J373)&lt;=K373,"OK",IF(M373&lt;&gt;"","EXPLAINED","CHECK"))</f>
        <v/>
      </c>
      <c r="M373" s="7" t="inlineStr"/>
    </row>
    <row r="374">
      <c r="A374" s="33" t="n">
        <v>45604</v>
      </c>
      <c r="B374" s="7" t="inlineStr">
        <is>
          <t>NB Premium</t>
        </is>
      </c>
      <c r="C374" s="7" t="inlineStr">
        <is>
          <t>Q2-FY2025</t>
        </is>
      </c>
      <c r="D374" s="35" t="n">
        <v>49.29</v>
      </c>
      <c r="E374" s="32" t="n">
        <v>0.131</v>
      </c>
      <c r="F374" s="35">
        <f>D374/(1+E374)</f>
        <v/>
      </c>
      <c r="G374" s="7" t="inlineStr">
        <is>
          <t>Q2-FY2024</t>
        </is>
      </c>
      <c r="H374" s="35" t="n">
        <v>43.59</v>
      </c>
      <c r="I374" s="33" t="n">
        <v>45358</v>
      </c>
      <c r="J374" s="36">
        <f>F374-H374</f>
        <v/>
      </c>
      <c r="K374" s="16">
        <f>0.005/(1+E374)+D374*0.0005/(1+E374)^2+0.005</f>
        <v/>
      </c>
      <c r="L374" s="17">
        <f>IF(ABS(J374)&lt;=K374,"OK",IF(M374&lt;&gt;"","EXPLAINED","CHECK"))</f>
        <v/>
      </c>
      <c r="M374" s="7" t="inlineStr"/>
    </row>
    <row r="375">
      <c r="A375" s="33" t="n">
        <v>45604</v>
      </c>
      <c r="B375" s="7" t="inlineStr">
        <is>
          <t>NB Premium</t>
        </is>
      </c>
      <c r="C375" s="7" t="inlineStr">
        <is>
          <t>Q1-FY2025</t>
        </is>
      </c>
      <c r="D375" s="35" t="n">
        <v>37.69</v>
      </c>
      <c r="E375" s="32" t="n">
        <v>0.235</v>
      </c>
      <c r="F375" s="35">
        <f>D375/(1+E375)</f>
        <v/>
      </c>
      <c r="G375" s="7" t="inlineStr">
        <is>
          <t>Q1-FY2024</t>
        </is>
      </c>
      <c r="H375" s="35" t="n">
        <v>30.51</v>
      </c>
      <c r="I375" s="33" t="n">
        <v>45358</v>
      </c>
      <c r="J375" s="36">
        <f>F375-H375</f>
        <v/>
      </c>
      <c r="K375" s="16">
        <f>0.005/(1+E375)+D375*0.0005/(1+E375)^2+0.005</f>
        <v/>
      </c>
      <c r="L375" s="17">
        <f>IF(ABS(J375)&lt;=K375,"OK",IF(M375&lt;&gt;"","EXPLAINED","CHECK"))</f>
        <v/>
      </c>
      <c r="M375" s="7" t="inlineStr"/>
    </row>
    <row r="376">
      <c r="A376" s="33" t="n">
        <v>45604</v>
      </c>
      <c r="B376" s="7" t="inlineStr">
        <is>
          <t>NB Premium</t>
        </is>
      </c>
      <c r="C376" s="7" t="inlineStr">
        <is>
          <t>FY2024</t>
        </is>
      </c>
      <c r="D376" s="35" t="n">
        <v>180.81</v>
      </c>
      <c r="E376" s="32" t="n">
        <v>0.068</v>
      </c>
      <c r="F376" s="35">
        <f>D376/(1+E376)</f>
        <v/>
      </c>
      <c r="G376" s="7" t="inlineStr">
        <is>
          <t>FY2023</t>
        </is>
      </c>
      <c r="H376" s="35" t="n">
        <v>169.22</v>
      </c>
      <c r="I376" s="33" t="n">
        <v>45358</v>
      </c>
      <c r="J376" s="36">
        <f>F376-H376</f>
        <v/>
      </c>
      <c r="K376" s="16">
        <f>0.005/(1+E376)+D376*0.0005/(1+E376)^2+0.005</f>
        <v/>
      </c>
      <c r="L376" s="17">
        <f>IF(ABS(J376)&lt;=K376,"OK",IF(M376&lt;&gt;"","EXPLAINED","CHECK"))</f>
        <v/>
      </c>
      <c r="M376" s="7" t="inlineStr"/>
    </row>
    <row r="377">
      <c r="A377" s="33" t="n">
        <v>45604</v>
      </c>
      <c r="B377" s="7" t="inlineStr">
        <is>
          <t>NB Premium</t>
        </is>
      </c>
      <c r="C377" s="7" t="inlineStr">
        <is>
          <t>Oct-24</t>
        </is>
      </c>
      <c r="D377" s="35" t="n">
        <v>16.65</v>
      </c>
      <c r="E377" s="32" t="n">
        <v>0.253</v>
      </c>
      <c r="F377" s="35">
        <f>D377/(1+E377)</f>
        <v/>
      </c>
      <c r="G377" s="7" t="inlineStr">
        <is>
          <t>Oct-23</t>
        </is>
      </c>
      <c r="H377" s="35" t="n">
        <v>13.29</v>
      </c>
      <c r="I377" s="33" t="n">
        <v>45267</v>
      </c>
      <c r="J377" s="36">
        <f>F377-H377</f>
        <v/>
      </c>
      <c r="K377" s="16">
        <f>0.005/(1+E377)+D377*0.0005/(1+E377)^2+0.005</f>
        <v/>
      </c>
      <c r="L377" s="17">
        <f>IF(ABS(J377)&lt;=K377,"OK",IF(M377&lt;&gt;"","EXPLAINED","CHECK"))</f>
        <v/>
      </c>
      <c r="M377" s="7" t="inlineStr"/>
    </row>
    <row r="378">
      <c r="A378" s="33" t="n">
        <v>45604</v>
      </c>
      <c r="B378" s="7" t="inlineStr">
        <is>
          <t>APE</t>
        </is>
      </c>
      <c r="C378" s="7" t="inlineStr">
        <is>
          <t>Q2-FY2025</t>
        </is>
      </c>
      <c r="D378" s="35" t="n">
        <v>25.03</v>
      </c>
      <c r="E378" s="32" t="n">
        <v>0.214</v>
      </c>
      <c r="F378" s="35">
        <f>D378/(1+E378)</f>
        <v/>
      </c>
      <c r="G378" s="7" t="inlineStr">
        <is>
          <t>Q2-FY2024</t>
        </is>
      </c>
      <c r="H378" s="35" t="n">
        <v>20.62</v>
      </c>
      <c r="I378" s="33" t="n">
        <v>45358</v>
      </c>
      <c r="J378" s="36">
        <f>F378-H378</f>
        <v/>
      </c>
      <c r="K378" s="16">
        <f>0.005/(1+E378)+D378*0.0005/(1+E378)^2+0.005</f>
        <v/>
      </c>
      <c r="L378" s="17">
        <f>IF(ABS(J378)&lt;=K378,"OK",IF(M378&lt;&gt;"","EXPLAINED","CHECK"))</f>
        <v/>
      </c>
      <c r="M378" s="7" t="inlineStr"/>
    </row>
    <row r="379">
      <c r="A379" s="33" t="n">
        <v>45604</v>
      </c>
      <c r="B379" s="7" t="inlineStr">
        <is>
          <t>APE</t>
        </is>
      </c>
      <c r="C379" s="7" t="inlineStr">
        <is>
          <t>Q1-FY2025</t>
        </is>
      </c>
      <c r="D379" s="35" t="n">
        <v>19.63</v>
      </c>
      <c r="E379" s="32" t="n">
        <v>0.344</v>
      </c>
      <c r="F379" s="35">
        <f>D379/(1+E379)</f>
        <v/>
      </c>
      <c r="G379" s="7" t="inlineStr">
        <is>
          <t>Q1-FY2024</t>
        </is>
      </c>
      <c r="H379" s="35" t="n">
        <v>14.61</v>
      </c>
      <c r="I379" s="33" t="n">
        <v>45358</v>
      </c>
      <c r="J379" s="36">
        <f>F379-H379</f>
        <v/>
      </c>
      <c r="K379" s="16">
        <f>0.005/(1+E379)+D379*0.0005/(1+E379)^2+0.005</f>
        <v/>
      </c>
      <c r="L379" s="17">
        <f>IF(ABS(J379)&lt;=K379,"OK",IF(M379&lt;&gt;"","EXPLAINED","CHECK"))</f>
        <v/>
      </c>
      <c r="M379" s="7" t="inlineStr"/>
    </row>
    <row r="380">
      <c r="A380" s="33" t="n">
        <v>45604</v>
      </c>
      <c r="B380" s="7" t="inlineStr">
        <is>
          <t>APE</t>
        </is>
      </c>
      <c r="C380" s="7" t="inlineStr">
        <is>
          <t>FY2024</t>
        </is>
      </c>
      <c r="D380" s="35" t="n">
        <v>90.45999999999999</v>
      </c>
      <c r="E380" s="32" t="n">
        <v>0.047</v>
      </c>
      <c r="F380" s="35">
        <f>D380/(1+E380)</f>
        <v/>
      </c>
      <c r="G380" s="7" t="inlineStr">
        <is>
          <t>FY2023</t>
        </is>
      </c>
      <c r="H380" s="35" t="n">
        <v>86.40000000000001</v>
      </c>
      <c r="I380" s="33" t="n">
        <v>45358</v>
      </c>
      <c r="J380" s="36">
        <f>F380-H380</f>
        <v/>
      </c>
      <c r="K380" s="16">
        <f>0.005/(1+E380)+D380*0.0005/(1+E380)^2+0.005</f>
        <v/>
      </c>
      <c r="L380" s="17">
        <f>IF(ABS(J380)&lt;=K380,"OK",IF(M380&lt;&gt;"","EXPLAINED","CHECK"))</f>
        <v/>
      </c>
      <c r="M380" s="7" t="inlineStr"/>
    </row>
    <row r="381">
      <c r="A381" s="33" t="n">
        <v>45604</v>
      </c>
      <c r="B381" s="7" t="inlineStr">
        <is>
          <t>APE</t>
        </is>
      </c>
      <c r="C381" s="7" t="inlineStr">
        <is>
          <t>Oct-24</t>
        </is>
      </c>
      <c r="D381" s="35" t="n">
        <v>7.13</v>
      </c>
      <c r="E381" s="32" t="n">
        <v>0.182</v>
      </c>
      <c r="F381" s="35">
        <f>D381/(1+E381)</f>
        <v/>
      </c>
      <c r="G381" s="7" t="inlineStr">
        <is>
          <t>Oct-23</t>
        </is>
      </c>
      <c r="H381" s="35" t="n">
        <v>6.03</v>
      </c>
      <c r="I381" s="33" t="n">
        <v>45267</v>
      </c>
      <c r="J381" s="36">
        <f>F381-H381</f>
        <v/>
      </c>
      <c r="K381" s="16">
        <f>0.005/(1+E381)+D381*0.0005/(1+E381)^2+0.005</f>
        <v/>
      </c>
      <c r="L381" s="17">
        <f>IF(ABS(J381)&lt;=K381,"OK",IF(M381&lt;&gt;"","EXPLAINED","CHECK"))</f>
        <v/>
      </c>
      <c r="M381" s="7" t="inlineStr"/>
    </row>
    <row r="382">
      <c r="A382" s="33" t="n">
        <v>45604</v>
      </c>
      <c r="B382" s="7" t="inlineStr">
        <is>
          <t>RWRP</t>
        </is>
      </c>
      <c r="C382" s="7" t="inlineStr">
        <is>
          <t>Q2-FY2025</t>
        </is>
      </c>
      <c r="D382" s="35" t="n">
        <v>21.08</v>
      </c>
      <c r="E382" s="32" t="n">
        <v>0.339</v>
      </c>
      <c r="F382" s="35">
        <f>D382/(1+E382)</f>
        <v/>
      </c>
      <c r="G382" s="7" t="inlineStr">
        <is>
          <t>Q2-FY2024</t>
        </is>
      </c>
      <c r="H382" s="35" t="n">
        <v>15.74</v>
      </c>
      <c r="I382" s="33" t="n">
        <v>45358</v>
      </c>
      <c r="J382" s="36">
        <f>F382-H382</f>
        <v/>
      </c>
      <c r="K382" s="16">
        <f>0.005/(1+E382)+D382*0.0005/(1+E382)^2+0.005</f>
        <v/>
      </c>
      <c r="L382" s="17">
        <f>IF(ABS(J382)&lt;=K382,"OK",IF(M382&lt;&gt;"","EXPLAINED","CHECK"))</f>
        <v/>
      </c>
      <c r="M382" s="7" t="inlineStr"/>
    </row>
    <row r="383">
      <c r="A383" s="33" t="n">
        <v>45604</v>
      </c>
      <c r="B383" s="7" t="inlineStr">
        <is>
          <t>RWRP</t>
        </is>
      </c>
      <c r="C383" s="7" t="inlineStr">
        <is>
          <t>Q1-FY2025</t>
        </is>
      </c>
      <c r="D383" s="35" t="n">
        <v>15.58</v>
      </c>
      <c r="E383" s="32" t="n">
        <v>0.468</v>
      </c>
      <c r="F383" s="35">
        <f>D383/(1+E383)</f>
        <v/>
      </c>
      <c r="G383" s="7" t="inlineStr">
        <is>
          <t>Q1-FY2024</t>
        </is>
      </c>
      <c r="H383" s="35" t="n">
        <v>10.61</v>
      </c>
      <c r="I383" s="33" t="n">
        <v>45358</v>
      </c>
      <c r="J383" s="36">
        <f>F383-H383</f>
        <v/>
      </c>
      <c r="K383" s="16">
        <f>0.005/(1+E383)+D383*0.0005/(1+E383)^2+0.005</f>
        <v/>
      </c>
      <c r="L383" s="17">
        <f>IF(ABS(J383)&lt;=K383,"OK",IF(M383&lt;&gt;"","EXPLAINED","CHECK"))</f>
        <v/>
      </c>
      <c r="M383" s="7" t="inlineStr"/>
    </row>
    <row r="384">
      <c r="A384" s="33" t="n">
        <v>45604</v>
      </c>
      <c r="B384" s="7" t="inlineStr">
        <is>
          <t>RWRP</t>
        </is>
      </c>
      <c r="C384" s="7" t="inlineStr">
        <is>
          <t>FY2024</t>
        </is>
      </c>
      <c r="D384" s="35" t="n">
        <v>72.13</v>
      </c>
      <c r="E384" s="32" t="n">
        <v>0.07000000000000001</v>
      </c>
      <c r="F384" s="35">
        <f>D384/(1+E384)</f>
        <v/>
      </c>
      <c r="G384" s="7" t="inlineStr">
        <is>
          <t>FY2023</t>
        </is>
      </c>
      <c r="H384" s="35" t="n">
        <v>67.38</v>
      </c>
      <c r="I384" s="33" t="n">
        <v>45358</v>
      </c>
      <c r="J384" s="36">
        <f>F384-H384</f>
        <v/>
      </c>
      <c r="K384" s="16">
        <f>0.005/(1+E384)+D384*0.0005/(1+E384)^2+0.005</f>
        <v/>
      </c>
      <c r="L384" s="17">
        <f>IF(ABS(J384)&lt;=K384,"OK",IF(M384&lt;&gt;"","EXPLAINED","CHECK"))</f>
        <v/>
      </c>
      <c r="M384" s="7" t="inlineStr"/>
    </row>
    <row r="385">
      <c r="A385" s="33" t="n">
        <v>45604</v>
      </c>
      <c r="B385" s="7" t="inlineStr">
        <is>
          <t>RWRP</t>
        </is>
      </c>
      <c r="C385" s="7" t="inlineStr">
        <is>
          <t>Oct-24</t>
        </is>
      </c>
      <c r="D385" s="35" t="n">
        <v>5.85</v>
      </c>
      <c r="E385" s="32" t="n">
        <v>0.216</v>
      </c>
      <c r="F385" s="35">
        <f>D385/(1+E385)</f>
        <v/>
      </c>
      <c r="G385" s="7" t="inlineStr">
        <is>
          <t>Oct-23</t>
        </is>
      </c>
      <c r="H385" s="35" t="n">
        <v>4.81</v>
      </c>
      <c r="I385" s="33" t="n">
        <v>45267</v>
      </c>
      <c r="J385" s="36">
        <f>F385-H385</f>
        <v/>
      </c>
      <c r="K385" s="16">
        <f>0.005/(1+E385)+D385*0.0005/(1+E385)^2+0.005</f>
        <v/>
      </c>
      <c r="L385" s="17">
        <f>IF(ABS(J385)&lt;=K385,"OK",IF(M385&lt;&gt;"","EXPLAINED","CHECK"))</f>
        <v/>
      </c>
      <c r="M385" s="7" t="inlineStr"/>
    </row>
    <row r="386">
      <c r="A386" s="33" t="n">
        <v>45576</v>
      </c>
      <c r="B386" s="7" t="inlineStr">
        <is>
          <t>NB Sum Assured</t>
        </is>
      </c>
      <c r="C386" s="7" t="inlineStr">
        <is>
          <t>Q1-FY2025</t>
        </is>
      </c>
      <c r="D386" s="35" t="n">
        <v>2724.68</v>
      </c>
      <c r="E386" s="32" t="n">
        <v>0.134</v>
      </c>
      <c r="F386" s="35">
        <f>D386/(1+E386)</f>
        <v/>
      </c>
      <c r="G386" s="7" t="inlineStr">
        <is>
          <t>Q1-FY2024</t>
        </is>
      </c>
      <c r="H386" s="35" t="n">
        <v>2403.04</v>
      </c>
      <c r="I386" s="33" t="n">
        <v>45358</v>
      </c>
      <c r="J386" s="36">
        <f>F386-H386</f>
        <v/>
      </c>
      <c r="K386" s="16">
        <f>0.005/(1+E386)+D386*0.0005/(1+E386)^2+0.005</f>
        <v/>
      </c>
      <c r="L386" s="17">
        <f>IF(ABS(J386)&lt;=K386,"OK",IF(M386&lt;&gt;"","EXPLAINED","CHECK"))</f>
        <v/>
      </c>
      <c r="M386" s="7" t="inlineStr"/>
    </row>
    <row r="387">
      <c r="A387" s="33" t="n">
        <v>45576</v>
      </c>
      <c r="B387" s="7" t="inlineStr">
        <is>
          <t>NB Sum Assured</t>
        </is>
      </c>
      <c r="C387" s="7" t="inlineStr">
        <is>
          <t>FY2024</t>
        </is>
      </c>
      <c r="D387" s="35" t="n">
        <v>10221.11</v>
      </c>
      <c r="E387" s="32" t="n">
        <v>-0.019</v>
      </c>
      <c r="F387" s="35">
        <f>D387/(1+E387)</f>
        <v/>
      </c>
      <c r="G387" s="7" t="inlineStr">
        <is>
          <t>FY2023</t>
        </is>
      </c>
      <c r="H387" s="35" t="n">
        <v>10413.92</v>
      </c>
      <c r="I387" s="33" t="n">
        <v>45358</v>
      </c>
      <c r="J387" s="36">
        <f>F387-H387</f>
        <v/>
      </c>
      <c r="K387" s="16">
        <f>0.005/(1+E387)+D387*0.0005/(1+E387)^2+0.005</f>
        <v/>
      </c>
      <c r="L387" s="17">
        <f>IF(ABS(J387)&lt;=K387,"OK",IF(M387&lt;&gt;"","EXPLAINED","CHECK"))</f>
        <v/>
      </c>
      <c r="M387" s="7" t="inlineStr"/>
    </row>
    <row r="388">
      <c r="A388" s="33" t="n">
        <v>45576</v>
      </c>
      <c r="B388" s="7" t="inlineStr">
        <is>
          <t>NB Sum Assured</t>
        </is>
      </c>
      <c r="C388" s="7" t="inlineStr">
        <is>
          <t>Sep-24</t>
        </is>
      </c>
      <c r="D388" s="35" t="n">
        <v>976.23</v>
      </c>
      <c r="E388" s="32" t="n">
        <v>0.188</v>
      </c>
      <c r="F388" s="35">
        <f>D388/(1+E388)</f>
        <v/>
      </c>
      <c r="G388" s="7" t="inlineStr">
        <is>
          <t>Sep-23</t>
        </is>
      </c>
      <c r="H388" s="35" t="n">
        <v>821.41</v>
      </c>
      <c r="I388" s="33" t="n">
        <v>45208</v>
      </c>
      <c r="J388" s="36">
        <f>F388-H388</f>
        <v/>
      </c>
      <c r="K388" s="16">
        <f>0.005/(1+E388)+D388*0.0005/(1+E388)^2+0.005</f>
        <v/>
      </c>
      <c r="L388" s="17">
        <f>IF(ABS(J388)&lt;=K388,"OK",IF(M388&lt;&gt;"","EXPLAINED","CHECK"))</f>
        <v/>
      </c>
      <c r="M388" s="7" t="inlineStr"/>
    </row>
    <row r="389">
      <c r="A389" s="33" t="n">
        <v>45576</v>
      </c>
      <c r="B389" s="7" t="inlineStr">
        <is>
          <t>NB Sum Assured</t>
        </is>
      </c>
      <c r="C389" s="7" t="inlineStr">
        <is>
          <t>Aug-24</t>
        </is>
      </c>
      <c r="D389" s="35" t="n">
        <v>973.76</v>
      </c>
      <c r="E389" s="32" t="n">
        <v>0.139</v>
      </c>
      <c r="F389" s="35">
        <f>D389/(1+E389)</f>
        <v/>
      </c>
      <c r="G389" s="7" t="inlineStr">
        <is>
          <t>Aug-23</t>
        </is>
      </c>
      <c r="H389" s="35" t="n">
        <v>854.97</v>
      </c>
      <c r="I389" s="33" t="n">
        <v>45208</v>
      </c>
      <c r="J389" s="36">
        <f>F389-H389</f>
        <v/>
      </c>
      <c r="K389" s="16">
        <f>0.005/(1+E389)+D389*0.0005/(1+E389)^2+0.005</f>
        <v/>
      </c>
      <c r="L389" s="17">
        <f>IF(ABS(J389)&lt;=K389,"OK",IF(M389&lt;&gt;"","EXPLAINED","CHECK"))</f>
        <v/>
      </c>
      <c r="M389" s="7" t="inlineStr"/>
    </row>
    <row r="390">
      <c r="A390" s="33" t="n">
        <v>45576</v>
      </c>
      <c r="B390" s="7" t="inlineStr">
        <is>
          <t>NB Sum Assured</t>
        </is>
      </c>
      <c r="C390" s="7" t="inlineStr">
        <is>
          <t>Jul-24</t>
        </is>
      </c>
      <c r="D390" s="35" t="n">
        <v>998.35</v>
      </c>
      <c r="E390" s="32" t="n">
        <v>0.196</v>
      </c>
      <c r="F390" s="35">
        <f>D390/(1+E390)</f>
        <v/>
      </c>
      <c r="G390" s="7" t="inlineStr">
        <is>
          <t>Jul-23</t>
        </is>
      </c>
      <c r="H390" s="35" t="n">
        <v>834.41</v>
      </c>
      <c r="I390" s="33" t="n">
        <v>45208</v>
      </c>
      <c r="J390" s="36">
        <f>F390-H390</f>
        <v/>
      </c>
      <c r="K390" s="16">
        <f>0.005/(1+E390)+D390*0.0005/(1+E390)^2+0.005</f>
        <v/>
      </c>
      <c r="L390" s="17">
        <f>IF(ABS(J390)&lt;=K390,"OK",IF(M390&lt;&gt;"","EXPLAINED","CHECK"))</f>
        <v/>
      </c>
      <c r="M390" s="7" t="inlineStr"/>
    </row>
    <row r="391">
      <c r="A391" s="33" t="n">
        <v>45576</v>
      </c>
      <c r="B391" s="7" t="inlineStr">
        <is>
          <t>NB Premium</t>
        </is>
      </c>
      <c r="C391" s="7" t="inlineStr">
        <is>
          <t>Q1-FY2025</t>
        </is>
      </c>
      <c r="D391" s="35" t="n">
        <v>37.69</v>
      </c>
      <c r="E391" s="32" t="n">
        <v>0.235</v>
      </c>
      <c r="F391" s="35">
        <f>D391/(1+E391)</f>
        <v/>
      </c>
      <c r="G391" s="7" t="inlineStr">
        <is>
          <t>Q1-FY2024</t>
        </is>
      </c>
      <c r="H391" s="35" t="n">
        <v>30.51</v>
      </c>
      <c r="I391" s="33" t="n">
        <v>45358</v>
      </c>
      <c r="J391" s="36">
        <f>F391-H391</f>
        <v/>
      </c>
      <c r="K391" s="16">
        <f>0.005/(1+E391)+D391*0.0005/(1+E391)^2+0.005</f>
        <v/>
      </c>
      <c r="L391" s="17">
        <f>IF(ABS(J391)&lt;=K391,"OK",IF(M391&lt;&gt;"","EXPLAINED","CHECK"))</f>
        <v/>
      </c>
      <c r="M391" s="7" t="inlineStr"/>
    </row>
    <row r="392">
      <c r="A392" s="33" t="n">
        <v>45576</v>
      </c>
      <c r="B392" s="7" t="inlineStr">
        <is>
          <t>NB Premium</t>
        </is>
      </c>
      <c r="C392" s="7" t="inlineStr">
        <is>
          <t>FY2024</t>
        </is>
      </c>
      <c r="D392" s="35" t="n">
        <v>180.81</v>
      </c>
      <c r="E392" s="32" t="n">
        <v>0.068</v>
      </c>
      <c r="F392" s="35">
        <f>D392/(1+E392)</f>
        <v/>
      </c>
      <c r="G392" s="7" t="inlineStr">
        <is>
          <t>FY2023</t>
        </is>
      </c>
      <c r="H392" s="35" t="n">
        <v>169.22</v>
      </c>
      <c r="I392" s="33" t="n">
        <v>45358</v>
      </c>
      <c r="J392" s="36">
        <f>F392-H392</f>
        <v/>
      </c>
      <c r="K392" s="16">
        <f>0.005/(1+E392)+D392*0.0005/(1+E392)^2+0.005</f>
        <v/>
      </c>
      <c r="L392" s="17">
        <f>IF(ABS(J392)&lt;=K392,"OK",IF(M392&lt;&gt;"","EXPLAINED","CHECK"))</f>
        <v/>
      </c>
      <c r="M392" s="7" t="inlineStr"/>
    </row>
    <row r="393">
      <c r="A393" s="33" t="n">
        <v>45576</v>
      </c>
      <c r="B393" s="7" t="inlineStr">
        <is>
          <t>NB Premium</t>
        </is>
      </c>
      <c r="C393" s="7" t="inlineStr">
        <is>
          <t>Sep-24</t>
        </is>
      </c>
      <c r="D393" s="35" t="n">
        <v>16.6</v>
      </c>
      <c r="E393" s="32" t="n">
        <v>0.206</v>
      </c>
      <c r="F393" s="35">
        <f>D393/(1+E393)</f>
        <v/>
      </c>
      <c r="G393" s="7" t="inlineStr">
        <is>
          <t>Sep-23</t>
        </is>
      </c>
      <c r="H393" s="35" t="n">
        <v>13.76</v>
      </c>
      <c r="I393" s="33" t="n">
        <v>45208</v>
      </c>
      <c r="J393" s="36">
        <f>F393-H393</f>
        <v/>
      </c>
      <c r="K393" s="16">
        <f>0.005/(1+E393)+D393*0.0005/(1+E393)^2+0.005</f>
        <v/>
      </c>
      <c r="L393" s="17">
        <f>IF(ABS(J393)&lt;=K393,"OK",IF(M393&lt;&gt;"","EXPLAINED","CHECK"))</f>
        <v/>
      </c>
      <c r="M393" s="7" t="inlineStr"/>
    </row>
    <row r="394">
      <c r="A394" s="33" t="n">
        <v>45576</v>
      </c>
      <c r="B394" s="7" t="inlineStr">
        <is>
          <t>NB Premium</t>
        </is>
      </c>
      <c r="C394" s="7" t="inlineStr">
        <is>
          <t>Aug-24</t>
        </is>
      </c>
      <c r="D394" s="35" t="n">
        <v>15.09</v>
      </c>
      <c r="E394" s="32" t="n">
        <v>0.123</v>
      </c>
      <c r="F394" s="35">
        <f>D394/(1+E394)</f>
        <v/>
      </c>
      <c r="G394" s="7" t="inlineStr">
        <is>
          <t>Aug-23</t>
        </is>
      </c>
      <c r="H394" s="35" t="n">
        <v>13.44</v>
      </c>
      <c r="I394" s="33" t="n">
        <v>45208</v>
      </c>
      <c r="J394" s="36">
        <f>F394-H394</f>
        <v/>
      </c>
      <c r="K394" s="16">
        <f>0.005/(1+E394)+D394*0.0005/(1+E394)^2+0.005</f>
        <v/>
      </c>
      <c r="L394" s="17">
        <f>IF(ABS(J394)&lt;=K394,"OK",IF(M394&lt;&gt;"","EXPLAINED","CHECK"))</f>
        <v/>
      </c>
      <c r="M394" s="7" t="inlineStr"/>
    </row>
    <row r="395">
      <c r="A395" s="33" t="n">
        <v>45576</v>
      </c>
      <c r="B395" s="7" t="inlineStr">
        <is>
          <t>NB Premium</t>
        </is>
      </c>
      <c r="C395" s="7" t="inlineStr">
        <is>
          <t>Jul-24</t>
        </is>
      </c>
      <c r="D395" s="35" t="n">
        <v>17.6</v>
      </c>
      <c r="E395" s="32" t="n">
        <v>0.07400000000000001</v>
      </c>
      <c r="F395" s="35">
        <f>D395/(1+E395)</f>
        <v/>
      </c>
      <c r="G395" s="7" t="inlineStr">
        <is>
          <t>Jul-23</t>
        </is>
      </c>
      <c r="H395" s="35" t="n">
        <v>16.39</v>
      </c>
      <c r="I395" s="33" t="n">
        <v>45208</v>
      </c>
      <c r="J395" s="36">
        <f>F395-H395</f>
        <v/>
      </c>
      <c r="K395" s="16">
        <f>0.005/(1+E395)+D395*0.0005/(1+E395)^2+0.005</f>
        <v/>
      </c>
      <c r="L395" s="17">
        <f>IF(ABS(J395)&lt;=K395,"OK",IF(M395&lt;&gt;"","EXPLAINED","CHECK"))</f>
        <v/>
      </c>
      <c r="M395" s="7" t="inlineStr"/>
    </row>
    <row r="396">
      <c r="A396" s="33" t="n">
        <v>45576</v>
      </c>
      <c r="B396" s="7" t="inlineStr">
        <is>
          <t>APE</t>
        </is>
      </c>
      <c r="C396" s="7" t="inlineStr">
        <is>
          <t>Q1-FY2025</t>
        </is>
      </c>
      <c r="D396" s="35" t="n">
        <v>19.63</v>
      </c>
      <c r="E396" s="32" t="n">
        <v>0.344</v>
      </c>
      <c r="F396" s="35">
        <f>D396/(1+E396)</f>
        <v/>
      </c>
      <c r="G396" s="7" t="inlineStr">
        <is>
          <t>Q1-FY2024</t>
        </is>
      </c>
      <c r="H396" s="35" t="n">
        <v>14.61</v>
      </c>
      <c r="I396" s="33" t="n">
        <v>45358</v>
      </c>
      <c r="J396" s="36">
        <f>F396-H396</f>
        <v/>
      </c>
      <c r="K396" s="16">
        <f>0.005/(1+E396)+D396*0.0005/(1+E396)^2+0.005</f>
        <v/>
      </c>
      <c r="L396" s="17">
        <f>IF(ABS(J396)&lt;=K396,"OK",IF(M396&lt;&gt;"","EXPLAINED","CHECK"))</f>
        <v/>
      </c>
      <c r="M396" s="7" t="inlineStr"/>
    </row>
    <row r="397">
      <c r="A397" s="33" t="n">
        <v>45576</v>
      </c>
      <c r="B397" s="7" t="inlineStr">
        <is>
          <t>APE</t>
        </is>
      </c>
      <c r="C397" s="7" t="inlineStr">
        <is>
          <t>FY2024</t>
        </is>
      </c>
      <c r="D397" s="35" t="n">
        <v>90.45999999999999</v>
      </c>
      <c r="E397" s="32" t="n">
        <v>0.047</v>
      </c>
      <c r="F397" s="35">
        <f>D397/(1+E397)</f>
        <v/>
      </c>
      <c r="G397" s="7" t="inlineStr">
        <is>
          <t>FY2023</t>
        </is>
      </c>
      <c r="H397" s="35" t="n">
        <v>86.40000000000001</v>
      </c>
      <c r="I397" s="33" t="n">
        <v>45358</v>
      </c>
      <c r="J397" s="36">
        <f>F397-H397</f>
        <v/>
      </c>
      <c r="K397" s="16">
        <f>0.005/(1+E397)+D397*0.0005/(1+E397)^2+0.005</f>
        <v/>
      </c>
      <c r="L397" s="17">
        <f>IF(ABS(J397)&lt;=K397,"OK",IF(M397&lt;&gt;"","EXPLAINED","CHECK"))</f>
        <v/>
      </c>
      <c r="M397" s="7" t="inlineStr"/>
    </row>
    <row r="398">
      <c r="A398" s="33" t="n">
        <v>45576</v>
      </c>
      <c r="B398" s="7" t="inlineStr">
        <is>
          <t>APE</t>
        </is>
      </c>
      <c r="C398" s="7" t="inlineStr">
        <is>
          <t>Sep-24</t>
        </is>
      </c>
      <c r="D398" s="35" t="n">
        <v>8.81</v>
      </c>
      <c r="E398" s="32" t="n">
        <v>0.202</v>
      </c>
      <c r="F398" s="35">
        <f>D398/(1+E398)</f>
        <v/>
      </c>
      <c r="G398" s="7" t="inlineStr">
        <is>
          <t>Sep-23</t>
        </is>
      </c>
      <c r="H398" s="35" t="n">
        <v>7.33</v>
      </c>
      <c r="I398" s="33" t="n">
        <v>45208</v>
      </c>
      <c r="J398" s="36">
        <f>F398-H398</f>
        <v/>
      </c>
      <c r="K398" s="16">
        <f>0.005/(1+E398)+D398*0.0005/(1+E398)^2+0.005</f>
        <v/>
      </c>
      <c r="L398" s="17">
        <f>IF(ABS(J398)&lt;=K398,"OK",IF(M398&lt;&gt;"","EXPLAINED","CHECK"))</f>
        <v/>
      </c>
      <c r="M398" s="7" t="inlineStr"/>
    </row>
    <row r="399">
      <c r="A399" s="33" t="n">
        <v>45576</v>
      </c>
      <c r="B399" s="7" t="inlineStr">
        <is>
          <t>APE</t>
        </is>
      </c>
      <c r="C399" s="7" t="inlineStr">
        <is>
          <t>Aug-24</t>
        </is>
      </c>
      <c r="D399" s="35" t="n">
        <v>7.97</v>
      </c>
      <c r="E399" s="32" t="n">
        <v>0.2</v>
      </c>
      <c r="F399" s="35">
        <f>D399/(1+E399)</f>
        <v/>
      </c>
      <c r="G399" s="7" t="inlineStr">
        <is>
          <t>Aug-23</t>
        </is>
      </c>
      <c r="H399" s="35" t="n">
        <v>6.64</v>
      </c>
      <c r="I399" s="33" t="n">
        <v>45208</v>
      </c>
      <c r="J399" s="36">
        <f>F399-H399</f>
        <v/>
      </c>
      <c r="K399" s="16">
        <f>0.005/(1+E399)+D399*0.0005/(1+E399)^2+0.005</f>
        <v/>
      </c>
      <c r="L399" s="17">
        <f>IF(ABS(J399)&lt;=K399,"OK",IF(M399&lt;&gt;"","EXPLAINED","CHECK"))</f>
        <v/>
      </c>
      <c r="M399" s="7" t="inlineStr"/>
    </row>
    <row r="400">
      <c r="A400" s="33" t="n">
        <v>45576</v>
      </c>
      <c r="B400" s="7" t="inlineStr">
        <is>
          <t>APE</t>
        </is>
      </c>
      <c r="C400" s="7" t="inlineStr">
        <is>
          <t>Jul-24</t>
        </is>
      </c>
      <c r="D400" s="35" t="n">
        <v>8.25</v>
      </c>
      <c r="E400" s="32" t="n">
        <v>0.241</v>
      </c>
      <c r="F400" s="35">
        <f>D400/(1+E400)</f>
        <v/>
      </c>
      <c r="G400" s="7" t="inlineStr">
        <is>
          <t>Jul-23</t>
        </is>
      </c>
      <c r="H400" s="35" t="n">
        <v>6.65</v>
      </c>
      <c r="I400" s="33" t="n">
        <v>45208</v>
      </c>
      <c r="J400" s="36">
        <f>F400-H400</f>
        <v/>
      </c>
      <c r="K400" s="16">
        <f>0.005/(1+E400)+D400*0.0005/(1+E400)^2+0.005</f>
        <v/>
      </c>
      <c r="L400" s="17">
        <f>IF(ABS(J400)&lt;=K400,"OK",IF(M400&lt;&gt;"","EXPLAINED","CHECK"))</f>
        <v/>
      </c>
      <c r="M400" s="7" t="inlineStr"/>
    </row>
    <row r="401">
      <c r="A401" s="33" t="n">
        <v>45576</v>
      </c>
      <c r="B401" s="7" t="inlineStr">
        <is>
          <t>RWRP</t>
        </is>
      </c>
      <c r="C401" s="7" t="inlineStr">
        <is>
          <t>Q1-FY2025</t>
        </is>
      </c>
      <c r="D401" s="35" t="n">
        <v>15.58</v>
      </c>
      <c r="E401" s="32" t="n">
        <v>0.468</v>
      </c>
      <c r="F401" s="35">
        <f>D401/(1+E401)</f>
        <v/>
      </c>
      <c r="G401" s="7" t="inlineStr">
        <is>
          <t>Q1-FY2024</t>
        </is>
      </c>
      <c r="H401" s="35" t="n">
        <v>10.61</v>
      </c>
      <c r="I401" s="33" t="n">
        <v>45358</v>
      </c>
      <c r="J401" s="36">
        <f>F401-H401</f>
        <v/>
      </c>
      <c r="K401" s="16">
        <f>0.005/(1+E401)+D401*0.0005/(1+E401)^2+0.005</f>
        <v/>
      </c>
      <c r="L401" s="17">
        <f>IF(ABS(J401)&lt;=K401,"OK",IF(M401&lt;&gt;"","EXPLAINED","CHECK"))</f>
        <v/>
      </c>
      <c r="M401" s="7" t="inlineStr"/>
    </row>
    <row r="402">
      <c r="A402" s="33" t="n">
        <v>45576</v>
      </c>
      <c r="B402" s="7" t="inlineStr">
        <is>
          <t>RWRP</t>
        </is>
      </c>
      <c r="C402" s="7" t="inlineStr">
        <is>
          <t>FY2024</t>
        </is>
      </c>
      <c r="D402" s="35" t="n">
        <v>72.13</v>
      </c>
      <c r="E402" s="32" t="n">
        <v>0.07000000000000001</v>
      </c>
      <c r="F402" s="35">
        <f>D402/(1+E402)</f>
        <v/>
      </c>
      <c r="G402" s="7" t="inlineStr">
        <is>
          <t>FY2023</t>
        </is>
      </c>
      <c r="H402" s="35" t="n">
        <v>67.38</v>
      </c>
      <c r="I402" s="33" t="n">
        <v>45358</v>
      </c>
      <c r="J402" s="36">
        <f>F402-H402</f>
        <v/>
      </c>
      <c r="K402" s="16">
        <f>0.005/(1+E402)+D402*0.0005/(1+E402)^2+0.005</f>
        <v/>
      </c>
      <c r="L402" s="17">
        <f>IF(ABS(J402)&lt;=K402,"OK",IF(M402&lt;&gt;"","EXPLAINED","CHECK"))</f>
        <v/>
      </c>
      <c r="M402" s="7" t="inlineStr"/>
    </row>
    <row r="403">
      <c r="A403" s="33" t="n">
        <v>45576</v>
      </c>
      <c r="B403" s="7" t="inlineStr">
        <is>
          <t>RWRP</t>
        </is>
      </c>
      <c r="C403" s="7" t="inlineStr">
        <is>
          <t>Sep-24</t>
        </is>
      </c>
      <c r="D403" s="35" t="n">
        <v>7.45</v>
      </c>
      <c r="E403" s="32" t="n">
        <v>0.326</v>
      </c>
      <c r="F403" s="35">
        <f>D403/(1+E403)</f>
        <v/>
      </c>
      <c r="G403" s="7" t="inlineStr">
        <is>
          <t>Sep-23</t>
        </is>
      </c>
      <c r="H403" s="35" t="n">
        <v>5.62</v>
      </c>
      <c r="I403" s="33" t="n">
        <v>45208</v>
      </c>
      <c r="J403" s="36">
        <f>F403-H403</f>
        <v/>
      </c>
      <c r="K403" s="16">
        <f>0.005/(1+E403)+D403*0.0005/(1+E403)^2+0.005</f>
        <v/>
      </c>
      <c r="L403" s="17">
        <f>IF(ABS(J403)&lt;=K403,"OK",IF(M403&lt;&gt;"","EXPLAINED","CHECK"))</f>
        <v/>
      </c>
      <c r="M403" s="7" t="inlineStr"/>
    </row>
    <row r="404">
      <c r="A404" s="33" t="n">
        <v>45576</v>
      </c>
      <c r="B404" s="7" t="inlineStr">
        <is>
          <t>RWRP</t>
        </is>
      </c>
      <c r="C404" s="7" t="inlineStr">
        <is>
          <t>Aug-24</t>
        </is>
      </c>
      <c r="D404" s="35" t="n">
        <v>6.81</v>
      </c>
      <c r="E404" s="32" t="n">
        <v>0.295</v>
      </c>
      <c r="F404" s="35">
        <f>D404/(1+E404)</f>
        <v/>
      </c>
      <c r="G404" s="7" t="inlineStr">
        <is>
          <t>Aug-23</t>
        </is>
      </c>
      <c r="H404" s="35" t="n">
        <v>5.26</v>
      </c>
      <c r="I404" s="33" t="n">
        <v>45208</v>
      </c>
      <c r="J404" s="36">
        <f>F404-H404</f>
        <v/>
      </c>
      <c r="K404" s="16">
        <f>0.005/(1+E404)+D404*0.0005/(1+E404)^2+0.005</f>
        <v/>
      </c>
      <c r="L404" s="17">
        <f>IF(ABS(J404)&lt;=K404,"OK",IF(M404&lt;&gt;"","EXPLAINED","CHECK"))</f>
        <v/>
      </c>
      <c r="M404" s="7" t="inlineStr"/>
    </row>
    <row r="405">
      <c r="A405" s="33" t="n">
        <v>45576</v>
      </c>
      <c r="B405" s="7" t="inlineStr">
        <is>
          <t>RWRP</t>
        </is>
      </c>
      <c r="C405" s="7" t="inlineStr">
        <is>
          <t>Jul-24</t>
        </is>
      </c>
      <c r="D405" s="35" t="n">
        <v>6.81</v>
      </c>
      <c r="E405" s="32" t="n">
        <v>0.404</v>
      </c>
      <c r="F405" s="35">
        <f>D405/(1+E405)</f>
        <v/>
      </c>
      <c r="G405" s="7" t="inlineStr">
        <is>
          <t>Jul-23</t>
        </is>
      </c>
      <c r="H405" s="35" t="n">
        <v>4.85</v>
      </c>
      <c r="I405" s="33" t="n">
        <v>45208</v>
      </c>
      <c r="J405" s="36">
        <f>F405-H405</f>
        <v/>
      </c>
      <c r="K405" s="16">
        <f>0.005/(1+E405)+D405*0.0005/(1+E405)^2+0.005</f>
        <v/>
      </c>
      <c r="L405" s="17">
        <f>IF(ABS(J405)&lt;=K405,"OK",IF(M405&lt;&gt;"","EXPLAINED","CHECK"))</f>
        <v/>
      </c>
      <c r="M405" s="7" t="inlineStr"/>
    </row>
    <row r="406">
      <c r="A406" s="33" t="n">
        <v>45544</v>
      </c>
      <c r="B406" s="7" t="inlineStr">
        <is>
          <t>NB Sum Assured</t>
        </is>
      </c>
      <c r="C406" s="7" t="inlineStr">
        <is>
          <t>Q1-FY2025</t>
        </is>
      </c>
      <c r="D406" s="35" t="n">
        <v>2724.68</v>
      </c>
      <c r="E406" s="32" t="n">
        <v>0.134</v>
      </c>
      <c r="F406" s="35">
        <f>D406/(1+E406)</f>
        <v/>
      </c>
      <c r="G406" s="7" t="inlineStr">
        <is>
          <t>Q1-FY2024</t>
        </is>
      </c>
      <c r="H406" s="35" t="n">
        <v>2403.04</v>
      </c>
      <c r="I406" s="33" t="n">
        <v>45358</v>
      </c>
      <c r="J406" s="36">
        <f>F406-H406</f>
        <v/>
      </c>
      <c r="K406" s="16">
        <f>0.005/(1+E406)+D406*0.0005/(1+E406)^2+0.005</f>
        <v/>
      </c>
      <c r="L406" s="17">
        <f>IF(ABS(J406)&lt;=K406,"OK",IF(M406&lt;&gt;"","EXPLAINED","CHECK"))</f>
        <v/>
      </c>
      <c r="M406" s="7" t="inlineStr"/>
    </row>
    <row r="407">
      <c r="A407" s="33" t="n">
        <v>45544</v>
      </c>
      <c r="B407" s="7" t="inlineStr">
        <is>
          <t>NB Sum Assured</t>
        </is>
      </c>
      <c r="C407" s="7" t="inlineStr">
        <is>
          <t>FY2024</t>
        </is>
      </c>
      <c r="D407" s="35" t="n">
        <v>10221.11</v>
      </c>
      <c r="E407" s="32" t="n">
        <v>-0.019</v>
      </c>
      <c r="F407" s="35">
        <f>D407/(1+E407)</f>
        <v/>
      </c>
      <c r="G407" s="7" t="inlineStr">
        <is>
          <t>FY2023</t>
        </is>
      </c>
      <c r="H407" s="35" t="n">
        <v>10413.92</v>
      </c>
      <c r="I407" s="33" t="n">
        <v>45358</v>
      </c>
      <c r="J407" s="36">
        <f>F407-H407</f>
        <v/>
      </c>
      <c r="K407" s="16">
        <f>0.005/(1+E407)+D407*0.0005/(1+E407)^2+0.005</f>
        <v/>
      </c>
      <c r="L407" s="17">
        <f>IF(ABS(J407)&lt;=K407,"OK",IF(M407&lt;&gt;"","EXPLAINED","CHECK"))</f>
        <v/>
      </c>
      <c r="M407" s="7" t="inlineStr"/>
    </row>
    <row r="408">
      <c r="A408" s="33" t="n">
        <v>45544</v>
      </c>
      <c r="B408" s="7" t="inlineStr">
        <is>
          <t>NB Sum Assured</t>
        </is>
      </c>
      <c r="C408" s="7" t="inlineStr">
        <is>
          <t>Aug-24</t>
        </is>
      </c>
      <c r="D408" s="35" t="n">
        <v>973.76</v>
      </c>
      <c r="E408" s="32" t="n">
        <v>0.139</v>
      </c>
      <c r="F408" s="35">
        <f>D408/(1+E408)</f>
        <v/>
      </c>
      <c r="G408" s="7" t="inlineStr">
        <is>
          <t>Aug-23</t>
        </is>
      </c>
      <c r="H408" s="35" t="n">
        <v>854.97</v>
      </c>
      <c r="I408" s="33" t="n">
        <v>45208</v>
      </c>
      <c r="J408" s="36">
        <f>F408-H408</f>
        <v/>
      </c>
      <c r="K408" s="16">
        <f>0.005/(1+E408)+D408*0.0005/(1+E408)^2+0.005</f>
        <v/>
      </c>
      <c r="L408" s="17">
        <f>IF(ABS(J408)&lt;=K408,"OK",IF(M408&lt;&gt;"","EXPLAINED","CHECK"))</f>
        <v/>
      </c>
      <c r="M408" s="7" t="inlineStr"/>
    </row>
    <row r="409">
      <c r="A409" s="33" t="n">
        <v>45544</v>
      </c>
      <c r="B409" s="7" t="inlineStr">
        <is>
          <t>NB Sum Assured</t>
        </is>
      </c>
      <c r="C409" s="7" t="inlineStr">
        <is>
          <t>Jul-24</t>
        </is>
      </c>
      <c r="D409" s="35" t="n">
        <v>998.35</v>
      </c>
      <c r="E409" s="32" t="n">
        <v>0.196</v>
      </c>
      <c r="F409" s="35">
        <f>D409/(1+E409)</f>
        <v/>
      </c>
      <c r="G409" s="7" t="inlineStr">
        <is>
          <t>Jul-23</t>
        </is>
      </c>
      <c r="H409" s="35" t="n">
        <v>834.41</v>
      </c>
      <c r="I409" s="33" t="n">
        <v>45208</v>
      </c>
      <c r="J409" s="36">
        <f>F409-H409</f>
        <v/>
      </c>
      <c r="K409" s="16">
        <f>0.005/(1+E409)+D409*0.0005/(1+E409)^2+0.005</f>
        <v/>
      </c>
      <c r="L409" s="17">
        <f>IF(ABS(J409)&lt;=K409,"OK",IF(M409&lt;&gt;"","EXPLAINED","CHECK"))</f>
        <v/>
      </c>
      <c r="M409" s="7" t="inlineStr"/>
    </row>
    <row r="410">
      <c r="A410" s="33" t="n">
        <v>45544</v>
      </c>
      <c r="B410" s="7" t="inlineStr">
        <is>
          <t>NB Premium</t>
        </is>
      </c>
      <c r="C410" s="7" t="inlineStr">
        <is>
          <t>Q1-FY2025</t>
        </is>
      </c>
      <c r="D410" s="35" t="n">
        <v>37.69</v>
      </c>
      <c r="E410" s="32" t="n">
        <v>0.235</v>
      </c>
      <c r="F410" s="35">
        <f>D410/(1+E410)</f>
        <v/>
      </c>
      <c r="G410" s="7" t="inlineStr">
        <is>
          <t>Q1-FY2024</t>
        </is>
      </c>
      <c r="H410" s="35" t="n">
        <v>30.51</v>
      </c>
      <c r="I410" s="33" t="n">
        <v>45358</v>
      </c>
      <c r="J410" s="36">
        <f>F410-H410</f>
        <v/>
      </c>
      <c r="K410" s="16">
        <f>0.005/(1+E410)+D410*0.0005/(1+E410)^2+0.005</f>
        <v/>
      </c>
      <c r="L410" s="17">
        <f>IF(ABS(J410)&lt;=K410,"OK",IF(M410&lt;&gt;"","EXPLAINED","CHECK"))</f>
        <v/>
      </c>
      <c r="M410" s="7" t="inlineStr"/>
    </row>
    <row r="411">
      <c r="A411" s="33" t="n">
        <v>45544</v>
      </c>
      <c r="B411" s="7" t="inlineStr">
        <is>
          <t>NB Premium</t>
        </is>
      </c>
      <c r="C411" s="7" t="inlineStr">
        <is>
          <t>FY2024</t>
        </is>
      </c>
      <c r="D411" s="35" t="n">
        <v>180.81</v>
      </c>
      <c r="E411" s="32" t="n">
        <v>0.068</v>
      </c>
      <c r="F411" s="35">
        <f>D411/(1+E411)</f>
        <v/>
      </c>
      <c r="G411" s="7" t="inlineStr">
        <is>
          <t>FY2023</t>
        </is>
      </c>
      <c r="H411" s="35" t="n">
        <v>169.22</v>
      </c>
      <c r="I411" s="33" t="n">
        <v>45358</v>
      </c>
      <c r="J411" s="36">
        <f>F411-H411</f>
        <v/>
      </c>
      <c r="K411" s="16">
        <f>0.005/(1+E411)+D411*0.0005/(1+E411)^2+0.005</f>
        <v/>
      </c>
      <c r="L411" s="17">
        <f>IF(ABS(J411)&lt;=K411,"OK",IF(M411&lt;&gt;"","EXPLAINED","CHECK"))</f>
        <v/>
      </c>
      <c r="M411" s="7" t="inlineStr"/>
    </row>
    <row r="412">
      <c r="A412" s="33" t="n">
        <v>45544</v>
      </c>
      <c r="B412" s="7" t="inlineStr">
        <is>
          <t>NB Premium</t>
        </is>
      </c>
      <c r="C412" s="7" t="inlineStr">
        <is>
          <t>Aug-24</t>
        </is>
      </c>
      <c r="D412" s="35" t="n">
        <v>15.09</v>
      </c>
      <c r="E412" s="32" t="n">
        <v>0.123</v>
      </c>
      <c r="F412" s="35">
        <f>D412/(1+E412)</f>
        <v/>
      </c>
      <c r="G412" s="7" t="inlineStr">
        <is>
          <t>Aug-23</t>
        </is>
      </c>
      <c r="H412" s="35" t="n">
        <v>13.44</v>
      </c>
      <c r="I412" s="33" t="n">
        <v>45208</v>
      </c>
      <c r="J412" s="36">
        <f>F412-H412</f>
        <v/>
      </c>
      <c r="K412" s="16">
        <f>0.005/(1+E412)+D412*0.0005/(1+E412)^2+0.005</f>
        <v/>
      </c>
      <c r="L412" s="17">
        <f>IF(ABS(J412)&lt;=K412,"OK",IF(M412&lt;&gt;"","EXPLAINED","CHECK"))</f>
        <v/>
      </c>
      <c r="M412" s="7" t="inlineStr"/>
    </row>
    <row r="413">
      <c r="A413" s="33" t="n">
        <v>45544</v>
      </c>
      <c r="B413" s="7" t="inlineStr">
        <is>
          <t>NB Premium</t>
        </is>
      </c>
      <c r="C413" s="7" t="inlineStr">
        <is>
          <t>Jul-24</t>
        </is>
      </c>
      <c r="D413" s="35" t="n">
        <v>17.6</v>
      </c>
      <c r="E413" s="32" t="n">
        <v>0.07400000000000001</v>
      </c>
      <c r="F413" s="35">
        <f>D413/(1+E413)</f>
        <v/>
      </c>
      <c r="G413" s="7" t="inlineStr">
        <is>
          <t>Jul-23</t>
        </is>
      </c>
      <c r="H413" s="35" t="n">
        <v>16.39</v>
      </c>
      <c r="I413" s="33" t="n">
        <v>45208</v>
      </c>
      <c r="J413" s="36">
        <f>F413-H413</f>
        <v/>
      </c>
      <c r="K413" s="16">
        <f>0.005/(1+E413)+D413*0.0005/(1+E413)^2+0.005</f>
        <v/>
      </c>
      <c r="L413" s="17">
        <f>IF(ABS(J413)&lt;=K413,"OK",IF(M413&lt;&gt;"","EXPLAINED","CHECK"))</f>
        <v/>
      </c>
      <c r="M413" s="7" t="inlineStr"/>
    </row>
    <row r="414">
      <c r="A414" s="33" t="n">
        <v>45544</v>
      </c>
      <c r="B414" s="7" t="inlineStr">
        <is>
          <t>APE</t>
        </is>
      </c>
      <c r="C414" s="7" t="inlineStr">
        <is>
          <t>Q1-FY2025</t>
        </is>
      </c>
      <c r="D414" s="35" t="n">
        <v>19.63</v>
      </c>
      <c r="E414" s="32" t="n">
        <v>0.344</v>
      </c>
      <c r="F414" s="35">
        <f>D414/(1+E414)</f>
        <v/>
      </c>
      <c r="G414" s="7" t="inlineStr">
        <is>
          <t>Q1-FY2024</t>
        </is>
      </c>
      <c r="H414" s="35" t="n">
        <v>14.61</v>
      </c>
      <c r="I414" s="33" t="n">
        <v>45358</v>
      </c>
      <c r="J414" s="36">
        <f>F414-H414</f>
        <v/>
      </c>
      <c r="K414" s="16">
        <f>0.005/(1+E414)+D414*0.0005/(1+E414)^2+0.005</f>
        <v/>
      </c>
      <c r="L414" s="17">
        <f>IF(ABS(J414)&lt;=K414,"OK",IF(M414&lt;&gt;"","EXPLAINED","CHECK"))</f>
        <v/>
      </c>
      <c r="M414" s="7" t="inlineStr"/>
    </row>
    <row r="415">
      <c r="A415" s="33" t="n">
        <v>45544</v>
      </c>
      <c r="B415" s="7" t="inlineStr">
        <is>
          <t>APE</t>
        </is>
      </c>
      <c r="C415" s="7" t="inlineStr">
        <is>
          <t>FY2024</t>
        </is>
      </c>
      <c r="D415" s="35" t="n">
        <v>90.45999999999999</v>
      </c>
      <c r="E415" s="32" t="n">
        <v>0.047</v>
      </c>
      <c r="F415" s="35">
        <f>D415/(1+E415)</f>
        <v/>
      </c>
      <c r="G415" s="7" t="inlineStr">
        <is>
          <t>FY2023</t>
        </is>
      </c>
      <c r="H415" s="35" t="n">
        <v>86.40000000000001</v>
      </c>
      <c r="I415" s="33" t="n">
        <v>45358</v>
      </c>
      <c r="J415" s="36">
        <f>F415-H415</f>
        <v/>
      </c>
      <c r="K415" s="16">
        <f>0.005/(1+E415)+D415*0.0005/(1+E415)^2+0.005</f>
        <v/>
      </c>
      <c r="L415" s="17">
        <f>IF(ABS(J415)&lt;=K415,"OK",IF(M415&lt;&gt;"","EXPLAINED","CHECK"))</f>
        <v/>
      </c>
      <c r="M415" s="7" t="inlineStr"/>
    </row>
    <row r="416">
      <c r="A416" s="33" t="n">
        <v>45544</v>
      </c>
      <c r="B416" s="7" t="inlineStr">
        <is>
          <t>APE</t>
        </is>
      </c>
      <c r="C416" s="7" t="inlineStr">
        <is>
          <t>Aug-24</t>
        </is>
      </c>
      <c r="D416" s="35" t="n">
        <v>7.97</v>
      </c>
      <c r="E416" s="32" t="n">
        <v>0.2</v>
      </c>
      <c r="F416" s="35">
        <f>D416/(1+E416)</f>
        <v/>
      </c>
      <c r="G416" s="7" t="inlineStr">
        <is>
          <t>Aug-23</t>
        </is>
      </c>
      <c r="H416" s="35" t="n">
        <v>6.64</v>
      </c>
      <c r="I416" s="33" t="n">
        <v>45208</v>
      </c>
      <c r="J416" s="36">
        <f>F416-H416</f>
        <v/>
      </c>
      <c r="K416" s="16">
        <f>0.005/(1+E416)+D416*0.0005/(1+E416)^2+0.005</f>
        <v/>
      </c>
      <c r="L416" s="17">
        <f>IF(ABS(J416)&lt;=K416,"OK",IF(M416&lt;&gt;"","EXPLAINED","CHECK"))</f>
        <v/>
      </c>
      <c r="M416" s="7" t="inlineStr"/>
    </row>
    <row r="417">
      <c r="A417" s="33" t="n">
        <v>45544</v>
      </c>
      <c r="B417" s="7" t="inlineStr">
        <is>
          <t>APE</t>
        </is>
      </c>
      <c r="C417" s="7" t="inlineStr">
        <is>
          <t>Jul-24</t>
        </is>
      </c>
      <c r="D417" s="35" t="n">
        <v>8.25</v>
      </c>
      <c r="E417" s="32" t="n">
        <v>0.241</v>
      </c>
      <c r="F417" s="35">
        <f>D417/(1+E417)</f>
        <v/>
      </c>
      <c r="G417" s="7" t="inlineStr">
        <is>
          <t>Jul-23</t>
        </is>
      </c>
      <c r="H417" s="35" t="n">
        <v>6.65</v>
      </c>
      <c r="I417" s="33" t="n">
        <v>45208</v>
      </c>
      <c r="J417" s="36">
        <f>F417-H417</f>
        <v/>
      </c>
      <c r="K417" s="16">
        <f>0.005/(1+E417)+D417*0.0005/(1+E417)^2+0.005</f>
        <v/>
      </c>
      <c r="L417" s="17">
        <f>IF(ABS(J417)&lt;=K417,"OK",IF(M417&lt;&gt;"","EXPLAINED","CHECK"))</f>
        <v/>
      </c>
      <c r="M417" s="7" t="inlineStr"/>
    </row>
    <row r="418">
      <c r="A418" s="33" t="n">
        <v>45544</v>
      </c>
      <c r="B418" s="7" t="inlineStr">
        <is>
          <t>RWRP</t>
        </is>
      </c>
      <c r="C418" s="7" t="inlineStr">
        <is>
          <t>Q1-FY2025</t>
        </is>
      </c>
      <c r="D418" s="35" t="n">
        <v>15.58</v>
      </c>
      <c r="E418" s="32" t="n">
        <v>0.468</v>
      </c>
      <c r="F418" s="35">
        <f>D418/(1+E418)</f>
        <v/>
      </c>
      <c r="G418" s="7" t="inlineStr">
        <is>
          <t>Q1-FY2024</t>
        </is>
      </c>
      <c r="H418" s="35" t="n">
        <v>10.61</v>
      </c>
      <c r="I418" s="33" t="n">
        <v>45358</v>
      </c>
      <c r="J418" s="36">
        <f>F418-H418</f>
        <v/>
      </c>
      <c r="K418" s="16">
        <f>0.005/(1+E418)+D418*0.0005/(1+E418)^2+0.005</f>
        <v/>
      </c>
      <c r="L418" s="17">
        <f>IF(ABS(J418)&lt;=K418,"OK",IF(M418&lt;&gt;"","EXPLAINED","CHECK"))</f>
        <v/>
      </c>
      <c r="M418" s="7" t="inlineStr"/>
    </row>
    <row r="419">
      <c r="A419" s="33" t="n">
        <v>45544</v>
      </c>
      <c r="B419" s="7" t="inlineStr">
        <is>
          <t>RWRP</t>
        </is>
      </c>
      <c r="C419" s="7" t="inlineStr">
        <is>
          <t>FY2024</t>
        </is>
      </c>
      <c r="D419" s="35" t="n">
        <v>72.13</v>
      </c>
      <c r="E419" s="32" t="n">
        <v>0.07000000000000001</v>
      </c>
      <c r="F419" s="35">
        <f>D419/(1+E419)</f>
        <v/>
      </c>
      <c r="G419" s="7" t="inlineStr">
        <is>
          <t>FY2023</t>
        </is>
      </c>
      <c r="H419" s="35" t="n">
        <v>67.38</v>
      </c>
      <c r="I419" s="33" t="n">
        <v>45358</v>
      </c>
      <c r="J419" s="36">
        <f>F419-H419</f>
        <v/>
      </c>
      <c r="K419" s="16">
        <f>0.005/(1+E419)+D419*0.0005/(1+E419)^2+0.005</f>
        <v/>
      </c>
      <c r="L419" s="17">
        <f>IF(ABS(J419)&lt;=K419,"OK",IF(M419&lt;&gt;"","EXPLAINED","CHECK"))</f>
        <v/>
      </c>
      <c r="M419" s="7" t="inlineStr"/>
    </row>
    <row r="420">
      <c r="A420" s="33" t="n">
        <v>45544</v>
      </c>
      <c r="B420" s="7" t="inlineStr">
        <is>
          <t>RWRP</t>
        </is>
      </c>
      <c r="C420" s="7" t="inlineStr">
        <is>
          <t>Aug-24</t>
        </is>
      </c>
      <c r="D420" s="35" t="n">
        <v>6.81</v>
      </c>
      <c r="E420" s="32" t="n">
        <v>0.295</v>
      </c>
      <c r="F420" s="35">
        <f>D420/(1+E420)</f>
        <v/>
      </c>
      <c r="G420" s="7" t="inlineStr">
        <is>
          <t>Aug-23</t>
        </is>
      </c>
      <c r="H420" s="35" t="n">
        <v>5.26</v>
      </c>
      <c r="I420" s="33" t="n">
        <v>45208</v>
      </c>
      <c r="J420" s="36">
        <f>F420-H420</f>
        <v/>
      </c>
      <c r="K420" s="16">
        <f>0.005/(1+E420)+D420*0.0005/(1+E420)^2+0.005</f>
        <v/>
      </c>
      <c r="L420" s="17">
        <f>IF(ABS(J420)&lt;=K420,"OK",IF(M420&lt;&gt;"","EXPLAINED","CHECK"))</f>
        <v/>
      </c>
      <c r="M420" s="7" t="inlineStr"/>
    </row>
    <row r="421">
      <c r="A421" s="33" t="n">
        <v>45544</v>
      </c>
      <c r="B421" s="7" t="inlineStr">
        <is>
          <t>RWRP</t>
        </is>
      </c>
      <c r="C421" s="7" t="inlineStr">
        <is>
          <t>Jul-24</t>
        </is>
      </c>
      <c r="D421" s="35" t="n">
        <v>6.81</v>
      </c>
      <c r="E421" s="32" t="n">
        <v>0.404</v>
      </c>
      <c r="F421" s="35">
        <f>D421/(1+E421)</f>
        <v/>
      </c>
      <c r="G421" s="7" t="inlineStr">
        <is>
          <t>Jul-23</t>
        </is>
      </c>
      <c r="H421" s="35" t="n">
        <v>4.85</v>
      </c>
      <c r="I421" s="33" t="n">
        <v>45208</v>
      </c>
      <c r="J421" s="36">
        <f>F421-H421</f>
        <v/>
      </c>
      <c r="K421" s="16">
        <f>0.005/(1+E421)+D421*0.0005/(1+E421)^2+0.005</f>
        <v/>
      </c>
      <c r="L421" s="17">
        <f>IF(ABS(J421)&lt;=K421,"OK",IF(M421&lt;&gt;"","EXPLAINED","CHECK"))</f>
        <v/>
      </c>
      <c r="M421" s="7" t="inlineStr"/>
    </row>
    <row r="422">
      <c r="A422" s="33" t="n">
        <v>45516</v>
      </c>
      <c r="B422" s="7" t="inlineStr">
        <is>
          <t>NB Sum Assured</t>
        </is>
      </c>
      <c r="C422" s="7" t="inlineStr">
        <is>
          <t>Q1-FY2025</t>
        </is>
      </c>
      <c r="D422" s="35" t="n">
        <v>2724.68</v>
      </c>
      <c r="E422" s="32" t="n">
        <v>0.134</v>
      </c>
      <c r="F422" s="35">
        <f>D422/(1+E422)</f>
        <v/>
      </c>
      <c r="G422" s="7" t="inlineStr">
        <is>
          <t>Q1-FY2024</t>
        </is>
      </c>
      <c r="H422" s="35" t="n">
        <v>2403.04</v>
      </c>
      <c r="I422" s="33" t="n">
        <v>45358</v>
      </c>
      <c r="J422" s="36">
        <f>F422-H422</f>
        <v/>
      </c>
      <c r="K422" s="16">
        <f>0.005/(1+E422)+D422*0.0005/(1+E422)^2+0.005</f>
        <v/>
      </c>
      <c r="L422" s="17">
        <f>IF(ABS(J422)&lt;=K422,"OK",IF(M422&lt;&gt;"","EXPLAINED","CHECK"))</f>
        <v/>
      </c>
      <c r="M422" s="7" t="inlineStr"/>
    </row>
    <row r="423">
      <c r="A423" s="33" t="n">
        <v>45516</v>
      </c>
      <c r="B423" s="7" t="inlineStr">
        <is>
          <t>NB Sum Assured</t>
        </is>
      </c>
      <c r="C423" s="7" t="inlineStr">
        <is>
          <t>FY2024</t>
        </is>
      </c>
      <c r="D423" s="35" t="n">
        <v>10221.11</v>
      </c>
      <c r="E423" s="32" t="n">
        <v>-0.019</v>
      </c>
      <c r="F423" s="35">
        <f>D423/(1+E423)</f>
        <v/>
      </c>
      <c r="G423" s="7" t="inlineStr">
        <is>
          <t>FY2023</t>
        </is>
      </c>
      <c r="H423" s="35" t="n">
        <v>10413.92</v>
      </c>
      <c r="I423" s="33" t="n">
        <v>45358</v>
      </c>
      <c r="J423" s="36">
        <f>F423-H423</f>
        <v/>
      </c>
      <c r="K423" s="16">
        <f>0.005/(1+E423)+D423*0.0005/(1+E423)^2+0.005</f>
        <v/>
      </c>
      <c r="L423" s="17">
        <f>IF(ABS(J423)&lt;=K423,"OK",IF(M423&lt;&gt;"","EXPLAINED","CHECK"))</f>
        <v/>
      </c>
      <c r="M423" s="7" t="inlineStr"/>
    </row>
    <row r="424">
      <c r="A424" s="33" t="n">
        <v>45516</v>
      </c>
      <c r="B424" s="7" t="inlineStr">
        <is>
          <t>NB Sum Assured</t>
        </is>
      </c>
      <c r="C424" s="7" t="inlineStr">
        <is>
          <t>Jul-24</t>
        </is>
      </c>
      <c r="D424" s="35" t="n">
        <v>998.35</v>
      </c>
      <c r="E424" s="32" t="n">
        <v>0.196</v>
      </c>
      <c r="F424" s="35">
        <f>D424/(1+E424)</f>
        <v/>
      </c>
      <c r="G424" s="7" t="inlineStr">
        <is>
          <t>Jul-23</t>
        </is>
      </c>
      <c r="H424" s="35" t="n">
        <v>834.41</v>
      </c>
      <c r="I424" s="33" t="n">
        <v>45208</v>
      </c>
      <c r="J424" s="36">
        <f>F424-H424</f>
        <v/>
      </c>
      <c r="K424" s="16">
        <f>0.005/(1+E424)+D424*0.0005/(1+E424)^2+0.005</f>
        <v/>
      </c>
      <c r="L424" s="17">
        <f>IF(ABS(J424)&lt;=K424,"OK",IF(M424&lt;&gt;"","EXPLAINED","CHECK"))</f>
        <v/>
      </c>
      <c r="M424" s="7" t="inlineStr"/>
    </row>
    <row r="425">
      <c r="A425" s="33" t="n">
        <v>45516</v>
      </c>
      <c r="B425" s="7" t="inlineStr">
        <is>
          <t>NB Premium</t>
        </is>
      </c>
      <c r="C425" s="7" t="inlineStr">
        <is>
          <t>Q1-FY2025</t>
        </is>
      </c>
      <c r="D425" s="35" t="n">
        <v>37.69</v>
      </c>
      <c r="E425" s="32" t="n">
        <v>0.235</v>
      </c>
      <c r="F425" s="35">
        <f>D425/(1+E425)</f>
        <v/>
      </c>
      <c r="G425" s="7" t="inlineStr">
        <is>
          <t>Q1-FY2024</t>
        </is>
      </c>
      <c r="H425" s="35" t="n">
        <v>30.51</v>
      </c>
      <c r="I425" s="33" t="n">
        <v>45358</v>
      </c>
      <c r="J425" s="36">
        <f>F425-H425</f>
        <v/>
      </c>
      <c r="K425" s="16">
        <f>0.005/(1+E425)+D425*0.0005/(1+E425)^2+0.005</f>
        <v/>
      </c>
      <c r="L425" s="17">
        <f>IF(ABS(J425)&lt;=K425,"OK",IF(M425&lt;&gt;"","EXPLAINED","CHECK"))</f>
        <v/>
      </c>
      <c r="M425" s="7" t="inlineStr"/>
    </row>
    <row r="426">
      <c r="A426" s="33" t="n">
        <v>45516</v>
      </c>
      <c r="B426" s="7" t="inlineStr">
        <is>
          <t>NB Premium</t>
        </is>
      </c>
      <c r="C426" s="7" t="inlineStr">
        <is>
          <t>FY2024</t>
        </is>
      </c>
      <c r="D426" s="35" t="n">
        <v>180.81</v>
      </c>
      <c r="E426" s="32" t="n">
        <v>0.068</v>
      </c>
      <c r="F426" s="35">
        <f>D426/(1+E426)</f>
        <v/>
      </c>
      <c r="G426" s="7" t="inlineStr">
        <is>
          <t>FY2023</t>
        </is>
      </c>
      <c r="H426" s="35" t="n">
        <v>169.22</v>
      </c>
      <c r="I426" s="33" t="n">
        <v>45358</v>
      </c>
      <c r="J426" s="36">
        <f>F426-H426</f>
        <v/>
      </c>
      <c r="K426" s="16">
        <f>0.005/(1+E426)+D426*0.0005/(1+E426)^2+0.005</f>
        <v/>
      </c>
      <c r="L426" s="17">
        <f>IF(ABS(J426)&lt;=K426,"OK",IF(M426&lt;&gt;"","EXPLAINED","CHECK"))</f>
        <v/>
      </c>
      <c r="M426" s="7" t="inlineStr"/>
    </row>
    <row r="427">
      <c r="A427" s="33" t="n">
        <v>45516</v>
      </c>
      <c r="B427" s="7" t="inlineStr">
        <is>
          <t>NB Premium</t>
        </is>
      </c>
      <c r="C427" s="7" t="inlineStr">
        <is>
          <t>Jul-24</t>
        </is>
      </c>
      <c r="D427" s="35" t="n">
        <v>17.6</v>
      </c>
      <c r="E427" s="32" t="n">
        <v>0.07400000000000001</v>
      </c>
      <c r="F427" s="35">
        <f>D427/(1+E427)</f>
        <v/>
      </c>
      <c r="G427" s="7" t="inlineStr">
        <is>
          <t>Jul-23</t>
        </is>
      </c>
      <c r="H427" s="35" t="n">
        <v>16.39</v>
      </c>
      <c r="I427" s="33" t="n">
        <v>45208</v>
      </c>
      <c r="J427" s="36">
        <f>F427-H427</f>
        <v/>
      </c>
      <c r="K427" s="16">
        <f>0.005/(1+E427)+D427*0.0005/(1+E427)^2+0.005</f>
        <v/>
      </c>
      <c r="L427" s="17">
        <f>IF(ABS(J427)&lt;=K427,"OK",IF(M427&lt;&gt;"","EXPLAINED","CHECK"))</f>
        <v/>
      </c>
      <c r="M427" s="7" t="inlineStr"/>
    </row>
    <row r="428">
      <c r="A428" s="33" t="n">
        <v>45516</v>
      </c>
      <c r="B428" s="7" t="inlineStr">
        <is>
          <t>APE</t>
        </is>
      </c>
      <c r="C428" s="7" t="inlineStr">
        <is>
          <t>Q1-FY2025</t>
        </is>
      </c>
      <c r="D428" s="35" t="n">
        <v>19.63</v>
      </c>
      <c r="E428" s="32" t="n">
        <v>0.344</v>
      </c>
      <c r="F428" s="35">
        <f>D428/(1+E428)</f>
        <v/>
      </c>
      <c r="G428" s="7" t="inlineStr">
        <is>
          <t>Q1-FY2024</t>
        </is>
      </c>
      <c r="H428" s="35" t="n">
        <v>14.61</v>
      </c>
      <c r="I428" s="33" t="n">
        <v>45358</v>
      </c>
      <c r="J428" s="36">
        <f>F428-H428</f>
        <v/>
      </c>
      <c r="K428" s="16">
        <f>0.005/(1+E428)+D428*0.0005/(1+E428)^2+0.005</f>
        <v/>
      </c>
      <c r="L428" s="17">
        <f>IF(ABS(J428)&lt;=K428,"OK",IF(M428&lt;&gt;"","EXPLAINED","CHECK"))</f>
        <v/>
      </c>
      <c r="M428" s="7" t="inlineStr"/>
    </row>
    <row r="429">
      <c r="A429" s="33" t="n">
        <v>45516</v>
      </c>
      <c r="B429" s="7" t="inlineStr">
        <is>
          <t>APE</t>
        </is>
      </c>
      <c r="C429" s="7" t="inlineStr">
        <is>
          <t>FY2024</t>
        </is>
      </c>
      <c r="D429" s="35" t="n">
        <v>90.45999999999999</v>
      </c>
      <c r="E429" s="32" t="n">
        <v>0.047</v>
      </c>
      <c r="F429" s="35">
        <f>D429/(1+E429)</f>
        <v/>
      </c>
      <c r="G429" s="7" t="inlineStr">
        <is>
          <t>FY2023</t>
        </is>
      </c>
      <c r="H429" s="35" t="n">
        <v>86.40000000000001</v>
      </c>
      <c r="I429" s="33" t="n">
        <v>45358</v>
      </c>
      <c r="J429" s="36">
        <f>F429-H429</f>
        <v/>
      </c>
      <c r="K429" s="16">
        <f>0.005/(1+E429)+D429*0.0005/(1+E429)^2+0.005</f>
        <v/>
      </c>
      <c r="L429" s="17">
        <f>IF(ABS(J429)&lt;=K429,"OK",IF(M429&lt;&gt;"","EXPLAINED","CHECK"))</f>
        <v/>
      </c>
      <c r="M429" s="7" t="inlineStr"/>
    </row>
    <row r="430">
      <c r="A430" s="33" t="n">
        <v>45516</v>
      </c>
      <c r="B430" s="7" t="inlineStr">
        <is>
          <t>APE</t>
        </is>
      </c>
      <c r="C430" s="7" t="inlineStr">
        <is>
          <t>Jul-24</t>
        </is>
      </c>
      <c r="D430" s="35" t="n">
        <v>8.25</v>
      </c>
      <c r="E430" s="32" t="n">
        <v>0.241</v>
      </c>
      <c r="F430" s="35">
        <f>D430/(1+E430)</f>
        <v/>
      </c>
      <c r="G430" s="7" t="inlineStr">
        <is>
          <t>Jul-23</t>
        </is>
      </c>
      <c r="H430" s="35" t="n">
        <v>6.65</v>
      </c>
      <c r="I430" s="33" t="n">
        <v>45208</v>
      </c>
      <c r="J430" s="36">
        <f>F430-H430</f>
        <v/>
      </c>
      <c r="K430" s="16">
        <f>0.005/(1+E430)+D430*0.0005/(1+E430)^2+0.005</f>
        <v/>
      </c>
      <c r="L430" s="17">
        <f>IF(ABS(J430)&lt;=K430,"OK",IF(M430&lt;&gt;"","EXPLAINED","CHECK"))</f>
        <v/>
      </c>
      <c r="M430" s="7" t="inlineStr"/>
    </row>
    <row r="431">
      <c r="A431" s="33" t="n">
        <v>45516</v>
      </c>
      <c r="B431" s="7" t="inlineStr">
        <is>
          <t>RWRP</t>
        </is>
      </c>
      <c r="C431" s="7" t="inlineStr">
        <is>
          <t>Q1-FY2025</t>
        </is>
      </c>
      <c r="D431" s="35" t="n">
        <v>15.58</v>
      </c>
      <c r="E431" s="32" t="n">
        <v>0.468</v>
      </c>
      <c r="F431" s="35">
        <f>D431/(1+E431)</f>
        <v/>
      </c>
      <c r="G431" s="7" t="inlineStr">
        <is>
          <t>Q1-FY2024</t>
        </is>
      </c>
      <c r="H431" s="35" t="n">
        <v>10.61</v>
      </c>
      <c r="I431" s="33" t="n">
        <v>45358</v>
      </c>
      <c r="J431" s="36">
        <f>F431-H431</f>
        <v/>
      </c>
      <c r="K431" s="16">
        <f>0.005/(1+E431)+D431*0.0005/(1+E431)^2+0.005</f>
        <v/>
      </c>
      <c r="L431" s="17">
        <f>IF(ABS(J431)&lt;=K431,"OK",IF(M431&lt;&gt;"","EXPLAINED","CHECK"))</f>
        <v/>
      </c>
      <c r="M431" s="7" t="inlineStr"/>
    </row>
    <row r="432">
      <c r="A432" s="33" t="n">
        <v>45516</v>
      </c>
      <c r="B432" s="7" t="inlineStr">
        <is>
          <t>RWRP</t>
        </is>
      </c>
      <c r="C432" s="7" t="inlineStr">
        <is>
          <t>FY2024</t>
        </is>
      </c>
      <c r="D432" s="35" t="n">
        <v>72.13</v>
      </c>
      <c r="E432" s="32" t="n">
        <v>0.07000000000000001</v>
      </c>
      <c r="F432" s="35">
        <f>D432/(1+E432)</f>
        <v/>
      </c>
      <c r="G432" s="7" t="inlineStr">
        <is>
          <t>FY2023</t>
        </is>
      </c>
      <c r="H432" s="35" t="n">
        <v>67.38</v>
      </c>
      <c r="I432" s="33" t="n">
        <v>45358</v>
      </c>
      <c r="J432" s="36">
        <f>F432-H432</f>
        <v/>
      </c>
      <c r="K432" s="16">
        <f>0.005/(1+E432)+D432*0.0005/(1+E432)^2+0.005</f>
        <v/>
      </c>
      <c r="L432" s="17">
        <f>IF(ABS(J432)&lt;=K432,"OK",IF(M432&lt;&gt;"","EXPLAINED","CHECK"))</f>
        <v/>
      </c>
      <c r="M432" s="7" t="inlineStr"/>
    </row>
    <row r="433">
      <c r="A433" s="33" t="n">
        <v>45516</v>
      </c>
      <c r="B433" s="7" t="inlineStr">
        <is>
          <t>RWRP</t>
        </is>
      </c>
      <c r="C433" s="7" t="inlineStr">
        <is>
          <t>Jul-24</t>
        </is>
      </c>
      <c r="D433" s="35" t="n">
        <v>6.81</v>
      </c>
      <c r="E433" s="32" t="n">
        <v>0.404</v>
      </c>
      <c r="F433" s="35">
        <f>D433/(1+E433)</f>
        <v/>
      </c>
      <c r="G433" s="7" t="inlineStr">
        <is>
          <t>Jul-23</t>
        </is>
      </c>
      <c r="H433" s="35" t="n">
        <v>4.85</v>
      </c>
      <c r="I433" s="33" t="n">
        <v>45208</v>
      </c>
      <c r="J433" s="36">
        <f>F433-H433</f>
        <v/>
      </c>
      <c r="K433" s="16">
        <f>0.005/(1+E433)+D433*0.0005/(1+E433)^2+0.005</f>
        <v/>
      </c>
      <c r="L433" s="17">
        <f>IF(ABS(J433)&lt;=K433,"OK",IF(M433&lt;&gt;"","EXPLAINED","CHECK"))</f>
        <v/>
      </c>
      <c r="M433" s="7" t="inlineStr"/>
    </row>
    <row r="434">
      <c r="A434" s="33" t="n">
        <v>45481</v>
      </c>
      <c r="B434" s="7" t="inlineStr">
        <is>
          <t>NB Sum Assured</t>
        </is>
      </c>
      <c r="C434" s="7" t="inlineStr">
        <is>
          <t>Q1-FY2025</t>
        </is>
      </c>
      <c r="D434" s="35" t="n">
        <v>2724.68</v>
      </c>
      <c r="E434" s="32" t="n">
        <v>0.134</v>
      </c>
      <c r="F434" s="35">
        <f>D434/(1+E434)</f>
        <v/>
      </c>
      <c r="G434" s="7" t="inlineStr">
        <is>
          <t>Q1-FY2024</t>
        </is>
      </c>
      <c r="H434" s="35" t="n">
        <v>2403.04</v>
      </c>
      <c r="I434" s="33" t="n">
        <v>45358</v>
      </c>
      <c r="J434" s="36">
        <f>F434-H434</f>
        <v/>
      </c>
      <c r="K434" s="16">
        <f>0.005/(1+E434)+D434*0.0005/(1+E434)^2+0.005</f>
        <v/>
      </c>
      <c r="L434" s="17">
        <f>IF(ABS(J434)&lt;=K434,"OK",IF(M434&lt;&gt;"","EXPLAINED","CHECK"))</f>
        <v/>
      </c>
      <c r="M434" s="7" t="inlineStr"/>
    </row>
    <row r="435">
      <c r="A435" s="33" t="n">
        <v>45481</v>
      </c>
      <c r="B435" s="7" t="inlineStr">
        <is>
          <t>NB Sum Assured</t>
        </is>
      </c>
      <c r="C435" s="7" t="inlineStr">
        <is>
          <t>FY2024</t>
        </is>
      </c>
      <c r="D435" s="35" t="n">
        <v>10221.11</v>
      </c>
      <c r="E435" s="32" t="n">
        <v>-0.019</v>
      </c>
      <c r="F435" s="35">
        <f>D435/(1+E435)</f>
        <v/>
      </c>
      <c r="G435" s="7" t="inlineStr">
        <is>
          <t>FY2023</t>
        </is>
      </c>
      <c r="H435" s="35" t="n">
        <v>10413.92</v>
      </c>
      <c r="I435" s="33" t="n">
        <v>45358</v>
      </c>
      <c r="J435" s="36">
        <f>F435-H435</f>
        <v/>
      </c>
      <c r="K435" s="16">
        <f>0.005/(1+E435)+D435*0.0005/(1+E435)^2+0.005</f>
        <v/>
      </c>
      <c r="L435" s="17">
        <f>IF(ABS(J435)&lt;=K435,"OK",IF(M435&lt;&gt;"","EXPLAINED","CHECK"))</f>
        <v/>
      </c>
      <c r="M435" s="7" t="inlineStr"/>
    </row>
    <row r="436">
      <c r="A436" s="33" t="n">
        <v>45481</v>
      </c>
      <c r="B436" s="7" t="inlineStr">
        <is>
          <t>NB Sum Assured</t>
        </is>
      </c>
      <c r="C436" s="7" t="inlineStr">
        <is>
          <t>Jun-24</t>
        </is>
      </c>
      <c r="D436" s="35" t="n">
        <v>853.48</v>
      </c>
      <c r="E436" s="32" t="n">
        <v>0.136</v>
      </c>
      <c r="F436" s="35">
        <f>D436/(1+E436)</f>
        <v/>
      </c>
      <c r="G436" s="7" t="inlineStr">
        <is>
          <t>Jun-23</t>
        </is>
      </c>
      <c r="H436" s="35" t="n">
        <v>751.28</v>
      </c>
      <c r="I436" s="33" t="n">
        <v>45114</v>
      </c>
      <c r="J436" s="36">
        <f>F436-H436</f>
        <v/>
      </c>
      <c r="K436" s="16">
        <f>0.005/(1+E436)+D436*0.0005/(1+E436)^2+0.005</f>
        <v/>
      </c>
      <c r="L436" s="17">
        <f>IF(ABS(J436)&lt;=K436,"OK",IF(M436&lt;&gt;"","EXPLAINED","CHECK"))</f>
        <v/>
      </c>
      <c r="M436" s="7" t="inlineStr"/>
    </row>
    <row r="437">
      <c r="A437" s="33" t="n">
        <v>45481</v>
      </c>
      <c r="B437" s="7" t="inlineStr">
        <is>
          <t>NB Sum Assured</t>
        </is>
      </c>
      <c r="C437" s="7" t="inlineStr">
        <is>
          <t>May-24</t>
        </is>
      </c>
      <c r="D437" s="35" t="n">
        <v>889.24</v>
      </c>
      <c r="E437" s="32" t="n">
        <v>0.096</v>
      </c>
      <c r="F437" s="35">
        <f>D437/(1+E437)</f>
        <v/>
      </c>
      <c r="G437" s="7" t="inlineStr">
        <is>
          <t>May-23</t>
        </is>
      </c>
      <c r="H437" s="35" t="n">
        <v>811.22</v>
      </c>
      <c r="I437" s="33" t="n">
        <v>45114</v>
      </c>
      <c r="J437" s="36">
        <f>F437-H437</f>
        <v/>
      </c>
      <c r="K437" s="16">
        <f>0.005/(1+E437)+D437*0.0005/(1+E437)^2+0.005</f>
        <v/>
      </c>
      <c r="L437" s="17">
        <f>IF(ABS(J437)&lt;=K437,"OK",IF(M437&lt;&gt;"","EXPLAINED","CHECK"))</f>
        <v/>
      </c>
      <c r="M437" s="7" t="inlineStr"/>
    </row>
    <row r="438">
      <c r="A438" s="33" t="n">
        <v>45481</v>
      </c>
      <c r="B438" s="7" t="inlineStr">
        <is>
          <t>NB Sum Assured</t>
        </is>
      </c>
      <c r="C438" s="7" t="inlineStr">
        <is>
          <t>Apr-24</t>
        </is>
      </c>
      <c r="D438" s="35" t="n">
        <v>981.96</v>
      </c>
      <c r="E438" s="32" t="n">
        <v>0.168</v>
      </c>
      <c r="F438" s="35">
        <f>D438/(1+E438)</f>
        <v/>
      </c>
      <c r="G438" s="7" t="inlineStr">
        <is>
          <t>Apr-23</t>
        </is>
      </c>
      <c r="H438" s="35" t="n">
        <v>840.55</v>
      </c>
      <c r="I438" s="33" t="n">
        <v>45114</v>
      </c>
      <c r="J438" s="36">
        <f>F438-H438</f>
        <v/>
      </c>
      <c r="K438" s="16">
        <f>0.005/(1+E438)+D438*0.0005/(1+E438)^2+0.005</f>
        <v/>
      </c>
      <c r="L438" s="17">
        <f>IF(ABS(J438)&lt;=K438,"OK",IF(M438&lt;&gt;"","EXPLAINED","CHECK"))</f>
        <v/>
      </c>
      <c r="M438" s="7" t="inlineStr"/>
    </row>
    <row r="439">
      <c r="A439" s="33" t="n">
        <v>45481</v>
      </c>
      <c r="B439" s="7" t="inlineStr">
        <is>
          <t>NB Premium</t>
        </is>
      </c>
      <c r="C439" s="7" t="inlineStr">
        <is>
          <t>Q1-FY2025</t>
        </is>
      </c>
      <c r="D439" s="35" t="n">
        <v>37.69</v>
      </c>
      <c r="E439" s="32" t="n">
        <v>0.235</v>
      </c>
      <c r="F439" s="35">
        <f>D439/(1+E439)</f>
        <v/>
      </c>
      <c r="G439" s="7" t="inlineStr">
        <is>
          <t>Q1-FY2024</t>
        </is>
      </c>
      <c r="H439" s="35" t="n">
        <v>30.51</v>
      </c>
      <c r="I439" s="33" t="n">
        <v>45358</v>
      </c>
      <c r="J439" s="36">
        <f>F439-H439</f>
        <v/>
      </c>
      <c r="K439" s="16">
        <f>0.005/(1+E439)+D439*0.0005/(1+E439)^2+0.005</f>
        <v/>
      </c>
      <c r="L439" s="17">
        <f>IF(ABS(J439)&lt;=K439,"OK",IF(M439&lt;&gt;"","EXPLAINED","CHECK"))</f>
        <v/>
      </c>
      <c r="M439" s="7" t="inlineStr"/>
    </row>
    <row r="440">
      <c r="A440" s="33" t="n">
        <v>45481</v>
      </c>
      <c r="B440" s="7" t="inlineStr">
        <is>
          <t>NB Premium</t>
        </is>
      </c>
      <c r="C440" s="7" t="inlineStr">
        <is>
          <t>FY2024</t>
        </is>
      </c>
      <c r="D440" s="35" t="n">
        <v>180.81</v>
      </c>
      <c r="E440" s="32" t="n">
        <v>0.068</v>
      </c>
      <c r="F440" s="35">
        <f>D440/(1+E440)</f>
        <v/>
      </c>
      <c r="G440" s="7" t="inlineStr">
        <is>
          <t>FY2023</t>
        </is>
      </c>
      <c r="H440" s="35" t="n">
        <v>169.22</v>
      </c>
      <c r="I440" s="33" t="n">
        <v>45358</v>
      </c>
      <c r="J440" s="36">
        <f>F440-H440</f>
        <v/>
      </c>
      <c r="K440" s="16">
        <f>0.005/(1+E440)+D440*0.0005/(1+E440)^2+0.005</f>
        <v/>
      </c>
      <c r="L440" s="17">
        <f>IF(ABS(J440)&lt;=K440,"OK",IF(M440&lt;&gt;"","EXPLAINED","CHECK"))</f>
        <v/>
      </c>
      <c r="M440" s="7" t="inlineStr"/>
    </row>
    <row r="441">
      <c r="A441" s="33" t="n">
        <v>45481</v>
      </c>
      <c r="B441" s="7" t="inlineStr">
        <is>
          <t>NB Premium</t>
        </is>
      </c>
      <c r="C441" s="7" t="inlineStr">
        <is>
          <t>Jun-24</t>
        </is>
      </c>
      <c r="D441" s="35" t="n">
        <v>15.11</v>
      </c>
      <c r="E441" s="32" t="n">
        <v>0.141</v>
      </c>
      <c r="F441" s="35">
        <f>D441/(1+E441)</f>
        <v/>
      </c>
      <c r="G441" s="7" t="inlineStr">
        <is>
          <t>Jun-23</t>
        </is>
      </c>
      <c r="H441" s="35" t="n">
        <v>13.24</v>
      </c>
      <c r="I441" s="33" t="n">
        <v>45114</v>
      </c>
      <c r="J441" s="36">
        <f>F441-H441</f>
        <v/>
      </c>
      <c r="K441" s="16">
        <f>0.005/(1+E441)+D441*0.0005/(1+E441)^2+0.005</f>
        <v/>
      </c>
      <c r="L441" s="17">
        <f>IF(ABS(J441)&lt;=K441,"OK",IF(M441&lt;&gt;"","EXPLAINED","CHECK"))</f>
        <v/>
      </c>
      <c r="M441" s="7" t="inlineStr"/>
    </row>
    <row r="442">
      <c r="A442" s="33" t="n">
        <v>45481</v>
      </c>
      <c r="B442" s="7" t="inlineStr">
        <is>
          <t>NB Premium</t>
        </is>
      </c>
      <c r="C442" s="7" t="inlineStr">
        <is>
          <t>May-24</t>
        </is>
      </c>
      <c r="D442" s="35" t="n">
        <v>13.18</v>
      </c>
      <c r="E442" s="32" t="n">
        <v>0.326</v>
      </c>
      <c r="F442" s="35">
        <f>D442/(1+E442)</f>
        <v/>
      </c>
      <c r="G442" s="7" t="inlineStr">
        <is>
          <t>May-23</t>
        </is>
      </c>
      <c r="H442" s="35" t="n">
        <v>9.94</v>
      </c>
      <c r="I442" s="33" t="n">
        <v>45114</v>
      </c>
      <c r="J442" s="36">
        <f>F442-H442</f>
        <v/>
      </c>
      <c r="K442" s="16">
        <f>0.005/(1+E442)+D442*0.0005/(1+E442)^2+0.005</f>
        <v/>
      </c>
      <c r="L442" s="17">
        <f>IF(ABS(J442)&lt;=K442,"OK",IF(M442&lt;&gt;"","EXPLAINED","CHECK"))</f>
        <v/>
      </c>
      <c r="M442" s="7" t="inlineStr"/>
    </row>
    <row r="443">
      <c r="A443" s="33" t="n">
        <v>45481</v>
      </c>
      <c r="B443" s="7" t="inlineStr">
        <is>
          <t>NB Premium</t>
        </is>
      </c>
      <c r="C443" s="7" t="inlineStr">
        <is>
          <t>Apr-24</t>
        </is>
      </c>
      <c r="D443" s="35" t="n">
        <v>9.4</v>
      </c>
      <c r="E443" s="32" t="n">
        <v>0.281</v>
      </c>
      <c r="F443" s="35">
        <f>D443/(1+E443)</f>
        <v/>
      </c>
      <c r="G443" s="7" t="inlineStr">
        <is>
          <t>Apr-23</t>
        </is>
      </c>
      <c r="H443" s="35" t="n">
        <v>7.34</v>
      </c>
      <c r="I443" s="33" t="n">
        <v>45114</v>
      </c>
      <c r="J443" s="36">
        <f>F443-H443</f>
        <v/>
      </c>
      <c r="K443" s="16">
        <f>0.005/(1+E443)+D443*0.0005/(1+E443)^2+0.005</f>
        <v/>
      </c>
      <c r="L443" s="17">
        <f>IF(ABS(J443)&lt;=K443,"OK",IF(M443&lt;&gt;"","EXPLAINED","CHECK"))</f>
        <v/>
      </c>
      <c r="M443" s="7" t="inlineStr"/>
    </row>
    <row r="444">
      <c r="A444" s="33" t="n">
        <v>45481</v>
      </c>
      <c r="B444" s="7" t="inlineStr">
        <is>
          <t>APE</t>
        </is>
      </c>
      <c r="C444" s="7" t="inlineStr">
        <is>
          <t>Q1-FY2025</t>
        </is>
      </c>
      <c r="D444" s="35" t="n">
        <v>19.63</v>
      </c>
      <c r="E444" s="32" t="n">
        <v>0.344</v>
      </c>
      <c r="F444" s="35">
        <f>D444/(1+E444)</f>
        <v/>
      </c>
      <c r="G444" s="7" t="inlineStr">
        <is>
          <t>Q1-FY2024</t>
        </is>
      </c>
      <c r="H444" s="35" t="n">
        <v>14.61</v>
      </c>
      <c r="I444" s="33" t="n">
        <v>45358</v>
      </c>
      <c r="J444" s="36">
        <f>F444-H444</f>
        <v/>
      </c>
      <c r="K444" s="16">
        <f>0.005/(1+E444)+D444*0.0005/(1+E444)^2+0.005</f>
        <v/>
      </c>
      <c r="L444" s="17">
        <f>IF(ABS(J444)&lt;=K444,"OK",IF(M444&lt;&gt;"","EXPLAINED","CHECK"))</f>
        <v/>
      </c>
      <c r="M444" s="7" t="inlineStr"/>
    </row>
    <row r="445">
      <c r="A445" s="33" t="n">
        <v>45481</v>
      </c>
      <c r="B445" s="7" t="inlineStr">
        <is>
          <t>APE</t>
        </is>
      </c>
      <c r="C445" s="7" t="inlineStr">
        <is>
          <t>FY2024</t>
        </is>
      </c>
      <c r="D445" s="35" t="n">
        <v>90.45999999999999</v>
      </c>
      <c r="E445" s="32" t="n">
        <v>0.047</v>
      </c>
      <c r="F445" s="35">
        <f>D445/(1+E445)</f>
        <v/>
      </c>
      <c r="G445" s="7" t="inlineStr">
        <is>
          <t>FY2023</t>
        </is>
      </c>
      <c r="H445" s="35" t="n">
        <v>86.40000000000001</v>
      </c>
      <c r="I445" s="33" t="n">
        <v>45358</v>
      </c>
      <c r="J445" s="36">
        <f>F445-H445</f>
        <v/>
      </c>
      <c r="K445" s="16">
        <f>0.005/(1+E445)+D445*0.0005/(1+E445)^2+0.005</f>
        <v/>
      </c>
      <c r="L445" s="17">
        <f>IF(ABS(J445)&lt;=K445,"OK",IF(M445&lt;&gt;"","EXPLAINED","CHECK"))</f>
        <v/>
      </c>
      <c r="M445" s="7" t="inlineStr"/>
    </row>
    <row r="446">
      <c r="A446" s="33" t="n">
        <v>45481</v>
      </c>
      <c r="B446" s="7" t="inlineStr">
        <is>
          <t>APE</t>
        </is>
      </c>
      <c r="C446" s="7" t="inlineStr">
        <is>
          <t>Jun-24</t>
        </is>
      </c>
      <c r="D446" s="35" t="n">
        <v>7.32</v>
      </c>
      <c r="E446" s="32" t="n">
        <v>0.169</v>
      </c>
      <c r="F446" s="35">
        <f>D446/(1+E446)</f>
        <v/>
      </c>
      <c r="G446" s="7" t="inlineStr">
        <is>
          <t>Jun-23</t>
        </is>
      </c>
      <c r="H446" s="35" t="n">
        <v>6.26</v>
      </c>
      <c r="I446" s="33" t="n">
        <v>45114</v>
      </c>
      <c r="J446" s="36">
        <f>F446-H446</f>
        <v/>
      </c>
      <c r="K446" s="16">
        <f>0.005/(1+E446)+D446*0.0005/(1+E446)^2+0.005</f>
        <v/>
      </c>
      <c r="L446" s="17">
        <f>IF(ABS(J446)&lt;=K446,"OK",IF(M446&lt;&gt;"","EXPLAINED","CHECK"))</f>
        <v/>
      </c>
      <c r="M446" s="7" t="inlineStr"/>
    </row>
    <row r="447">
      <c r="A447" s="33" t="n">
        <v>45481</v>
      </c>
      <c r="B447" s="7" t="inlineStr">
        <is>
          <t>APE</t>
        </is>
      </c>
      <c r="C447" s="7" t="inlineStr">
        <is>
          <t>May-24</t>
        </is>
      </c>
      <c r="D447" s="35" t="n">
        <v>7.05</v>
      </c>
      <c r="E447" s="32" t="n">
        <v>0.513</v>
      </c>
      <c r="F447" s="35">
        <f>D447/(1+E447)</f>
        <v/>
      </c>
      <c r="G447" s="7" t="inlineStr">
        <is>
          <t>May-23</t>
        </is>
      </c>
      <c r="H447" s="35" t="n">
        <v>4.66</v>
      </c>
      <c r="I447" s="33" t="n">
        <v>45114</v>
      </c>
      <c r="J447" s="36">
        <f>F447-H447</f>
        <v/>
      </c>
      <c r="K447" s="16">
        <f>0.005/(1+E447)+D447*0.0005/(1+E447)^2+0.005</f>
        <v/>
      </c>
      <c r="L447" s="17">
        <f>IF(ABS(J447)&lt;=K447,"OK",IF(M447&lt;&gt;"","EXPLAINED","CHECK"))</f>
        <v/>
      </c>
      <c r="M447" s="7" t="inlineStr"/>
    </row>
    <row r="448">
      <c r="A448" s="33" t="n">
        <v>45481</v>
      </c>
      <c r="B448" s="7" t="inlineStr">
        <is>
          <t>APE</t>
        </is>
      </c>
      <c r="C448" s="7" t="inlineStr">
        <is>
          <t>Apr-24</t>
        </is>
      </c>
      <c r="D448" s="35" t="n">
        <v>5.26</v>
      </c>
      <c r="E448" s="32" t="n">
        <v>0.429</v>
      </c>
      <c r="F448" s="35">
        <f>D448/(1+E448)</f>
        <v/>
      </c>
      <c r="G448" s="7" t="inlineStr">
        <is>
          <t>Apr-23</t>
        </is>
      </c>
      <c r="H448" s="35" t="n">
        <v>3.68</v>
      </c>
      <c r="I448" s="33" t="n">
        <v>45114</v>
      </c>
      <c r="J448" s="36">
        <f>F448-H448</f>
        <v/>
      </c>
      <c r="K448" s="16">
        <f>0.005/(1+E448)+D448*0.0005/(1+E448)^2+0.005</f>
        <v/>
      </c>
      <c r="L448" s="17">
        <f>IF(ABS(J448)&lt;=K448,"OK",IF(M448&lt;&gt;"","EXPLAINED","CHECK"))</f>
        <v/>
      </c>
      <c r="M448" s="7" t="inlineStr"/>
    </row>
    <row r="449">
      <c r="A449" s="33" t="n">
        <v>45481</v>
      </c>
      <c r="B449" s="7" t="inlineStr">
        <is>
          <t>RWRP</t>
        </is>
      </c>
      <c r="C449" s="7" t="inlineStr">
        <is>
          <t>Q1-FY2025</t>
        </is>
      </c>
      <c r="D449" s="35" t="n">
        <v>15.58</v>
      </c>
      <c r="E449" s="32" t="n">
        <v>0.468</v>
      </c>
      <c r="F449" s="35">
        <f>D449/(1+E449)</f>
        <v/>
      </c>
      <c r="G449" s="7" t="inlineStr">
        <is>
          <t>Q1-FY2024</t>
        </is>
      </c>
      <c r="H449" s="35" t="n">
        <v>10.61</v>
      </c>
      <c r="I449" s="33" t="n">
        <v>45358</v>
      </c>
      <c r="J449" s="36">
        <f>F449-H449</f>
        <v/>
      </c>
      <c r="K449" s="16">
        <f>0.005/(1+E449)+D449*0.0005/(1+E449)^2+0.005</f>
        <v/>
      </c>
      <c r="L449" s="17">
        <f>IF(ABS(J449)&lt;=K449,"OK",IF(M449&lt;&gt;"","EXPLAINED","CHECK"))</f>
        <v/>
      </c>
      <c r="M449" s="7" t="inlineStr"/>
    </row>
    <row r="450">
      <c r="A450" s="33" t="n">
        <v>45481</v>
      </c>
      <c r="B450" s="7" t="inlineStr">
        <is>
          <t>RWRP</t>
        </is>
      </c>
      <c r="C450" s="7" t="inlineStr">
        <is>
          <t>FY2024</t>
        </is>
      </c>
      <c r="D450" s="35" t="n">
        <v>72.13</v>
      </c>
      <c r="E450" s="32" t="n">
        <v>0.07000000000000001</v>
      </c>
      <c r="F450" s="35">
        <f>D450/(1+E450)</f>
        <v/>
      </c>
      <c r="G450" s="7" t="inlineStr">
        <is>
          <t>FY2023</t>
        </is>
      </c>
      <c r="H450" s="35" t="n">
        <v>67.38</v>
      </c>
      <c r="I450" s="33" t="n">
        <v>45358</v>
      </c>
      <c r="J450" s="36">
        <f>F450-H450</f>
        <v/>
      </c>
      <c r="K450" s="16">
        <f>0.005/(1+E450)+D450*0.0005/(1+E450)^2+0.005</f>
        <v/>
      </c>
      <c r="L450" s="17">
        <f>IF(ABS(J450)&lt;=K450,"OK",IF(M450&lt;&gt;"","EXPLAINED","CHECK"))</f>
        <v/>
      </c>
      <c r="M450" s="7" t="inlineStr"/>
    </row>
    <row r="451">
      <c r="A451" s="33" t="n">
        <v>45481</v>
      </c>
      <c r="B451" s="7" t="inlineStr">
        <is>
          <t>RWRP</t>
        </is>
      </c>
      <c r="C451" s="7" t="inlineStr">
        <is>
          <t>Jun-24</t>
        </is>
      </c>
      <c r="D451" s="35" t="n">
        <v>6.15</v>
      </c>
      <c r="E451" s="32" t="n">
        <v>0.276</v>
      </c>
      <c r="F451" s="35">
        <f>D451/(1+E451)</f>
        <v/>
      </c>
      <c r="G451" s="7" t="inlineStr">
        <is>
          <t>Jun-23</t>
        </is>
      </c>
      <c r="H451" s="35" t="n">
        <v>4.82</v>
      </c>
      <c r="I451" s="33" t="n">
        <v>45114</v>
      </c>
      <c r="J451" s="36">
        <f>F451-H451</f>
        <v/>
      </c>
      <c r="K451" s="16">
        <f>0.005/(1+E451)+D451*0.0005/(1+E451)^2+0.005</f>
        <v/>
      </c>
      <c r="L451" s="17">
        <f>IF(ABS(J451)&lt;=K451,"OK",IF(M451&lt;&gt;"","EXPLAINED","CHECK"))</f>
        <v/>
      </c>
      <c r="M451" s="7" t="inlineStr"/>
    </row>
    <row r="452">
      <c r="A452" s="33" t="n">
        <v>45481</v>
      </c>
      <c r="B452" s="7" t="inlineStr">
        <is>
          <t>RWRP</t>
        </is>
      </c>
      <c r="C452" s="7" t="inlineStr">
        <is>
          <t>May-24</t>
        </is>
      </c>
      <c r="D452" s="35" t="n">
        <v>5.42</v>
      </c>
      <c r="E452" s="32" t="n">
        <v>0.5660000000000001</v>
      </c>
      <c r="F452" s="35">
        <f>D452/(1+E452)</f>
        <v/>
      </c>
      <c r="G452" s="7" t="inlineStr">
        <is>
          <t>May-23</t>
        </is>
      </c>
      <c r="H452" s="35" t="n">
        <v>3.46</v>
      </c>
      <c r="I452" s="33" t="n">
        <v>45114</v>
      </c>
      <c r="J452" s="36">
        <f>F452-H452</f>
        <v/>
      </c>
      <c r="K452" s="16">
        <f>0.005/(1+E452)+D452*0.0005/(1+E452)^2+0.005</f>
        <v/>
      </c>
      <c r="L452" s="17">
        <f>IF(ABS(J452)&lt;=K452,"OK",IF(M452&lt;&gt;"","EXPLAINED","CHECK"))</f>
        <v/>
      </c>
      <c r="M452" s="7" t="inlineStr"/>
    </row>
    <row r="453">
      <c r="A453" s="33" t="n">
        <v>45481</v>
      </c>
      <c r="B453" s="7" t="inlineStr">
        <is>
          <t>RWRP</t>
        </is>
      </c>
      <c r="C453" s="7" t="inlineStr">
        <is>
          <t>Apr-24</t>
        </is>
      </c>
      <c r="D453" s="35" t="n">
        <v>4.01</v>
      </c>
      <c r="E453" s="32" t="n">
        <v>0.721</v>
      </c>
      <c r="F453" s="35">
        <f>D453/(1+E453)</f>
        <v/>
      </c>
      <c r="G453" s="7" t="inlineStr">
        <is>
          <t>Apr-23</t>
        </is>
      </c>
      <c r="H453" s="35" t="n">
        <v>2.33</v>
      </c>
      <c r="I453" s="33" t="n">
        <v>45114</v>
      </c>
      <c r="J453" s="36">
        <f>F453-H453</f>
        <v/>
      </c>
      <c r="K453" s="16">
        <f>0.005/(1+E453)+D453*0.0005/(1+E453)^2+0.005</f>
        <v/>
      </c>
      <c r="L453" s="17">
        <f>IF(ABS(J453)&lt;=K453,"OK",IF(M453&lt;&gt;"","EXPLAINED","CHECK"))</f>
        <v/>
      </c>
      <c r="M453" s="7" t="inlineStr"/>
    </row>
    <row r="454">
      <c r="A454" s="33" t="n">
        <v>45453</v>
      </c>
      <c r="B454" s="7" t="inlineStr">
        <is>
          <t>NB Sum Assured</t>
        </is>
      </c>
      <c r="C454" s="7" t="inlineStr">
        <is>
          <t>FY2024</t>
        </is>
      </c>
      <c r="D454" s="35" t="n">
        <v>10221.11</v>
      </c>
      <c r="E454" s="32" t="n">
        <v>-0.019</v>
      </c>
      <c r="F454" s="35">
        <f>D454/(1+E454)</f>
        <v/>
      </c>
      <c r="G454" s="7" t="inlineStr">
        <is>
          <t>FY2023</t>
        </is>
      </c>
      <c r="H454" s="35" t="n">
        <v>10413.92</v>
      </c>
      <c r="I454" s="33" t="n">
        <v>45358</v>
      </c>
      <c r="J454" s="36">
        <f>F454-H454</f>
        <v/>
      </c>
      <c r="K454" s="16">
        <f>0.005/(1+E454)+D454*0.0005/(1+E454)^2+0.005</f>
        <v/>
      </c>
      <c r="L454" s="17">
        <f>IF(ABS(J454)&lt;=K454,"OK",IF(M454&lt;&gt;"","EXPLAINED","CHECK"))</f>
        <v/>
      </c>
      <c r="M454" s="7" t="inlineStr"/>
    </row>
    <row r="455">
      <c r="A455" s="33" t="n">
        <v>45453</v>
      </c>
      <c r="B455" s="7" t="inlineStr">
        <is>
          <t>NB Sum Assured</t>
        </is>
      </c>
      <c r="C455" s="7" t="inlineStr">
        <is>
          <t>May-24</t>
        </is>
      </c>
      <c r="D455" s="35" t="n">
        <v>889.24</v>
      </c>
      <c r="E455" s="32" t="n">
        <v>0.096</v>
      </c>
      <c r="F455" s="35">
        <f>D455/(1+E455)</f>
        <v/>
      </c>
      <c r="G455" s="7" t="inlineStr">
        <is>
          <t>May-23</t>
        </is>
      </c>
      <c r="H455" s="35" t="n">
        <v>811.22</v>
      </c>
      <c r="I455" s="33" t="n">
        <v>45114</v>
      </c>
      <c r="J455" s="36">
        <f>F455-H455</f>
        <v/>
      </c>
      <c r="K455" s="16">
        <f>0.005/(1+E455)+D455*0.0005/(1+E455)^2+0.005</f>
        <v/>
      </c>
      <c r="L455" s="17">
        <f>IF(ABS(J455)&lt;=K455,"OK",IF(M455&lt;&gt;"","EXPLAINED","CHECK"))</f>
        <v/>
      </c>
      <c r="M455" s="7" t="inlineStr"/>
    </row>
    <row r="456">
      <c r="A456" s="33" t="n">
        <v>45453</v>
      </c>
      <c r="B456" s="7" t="inlineStr">
        <is>
          <t>NB Sum Assured</t>
        </is>
      </c>
      <c r="C456" s="7" t="inlineStr">
        <is>
          <t>Apr-24</t>
        </is>
      </c>
      <c r="D456" s="35" t="n">
        <v>981.96</v>
      </c>
      <c r="E456" s="32" t="n">
        <v>0.168</v>
      </c>
      <c r="F456" s="35">
        <f>D456/(1+E456)</f>
        <v/>
      </c>
      <c r="G456" s="7" t="inlineStr">
        <is>
          <t>Apr-23</t>
        </is>
      </c>
      <c r="H456" s="35" t="n">
        <v>840.55</v>
      </c>
      <c r="I456" s="33" t="n">
        <v>45114</v>
      </c>
      <c r="J456" s="36">
        <f>F456-H456</f>
        <v/>
      </c>
      <c r="K456" s="16">
        <f>0.005/(1+E456)+D456*0.0005/(1+E456)^2+0.005</f>
        <v/>
      </c>
      <c r="L456" s="17">
        <f>IF(ABS(J456)&lt;=K456,"OK",IF(M456&lt;&gt;"","EXPLAINED","CHECK"))</f>
        <v/>
      </c>
      <c r="M456" s="7" t="inlineStr"/>
    </row>
    <row r="457">
      <c r="A457" s="33" t="n">
        <v>45453</v>
      </c>
      <c r="B457" s="7" t="inlineStr">
        <is>
          <t>NB Premium</t>
        </is>
      </c>
      <c r="C457" s="7" t="inlineStr">
        <is>
          <t>FY2024</t>
        </is>
      </c>
      <c r="D457" s="35" t="n">
        <v>180.81</v>
      </c>
      <c r="E457" s="32" t="n">
        <v>0.068</v>
      </c>
      <c r="F457" s="35">
        <f>D457/(1+E457)</f>
        <v/>
      </c>
      <c r="G457" s="7" t="inlineStr">
        <is>
          <t>FY2023</t>
        </is>
      </c>
      <c r="H457" s="35" t="n">
        <v>169.22</v>
      </c>
      <c r="I457" s="33" t="n">
        <v>45358</v>
      </c>
      <c r="J457" s="36">
        <f>F457-H457</f>
        <v/>
      </c>
      <c r="K457" s="16">
        <f>0.005/(1+E457)+D457*0.0005/(1+E457)^2+0.005</f>
        <v/>
      </c>
      <c r="L457" s="17">
        <f>IF(ABS(J457)&lt;=K457,"OK",IF(M457&lt;&gt;"","EXPLAINED","CHECK"))</f>
        <v/>
      </c>
      <c r="M457" s="7" t="inlineStr"/>
    </row>
    <row r="458">
      <c r="A458" s="33" t="n">
        <v>45453</v>
      </c>
      <c r="B458" s="7" t="inlineStr">
        <is>
          <t>NB Premium</t>
        </is>
      </c>
      <c r="C458" s="7" t="inlineStr">
        <is>
          <t>May-24</t>
        </is>
      </c>
      <c r="D458" s="35" t="n">
        <v>13.18</v>
      </c>
      <c r="E458" s="32" t="n">
        <v>0.326</v>
      </c>
      <c r="F458" s="35">
        <f>D458/(1+E458)</f>
        <v/>
      </c>
      <c r="G458" s="7" t="inlineStr">
        <is>
          <t>May-23</t>
        </is>
      </c>
      <c r="H458" s="35" t="n">
        <v>9.94</v>
      </c>
      <c r="I458" s="33" t="n">
        <v>45114</v>
      </c>
      <c r="J458" s="36">
        <f>F458-H458</f>
        <v/>
      </c>
      <c r="K458" s="16">
        <f>0.005/(1+E458)+D458*0.0005/(1+E458)^2+0.005</f>
        <v/>
      </c>
      <c r="L458" s="17">
        <f>IF(ABS(J458)&lt;=K458,"OK",IF(M458&lt;&gt;"","EXPLAINED","CHECK"))</f>
        <v/>
      </c>
      <c r="M458" s="7" t="inlineStr"/>
    </row>
    <row r="459">
      <c r="A459" s="33" t="n">
        <v>45453</v>
      </c>
      <c r="B459" s="7" t="inlineStr">
        <is>
          <t>NB Premium</t>
        </is>
      </c>
      <c r="C459" s="7" t="inlineStr">
        <is>
          <t>Apr-24</t>
        </is>
      </c>
      <c r="D459" s="35" t="n">
        <v>9.4</v>
      </c>
      <c r="E459" s="32" t="n">
        <v>0.281</v>
      </c>
      <c r="F459" s="35">
        <f>D459/(1+E459)</f>
        <v/>
      </c>
      <c r="G459" s="7" t="inlineStr">
        <is>
          <t>Apr-23</t>
        </is>
      </c>
      <c r="H459" s="35" t="n">
        <v>7.34</v>
      </c>
      <c r="I459" s="33" t="n">
        <v>45114</v>
      </c>
      <c r="J459" s="36">
        <f>F459-H459</f>
        <v/>
      </c>
      <c r="K459" s="16">
        <f>0.005/(1+E459)+D459*0.0005/(1+E459)^2+0.005</f>
        <v/>
      </c>
      <c r="L459" s="17">
        <f>IF(ABS(J459)&lt;=K459,"OK",IF(M459&lt;&gt;"","EXPLAINED","CHECK"))</f>
        <v/>
      </c>
      <c r="M459" s="7" t="inlineStr"/>
    </row>
    <row r="460">
      <c r="A460" s="33" t="n">
        <v>45453</v>
      </c>
      <c r="B460" s="7" t="inlineStr">
        <is>
          <t>APE</t>
        </is>
      </c>
      <c r="C460" s="7" t="inlineStr">
        <is>
          <t>FY2024</t>
        </is>
      </c>
      <c r="D460" s="35" t="n">
        <v>90.45999999999999</v>
      </c>
      <c r="E460" s="32" t="n">
        <v>0.047</v>
      </c>
      <c r="F460" s="35">
        <f>D460/(1+E460)</f>
        <v/>
      </c>
      <c r="G460" s="7" t="inlineStr">
        <is>
          <t>FY2023</t>
        </is>
      </c>
      <c r="H460" s="35" t="n">
        <v>86.40000000000001</v>
      </c>
      <c r="I460" s="33" t="n">
        <v>45358</v>
      </c>
      <c r="J460" s="36">
        <f>F460-H460</f>
        <v/>
      </c>
      <c r="K460" s="16">
        <f>0.005/(1+E460)+D460*0.0005/(1+E460)^2+0.005</f>
        <v/>
      </c>
      <c r="L460" s="17">
        <f>IF(ABS(J460)&lt;=K460,"OK",IF(M460&lt;&gt;"","EXPLAINED","CHECK"))</f>
        <v/>
      </c>
      <c r="M460" s="7" t="inlineStr"/>
    </row>
    <row r="461">
      <c r="A461" s="33" t="n">
        <v>45453</v>
      </c>
      <c r="B461" s="7" t="inlineStr">
        <is>
          <t>APE</t>
        </is>
      </c>
      <c r="C461" s="7" t="inlineStr">
        <is>
          <t>May-24</t>
        </is>
      </c>
      <c r="D461" s="35" t="n">
        <v>7.05</v>
      </c>
      <c r="E461" s="32" t="n">
        <v>0.513</v>
      </c>
      <c r="F461" s="35">
        <f>D461/(1+E461)</f>
        <v/>
      </c>
      <c r="G461" s="7" t="inlineStr">
        <is>
          <t>May-23</t>
        </is>
      </c>
      <c r="H461" s="35" t="n">
        <v>4.66</v>
      </c>
      <c r="I461" s="33" t="n">
        <v>45114</v>
      </c>
      <c r="J461" s="36">
        <f>F461-H461</f>
        <v/>
      </c>
      <c r="K461" s="16">
        <f>0.005/(1+E461)+D461*0.0005/(1+E461)^2+0.005</f>
        <v/>
      </c>
      <c r="L461" s="17">
        <f>IF(ABS(J461)&lt;=K461,"OK",IF(M461&lt;&gt;"","EXPLAINED","CHECK"))</f>
        <v/>
      </c>
      <c r="M461" s="7" t="inlineStr"/>
    </row>
    <row r="462">
      <c r="A462" s="33" t="n">
        <v>45453</v>
      </c>
      <c r="B462" s="7" t="inlineStr">
        <is>
          <t>APE</t>
        </is>
      </c>
      <c r="C462" s="7" t="inlineStr">
        <is>
          <t>Apr-24</t>
        </is>
      </c>
      <c r="D462" s="35" t="n">
        <v>5.26</v>
      </c>
      <c r="E462" s="32" t="n">
        <v>0.429</v>
      </c>
      <c r="F462" s="35">
        <f>D462/(1+E462)</f>
        <v/>
      </c>
      <c r="G462" s="7" t="inlineStr">
        <is>
          <t>Apr-23</t>
        </is>
      </c>
      <c r="H462" s="35" t="n">
        <v>3.68</v>
      </c>
      <c r="I462" s="33" t="n">
        <v>45114</v>
      </c>
      <c r="J462" s="36">
        <f>F462-H462</f>
        <v/>
      </c>
      <c r="K462" s="16">
        <f>0.005/(1+E462)+D462*0.0005/(1+E462)^2+0.005</f>
        <v/>
      </c>
      <c r="L462" s="17">
        <f>IF(ABS(J462)&lt;=K462,"OK",IF(M462&lt;&gt;"","EXPLAINED","CHECK"))</f>
        <v/>
      </c>
      <c r="M462" s="7" t="inlineStr"/>
    </row>
    <row r="463">
      <c r="A463" s="33" t="n">
        <v>45453</v>
      </c>
      <c r="B463" s="7" t="inlineStr">
        <is>
          <t>RWRP</t>
        </is>
      </c>
      <c r="C463" s="7" t="inlineStr">
        <is>
          <t>FY2024</t>
        </is>
      </c>
      <c r="D463" s="35" t="n">
        <v>72.13</v>
      </c>
      <c r="E463" s="32" t="n">
        <v>0.07000000000000001</v>
      </c>
      <c r="F463" s="35">
        <f>D463/(1+E463)</f>
        <v/>
      </c>
      <c r="G463" s="7" t="inlineStr">
        <is>
          <t>FY2023</t>
        </is>
      </c>
      <c r="H463" s="35" t="n">
        <v>67.38</v>
      </c>
      <c r="I463" s="33" t="n">
        <v>45358</v>
      </c>
      <c r="J463" s="36">
        <f>F463-H463</f>
        <v/>
      </c>
      <c r="K463" s="16">
        <f>0.005/(1+E463)+D463*0.0005/(1+E463)^2+0.005</f>
        <v/>
      </c>
      <c r="L463" s="17">
        <f>IF(ABS(J463)&lt;=K463,"OK",IF(M463&lt;&gt;"","EXPLAINED","CHECK"))</f>
        <v/>
      </c>
      <c r="M463" s="7" t="inlineStr"/>
    </row>
    <row r="464">
      <c r="A464" s="33" t="n">
        <v>45453</v>
      </c>
      <c r="B464" s="7" t="inlineStr">
        <is>
          <t>RWRP</t>
        </is>
      </c>
      <c r="C464" s="7" t="inlineStr">
        <is>
          <t>May-24</t>
        </is>
      </c>
      <c r="D464" s="35" t="n">
        <v>5.42</v>
      </c>
      <c r="E464" s="32" t="n">
        <v>0.5660000000000001</v>
      </c>
      <c r="F464" s="35">
        <f>D464/(1+E464)</f>
        <v/>
      </c>
      <c r="G464" s="7" t="inlineStr">
        <is>
          <t>May-23</t>
        </is>
      </c>
      <c r="H464" s="35" t="n">
        <v>3.46</v>
      </c>
      <c r="I464" s="33" t="n">
        <v>45114</v>
      </c>
      <c r="J464" s="36">
        <f>F464-H464</f>
        <v/>
      </c>
      <c r="K464" s="16">
        <f>0.005/(1+E464)+D464*0.0005/(1+E464)^2+0.005</f>
        <v/>
      </c>
      <c r="L464" s="17">
        <f>IF(ABS(J464)&lt;=K464,"OK",IF(M464&lt;&gt;"","EXPLAINED","CHECK"))</f>
        <v/>
      </c>
      <c r="M464" s="7" t="inlineStr"/>
    </row>
    <row r="465">
      <c r="A465" s="33" t="n">
        <v>45453</v>
      </c>
      <c r="B465" s="7" t="inlineStr">
        <is>
          <t>RWRP</t>
        </is>
      </c>
      <c r="C465" s="7" t="inlineStr">
        <is>
          <t>Apr-24</t>
        </is>
      </c>
      <c r="D465" s="35" t="n">
        <v>4.01</v>
      </c>
      <c r="E465" s="32" t="n">
        <v>0.721</v>
      </c>
      <c r="F465" s="35">
        <f>D465/(1+E465)</f>
        <v/>
      </c>
      <c r="G465" s="7" t="inlineStr">
        <is>
          <t>Apr-23</t>
        </is>
      </c>
      <c r="H465" s="35" t="n">
        <v>2.33</v>
      </c>
      <c r="I465" s="33" t="n">
        <v>45114</v>
      </c>
      <c r="J465" s="36">
        <f>F465-H465</f>
        <v/>
      </c>
      <c r="K465" s="16">
        <f>0.005/(1+E465)+D465*0.0005/(1+E465)^2+0.005</f>
        <v/>
      </c>
      <c r="L465" s="17">
        <f>IF(ABS(J465)&lt;=K465,"OK",IF(M465&lt;&gt;"","EXPLAINED","CHECK"))</f>
        <v/>
      </c>
      <c r="M465" s="7" t="inlineStr"/>
    </row>
    <row r="466">
      <c r="A466" s="33" t="n">
        <v>45421</v>
      </c>
      <c r="B466" s="7" t="inlineStr">
        <is>
          <t>NB Sum Assured</t>
        </is>
      </c>
      <c r="C466" s="7" t="inlineStr">
        <is>
          <t>Apr-24</t>
        </is>
      </c>
      <c r="D466" s="35" t="n">
        <v>981.96</v>
      </c>
      <c r="E466" s="32" t="n">
        <v>0.168</v>
      </c>
      <c r="F466" s="35">
        <f>D466/(1+E466)</f>
        <v/>
      </c>
      <c r="G466" s="7" t="inlineStr">
        <is>
          <t>Apr-23</t>
        </is>
      </c>
      <c r="H466" s="35" t="n">
        <v>840.55</v>
      </c>
      <c r="I466" s="33" t="n">
        <v>45114</v>
      </c>
      <c r="J466" s="36">
        <f>F466-H466</f>
        <v/>
      </c>
      <c r="K466" s="16">
        <f>0.005/(1+E466)+D466*0.0005/(1+E466)^2+0.005</f>
        <v/>
      </c>
      <c r="L466" s="17">
        <f>IF(ABS(J466)&lt;=K466,"OK",IF(M466&lt;&gt;"","EXPLAINED","CHECK"))</f>
        <v/>
      </c>
      <c r="M466" s="7" t="inlineStr"/>
    </row>
    <row r="467">
      <c r="A467" s="33" t="n">
        <v>45421</v>
      </c>
      <c r="B467" s="7" t="inlineStr">
        <is>
          <t>NB Premium</t>
        </is>
      </c>
      <c r="C467" s="7" t="inlineStr">
        <is>
          <t>Apr-24</t>
        </is>
      </c>
      <c r="D467" s="35" t="n">
        <v>9.4</v>
      </c>
      <c r="E467" s="32" t="n">
        <v>0.281</v>
      </c>
      <c r="F467" s="35">
        <f>D467/(1+E467)</f>
        <v/>
      </c>
      <c r="G467" s="7" t="inlineStr">
        <is>
          <t>Apr-23</t>
        </is>
      </c>
      <c r="H467" s="35" t="n">
        <v>7.34</v>
      </c>
      <c r="I467" s="33" t="n">
        <v>45114</v>
      </c>
      <c r="J467" s="36">
        <f>F467-H467</f>
        <v/>
      </c>
      <c r="K467" s="16">
        <f>0.005/(1+E467)+D467*0.0005/(1+E467)^2+0.005</f>
        <v/>
      </c>
      <c r="L467" s="17">
        <f>IF(ABS(J467)&lt;=K467,"OK",IF(M467&lt;&gt;"","EXPLAINED","CHECK"))</f>
        <v/>
      </c>
      <c r="M467" s="7" t="inlineStr"/>
    </row>
    <row r="468">
      <c r="A468" s="33" t="n">
        <v>45421</v>
      </c>
      <c r="B468" s="7" t="inlineStr">
        <is>
          <t>APE</t>
        </is>
      </c>
      <c r="C468" s="7" t="inlineStr">
        <is>
          <t>Apr-24</t>
        </is>
      </c>
      <c r="D468" s="35" t="n">
        <v>5.26</v>
      </c>
      <c r="E468" s="32" t="n">
        <v>0.429</v>
      </c>
      <c r="F468" s="35">
        <f>D468/(1+E468)</f>
        <v/>
      </c>
      <c r="G468" s="7" t="inlineStr">
        <is>
          <t>Apr-23</t>
        </is>
      </c>
      <c r="H468" s="35" t="n">
        <v>3.68</v>
      </c>
      <c r="I468" s="33" t="n">
        <v>45114</v>
      </c>
      <c r="J468" s="36">
        <f>F468-H468</f>
        <v/>
      </c>
      <c r="K468" s="16">
        <f>0.005/(1+E468)+D468*0.0005/(1+E468)^2+0.005</f>
        <v/>
      </c>
      <c r="L468" s="17">
        <f>IF(ABS(J468)&lt;=K468,"OK",IF(M468&lt;&gt;"","EXPLAINED","CHECK"))</f>
        <v/>
      </c>
      <c r="M468" s="7" t="inlineStr"/>
    </row>
    <row r="469">
      <c r="A469" s="33" t="n">
        <v>45421</v>
      </c>
      <c r="B469" s="7" t="inlineStr">
        <is>
          <t>RWRP</t>
        </is>
      </c>
      <c r="C469" s="7" t="inlineStr">
        <is>
          <t>Apr-24</t>
        </is>
      </c>
      <c r="D469" s="35" t="n">
        <v>4.01</v>
      </c>
      <c r="E469" s="32" t="n">
        <v>0.721</v>
      </c>
      <c r="F469" s="35">
        <f>D469/(1+E469)</f>
        <v/>
      </c>
      <c r="G469" s="7" t="inlineStr">
        <is>
          <t>Apr-23</t>
        </is>
      </c>
      <c r="H469" s="35" t="n">
        <v>2.33</v>
      </c>
      <c r="I469" s="33" t="n">
        <v>45114</v>
      </c>
      <c r="J469" s="36">
        <f>F469-H469</f>
        <v/>
      </c>
      <c r="K469" s="16">
        <f>0.005/(1+E469)+D469*0.0005/(1+E469)^2+0.005</f>
        <v/>
      </c>
      <c r="L469" s="17">
        <f>IF(ABS(J469)&lt;=K469,"OK",IF(M469&lt;&gt;"","EXPLAINED","CHECK"))</f>
        <v/>
      </c>
      <c r="M469" s="7" t="inlineStr"/>
    </row>
    <row r="470">
      <c r="A470" s="33" t="n">
        <v>45400</v>
      </c>
      <c r="B470" s="7" t="inlineStr">
        <is>
          <t>NB Sum Assured</t>
        </is>
      </c>
      <c r="C470" s="7" t="inlineStr">
        <is>
          <t>FY2024</t>
        </is>
      </c>
      <c r="D470" s="35" t="n">
        <v>10221.11</v>
      </c>
      <c r="E470" s="32" t="n">
        <v>-0.019</v>
      </c>
      <c r="F470" s="35">
        <f>D470/(1+E470)</f>
        <v/>
      </c>
      <c r="G470" s="7" t="inlineStr">
        <is>
          <t>FY2023</t>
        </is>
      </c>
      <c r="H470" s="35" t="n">
        <v>10413.92</v>
      </c>
      <c r="I470" s="33" t="n">
        <v>45358</v>
      </c>
      <c r="J470" s="36">
        <f>F470-H470</f>
        <v/>
      </c>
      <c r="K470" s="16">
        <f>0.005/(1+E470)+D470*0.0005/(1+E470)^2+0.005</f>
        <v/>
      </c>
      <c r="L470" s="17">
        <f>IF(ABS(J470)&lt;=K470,"OK",IF(M470&lt;&gt;"","EXPLAINED","CHECK"))</f>
        <v/>
      </c>
      <c r="M470" s="7" t="inlineStr"/>
    </row>
    <row r="471">
      <c r="A471" s="33" t="n">
        <v>45400</v>
      </c>
      <c r="B471" s="7" t="inlineStr">
        <is>
          <t>NB Sum Assured</t>
        </is>
      </c>
      <c r="C471" s="7" t="inlineStr">
        <is>
          <t>Feb-24</t>
        </is>
      </c>
      <c r="D471" s="35" t="n">
        <v>808.13</v>
      </c>
      <c r="E471" s="32" t="n">
        <v>-0.172</v>
      </c>
      <c r="F471" s="35">
        <f>D471/(1+E471)</f>
        <v/>
      </c>
      <c r="G471" s="7" t="inlineStr">
        <is>
          <t>Feb-23</t>
        </is>
      </c>
      <c r="H471" s="35" t="n">
        <v>976.46</v>
      </c>
      <c r="I471" s="33" t="n">
        <v>44993</v>
      </c>
      <c r="J471" s="36">
        <f>F471-H471</f>
        <v/>
      </c>
      <c r="K471" s="16">
        <f>0.005/(1+E471)+D471*0.0005/(1+E471)^2+0.005</f>
        <v/>
      </c>
      <c r="L471" s="17">
        <f>IF(ABS(J471)&lt;=K471,"OK",IF(M471&lt;&gt;"","EXPLAINED","CHECK"))</f>
        <v/>
      </c>
      <c r="M471" s="7" t="inlineStr"/>
    </row>
    <row r="472">
      <c r="A472" s="33" t="n">
        <v>45400</v>
      </c>
      <c r="B472" s="7" t="inlineStr">
        <is>
          <t>NB Sum Assured</t>
        </is>
      </c>
      <c r="C472" s="7" t="inlineStr">
        <is>
          <t>Jan-24</t>
        </is>
      </c>
      <c r="D472" s="35" t="n">
        <v>1076.18</v>
      </c>
      <c r="E472" s="32" t="n">
        <v>-0.239</v>
      </c>
      <c r="F472" s="35">
        <f>D472/(1+E472)</f>
        <v/>
      </c>
      <c r="G472" s="7" t="inlineStr">
        <is>
          <t>Jan-23</t>
        </is>
      </c>
      <c r="H472" s="35" t="n">
        <v>1415</v>
      </c>
      <c r="I472" s="33" t="n">
        <v>44993</v>
      </c>
      <c r="J472" s="36">
        <f>F472-H472</f>
        <v/>
      </c>
      <c r="K472" s="16">
        <f>0.005/(1+E472)+D472*0.0005/(1+E472)^2+0.005</f>
        <v/>
      </c>
      <c r="L472" s="17">
        <f>IF(ABS(J472)&lt;=K472,"OK",IF(M472&lt;&gt;"","EXPLAINED","CHECK"))</f>
        <v/>
      </c>
      <c r="M472" s="7" t="inlineStr"/>
    </row>
    <row r="473">
      <c r="A473" s="33" t="n">
        <v>45400</v>
      </c>
      <c r="B473" s="7" t="inlineStr">
        <is>
          <t>NB Premium</t>
        </is>
      </c>
      <c r="C473" s="7" t="inlineStr">
        <is>
          <t>FY2024</t>
        </is>
      </c>
      <c r="D473" s="35" t="n">
        <v>180.81</v>
      </c>
      <c r="E473" s="32" t="n">
        <v>0.068</v>
      </c>
      <c r="F473" s="35">
        <f>D473/(1+E473)</f>
        <v/>
      </c>
      <c r="G473" s="7" t="inlineStr">
        <is>
          <t>FY2023</t>
        </is>
      </c>
      <c r="H473" s="35" t="n">
        <v>169.22</v>
      </c>
      <c r="I473" s="33" t="n">
        <v>45358</v>
      </c>
      <c r="J473" s="36">
        <f>F473-H473</f>
        <v/>
      </c>
      <c r="K473" s="16">
        <f>0.005/(1+E473)+D473*0.0005/(1+E473)^2+0.005</f>
        <v/>
      </c>
      <c r="L473" s="17">
        <f>IF(ABS(J473)&lt;=K473,"OK",IF(M473&lt;&gt;"","EXPLAINED","CHECK"))</f>
        <v/>
      </c>
      <c r="M473" s="7" t="inlineStr"/>
    </row>
    <row r="474">
      <c r="A474" s="33" t="n">
        <v>45400</v>
      </c>
      <c r="B474" s="7" t="inlineStr">
        <is>
          <t>NB Premium</t>
        </is>
      </c>
      <c r="C474" s="7" t="inlineStr">
        <is>
          <t>Feb-24</t>
        </is>
      </c>
      <c r="D474" s="35" t="n">
        <v>17.63</v>
      </c>
      <c r="E474" s="32" t="n">
        <v>0.326</v>
      </c>
      <c r="F474" s="35">
        <f>D474/(1+E474)</f>
        <v/>
      </c>
      <c r="G474" s="7" t="inlineStr">
        <is>
          <t>Feb-23</t>
        </is>
      </c>
      <c r="H474" s="35" t="n">
        <v>13.3</v>
      </c>
      <c r="I474" s="33" t="n">
        <v>44993</v>
      </c>
      <c r="J474" s="36">
        <f>F474-H474</f>
        <v/>
      </c>
      <c r="K474" s="16">
        <f>0.005/(1+E474)+D474*0.0005/(1+E474)^2+0.005</f>
        <v/>
      </c>
      <c r="L474" s="17">
        <f>IF(ABS(J474)&lt;=K474,"OK",IF(M474&lt;&gt;"","EXPLAINED","CHECK"))</f>
        <v/>
      </c>
      <c r="M474" s="7" t="inlineStr"/>
    </row>
    <row r="475">
      <c r="A475" s="33" t="n">
        <v>45400</v>
      </c>
      <c r="B475" s="7" t="inlineStr">
        <is>
          <t>NB Premium</t>
        </is>
      </c>
      <c r="C475" s="7" t="inlineStr">
        <is>
          <t>Jan-24</t>
        </is>
      </c>
      <c r="D475" s="35" t="n">
        <v>15.65</v>
      </c>
      <c r="E475" s="32" t="n">
        <v>0.08800000000000001</v>
      </c>
      <c r="F475" s="35">
        <f>D475/(1+E475)</f>
        <v/>
      </c>
      <c r="G475" s="7" t="inlineStr">
        <is>
          <t>Jan-23</t>
        </is>
      </c>
      <c r="H475" s="35" t="n">
        <v>14.39</v>
      </c>
      <c r="I475" s="33" t="n">
        <v>44993</v>
      </c>
      <c r="J475" s="36">
        <f>F475-H475</f>
        <v/>
      </c>
      <c r="K475" s="16">
        <f>0.005/(1+E475)+D475*0.0005/(1+E475)^2+0.005</f>
        <v/>
      </c>
      <c r="L475" s="17">
        <f>IF(ABS(J475)&lt;=K475,"OK",IF(M475&lt;&gt;"","EXPLAINED","CHECK"))</f>
        <v/>
      </c>
      <c r="M475" s="7" t="inlineStr"/>
    </row>
    <row r="476">
      <c r="A476" s="33" t="n">
        <v>45400</v>
      </c>
      <c r="B476" s="7" t="inlineStr">
        <is>
          <t>APE</t>
        </is>
      </c>
      <c r="C476" s="7" t="inlineStr">
        <is>
          <t>FY2024</t>
        </is>
      </c>
      <c r="D476" s="35" t="n">
        <v>90.45999999999999</v>
      </c>
      <c r="E476" s="32" t="n">
        <v>0.047</v>
      </c>
      <c r="F476" s="35">
        <f>D476/(1+E476)</f>
        <v/>
      </c>
      <c r="G476" s="7" t="inlineStr">
        <is>
          <t>FY2023</t>
        </is>
      </c>
      <c r="H476" s="35" t="n">
        <v>86.40000000000001</v>
      </c>
      <c r="I476" s="33" t="n">
        <v>45358</v>
      </c>
      <c r="J476" s="36">
        <f>F476-H476</f>
        <v/>
      </c>
      <c r="K476" s="16">
        <f>0.005/(1+E476)+D476*0.0005/(1+E476)^2+0.005</f>
        <v/>
      </c>
      <c r="L476" s="17">
        <f>IF(ABS(J476)&lt;=K476,"OK",IF(M476&lt;&gt;"","EXPLAINED","CHECK"))</f>
        <v/>
      </c>
      <c r="M476" s="7" t="inlineStr"/>
    </row>
    <row r="477">
      <c r="A477" s="33" t="n">
        <v>45400</v>
      </c>
      <c r="B477" s="7" t="inlineStr">
        <is>
          <t>APE</t>
        </is>
      </c>
      <c r="C477" s="7" t="inlineStr">
        <is>
          <t>Feb-24</t>
        </is>
      </c>
      <c r="D477" s="35" t="n">
        <v>10.33</v>
      </c>
      <c r="E477" s="32" t="n">
        <v>0.385</v>
      </c>
      <c r="F477" s="35">
        <f>D477/(1+E477)</f>
        <v/>
      </c>
      <c r="G477" s="7" t="inlineStr">
        <is>
          <t>Feb-23</t>
        </is>
      </c>
      <c r="H477" s="35" t="n">
        <v>7.46</v>
      </c>
      <c r="I477" s="33" t="n">
        <v>44993</v>
      </c>
      <c r="J477" s="36">
        <f>F477-H477</f>
        <v/>
      </c>
      <c r="K477" s="16">
        <f>0.005/(1+E477)+D477*0.0005/(1+E477)^2+0.005</f>
        <v/>
      </c>
      <c r="L477" s="17">
        <f>IF(ABS(J477)&lt;=K477,"OK",IF(M477&lt;&gt;"","EXPLAINED","CHECK"))</f>
        <v/>
      </c>
      <c r="M477" s="7" t="inlineStr"/>
    </row>
    <row r="478">
      <c r="A478" s="33" t="n">
        <v>45400</v>
      </c>
      <c r="B478" s="7" t="inlineStr">
        <is>
          <t>APE</t>
        </is>
      </c>
      <c r="C478" s="7" t="inlineStr">
        <is>
          <t>Jan-24</t>
        </is>
      </c>
      <c r="D478" s="35" t="n">
        <v>8.09</v>
      </c>
      <c r="E478" s="32" t="n">
        <v>0.08</v>
      </c>
      <c r="F478" s="35">
        <f>D478/(1+E478)</f>
        <v/>
      </c>
      <c r="G478" s="7" t="inlineStr">
        <is>
          <t>Jan-23</t>
        </is>
      </c>
      <c r="H478" s="35" t="n">
        <v>7.49</v>
      </c>
      <c r="I478" s="33" t="n">
        <v>44993</v>
      </c>
      <c r="J478" s="36">
        <f>F478-H478</f>
        <v/>
      </c>
      <c r="K478" s="16">
        <f>0.005/(1+E478)+D478*0.0005/(1+E478)^2+0.005</f>
        <v/>
      </c>
      <c r="L478" s="17">
        <f>IF(ABS(J478)&lt;=K478,"OK",IF(M478&lt;&gt;"","EXPLAINED","CHECK"))</f>
        <v/>
      </c>
      <c r="M478" s="7" t="inlineStr"/>
    </row>
    <row r="479">
      <c r="A479" s="33" t="n">
        <v>45400</v>
      </c>
      <c r="B479" s="7" t="inlineStr">
        <is>
          <t>RWRP</t>
        </is>
      </c>
      <c r="C479" s="7" t="inlineStr">
        <is>
          <t>FY2024</t>
        </is>
      </c>
      <c r="D479" s="35" t="n">
        <v>72.13</v>
      </c>
      <c r="E479" s="32" t="n">
        <v>0.07000000000000001</v>
      </c>
      <c r="F479" s="35">
        <f>D479/(1+E479)</f>
        <v/>
      </c>
      <c r="G479" s="7" t="inlineStr">
        <is>
          <t>FY2023</t>
        </is>
      </c>
      <c r="H479" s="35" t="n">
        <v>67.38</v>
      </c>
      <c r="I479" s="33" t="n">
        <v>45358</v>
      </c>
      <c r="J479" s="36">
        <f>F479-H479</f>
        <v/>
      </c>
      <c r="K479" s="16">
        <f>0.005/(1+E479)+D479*0.0005/(1+E479)^2+0.005</f>
        <v/>
      </c>
      <c r="L479" s="17">
        <f>IF(ABS(J479)&lt;=K479,"OK",IF(M479&lt;&gt;"","EXPLAINED","CHECK"))</f>
        <v/>
      </c>
      <c r="M479" s="7" t="inlineStr"/>
    </row>
    <row r="480">
      <c r="A480" s="33" t="n">
        <v>45400</v>
      </c>
      <c r="B480" s="7" t="inlineStr">
        <is>
          <t>RWRP</t>
        </is>
      </c>
      <c r="C480" s="7" t="inlineStr">
        <is>
          <t>Feb-24</t>
        </is>
      </c>
      <c r="D480" s="35" t="n">
        <v>8.369999999999999</v>
      </c>
      <c r="E480" s="32" t="n">
        <v>0.339</v>
      </c>
      <c r="F480" s="35">
        <f>D480/(1+E480)</f>
        <v/>
      </c>
      <c r="G480" s="7" t="inlineStr">
        <is>
          <t>Feb-23</t>
        </is>
      </c>
      <c r="H480" s="35" t="n">
        <v>6.25</v>
      </c>
      <c r="I480" s="33" t="n">
        <v>44993</v>
      </c>
      <c r="J480" s="36">
        <f>F480-H480</f>
        <v/>
      </c>
      <c r="K480" s="16">
        <f>0.005/(1+E480)+D480*0.0005/(1+E480)^2+0.005</f>
        <v/>
      </c>
      <c r="L480" s="17">
        <f>IF(ABS(J480)&lt;=K480,"OK",IF(M480&lt;&gt;"","EXPLAINED","CHECK"))</f>
        <v/>
      </c>
      <c r="M480" s="7" t="inlineStr"/>
    </row>
    <row r="481">
      <c r="A481" s="33" t="n">
        <v>45400</v>
      </c>
      <c r="B481" s="7" t="inlineStr">
        <is>
          <t>RWRP</t>
        </is>
      </c>
      <c r="C481" s="7" t="inlineStr">
        <is>
          <t>Jan-24</t>
        </is>
      </c>
      <c r="D481" s="35" t="n">
        <v>6.63</v>
      </c>
      <c r="E481" s="32" t="n">
        <v>0.223</v>
      </c>
      <c r="F481" s="35">
        <f>D481/(1+E481)</f>
        <v/>
      </c>
      <c r="G481" s="7" t="inlineStr">
        <is>
          <t>Jan-23</t>
        </is>
      </c>
      <c r="H481" s="35" t="n">
        <v>5.42</v>
      </c>
      <c r="I481" s="33" t="n">
        <v>44993</v>
      </c>
      <c r="J481" s="36">
        <f>F481-H481</f>
        <v/>
      </c>
      <c r="K481" s="16">
        <f>0.005/(1+E481)+D481*0.0005/(1+E481)^2+0.005</f>
        <v/>
      </c>
      <c r="L481" s="17">
        <f>IF(ABS(J481)&lt;=K481,"OK",IF(M481&lt;&gt;"","EXPLAINED","CHECK"))</f>
        <v/>
      </c>
      <c r="M481" s="7" t="inlineStr"/>
    </row>
    <row r="482">
      <c r="A482" s="33" t="n">
        <v>45358</v>
      </c>
      <c r="B482" s="7" t="inlineStr">
        <is>
          <t>NB Sum Assured</t>
        </is>
      </c>
      <c r="C482" s="7" t="inlineStr">
        <is>
          <t>Q3-FY2024</t>
        </is>
      </c>
      <c r="D482" s="35" t="n">
        <v>2314.66</v>
      </c>
      <c r="E482" s="32" t="n">
        <v>0.091</v>
      </c>
      <c r="F482" s="35">
        <f>D482/(1+E482)</f>
        <v/>
      </c>
      <c r="G482" s="7" t="inlineStr">
        <is>
          <t>Q3-FY2023</t>
        </is>
      </c>
      <c r="H482" s="35" t="n">
        <v>2121.88</v>
      </c>
      <c r="I482" s="33" t="n">
        <v>44993</v>
      </c>
      <c r="J482" s="36">
        <f>F482-H482</f>
        <v/>
      </c>
      <c r="K482" s="16">
        <f>0.005/(1+E482)+D482*0.0005/(1+E482)^2+0.005</f>
        <v/>
      </c>
      <c r="L482" s="17">
        <f>IF(ABS(J482)&lt;=K482,"OK",IF(M482&lt;&gt;"","EXPLAINED","CHECK"))</f>
        <v/>
      </c>
      <c r="M482" s="7" t="inlineStr"/>
    </row>
    <row r="483">
      <c r="A483" s="33" t="n">
        <v>45358</v>
      </c>
      <c r="B483" s="7" t="inlineStr">
        <is>
          <t>NB Sum Assured</t>
        </is>
      </c>
      <c r="C483" s="7" t="inlineStr">
        <is>
          <t>Q1-FY2024</t>
        </is>
      </c>
      <c r="D483" s="35" t="n">
        <v>2403.04</v>
      </c>
      <c r="E483" s="32" t="n">
        <v>0.08800000000000001</v>
      </c>
      <c r="F483" s="35">
        <f>D483/(1+E483)</f>
        <v/>
      </c>
      <c r="G483" s="7" t="inlineStr">
        <is>
          <t>Q1-FY2023</t>
        </is>
      </c>
      <c r="H483" s="35" t="n">
        <v>2209.35</v>
      </c>
      <c r="I483" s="33" t="n">
        <v>44841</v>
      </c>
      <c r="J483" s="36">
        <f>F483-H483</f>
        <v/>
      </c>
      <c r="K483" s="16">
        <f>0.005/(1+E483)+D483*0.0005/(1+E483)^2+0.005</f>
        <v/>
      </c>
      <c r="L483" s="17">
        <f>IF(ABS(J483)&lt;=K483,"OK",IF(M483&lt;&gt;"","EXPLAINED","CHECK"))</f>
        <v/>
      </c>
      <c r="M483" s="7" t="inlineStr"/>
    </row>
    <row r="484">
      <c r="A484" s="33" t="n">
        <v>45358</v>
      </c>
      <c r="B484" s="7" t="inlineStr">
        <is>
          <t>NB Sum Assured</t>
        </is>
      </c>
      <c r="C484" s="7" t="inlineStr">
        <is>
          <t>FY2023</t>
        </is>
      </c>
      <c r="D484" s="35" t="n">
        <v>10413.92</v>
      </c>
      <c r="E484" s="32" t="n">
        <v>0.347</v>
      </c>
      <c r="F484" s="35">
        <f>D484/(1+E484)</f>
        <v/>
      </c>
      <c r="G484" s="7" t="inlineStr">
        <is>
          <t>FY2022</t>
        </is>
      </c>
      <c r="H484" s="35" t="n">
        <v>7731.46</v>
      </c>
      <c r="I484" s="33" t="n">
        <v>44993</v>
      </c>
      <c r="J484" s="36">
        <f>F484-H484</f>
        <v/>
      </c>
      <c r="K484" s="16">
        <f>0.005/(1+E484)+D484*0.0005/(1+E484)^2+0.005</f>
        <v/>
      </c>
      <c r="L484" s="17">
        <f>IF(ABS(J484)&lt;=K484,"OK",IF(M484&lt;&gt;"","EXPLAINED","CHECK"))</f>
        <v/>
      </c>
      <c r="M484" s="7" t="inlineStr"/>
    </row>
    <row r="485">
      <c r="A485" s="33" t="n">
        <v>45358</v>
      </c>
      <c r="B485" s="7" t="inlineStr">
        <is>
          <t>NB Sum Assured</t>
        </is>
      </c>
      <c r="C485" s="7" t="inlineStr">
        <is>
          <t>11M-FY2024</t>
        </is>
      </c>
      <c r="D485" s="35" t="n">
        <v>9112.799999999999</v>
      </c>
      <c r="E485" s="32" t="n">
        <v>-0.022</v>
      </c>
      <c r="F485" s="35">
        <f>D485/(1+E485)</f>
        <v/>
      </c>
      <c r="G485" s="7" t="inlineStr">
        <is>
          <t>11M-FY2023</t>
        </is>
      </c>
      <c r="H485" s="35" t="n">
        <v>9313.379999999999</v>
      </c>
      <c r="I485" s="33" t="n">
        <v>44993</v>
      </c>
      <c r="J485" s="36">
        <f>F485-H485</f>
        <v/>
      </c>
      <c r="K485" s="16">
        <f>0.005/(1+E485)+D485*0.0005/(1+E485)^2+0.005</f>
        <v/>
      </c>
      <c r="L485" s="17">
        <f>IF(ABS(J485)&lt;=K485,"OK",IF(M485&lt;&gt;"","EXPLAINED","CHECK"))</f>
        <v/>
      </c>
      <c r="M485" s="7" t="inlineStr"/>
    </row>
    <row r="486">
      <c r="A486" s="33" t="n">
        <v>45358</v>
      </c>
      <c r="B486" s="7" t="inlineStr">
        <is>
          <t>NB Sum Assured</t>
        </is>
      </c>
      <c r="C486" s="7" t="inlineStr">
        <is>
          <t>Feb-24</t>
        </is>
      </c>
      <c r="D486" s="35" t="n">
        <v>808.13</v>
      </c>
      <c r="E486" s="32" t="n">
        <v>-0.172</v>
      </c>
      <c r="F486" s="35">
        <f>D486/(1+E486)</f>
        <v/>
      </c>
      <c r="G486" s="7" t="inlineStr">
        <is>
          <t>Feb-23</t>
        </is>
      </c>
      <c r="H486" s="35" t="n">
        <v>976.46</v>
      </c>
      <c r="I486" s="33" t="n">
        <v>44993</v>
      </c>
      <c r="J486" s="36">
        <f>F486-H486</f>
        <v/>
      </c>
      <c r="K486" s="16">
        <f>0.005/(1+E486)+D486*0.0005/(1+E486)^2+0.005</f>
        <v/>
      </c>
      <c r="L486" s="17">
        <f>IF(ABS(J486)&lt;=K486,"OK",IF(M486&lt;&gt;"","EXPLAINED","CHECK"))</f>
        <v/>
      </c>
      <c r="M486" s="7" t="inlineStr"/>
    </row>
    <row r="487">
      <c r="A487" s="33" t="n">
        <v>45358</v>
      </c>
      <c r="B487" s="7" t="inlineStr">
        <is>
          <t>NB Sum Assured</t>
        </is>
      </c>
      <c r="C487" s="7" t="inlineStr">
        <is>
          <t>Jan-24</t>
        </is>
      </c>
      <c r="D487" s="35" t="n">
        <v>1076.18</v>
      </c>
      <c r="E487" s="32" t="n">
        <v>-0.239</v>
      </c>
      <c r="F487" s="35">
        <f>D487/(1+E487)</f>
        <v/>
      </c>
      <c r="G487" s="7" t="inlineStr">
        <is>
          <t>Jan-23</t>
        </is>
      </c>
      <c r="H487" s="35" t="n">
        <v>1415</v>
      </c>
      <c r="I487" s="33" t="n">
        <v>44993</v>
      </c>
      <c r="J487" s="36">
        <f>F487-H487</f>
        <v/>
      </c>
      <c r="K487" s="16">
        <f>0.005/(1+E487)+D487*0.0005/(1+E487)^2+0.005</f>
        <v/>
      </c>
      <c r="L487" s="17">
        <f>IF(ABS(J487)&lt;=K487,"OK",IF(M487&lt;&gt;"","EXPLAINED","CHECK"))</f>
        <v/>
      </c>
      <c r="M487" s="7" t="inlineStr"/>
    </row>
    <row r="488">
      <c r="A488" s="33" t="n">
        <v>45358</v>
      </c>
      <c r="B488" s="7" t="inlineStr">
        <is>
          <t>NB Premium</t>
        </is>
      </c>
      <c r="C488" s="7" t="inlineStr">
        <is>
          <t>Q3-FY2024</t>
        </is>
      </c>
      <c r="D488" s="35" t="n">
        <v>41.17</v>
      </c>
      <c r="E488" s="32" t="n">
        <v>0.048</v>
      </c>
      <c r="F488" s="35">
        <f>D488/(1+E488)</f>
        <v/>
      </c>
      <c r="G488" s="7" t="inlineStr">
        <is>
          <t>Q3-FY2023</t>
        </is>
      </c>
      <c r="H488" s="35" t="n">
        <v>39.28</v>
      </c>
      <c r="I488" s="33" t="n">
        <v>44993</v>
      </c>
      <c r="J488" s="36">
        <f>F488-H488</f>
        <v/>
      </c>
      <c r="K488" s="16">
        <f>0.005/(1+E488)+D488*0.0005/(1+E488)^2+0.005</f>
        <v/>
      </c>
      <c r="L488" s="17">
        <f>IF(ABS(J488)&lt;=K488,"OK",IF(M488&lt;&gt;"","EXPLAINED","CHECK"))</f>
        <v/>
      </c>
      <c r="M488" s="7" t="inlineStr"/>
    </row>
    <row r="489">
      <c r="A489" s="33" t="n">
        <v>45358</v>
      </c>
      <c r="B489" s="7" t="inlineStr">
        <is>
          <t>NB Premium</t>
        </is>
      </c>
      <c r="C489" s="7" t="inlineStr">
        <is>
          <t>Q1-FY2024</t>
        </is>
      </c>
      <c r="D489" s="35" t="n">
        <v>30.51</v>
      </c>
      <c r="E489" s="32" t="n">
        <v>-0.042</v>
      </c>
      <c r="F489" s="35">
        <f>D489/(1+E489)</f>
        <v/>
      </c>
      <c r="G489" s="7" t="inlineStr">
        <is>
          <t>Q1-FY2023</t>
        </is>
      </c>
      <c r="H489" s="35" t="n">
        <v>31.84</v>
      </c>
      <c r="I489" s="33" t="n">
        <v>44841</v>
      </c>
      <c r="J489" s="36">
        <f>F489-H489</f>
        <v/>
      </c>
      <c r="K489" s="16">
        <f>0.005/(1+E489)+D489*0.0005/(1+E489)^2+0.005</f>
        <v/>
      </c>
      <c r="L489" s="17">
        <f>IF(ABS(J489)&lt;=K489,"OK",IF(M489&lt;&gt;"","EXPLAINED","CHECK"))</f>
        <v/>
      </c>
      <c r="M489" s="7" t="inlineStr"/>
    </row>
    <row r="490">
      <c r="A490" s="33" t="n">
        <v>45358</v>
      </c>
      <c r="B490" s="7" t="inlineStr">
        <is>
          <t>NB Premium</t>
        </is>
      </c>
      <c r="C490" s="7" t="inlineStr">
        <is>
          <t>FY2023</t>
        </is>
      </c>
      <c r="D490" s="35" t="n">
        <v>169.22</v>
      </c>
      <c r="E490" s="32" t="n">
        <v>0.125</v>
      </c>
      <c r="F490" s="35">
        <f>D490/(1+E490)</f>
        <v/>
      </c>
      <c r="G490" s="7" t="inlineStr">
        <is>
          <t>FY2022</t>
        </is>
      </c>
      <c r="H490" s="35" t="n">
        <v>150.36</v>
      </c>
      <c r="I490" s="33" t="n">
        <v>44993</v>
      </c>
      <c r="J490" s="36">
        <f>F490-H490</f>
        <v/>
      </c>
      <c r="K490" s="16">
        <f>0.005/(1+E490)+D490*0.0005/(1+E490)^2+0.005</f>
        <v/>
      </c>
      <c r="L490" s="17">
        <f>IF(ABS(J490)&lt;=K490,"OK",IF(M490&lt;&gt;"","EXPLAINED","CHECK"))</f>
        <v/>
      </c>
      <c r="M490" s="7" t="inlineStr"/>
    </row>
    <row r="491">
      <c r="A491" s="33" t="n">
        <v>45358</v>
      </c>
      <c r="B491" s="7" t="inlineStr">
        <is>
          <t>NB Premium</t>
        </is>
      </c>
      <c r="C491" s="7" t="inlineStr">
        <is>
          <t>11M-FY2024</t>
        </is>
      </c>
      <c r="D491" s="35" t="n">
        <v>148.55</v>
      </c>
      <c r="E491" s="32" t="n">
        <v>0.057</v>
      </c>
      <c r="F491" s="35">
        <f>D491/(1+E491)</f>
        <v/>
      </c>
      <c r="G491" s="7" t="inlineStr">
        <is>
          <t>11M-FY2023</t>
        </is>
      </c>
      <c r="H491" s="35" t="n">
        <v>140.57</v>
      </c>
      <c r="I491" s="33" t="n">
        <v>44993</v>
      </c>
      <c r="J491" s="36">
        <f>F491-H491</f>
        <v/>
      </c>
      <c r="K491" s="16">
        <f>0.005/(1+E491)+D491*0.0005/(1+E491)^2+0.005</f>
        <v/>
      </c>
      <c r="L491" s="17">
        <f>IF(ABS(J491)&lt;=K491,"OK",IF(M491&lt;&gt;"","EXPLAINED","CHECK"))</f>
        <v/>
      </c>
      <c r="M491" s="7" t="inlineStr"/>
    </row>
    <row r="492">
      <c r="A492" s="33" t="n">
        <v>45358</v>
      </c>
      <c r="B492" s="7" t="inlineStr">
        <is>
          <t>NB Premium</t>
        </is>
      </c>
      <c r="C492" s="7" t="inlineStr">
        <is>
          <t>Feb-24</t>
        </is>
      </c>
      <c r="D492" s="35" t="n">
        <v>17.63</v>
      </c>
      <c r="E492" s="32" t="n">
        <v>0.326</v>
      </c>
      <c r="F492" s="35">
        <f>D492/(1+E492)</f>
        <v/>
      </c>
      <c r="G492" s="7" t="inlineStr">
        <is>
          <t>Feb-23</t>
        </is>
      </c>
      <c r="H492" s="35" t="n">
        <v>13.3</v>
      </c>
      <c r="I492" s="33" t="n">
        <v>44993</v>
      </c>
      <c r="J492" s="36">
        <f>F492-H492</f>
        <v/>
      </c>
      <c r="K492" s="16">
        <f>0.005/(1+E492)+D492*0.0005/(1+E492)^2+0.005</f>
        <v/>
      </c>
      <c r="L492" s="17">
        <f>IF(ABS(J492)&lt;=K492,"OK",IF(M492&lt;&gt;"","EXPLAINED","CHECK"))</f>
        <v/>
      </c>
      <c r="M492" s="7" t="inlineStr"/>
    </row>
    <row r="493">
      <c r="A493" s="33" t="n">
        <v>45358</v>
      </c>
      <c r="B493" s="7" t="inlineStr">
        <is>
          <t>NB Premium</t>
        </is>
      </c>
      <c r="C493" s="7" t="inlineStr">
        <is>
          <t>Jan-24</t>
        </is>
      </c>
      <c r="D493" s="35" t="n">
        <v>15.65</v>
      </c>
      <c r="E493" s="32" t="n">
        <v>0.08800000000000001</v>
      </c>
      <c r="F493" s="35">
        <f>D493/(1+E493)</f>
        <v/>
      </c>
      <c r="G493" s="7" t="inlineStr">
        <is>
          <t>Jan-23</t>
        </is>
      </c>
      <c r="H493" s="35" t="n">
        <v>14.39</v>
      </c>
      <c r="I493" s="33" t="n">
        <v>44993</v>
      </c>
      <c r="J493" s="36">
        <f>F493-H493</f>
        <v/>
      </c>
      <c r="K493" s="16">
        <f>0.005/(1+E493)+D493*0.0005/(1+E493)^2+0.005</f>
        <v/>
      </c>
      <c r="L493" s="17">
        <f>IF(ABS(J493)&lt;=K493,"OK",IF(M493&lt;&gt;"","EXPLAINED","CHECK"))</f>
        <v/>
      </c>
      <c r="M493" s="7" t="inlineStr"/>
    </row>
    <row r="494">
      <c r="A494" s="33" t="n">
        <v>45358</v>
      </c>
      <c r="B494" s="7" t="inlineStr">
        <is>
          <t>APE</t>
        </is>
      </c>
      <c r="C494" s="7" t="inlineStr">
        <is>
          <t>Q3-FY2024</t>
        </is>
      </c>
      <c r="D494" s="35" t="n">
        <v>19.07</v>
      </c>
      <c r="E494" s="32" t="n">
        <v>0.047</v>
      </c>
      <c r="F494" s="35">
        <f>D494/(1+E494)</f>
        <v/>
      </c>
      <c r="G494" s="7" t="inlineStr">
        <is>
          <t>Q3-FY2023</t>
        </is>
      </c>
      <c r="H494" s="35" t="n">
        <v>18.21</v>
      </c>
      <c r="I494" s="33" t="n">
        <v>44993</v>
      </c>
      <c r="J494" s="36">
        <f>F494-H494</f>
        <v/>
      </c>
      <c r="K494" s="16">
        <f>0.005/(1+E494)+D494*0.0005/(1+E494)^2+0.005</f>
        <v/>
      </c>
      <c r="L494" s="17">
        <f>IF(ABS(J494)&lt;=K494,"OK",IF(M494&lt;&gt;"","EXPLAINED","CHECK"))</f>
        <v/>
      </c>
      <c r="M494" s="7" t="inlineStr"/>
    </row>
    <row r="495">
      <c r="A495" s="33" t="n">
        <v>45358</v>
      </c>
      <c r="B495" s="7" t="inlineStr">
        <is>
          <t>APE</t>
        </is>
      </c>
      <c r="C495" s="7" t="inlineStr">
        <is>
          <t>Q1-FY2024</t>
        </is>
      </c>
      <c r="D495" s="35" t="n">
        <v>14.61</v>
      </c>
      <c r="E495" s="32" t="n">
        <v>-0.039</v>
      </c>
      <c r="F495" s="35">
        <f>D495/(1+E495)</f>
        <v/>
      </c>
      <c r="G495" s="7" t="inlineStr">
        <is>
          <t>Q1-FY2023</t>
        </is>
      </c>
      <c r="H495" s="35" t="n">
        <v>15.2</v>
      </c>
      <c r="I495" s="33" t="n">
        <v>44841</v>
      </c>
      <c r="J495" s="36">
        <f>F495-H495</f>
        <v/>
      </c>
      <c r="K495" s="16">
        <f>0.005/(1+E495)+D495*0.0005/(1+E495)^2+0.005</f>
        <v/>
      </c>
      <c r="L495" s="17">
        <f>IF(ABS(J495)&lt;=K495,"OK",IF(M495&lt;&gt;"","EXPLAINED","CHECK"))</f>
        <v/>
      </c>
      <c r="M495" s="7" t="inlineStr"/>
    </row>
    <row r="496">
      <c r="A496" s="33" t="n">
        <v>45358</v>
      </c>
      <c r="B496" s="7" t="inlineStr">
        <is>
          <t>APE</t>
        </is>
      </c>
      <c r="C496" s="7" t="inlineStr">
        <is>
          <t>FY2023</t>
        </is>
      </c>
      <c r="D496" s="35" t="n">
        <v>86.40000000000001</v>
      </c>
      <c r="E496" s="32" t="n">
        <v>0.117</v>
      </c>
      <c r="F496" s="35">
        <f>D496/(1+E496)</f>
        <v/>
      </c>
      <c r="G496" s="7" t="inlineStr">
        <is>
          <t>FY2022</t>
        </is>
      </c>
      <c r="H496" s="35" t="n">
        <v>77.33</v>
      </c>
      <c r="I496" s="33" t="n">
        <v>44993</v>
      </c>
      <c r="J496" s="36">
        <f>F496-H496</f>
        <v/>
      </c>
      <c r="K496" s="16">
        <f>0.005/(1+E496)+D496*0.0005/(1+E496)^2+0.005</f>
        <v/>
      </c>
      <c r="L496" s="17">
        <f>IF(ABS(J496)&lt;=K496,"OK",IF(M496&lt;&gt;"","EXPLAINED","CHECK"))</f>
        <v/>
      </c>
      <c r="M496" s="7" t="inlineStr"/>
    </row>
    <row r="497">
      <c r="A497" s="33" t="n">
        <v>45358</v>
      </c>
      <c r="B497" s="7" t="inlineStr">
        <is>
          <t>APE</t>
        </is>
      </c>
      <c r="C497" s="7" t="inlineStr">
        <is>
          <t>11M-FY2024</t>
        </is>
      </c>
      <c r="D497" s="35" t="n">
        <v>72.72</v>
      </c>
      <c r="E497" s="32" t="n">
        <v>0.064</v>
      </c>
      <c r="F497" s="35">
        <f>D497/(1+E497)</f>
        <v/>
      </c>
      <c r="G497" s="7" t="inlineStr">
        <is>
          <t>11M-FY2023</t>
        </is>
      </c>
      <c r="H497" s="35" t="n">
        <v>68.34999999999999</v>
      </c>
      <c r="I497" s="33" t="n">
        <v>44993</v>
      </c>
      <c r="J497" s="36">
        <f>F497-H497</f>
        <v/>
      </c>
      <c r="K497" s="16">
        <f>0.005/(1+E497)+D497*0.0005/(1+E497)^2+0.005</f>
        <v/>
      </c>
      <c r="L497" s="17">
        <f>IF(ABS(J497)&lt;=K497,"OK",IF(M497&lt;&gt;"","EXPLAINED","CHECK"))</f>
        <v/>
      </c>
      <c r="M497" s="7" t="inlineStr"/>
    </row>
    <row r="498">
      <c r="A498" s="33" t="n">
        <v>45358</v>
      </c>
      <c r="B498" s="7" t="inlineStr">
        <is>
          <t>APE</t>
        </is>
      </c>
      <c r="C498" s="7" t="inlineStr">
        <is>
          <t>Feb-24</t>
        </is>
      </c>
      <c r="D498" s="35" t="n">
        <v>10.33</v>
      </c>
      <c r="E498" s="32" t="n">
        <v>0.385</v>
      </c>
      <c r="F498" s="35">
        <f>D498/(1+E498)</f>
        <v/>
      </c>
      <c r="G498" s="7" t="inlineStr">
        <is>
          <t>Feb-23</t>
        </is>
      </c>
      <c r="H498" s="35" t="n">
        <v>7.46</v>
      </c>
      <c r="I498" s="33" t="n">
        <v>44993</v>
      </c>
      <c r="J498" s="36">
        <f>F498-H498</f>
        <v/>
      </c>
      <c r="K498" s="16">
        <f>0.005/(1+E498)+D498*0.0005/(1+E498)^2+0.005</f>
        <v/>
      </c>
      <c r="L498" s="17">
        <f>IF(ABS(J498)&lt;=K498,"OK",IF(M498&lt;&gt;"","EXPLAINED","CHECK"))</f>
        <v/>
      </c>
      <c r="M498" s="7" t="inlineStr"/>
    </row>
    <row r="499">
      <c r="A499" s="33" t="n">
        <v>45358</v>
      </c>
      <c r="B499" s="7" t="inlineStr">
        <is>
          <t>APE</t>
        </is>
      </c>
      <c r="C499" s="7" t="inlineStr">
        <is>
          <t>Jan-24</t>
        </is>
      </c>
      <c r="D499" s="35" t="n">
        <v>8.09</v>
      </c>
      <c r="E499" s="32" t="n">
        <v>0.08</v>
      </c>
      <c r="F499" s="35">
        <f>D499/(1+E499)</f>
        <v/>
      </c>
      <c r="G499" s="7" t="inlineStr">
        <is>
          <t>Jan-23</t>
        </is>
      </c>
      <c r="H499" s="35" t="n">
        <v>7.49</v>
      </c>
      <c r="I499" s="33" t="n">
        <v>44993</v>
      </c>
      <c r="J499" s="36">
        <f>F499-H499</f>
        <v/>
      </c>
      <c r="K499" s="16">
        <f>0.005/(1+E499)+D499*0.0005/(1+E499)^2+0.005</f>
        <v/>
      </c>
      <c r="L499" s="17">
        <f>IF(ABS(J499)&lt;=K499,"OK",IF(M499&lt;&gt;"","EXPLAINED","CHECK"))</f>
        <v/>
      </c>
      <c r="M499" s="7" t="inlineStr"/>
    </row>
    <row r="500">
      <c r="A500" s="33" t="n">
        <v>45358</v>
      </c>
      <c r="B500" s="7" t="inlineStr">
        <is>
          <t>RWRP</t>
        </is>
      </c>
      <c r="C500" s="7" t="inlineStr">
        <is>
          <t>Q3-FY2024</t>
        </is>
      </c>
      <c r="D500" s="35" t="n">
        <v>15.79</v>
      </c>
      <c r="E500" s="32" t="n">
        <v>0.1</v>
      </c>
      <c r="F500" s="35">
        <f>D500/(1+E500)</f>
        <v/>
      </c>
      <c r="G500" s="7" t="inlineStr">
        <is>
          <t>Q3-FY2023</t>
        </is>
      </c>
      <c r="H500" s="35" t="n">
        <v>14.35</v>
      </c>
      <c r="I500" s="33" t="n">
        <v>44993</v>
      </c>
      <c r="J500" s="36">
        <f>F500-H500</f>
        <v/>
      </c>
      <c r="K500" s="16">
        <f>0.005/(1+E500)+D500*0.0005/(1+E500)^2+0.005</f>
        <v/>
      </c>
      <c r="L500" s="17">
        <f>IF(ABS(J500)&lt;=K500,"OK",IF(M500&lt;&gt;"","EXPLAINED","CHECK"))</f>
        <v/>
      </c>
      <c r="M500" s="7" t="inlineStr"/>
    </row>
    <row r="501">
      <c r="A501" s="33" t="n">
        <v>45358</v>
      </c>
      <c r="B501" s="7" t="inlineStr">
        <is>
          <t>RWRP</t>
        </is>
      </c>
      <c r="C501" s="7" t="inlineStr">
        <is>
          <t>Q1-FY2024</t>
        </is>
      </c>
      <c r="D501" s="35" t="n">
        <v>10.61</v>
      </c>
      <c r="E501" s="32" t="n">
        <v>-0.036</v>
      </c>
      <c r="F501" s="35">
        <f>D501/(1+E501)</f>
        <v/>
      </c>
      <c r="G501" s="7" t="inlineStr">
        <is>
          <t>Q1-FY2023</t>
        </is>
      </c>
      <c r="H501" s="35" t="n">
        <v>11.01</v>
      </c>
      <c r="I501" s="33" t="n">
        <v>44841</v>
      </c>
      <c r="J501" s="36">
        <f>F501-H501</f>
        <v/>
      </c>
      <c r="K501" s="16">
        <f>0.005/(1+E501)+D501*0.0005/(1+E501)^2+0.005</f>
        <v/>
      </c>
      <c r="L501" s="17">
        <f>IF(ABS(J501)&lt;=K501,"OK",IF(M501&lt;&gt;"","EXPLAINED","CHECK"))</f>
        <v/>
      </c>
      <c r="M501" s="7" t="inlineStr"/>
    </row>
    <row r="502">
      <c r="A502" s="33" t="n">
        <v>45358</v>
      </c>
      <c r="B502" s="7" t="inlineStr">
        <is>
          <t>RWRP</t>
        </is>
      </c>
      <c r="C502" s="7" t="inlineStr">
        <is>
          <t>FY2023</t>
        </is>
      </c>
      <c r="D502" s="35" t="n">
        <v>67.38</v>
      </c>
      <c r="E502" s="32" t="n">
        <v>0.07000000000000001</v>
      </c>
      <c r="F502" s="35">
        <f>D502/(1+E502)</f>
        <v/>
      </c>
      <c r="G502" s="7" t="inlineStr">
        <is>
          <t>FY2022</t>
        </is>
      </c>
      <c r="H502" s="35" t="n">
        <v>62.99</v>
      </c>
      <c r="I502" s="33" t="n">
        <v>44993</v>
      </c>
      <c r="J502" s="36">
        <f>F502-H502</f>
        <v/>
      </c>
      <c r="K502" s="16">
        <f>0.005/(1+E502)+D502*0.0005/(1+E502)^2+0.005</f>
        <v/>
      </c>
      <c r="L502" s="17">
        <f>IF(ABS(J502)&lt;=K502,"OK",IF(M502&lt;&gt;"","EXPLAINED","CHECK"))</f>
        <v/>
      </c>
      <c r="M502" s="7" t="inlineStr"/>
    </row>
    <row r="503">
      <c r="A503" s="33" t="n">
        <v>45358</v>
      </c>
      <c r="B503" s="7" t="inlineStr">
        <is>
          <t>RWRP</t>
        </is>
      </c>
      <c r="C503" s="7" t="inlineStr">
        <is>
          <t>11M-FY2024</t>
        </is>
      </c>
      <c r="D503" s="35" t="n">
        <v>57.13</v>
      </c>
      <c r="E503" s="32" t="n">
        <v>0.095</v>
      </c>
      <c r="F503" s="35">
        <f>D503/(1+E503)</f>
        <v/>
      </c>
      <c r="G503" s="7" t="inlineStr">
        <is>
          <t>11M-FY2023</t>
        </is>
      </c>
      <c r="H503" s="35" t="n">
        <v>52.15</v>
      </c>
      <c r="I503" s="33" t="n">
        <v>44993</v>
      </c>
      <c r="J503" s="36">
        <f>F503-H503</f>
        <v/>
      </c>
      <c r="K503" s="16">
        <f>0.005/(1+E503)+D503*0.0005/(1+E503)^2+0.005</f>
        <v/>
      </c>
      <c r="L503" s="17">
        <f>IF(ABS(J503)&lt;=K503,"OK",IF(M503&lt;&gt;"","EXPLAINED","CHECK"))</f>
        <v/>
      </c>
      <c r="M503" s="7" t="inlineStr"/>
    </row>
    <row r="504">
      <c r="A504" s="33" t="n">
        <v>45358</v>
      </c>
      <c r="B504" s="7" t="inlineStr">
        <is>
          <t>RWRP</t>
        </is>
      </c>
      <c r="C504" s="7" t="inlineStr">
        <is>
          <t>Feb-24</t>
        </is>
      </c>
      <c r="D504" s="35" t="n">
        <v>8.369999999999999</v>
      </c>
      <c r="E504" s="32" t="n">
        <v>0.339</v>
      </c>
      <c r="F504" s="35">
        <f>D504/(1+E504)</f>
        <v/>
      </c>
      <c r="G504" s="7" t="inlineStr">
        <is>
          <t>Feb-23</t>
        </is>
      </c>
      <c r="H504" s="35" t="n">
        <v>6.25</v>
      </c>
      <c r="I504" s="33" t="n">
        <v>44993</v>
      </c>
      <c r="J504" s="36">
        <f>F504-H504</f>
        <v/>
      </c>
      <c r="K504" s="16">
        <f>0.005/(1+E504)+D504*0.0005/(1+E504)^2+0.005</f>
        <v/>
      </c>
      <c r="L504" s="17">
        <f>IF(ABS(J504)&lt;=K504,"OK",IF(M504&lt;&gt;"","EXPLAINED","CHECK"))</f>
        <v/>
      </c>
      <c r="M504" s="7" t="inlineStr"/>
    </row>
    <row r="505">
      <c r="A505" s="33" t="n">
        <v>45358</v>
      </c>
      <c r="B505" s="7" t="inlineStr">
        <is>
          <t>RWRP</t>
        </is>
      </c>
      <c r="C505" s="7" t="inlineStr">
        <is>
          <t>Jan-24</t>
        </is>
      </c>
      <c r="D505" s="35" t="n">
        <v>6.63</v>
      </c>
      <c r="E505" s="32" t="n">
        <v>0.223</v>
      </c>
      <c r="F505" s="35">
        <f>D505/(1+E505)</f>
        <v/>
      </c>
      <c r="G505" s="7" t="inlineStr">
        <is>
          <t>Jan-23</t>
        </is>
      </c>
      <c r="H505" s="35" t="n">
        <v>5.42</v>
      </c>
      <c r="I505" s="33" t="n">
        <v>44993</v>
      </c>
      <c r="J505" s="36">
        <f>F505-H505</f>
        <v/>
      </c>
      <c r="K505" s="16">
        <f>0.005/(1+E505)+D505*0.0005/(1+E505)^2+0.005</f>
        <v/>
      </c>
      <c r="L505" s="17">
        <f>IF(ABS(J505)&lt;=K505,"OK",IF(M505&lt;&gt;"","EXPLAINED","CHECK"))</f>
        <v/>
      </c>
      <c r="M505" s="7" t="inlineStr"/>
    </row>
    <row r="506">
      <c r="A506" s="33" t="n">
        <v>45329</v>
      </c>
      <c r="B506" s="7" t="inlineStr">
        <is>
          <t>NB Sum Assured</t>
        </is>
      </c>
      <c r="C506" s="7" t="inlineStr">
        <is>
          <t>Q3-FY2024</t>
        </is>
      </c>
      <c r="D506" s="35" t="n">
        <v>2314.66</v>
      </c>
      <c r="E506" s="32" t="n">
        <v>0.091</v>
      </c>
      <c r="F506" s="35">
        <f>D506/(1+E506)</f>
        <v/>
      </c>
      <c r="G506" s="7" t="inlineStr">
        <is>
          <t>Q3-FY2023</t>
        </is>
      </c>
      <c r="H506" s="35" t="n">
        <v>2121.88</v>
      </c>
      <c r="I506" s="33" t="n">
        <v>44993</v>
      </c>
      <c r="J506" s="36">
        <f>F506-H506</f>
        <v/>
      </c>
      <c r="K506" s="16">
        <f>0.005/(1+E506)+D506*0.0005/(1+E506)^2+0.005</f>
        <v/>
      </c>
      <c r="L506" s="17">
        <f>IF(ABS(J506)&lt;=K506,"OK",IF(M506&lt;&gt;"","EXPLAINED","CHECK"))</f>
        <v/>
      </c>
      <c r="M506" s="7" t="inlineStr"/>
    </row>
    <row r="507">
      <c r="A507" s="33" t="n">
        <v>45329</v>
      </c>
      <c r="B507" s="7" t="inlineStr">
        <is>
          <t>NB Sum Assured</t>
        </is>
      </c>
      <c r="C507" s="7" t="inlineStr">
        <is>
          <t>Q1-FY2024</t>
        </is>
      </c>
      <c r="D507" s="35" t="n">
        <v>2403.04</v>
      </c>
      <c r="E507" s="32" t="n">
        <v>0.08800000000000001</v>
      </c>
      <c r="F507" s="35">
        <f>D507/(1+E507)</f>
        <v/>
      </c>
      <c r="G507" s="7" t="inlineStr">
        <is>
          <t>Q1-FY2023</t>
        </is>
      </c>
      <c r="H507" s="35" t="n">
        <v>2209.35</v>
      </c>
      <c r="I507" s="33" t="n">
        <v>44841</v>
      </c>
      <c r="J507" s="36">
        <f>F507-H507</f>
        <v/>
      </c>
      <c r="K507" s="16">
        <f>0.005/(1+E507)+D507*0.0005/(1+E507)^2+0.005</f>
        <v/>
      </c>
      <c r="L507" s="17">
        <f>IF(ABS(J507)&lt;=K507,"OK",IF(M507&lt;&gt;"","EXPLAINED","CHECK"))</f>
        <v/>
      </c>
      <c r="M507" s="7" t="inlineStr"/>
    </row>
    <row r="508">
      <c r="A508" s="33" t="n">
        <v>45329</v>
      </c>
      <c r="B508" s="7" t="inlineStr">
        <is>
          <t>NB Sum Assured</t>
        </is>
      </c>
      <c r="C508" s="7" t="inlineStr">
        <is>
          <t>FY2023</t>
        </is>
      </c>
      <c r="D508" s="35" t="n">
        <v>10413.92</v>
      </c>
      <c r="E508" s="32" t="n">
        <v>0.347</v>
      </c>
      <c r="F508" s="35">
        <f>D508/(1+E508)</f>
        <v/>
      </c>
      <c r="G508" s="7" t="inlineStr">
        <is>
          <t>FY2022</t>
        </is>
      </c>
      <c r="H508" s="35" t="n">
        <v>7731.46</v>
      </c>
      <c r="I508" s="33" t="n">
        <v>44993</v>
      </c>
      <c r="J508" s="36">
        <f>F508-H508</f>
        <v/>
      </c>
      <c r="K508" s="16">
        <f>0.005/(1+E508)+D508*0.0005/(1+E508)^2+0.005</f>
        <v/>
      </c>
      <c r="L508" s="17">
        <f>IF(ABS(J508)&lt;=K508,"OK",IF(M508&lt;&gt;"","EXPLAINED","CHECK"))</f>
        <v/>
      </c>
      <c r="M508" s="7" t="inlineStr"/>
    </row>
    <row r="509">
      <c r="A509" s="33" t="n">
        <v>45329</v>
      </c>
      <c r="B509" s="7" t="inlineStr">
        <is>
          <t>NB Sum Assured</t>
        </is>
      </c>
      <c r="C509" s="7" t="inlineStr">
        <is>
          <t>Jan-24</t>
        </is>
      </c>
      <c r="D509" s="35" t="n">
        <v>1076.18</v>
      </c>
      <c r="E509" s="32" t="n">
        <v>-0.239</v>
      </c>
      <c r="F509" s="35">
        <f>D509/(1+E509)</f>
        <v/>
      </c>
      <c r="G509" s="7" t="inlineStr">
        <is>
          <t>Jan-23</t>
        </is>
      </c>
      <c r="H509" s="35" t="n">
        <v>1415</v>
      </c>
      <c r="I509" s="33" t="n">
        <v>44993</v>
      </c>
      <c r="J509" s="36">
        <f>F509-H509</f>
        <v/>
      </c>
      <c r="K509" s="16">
        <f>0.005/(1+E509)+D509*0.0005/(1+E509)^2+0.005</f>
        <v/>
      </c>
      <c r="L509" s="17">
        <f>IF(ABS(J509)&lt;=K509,"OK",IF(M509&lt;&gt;"","EXPLAINED","CHECK"))</f>
        <v/>
      </c>
      <c r="M509" s="7" t="inlineStr"/>
    </row>
    <row r="510">
      <c r="A510" s="33" t="n">
        <v>45329</v>
      </c>
      <c r="B510" s="7" t="inlineStr">
        <is>
          <t>NB Premium</t>
        </is>
      </c>
      <c r="C510" s="7" t="inlineStr">
        <is>
          <t>Q3-FY2024</t>
        </is>
      </c>
      <c r="D510" s="35" t="n">
        <v>41.17</v>
      </c>
      <c r="E510" s="32" t="n">
        <v>0.048</v>
      </c>
      <c r="F510" s="35">
        <f>D510/(1+E510)</f>
        <v/>
      </c>
      <c r="G510" s="7" t="inlineStr">
        <is>
          <t>Q3-FY2023</t>
        </is>
      </c>
      <c r="H510" s="35" t="n">
        <v>39.28</v>
      </c>
      <c r="I510" s="33" t="n">
        <v>44993</v>
      </c>
      <c r="J510" s="36">
        <f>F510-H510</f>
        <v/>
      </c>
      <c r="K510" s="16">
        <f>0.005/(1+E510)+D510*0.0005/(1+E510)^2+0.005</f>
        <v/>
      </c>
      <c r="L510" s="17">
        <f>IF(ABS(J510)&lt;=K510,"OK",IF(M510&lt;&gt;"","EXPLAINED","CHECK"))</f>
        <v/>
      </c>
      <c r="M510" s="7" t="inlineStr"/>
    </row>
    <row r="511">
      <c r="A511" s="33" t="n">
        <v>45329</v>
      </c>
      <c r="B511" s="7" t="inlineStr">
        <is>
          <t>NB Premium</t>
        </is>
      </c>
      <c r="C511" s="7" t="inlineStr">
        <is>
          <t>Q1-FY2024</t>
        </is>
      </c>
      <c r="D511" s="35" t="n">
        <v>30.51</v>
      </c>
      <c r="E511" s="32" t="n">
        <v>-0.042</v>
      </c>
      <c r="F511" s="35">
        <f>D511/(1+E511)</f>
        <v/>
      </c>
      <c r="G511" s="7" t="inlineStr">
        <is>
          <t>Q1-FY2023</t>
        </is>
      </c>
      <c r="H511" s="35" t="n">
        <v>31.84</v>
      </c>
      <c r="I511" s="33" t="n">
        <v>44841</v>
      </c>
      <c r="J511" s="36">
        <f>F511-H511</f>
        <v/>
      </c>
      <c r="K511" s="16">
        <f>0.005/(1+E511)+D511*0.0005/(1+E511)^2+0.005</f>
        <v/>
      </c>
      <c r="L511" s="17">
        <f>IF(ABS(J511)&lt;=K511,"OK",IF(M511&lt;&gt;"","EXPLAINED","CHECK"))</f>
        <v/>
      </c>
      <c r="M511" s="7" t="inlineStr"/>
    </row>
    <row r="512">
      <c r="A512" s="33" t="n">
        <v>45329</v>
      </c>
      <c r="B512" s="7" t="inlineStr">
        <is>
          <t>NB Premium</t>
        </is>
      </c>
      <c r="C512" s="7" t="inlineStr">
        <is>
          <t>FY2023</t>
        </is>
      </c>
      <c r="D512" s="35" t="n">
        <v>169.22</v>
      </c>
      <c r="E512" s="32" t="n">
        <v>0.125</v>
      </c>
      <c r="F512" s="35">
        <f>D512/(1+E512)</f>
        <v/>
      </c>
      <c r="G512" s="7" t="inlineStr">
        <is>
          <t>FY2022</t>
        </is>
      </c>
      <c r="H512" s="35" t="n">
        <v>150.36</v>
      </c>
      <c r="I512" s="33" t="n">
        <v>44993</v>
      </c>
      <c r="J512" s="36">
        <f>F512-H512</f>
        <v/>
      </c>
      <c r="K512" s="16">
        <f>0.005/(1+E512)+D512*0.0005/(1+E512)^2+0.005</f>
        <v/>
      </c>
      <c r="L512" s="17">
        <f>IF(ABS(J512)&lt;=K512,"OK",IF(M512&lt;&gt;"","EXPLAINED","CHECK"))</f>
        <v/>
      </c>
      <c r="M512" s="7" t="inlineStr"/>
    </row>
    <row r="513">
      <c r="A513" s="33" t="n">
        <v>45329</v>
      </c>
      <c r="B513" s="7" t="inlineStr">
        <is>
          <t>NB Premium</t>
        </is>
      </c>
      <c r="C513" s="7" t="inlineStr">
        <is>
          <t>Jan-24</t>
        </is>
      </c>
      <c r="D513" s="35" t="n">
        <v>15.65</v>
      </c>
      <c r="E513" s="32" t="n">
        <v>0.08800000000000001</v>
      </c>
      <c r="F513" s="35">
        <f>D513/(1+E513)</f>
        <v/>
      </c>
      <c r="G513" s="7" t="inlineStr">
        <is>
          <t>Jan-23</t>
        </is>
      </c>
      <c r="H513" s="35" t="n">
        <v>14.39</v>
      </c>
      <c r="I513" s="33" t="n">
        <v>44993</v>
      </c>
      <c r="J513" s="36">
        <f>F513-H513</f>
        <v/>
      </c>
      <c r="K513" s="16">
        <f>0.005/(1+E513)+D513*0.0005/(1+E513)^2+0.005</f>
        <v/>
      </c>
      <c r="L513" s="17">
        <f>IF(ABS(J513)&lt;=K513,"OK",IF(M513&lt;&gt;"","EXPLAINED","CHECK"))</f>
        <v/>
      </c>
      <c r="M513" s="7" t="inlineStr"/>
    </row>
    <row r="514">
      <c r="A514" s="33" t="n">
        <v>45329</v>
      </c>
      <c r="B514" s="7" t="inlineStr">
        <is>
          <t>APE</t>
        </is>
      </c>
      <c r="C514" s="7" t="inlineStr">
        <is>
          <t>Q3-FY2024</t>
        </is>
      </c>
      <c r="D514" s="35" t="n">
        <v>19.07</v>
      </c>
      <c r="E514" s="32" t="n">
        <v>0.047</v>
      </c>
      <c r="F514" s="35">
        <f>D514/(1+E514)</f>
        <v/>
      </c>
      <c r="G514" s="7" t="inlineStr">
        <is>
          <t>Q3-FY2023</t>
        </is>
      </c>
      <c r="H514" s="35" t="n">
        <v>18.21</v>
      </c>
      <c r="I514" s="33" t="n">
        <v>44993</v>
      </c>
      <c r="J514" s="36">
        <f>F514-H514</f>
        <v/>
      </c>
      <c r="K514" s="16">
        <f>0.005/(1+E514)+D514*0.0005/(1+E514)^2+0.005</f>
        <v/>
      </c>
      <c r="L514" s="17">
        <f>IF(ABS(J514)&lt;=K514,"OK",IF(M514&lt;&gt;"","EXPLAINED","CHECK"))</f>
        <v/>
      </c>
      <c r="M514" s="7" t="inlineStr"/>
    </row>
    <row r="515">
      <c r="A515" s="33" t="n">
        <v>45329</v>
      </c>
      <c r="B515" s="7" t="inlineStr">
        <is>
          <t>APE</t>
        </is>
      </c>
      <c r="C515" s="7" t="inlineStr">
        <is>
          <t>Q1-FY2024</t>
        </is>
      </c>
      <c r="D515" s="35" t="n">
        <v>14.61</v>
      </c>
      <c r="E515" s="32" t="n">
        <v>-0.039</v>
      </c>
      <c r="F515" s="35">
        <f>D515/(1+E515)</f>
        <v/>
      </c>
      <c r="G515" s="7" t="inlineStr">
        <is>
          <t>Q1-FY2023</t>
        </is>
      </c>
      <c r="H515" s="35" t="n">
        <v>15.2</v>
      </c>
      <c r="I515" s="33" t="n">
        <v>44841</v>
      </c>
      <c r="J515" s="36">
        <f>F515-H515</f>
        <v/>
      </c>
      <c r="K515" s="16">
        <f>0.005/(1+E515)+D515*0.0005/(1+E515)^2+0.005</f>
        <v/>
      </c>
      <c r="L515" s="17">
        <f>IF(ABS(J515)&lt;=K515,"OK",IF(M515&lt;&gt;"","EXPLAINED","CHECK"))</f>
        <v/>
      </c>
      <c r="M515" s="7" t="inlineStr"/>
    </row>
    <row r="516">
      <c r="A516" s="33" t="n">
        <v>45329</v>
      </c>
      <c r="B516" s="7" t="inlineStr">
        <is>
          <t>APE</t>
        </is>
      </c>
      <c r="C516" s="7" t="inlineStr">
        <is>
          <t>FY2023</t>
        </is>
      </c>
      <c r="D516" s="35" t="n">
        <v>86.40000000000001</v>
      </c>
      <c r="E516" s="32" t="n">
        <v>0.117</v>
      </c>
      <c r="F516" s="35">
        <f>D516/(1+E516)</f>
        <v/>
      </c>
      <c r="G516" s="7" t="inlineStr">
        <is>
          <t>FY2022</t>
        </is>
      </c>
      <c r="H516" s="35" t="n">
        <v>77.33</v>
      </c>
      <c r="I516" s="33" t="n">
        <v>44993</v>
      </c>
      <c r="J516" s="36">
        <f>F516-H516</f>
        <v/>
      </c>
      <c r="K516" s="16">
        <f>0.005/(1+E516)+D516*0.0005/(1+E516)^2+0.005</f>
        <v/>
      </c>
      <c r="L516" s="17">
        <f>IF(ABS(J516)&lt;=K516,"OK",IF(M516&lt;&gt;"","EXPLAINED","CHECK"))</f>
        <v/>
      </c>
      <c r="M516" s="7" t="inlineStr"/>
    </row>
    <row r="517">
      <c r="A517" s="33" t="n">
        <v>45329</v>
      </c>
      <c r="B517" s="7" t="inlineStr">
        <is>
          <t>APE</t>
        </is>
      </c>
      <c r="C517" s="7" t="inlineStr">
        <is>
          <t>Jan-24</t>
        </is>
      </c>
      <c r="D517" s="35" t="n">
        <v>8.09</v>
      </c>
      <c r="E517" s="32" t="n">
        <v>0.08</v>
      </c>
      <c r="F517" s="35">
        <f>D517/(1+E517)</f>
        <v/>
      </c>
      <c r="G517" s="7" t="inlineStr">
        <is>
          <t>Jan-23</t>
        </is>
      </c>
      <c r="H517" s="35" t="n">
        <v>7.49</v>
      </c>
      <c r="I517" s="33" t="n">
        <v>44993</v>
      </c>
      <c r="J517" s="36">
        <f>F517-H517</f>
        <v/>
      </c>
      <c r="K517" s="16">
        <f>0.005/(1+E517)+D517*0.0005/(1+E517)^2+0.005</f>
        <v/>
      </c>
      <c r="L517" s="17">
        <f>IF(ABS(J517)&lt;=K517,"OK",IF(M517&lt;&gt;"","EXPLAINED","CHECK"))</f>
        <v/>
      </c>
      <c r="M517" s="7" t="inlineStr"/>
    </row>
    <row r="518">
      <c r="A518" s="33" t="n">
        <v>45329</v>
      </c>
      <c r="B518" s="7" t="inlineStr">
        <is>
          <t>RWRP</t>
        </is>
      </c>
      <c r="C518" s="7" t="inlineStr">
        <is>
          <t>Q3-FY2024</t>
        </is>
      </c>
      <c r="D518" s="35" t="n">
        <v>15.79</v>
      </c>
      <c r="E518" s="32" t="n">
        <v>0.1</v>
      </c>
      <c r="F518" s="35">
        <f>D518/(1+E518)</f>
        <v/>
      </c>
      <c r="G518" s="7" t="inlineStr">
        <is>
          <t>Q3-FY2023</t>
        </is>
      </c>
      <c r="H518" s="35" t="n">
        <v>14.35</v>
      </c>
      <c r="I518" s="33" t="n">
        <v>44993</v>
      </c>
      <c r="J518" s="36">
        <f>F518-H518</f>
        <v/>
      </c>
      <c r="K518" s="16">
        <f>0.005/(1+E518)+D518*0.0005/(1+E518)^2+0.005</f>
        <v/>
      </c>
      <c r="L518" s="17">
        <f>IF(ABS(J518)&lt;=K518,"OK",IF(M518&lt;&gt;"","EXPLAINED","CHECK"))</f>
        <v/>
      </c>
      <c r="M518" s="7" t="inlineStr"/>
    </row>
    <row r="519">
      <c r="A519" s="33" t="n">
        <v>45329</v>
      </c>
      <c r="B519" s="7" t="inlineStr">
        <is>
          <t>RWRP</t>
        </is>
      </c>
      <c r="C519" s="7" t="inlineStr">
        <is>
          <t>Q1-FY2024</t>
        </is>
      </c>
      <c r="D519" s="35" t="n">
        <v>10.61</v>
      </c>
      <c r="E519" s="32" t="n">
        <v>-0.036</v>
      </c>
      <c r="F519" s="35">
        <f>D519/(1+E519)</f>
        <v/>
      </c>
      <c r="G519" s="7" t="inlineStr">
        <is>
          <t>Q1-FY2023</t>
        </is>
      </c>
      <c r="H519" s="35" t="n">
        <v>11.01</v>
      </c>
      <c r="I519" s="33" t="n">
        <v>44841</v>
      </c>
      <c r="J519" s="36">
        <f>F519-H519</f>
        <v/>
      </c>
      <c r="K519" s="16">
        <f>0.005/(1+E519)+D519*0.0005/(1+E519)^2+0.005</f>
        <v/>
      </c>
      <c r="L519" s="17">
        <f>IF(ABS(J519)&lt;=K519,"OK",IF(M519&lt;&gt;"","EXPLAINED","CHECK"))</f>
        <v/>
      </c>
      <c r="M519" s="7" t="inlineStr"/>
    </row>
    <row r="520">
      <c r="A520" s="33" t="n">
        <v>45329</v>
      </c>
      <c r="B520" s="7" t="inlineStr">
        <is>
          <t>RWRP</t>
        </is>
      </c>
      <c r="C520" s="7" t="inlineStr">
        <is>
          <t>FY2023</t>
        </is>
      </c>
      <c r="D520" s="35" t="n">
        <v>67.38</v>
      </c>
      <c r="E520" s="32" t="n">
        <v>0.07000000000000001</v>
      </c>
      <c r="F520" s="35">
        <f>D520/(1+E520)</f>
        <v/>
      </c>
      <c r="G520" s="7" t="inlineStr">
        <is>
          <t>FY2022</t>
        </is>
      </c>
      <c r="H520" s="35" t="n">
        <v>62.99</v>
      </c>
      <c r="I520" s="33" t="n">
        <v>44993</v>
      </c>
      <c r="J520" s="36">
        <f>F520-H520</f>
        <v/>
      </c>
      <c r="K520" s="16">
        <f>0.005/(1+E520)+D520*0.0005/(1+E520)^2+0.005</f>
        <v/>
      </c>
      <c r="L520" s="17">
        <f>IF(ABS(J520)&lt;=K520,"OK",IF(M520&lt;&gt;"","EXPLAINED","CHECK"))</f>
        <v/>
      </c>
      <c r="M520" s="7" t="inlineStr"/>
    </row>
    <row r="521">
      <c r="A521" s="33" t="n">
        <v>45329</v>
      </c>
      <c r="B521" s="7" t="inlineStr">
        <is>
          <t>RWRP</t>
        </is>
      </c>
      <c r="C521" s="7" t="inlineStr">
        <is>
          <t>Jan-24</t>
        </is>
      </c>
      <c r="D521" s="35" t="n">
        <v>6.63</v>
      </c>
      <c r="E521" s="32" t="n">
        <v>0.223</v>
      </c>
      <c r="F521" s="35">
        <f>D521/(1+E521)</f>
        <v/>
      </c>
      <c r="G521" s="7" t="inlineStr">
        <is>
          <t>Jan-23</t>
        </is>
      </c>
      <c r="H521" s="35" t="n">
        <v>5.42</v>
      </c>
      <c r="I521" s="33" t="n">
        <v>44993</v>
      </c>
      <c r="J521" s="36">
        <f>F521-H521</f>
        <v/>
      </c>
      <c r="K521" s="16">
        <f>0.005/(1+E521)+D521*0.0005/(1+E521)^2+0.005</f>
        <v/>
      </c>
      <c r="L521" s="17">
        <f>IF(ABS(J521)&lt;=K521,"OK",IF(M521&lt;&gt;"","EXPLAINED","CHECK"))</f>
        <v/>
      </c>
      <c r="M521" s="7" t="inlineStr"/>
    </row>
    <row r="522">
      <c r="A522" s="33" t="n">
        <v>45300</v>
      </c>
      <c r="B522" s="7" t="inlineStr">
        <is>
          <t>NB Sum Assured</t>
        </is>
      </c>
      <c r="C522" s="7" t="inlineStr">
        <is>
          <t>Q3-FY2024</t>
        </is>
      </c>
      <c r="D522" s="35" t="n">
        <v>2314.66</v>
      </c>
      <c r="E522" s="32" t="n">
        <v>0.091</v>
      </c>
      <c r="F522" s="35">
        <f>D522/(1+E522)</f>
        <v/>
      </c>
      <c r="G522" s="7" t="inlineStr">
        <is>
          <t>Q3-FY2023</t>
        </is>
      </c>
      <c r="H522" s="35" t="n">
        <v>2121.88</v>
      </c>
      <c r="I522" s="33" t="n">
        <v>44993</v>
      </c>
      <c r="J522" s="36">
        <f>F522-H522</f>
        <v/>
      </c>
      <c r="K522" s="16">
        <f>0.005/(1+E522)+D522*0.0005/(1+E522)^2+0.005</f>
        <v/>
      </c>
      <c r="L522" s="17">
        <f>IF(ABS(J522)&lt;=K522,"OK",IF(M522&lt;&gt;"","EXPLAINED","CHECK"))</f>
        <v/>
      </c>
      <c r="M522" s="7" t="inlineStr"/>
    </row>
    <row r="523">
      <c r="A523" s="33" t="n">
        <v>45300</v>
      </c>
      <c r="B523" s="7" t="inlineStr">
        <is>
          <t>NB Sum Assured</t>
        </is>
      </c>
      <c r="C523" s="7" t="inlineStr">
        <is>
          <t>Q1-FY2024</t>
        </is>
      </c>
      <c r="D523" s="35" t="n">
        <v>2403.04</v>
      </c>
      <c r="E523" s="32" t="n">
        <v>0.08800000000000001</v>
      </c>
      <c r="F523" s="35">
        <f>D523/(1+E523)</f>
        <v/>
      </c>
      <c r="G523" s="7" t="inlineStr">
        <is>
          <t>Q1-FY2023</t>
        </is>
      </c>
      <c r="H523" s="35" t="n">
        <v>2209.35</v>
      </c>
      <c r="I523" s="33" t="n">
        <v>44841</v>
      </c>
      <c r="J523" s="36">
        <f>F523-H523</f>
        <v/>
      </c>
      <c r="K523" s="16">
        <f>0.005/(1+E523)+D523*0.0005/(1+E523)^2+0.005</f>
        <v/>
      </c>
      <c r="L523" s="17">
        <f>IF(ABS(J523)&lt;=K523,"OK",IF(M523&lt;&gt;"","EXPLAINED","CHECK"))</f>
        <v/>
      </c>
      <c r="M523" s="7" t="inlineStr"/>
    </row>
    <row r="524">
      <c r="A524" s="33" t="n">
        <v>45300</v>
      </c>
      <c r="B524" s="7" t="inlineStr">
        <is>
          <t>NB Sum Assured</t>
        </is>
      </c>
      <c r="C524" s="7" t="inlineStr">
        <is>
          <t>FY2023</t>
        </is>
      </c>
      <c r="D524" s="35" t="n">
        <v>10413.92</v>
      </c>
      <c r="E524" s="32" t="n">
        <v>0.347</v>
      </c>
      <c r="F524" s="35">
        <f>D524/(1+E524)</f>
        <v/>
      </c>
      <c r="G524" s="7" t="inlineStr">
        <is>
          <t>FY2022</t>
        </is>
      </c>
      <c r="H524" s="35" t="n">
        <v>7731.46</v>
      </c>
      <c r="I524" s="33" t="n">
        <v>44993</v>
      </c>
      <c r="J524" s="36">
        <f>F524-H524</f>
        <v/>
      </c>
      <c r="K524" s="16">
        <f>0.005/(1+E524)+D524*0.0005/(1+E524)^2+0.005</f>
        <v/>
      </c>
      <c r="L524" s="17">
        <f>IF(ABS(J524)&lt;=K524,"OK",IF(M524&lt;&gt;"","EXPLAINED","CHECK"))</f>
        <v/>
      </c>
      <c r="M524" s="7" t="inlineStr"/>
    </row>
    <row r="525">
      <c r="A525" s="33" t="n">
        <v>45300</v>
      </c>
      <c r="B525" s="7" t="inlineStr">
        <is>
          <t>NB Sum Assured</t>
        </is>
      </c>
      <c r="C525" s="7" t="inlineStr">
        <is>
          <t>Dec-23</t>
        </is>
      </c>
      <c r="D525" s="35" t="n">
        <v>747.7</v>
      </c>
      <c r="E525" s="32" t="n">
        <v>-0.009000000000000001</v>
      </c>
      <c r="F525" s="35">
        <f>D525/(1+E525)</f>
        <v/>
      </c>
      <c r="G525" s="7" t="inlineStr">
        <is>
          <t>Dec-22</t>
        </is>
      </c>
      <c r="H525" s="35" t="n">
        <v>754.75</v>
      </c>
      <c r="I525" s="33" t="n">
        <v>44935</v>
      </c>
      <c r="J525" s="36">
        <f>F525-H525</f>
        <v/>
      </c>
      <c r="K525" s="16">
        <f>0.005/(1+E525)+D525*0.0005/(1+E525)^2+0.005</f>
        <v/>
      </c>
      <c r="L525" s="17">
        <f>IF(ABS(J525)&lt;=K525,"OK",IF(M525&lt;&gt;"","EXPLAINED","CHECK"))</f>
        <v/>
      </c>
      <c r="M525" s="7" t="inlineStr"/>
    </row>
    <row r="526">
      <c r="A526" s="33" t="n">
        <v>45300</v>
      </c>
      <c r="B526" s="7" t="inlineStr">
        <is>
          <t>NB Premium</t>
        </is>
      </c>
      <c r="C526" s="7" t="inlineStr">
        <is>
          <t>Q3-FY2024</t>
        </is>
      </c>
      <c r="D526" s="35" t="n">
        <v>41.17</v>
      </c>
      <c r="E526" s="32" t="n">
        <v>0.048</v>
      </c>
      <c r="F526" s="35">
        <f>D526/(1+E526)</f>
        <v/>
      </c>
      <c r="G526" s="7" t="inlineStr">
        <is>
          <t>Q3-FY2023</t>
        </is>
      </c>
      <c r="H526" s="35" t="n">
        <v>39.28</v>
      </c>
      <c r="I526" s="33" t="n">
        <v>44993</v>
      </c>
      <c r="J526" s="36">
        <f>F526-H526</f>
        <v/>
      </c>
      <c r="K526" s="16">
        <f>0.005/(1+E526)+D526*0.0005/(1+E526)^2+0.005</f>
        <v/>
      </c>
      <c r="L526" s="17">
        <f>IF(ABS(J526)&lt;=K526,"OK",IF(M526&lt;&gt;"","EXPLAINED","CHECK"))</f>
        <v/>
      </c>
      <c r="M526" s="7" t="inlineStr"/>
    </row>
    <row r="527">
      <c r="A527" s="33" t="n">
        <v>45300</v>
      </c>
      <c r="B527" s="7" t="inlineStr">
        <is>
          <t>NB Premium</t>
        </is>
      </c>
      <c r="C527" s="7" t="inlineStr">
        <is>
          <t>Q1-FY2024</t>
        </is>
      </c>
      <c r="D527" s="35" t="n">
        <v>30.51</v>
      </c>
      <c r="E527" s="32" t="n">
        <v>-0.042</v>
      </c>
      <c r="F527" s="35">
        <f>D527/(1+E527)</f>
        <v/>
      </c>
      <c r="G527" s="7" t="inlineStr">
        <is>
          <t>Q1-FY2023</t>
        </is>
      </c>
      <c r="H527" s="35" t="n">
        <v>31.84</v>
      </c>
      <c r="I527" s="33" t="n">
        <v>44841</v>
      </c>
      <c r="J527" s="36">
        <f>F527-H527</f>
        <v/>
      </c>
      <c r="K527" s="16">
        <f>0.005/(1+E527)+D527*0.0005/(1+E527)^2+0.005</f>
        <v/>
      </c>
      <c r="L527" s="17">
        <f>IF(ABS(J527)&lt;=K527,"OK",IF(M527&lt;&gt;"","EXPLAINED","CHECK"))</f>
        <v/>
      </c>
      <c r="M527" s="7" t="inlineStr"/>
    </row>
    <row r="528">
      <c r="A528" s="33" t="n">
        <v>45300</v>
      </c>
      <c r="B528" s="7" t="inlineStr">
        <is>
          <t>NB Premium</t>
        </is>
      </c>
      <c r="C528" s="7" t="inlineStr">
        <is>
          <t>FY2023</t>
        </is>
      </c>
      <c r="D528" s="35" t="n">
        <v>169.22</v>
      </c>
      <c r="E528" s="32" t="n">
        <v>0.125</v>
      </c>
      <c r="F528" s="35">
        <f>D528/(1+E528)</f>
        <v/>
      </c>
      <c r="G528" s="7" t="inlineStr">
        <is>
          <t>FY2022</t>
        </is>
      </c>
      <c r="H528" s="35" t="n">
        <v>150.36</v>
      </c>
      <c r="I528" s="33" t="n">
        <v>44993</v>
      </c>
      <c r="J528" s="36">
        <f>F528-H528</f>
        <v/>
      </c>
      <c r="K528" s="16">
        <f>0.005/(1+E528)+D528*0.0005/(1+E528)^2+0.005</f>
        <v/>
      </c>
      <c r="L528" s="17">
        <f>IF(ABS(J528)&lt;=K528,"OK",IF(M528&lt;&gt;"","EXPLAINED","CHECK"))</f>
        <v/>
      </c>
      <c r="M528" s="7" t="inlineStr"/>
    </row>
    <row r="529">
      <c r="A529" s="33" t="n">
        <v>45300</v>
      </c>
      <c r="B529" s="7" t="inlineStr">
        <is>
          <t>NB Premium</t>
        </is>
      </c>
      <c r="C529" s="7" t="inlineStr">
        <is>
          <t>Dec-23</t>
        </is>
      </c>
      <c r="D529" s="35" t="n">
        <v>14.97</v>
      </c>
      <c r="E529" s="32" t="n">
        <v>0.029</v>
      </c>
      <c r="F529" s="35">
        <f>D529/(1+E529)</f>
        <v/>
      </c>
      <c r="G529" s="7" t="inlineStr">
        <is>
          <t>Dec-22</t>
        </is>
      </c>
      <c r="H529" s="35" t="n">
        <v>14.55</v>
      </c>
      <c r="I529" s="33" t="n">
        <v>44935</v>
      </c>
      <c r="J529" s="36">
        <f>F529-H529</f>
        <v/>
      </c>
      <c r="K529" s="16">
        <f>0.005/(1+E529)+D529*0.0005/(1+E529)^2+0.005</f>
        <v/>
      </c>
      <c r="L529" s="17">
        <f>IF(ABS(J529)&lt;=K529,"OK",IF(M529&lt;&gt;"","EXPLAINED","CHECK"))</f>
        <v/>
      </c>
      <c r="M529" s="7" t="inlineStr"/>
    </row>
    <row r="530">
      <c r="A530" s="33" t="n">
        <v>45300</v>
      </c>
      <c r="B530" s="7" t="inlineStr">
        <is>
          <t>APE</t>
        </is>
      </c>
      <c r="C530" s="7" t="inlineStr">
        <is>
          <t>Q3-FY2024</t>
        </is>
      </c>
      <c r="D530" s="35" t="n">
        <v>19.07</v>
      </c>
      <c r="E530" s="32" t="n">
        <v>0.047</v>
      </c>
      <c r="F530" s="35">
        <f>D530/(1+E530)</f>
        <v/>
      </c>
      <c r="G530" s="7" t="inlineStr">
        <is>
          <t>Q3-FY2023</t>
        </is>
      </c>
      <c r="H530" s="35" t="n">
        <v>18.21</v>
      </c>
      <c r="I530" s="33" t="n">
        <v>44993</v>
      </c>
      <c r="J530" s="36">
        <f>F530-H530</f>
        <v/>
      </c>
      <c r="K530" s="16">
        <f>0.005/(1+E530)+D530*0.0005/(1+E530)^2+0.005</f>
        <v/>
      </c>
      <c r="L530" s="17">
        <f>IF(ABS(J530)&lt;=K530,"OK",IF(M530&lt;&gt;"","EXPLAINED","CHECK"))</f>
        <v/>
      </c>
      <c r="M530" s="7" t="inlineStr"/>
    </row>
    <row r="531">
      <c r="A531" s="33" t="n">
        <v>45300</v>
      </c>
      <c r="B531" s="7" t="inlineStr">
        <is>
          <t>APE</t>
        </is>
      </c>
      <c r="C531" s="7" t="inlineStr">
        <is>
          <t>Q1-FY2024</t>
        </is>
      </c>
      <c r="D531" s="35" t="n">
        <v>14.61</v>
      </c>
      <c r="E531" s="32" t="n">
        <v>-0.039</v>
      </c>
      <c r="F531" s="35">
        <f>D531/(1+E531)</f>
        <v/>
      </c>
      <c r="G531" s="7" t="inlineStr">
        <is>
          <t>Q1-FY2023</t>
        </is>
      </c>
      <c r="H531" s="35" t="n">
        <v>15.2</v>
      </c>
      <c r="I531" s="33" t="n">
        <v>44841</v>
      </c>
      <c r="J531" s="36">
        <f>F531-H531</f>
        <v/>
      </c>
      <c r="K531" s="16">
        <f>0.005/(1+E531)+D531*0.0005/(1+E531)^2+0.005</f>
        <v/>
      </c>
      <c r="L531" s="17">
        <f>IF(ABS(J531)&lt;=K531,"OK",IF(M531&lt;&gt;"","EXPLAINED","CHECK"))</f>
        <v/>
      </c>
      <c r="M531" s="7" t="inlineStr"/>
    </row>
    <row r="532">
      <c r="A532" s="33" t="n">
        <v>45300</v>
      </c>
      <c r="B532" s="7" t="inlineStr">
        <is>
          <t>APE</t>
        </is>
      </c>
      <c r="C532" s="7" t="inlineStr">
        <is>
          <t>FY2023</t>
        </is>
      </c>
      <c r="D532" s="35" t="n">
        <v>86.40000000000001</v>
      </c>
      <c r="E532" s="32" t="n">
        <v>0.117</v>
      </c>
      <c r="F532" s="35">
        <f>D532/(1+E532)</f>
        <v/>
      </c>
      <c r="G532" s="7" t="inlineStr">
        <is>
          <t>FY2022</t>
        </is>
      </c>
      <c r="H532" s="35" t="n">
        <v>77.33</v>
      </c>
      <c r="I532" s="33" t="n">
        <v>44993</v>
      </c>
      <c r="J532" s="36">
        <f>F532-H532</f>
        <v/>
      </c>
      <c r="K532" s="16">
        <f>0.005/(1+E532)+D532*0.0005/(1+E532)^2+0.005</f>
        <v/>
      </c>
      <c r="L532" s="17">
        <f>IF(ABS(J532)&lt;=K532,"OK",IF(M532&lt;&gt;"","EXPLAINED","CHECK"))</f>
        <v/>
      </c>
      <c r="M532" s="7" t="inlineStr"/>
    </row>
    <row r="533">
      <c r="A533" s="33" t="n">
        <v>45300</v>
      </c>
      <c r="B533" s="7" t="inlineStr">
        <is>
          <t>APE</t>
        </is>
      </c>
      <c r="C533" s="7" t="inlineStr">
        <is>
          <t>Dec-23</t>
        </is>
      </c>
      <c r="D533" s="35" t="n">
        <v>7.49</v>
      </c>
      <c r="E533" s="32" t="n">
        <v>0.03700000000000001</v>
      </c>
      <c r="F533" s="35">
        <f>D533/(1+E533)</f>
        <v/>
      </c>
      <c r="G533" s="7" t="inlineStr">
        <is>
          <t>Dec-22</t>
        </is>
      </c>
      <c r="H533" s="35" t="n">
        <v>7.22</v>
      </c>
      <c r="I533" s="33" t="n">
        <v>44935</v>
      </c>
      <c r="J533" s="36">
        <f>F533-H533</f>
        <v/>
      </c>
      <c r="K533" s="16">
        <f>0.005/(1+E533)+D533*0.0005/(1+E533)^2+0.005</f>
        <v/>
      </c>
      <c r="L533" s="17">
        <f>IF(ABS(J533)&lt;=K533,"OK",IF(M533&lt;&gt;"","EXPLAINED","CHECK"))</f>
        <v/>
      </c>
      <c r="M533" s="7" t="inlineStr"/>
    </row>
    <row r="534">
      <c r="A534" s="33" t="n">
        <v>45300</v>
      </c>
      <c r="B534" s="7" t="inlineStr">
        <is>
          <t>RWRP</t>
        </is>
      </c>
      <c r="C534" s="7" t="inlineStr">
        <is>
          <t>Q3-FY2024</t>
        </is>
      </c>
      <c r="D534" s="35" t="n">
        <v>15.79</v>
      </c>
      <c r="E534" s="32" t="n">
        <v>0.1</v>
      </c>
      <c r="F534" s="35">
        <f>D534/(1+E534)</f>
        <v/>
      </c>
      <c r="G534" s="7" t="inlineStr">
        <is>
          <t>Q3-FY2023</t>
        </is>
      </c>
      <c r="H534" s="35" t="n">
        <v>14.35</v>
      </c>
      <c r="I534" s="33" t="n">
        <v>44993</v>
      </c>
      <c r="J534" s="36">
        <f>F534-H534</f>
        <v/>
      </c>
      <c r="K534" s="16">
        <f>0.005/(1+E534)+D534*0.0005/(1+E534)^2+0.005</f>
        <v/>
      </c>
      <c r="L534" s="17">
        <f>IF(ABS(J534)&lt;=K534,"OK",IF(M534&lt;&gt;"","EXPLAINED","CHECK"))</f>
        <v/>
      </c>
      <c r="M534" s="7" t="inlineStr"/>
    </row>
    <row r="535">
      <c r="A535" s="33" t="n">
        <v>45300</v>
      </c>
      <c r="B535" s="7" t="inlineStr">
        <is>
          <t>RWRP</t>
        </is>
      </c>
      <c r="C535" s="7" t="inlineStr">
        <is>
          <t>Q1-FY2024</t>
        </is>
      </c>
      <c r="D535" s="35" t="n">
        <v>10.61</v>
      </c>
      <c r="E535" s="32" t="n">
        <v>-0.036</v>
      </c>
      <c r="F535" s="35">
        <f>D535/(1+E535)</f>
        <v/>
      </c>
      <c r="G535" s="7" t="inlineStr">
        <is>
          <t>Q1-FY2023</t>
        </is>
      </c>
      <c r="H535" s="35" t="n">
        <v>11.01</v>
      </c>
      <c r="I535" s="33" t="n">
        <v>44841</v>
      </c>
      <c r="J535" s="36">
        <f>F535-H535</f>
        <v/>
      </c>
      <c r="K535" s="16">
        <f>0.005/(1+E535)+D535*0.0005/(1+E535)^2+0.005</f>
        <v/>
      </c>
      <c r="L535" s="17">
        <f>IF(ABS(J535)&lt;=K535,"OK",IF(M535&lt;&gt;"","EXPLAINED","CHECK"))</f>
        <v/>
      </c>
      <c r="M535" s="7" t="inlineStr"/>
    </row>
    <row r="536">
      <c r="A536" s="33" t="n">
        <v>45300</v>
      </c>
      <c r="B536" s="7" t="inlineStr">
        <is>
          <t>RWRP</t>
        </is>
      </c>
      <c r="C536" s="7" t="inlineStr">
        <is>
          <t>FY2023</t>
        </is>
      </c>
      <c r="D536" s="35" t="n">
        <v>67.38</v>
      </c>
      <c r="E536" s="32" t="n">
        <v>0.07000000000000001</v>
      </c>
      <c r="F536" s="35">
        <f>D536/(1+E536)</f>
        <v/>
      </c>
      <c r="G536" s="7" t="inlineStr">
        <is>
          <t>FY2022</t>
        </is>
      </c>
      <c r="H536" s="35" t="n">
        <v>62.99</v>
      </c>
      <c r="I536" s="33" t="n">
        <v>44993</v>
      </c>
      <c r="J536" s="36">
        <f>F536-H536</f>
        <v/>
      </c>
      <c r="K536" s="16">
        <f>0.005/(1+E536)+D536*0.0005/(1+E536)^2+0.005</f>
        <v/>
      </c>
      <c r="L536" s="17">
        <f>IF(ABS(J536)&lt;=K536,"OK",IF(M536&lt;&gt;"","EXPLAINED","CHECK"))</f>
        <v/>
      </c>
      <c r="M536" s="7" t="inlineStr"/>
    </row>
    <row r="537">
      <c r="A537" s="33" t="n">
        <v>45300</v>
      </c>
      <c r="B537" s="7" t="inlineStr">
        <is>
          <t>RWRP</t>
        </is>
      </c>
      <c r="C537" s="7" t="inlineStr">
        <is>
          <t>Dec-23</t>
        </is>
      </c>
      <c r="D537" s="35" t="n">
        <v>6.5</v>
      </c>
      <c r="E537" s="32" t="n">
        <v>0.127</v>
      </c>
      <c r="F537" s="35">
        <f>D537/(1+E537)</f>
        <v/>
      </c>
      <c r="G537" s="7" t="inlineStr">
        <is>
          <t>Dec-22</t>
        </is>
      </c>
      <c r="H537" s="35" t="n">
        <v>5.77</v>
      </c>
      <c r="I537" s="33" t="n">
        <v>44935</v>
      </c>
      <c r="J537" s="36">
        <f>F537-H537</f>
        <v/>
      </c>
      <c r="K537" s="16">
        <f>0.005/(1+E537)+D537*0.0005/(1+E537)^2+0.005</f>
        <v/>
      </c>
      <c r="L537" s="17">
        <f>IF(ABS(J537)&lt;=K537,"OK",IF(M537&lt;&gt;"","EXPLAINED","CHECK"))</f>
        <v/>
      </c>
      <c r="M537" s="7" t="inlineStr"/>
    </row>
    <row r="538">
      <c r="A538" s="33" t="n">
        <v>45267</v>
      </c>
      <c r="B538" s="7" t="inlineStr">
        <is>
          <t>NB Sum Assured</t>
        </is>
      </c>
      <c r="C538" s="7" t="inlineStr">
        <is>
          <t>Q1-FY2024</t>
        </is>
      </c>
      <c r="D538" s="35" t="n">
        <v>2403.04</v>
      </c>
      <c r="E538" s="32" t="n">
        <v>0.08800000000000001</v>
      </c>
      <c r="F538" s="35">
        <f>D538/(1+E538)</f>
        <v/>
      </c>
      <c r="G538" s="7" t="inlineStr">
        <is>
          <t>Q1-FY2023</t>
        </is>
      </c>
      <c r="H538" s="35" t="n">
        <v>2209.35</v>
      </c>
      <c r="I538" s="33" t="n">
        <v>44841</v>
      </c>
      <c r="J538" s="36">
        <f>F538-H538</f>
        <v/>
      </c>
      <c r="K538" s="16">
        <f>0.005/(1+E538)+D538*0.0005/(1+E538)^2+0.005</f>
        <v/>
      </c>
      <c r="L538" s="17">
        <f>IF(ABS(J538)&lt;=K538,"OK",IF(M538&lt;&gt;"","EXPLAINED","CHECK"))</f>
        <v/>
      </c>
      <c r="M538" s="7" t="inlineStr"/>
    </row>
    <row r="539">
      <c r="A539" s="33" t="n">
        <v>45267</v>
      </c>
      <c r="B539" s="7" t="inlineStr">
        <is>
          <t>NB Sum Assured</t>
        </is>
      </c>
      <c r="C539" s="7" t="inlineStr">
        <is>
          <t>FY2023</t>
        </is>
      </c>
      <c r="D539" s="35" t="n">
        <v>10413.92</v>
      </c>
      <c r="E539" s="32" t="n">
        <v>0.347</v>
      </c>
      <c r="F539" s="35">
        <f>D539/(1+E539)</f>
        <v/>
      </c>
      <c r="G539" s="7" t="inlineStr">
        <is>
          <t>FY2022</t>
        </is>
      </c>
      <c r="H539" s="35" t="n">
        <v>7731.46</v>
      </c>
      <c r="I539" s="33" t="n">
        <v>44993</v>
      </c>
      <c r="J539" s="36">
        <f>F539-H539</f>
        <v/>
      </c>
      <c r="K539" s="16">
        <f>0.005/(1+E539)+D539*0.0005/(1+E539)^2+0.005</f>
        <v/>
      </c>
      <c r="L539" s="17">
        <f>IF(ABS(J539)&lt;=K539,"OK",IF(M539&lt;&gt;"","EXPLAINED","CHECK"))</f>
        <v/>
      </c>
      <c r="M539" s="7" t="inlineStr"/>
    </row>
    <row r="540">
      <c r="A540" s="33" t="n">
        <v>45267</v>
      </c>
      <c r="B540" s="7" t="inlineStr">
        <is>
          <t>NB Sum Assured</t>
        </is>
      </c>
      <c r="C540" s="7" t="inlineStr">
        <is>
          <t>Nov-23</t>
        </is>
      </c>
      <c r="D540" s="35" t="n">
        <v>793.26</v>
      </c>
      <c r="E540" s="32" t="n">
        <v>0.326</v>
      </c>
      <c r="F540" s="35">
        <f>D540/(1+E540)</f>
        <v/>
      </c>
      <c r="G540" s="7" t="inlineStr">
        <is>
          <t>Nov-22</t>
        </is>
      </c>
      <c r="H540" s="35" t="n">
        <v>598.41</v>
      </c>
      <c r="I540" s="33" t="n">
        <v>44935</v>
      </c>
      <c r="J540" s="36">
        <f>F540-H540</f>
        <v/>
      </c>
      <c r="K540" s="16">
        <f>0.005/(1+E540)+D540*0.0005/(1+E540)^2+0.005</f>
        <v/>
      </c>
      <c r="L540" s="17">
        <f>IF(ABS(J540)&lt;=K540,"OK",IF(M540&lt;&gt;"","EXPLAINED","CHECK"))</f>
        <v/>
      </c>
      <c r="M540" s="7" t="inlineStr"/>
    </row>
    <row r="541">
      <c r="A541" s="33" t="n">
        <v>45267</v>
      </c>
      <c r="B541" s="7" t="inlineStr">
        <is>
          <t>NB Sum Assured</t>
        </is>
      </c>
      <c r="C541" s="7" t="inlineStr">
        <is>
          <t>Oct-23</t>
        </is>
      </c>
      <c r="D541" s="35" t="n">
        <v>773.6900000000001</v>
      </c>
      <c r="E541" s="32" t="n">
        <v>0.006</v>
      </c>
      <c r="F541" s="35">
        <f>D541/(1+E541)</f>
        <v/>
      </c>
      <c r="G541" s="7" t="inlineStr">
        <is>
          <t>Oct-22</t>
        </is>
      </c>
      <c r="H541" s="35" t="n">
        <v>768.71</v>
      </c>
      <c r="I541" s="33" t="n">
        <v>44935</v>
      </c>
      <c r="J541" s="36">
        <f>F541-H541</f>
        <v/>
      </c>
      <c r="K541" s="16">
        <f>0.005/(1+E541)+D541*0.0005/(1+E541)^2+0.005</f>
        <v/>
      </c>
      <c r="L541" s="17">
        <f>IF(ABS(J541)&lt;=K541,"OK",IF(M541&lt;&gt;"","EXPLAINED","CHECK"))</f>
        <v/>
      </c>
      <c r="M541" s="7" t="inlineStr"/>
    </row>
    <row r="542">
      <c r="A542" s="33" t="n">
        <v>45267</v>
      </c>
      <c r="B542" s="7" t="inlineStr">
        <is>
          <t>NB Premium</t>
        </is>
      </c>
      <c r="C542" s="7" t="inlineStr">
        <is>
          <t>Q1-FY2024</t>
        </is>
      </c>
      <c r="D542" s="35" t="n">
        <v>30.51</v>
      </c>
      <c r="E542" s="32" t="n">
        <v>-0.042</v>
      </c>
      <c r="F542" s="35">
        <f>D542/(1+E542)</f>
        <v/>
      </c>
      <c r="G542" s="7" t="inlineStr">
        <is>
          <t>Q1-FY2023</t>
        </is>
      </c>
      <c r="H542" s="35" t="n">
        <v>31.84</v>
      </c>
      <c r="I542" s="33" t="n">
        <v>44841</v>
      </c>
      <c r="J542" s="36">
        <f>F542-H542</f>
        <v/>
      </c>
      <c r="K542" s="16">
        <f>0.005/(1+E542)+D542*0.0005/(1+E542)^2+0.005</f>
        <v/>
      </c>
      <c r="L542" s="17">
        <f>IF(ABS(J542)&lt;=K542,"OK",IF(M542&lt;&gt;"","EXPLAINED","CHECK"))</f>
        <v/>
      </c>
      <c r="M542" s="7" t="inlineStr"/>
    </row>
    <row r="543">
      <c r="A543" s="33" t="n">
        <v>45267</v>
      </c>
      <c r="B543" s="7" t="inlineStr">
        <is>
          <t>NB Premium</t>
        </is>
      </c>
      <c r="C543" s="7" t="inlineStr">
        <is>
          <t>FY2023</t>
        </is>
      </c>
      <c r="D543" s="35" t="n">
        <v>169.22</v>
      </c>
      <c r="E543" s="32" t="n">
        <v>0.125</v>
      </c>
      <c r="F543" s="35">
        <f>D543/(1+E543)</f>
        <v/>
      </c>
      <c r="G543" s="7" t="inlineStr">
        <is>
          <t>FY2022</t>
        </is>
      </c>
      <c r="H543" s="35" t="n">
        <v>150.36</v>
      </c>
      <c r="I543" s="33" t="n">
        <v>44993</v>
      </c>
      <c r="J543" s="36">
        <f>F543-H543</f>
        <v/>
      </c>
      <c r="K543" s="16">
        <f>0.005/(1+E543)+D543*0.0005/(1+E543)^2+0.005</f>
        <v/>
      </c>
      <c r="L543" s="17">
        <f>IF(ABS(J543)&lt;=K543,"OK",IF(M543&lt;&gt;"","EXPLAINED","CHECK"))</f>
        <v/>
      </c>
      <c r="M543" s="7" t="inlineStr"/>
    </row>
    <row r="544">
      <c r="A544" s="33" t="n">
        <v>45267</v>
      </c>
      <c r="B544" s="7" t="inlineStr">
        <is>
          <t>NB Premium</t>
        </is>
      </c>
      <c r="C544" s="7" t="inlineStr">
        <is>
          <t>Nov-23</t>
        </is>
      </c>
      <c r="D544" s="35" t="n">
        <v>12.91</v>
      </c>
      <c r="E544" s="32" t="n">
        <v>0.021</v>
      </c>
      <c r="F544" s="35">
        <f>D544/(1+E544)</f>
        <v/>
      </c>
      <c r="G544" s="7" t="inlineStr">
        <is>
          <t>Nov-22</t>
        </is>
      </c>
      <c r="H544" s="35" t="n">
        <v>12.65</v>
      </c>
      <c r="I544" s="33" t="n">
        <v>44935</v>
      </c>
      <c r="J544" s="36">
        <f>F544-H544</f>
        <v/>
      </c>
      <c r="K544" s="16">
        <f>0.005/(1+E544)+D544*0.0005/(1+E544)^2+0.005</f>
        <v/>
      </c>
      <c r="L544" s="17">
        <f>IF(ABS(J544)&lt;=K544,"OK",IF(M544&lt;&gt;"","EXPLAINED","CHECK"))</f>
        <v/>
      </c>
      <c r="M544" s="7" t="inlineStr"/>
    </row>
    <row r="545">
      <c r="A545" s="33" t="n">
        <v>45267</v>
      </c>
      <c r="B545" s="7" t="inlineStr">
        <is>
          <t>NB Premium</t>
        </is>
      </c>
      <c r="C545" s="7" t="inlineStr">
        <is>
          <t>Oct-23</t>
        </is>
      </c>
      <c r="D545" s="35" t="n">
        <v>13.29</v>
      </c>
      <c r="E545" s="32" t="n">
        <v>0.1</v>
      </c>
      <c r="F545" s="35">
        <f>D545/(1+E545)</f>
        <v/>
      </c>
      <c r="G545" s="7" t="inlineStr">
        <is>
          <t>Oct-22</t>
        </is>
      </c>
      <c r="H545" s="35" t="n">
        <v>12.08</v>
      </c>
      <c r="I545" s="33" t="n">
        <v>44935</v>
      </c>
      <c r="J545" s="36">
        <f>F545-H545</f>
        <v/>
      </c>
      <c r="K545" s="16">
        <f>0.005/(1+E545)+D545*0.0005/(1+E545)^2+0.005</f>
        <v/>
      </c>
      <c r="L545" s="17">
        <f>IF(ABS(J545)&lt;=K545,"OK",IF(M545&lt;&gt;"","EXPLAINED","CHECK"))</f>
        <v/>
      </c>
      <c r="M545" s="7" t="inlineStr"/>
    </row>
    <row r="546">
      <c r="A546" s="33" t="n">
        <v>45267</v>
      </c>
      <c r="B546" s="7" t="inlineStr">
        <is>
          <t>APE</t>
        </is>
      </c>
      <c r="C546" s="7" t="inlineStr">
        <is>
          <t>Q1-FY2024</t>
        </is>
      </c>
      <c r="D546" s="35" t="n">
        <v>14.61</v>
      </c>
      <c r="E546" s="32" t="n">
        <v>-0.039</v>
      </c>
      <c r="F546" s="35">
        <f>D546/(1+E546)</f>
        <v/>
      </c>
      <c r="G546" s="7" t="inlineStr">
        <is>
          <t>Q1-FY2023</t>
        </is>
      </c>
      <c r="H546" s="35" t="n">
        <v>15.2</v>
      </c>
      <c r="I546" s="33" t="n">
        <v>44841</v>
      </c>
      <c r="J546" s="36">
        <f>F546-H546</f>
        <v/>
      </c>
      <c r="K546" s="16">
        <f>0.005/(1+E546)+D546*0.0005/(1+E546)^2+0.005</f>
        <v/>
      </c>
      <c r="L546" s="17">
        <f>IF(ABS(J546)&lt;=K546,"OK",IF(M546&lt;&gt;"","EXPLAINED","CHECK"))</f>
        <v/>
      </c>
      <c r="M546" s="7" t="inlineStr"/>
    </row>
    <row r="547">
      <c r="A547" s="33" t="n">
        <v>45267</v>
      </c>
      <c r="B547" s="7" t="inlineStr">
        <is>
          <t>APE</t>
        </is>
      </c>
      <c r="C547" s="7" t="inlineStr">
        <is>
          <t>FY2023</t>
        </is>
      </c>
      <c r="D547" s="35" t="n">
        <v>86.40000000000001</v>
      </c>
      <c r="E547" s="32" t="n">
        <v>0.117</v>
      </c>
      <c r="F547" s="35">
        <f>D547/(1+E547)</f>
        <v/>
      </c>
      <c r="G547" s="7" t="inlineStr">
        <is>
          <t>FY2022</t>
        </is>
      </c>
      <c r="H547" s="35" t="n">
        <v>77.33</v>
      </c>
      <c r="I547" s="33" t="n">
        <v>44993</v>
      </c>
      <c r="J547" s="36">
        <f>F547-H547</f>
        <v/>
      </c>
      <c r="K547" s="16">
        <f>0.005/(1+E547)+D547*0.0005/(1+E547)^2+0.005</f>
        <v/>
      </c>
      <c r="L547" s="17">
        <f>IF(ABS(J547)&lt;=K547,"OK",IF(M547&lt;&gt;"","EXPLAINED","CHECK"))</f>
        <v/>
      </c>
      <c r="M547" s="7" t="inlineStr"/>
    </row>
    <row r="548">
      <c r="A548" s="33" t="n">
        <v>45267</v>
      </c>
      <c r="B548" s="7" t="inlineStr">
        <is>
          <t>APE</t>
        </is>
      </c>
      <c r="C548" s="7" t="inlineStr">
        <is>
          <t>Nov-23</t>
        </is>
      </c>
      <c r="D548" s="35" t="n">
        <v>5.55</v>
      </c>
      <c r="E548" s="32" t="n">
        <v>-0.04</v>
      </c>
      <c r="F548" s="35">
        <f>D548/(1+E548)</f>
        <v/>
      </c>
      <c r="G548" s="7" t="inlineStr">
        <is>
          <t>Nov-22</t>
        </is>
      </c>
      <c r="H548" s="35" t="n">
        <v>5.78</v>
      </c>
      <c r="I548" s="33" t="n">
        <v>44935</v>
      </c>
      <c r="J548" s="36">
        <f>F548-H548</f>
        <v/>
      </c>
      <c r="K548" s="16">
        <f>0.005/(1+E548)+D548*0.0005/(1+E548)^2+0.005</f>
        <v/>
      </c>
      <c r="L548" s="17">
        <f>IF(ABS(J548)&lt;=K548,"OK",IF(M548&lt;&gt;"","EXPLAINED","CHECK"))</f>
        <v/>
      </c>
      <c r="M548" s="7" t="inlineStr"/>
    </row>
    <row r="549">
      <c r="A549" s="33" t="n">
        <v>45267</v>
      </c>
      <c r="B549" s="7" t="inlineStr">
        <is>
          <t>APE</t>
        </is>
      </c>
      <c r="C549" s="7" t="inlineStr">
        <is>
          <t>Oct-23</t>
        </is>
      </c>
      <c r="D549" s="35" t="n">
        <v>6.03</v>
      </c>
      <c r="E549" s="32" t="n">
        <v>0.157</v>
      </c>
      <c r="F549" s="35">
        <f>D549/(1+E549)</f>
        <v/>
      </c>
      <c r="G549" s="7" t="inlineStr">
        <is>
          <t>Oct-22</t>
        </is>
      </c>
      <c r="H549" s="35" t="n">
        <v>5.21</v>
      </c>
      <c r="I549" s="33" t="n">
        <v>44935</v>
      </c>
      <c r="J549" s="36">
        <f>F549-H549</f>
        <v/>
      </c>
      <c r="K549" s="16">
        <f>0.005/(1+E549)+D549*0.0005/(1+E549)^2+0.005</f>
        <v/>
      </c>
      <c r="L549" s="17">
        <f>IF(ABS(J549)&lt;=K549,"OK",IF(M549&lt;&gt;"","EXPLAINED","CHECK"))</f>
        <v/>
      </c>
      <c r="M549" s="7" t="inlineStr"/>
    </row>
    <row r="550">
      <c r="A550" s="33" t="n">
        <v>45267</v>
      </c>
      <c r="B550" s="7" t="inlineStr">
        <is>
          <t>RWRP</t>
        </is>
      </c>
      <c r="C550" s="7" t="inlineStr">
        <is>
          <t>Q1-FY2024</t>
        </is>
      </c>
      <c r="D550" s="35" t="n">
        <v>10.61</v>
      </c>
      <c r="E550" s="32" t="n">
        <v>-0.036</v>
      </c>
      <c r="F550" s="35">
        <f>D550/(1+E550)</f>
        <v/>
      </c>
      <c r="G550" s="7" t="inlineStr">
        <is>
          <t>Q1-FY2023</t>
        </is>
      </c>
      <c r="H550" s="35" t="n">
        <v>11.01</v>
      </c>
      <c r="I550" s="33" t="n">
        <v>44841</v>
      </c>
      <c r="J550" s="36">
        <f>F550-H550</f>
        <v/>
      </c>
      <c r="K550" s="16">
        <f>0.005/(1+E550)+D550*0.0005/(1+E550)^2+0.005</f>
        <v/>
      </c>
      <c r="L550" s="17">
        <f>IF(ABS(J550)&lt;=K550,"OK",IF(M550&lt;&gt;"","EXPLAINED","CHECK"))</f>
        <v/>
      </c>
      <c r="M550" s="7" t="inlineStr"/>
    </row>
    <row r="551">
      <c r="A551" s="33" t="n">
        <v>45267</v>
      </c>
      <c r="B551" s="7" t="inlineStr">
        <is>
          <t>RWRP</t>
        </is>
      </c>
      <c r="C551" s="7" t="inlineStr">
        <is>
          <t>FY2023</t>
        </is>
      </c>
      <c r="D551" s="35" t="n">
        <v>67.38</v>
      </c>
      <c r="E551" s="32" t="n">
        <v>0.07000000000000001</v>
      </c>
      <c r="F551" s="35">
        <f>D551/(1+E551)</f>
        <v/>
      </c>
      <c r="G551" s="7" t="inlineStr">
        <is>
          <t>FY2022</t>
        </is>
      </c>
      <c r="H551" s="35" t="n">
        <v>62.99</v>
      </c>
      <c r="I551" s="33" t="n">
        <v>44993</v>
      </c>
      <c r="J551" s="36">
        <f>F551-H551</f>
        <v/>
      </c>
      <c r="K551" s="16">
        <f>0.005/(1+E551)+D551*0.0005/(1+E551)^2+0.005</f>
        <v/>
      </c>
      <c r="L551" s="17">
        <f>IF(ABS(J551)&lt;=K551,"OK",IF(M551&lt;&gt;"","EXPLAINED","CHECK"))</f>
        <v/>
      </c>
      <c r="M551" s="7" t="inlineStr"/>
    </row>
    <row r="552">
      <c r="A552" s="33" t="n">
        <v>45267</v>
      </c>
      <c r="B552" s="7" t="inlineStr">
        <is>
          <t>RWRP</t>
        </is>
      </c>
      <c r="C552" s="7" t="inlineStr">
        <is>
          <t>Nov-23</t>
        </is>
      </c>
      <c r="D552" s="35" t="n">
        <v>4.48</v>
      </c>
      <c r="E552" s="32" t="n">
        <v>-0.028</v>
      </c>
      <c r="F552" s="35">
        <f>D552/(1+E552)</f>
        <v/>
      </c>
      <c r="G552" s="7" t="inlineStr">
        <is>
          <t>Nov-22</t>
        </is>
      </c>
      <c r="H552" s="35" t="n">
        <v>4.61</v>
      </c>
      <c r="I552" s="33" t="n">
        <v>44935</v>
      </c>
      <c r="J552" s="36">
        <f>F552-H552</f>
        <v/>
      </c>
      <c r="K552" s="16">
        <f>0.005/(1+E552)+D552*0.0005/(1+E552)^2+0.005</f>
        <v/>
      </c>
      <c r="L552" s="17">
        <f>IF(ABS(J552)&lt;=K552,"OK",IF(M552&lt;&gt;"","EXPLAINED","CHECK"))</f>
        <v/>
      </c>
      <c r="M552" s="7" t="inlineStr"/>
    </row>
    <row r="553">
      <c r="A553" s="33" t="n">
        <v>45267</v>
      </c>
      <c r="B553" s="7" t="inlineStr">
        <is>
          <t>RWRP</t>
        </is>
      </c>
      <c r="C553" s="7" t="inlineStr">
        <is>
          <t>Oct-23</t>
        </is>
      </c>
      <c r="D553" s="35" t="n">
        <v>4.81</v>
      </c>
      <c r="E553" s="32" t="n">
        <v>0.212</v>
      </c>
      <c r="F553" s="35">
        <f>D553/(1+E553)</f>
        <v/>
      </c>
      <c r="G553" s="7" t="inlineStr">
        <is>
          <t>Oct-22</t>
        </is>
      </c>
      <c r="H553" s="35" t="n">
        <v>3.97</v>
      </c>
      <c r="I553" s="33" t="n">
        <v>44935</v>
      </c>
      <c r="J553" s="36">
        <f>F553-H553</f>
        <v/>
      </c>
      <c r="K553" s="16">
        <f>0.005/(1+E553)+D553*0.0005/(1+E553)^2+0.005</f>
        <v/>
      </c>
      <c r="L553" s="17">
        <f>IF(ABS(J553)&lt;=K553,"OK",IF(M553&lt;&gt;"","EXPLAINED","CHECK"))</f>
        <v/>
      </c>
      <c r="M553" s="7" t="inlineStr"/>
    </row>
    <row r="554">
      <c r="A554" s="33" t="n">
        <v>45237</v>
      </c>
      <c r="B554" s="7" t="inlineStr">
        <is>
          <t>NB Sum Assured</t>
        </is>
      </c>
      <c r="C554" s="7" t="inlineStr">
        <is>
          <t>Q1-FY2024</t>
        </is>
      </c>
      <c r="D554" s="35" t="n">
        <v>2403.04</v>
      </c>
      <c r="E554" s="32" t="n">
        <v>0.08800000000000001</v>
      </c>
      <c r="F554" s="35">
        <f>D554/(1+E554)</f>
        <v/>
      </c>
      <c r="G554" s="7" t="inlineStr">
        <is>
          <t>Q1-FY2023</t>
        </is>
      </c>
      <c r="H554" s="35" t="n">
        <v>2209.35</v>
      </c>
      <c r="I554" s="33" t="n">
        <v>44841</v>
      </c>
      <c r="J554" s="36">
        <f>F554-H554</f>
        <v/>
      </c>
      <c r="K554" s="16">
        <f>0.005/(1+E554)+D554*0.0005/(1+E554)^2+0.005</f>
        <v/>
      </c>
      <c r="L554" s="17">
        <f>IF(ABS(J554)&lt;=K554,"OK",IF(M554&lt;&gt;"","EXPLAINED","CHECK"))</f>
        <v/>
      </c>
      <c r="M554" s="7" t="inlineStr"/>
    </row>
    <row r="555">
      <c r="A555" s="33" t="n">
        <v>45237</v>
      </c>
      <c r="B555" s="7" t="inlineStr">
        <is>
          <t>NB Sum Assured</t>
        </is>
      </c>
      <c r="C555" s="7" t="inlineStr">
        <is>
          <t>FY2023</t>
        </is>
      </c>
      <c r="D555" s="35" t="n">
        <v>10413.92</v>
      </c>
      <c r="E555" s="32" t="n">
        <v>0.347</v>
      </c>
      <c r="F555" s="35">
        <f>D555/(1+E555)</f>
        <v/>
      </c>
      <c r="G555" s="7" t="inlineStr">
        <is>
          <t>FY2022</t>
        </is>
      </c>
      <c r="H555" s="35" t="n">
        <v>7731.46</v>
      </c>
      <c r="I555" s="33" t="n">
        <v>44993</v>
      </c>
      <c r="J555" s="36">
        <f>F555-H555</f>
        <v/>
      </c>
      <c r="K555" s="16">
        <f>0.005/(1+E555)+D555*0.0005/(1+E555)^2+0.005</f>
        <v/>
      </c>
      <c r="L555" s="17">
        <f>IF(ABS(J555)&lt;=K555,"OK",IF(M555&lt;&gt;"","EXPLAINED","CHECK"))</f>
        <v/>
      </c>
      <c r="M555" s="7" t="inlineStr"/>
    </row>
    <row r="556">
      <c r="A556" s="33" t="n">
        <v>45237</v>
      </c>
      <c r="B556" s="7" t="inlineStr">
        <is>
          <t>NB Sum Assured</t>
        </is>
      </c>
      <c r="C556" s="7" t="inlineStr">
        <is>
          <t>Oct-23</t>
        </is>
      </c>
      <c r="D556" s="35" t="n">
        <v>773.6900000000001</v>
      </c>
      <c r="E556" s="32" t="n">
        <v>0.006</v>
      </c>
      <c r="F556" s="35">
        <f>D556/(1+E556)</f>
        <v/>
      </c>
      <c r="G556" s="7" t="inlineStr">
        <is>
          <t>Oct-22</t>
        </is>
      </c>
      <c r="H556" s="35" t="n">
        <v>768.71</v>
      </c>
      <c r="I556" s="33" t="n">
        <v>44935</v>
      </c>
      <c r="J556" s="36">
        <f>F556-H556</f>
        <v/>
      </c>
      <c r="K556" s="16">
        <f>0.005/(1+E556)+D556*0.0005/(1+E556)^2+0.005</f>
        <v/>
      </c>
      <c r="L556" s="17">
        <f>IF(ABS(J556)&lt;=K556,"OK",IF(M556&lt;&gt;"","EXPLAINED","CHECK"))</f>
        <v/>
      </c>
      <c r="M556" s="7" t="inlineStr"/>
    </row>
    <row r="557">
      <c r="A557" s="33" t="n">
        <v>45237</v>
      </c>
      <c r="B557" s="7" t="inlineStr">
        <is>
          <t>NB Premium</t>
        </is>
      </c>
      <c r="C557" s="7" t="inlineStr">
        <is>
          <t>Q1-FY2024</t>
        </is>
      </c>
      <c r="D557" s="35" t="n">
        <v>30.51</v>
      </c>
      <c r="E557" s="32" t="n">
        <v>-0.042</v>
      </c>
      <c r="F557" s="35">
        <f>D557/(1+E557)</f>
        <v/>
      </c>
      <c r="G557" s="7" t="inlineStr">
        <is>
          <t>Q1-FY2023</t>
        </is>
      </c>
      <c r="H557" s="35" t="n">
        <v>31.84</v>
      </c>
      <c r="I557" s="33" t="n">
        <v>44841</v>
      </c>
      <c r="J557" s="36">
        <f>F557-H557</f>
        <v/>
      </c>
      <c r="K557" s="16">
        <f>0.005/(1+E557)+D557*0.0005/(1+E557)^2+0.005</f>
        <v/>
      </c>
      <c r="L557" s="17">
        <f>IF(ABS(J557)&lt;=K557,"OK",IF(M557&lt;&gt;"","EXPLAINED","CHECK"))</f>
        <v/>
      </c>
      <c r="M557" s="7" t="inlineStr"/>
    </row>
    <row r="558">
      <c r="A558" s="33" t="n">
        <v>45237</v>
      </c>
      <c r="B558" s="7" t="inlineStr">
        <is>
          <t>NB Premium</t>
        </is>
      </c>
      <c r="C558" s="7" t="inlineStr">
        <is>
          <t>FY2023</t>
        </is>
      </c>
      <c r="D558" s="35" t="n">
        <v>169.22</v>
      </c>
      <c r="E558" s="32" t="n">
        <v>0.125</v>
      </c>
      <c r="F558" s="35">
        <f>D558/(1+E558)</f>
        <v/>
      </c>
      <c r="G558" s="7" t="inlineStr">
        <is>
          <t>FY2022</t>
        </is>
      </c>
      <c r="H558" s="35" t="n">
        <v>150.36</v>
      </c>
      <c r="I558" s="33" t="n">
        <v>44993</v>
      </c>
      <c r="J558" s="36">
        <f>F558-H558</f>
        <v/>
      </c>
      <c r="K558" s="16">
        <f>0.005/(1+E558)+D558*0.0005/(1+E558)^2+0.005</f>
        <v/>
      </c>
      <c r="L558" s="17">
        <f>IF(ABS(J558)&lt;=K558,"OK",IF(M558&lt;&gt;"","EXPLAINED","CHECK"))</f>
        <v/>
      </c>
      <c r="M558" s="7" t="inlineStr"/>
    </row>
    <row r="559">
      <c r="A559" s="33" t="n">
        <v>45237</v>
      </c>
      <c r="B559" s="7" t="inlineStr">
        <is>
          <t>NB Premium</t>
        </is>
      </c>
      <c r="C559" s="7" t="inlineStr">
        <is>
          <t>Oct-23</t>
        </is>
      </c>
      <c r="D559" s="35" t="n">
        <v>13.29</v>
      </c>
      <c r="E559" s="32" t="n">
        <v>0.1</v>
      </c>
      <c r="F559" s="35">
        <f>D559/(1+E559)</f>
        <v/>
      </c>
      <c r="G559" s="7" t="inlineStr">
        <is>
          <t>Oct-22</t>
        </is>
      </c>
      <c r="H559" s="35" t="n">
        <v>12.08</v>
      </c>
      <c r="I559" s="33" t="n">
        <v>44935</v>
      </c>
      <c r="J559" s="36">
        <f>F559-H559</f>
        <v/>
      </c>
      <c r="K559" s="16">
        <f>0.005/(1+E559)+D559*0.0005/(1+E559)^2+0.005</f>
        <v/>
      </c>
      <c r="L559" s="17">
        <f>IF(ABS(J559)&lt;=K559,"OK",IF(M559&lt;&gt;"","EXPLAINED","CHECK"))</f>
        <v/>
      </c>
      <c r="M559" s="7" t="inlineStr"/>
    </row>
    <row r="560">
      <c r="A560" s="33" t="n">
        <v>45237</v>
      </c>
      <c r="B560" s="7" t="inlineStr">
        <is>
          <t>APE</t>
        </is>
      </c>
      <c r="C560" s="7" t="inlineStr">
        <is>
          <t>Q1-FY2024</t>
        </is>
      </c>
      <c r="D560" s="35" t="n">
        <v>14.61</v>
      </c>
      <c r="E560" s="32" t="n">
        <v>-0.039</v>
      </c>
      <c r="F560" s="35">
        <f>D560/(1+E560)</f>
        <v/>
      </c>
      <c r="G560" s="7" t="inlineStr">
        <is>
          <t>Q1-FY2023</t>
        </is>
      </c>
      <c r="H560" s="35" t="n">
        <v>15.2</v>
      </c>
      <c r="I560" s="33" t="n">
        <v>44841</v>
      </c>
      <c r="J560" s="36">
        <f>F560-H560</f>
        <v/>
      </c>
      <c r="K560" s="16">
        <f>0.005/(1+E560)+D560*0.0005/(1+E560)^2+0.005</f>
        <v/>
      </c>
      <c r="L560" s="17">
        <f>IF(ABS(J560)&lt;=K560,"OK",IF(M560&lt;&gt;"","EXPLAINED","CHECK"))</f>
        <v/>
      </c>
      <c r="M560" s="7" t="inlineStr"/>
    </row>
    <row r="561">
      <c r="A561" s="33" t="n">
        <v>45237</v>
      </c>
      <c r="B561" s="7" t="inlineStr">
        <is>
          <t>APE</t>
        </is>
      </c>
      <c r="C561" s="7" t="inlineStr">
        <is>
          <t>FY2023</t>
        </is>
      </c>
      <c r="D561" s="35" t="n">
        <v>86.40000000000001</v>
      </c>
      <c r="E561" s="32" t="n">
        <v>0.117</v>
      </c>
      <c r="F561" s="35">
        <f>D561/(1+E561)</f>
        <v/>
      </c>
      <c r="G561" s="7" t="inlineStr">
        <is>
          <t>FY2022</t>
        </is>
      </c>
      <c r="H561" s="35" t="n">
        <v>77.33</v>
      </c>
      <c r="I561" s="33" t="n">
        <v>44993</v>
      </c>
      <c r="J561" s="36">
        <f>F561-H561</f>
        <v/>
      </c>
      <c r="K561" s="16">
        <f>0.005/(1+E561)+D561*0.0005/(1+E561)^2+0.005</f>
        <v/>
      </c>
      <c r="L561" s="17">
        <f>IF(ABS(J561)&lt;=K561,"OK",IF(M561&lt;&gt;"","EXPLAINED","CHECK"))</f>
        <v/>
      </c>
      <c r="M561" s="7" t="inlineStr"/>
    </row>
    <row r="562">
      <c r="A562" s="33" t="n">
        <v>45237</v>
      </c>
      <c r="B562" s="7" t="inlineStr">
        <is>
          <t>APE</t>
        </is>
      </c>
      <c r="C562" s="7" t="inlineStr">
        <is>
          <t>Oct-23</t>
        </is>
      </c>
      <c r="D562" s="35" t="n">
        <v>6.03</v>
      </c>
      <c r="E562" s="32" t="n">
        <v>0.157</v>
      </c>
      <c r="F562" s="35">
        <f>D562/(1+E562)</f>
        <v/>
      </c>
      <c r="G562" s="7" t="inlineStr">
        <is>
          <t>Oct-22</t>
        </is>
      </c>
      <c r="H562" s="35" t="n">
        <v>5.21</v>
      </c>
      <c r="I562" s="33" t="n">
        <v>44935</v>
      </c>
      <c r="J562" s="36">
        <f>F562-H562</f>
        <v/>
      </c>
      <c r="K562" s="16">
        <f>0.005/(1+E562)+D562*0.0005/(1+E562)^2+0.005</f>
        <v/>
      </c>
      <c r="L562" s="17">
        <f>IF(ABS(J562)&lt;=K562,"OK",IF(M562&lt;&gt;"","EXPLAINED","CHECK"))</f>
        <v/>
      </c>
      <c r="M562" s="7" t="inlineStr"/>
    </row>
    <row r="563">
      <c r="A563" s="33" t="n">
        <v>45237</v>
      </c>
      <c r="B563" s="7" t="inlineStr">
        <is>
          <t>RWRP</t>
        </is>
      </c>
      <c r="C563" s="7" t="inlineStr">
        <is>
          <t>Q1-FY2024</t>
        </is>
      </c>
      <c r="D563" s="35" t="n">
        <v>10.61</v>
      </c>
      <c r="E563" s="32" t="n">
        <v>-0.036</v>
      </c>
      <c r="F563" s="35">
        <f>D563/(1+E563)</f>
        <v/>
      </c>
      <c r="G563" s="7" t="inlineStr">
        <is>
          <t>Q1-FY2023</t>
        </is>
      </c>
      <c r="H563" s="35" t="n">
        <v>11.01</v>
      </c>
      <c r="I563" s="33" t="n">
        <v>44841</v>
      </c>
      <c r="J563" s="36">
        <f>F563-H563</f>
        <v/>
      </c>
      <c r="K563" s="16">
        <f>0.005/(1+E563)+D563*0.0005/(1+E563)^2+0.005</f>
        <v/>
      </c>
      <c r="L563" s="17">
        <f>IF(ABS(J563)&lt;=K563,"OK",IF(M563&lt;&gt;"","EXPLAINED","CHECK"))</f>
        <v/>
      </c>
      <c r="M563" s="7" t="inlineStr"/>
    </row>
    <row r="564">
      <c r="A564" s="33" t="n">
        <v>45237</v>
      </c>
      <c r="B564" s="7" t="inlineStr">
        <is>
          <t>RWRP</t>
        </is>
      </c>
      <c r="C564" s="7" t="inlineStr">
        <is>
          <t>FY2023</t>
        </is>
      </c>
      <c r="D564" s="35" t="n">
        <v>67.38</v>
      </c>
      <c r="E564" s="32" t="n">
        <v>0.07000000000000001</v>
      </c>
      <c r="F564" s="35">
        <f>D564/(1+E564)</f>
        <v/>
      </c>
      <c r="G564" s="7" t="inlineStr">
        <is>
          <t>FY2022</t>
        </is>
      </c>
      <c r="H564" s="35" t="n">
        <v>62.99</v>
      </c>
      <c r="I564" s="33" t="n">
        <v>44993</v>
      </c>
      <c r="J564" s="36">
        <f>F564-H564</f>
        <v/>
      </c>
      <c r="K564" s="16">
        <f>0.005/(1+E564)+D564*0.0005/(1+E564)^2+0.005</f>
        <v/>
      </c>
      <c r="L564" s="17">
        <f>IF(ABS(J564)&lt;=K564,"OK",IF(M564&lt;&gt;"","EXPLAINED","CHECK"))</f>
        <v/>
      </c>
      <c r="M564" s="7" t="inlineStr"/>
    </row>
    <row r="565">
      <c r="A565" s="33" t="n">
        <v>45237</v>
      </c>
      <c r="B565" s="7" t="inlineStr">
        <is>
          <t>RWRP</t>
        </is>
      </c>
      <c r="C565" s="7" t="inlineStr">
        <is>
          <t>Oct-23</t>
        </is>
      </c>
      <c r="D565" s="35" t="n">
        <v>4.81</v>
      </c>
      <c r="E565" s="32" t="n">
        <v>0.212</v>
      </c>
      <c r="F565" s="35">
        <f>D565/(1+E565)</f>
        <v/>
      </c>
      <c r="G565" s="7" t="inlineStr">
        <is>
          <t>Oct-22</t>
        </is>
      </c>
      <c r="H565" s="35" t="n">
        <v>3.97</v>
      </c>
      <c r="I565" s="33" t="n">
        <v>44935</v>
      </c>
      <c r="J565" s="36">
        <f>F565-H565</f>
        <v/>
      </c>
      <c r="K565" s="16">
        <f>0.005/(1+E565)+D565*0.0005/(1+E565)^2+0.005</f>
        <v/>
      </c>
      <c r="L565" s="17">
        <f>IF(ABS(J565)&lt;=K565,"OK",IF(M565&lt;&gt;"","EXPLAINED","CHECK"))</f>
        <v/>
      </c>
      <c r="M565" s="7" t="inlineStr"/>
    </row>
    <row r="566">
      <c r="A566" s="33" t="n">
        <v>45208</v>
      </c>
      <c r="B566" s="7" t="inlineStr">
        <is>
          <t>NB Sum Assured</t>
        </is>
      </c>
      <c r="C566" s="7" t="inlineStr">
        <is>
          <t>Q1-FY2024</t>
        </is>
      </c>
      <c r="D566" s="35" t="n">
        <v>2403.04</v>
      </c>
      <c r="E566" s="32" t="n">
        <v>0.08800000000000001</v>
      </c>
      <c r="F566" s="35">
        <f>D566/(1+E566)</f>
        <v/>
      </c>
      <c r="G566" s="7" t="inlineStr">
        <is>
          <t>Q1-FY2023</t>
        </is>
      </c>
      <c r="H566" s="35" t="n">
        <v>2209.35</v>
      </c>
      <c r="I566" s="33" t="n">
        <v>44841</v>
      </c>
      <c r="J566" s="36">
        <f>F566-H566</f>
        <v/>
      </c>
      <c r="K566" s="16">
        <f>0.005/(1+E566)+D566*0.0005/(1+E566)^2+0.005</f>
        <v/>
      </c>
      <c r="L566" s="17">
        <f>IF(ABS(J566)&lt;=K566,"OK",IF(M566&lt;&gt;"","EXPLAINED","CHECK"))</f>
        <v/>
      </c>
      <c r="M566" s="7" t="inlineStr"/>
    </row>
    <row r="567">
      <c r="A567" s="33" t="n">
        <v>45208</v>
      </c>
      <c r="B567" s="7" t="inlineStr">
        <is>
          <t>NB Sum Assured</t>
        </is>
      </c>
      <c r="C567" s="7" t="inlineStr">
        <is>
          <t>FY2023</t>
        </is>
      </c>
      <c r="D567" s="35" t="n">
        <v>10413.92</v>
      </c>
      <c r="E567" s="32" t="n">
        <v>0.347</v>
      </c>
      <c r="F567" s="35">
        <f>D567/(1+E567)</f>
        <v/>
      </c>
      <c r="G567" s="7" t="inlineStr">
        <is>
          <t>FY2022</t>
        </is>
      </c>
      <c r="H567" s="35" t="n">
        <v>7731.46</v>
      </c>
      <c r="I567" s="33" t="n">
        <v>44993</v>
      </c>
      <c r="J567" s="36">
        <f>F567-H567</f>
        <v/>
      </c>
      <c r="K567" s="16">
        <f>0.005/(1+E567)+D567*0.0005/(1+E567)^2+0.005</f>
        <v/>
      </c>
      <c r="L567" s="17">
        <f>IF(ABS(J567)&lt;=K567,"OK",IF(M567&lt;&gt;"","EXPLAINED","CHECK"))</f>
        <v/>
      </c>
      <c r="M567" s="7" t="inlineStr"/>
    </row>
    <row r="568">
      <c r="A568" s="33" t="n">
        <v>45208</v>
      </c>
      <c r="B568" s="7" t="inlineStr">
        <is>
          <t>NB Sum Assured</t>
        </is>
      </c>
      <c r="C568" s="7" t="inlineStr">
        <is>
          <t>Sep-23</t>
        </is>
      </c>
      <c r="D568" s="35" t="n">
        <v>821.41</v>
      </c>
      <c r="E568" s="32" t="n">
        <v>-0.066</v>
      </c>
      <c r="F568" s="35">
        <f>D568/(1+E568)</f>
        <v/>
      </c>
      <c r="G568" s="7" t="inlineStr">
        <is>
          <t>Sep-22</t>
        </is>
      </c>
      <c r="H568" s="35" t="n">
        <v>879.91</v>
      </c>
      <c r="I568" s="33" t="n">
        <v>44841</v>
      </c>
      <c r="J568" s="36">
        <f>F568-H568</f>
        <v/>
      </c>
      <c r="K568" s="16">
        <f>0.005/(1+E568)+D568*0.0005/(1+E568)^2+0.005</f>
        <v/>
      </c>
      <c r="L568" s="17">
        <f>IF(ABS(J568)&lt;=K568,"OK",IF(M568&lt;&gt;"","EXPLAINED","CHECK"))</f>
        <v/>
      </c>
      <c r="M568" s="7" t="inlineStr"/>
    </row>
    <row r="569">
      <c r="A569" s="33" t="n">
        <v>45208</v>
      </c>
      <c r="B569" s="7" t="inlineStr">
        <is>
          <t>NB Sum Assured</t>
        </is>
      </c>
      <c r="C569" s="7" t="inlineStr">
        <is>
          <t>Aug-23</t>
        </is>
      </c>
      <c r="D569" s="35" t="n">
        <v>854.97</v>
      </c>
      <c r="E569" s="32" t="n">
        <v>0.135</v>
      </c>
      <c r="F569" s="35">
        <f>D569/(1+E569)</f>
        <v/>
      </c>
      <c r="G569" s="7" t="inlineStr">
        <is>
          <t>Aug-22</t>
        </is>
      </c>
      <c r="H569" s="35" t="n">
        <v>753.51</v>
      </c>
      <c r="I569" s="33" t="n">
        <v>44841</v>
      </c>
      <c r="J569" s="36">
        <f>F569-H569</f>
        <v/>
      </c>
      <c r="K569" s="16">
        <f>0.005/(1+E569)+D569*0.0005/(1+E569)^2+0.005</f>
        <v/>
      </c>
      <c r="L569" s="17">
        <f>IF(ABS(J569)&lt;=K569,"OK",IF(M569&lt;&gt;"","EXPLAINED","CHECK"))</f>
        <v/>
      </c>
      <c r="M569" s="7" t="inlineStr"/>
    </row>
    <row r="570">
      <c r="A570" s="33" t="n">
        <v>45208</v>
      </c>
      <c r="B570" s="7" t="inlineStr">
        <is>
          <t>NB Sum Assured</t>
        </is>
      </c>
      <c r="C570" s="7" t="inlineStr">
        <is>
          <t>Jul-23</t>
        </is>
      </c>
      <c r="D570" s="35" t="n">
        <v>834.41</v>
      </c>
      <c r="E570" s="32" t="n">
        <v>-0.128</v>
      </c>
      <c r="F570" s="35">
        <f>D570/(1+E570)</f>
        <v/>
      </c>
      <c r="G570" s="7" t="inlineStr">
        <is>
          <t>Jul-22</t>
        </is>
      </c>
      <c r="H570" s="35" t="n">
        <v>957.28</v>
      </c>
      <c r="I570" s="33" t="n">
        <v>44841</v>
      </c>
      <c r="J570" s="36">
        <f>F570-H570</f>
        <v/>
      </c>
      <c r="K570" s="16">
        <f>0.005/(1+E570)+D570*0.0005/(1+E570)^2+0.005</f>
        <v/>
      </c>
      <c r="L570" s="17">
        <f>IF(ABS(J570)&lt;=K570,"OK",IF(M570&lt;&gt;"","EXPLAINED","CHECK"))</f>
        <v/>
      </c>
      <c r="M570" s="7" t="inlineStr"/>
    </row>
    <row r="571">
      <c r="A571" s="33" t="n">
        <v>45208</v>
      </c>
      <c r="B571" s="7" t="inlineStr">
        <is>
          <t>NB Premium</t>
        </is>
      </c>
      <c r="C571" s="7" t="inlineStr">
        <is>
          <t>Q1-FY2024</t>
        </is>
      </c>
      <c r="D571" s="35" t="n">
        <v>30.51</v>
      </c>
      <c r="E571" s="32" t="n">
        <v>-0.042</v>
      </c>
      <c r="F571" s="35">
        <f>D571/(1+E571)</f>
        <v/>
      </c>
      <c r="G571" s="7" t="inlineStr">
        <is>
          <t>Q1-FY2023</t>
        </is>
      </c>
      <c r="H571" s="35" t="n">
        <v>31.84</v>
      </c>
      <c r="I571" s="33" t="n">
        <v>44841</v>
      </c>
      <c r="J571" s="36">
        <f>F571-H571</f>
        <v/>
      </c>
      <c r="K571" s="16">
        <f>0.005/(1+E571)+D571*0.0005/(1+E571)^2+0.005</f>
        <v/>
      </c>
      <c r="L571" s="17">
        <f>IF(ABS(J571)&lt;=K571,"OK",IF(M571&lt;&gt;"","EXPLAINED","CHECK"))</f>
        <v/>
      </c>
      <c r="M571" s="7" t="inlineStr"/>
    </row>
    <row r="572">
      <c r="A572" s="33" t="n">
        <v>45208</v>
      </c>
      <c r="B572" s="7" t="inlineStr">
        <is>
          <t>NB Premium</t>
        </is>
      </c>
      <c r="C572" s="7" t="inlineStr">
        <is>
          <t>FY2023</t>
        </is>
      </c>
      <c r="D572" s="35" t="n">
        <v>169.22</v>
      </c>
      <c r="E572" s="32" t="n">
        <v>0.125</v>
      </c>
      <c r="F572" s="35">
        <f>D572/(1+E572)</f>
        <v/>
      </c>
      <c r="G572" s="7" t="inlineStr">
        <is>
          <t>FY2022</t>
        </is>
      </c>
      <c r="H572" s="35" t="n">
        <v>150.36</v>
      </c>
      <c r="I572" s="33" t="n">
        <v>44993</v>
      </c>
      <c r="J572" s="36">
        <f>F572-H572</f>
        <v/>
      </c>
      <c r="K572" s="16">
        <f>0.005/(1+E572)+D572*0.0005/(1+E572)^2+0.005</f>
        <v/>
      </c>
      <c r="L572" s="17">
        <f>IF(ABS(J572)&lt;=K572,"OK",IF(M572&lt;&gt;"","EXPLAINED","CHECK"))</f>
        <v/>
      </c>
      <c r="M572" s="7" t="inlineStr"/>
    </row>
    <row r="573">
      <c r="A573" s="33" t="n">
        <v>45208</v>
      </c>
      <c r="B573" s="7" t="inlineStr">
        <is>
          <t>NB Premium</t>
        </is>
      </c>
      <c r="C573" s="7" t="inlineStr">
        <is>
          <t>Sep-23</t>
        </is>
      </c>
      <c r="D573" s="35" t="n">
        <v>13.76</v>
      </c>
      <c r="E573" s="32" t="n">
        <v>-0.024</v>
      </c>
      <c r="F573" s="35">
        <f>D573/(1+E573)</f>
        <v/>
      </c>
      <c r="G573" s="7" t="inlineStr">
        <is>
          <t>Sep-22</t>
        </is>
      </c>
      <c r="H573" s="35" t="n">
        <v>14.1</v>
      </c>
      <c r="I573" s="33" t="n">
        <v>44841</v>
      </c>
      <c r="J573" s="36">
        <f>F573-H573</f>
        <v/>
      </c>
      <c r="K573" s="16">
        <f>0.005/(1+E573)+D573*0.0005/(1+E573)^2+0.005</f>
        <v/>
      </c>
      <c r="L573" s="17">
        <f>IF(ABS(J573)&lt;=K573,"OK",IF(M573&lt;&gt;"","EXPLAINED","CHECK"))</f>
        <v/>
      </c>
      <c r="M573" s="7" t="inlineStr"/>
    </row>
    <row r="574">
      <c r="A574" s="33" t="n">
        <v>45208</v>
      </c>
      <c r="B574" s="7" t="inlineStr">
        <is>
          <t>NB Premium</t>
        </is>
      </c>
      <c r="C574" s="7" t="inlineStr">
        <is>
          <t>Aug-23</t>
        </is>
      </c>
      <c r="D574" s="35" t="n">
        <v>13.44</v>
      </c>
      <c r="E574" s="32" t="n">
        <v>-0.05400000000000001</v>
      </c>
      <c r="F574" s="35">
        <f>D574/(1+E574)</f>
        <v/>
      </c>
      <c r="G574" s="7" t="inlineStr">
        <is>
          <t>Aug-22</t>
        </is>
      </c>
      <c r="H574" s="35" t="n">
        <v>14.21</v>
      </c>
      <c r="I574" s="33" t="n">
        <v>44841</v>
      </c>
      <c r="J574" s="36">
        <f>F574-H574</f>
        <v/>
      </c>
      <c r="K574" s="16">
        <f>0.005/(1+E574)+D574*0.0005/(1+E574)^2+0.005</f>
        <v/>
      </c>
      <c r="L574" s="17">
        <f>IF(ABS(J574)&lt;=K574,"OK",IF(M574&lt;&gt;"","EXPLAINED","CHECK"))</f>
        <v/>
      </c>
      <c r="M574" s="7" t="inlineStr"/>
    </row>
    <row r="575">
      <c r="A575" s="33" t="n">
        <v>45208</v>
      </c>
      <c r="B575" s="7" t="inlineStr">
        <is>
          <t>NB Premium</t>
        </is>
      </c>
      <c r="C575" s="7" t="inlineStr">
        <is>
          <t>Jul-23</t>
        </is>
      </c>
      <c r="D575" s="35" t="n">
        <v>16.39</v>
      </c>
      <c r="E575" s="32" t="n">
        <v>0.219</v>
      </c>
      <c r="F575" s="35">
        <f>D575/(1+E575)</f>
        <v/>
      </c>
      <c r="G575" s="7" t="inlineStr">
        <is>
          <t>Jul-22</t>
        </is>
      </c>
      <c r="H575" s="35" t="n">
        <v>13.44</v>
      </c>
      <c r="I575" s="33" t="n">
        <v>44841</v>
      </c>
      <c r="J575" s="36">
        <f>F575-H575</f>
        <v/>
      </c>
      <c r="K575" s="16">
        <f>0.005/(1+E575)+D575*0.0005/(1+E575)^2+0.005</f>
        <v/>
      </c>
      <c r="L575" s="17">
        <f>IF(ABS(J575)&lt;=K575,"OK",IF(M575&lt;&gt;"","EXPLAINED","CHECK"))</f>
        <v/>
      </c>
      <c r="M575" s="7" t="inlineStr"/>
    </row>
    <row r="576">
      <c r="A576" s="33" t="n">
        <v>45208</v>
      </c>
      <c r="B576" s="7" t="inlineStr">
        <is>
          <t>APE</t>
        </is>
      </c>
      <c r="C576" s="7" t="inlineStr">
        <is>
          <t>Q1-FY2024</t>
        </is>
      </c>
      <c r="D576" s="35" t="n">
        <v>14.61</v>
      </c>
      <c r="E576" s="32" t="n">
        <v>-0.039</v>
      </c>
      <c r="F576" s="35">
        <f>D576/(1+E576)</f>
        <v/>
      </c>
      <c r="G576" s="7" t="inlineStr">
        <is>
          <t>Q1-FY2023</t>
        </is>
      </c>
      <c r="H576" s="35" t="n">
        <v>15.2</v>
      </c>
      <c r="I576" s="33" t="n">
        <v>44841</v>
      </c>
      <c r="J576" s="36">
        <f>F576-H576</f>
        <v/>
      </c>
      <c r="K576" s="16">
        <f>0.005/(1+E576)+D576*0.0005/(1+E576)^2+0.005</f>
        <v/>
      </c>
      <c r="L576" s="17">
        <f>IF(ABS(J576)&lt;=K576,"OK",IF(M576&lt;&gt;"","EXPLAINED","CHECK"))</f>
        <v/>
      </c>
      <c r="M576" s="7" t="inlineStr"/>
    </row>
    <row r="577">
      <c r="A577" s="33" t="n">
        <v>45208</v>
      </c>
      <c r="B577" s="7" t="inlineStr">
        <is>
          <t>APE</t>
        </is>
      </c>
      <c r="C577" s="7" t="inlineStr">
        <is>
          <t>FY2023</t>
        </is>
      </c>
      <c r="D577" s="35" t="n">
        <v>86.40000000000001</v>
      </c>
      <c r="E577" s="32" t="n">
        <v>0.117</v>
      </c>
      <c r="F577" s="35">
        <f>D577/(1+E577)</f>
        <v/>
      </c>
      <c r="G577" s="7" t="inlineStr">
        <is>
          <t>FY2022</t>
        </is>
      </c>
      <c r="H577" s="35" t="n">
        <v>77.33</v>
      </c>
      <c r="I577" s="33" t="n">
        <v>44993</v>
      </c>
      <c r="J577" s="36">
        <f>F577-H577</f>
        <v/>
      </c>
      <c r="K577" s="16">
        <f>0.005/(1+E577)+D577*0.0005/(1+E577)^2+0.005</f>
        <v/>
      </c>
      <c r="L577" s="17">
        <f>IF(ABS(J577)&lt;=K577,"OK",IF(M577&lt;&gt;"","EXPLAINED","CHECK"))</f>
        <v/>
      </c>
      <c r="M577" s="7" t="inlineStr"/>
    </row>
    <row r="578">
      <c r="A578" s="33" t="n">
        <v>45208</v>
      </c>
      <c r="B578" s="7" t="inlineStr">
        <is>
          <t>APE</t>
        </is>
      </c>
      <c r="C578" s="7" t="inlineStr">
        <is>
          <t>Sep-23</t>
        </is>
      </c>
      <c r="D578" s="35" t="n">
        <v>7.33</v>
      </c>
      <c r="E578" s="32" t="n">
        <v>-0.017</v>
      </c>
      <c r="F578" s="35">
        <f>D578/(1+E578)</f>
        <v/>
      </c>
      <c r="G578" s="7" t="inlineStr">
        <is>
          <t>Sep-22</t>
        </is>
      </c>
      <c r="H578" s="35" t="n">
        <v>7.46</v>
      </c>
      <c r="I578" s="33" t="n">
        <v>44841</v>
      </c>
      <c r="J578" s="36">
        <f>F578-H578</f>
        <v/>
      </c>
      <c r="K578" s="16">
        <f>0.005/(1+E578)+D578*0.0005/(1+E578)^2+0.005</f>
        <v/>
      </c>
      <c r="L578" s="17">
        <f>IF(ABS(J578)&lt;=K578,"OK",IF(M578&lt;&gt;"","EXPLAINED","CHECK"))</f>
        <v/>
      </c>
      <c r="M578" s="7" t="inlineStr"/>
    </row>
    <row r="579">
      <c r="A579" s="33" t="n">
        <v>45208</v>
      </c>
      <c r="B579" s="7" t="inlineStr">
        <is>
          <t>APE</t>
        </is>
      </c>
      <c r="C579" s="7" t="inlineStr">
        <is>
          <t>Aug-23</t>
        </is>
      </c>
      <c r="D579" s="35" t="n">
        <v>6.64</v>
      </c>
      <c r="E579" s="32" t="n">
        <v>0.062</v>
      </c>
      <c r="F579" s="35">
        <f>D579/(1+E579)</f>
        <v/>
      </c>
      <c r="G579" s="7" t="inlineStr">
        <is>
          <t>Aug-22</t>
        </is>
      </c>
      <c r="H579" s="35" t="n">
        <v>6.25</v>
      </c>
      <c r="I579" s="33" t="n">
        <v>44841</v>
      </c>
      <c r="J579" s="36">
        <f>F579-H579</f>
        <v/>
      </c>
      <c r="K579" s="16">
        <f>0.005/(1+E579)+D579*0.0005/(1+E579)^2+0.005</f>
        <v/>
      </c>
      <c r="L579" s="17">
        <f>IF(ABS(J579)&lt;=K579,"OK",IF(M579&lt;&gt;"","EXPLAINED","CHECK"))</f>
        <v/>
      </c>
      <c r="M579" s="7" t="inlineStr"/>
    </row>
    <row r="580">
      <c r="A580" s="33" t="n">
        <v>45208</v>
      </c>
      <c r="B580" s="7" t="inlineStr">
        <is>
          <t>APE</t>
        </is>
      </c>
      <c r="C580" s="7" t="inlineStr">
        <is>
          <t>Jul-23</t>
        </is>
      </c>
      <c r="D580" s="35" t="n">
        <v>6.65</v>
      </c>
      <c r="E580" s="32" t="n">
        <v>0.057</v>
      </c>
      <c r="F580" s="35">
        <f>D580/(1+E580)</f>
        <v/>
      </c>
      <c r="G580" s="7" t="inlineStr">
        <is>
          <t>Jul-22</t>
        </is>
      </c>
      <c r="H580" s="35" t="n">
        <v>6.29</v>
      </c>
      <c r="I580" s="33" t="n">
        <v>44841</v>
      </c>
      <c r="J580" s="36">
        <f>F580-H580</f>
        <v/>
      </c>
      <c r="K580" s="16">
        <f>0.005/(1+E580)+D580*0.0005/(1+E580)^2+0.005</f>
        <v/>
      </c>
      <c r="L580" s="17">
        <f>IF(ABS(J580)&lt;=K580,"OK",IF(M580&lt;&gt;"","EXPLAINED","CHECK"))</f>
        <v/>
      </c>
      <c r="M580" s="7" t="inlineStr"/>
    </row>
    <row r="581">
      <c r="A581" s="33" t="n">
        <v>45208</v>
      </c>
      <c r="B581" s="7" t="inlineStr">
        <is>
          <t>RWRP</t>
        </is>
      </c>
      <c r="C581" s="7" t="inlineStr">
        <is>
          <t>Q1-FY2024</t>
        </is>
      </c>
      <c r="D581" s="35" t="n">
        <v>10.61</v>
      </c>
      <c r="E581" s="32" t="n">
        <v>-0.036</v>
      </c>
      <c r="F581" s="35">
        <f>D581/(1+E581)</f>
        <v/>
      </c>
      <c r="G581" s="7" t="inlineStr">
        <is>
          <t>Q1-FY2023</t>
        </is>
      </c>
      <c r="H581" s="35" t="n">
        <v>11.01</v>
      </c>
      <c r="I581" s="33" t="n">
        <v>44841</v>
      </c>
      <c r="J581" s="36">
        <f>F581-H581</f>
        <v/>
      </c>
      <c r="K581" s="16">
        <f>0.005/(1+E581)+D581*0.0005/(1+E581)^2+0.005</f>
        <v/>
      </c>
      <c r="L581" s="17">
        <f>IF(ABS(J581)&lt;=K581,"OK",IF(M581&lt;&gt;"","EXPLAINED","CHECK"))</f>
        <v/>
      </c>
      <c r="M581" s="7" t="inlineStr"/>
    </row>
    <row r="582">
      <c r="A582" s="33" t="n">
        <v>45208</v>
      </c>
      <c r="B582" s="7" t="inlineStr">
        <is>
          <t>RWRP</t>
        </is>
      </c>
      <c r="C582" s="7" t="inlineStr">
        <is>
          <t>FY2023</t>
        </is>
      </c>
      <c r="D582" s="35" t="n">
        <v>67.38</v>
      </c>
      <c r="E582" s="32" t="n">
        <v>0.07000000000000001</v>
      </c>
      <c r="F582" s="35">
        <f>D582/(1+E582)</f>
        <v/>
      </c>
      <c r="G582" s="7" t="inlineStr">
        <is>
          <t>FY2022</t>
        </is>
      </c>
      <c r="H582" s="35" t="n">
        <v>62.99</v>
      </c>
      <c r="I582" s="33" t="n">
        <v>44993</v>
      </c>
      <c r="J582" s="36">
        <f>F582-H582</f>
        <v/>
      </c>
      <c r="K582" s="16">
        <f>0.005/(1+E582)+D582*0.0005/(1+E582)^2+0.005</f>
        <v/>
      </c>
      <c r="L582" s="17">
        <f>IF(ABS(J582)&lt;=K582,"OK",IF(M582&lt;&gt;"","EXPLAINED","CHECK"))</f>
        <v/>
      </c>
      <c r="M582" s="7" t="inlineStr"/>
    </row>
    <row r="583">
      <c r="A583" s="33" t="n">
        <v>45208</v>
      </c>
      <c r="B583" s="7" t="inlineStr">
        <is>
          <t>RWRP</t>
        </is>
      </c>
      <c r="C583" s="7" t="inlineStr">
        <is>
          <t>Sep-23</t>
        </is>
      </c>
      <c r="D583" s="35" t="n">
        <v>5.62</v>
      </c>
      <c r="E583" s="32" t="n">
        <v>-0.052</v>
      </c>
      <c r="F583" s="35">
        <f>D583/(1+E583)</f>
        <v/>
      </c>
      <c r="G583" s="7" t="inlineStr">
        <is>
          <t>Sep-22</t>
        </is>
      </c>
      <c r="H583" s="35" t="n">
        <v>5.93</v>
      </c>
      <c r="I583" s="33" t="n">
        <v>44841</v>
      </c>
      <c r="J583" s="36">
        <f>F583-H583</f>
        <v/>
      </c>
      <c r="K583" s="16">
        <f>0.005/(1+E583)+D583*0.0005/(1+E583)^2+0.005</f>
        <v/>
      </c>
      <c r="L583" s="17">
        <f>IF(ABS(J583)&lt;=K583,"OK",IF(M583&lt;&gt;"","EXPLAINED","CHECK"))</f>
        <v/>
      </c>
      <c r="M583" s="7" t="inlineStr"/>
    </row>
    <row r="584">
      <c r="A584" s="33" t="n">
        <v>45208</v>
      </c>
      <c r="B584" s="7" t="inlineStr">
        <is>
          <t>RWRP</t>
        </is>
      </c>
      <c r="C584" s="7" t="inlineStr">
        <is>
          <t>Aug-23</t>
        </is>
      </c>
      <c r="D584" s="35" t="n">
        <v>5.26</v>
      </c>
      <c r="E584" s="32" t="n">
        <v>0.122</v>
      </c>
      <c r="F584" s="35">
        <f>D584/(1+E584)</f>
        <v/>
      </c>
      <c r="G584" s="7" t="inlineStr">
        <is>
          <t>Aug-22</t>
        </is>
      </c>
      <c r="H584" s="35" t="n">
        <v>4.69</v>
      </c>
      <c r="I584" s="33" t="n">
        <v>44841</v>
      </c>
      <c r="J584" s="36">
        <f>F584-H584</f>
        <v/>
      </c>
      <c r="K584" s="16">
        <f>0.005/(1+E584)+D584*0.0005/(1+E584)^2+0.005</f>
        <v/>
      </c>
      <c r="L584" s="17">
        <f>IF(ABS(J584)&lt;=K584,"OK",IF(M584&lt;&gt;"","EXPLAINED","CHECK"))</f>
        <v/>
      </c>
      <c r="M584" s="7" t="inlineStr"/>
    </row>
    <row r="585">
      <c r="A585" s="33" t="n">
        <v>45208</v>
      </c>
      <c r="B585" s="7" t="inlineStr">
        <is>
          <t>RWRP</t>
        </is>
      </c>
      <c r="C585" s="7" t="inlineStr">
        <is>
          <t>Jul-23</t>
        </is>
      </c>
      <c r="D585" s="35" t="n">
        <v>4.85</v>
      </c>
      <c r="E585" s="32" t="n">
        <v>0.078</v>
      </c>
      <c r="F585" s="35">
        <f>D585/(1+E585)</f>
        <v/>
      </c>
      <c r="G585" s="7" t="inlineStr">
        <is>
          <t>Jul-22</t>
        </is>
      </c>
      <c r="H585" s="35" t="n">
        <v>4.5</v>
      </c>
      <c r="I585" s="33" t="n">
        <v>44841</v>
      </c>
      <c r="J585" s="36">
        <f>F585-H585</f>
        <v/>
      </c>
      <c r="K585" s="16">
        <f>0.005/(1+E585)+D585*0.0005/(1+E585)^2+0.005</f>
        <v/>
      </c>
      <c r="L585" s="17">
        <f>IF(ABS(J585)&lt;=K585,"OK",IF(M585&lt;&gt;"","EXPLAINED","CHECK"))</f>
        <v/>
      </c>
      <c r="M585" s="7" t="inlineStr"/>
    </row>
    <row r="586">
      <c r="A586" s="33" t="n">
        <v>45176</v>
      </c>
      <c r="B586" s="7" t="inlineStr">
        <is>
          <t>NB Sum Assured</t>
        </is>
      </c>
      <c r="C586" s="7" t="inlineStr">
        <is>
          <t>Q1-FY2024</t>
        </is>
      </c>
      <c r="D586" s="35" t="n">
        <v>2403.04</v>
      </c>
      <c r="E586" s="32" t="n">
        <v>0.08800000000000001</v>
      </c>
      <c r="F586" s="35">
        <f>D586/(1+E586)</f>
        <v/>
      </c>
      <c r="G586" s="7" t="inlineStr">
        <is>
          <t>Q1-FY2023</t>
        </is>
      </c>
      <c r="H586" s="35" t="n">
        <v>2209.35</v>
      </c>
      <c r="I586" s="33" t="n">
        <v>44841</v>
      </c>
      <c r="J586" s="36">
        <f>F586-H586</f>
        <v/>
      </c>
      <c r="K586" s="16">
        <f>0.005/(1+E586)+D586*0.0005/(1+E586)^2+0.005</f>
        <v/>
      </c>
      <c r="L586" s="17">
        <f>IF(ABS(J586)&lt;=K586,"OK",IF(M586&lt;&gt;"","EXPLAINED","CHECK"))</f>
        <v/>
      </c>
      <c r="M586" s="7" t="inlineStr"/>
    </row>
    <row r="587">
      <c r="A587" s="33" t="n">
        <v>45176</v>
      </c>
      <c r="B587" s="7" t="inlineStr">
        <is>
          <t>NB Sum Assured</t>
        </is>
      </c>
      <c r="C587" s="7" t="inlineStr">
        <is>
          <t>FY2023</t>
        </is>
      </c>
      <c r="D587" s="35" t="n">
        <v>10413.92</v>
      </c>
      <c r="E587" s="32" t="n">
        <v>0.347</v>
      </c>
      <c r="F587" s="35">
        <f>D587/(1+E587)</f>
        <v/>
      </c>
      <c r="G587" s="7" t="inlineStr">
        <is>
          <t>FY2022</t>
        </is>
      </c>
      <c r="H587" s="35" t="n">
        <v>7731.46</v>
      </c>
      <c r="I587" s="33" t="n">
        <v>44993</v>
      </c>
      <c r="J587" s="36">
        <f>F587-H587</f>
        <v/>
      </c>
      <c r="K587" s="16">
        <f>0.005/(1+E587)+D587*0.0005/(1+E587)^2+0.005</f>
        <v/>
      </c>
      <c r="L587" s="17">
        <f>IF(ABS(J587)&lt;=K587,"OK",IF(M587&lt;&gt;"","EXPLAINED","CHECK"))</f>
        <v/>
      </c>
      <c r="M587" s="7" t="inlineStr"/>
    </row>
    <row r="588">
      <c r="A588" s="33" t="n">
        <v>45176</v>
      </c>
      <c r="B588" s="7" t="inlineStr">
        <is>
          <t>NB Sum Assured</t>
        </is>
      </c>
      <c r="C588" s="7" t="inlineStr">
        <is>
          <t>Aug-23</t>
        </is>
      </c>
      <c r="D588" s="35" t="n">
        <v>854.97</v>
      </c>
      <c r="E588" s="32" t="n">
        <v>0.135</v>
      </c>
      <c r="F588" s="35">
        <f>D588/(1+E588)</f>
        <v/>
      </c>
      <c r="G588" s="7" t="inlineStr">
        <is>
          <t>Aug-22</t>
        </is>
      </c>
      <c r="H588" s="35" t="n">
        <v>753.51</v>
      </c>
      <c r="I588" s="33" t="n">
        <v>44841</v>
      </c>
      <c r="J588" s="36">
        <f>F588-H588</f>
        <v/>
      </c>
      <c r="K588" s="16">
        <f>0.005/(1+E588)+D588*0.0005/(1+E588)^2+0.005</f>
        <v/>
      </c>
      <c r="L588" s="17">
        <f>IF(ABS(J588)&lt;=K588,"OK",IF(M588&lt;&gt;"","EXPLAINED","CHECK"))</f>
        <v/>
      </c>
      <c r="M588" s="7" t="inlineStr"/>
    </row>
    <row r="589">
      <c r="A589" s="33" t="n">
        <v>45176</v>
      </c>
      <c r="B589" s="7" t="inlineStr">
        <is>
          <t>NB Sum Assured</t>
        </is>
      </c>
      <c r="C589" s="7" t="inlineStr">
        <is>
          <t>Jul-23</t>
        </is>
      </c>
      <c r="D589" s="35" t="n">
        <v>834.41</v>
      </c>
      <c r="E589" s="32" t="n">
        <v>-0.128</v>
      </c>
      <c r="F589" s="35">
        <f>D589/(1+E589)</f>
        <v/>
      </c>
      <c r="G589" s="7" t="inlineStr">
        <is>
          <t>Jul-22</t>
        </is>
      </c>
      <c r="H589" s="35" t="n">
        <v>957.28</v>
      </c>
      <c r="I589" s="33" t="n">
        <v>44841</v>
      </c>
      <c r="J589" s="36">
        <f>F589-H589</f>
        <v/>
      </c>
      <c r="K589" s="16">
        <f>0.005/(1+E589)+D589*0.0005/(1+E589)^2+0.005</f>
        <v/>
      </c>
      <c r="L589" s="17">
        <f>IF(ABS(J589)&lt;=K589,"OK",IF(M589&lt;&gt;"","EXPLAINED","CHECK"))</f>
        <v/>
      </c>
      <c r="M589" s="7" t="inlineStr"/>
    </row>
    <row r="590">
      <c r="A590" s="33" t="n">
        <v>45176</v>
      </c>
      <c r="B590" s="7" t="inlineStr">
        <is>
          <t>NB Premium</t>
        </is>
      </c>
      <c r="C590" s="7" t="inlineStr">
        <is>
          <t>Q1-FY2024</t>
        </is>
      </c>
      <c r="D590" s="35" t="n">
        <v>30.51</v>
      </c>
      <c r="E590" s="32" t="n">
        <v>-0.042</v>
      </c>
      <c r="F590" s="35">
        <f>D590/(1+E590)</f>
        <v/>
      </c>
      <c r="G590" s="7" t="inlineStr">
        <is>
          <t>Q1-FY2023</t>
        </is>
      </c>
      <c r="H590" s="35" t="n">
        <v>31.84</v>
      </c>
      <c r="I590" s="33" t="n">
        <v>44841</v>
      </c>
      <c r="J590" s="36">
        <f>F590-H590</f>
        <v/>
      </c>
      <c r="K590" s="16">
        <f>0.005/(1+E590)+D590*0.0005/(1+E590)^2+0.005</f>
        <v/>
      </c>
      <c r="L590" s="17">
        <f>IF(ABS(J590)&lt;=K590,"OK",IF(M590&lt;&gt;"","EXPLAINED","CHECK"))</f>
        <v/>
      </c>
      <c r="M590" s="7" t="inlineStr"/>
    </row>
    <row r="591">
      <c r="A591" s="33" t="n">
        <v>45176</v>
      </c>
      <c r="B591" s="7" t="inlineStr">
        <is>
          <t>NB Premium</t>
        </is>
      </c>
      <c r="C591" s="7" t="inlineStr">
        <is>
          <t>FY2023</t>
        </is>
      </c>
      <c r="D591" s="35" t="n">
        <v>169.22</v>
      </c>
      <c r="E591" s="32" t="n">
        <v>0.125</v>
      </c>
      <c r="F591" s="35">
        <f>D591/(1+E591)</f>
        <v/>
      </c>
      <c r="G591" s="7" t="inlineStr">
        <is>
          <t>FY2022</t>
        </is>
      </c>
      <c r="H591" s="35" t="n">
        <v>150.36</v>
      </c>
      <c r="I591" s="33" t="n">
        <v>44993</v>
      </c>
      <c r="J591" s="36">
        <f>F591-H591</f>
        <v/>
      </c>
      <c r="K591" s="16">
        <f>0.005/(1+E591)+D591*0.0005/(1+E591)^2+0.005</f>
        <v/>
      </c>
      <c r="L591" s="17">
        <f>IF(ABS(J591)&lt;=K591,"OK",IF(M591&lt;&gt;"","EXPLAINED","CHECK"))</f>
        <v/>
      </c>
      <c r="M591" s="7" t="inlineStr"/>
    </row>
    <row r="592">
      <c r="A592" s="33" t="n">
        <v>45176</v>
      </c>
      <c r="B592" s="7" t="inlineStr">
        <is>
          <t>NB Premium</t>
        </is>
      </c>
      <c r="C592" s="7" t="inlineStr">
        <is>
          <t>Aug-23</t>
        </is>
      </c>
      <c r="D592" s="35" t="n">
        <v>13.44</v>
      </c>
      <c r="E592" s="32" t="n">
        <v>-0.05400000000000001</v>
      </c>
      <c r="F592" s="35">
        <f>D592/(1+E592)</f>
        <v/>
      </c>
      <c r="G592" s="7" t="inlineStr">
        <is>
          <t>Aug-22</t>
        </is>
      </c>
      <c r="H592" s="35" t="n">
        <v>14.21</v>
      </c>
      <c r="I592" s="33" t="n">
        <v>44841</v>
      </c>
      <c r="J592" s="36">
        <f>F592-H592</f>
        <v/>
      </c>
      <c r="K592" s="16">
        <f>0.005/(1+E592)+D592*0.0005/(1+E592)^2+0.005</f>
        <v/>
      </c>
      <c r="L592" s="17">
        <f>IF(ABS(J592)&lt;=K592,"OK",IF(M592&lt;&gt;"","EXPLAINED","CHECK"))</f>
        <v/>
      </c>
      <c r="M592" s="7" t="inlineStr"/>
    </row>
    <row r="593">
      <c r="A593" s="33" t="n">
        <v>45176</v>
      </c>
      <c r="B593" s="7" t="inlineStr">
        <is>
          <t>NB Premium</t>
        </is>
      </c>
      <c r="C593" s="7" t="inlineStr">
        <is>
          <t>Jul-23</t>
        </is>
      </c>
      <c r="D593" s="35" t="n">
        <v>16.39</v>
      </c>
      <c r="E593" s="32" t="n">
        <v>0.219</v>
      </c>
      <c r="F593" s="35">
        <f>D593/(1+E593)</f>
        <v/>
      </c>
      <c r="G593" s="7" t="inlineStr">
        <is>
          <t>Jul-22</t>
        </is>
      </c>
      <c r="H593" s="35" t="n">
        <v>13.44</v>
      </c>
      <c r="I593" s="33" t="n">
        <v>44841</v>
      </c>
      <c r="J593" s="36">
        <f>F593-H593</f>
        <v/>
      </c>
      <c r="K593" s="16">
        <f>0.005/(1+E593)+D593*0.0005/(1+E593)^2+0.005</f>
        <v/>
      </c>
      <c r="L593" s="17">
        <f>IF(ABS(J593)&lt;=K593,"OK",IF(M593&lt;&gt;"","EXPLAINED","CHECK"))</f>
        <v/>
      </c>
      <c r="M593" s="7" t="inlineStr"/>
    </row>
    <row r="594">
      <c r="A594" s="33" t="n">
        <v>45176</v>
      </c>
      <c r="B594" s="7" t="inlineStr">
        <is>
          <t>APE</t>
        </is>
      </c>
      <c r="C594" s="7" t="inlineStr">
        <is>
          <t>Q1-FY2024</t>
        </is>
      </c>
      <c r="D594" s="35" t="n">
        <v>14.61</v>
      </c>
      <c r="E594" s="32" t="n">
        <v>-0.039</v>
      </c>
      <c r="F594" s="35">
        <f>D594/(1+E594)</f>
        <v/>
      </c>
      <c r="G594" s="7" t="inlineStr">
        <is>
          <t>Q1-FY2023</t>
        </is>
      </c>
      <c r="H594" s="35" t="n">
        <v>15.2</v>
      </c>
      <c r="I594" s="33" t="n">
        <v>44841</v>
      </c>
      <c r="J594" s="36">
        <f>F594-H594</f>
        <v/>
      </c>
      <c r="K594" s="16">
        <f>0.005/(1+E594)+D594*0.0005/(1+E594)^2+0.005</f>
        <v/>
      </c>
      <c r="L594" s="17">
        <f>IF(ABS(J594)&lt;=K594,"OK",IF(M594&lt;&gt;"","EXPLAINED","CHECK"))</f>
        <v/>
      </c>
      <c r="M594" s="7" t="inlineStr"/>
    </row>
    <row r="595">
      <c r="A595" s="33" t="n">
        <v>45176</v>
      </c>
      <c r="B595" s="7" t="inlineStr">
        <is>
          <t>APE</t>
        </is>
      </c>
      <c r="C595" s="7" t="inlineStr">
        <is>
          <t>FY2023</t>
        </is>
      </c>
      <c r="D595" s="35" t="n">
        <v>86.40000000000001</v>
      </c>
      <c r="E595" s="32" t="n">
        <v>0.117</v>
      </c>
      <c r="F595" s="35">
        <f>D595/(1+E595)</f>
        <v/>
      </c>
      <c r="G595" s="7" t="inlineStr">
        <is>
          <t>FY2022</t>
        </is>
      </c>
      <c r="H595" s="35" t="n">
        <v>77.33</v>
      </c>
      <c r="I595" s="33" t="n">
        <v>44993</v>
      </c>
      <c r="J595" s="36">
        <f>F595-H595</f>
        <v/>
      </c>
      <c r="K595" s="16">
        <f>0.005/(1+E595)+D595*0.0005/(1+E595)^2+0.005</f>
        <v/>
      </c>
      <c r="L595" s="17">
        <f>IF(ABS(J595)&lt;=K595,"OK",IF(M595&lt;&gt;"","EXPLAINED","CHECK"))</f>
        <v/>
      </c>
      <c r="M595" s="7" t="inlineStr"/>
    </row>
    <row r="596">
      <c r="A596" s="33" t="n">
        <v>45176</v>
      </c>
      <c r="B596" s="7" t="inlineStr">
        <is>
          <t>APE</t>
        </is>
      </c>
      <c r="C596" s="7" t="inlineStr">
        <is>
          <t>Aug-23</t>
        </is>
      </c>
      <c r="D596" s="35" t="n">
        <v>6.64</v>
      </c>
      <c r="E596" s="32" t="n">
        <v>0.062</v>
      </c>
      <c r="F596" s="35">
        <f>D596/(1+E596)</f>
        <v/>
      </c>
      <c r="G596" s="7" t="inlineStr">
        <is>
          <t>Aug-22</t>
        </is>
      </c>
      <c r="H596" s="35" t="n">
        <v>6.25</v>
      </c>
      <c r="I596" s="33" t="n">
        <v>44841</v>
      </c>
      <c r="J596" s="36">
        <f>F596-H596</f>
        <v/>
      </c>
      <c r="K596" s="16">
        <f>0.005/(1+E596)+D596*0.0005/(1+E596)^2+0.005</f>
        <v/>
      </c>
      <c r="L596" s="17">
        <f>IF(ABS(J596)&lt;=K596,"OK",IF(M596&lt;&gt;"","EXPLAINED","CHECK"))</f>
        <v/>
      </c>
      <c r="M596" s="7" t="inlineStr"/>
    </row>
    <row r="597">
      <c r="A597" s="33" t="n">
        <v>45176</v>
      </c>
      <c r="B597" s="7" t="inlineStr">
        <is>
          <t>APE</t>
        </is>
      </c>
      <c r="C597" s="7" t="inlineStr">
        <is>
          <t>Jul-23</t>
        </is>
      </c>
      <c r="D597" s="35" t="n">
        <v>6.65</v>
      </c>
      <c r="E597" s="32" t="n">
        <v>0.057</v>
      </c>
      <c r="F597" s="35">
        <f>D597/(1+E597)</f>
        <v/>
      </c>
      <c r="G597" s="7" t="inlineStr">
        <is>
          <t>Jul-22</t>
        </is>
      </c>
      <c r="H597" s="35" t="n">
        <v>6.29</v>
      </c>
      <c r="I597" s="33" t="n">
        <v>44841</v>
      </c>
      <c r="J597" s="36">
        <f>F597-H597</f>
        <v/>
      </c>
      <c r="K597" s="16">
        <f>0.005/(1+E597)+D597*0.0005/(1+E597)^2+0.005</f>
        <v/>
      </c>
      <c r="L597" s="17">
        <f>IF(ABS(J597)&lt;=K597,"OK",IF(M597&lt;&gt;"","EXPLAINED","CHECK"))</f>
        <v/>
      </c>
      <c r="M597" s="7" t="inlineStr"/>
    </row>
    <row r="598">
      <c r="A598" s="33" t="n">
        <v>45176</v>
      </c>
      <c r="B598" s="7" t="inlineStr">
        <is>
          <t>RWRP</t>
        </is>
      </c>
      <c r="C598" s="7" t="inlineStr">
        <is>
          <t>Q1-FY2024</t>
        </is>
      </c>
      <c r="D598" s="35" t="n">
        <v>10.61</v>
      </c>
      <c r="E598" s="32" t="n">
        <v>-0.036</v>
      </c>
      <c r="F598" s="35">
        <f>D598/(1+E598)</f>
        <v/>
      </c>
      <c r="G598" s="7" t="inlineStr">
        <is>
          <t>Q1-FY2023</t>
        </is>
      </c>
      <c r="H598" s="35" t="n">
        <v>11.01</v>
      </c>
      <c r="I598" s="33" t="n">
        <v>44841</v>
      </c>
      <c r="J598" s="36">
        <f>F598-H598</f>
        <v/>
      </c>
      <c r="K598" s="16">
        <f>0.005/(1+E598)+D598*0.0005/(1+E598)^2+0.005</f>
        <v/>
      </c>
      <c r="L598" s="17">
        <f>IF(ABS(J598)&lt;=K598,"OK",IF(M598&lt;&gt;"","EXPLAINED","CHECK"))</f>
        <v/>
      </c>
      <c r="M598" s="7" t="inlineStr"/>
    </row>
    <row r="599">
      <c r="A599" s="33" t="n">
        <v>45176</v>
      </c>
      <c r="B599" s="7" t="inlineStr">
        <is>
          <t>RWRP</t>
        </is>
      </c>
      <c r="C599" s="7" t="inlineStr">
        <is>
          <t>FY2023</t>
        </is>
      </c>
      <c r="D599" s="35" t="n">
        <v>67.38</v>
      </c>
      <c r="E599" s="32" t="n">
        <v>0.07000000000000001</v>
      </c>
      <c r="F599" s="35">
        <f>D599/(1+E599)</f>
        <v/>
      </c>
      <c r="G599" s="7" t="inlineStr">
        <is>
          <t>FY2022</t>
        </is>
      </c>
      <c r="H599" s="35" t="n">
        <v>62.99</v>
      </c>
      <c r="I599" s="33" t="n">
        <v>44993</v>
      </c>
      <c r="J599" s="36">
        <f>F599-H599</f>
        <v/>
      </c>
      <c r="K599" s="16">
        <f>0.005/(1+E599)+D599*0.0005/(1+E599)^2+0.005</f>
        <v/>
      </c>
      <c r="L599" s="17">
        <f>IF(ABS(J599)&lt;=K599,"OK",IF(M599&lt;&gt;"","EXPLAINED","CHECK"))</f>
        <v/>
      </c>
      <c r="M599" s="7" t="inlineStr"/>
    </row>
    <row r="600">
      <c r="A600" s="33" t="n">
        <v>45176</v>
      </c>
      <c r="B600" s="7" t="inlineStr">
        <is>
          <t>RWRP</t>
        </is>
      </c>
      <c r="C600" s="7" t="inlineStr">
        <is>
          <t>Aug-23</t>
        </is>
      </c>
      <c r="D600" s="35" t="n">
        <v>5.26</v>
      </c>
      <c r="E600" s="32" t="n">
        <v>0.122</v>
      </c>
      <c r="F600" s="35">
        <f>D600/(1+E600)</f>
        <v/>
      </c>
      <c r="G600" s="7" t="inlineStr">
        <is>
          <t>Aug-22</t>
        </is>
      </c>
      <c r="H600" s="35" t="n">
        <v>4.69</v>
      </c>
      <c r="I600" s="33" t="n">
        <v>44841</v>
      </c>
      <c r="J600" s="36">
        <f>F600-H600</f>
        <v/>
      </c>
      <c r="K600" s="16">
        <f>0.005/(1+E600)+D600*0.0005/(1+E600)^2+0.005</f>
        <v/>
      </c>
      <c r="L600" s="17">
        <f>IF(ABS(J600)&lt;=K600,"OK",IF(M600&lt;&gt;"","EXPLAINED","CHECK"))</f>
        <v/>
      </c>
      <c r="M600" s="7" t="inlineStr"/>
    </row>
    <row r="601">
      <c r="A601" s="33" t="n">
        <v>45176</v>
      </c>
      <c r="B601" s="7" t="inlineStr">
        <is>
          <t>RWRP</t>
        </is>
      </c>
      <c r="C601" s="7" t="inlineStr">
        <is>
          <t>Jul-23</t>
        </is>
      </c>
      <c r="D601" s="35" t="n">
        <v>4.85</v>
      </c>
      <c r="E601" s="32" t="n">
        <v>0.078</v>
      </c>
      <c r="F601" s="35">
        <f>D601/(1+E601)</f>
        <v/>
      </c>
      <c r="G601" s="7" t="inlineStr">
        <is>
          <t>Jul-22</t>
        </is>
      </c>
      <c r="H601" s="35" t="n">
        <v>4.5</v>
      </c>
      <c r="I601" s="33" t="n">
        <v>44841</v>
      </c>
      <c r="J601" s="36">
        <f>F601-H601</f>
        <v/>
      </c>
      <c r="K601" s="16">
        <f>0.005/(1+E601)+D601*0.0005/(1+E601)^2+0.005</f>
        <v/>
      </c>
      <c r="L601" s="17">
        <f>IF(ABS(J601)&lt;=K601,"OK",IF(M601&lt;&gt;"","EXPLAINED","CHECK"))</f>
        <v/>
      </c>
      <c r="M601" s="7" t="inlineStr"/>
    </row>
    <row r="602">
      <c r="A602" s="33" t="n">
        <v>45146</v>
      </c>
      <c r="B602" s="7" t="inlineStr">
        <is>
          <t>NB Sum Assured</t>
        </is>
      </c>
      <c r="C602" s="7" t="inlineStr">
        <is>
          <t>Q1-FY2024</t>
        </is>
      </c>
      <c r="D602" s="35" t="n">
        <v>2403.04</v>
      </c>
      <c r="E602" s="32" t="n">
        <v>0.08800000000000001</v>
      </c>
      <c r="F602" s="35">
        <f>D602/(1+E602)</f>
        <v/>
      </c>
      <c r="G602" s="7" t="inlineStr">
        <is>
          <t>Q1-FY2023</t>
        </is>
      </c>
      <c r="H602" s="35" t="n">
        <v>2209.35</v>
      </c>
      <c r="I602" s="33" t="n">
        <v>44841</v>
      </c>
      <c r="J602" s="36">
        <f>F602-H602</f>
        <v/>
      </c>
      <c r="K602" s="16">
        <f>0.005/(1+E602)+D602*0.0005/(1+E602)^2+0.005</f>
        <v/>
      </c>
      <c r="L602" s="17">
        <f>IF(ABS(J602)&lt;=K602,"OK",IF(M602&lt;&gt;"","EXPLAINED","CHECK"))</f>
        <v/>
      </c>
      <c r="M602" s="7" t="inlineStr"/>
    </row>
    <row r="603">
      <c r="A603" s="33" t="n">
        <v>45146</v>
      </c>
      <c r="B603" s="7" t="inlineStr">
        <is>
          <t>NB Sum Assured</t>
        </is>
      </c>
      <c r="C603" s="7" t="inlineStr">
        <is>
          <t>FY2023</t>
        </is>
      </c>
      <c r="D603" s="35" t="n">
        <v>10413.92</v>
      </c>
      <c r="E603" s="32" t="n">
        <v>0.347</v>
      </c>
      <c r="F603" s="35">
        <f>D603/(1+E603)</f>
        <v/>
      </c>
      <c r="G603" s="7" t="inlineStr">
        <is>
          <t>FY2022</t>
        </is>
      </c>
      <c r="H603" s="35" t="n">
        <v>7731.46</v>
      </c>
      <c r="I603" s="33" t="n">
        <v>44993</v>
      </c>
      <c r="J603" s="36">
        <f>F603-H603</f>
        <v/>
      </c>
      <c r="K603" s="16">
        <f>0.005/(1+E603)+D603*0.0005/(1+E603)^2+0.005</f>
        <v/>
      </c>
      <c r="L603" s="17">
        <f>IF(ABS(J603)&lt;=K603,"OK",IF(M603&lt;&gt;"","EXPLAINED","CHECK"))</f>
        <v/>
      </c>
      <c r="M603" s="7" t="inlineStr"/>
    </row>
    <row r="604">
      <c r="A604" s="33" t="n">
        <v>45146</v>
      </c>
      <c r="B604" s="7" t="inlineStr">
        <is>
          <t>NB Sum Assured</t>
        </is>
      </c>
      <c r="C604" s="7" t="inlineStr">
        <is>
          <t>Jul-23</t>
        </is>
      </c>
      <c r="D604" s="35" t="n">
        <v>834.41</v>
      </c>
      <c r="E604" s="32" t="n">
        <v>-0.128</v>
      </c>
      <c r="F604" s="35">
        <f>D604/(1+E604)</f>
        <v/>
      </c>
      <c r="G604" s="7" t="inlineStr">
        <is>
          <t>Jul-22</t>
        </is>
      </c>
      <c r="H604" s="35" t="n">
        <v>957.28</v>
      </c>
      <c r="I604" s="33" t="n">
        <v>44841</v>
      </c>
      <c r="J604" s="36">
        <f>F604-H604</f>
        <v/>
      </c>
      <c r="K604" s="16">
        <f>0.005/(1+E604)+D604*0.0005/(1+E604)^2+0.005</f>
        <v/>
      </c>
      <c r="L604" s="17">
        <f>IF(ABS(J604)&lt;=K604,"OK",IF(M604&lt;&gt;"","EXPLAINED","CHECK"))</f>
        <v/>
      </c>
      <c r="M604" s="7" t="inlineStr"/>
    </row>
    <row r="605">
      <c r="A605" s="33" t="n">
        <v>45146</v>
      </c>
      <c r="B605" s="7" t="inlineStr">
        <is>
          <t>NB Premium</t>
        </is>
      </c>
      <c r="C605" s="7" t="inlineStr">
        <is>
          <t>Q1-FY2024</t>
        </is>
      </c>
      <c r="D605" s="35" t="n">
        <v>30.51</v>
      </c>
      <c r="E605" s="32" t="n">
        <v>-0.042</v>
      </c>
      <c r="F605" s="35">
        <f>D605/(1+E605)</f>
        <v/>
      </c>
      <c r="G605" s="7" t="inlineStr">
        <is>
          <t>Q1-FY2023</t>
        </is>
      </c>
      <c r="H605" s="35" t="n">
        <v>31.84</v>
      </c>
      <c r="I605" s="33" t="n">
        <v>44841</v>
      </c>
      <c r="J605" s="36">
        <f>F605-H605</f>
        <v/>
      </c>
      <c r="K605" s="16">
        <f>0.005/(1+E605)+D605*0.0005/(1+E605)^2+0.005</f>
        <v/>
      </c>
      <c r="L605" s="17">
        <f>IF(ABS(J605)&lt;=K605,"OK",IF(M605&lt;&gt;"","EXPLAINED","CHECK"))</f>
        <v/>
      </c>
      <c r="M605" s="7" t="inlineStr"/>
    </row>
    <row r="606">
      <c r="A606" s="33" t="n">
        <v>45146</v>
      </c>
      <c r="B606" s="7" t="inlineStr">
        <is>
          <t>NB Premium</t>
        </is>
      </c>
      <c r="C606" s="7" t="inlineStr">
        <is>
          <t>FY2023</t>
        </is>
      </c>
      <c r="D606" s="35" t="n">
        <v>169.22</v>
      </c>
      <c r="E606" s="32" t="n">
        <v>0.125</v>
      </c>
      <c r="F606" s="35">
        <f>D606/(1+E606)</f>
        <v/>
      </c>
      <c r="G606" s="7" t="inlineStr">
        <is>
          <t>FY2022</t>
        </is>
      </c>
      <c r="H606" s="35" t="n">
        <v>150.36</v>
      </c>
      <c r="I606" s="33" t="n">
        <v>44993</v>
      </c>
      <c r="J606" s="36">
        <f>F606-H606</f>
        <v/>
      </c>
      <c r="K606" s="16">
        <f>0.005/(1+E606)+D606*0.0005/(1+E606)^2+0.005</f>
        <v/>
      </c>
      <c r="L606" s="17">
        <f>IF(ABS(J606)&lt;=K606,"OK",IF(M606&lt;&gt;"","EXPLAINED","CHECK"))</f>
        <v/>
      </c>
      <c r="M606" s="7" t="inlineStr"/>
    </row>
    <row r="607">
      <c r="A607" s="33" t="n">
        <v>45146</v>
      </c>
      <c r="B607" s="7" t="inlineStr">
        <is>
          <t>NB Premium</t>
        </is>
      </c>
      <c r="C607" s="7" t="inlineStr">
        <is>
          <t>Jul-23</t>
        </is>
      </c>
      <c r="D607" s="35" t="n">
        <v>16.39</v>
      </c>
      <c r="E607" s="32" t="n">
        <v>0.219</v>
      </c>
      <c r="F607" s="35">
        <f>D607/(1+E607)</f>
        <v/>
      </c>
      <c r="G607" s="7" t="inlineStr">
        <is>
          <t>Jul-22</t>
        </is>
      </c>
      <c r="H607" s="35" t="n">
        <v>13.44</v>
      </c>
      <c r="I607" s="33" t="n">
        <v>44841</v>
      </c>
      <c r="J607" s="36">
        <f>F607-H607</f>
        <v/>
      </c>
      <c r="K607" s="16">
        <f>0.005/(1+E607)+D607*0.0005/(1+E607)^2+0.005</f>
        <v/>
      </c>
      <c r="L607" s="17">
        <f>IF(ABS(J607)&lt;=K607,"OK",IF(M607&lt;&gt;"","EXPLAINED","CHECK"))</f>
        <v/>
      </c>
      <c r="M607" s="7" t="inlineStr"/>
    </row>
    <row r="608">
      <c r="A608" s="33" t="n">
        <v>45146</v>
      </c>
      <c r="B608" s="7" t="inlineStr">
        <is>
          <t>APE</t>
        </is>
      </c>
      <c r="C608" s="7" t="inlineStr">
        <is>
          <t>Q1-FY2024</t>
        </is>
      </c>
      <c r="D608" s="35" t="n">
        <v>14.61</v>
      </c>
      <c r="E608" s="32" t="n">
        <v>-0.039</v>
      </c>
      <c r="F608" s="35">
        <f>D608/(1+E608)</f>
        <v/>
      </c>
      <c r="G608" s="7" t="inlineStr">
        <is>
          <t>Q1-FY2023</t>
        </is>
      </c>
      <c r="H608" s="35" t="n">
        <v>15.2</v>
      </c>
      <c r="I608" s="33" t="n">
        <v>44841</v>
      </c>
      <c r="J608" s="36">
        <f>F608-H608</f>
        <v/>
      </c>
      <c r="K608" s="16">
        <f>0.005/(1+E608)+D608*0.0005/(1+E608)^2+0.005</f>
        <v/>
      </c>
      <c r="L608" s="17">
        <f>IF(ABS(J608)&lt;=K608,"OK",IF(M608&lt;&gt;"","EXPLAINED","CHECK"))</f>
        <v/>
      </c>
      <c r="M608" s="7" t="inlineStr"/>
    </row>
    <row r="609">
      <c r="A609" s="33" t="n">
        <v>45146</v>
      </c>
      <c r="B609" s="7" t="inlineStr">
        <is>
          <t>APE</t>
        </is>
      </c>
      <c r="C609" s="7" t="inlineStr">
        <is>
          <t>FY2023</t>
        </is>
      </c>
      <c r="D609" s="35" t="n">
        <v>86.40000000000001</v>
      </c>
      <c r="E609" s="32" t="n">
        <v>0.117</v>
      </c>
      <c r="F609" s="35">
        <f>D609/(1+E609)</f>
        <v/>
      </c>
      <c r="G609" s="7" t="inlineStr">
        <is>
          <t>FY2022</t>
        </is>
      </c>
      <c r="H609" s="35" t="n">
        <v>77.33</v>
      </c>
      <c r="I609" s="33" t="n">
        <v>44993</v>
      </c>
      <c r="J609" s="36">
        <f>F609-H609</f>
        <v/>
      </c>
      <c r="K609" s="16">
        <f>0.005/(1+E609)+D609*0.0005/(1+E609)^2+0.005</f>
        <v/>
      </c>
      <c r="L609" s="17">
        <f>IF(ABS(J609)&lt;=K609,"OK",IF(M609&lt;&gt;"","EXPLAINED","CHECK"))</f>
        <v/>
      </c>
      <c r="M609" s="7" t="inlineStr"/>
    </row>
    <row r="610">
      <c r="A610" s="33" t="n">
        <v>45146</v>
      </c>
      <c r="B610" s="7" t="inlineStr">
        <is>
          <t>APE</t>
        </is>
      </c>
      <c r="C610" s="7" t="inlineStr">
        <is>
          <t>Jul-23</t>
        </is>
      </c>
      <c r="D610" s="35" t="n">
        <v>6.65</v>
      </c>
      <c r="E610" s="32" t="n">
        <v>0.057</v>
      </c>
      <c r="F610" s="35">
        <f>D610/(1+E610)</f>
        <v/>
      </c>
      <c r="G610" s="7" t="inlineStr">
        <is>
          <t>Jul-22</t>
        </is>
      </c>
      <c r="H610" s="35" t="n">
        <v>6.29</v>
      </c>
      <c r="I610" s="33" t="n">
        <v>44841</v>
      </c>
      <c r="J610" s="36">
        <f>F610-H610</f>
        <v/>
      </c>
      <c r="K610" s="16">
        <f>0.005/(1+E610)+D610*0.0005/(1+E610)^2+0.005</f>
        <v/>
      </c>
      <c r="L610" s="17">
        <f>IF(ABS(J610)&lt;=K610,"OK",IF(M610&lt;&gt;"","EXPLAINED","CHECK"))</f>
        <v/>
      </c>
      <c r="M610" s="7" t="inlineStr"/>
    </row>
    <row r="611">
      <c r="A611" s="33" t="n">
        <v>45146</v>
      </c>
      <c r="B611" s="7" t="inlineStr">
        <is>
          <t>RWRP</t>
        </is>
      </c>
      <c r="C611" s="7" t="inlineStr">
        <is>
          <t>Q1-FY2024</t>
        </is>
      </c>
      <c r="D611" s="35" t="n">
        <v>10.61</v>
      </c>
      <c r="E611" s="32" t="n">
        <v>-0.036</v>
      </c>
      <c r="F611" s="35">
        <f>D611/(1+E611)</f>
        <v/>
      </c>
      <c r="G611" s="7" t="inlineStr">
        <is>
          <t>Q1-FY2023</t>
        </is>
      </c>
      <c r="H611" s="35" t="n">
        <v>11.01</v>
      </c>
      <c r="I611" s="33" t="n">
        <v>44841</v>
      </c>
      <c r="J611" s="36">
        <f>F611-H611</f>
        <v/>
      </c>
      <c r="K611" s="16">
        <f>0.005/(1+E611)+D611*0.0005/(1+E611)^2+0.005</f>
        <v/>
      </c>
      <c r="L611" s="17">
        <f>IF(ABS(J611)&lt;=K611,"OK",IF(M611&lt;&gt;"","EXPLAINED","CHECK"))</f>
        <v/>
      </c>
      <c r="M611" s="7" t="inlineStr"/>
    </row>
    <row r="612">
      <c r="A612" s="33" t="n">
        <v>45146</v>
      </c>
      <c r="B612" s="7" t="inlineStr">
        <is>
          <t>RWRP</t>
        </is>
      </c>
      <c r="C612" s="7" t="inlineStr">
        <is>
          <t>FY2023</t>
        </is>
      </c>
      <c r="D612" s="35" t="n">
        <v>67.38</v>
      </c>
      <c r="E612" s="32" t="n">
        <v>0.07000000000000001</v>
      </c>
      <c r="F612" s="35">
        <f>D612/(1+E612)</f>
        <v/>
      </c>
      <c r="G612" s="7" t="inlineStr">
        <is>
          <t>FY2022</t>
        </is>
      </c>
      <c r="H612" s="35" t="n">
        <v>62.99</v>
      </c>
      <c r="I612" s="33" t="n">
        <v>44993</v>
      </c>
      <c r="J612" s="36">
        <f>F612-H612</f>
        <v/>
      </c>
      <c r="K612" s="16">
        <f>0.005/(1+E612)+D612*0.0005/(1+E612)^2+0.005</f>
        <v/>
      </c>
      <c r="L612" s="17">
        <f>IF(ABS(J612)&lt;=K612,"OK",IF(M612&lt;&gt;"","EXPLAINED","CHECK"))</f>
        <v/>
      </c>
      <c r="M612" s="7" t="inlineStr"/>
    </row>
    <row r="613">
      <c r="A613" s="33" t="n">
        <v>45146</v>
      </c>
      <c r="B613" s="7" t="inlineStr">
        <is>
          <t>RWRP</t>
        </is>
      </c>
      <c r="C613" s="7" t="inlineStr">
        <is>
          <t>Jul-23</t>
        </is>
      </c>
      <c r="D613" s="35" t="n">
        <v>4.85</v>
      </c>
      <c r="E613" s="32" t="n">
        <v>0.078</v>
      </c>
      <c r="F613" s="35">
        <f>D613/(1+E613)</f>
        <v/>
      </c>
      <c r="G613" s="7" t="inlineStr">
        <is>
          <t>Jul-22</t>
        </is>
      </c>
      <c r="H613" s="35" t="n">
        <v>4.5</v>
      </c>
      <c r="I613" s="33" t="n">
        <v>44841</v>
      </c>
      <c r="J613" s="36">
        <f>F613-H613</f>
        <v/>
      </c>
      <c r="K613" s="16">
        <f>0.005/(1+E613)+D613*0.0005/(1+E613)^2+0.005</f>
        <v/>
      </c>
      <c r="L613" s="17">
        <f>IF(ABS(J613)&lt;=K613,"OK",IF(M613&lt;&gt;"","EXPLAINED","CHECK"))</f>
        <v/>
      </c>
      <c r="M613" s="7" t="inlineStr"/>
    </row>
    <row r="614">
      <c r="A614" s="33" t="n">
        <v>45114</v>
      </c>
      <c r="B614" s="7" t="inlineStr">
        <is>
          <t>NB Sum Assured</t>
        </is>
      </c>
      <c r="C614" s="7" t="inlineStr">
        <is>
          <t>Q1-FY2024</t>
        </is>
      </c>
      <c r="D614" s="35" t="n">
        <v>2403.04</v>
      </c>
      <c r="E614" s="32" t="n">
        <v>0.08800000000000001</v>
      </c>
      <c r="F614" s="35">
        <f>D614/(1+E614)</f>
        <v/>
      </c>
      <c r="G614" s="7" t="inlineStr">
        <is>
          <t>Q1-FY2023</t>
        </is>
      </c>
      <c r="H614" s="35" t="n">
        <v>2209.35</v>
      </c>
      <c r="I614" s="33" t="n">
        <v>44841</v>
      </c>
      <c r="J614" s="36">
        <f>F614-H614</f>
        <v/>
      </c>
      <c r="K614" s="16">
        <f>0.005/(1+E614)+D614*0.0005/(1+E614)^2+0.005</f>
        <v/>
      </c>
      <c r="L614" s="17">
        <f>IF(ABS(J614)&lt;=K614,"OK",IF(M614&lt;&gt;"","EXPLAINED","CHECK"))</f>
        <v/>
      </c>
      <c r="M614" s="7" t="inlineStr"/>
    </row>
    <row r="615">
      <c r="A615" s="33" t="n">
        <v>45114</v>
      </c>
      <c r="B615" s="7" t="inlineStr">
        <is>
          <t>NB Sum Assured</t>
        </is>
      </c>
      <c r="C615" s="7" t="inlineStr">
        <is>
          <t>FY2023</t>
        </is>
      </c>
      <c r="D615" s="35" t="n">
        <v>10413.92</v>
      </c>
      <c r="E615" s="32" t="n">
        <v>0.347</v>
      </c>
      <c r="F615" s="35">
        <f>D615/(1+E615)</f>
        <v/>
      </c>
      <c r="G615" s="7" t="inlineStr">
        <is>
          <t>FY2022</t>
        </is>
      </c>
      <c r="H615" s="35" t="n">
        <v>7731.46</v>
      </c>
      <c r="I615" s="33" t="n">
        <v>44993</v>
      </c>
      <c r="J615" s="36">
        <f>F615-H615</f>
        <v/>
      </c>
      <c r="K615" s="16">
        <f>0.005/(1+E615)+D615*0.0005/(1+E615)^2+0.005</f>
        <v/>
      </c>
      <c r="L615" s="17">
        <f>IF(ABS(J615)&lt;=K615,"OK",IF(M615&lt;&gt;"","EXPLAINED","CHECK"))</f>
        <v/>
      </c>
      <c r="M615" s="7" t="inlineStr"/>
    </row>
    <row r="616">
      <c r="A616" s="33" t="n">
        <v>45114</v>
      </c>
      <c r="B616" s="7" t="inlineStr">
        <is>
          <t>NB Sum Assured</t>
        </is>
      </c>
      <c r="C616" s="7" t="inlineStr">
        <is>
          <t>Jun-23</t>
        </is>
      </c>
      <c r="D616" s="35" t="n">
        <v>751.28</v>
      </c>
      <c r="E616" s="32" t="n">
        <v>0.08800000000000001</v>
      </c>
      <c r="F616" s="35">
        <f>D616/(1+E616)</f>
        <v/>
      </c>
      <c r="G616" s="7" t="inlineStr">
        <is>
          <t>Jun-22</t>
        </is>
      </c>
      <c r="H616" s="35" t="n">
        <v>690.61</v>
      </c>
      <c r="I616" s="33" t="n">
        <v>44749</v>
      </c>
      <c r="J616" s="36">
        <f>F616-H616</f>
        <v/>
      </c>
      <c r="K616" s="16">
        <f>0.005/(1+E616)+D616*0.0005/(1+E616)^2+0.005</f>
        <v/>
      </c>
      <c r="L616" s="17">
        <f>IF(ABS(J616)&lt;=K616,"OK",IF(M616&lt;&gt;"","EXPLAINED","CHECK"))</f>
        <v/>
      </c>
      <c r="M616" s="7" t="inlineStr"/>
    </row>
    <row r="617">
      <c r="A617" s="33" t="n">
        <v>45114</v>
      </c>
      <c r="B617" s="7" t="inlineStr">
        <is>
          <t>NB Sum Assured</t>
        </is>
      </c>
      <c r="C617" s="7" t="inlineStr">
        <is>
          <t>May-23</t>
        </is>
      </c>
      <c r="D617" s="35" t="n">
        <v>811.22</v>
      </c>
      <c r="E617" s="32" t="n">
        <v>0.212</v>
      </c>
      <c r="F617" s="35">
        <f>D617/(1+E617)</f>
        <v/>
      </c>
      <c r="G617" s="7" t="inlineStr">
        <is>
          <t>May-22</t>
        </is>
      </c>
      <c r="H617" s="35" t="n">
        <v>669.2</v>
      </c>
      <c r="I617" s="33" t="n">
        <v>44749</v>
      </c>
      <c r="J617" s="36">
        <f>F617-H617</f>
        <v/>
      </c>
      <c r="K617" s="16">
        <f>0.005/(1+E617)+D617*0.0005/(1+E617)^2+0.005</f>
        <v/>
      </c>
      <c r="L617" s="17">
        <f>IF(ABS(J617)&lt;=K617,"OK",IF(M617&lt;&gt;"","EXPLAINED","CHECK"))</f>
        <v/>
      </c>
      <c r="M617" s="7" t="inlineStr"/>
    </row>
    <row r="618">
      <c r="A618" s="33" t="n">
        <v>45114</v>
      </c>
      <c r="B618" s="7" t="inlineStr">
        <is>
          <t>NB Sum Assured</t>
        </is>
      </c>
      <c r="C618" s="7" t="inlineStr">
        <is>
          <t>Apr-23</t>
        </is>
      </c>
      <c r="D618" s="35" t="n">
        <v>840.55</v>
      </c>
      <c r="E618" s="32" t="n">
        <v>-0.011</v>
      </c>
      <c r="F618" s="35">
        <f>D618/(1+E618)</f>
        <v/>
      </c>
      <c r="G618" s="7" t="inlineStr">
        <is>
          <t>Apr-22</t>
        </is>
      </c>
      <c r="H618" s="35" t="n">
        <v>849.54</v>
      </c>
      <c r="I618" s="33" t="n">
        <v>44749</v>
      </c>
      <c r="J618" s="36">
        <f>F618-H618</f>
        <v/>
      </c>
      <c r="K618" s="16">
        <f>0.005/(1+E618)+D618*0.0005/(1+E618)^2+0.005</f>
        <v/>
      </c>
      <c r="L618" s="17">
        <f>IF(ABS(J618)&lt;=K618,"OK",IF(M618&lt;&gt;"","EXPLAINED","CHECK"))</f>
        <v/>
      </c>
      <c r="M618" s="7" t="inlineStr"/>
    </row>
    <row r="619">
      <c r="A619" s="33" t="n">
        <v>45114</v>
      </c>
      <c r="B619" s="7" t="inlineStr">
        <is>
          <t>NB Premium</t>
        </is>
      </c>
      <c r="C619" s="7" t="inlineStr">
        <is>
          <t>Q1-FY2024</t>
        </is>
      </c>
      <c r="D619" s="35" t="n">
        <v>30.51</v>
      </c>
      <c r="E619" s="32" t="n">
        <v>-0.042</v>
      </c>
      <c r="F619" s="35">
        <f>D619/(1+E619)</f>
        <v/>
      </c>
      <c r="G619" s="7" t="inlineStr">
        <is>
          <t>Q1-FY2023</t>
        </is>
      </c>
      <c r="H619" s="35" t="n">
        <v>31.84</v>
      </c>
      <c r="I619" s="33" t="n">
        <v>44841</v>
      </c>
      <c r="J619" s="36">
        <f>F619-H619</f>
        <v/>
      </c>
      <c r="K619" s="16">
        <f>0.005/(1+E619)+D619*0.0005/(1+E619)^2+0.005</f>
        <v/>
      </c>
      <c r="L619" s="17">
        <f>IF(ABS(J619)&lt;=K619,"OK",IF(M619&lt;&gt;"","EXPLAINED","CHECK"))</f>
        <v/>
      </c>
      <c r="M619" s="7" t="inlineStr"/>
    </row>
    <row r="620">
      <c r="A620" s="33" t="n">
        <v>45114</v>
      </c>
      <c r="B620" s="7" t="inlineStr">
        <is>
          <t>NB Premium</t>
        </is>
      </c>
      <c r="C620" s="7" t="inlineStr">
        <is>
          <t>FY2023</t>
        </is>
      </c>
      <c r="D620" s="35" t="n">
        <v>169.22</v>
      </c>
      <c r="E620" s="32" t="n">
        <v>0.125</v>
      </c>
      <c r="F620" s="35">
        <f>D620/(1+E620)</f>
        <v/>
      </c>
      <c r="G620" s="7" t="inlineStr">
        <is>
          <t>FY2022</t>
        </is>
      </c>
      <c r="H620" s="35" t="n">
        <v>150.36</v>
      </c>
      <c r="I620" s="33" t="n">
        <v>44993</v>
      </c>
      <c r="J620" s="36">
        <f>F620-H620</f>
        <v/>
      </c>
      <c r="K620" s="16">
        <f>0.005/(1+E620)+D620*0.0005/(1+E620)^2+0.005</f>
        <v/>
      </c>
      <c r="L620" s="17">
        <f>IF(ABS(J620)&lt;=K620,"OK",IF(M620&lt;&gt;"","EXPLAINED","CHECK"))</f>
        <v/>
      </c>
      <c r="M620" s="7" t="inlineStr"/>
    </row>
    <row r="621">
      <c r="A621" s="33" t="n">
        <v>45114</v>
      </c>
      <c r="B621" s="7" t="inlineStr">
        <is>
          <t>NB Premium</t>
        </is>
      </c>
      <c r="C621" s="7" t="inlineStr">
        <is>
          <t>Jun-23</t>
        </is>
      </c>
      <c r="D621" s="35" t="n">
        <v>13.24</v>
      </c>
      <c r="E621" s="32" t="n">
        <v>0.226</v>
      </c>
      <c r="F621" s="35">
        <f>D621/(1+E621)</f>
        <v/>
      </c>
      <c r="G621" s="7" t="inlineStr">
        <is>
          <t>Jun-22</t>
        </is>
      </c>
      <c r="H621" s="35" t="n">
        <v>10.8</v>
      </c>
      <c r="I621" s="33" t="n">
        <v>44749</v>
      </c>
      <c r="J621" s="36">
        <f>F621-H621</f>
        <v/>
      </c>
      <c r="K621" s="16">
        <f>0.005/(1+E621)+D621*0.0005/(1+E621)^2+0.005</f>
        <v/>
      </c>
      <c r="L621" s="17">
        <f>IF(ABS(J621)&lt;=K621,"OK",IF(M621&lt;&gt;"","EXPLAINED","CHECK"))</f>
        <v/>
      </c>
      <c r="M621" s="7" t="inlineStr"/>
    </row>
    <row r="622">
      <c r="A622" s="33" t="n">
        <v>45114</v>
      </c>
      <c r="B622" s="7" t="inlineStr">
        <is>
          <t>NB Premium</t>
        </is>
      </c>
      <c r="C622" s="7" t="inlineStr">
        <is>
          <t>May-23</t>
        </is>
      </c>
      <c r="D622" s="35" t="n">
        <v>9.94</v>
      </c>
      <c r="E622" s="32" t="n">
        <v>-0.185</v>
      </c>
      <c r="F622" s="35">
        <f>D622/(1+E622)</f>
        <v/>
      </c>
      <c r="G622" s="7" t="inlineStr">
        <is>
          <t>May-22</t>
        </is>
      </c>
      <c r="H622" s="35" t="n">
        <v>12.19</v>
      </c>
      <c r="I622" s="33" t="n">
        <v>44749</v>
      </c>
      <c r="J622" s="36">
        <f>F622-H622</f>
        <v/>
      </c>
      <c r="K622" s="16">
        <f>0.005/(1+E622)+D622*0.0005/(1+E622)^2+0.005</f>
        <v/>
      </c>
      <c r="L622" s="17">
        <f>IF(ABS(J622)&lt;=K622,"OK",IF(M622&lt;&gt;"","EXPLAINED","CHECK"))</f>
        <v/>
      </c>
      <c r="M622" s="7" t="inlineStr"/>
    </row>
    <row r="623">
      <c r="A623" s="33" t="n">
        <v>45114</v>
      </c>
      <c r="B623" s="7" t="inlineStr">
        <is>
          <t>NB Premium</t>
        </is>
      </c>
      <c r="C623" s="7" t="inlineStr">
        <is>
          <t>Apr-23</t>
        </is>
      </c>
      <c r="D623" s="35" t="n">
        <v>7.34</v>
      </c>
      <c r="E623" s="32" t="n">
        <v>-0.171</v>
      </c>
      <c r="F623" s="35">
        <f>D623/(1+E623)</f>
        <v/>
      </c>
      <c r="G623" s="7" t="inlineStr">
        <is>
          <t>Apr-22</t>
        </is>
      </c>
      <c r="H623" s="35" t="n">
        <v>8.85</v>
      </c>
      <c r="I623" s="33" t="n">
        <v>44749</v>
      </c>
      <c r="J623" s="36">
        <f>F623-H623</f>
        <v/>
      </c>
      <c r="K623" s="16">
        <f>0.005/(1+E623)+D623*0.0005/(1+E623)^2+0.005</f>
        <v/>
      </c>
      <c r="L623" s="17">
        <f>IF(ABS(J623)&lt;=K623,"OK",IF(M623&lt;&gt;"","EXPLAINED","CHECK"))</f>
        <v/>
      </c>
      <c r="M623" s="7" t="inlineStr"/>
    </row>
    <row r="624">
      <c r="A624" s="33" t="n">
        <v>45114</v>
      </c>
      <c r="B624" s="7" t="inlineStr">
        <is>
          <t>APE</t>
        </is>
      </c>
      <c r="C624" s="7" t="inlineStr">
        <is>
          <t>Q1-FY2024</t>
        </is>
      </c>
      <c r="D624" s="35" t="n">
        <v>14.61</v>
      </c>
      <c r="E624" s="32" t="n">
        <v>-0.039</v>
      </c>
      <c r="F624" s="35">
        <f>D624/(1+E624)</f>
        <v/>
      </c>
      <c r="G624" s="7" t="inlineStr">
        <is>
          <t>Q1-FY2023</t>
        </is>
      </c>
      <c r="H624" s="35" t="n">
        <v>15.2</v>
      </c>
      <c r="I624" s="33" t="n">
        <v>44841</v>
      </c>
      <c r="J624" s="36">
        <f>F624-H624</f>
        <v/>
      </c>
      <c r="K624" s="16">
        <f>0.005/(1+E624)+D624*0.0005/(1+E624)^2+0.005</f>
        <v/>
      </c>
      <c r="L624" s="17">
        <f>IF(ABS(J624)&lt;=K624,"OK",IF(M624&lt;&gt;"","EXPLAINED","CHECK"))</f>
        <v/>
      </c>
      <c r="M624" s="7" t="inlineStr"/>
    </row>
    <row r="625">
      <c r="A625" s="33" t="n">
        <v>45114</v>
      </c>
      <c r="B625" s="7" t="inlineStr">
        <is>
          <t>APE</t>
        </is>
      </c>
      <c r="C625" s="7" t="inlineStr">
        <is>
          <t>FY2023</t>
        </is>
      </c>
      <c r="D625" s="35" t="n">
        <v>86.40000000000001</v>
      </c>
      <c r="E625" s="32" t="n">
        <v>0.117</v>
      </c>
      <c r="F625" s="35">
        <f>D625/(1+E625)</f>
        <v/>
      </c>
      <c r="G625" s="7" t="inlineStr">
        <is>
          <t>FY2022</t>
        </is>
      </c>
      <c r="H625" s="35" t="n">
        <v>77.33</v>
      </c>
      <c r="I625" s="33" t="n">
        <v>44993</v>
      </c>
      <c r="J625" s="36">
        <f>F625-H625</f>
        <v/>
      </c>
      <c r="K625" s="16">
        <f>0.005/(1+E625)+D625*0.0005/(1+E625)^2+0.005</f>
        <v/>
      </c>
      <c r="L625" s="17">
        <f>IF(ABS(J625)&lt;=K625,"OK",IF(M625&lt;&gt;"","EXPLAINED","CHECK"))</f>
        <v/>
      </c>
      <c r="M625" s="7" t="inlineStr"/>
    </row>
    <row r="626">
      <c r="A626" s="33" t="n">
        <v>45114</v>
      </c>
      <c r="B626" s="7" t="inlineStr">
        <is>
          <t>APE</t>
        </is>
      </c>
      <c r="C626" s="7" t="inlineStr">
        <is>
          <t>Jun-23</t>
        </is>
      </c>
      <c r="D626" s="35" t="n">
        <v>6.26</v>
      </c>
      <c r="E626" s="32" t="n">
        <v>0.112</v>
      </c>
      <c r="F626" s="35">
        <f>D626/(1+E626)</f>
        <v/>
      </c>
      <c r="G626" s="7" t="inlineStr">
        <is>
          <t>Jun-22</t>
        </is>
      </c>
      <c r="H626" s="35" t="n">
        <v>5.63</v>
      </c>
      <c r="I626" s="33" t="n">
        <v>44749</v>
      </c>
      <c r="J626" s="36">
        <f>F626-H626</f>
        <v/>
      </c>
      <c r="K626" s="16">
        <f>0.005/(1+E626)+D626*0.0005/(1+E626)^2+0.005</f>
        <v/>
      </c>
      <c r="L626" s="17">
        <f>IF(ABS(J626)&lt;=K626,"OK",IF(M626&lt;&gt;"","EXPLAINED","CHECK"))</f>
        <v/>
      </c>
      <c r="M626" s="7" t="inlineStr"/>
    </row>
    <row r="627">
      <c r="A627" s="33" t="n">
        <v>45114</v>
      </c>
      <c r="B627" s="7" t="inlineStr">
        <is>
          <t>APE</t>
        </is>
      </c>
      <c r="C627" s="7" t="inlineStr">
        <is>
          <t>May-23</t>
        </is>
      </c>
      <c r="D627" s="35" t="n">
        <v>4.66</v>
      </c>
      <c r="E627" s="32" t="n">
        <v>-0.011</v>
      </c>
      <c r="F627" s="35">
        <f>D627/(1+E627)</f>
        <v/>
      </c>
      <c r="G627" s="7" t="inlineStr">
        <is>
          <t>May-22</t>
        </is>
      </c>
      <c r="H627" s="35" t="n">
        <v>4.71</v>
      </c>
      <c r="I627" s="33" t="n">
        <v>44749</v>
      </c>
      <c r="J627" s="36">
        <f>F627-H627</f>
        <v/>
      </c>
      <c r="K627" s="16">
        <f>0.005/(1+E627)+D627*0.0005/(1+E627)^2+0.005</f>
        <v/>
      </c>
      <c r="L627" s="17">
        <f>IF(ABS(J627)&lt;=K627,"OK",IF(M627&lt;&gt;"","EXPLAINED","CHECK"))</f>
        <v/>
      </c>
      <c r="M627" s="7" t="inlineStr"/>
    </row>
    <row r="628">
      <c r="A628" s="33" t="n">
        <v>45114</v>
      </c>
      <c r="B628" s="7" t="inlineStr">
        <is>
          <t>APE</t>
        </is>
      </c>
      <c r="C628" s="7" t="inlineStr">
        <is>
          <t>Apr-23</t>
        </is>
      </c>
      <c r="D628" s="35" t="n">
        <v>3.68</v>
      </c>
      <c r="E628" s="32" t="n">
        <v>-0.243</v>
      </c>
      <c r="F628" s="35">
        <f>D628/(1+E628)</f>
        <v/>
      </c>
      <c r="G628" s="7" t="inlineStr">
        <is>
          <t>Apr-22</t>
        </is>
      </c>
      <c r="H628" s="35" t="n">
        <v>4.86</v>
      </c>
      <c r="I628" s="33" t="n">
        <v>44749</v>
      </c>
      <c r="J628" s="36">
        <f>F628-H628</f>
        <v/>
      </c>
      <c r="K628" s="16">
        <f>0.005/(1+E628)+D628*0.0005/(1+E628)^2+0.005</f>
        <v/>
      </c>
      <c r="L628" s="17">
        <f>IF(ABS(J628)&lt;=K628,"OK",IF(M628&lt;&gt;"","EXPLAINED","CHECK"))</f>
        <v/>
      </c>
      <c r="M628" s="7" t="inlineStr"/>
    </row>
    <row r="629">
      <c r="A629" s="33" t="n">
        <v>45114</v>
      </c>
      <c r="B629" s="7" t="inlineStr">
        <is>
          <t>RWRP</t>
        </is>
      </c>
      <c r="C629" s="7" t="inlineStr">
        <is>
          <t>Q1-FY2024</t>
        </is>
      </c>
      <c r="D629" s="35" t="n">
        <v>10.61</v>
      </c>
      <c r="E629" s="32" t="n">
        <v>-0.036</v>
      </c>
      <c r="F629" s="35">
        <f>D629/(1+E629)</f>
        <v/>
      </c>
      <c r="G629" s="7" t="inlineStr">
        <is>
          <t>Q1-FY2023</t>
        </is>
      </c>
      <c r="H629" s="35" t="n">
        <v>11.01</v>
      </c>
      <c r="I629" s="33" t="n">
        <v>44841</v>
      </c>
      <c r="J629" s="36">
        <f>F629-H629</f>
        <v/>
      </c>
      <c r="K629" s="16">
        <f>0.005/(1+E629)+D629*0.0005/(1+E629)^2+0.005</f>
        <v/>
      </c>
      <c r="L629" s="17">
        <f>IF(ABS(J629)&lt;=K629,"OK",IF(M629&lt;&gt;"","EXPLAINED","CHECK"))</f>
        <v/>
      </c>
      <c r="M629" s="7" t="inlineStr"/>
    </row>
    <row r="630">
      <c r="A630" s="33" t="n">
        <v>45114</v>
      </c>
      <c r="B630" s="7" t="inlineStr">
        <is>
          <t>RWRP</t>
        </is>
      </c>
      <c r="C630" s="7" t="inlineStr">
        <is>
          <t>FY2023</t>
        </is>
      </c>
      <c r="D630" s="35" t="n">
        <v>67.38</v>
      </c>
      <c r="E630" s="32" t="n">
        <v>0.07000000000000001</v>
      </c>
      <c r="F630" s="35">
        <f>D630/(1+E630)</f>
        <v/>
      </c>
      <c r="G630" s="7" t="inlineStr">
        <is>
          <t>FY2022</t>
        </is>
      </c>
      <c r="H630" s="35" t="n">
        <v>62.99</v>
      </c>
      <c r="I630" s="33" t="n">
        <v>44993</v>
      </c>
      <c r="J630" s="36">
        <f>F630-H630</f>
        <v/>
      </c>
      <c r="K630" s="16">
        <f>0.005/(1+E630)+D630*0.0005/(1+E630)^2+0.005</f>
        <v/>
      </c>
      <c r="L630" s="17">
        <f>IF(ABS(J630)&lt;=K630,"OK",IF(M630&lt;&gt;"","EXPLAINED","CHECK"))</f>
        <v/>
      </c>
      <c r="M630" s="7" t="inlineStr"/>
    </row>
    <row r="631">
      <c r="A631" s="33" t="n">
        <v>45114</v>
      </c>
      <c r="B631" s="7" t="inlineStr">
        <is>
          <t>RWRP</t>
        </is>
      </c>
      <c r="C631" s="7" t="inlineStr">
        <is>
          <t>Jun-23</t>
        </is>
      </c>
      <c r="D631" s="35" t="n">
        <v>4.82</v>
      </c>
      <c r="E631" s="32" t="n">
        <v>0.124</v>
      </c>
      <c r="F631" s="35">
        <f>D631/(1+E631)</f>
        <v/>
      </c>
      <c r="G631" s="7" t="inlineStr">
        <is>
          <t>Jun-22</t>
        </is>
      </c>
      <c r="H631" s="35" t="n">
        <v>4.29</v>
      </c>
      <c r="I631" s="33" t="n">
        <v>44749</v>
      </c>
      <c r="J631" s="36">
        <f>F631-H631</f>
        <v/>
      </c>
      <c r="K631" s="16">
        <f>0.005/(1+E631)+D631*0.0005/(1+E631)^2+0.005</f>
        <v/>
      </c>
      <c r="L631" s="17">
        <f>IF(ABS(J631)&lt;=K631,"OK",IF(M631&lt;&gt;"","EXPLAINED","CHECK"))</f>
        <v/>
      </c>
      <c r="M631" s="7" t="inlineStr"/>
    </row>
    <row r="632">
      <c r="A632" s="33" t="n">
        <v>45114</v>
      </c>
      <c r="B632" s="7" t="inlineStr">
        <is>
          <t>RWRP</t>
        </is>
      </c>
      <c r="C632" s="7" t="inlineStr">
        <is>
          <t>May-23</t>
        </is>
      </c>
      <c r="D632" s="35" t="n">
        <v>3.46</v>
      </c>
      <c r="E632" s="32" t="n">
        <v>0.039</v>
      </c>
      <c r="F632" s="35">
        <f>D632/(1+E632)</f>
        <v/>
      </c>
      <c r="G632" s="7" t="inlineStr">
        <is>
          <t>May-22</t>
        </is>
      </c>
      <c r="H632" s="35" t="n">
        <v>3.33</v>
      </c>
      <c r="I632" s="33" t="n">
        <v>44749</v>
      </c>
      <c r="J632" s="36">
        <f>F632-H632</f>
        <v/>
      </c>
      <c r="K632" s="16">
        <f>0.005/(1+E632)+D632*0.0005/(1+E632)^2+0.005</f>
        <v/>
      </c>
      <c r="L632" s="17">
        <f>IF(ABS(J632)&lt;=K632,"OK",IF(M632&lt;&gt;"","EXPLAINED","CHECK"))</f>
        <v/>
      </c>
      <c r="M632" s="7" t="inlineStr"/>
    </row>
    <row r="633">
      <c r="A633" s="33" t="n">
        <v>45114</v>
      </c>
      <c r="B633" s="7" t="inlineStr">
        <is>
          <t>RWRP</t>
        </is>
      </c>
      <c r="C633" s="7" t="inlineStr">
        <is>
          <t>Apr-23</t>
        </is>
      </c>
      <c r="D633" s="35" t="n">
        <v>2.33</v>
      </c>
      <c r="E633" s="32" t="n">
        <v>-0.313</v>
      </c>
      <c r="F633" s="35">
        <f>D633/(1+E633)</f>
        <v/>
      </c>
      <c r="G633" s="7" t="inlineStr">
        <is>
          <t>Apr-22</t>
        </is>
      </c>
      <c r="H633" s="35" t="n">
        <v>3.39</v>
      </c>
      <c r="I633" s="33" t="n">
        <v>44749</v>
      </c>
      <c r="J633" s="36">
        <f>F633-H633</f>
        <v/>
      </c>
      <c r="K633" s="16">
        <f>0.005/(1+E633)+D633*0.0005/(1+E633)^2+0.005</f>
        <v/>
      </c>
      <c r="L633" s="17">
        <f>IF(ABS(J633)&lt;=K633,"OK",IF(M633&lt;&gt;"","EXPLAINED","CHECK"))</f>
        <v/>
      </c>
      <c r="M633" s="7" t="inlineStr"/>
    </row>
    <row r="634">
      <c r="A634" s="33" t="n">
        <v>45086</v>
      </c>
      <c r="B634" s="7" t="inlineStr">
        <is>
          <t>NB Sum Assured</t>
        </is>
      </c>
      <c r="C634" s="7" t="inlineStr">
        <is>
          <t>FY2023</t>
        </is>
      </c>
      <c r="D634" s="35" t="n">
        <v>10413.92</v>
      </c>
      <c r="E634" s="32" t="n">
        <v>0.347</v>
      </c>
      <c r="F634" s="35">
        <f>D634/(1+E634)</f>
        <v/>
      </c>
      <c r="G634" s="7" t="inlineStr">
        <is>
          <t>FY2022</t>
        </is>
      </c>
      <c r="H634" s="35" t="n">
        <v>7731.46</v>
      </c>
      <c r="I634" s="33" t="n">
        <v>44993</v>
      </c>
      <c r="J634" s="36">
        <f>F634-H634</f>
        <v/>
      </c>
      <c r="K634" s="16">
        <f>0.005/(1+E634)+D634*0.0005/(1+E634)^2+0.005</f>
        <v/>
      </c>
      <c r="L634" s="17">
        <f>IF(ABS(J634)&lt;=K634,"OK",IF(M634&lt;&gt;"","EXPLAINED","CHECK"))</f>
        <v/>
      </c>
      <c r="M634" s="7" t="inlineStr"/>
    </row>
    <row r="635">
      <c r="A635" s="33" t="n">
        <v>45086</v>
      </c>
      <c r="B635" s="7" t="inlineStr">
        <is>
          <t>NB Sum Assured</t>
        </is>
      </c>
      <c r="C635" s="7" t="inlineStr">
        <is>
          <t>May-23</t>
        </is>
      </c>
      <c r="D635" s="35" t="n">
        <v>811.22</v>
      </c>
      <c r="E635" s="32" t="n">
        <v>0.212</v>
      </c>
      <c r="F635" s="35">
        <f>D635/(1+E635)</f>
        <v/>
      </c>
      <c r="G635" s="7" t="inlineStr">
        <is>
          <t>May-22</t>
        </is>
      </c>
      <c r="H635" s="35" t="n">
        <v>669.2</v>
      </c>
      <c r="I635" s="33" t="n">
        <v>44749</v>
      </c>
      <c r="J635" s="36">
        <f>F635-H635</f>
        <v/>
      </c>
      <c r="K635" s="16">
        <f>0.005/(1+E635)+D635*0.0005/(1+E635)^2+0.005</f>
        <v/>
      </c>
      <c r="L635" s="17">
        <f>IF(ABS(J635)&lt;=K635,"OK",IF(M635&lt;&gt;"","EXPLAINED","CHECK"))</f>
        <v/>
      </c>
      <c r="M635" s="7" t="inlineStr"/>
    </row>
    <row r="636">
      <c r="A636" s="33" t="n">
        <v>45086</v>
      </c>
      <c r="B636" s="7" t="inlineStr">
        <is>
          <t>NB Sum Assured</t>
        </is>
      </c>
      <c r="C636" s="7" t="inlineStr">
        <is>
          <t>Apr-23</t>
        </is>
      </c>
      <c r="D636" s="35" t="n">
        <v>840.55</v>
      </c>
      <c r="E636" s="32" t="n">
        <v>-0.011</v>
      </c>
      <c r="F636" s="35">
        <f>D636/(1+E636)</f>
        <v/>
      </c>
      <c r="G636" s="7" t="inlineStr">
        <is>
          <t>Apr-22</t>
        </is>
      </c>
      <c r="H636" s="35" t="n">
        <v>849.54</v>
      </c>
      <c r="I636" s="33" t="n">
        <v>44749</v>
      </c>
      <c r="J636" s="36">
        <f>F636-H636</f>
        <v/>
      </c>
      <c r="K636" s="16">
        <f>0.005/(1+E636)+D636*0.0005/(1+E636)^2+0.005</f>
        <v/>
      </c>
      <c r="L636" s="17">
        <f>IF(ABS(J636)&lt;=K636,"OK",IF(M636&lt;&gt;"","EXPLAINED","CHECK"))</f>
        <v/>
      </c>
      <c r="M636" s="7" t="inlineStr"/>
    </row>
    <row r="637">
      <c r="A637" s="33" t="n">
        <v>45086</v>
      </c>
      <c r="B637" s="7" t="inlineStr">
        <is>
          <t>NB Premium</t>
        </is>
      </c>
      <c r="C637" s="7" t="inlineStr">
        <is>
          <t>FY2023</t>
        </is>
      </c>
      <c r="D637" s="35" t="n">
        <v>169.22</v>
      </c>
      <c r="E637" s="32" t="n">
        <v>0.125</v>
      </c>
      <c r="F637" s="35">
        <f>D637/(1+E637)</f>
        <v/>
      </c>
      <c r="G637" s="7" t="inlineStr">
        <is>
          <t>FY2022</t>
        </is>
      </c>
      <c r="H637" s="35" t="n">
        <v>150.36</v>
      </c>
      <c r="I637" s="33" t="n">
        <v>44993</v>
      </c>
      <c r="J637" s="36">
        <f>F637-H637</f>
        <v/>
      </c>
      <c r="K637" s="16">
        <f>0.005/(1+E637)+D637*0.0005/(1+E637)^2+0.005</f>
        <v/>
      </c>
      <c r="L637" s="17">
        <f>IF(ABS(J637)&lt;=K637,"OK",IF(M637&lt;&gt;"","EXPLAINED","CHECK"))</f>
        <v/>
      </c>
      <c r="M637" s="7" t="inlineStr"/>
    </row>
    <row r="638">
      <c r="A638" s="33" t="n">
        <v>45086</v>
      </c>
      <c r="B638" s="7" t="inlineStr">
        <is>
          <t>NB Premium</t>
        </is>
      </c>
      <c r="C638" s="7" t="inlineStr">
        <is>
          <t>May-23</t>
        </is>
      </c>
      <c r="D638" s="35" t="n">
        <v>9.94</v>
      </c>
      <c r="E638" s="32" t="n">
        <v>-0.185</v>
      </c>
      <c r="F638" s="35">
        <f>D638/(1+E638)</f>
        <v/>
      </c>
      <c r="G638" s="7" t="inlineStr">
        <is>
          <t>May-22</t>
        </is>
      </c>
      <c r="H638" s="35" t="n">
        <v>12.19</v>
      </c>
      <c r="I638" s="33" t="n">
        <v>44749</v>
      </c>
      <c r="J638" s="36">
        <f>F638-H638</f>
        <v/>
      </c>
      <c r="K638" s="16">
        <f>0.005/(1+E638)+D638*0.0005/(1+E638)^2+0.005</f>
        <v/>
      </c>
      <c r="L638" s="17">
        <f>IF(ABS(J638)&lt;=K638,"OK",IF(M638&lt;&gt;"","EXPLAINED","CHECK"))</f>
        <v/>
      </c>
      <c r="M638" s="7" t="inlineStr"/>
    </row>
    <row r="639">
      <c r="A639" s="33" t="n">
        <v>45086</v>
      </c>
      <c r="B639" s="7" t="inlineStr">
        <is>
          <t>NB Premium</t>
        </is>
      </c>
      <c r="C639" s="7" t="inlineStr">
        <is>
          <t>Apr-23</t>
        </is>
      </c>
      <c r="D639" s="35" t="n">
        <v>7.34</v>
      </c>
      <c r="E639" s="32" t="n">
        <v>-0.171</v>
      </c>
      <c r="F639" s="35">
        <f>D639/(1+E639)</f>
        <v/>
      </c>
      <c r="G639" s="7" t="inlineStr">
        <is>
          <t>Apr-22</t>
        </is>
      </c>
      <c r="H639" s="35" t="n">
        <v>8.85</v>
      </c>
      <c r="I639" s="33" t="n">
        <v>44749</v>
      </c>
      <c r="J639" s="36">
        <f>F639-H639</f>
        <v/>
      </c>
      <c r="K639" s="16">
        <f>0.005/(1+E639)+D639*0.0005/(1+E639)^2+0.005</f>
        <v/>
      </c>
      <c r="L639" s="17">
        <f>IF(ABS(J639)&lt;=K639,"OK",IF(M639&lt;&gt;"","EXPLAINED","CHECK"))</f>
        <v/>
      </c>
      <c r="M639" s="7" t="inlineStr"/>
    </row>
    <row r="640">
      <c r="A640" s="33" t="n">
        <v>45086</v>
      </c>
      <c r="B640" s="7" t="inlineStr">
        <is>
          <t>APE</t>
        </is>
      </c>
      <c r="C640" s="7" t="inlineStr">
        <is>
          <t>FY2023</t>
        </is>
      </c>
      <c r="D640" s="35" t="n">
        <v>86.40000000000001</v>
      </c>
      <c r="E640" s="32" t="n">
        <v>0.117</v>
      </c>
      <c r="F640" s="35">
        <f>D640/(1+E640)</f>
        <v/>
      </c>
      <c r="G640" s="7" t="inlineStr">
        <is>
          <t>FY2022</t>
        </is>
      </c>
      <c r="H640" s="35" t="n">
        <v>77.33</v>
      </c>
      <c r="I640" s="33" t="n">
        <v>44993</v>
      </c>
      <c r="J640" s="36">
        <f>F640-H640</f>
        <v/>
      </c>
      <c r="K640" s="16">
        <f>0.005/(1+E640)+D640*0.0005/(1+E640)^2+0.005</f>
        <v/>
      </c>
      <c r="L640" s="17">
        <f>IF(ABS(J640)&lt;=K640,"OK",IF(M640&lt;&gt;"","EXPLAINED","CHECK"))</f>
        <v/>
      </c>
      <c r="M640" s="7" t="inlineStr"/>
    </row>
    <row r="641">
      <c r="A641" s="33" t="n">
        <v>45086</v>
      </c>
      <c r="B641" s="7" t="inlineStr">
        <is>
          <t>APE</t>
        </is>
      </c>
      <c r="C641" s="7" t="inlineStr">
        <is>
          <t>May-23</t>
        </is>
      </c>
      <c r="D641" s="35" t="n">
        <v>4.66</v>
      </c>
      <c r="E641" s="32" t="n">
        <v>-0.011</v>
      </c>
      <c r="F641" s="35">
        <f>D641/(1+E641)</f>
        <v/>
      </c>
      <c r="G641" s="7" t="inlineStr">
        <is>
          <t>May-22</t>
        </is>
      </c>
      <c r="H641" s="35" t="n">
        <v>4.71</v>
      </c>
      <c r="I641" s="33" t="n">
        <v>44749</v>
      </c>
      <c r="J641" s="36">
        <f>F641-H641</f>
        <v/>
      </c>
      <c r="K641" s="16">
        <f>0.005/(1+E641)+D641*0.0005/(1+E641)^2+0.005</f>
        <v/>
      </c>
      <c r="L641" s="17">
        <f>IF(ABS(J641)&lt;=K641,"OK",IF(M641&lt;&gt;"","EXPLAINED","CHECK"))</f>
        <v/>
      </c>
      <c r="M641" s="7" t="inlineStr"/>
    </row>
    <row r="642">
      <c r="A642" s="33" t="n">
        <v>45086</v>
      </c>
      <c r="B642" s="7" t="inlineStr">
        <is>
          <t>APE</t>
        </is>
      </c>
      <c r="C642" s="7" t="inlineStr">
        <is>
          <t>Apr-23</t>
        </is>
      </c>
      <c r="D642" s="35" t="n">
        <v>3.68</v>
      </c>
      <c r="E642" s="32" t="n">
        <v>-0.243</v>
      </c>
      <c r="F642" s="35">
        <f>D642/(1+E642)</f>
        <v/>
      </c>
      <c r="G642" s="7" t="inlineStr">
        <is>
          <t>Apr-22</t>
        </is>
      </c>
      <c r="H642" s="35" t="n">
        <v>4.86</v>
      </c>
      <c r="I642" s="33" t="n">
        <v>44749</v>
      </c>
      <c r="J642" s="36">
        <f>F642-H642</f>
        <v/>
      </c>
      <c r="K642" s="16">
        <f>0.005/(1+E642)+D642*0.0005/(1+E642)^2+0.005</f>
        <v/>
      </c>
      <c r="L642" s="17">
        <f>IF(ABS(J642)&lt;=K642,"OK",IF(M642&lt;&gt;"","EXPLAINED","CHECK"))</f>
        <v/>
      </c>
      <c r="M642" s="7" t="inlineStr"/>
    </row>
    <row r="643">
      <c r="A643" s="33" t="n">
        <v>45086</v>
      </c>
      <c r="B643" s="7" t="inlineStr">
        <is>
          <t>RWRP</t>
        </is>
      </c>
      <c r="C643" s="7" t="inlineStr">
        <is>
          <t>FY2023</t>
        </is>
      </c>
      <c r="D643" s="35" t="n">
        <v>67.38</v>
      </c>
      <c r="E643" s="32" t="n">
        <v>0.07000000000000001</v>
      </c>
      <c r="F643" s="35">
        <f>D643/(1+E643)</f>
        <v/>
      </c>
      <c r="G643" s="7" t="inlineStr">
        <is>
          <t>FY2022</t>
        </is>
      </c>
      <c r="H643" s="35" t="n">
        <v>62.99</v>
      </c>
      <c r="I643" s="33" t="n">
        <v>44993</v>
      </c>
      <c r="J643" s="36">
        <f>F643-H643</f>
        <v/>
      </c>
      <c r="K643" s="16">
        <f>0.005/(1+E643)+D643*0.0005/(1+E643)^2+0.005</f>
        <v/>
      </c>
      <c r="L643" s="17">
        <f>IF(ABS(J643)&lt;=K643,"OK",IF(M643&lt;&gt;"","EXPLAINED","CHECK"))</f>
        <v/>
      </c>
      <c r="M643" s="7" t="inlineStr"/>
    </row>
    <row r="644">
      <c r="A644" s="33" t="n">
        <v>45086</v>
      </c>
      <c r="B644" s="7" t="inlineStr">
        <is>
          <t>RWRP</t>
        </is>
      </c>
      <c r="C644" s="7" t="inlineStr">
        <is>
          <t>May-23</t>
        </is>
      </c>
      <c r="D644" s="35" t="n">
        <v>3.46</v>
      </c>
      <c r="E644" s="32" t="n">
        <v>0.039</v>
      </c>
      <c r="F644" s="35">
        <f>D644/(1+E644)</f>
        <v/>
      </c>
      <c r="G644" s="7" t="inlineStr">
        <is>
          <t>May-22</t>
        </is>
      </c>
      <c r="H644" s="35" t="n">
        <v>3.33</v>
      </c>
      <c r="I644" s="33" t="n">
        <v>44749</v>
      </c>
      <c r="J644" s="36">
        <f>F644-H644</f>
        <v/>
      </c>
      <c r="K644" s="16">
        <f>0.005/(1+E644)+D644*0.0005/(1+E644)^2+0.005</f>
        <v/>
      </c>
      <c r="L644" s="17">
        <f>IF(ABS(J644)&lt;=K644,"OK",IF(M644&lt;&gt;"","EXPLAINED","CHECK"))</f>
        <v/>
      </c>
      <c r="M644" s="7" t="inlineStr"/>
    </row>
    <row r="645">
      <c r="A645" s="33" t="n">
        <v>45086</v>
      </c>
      <c r="B645" s="7" t="inlineStr">
        <is>
          <t>RWRP</t>
        </is>
      </c>
      <c r="C645" s="7" t="inlineStr">
        <is>
          <t>Apr-23</t>
        </is>
      </c>
      <c r="D645" s="35" t="n">
        <v>2.33</v>
      </c>
      <c r="E645" s="32" t="n">
        <v>-0.313</v>
      </c>
      <c r="F645" s="35">
        <f>D645/(1+E645)</f>
        <v/>
      </c>
      <c r="G645" s="7" t="inlineStr">
        <is>
          <t>Apr-22</t>
        </is>
      </c>
      <c r="H645" s="35" t="n">
        <v>3.39</v>
      </c>
      <c r="I645" s="33" t="n">
        <v>44749</v>
      </c>
      <c r="J645" s="36">
        <f>F645-H645</f>
        <v/>
      </c>
      <c r="K645" s="16">
        <f>0.005/(1+E645)+D645*0.0005/(1+E645)^2+0.005</f>
        <v/>
      </c>
      <c r="L645" s="17">
        <f>IF(ABS(J645)&lt;=K645,"OK",IF(M645&lt;&gt;"","EXPLAINED","CHECK"))</f>
        <v/>
      </c>
      <c r="M645" s="7" t="inlineStr"/>
    </row>
    <row r="646">
      <c r="A646" s="33" t="n">
        <v>45058</v>
      </c>
      <c r="B646" s="7" t="inlineStr">
        <is>
          <t>NB Sum Assured</t>
        </is>
      </c>
      <c r="C646" s="7" t="inlineStr">
        <is>
          <t>FY2023</t>
        </is>
      </c>
      <c r="D646" s="35" t="n">
        <v>10413.92</v>
      </c>
      <c r="E646" s="32" t="n">
        <v>0.347</v>
      </c>
      <c r="F646" s="35">
        <f>D646/(1+E646)</f>
        <v/>
      </c>
      <c r="G646" s="7" t="inlineStr">
        <is>
          <t>FY2022</t>
        </is>
      </c>
      <c r="H646" s="35" t="n">
        <v>7731.46</v>
      </c>
      <c r="I646" s="33" t="n">
        <v>44993</v>
      </c>
      <c r="J646" s="36">
        <f>F646-H646</f>
        <v/>
      </c>
      <c r="K646" s="16">
        <f>0.005/(1+E646)+D646*0.0005/(1+E646)^2+0.005</f>
        <v/>
      </c>
      <c r="L646" s="17">
        <f>IF(ABS(J646)&lt;=K646,"OK",IF(M646&lt;&gt;"","EXPLAINED","CHECK"))</f>
        <v/>
      </c>
      <c r="M646" s="7" t="inlineStr"/>
    </row>
    <row r="647">
      <c r="A647" s="33" t="n">
        <v>45058</v>
      </c>
      <c r="B647" s="7" t="inlineStr">
        <is>
          <t>NB Sum Assured</t>
        </is>
      </c>
      <c r="C647" s="7" t="inlineStr">
        <is>
          <t>Apr-23</t>
        </is>
      </c>
      <c r="D647" s="35" t="n">
        <v>840.55</v>
      </c>
      <c r="E647" s="32" t="n">
        <v>-0.011</v>
      </c>
      <c r="F647" s="35">
        <f>D647/(1+E647)</f>
        <v/>
      </c>
      <c r="G647" s="7" t="inlineStr">
        <is>
          <t>Apr-22</t>
        </is>
      </c>
      <c r="H647" s="35" t="n">
        <v>849.54</v>
      </c>
      <c r="I647" s="33" t="n">
        <v>44749</v>
      </c>
      <c r="J647" s="36">
        <f>F647-H647</f>
        <v/>
      </c>
      <c r="K647" s="16">
        <f>0.005/(1+E647)+D647*0.0005/(1+E647)^2+0.005</f>
        <v/>
      </c>
      <c r="L647" s="17">
        <f>IF(ABS(J647)&lt;=K647,"OK",IF(M647&lt;&gt;"","EXPLAINED","CHECK"))</f>
        <v/>
      </c>
      <c r="M647" s="7" t="inlineStr"/>
    </row>
    <row r="648">
      <c r="A648" s="33" t="n">
        <v>45058</v>
      </c>
      <c r="B648" s="7" t="inlineStr">
        <is>
          <t>NB Premium</t>
        </is>
      </c>
      <c r="C648" s="7" t="inlineStr">
        <is>
          <t>FY2023</t>
        </is>
      </c>
      <c r="D648" s="35" t="n">
        <v>169.22</v>
      </c>
      <c r="E648" s="32" t="n">
        <v>0.125</v>
      </c>
      <c r="F648" s="35">
        <f>D648/(1+E648)</f>
        <v/>
      </c>
      <c r="G648" s="7" t="inlineStr">
        <is>
          <t>FY2022</t>
        </is>
      </c>
      <c r="H648" s="35" t="n">
        <v>150.36</v>
      </c>
      <c r="I648" s="33" t="n">
        <v>44993</v>
      </c>
      <c r="J648" s="36">
        <f>F648-H648</f>
        <v/>
      </c>
      <c r="K648" s="16">
        <f>0.005/(1+E648)+D648*0.0005/(1+E648)^2+0.005</f>
        <v/>
      </c>
      <c r="L648" s="17">
        <f>IF(ABS(J648)&lt;=K648,"OK",IF(M648&lt;&gt;"","EXPLAINED","CHECK"))</f>
        <v/>
      </c>
      <c r="M648" s="7" t="inlineStr"/>
    </row>
    <row r="649">
      <c r="A649" s="33" t="n">
        <v>45058</v>
      </c>
      <c r="B649" s="7" t="inlineStr">
        <is>
          <t>NB Premium</t>
        </is>
      </c>
      <c r="C649" s="7" t="inlineStr">
        <is>
          <t>Apr-23</t>
        </is>
      </c>
      <c r="D649" s="35" t="n">
        <v>7.34</v>
      </c>
      <c r="E649" s="32" t="n">
        <v>-0.171</v>
      </c>
      <c r="F649" s="35">
        <f>D649/(1+E649)</f>
        <v/>
      </c>
      <c r="G649" s="7" t="inlineStr">
        <is>
          <t>Apr-22</t>
        </is>
      </c>
      <c r="H649" s="35" t="n">
        <v>8.85</v>
      </c>
      <c r="I649" s="33" t="n">
        <v>44749</v>
      </c>
      <c r="J649" s="36">
        <f>F649-H649</f>
        <v/>
      </c>
      <c r="K649" s="16">
        <f>0.005/(1+E649)+D649*0.0005/(1+E649)^2+0.005</f>
        <v/>
      </c>
      <c r="L649" s="17">
        <f>IF(ABS(J649)&lt;=K649,"OK",IF(M649&lt;&gt;"","EXPLAINED","CHECK"))</f>
        <v/>
      </c>
      <c r="M649" s="7" t="inlineStr"/>
    </row>
    <row r="650">
      <c r="A650" s="33" t="n">
        <v>45058</v>
      </c>
      <c r="B650" s="7" t="inlineStr">
        <is>
          <t>APE</t>
        </is>
      </c>
      <c r="C650" s="7" t="inlineStr">
        <is>
          <t>FY2023</t>
        </is>
      </c>
      <c r="D650" s="35" t="n">
        <v>86.40000000000001</v>
      </c>
      <c r="E650" s="32" t="n">
        <v>0.117</v>
      </c>
      <c r="F650" s="35">
        <f>D650/(1+E650)</f>
        <v/>
      </c>
      <c r="G650" s="7" t="inlineStr">
        <is>
          <t>FY2022</t>
        </is>
      </c>
      <c r="H650" s="35" t="n">
        <v>77.33</v>
      </c>
      <c r="I650" s="33" t="n">
        <v>44993</v>
      </c>
      <c r="J650" s="36">
        <f>F650-H650</f>
        <v/>
      </c>
      <c r="K650" s="16">
        <f>0.005/(1+E650)+D650*0.0005/(1+E650)^2+0.005</f>
        <v/>
      </c>
      <c r="L650" s="17">
        <f>IF(ABS(J650)&lt;=K650,"OK",IF(M650&lt;&gt;"","EXPLAINED","CHECK"))</f>
        <v/>
      </c>
      <c r="M650" s="7" t="inlineStr"/>
    </row>
    <row r="651">
      <c r="A651" s="33" t="n">
        <v>45058</v>
      </c>
      <c r="B651" s="7" t="inlineStr">
        <is>
          <t>APE</t>
        </is>
      </c>
      <c r="C651" s="7" t="inlineStr">
        <is>
          <t>Apr-23</t>
        </is>
      </c>
      <c r="D651" s="35" t="n">
        <v>3.68</v>
      </c>
      <c r="E651" s="32" t="n">
        <v>-0.243</v>
      </c>
      <c r="F651" s="35">
        <f>D651/(1+E651)</f>
        <v/>
      </c>
      <c r="G651" s="7" t="inlineStr">
        <is>
          <t>Apr-22</t>
        </is>
      </c>
      <c r="H651" s="35" t="n">
        <v>4.86</v>
      </c>
      <c r="I651" s="33" t="n">
        <v>44749</v>
      </c>
      <c r="J651" s="36">
        <f>F651-H651</f>
        <v/>
      </c>
      <c r="K651" s="16">
        <f>0.005/(1+E651)+D651*0.0005/(1+E651)^2+0.005</f>
        <v/>
      </c>
      <c r="L651" s="17">
        <f>IF(ABS(J651)&lt;=K651,"OK",IF(M651&lt;&gt;"","EXPLAINED","CHECK"))</f>
        <v/>
      </c>
      <c r="M651" s="7" t="inlineStr"/>
    </row>
    <row r="652">
      <c r="A652" s="33" t="n">
        <v>45058</v>
      </c>
      <c r="B652" s="7" t="inlineStr">
        <is>
          <t>RWRP</t>
        </is>
      </c>
      <c r="C652" s="7" t="inlineStr">
        <is>
          <t>FY2023</t>
        </is>
      </c>
      <c r="D652" s="35" t="n">
        <v>67.38</v>
      </c>
      <c r="E652" s="32" t="n">
        <v>0.07000000000000001</v>
      </c>
      <c r="F652" s="35">
        <f>D652/(1+E652)</f>
        <v/>
      </c>
      <c r="G652" s="7" t="inlineStr">
        <is>
          <t>FY2022</t>
        </is>
      </c>
      <c r="H652" s="35" t="n">
        <v>62.99</v>
      </c>
      <c r="I652" s="33" t="n">
        <v>44993</v>
      </c>
      <c r="J652" s="36">
        <f>F652-H652</f>
        <v/>
      </c>
      <c r="K652" s="16">
        <f>0.005/(1+E652)+D652*0.0005/(1+E652)^2+0.005</f>
        <v/>
      </c>
      <c r="L652" s="17">
        <f>IF(ABS(J652)&lt;=K652,"OK",IF(M652&lt;&gt;"","EXPLAINED","CHECK"))</f>
        <v/>
      </c>
      <c r="M652" s="7" t="inlineStr"/>
    </row>
    <row r="653">
      <c r="A653" s="33" t="n">
        <v>45058</v>
      </c>
      <c r="B653" s="7" t="inlineStr">
        <is>
          <t>RWRP</t>
        </is>
      </c>
      <c r="C653" s="7" t="inlineStr">
        <is>
          <t>Apr-23</t>
        </is>
      </c>
      <c r="D653" s="35" t="n">
        <v>2.33</v>
      </c>
      <c r="E653" s="32" t="n">
        <v>-0.313</v>
      </c>
      <c r="F653" s="35">
        <f>D653/(1+E653)</f>
        <v/>
      </c>
      <c r="G653" s="7" t="inlineStr">
        <is>
          <t>Apr-22</t>
        </is>
      </c>
      <c r="H653" s="35" t="n">
        <v>3.39</v>
      </c>
      <c r="I653" s="33" t="n">
        <v>44749</v>
      </c>
      <c r="J653" s="36">
        <f>F653-H653</f>
        <v/>
      </c>
      <c r="K653" s="16">
        <f>0.005/(1+E653)+D653*0.0005/(1+E653)^2+0.005</f>
        <v/>
      </c>
      <c r="L653" s="17">
        <f>IF(ABS(J653)&lt;=K653,"OK",IF(M653&lt;&gt;"","EXPLAINED","CHECK"))</f>
        <v/>
      </c>
      <c r="M653" s="7" t="inlineStr"/>
    </row>
    <row r="654">
      <c r="A654" s="33" t="n">
        <v>44993</v>
      </c>
      <c r="B654" s="7" t="inlineStr">
        <is>
          <t>NB Sum Assured</t>
        </is>
      </c>
      <c r="C654" s="7" t="inlineStr">
        <is>
          <t>FY2022</t>
        </is>
      </c>
      <c r="D654" s="35" t="n">
        <v>7731.46</v>
      </c>
      <c r="E654" s="32" t="n">
        <v>0.254</v>
      </c>
      <c r="F654" s="35">
        <f>D654/(1+E654)</f>
        <v/>
      </c>
      <c r="G654" s="7" t="inlineStr">
        <is>
          <t>FY2021</t>
        </is>
      </c>
      <c r="H654" s="35" t="n">
        <v>6166.84</v>
      </c>
      <c r="I654" s="33" t="n">
        <v>44627</v>
      </c>
      <c r="J654" s="36">
        <f>F654-H654</f>
        <v/>
      </c>
      <c r="K654" s="16">
        <f>0.005/(1+E654)+D654*0.0005/(1+E654)^2+0.005</f>
        <v/>
      </c>
      <c r="L654" s="17">
        <f>IF(ABS(J654)&lt;=K654,"OK",IF(M654&lt;&gt;"","EXPLAINED","CHECK"))</f>
        <v/>
      </c>
      <c r="M654" s="7" t="inlineStr"/>
    </row>
    <row r="655">
      <c r="A655" s="33" t="n">
        <v>44993</v>
      </c>
      <c r="B655" s="7" t="inlineStr">
        <is>
          <t>NB Sum Assured</t>
        </is>
      </c>
      <c r="C655" s="7" t="inlineStr">
        <is>
          <t>11M-FY2023</t>
        </is>
      </c>
      <c r="D655" s="35" t="n">
        <v>9313.379999999999</v>
      </c>
      <c r="E655" s="32" t="n">
        <v>0.3720000000000001</v>
      </c>
      <c r="F655" s="35">
        <f>D655/(1+E655)</f>
        <v/>
      </c>
      <c r="G655" s="7" t="inlineStr">
        <is>
          <t>11M-FY2022</t>
        </is>
      </c>
      <c r="H655" s="35" t="n">
        <v>6790.52</v>
      </c>
      <c r="I655" s="33" t="n">
        <v>44627</v>
      </c>
      <c r="J655" s="36">
        <f>F655-H655</f>
        <v/>
      </c>
      <c r="K655" s="16">
        <f>0.005/(1+E655)+D655*0.0005/(1+E655)^2+0.005</f>
        <v/>
      </c>
      <c r="L655" s="17">
        <f>IF(ABS(J655)&lt;=K655,"OK",IF(M655&lt;&gt;"","EXPLAINED","CHECK"))</f>
        <v/>
      </c>
      <c r="M655" s="7" t="inlineStr"/>
    </row>
    <row r="656">
      <c r="A656" s="33" t="n">
        <v>44993</v>
      </c>
      <c r="B656" s="7" t="inlineStr">
        <is>
          <t>NB Sum Assured</t>
        </is>
      </c>
      <c r="C656" s="7" t="inlineStr">
        <is>
          <t>Feb-23</t>
        </is>
      </c>
      <c r="D656" s="35" t="n">
        <v>976.46</v>
      </c>
      <c r="E656" s="32" t="n">
        <v>0.6709999999999999</v>
      </c>
      <c r="F656" s="35">
        <f>D656/(1+E656)</f>
        <v/>
      </c>
      <c r="G656" s="7" t="inlineStr">
        <is>
          <t>Feb-22</t>
        </is>
      </c>
      <c r="H656" s="35" t="n">
        <v>584.1799999999999</v>
      </c>
      <c r="I656" s="33" t="n">
        <v>44627</v>
      </c>
      <c r="J656" s="36">
        <f>F656-H656</f>
        <v/>
      </c>
      <c r="K656" s="16">
        <f>0.005/(1+E656)+D656*0.0005/(1+E656)^2+0.005</f>
        <v/>
      </c>
      <c r="L656" s="17">
        <f>IF(ABS(J656)&lt;=K656,"OK",IF(M656&lt;&gt;"","EXPLAINED","CHECK"))</f>
        <v/>
      </c>
      <c r="M656" s="7" t="inlineStr"/>
    </row>
    <row r="657">
      <c r="A657" s="33" t="n">
        <v>44993</v>
      </c>
      <c r="B657" s="7" t="inlineStr">
        <is>
          <t>NB Sum Assured</t>
        </is>
      </c>
      <c r="C657" s="7" t="inlineStr">
        <is>
          <t>Jan-23</t>
        </is>
      </c>
      <c r="D657" s="35" t="n">
        <v>1415</v>
      </c>
      <c r="E657" s="32" t="n">
        <v>0.317</v>
      </c>
      <c r="F657" s="35">
        <f>D657/(1+E657)</f>
        <v/>
      </c>
      <c r="G657" s="7" t="inlineStr">
        <is>
          <t>Jan-22</t>
        </is>
      </c>
      <c r="H657" s="35" t="n">
        <v>1074.7</v>
      </c>
      <c r="I657" s="33" t="n">
        <v>44627</v>
      </c>
      <c r="J657" s="36">
        <f>F657-H657</f>
        <v/>
      </c>
      <c r="K657" s="16">
        <f>0.005/(1+E657)+D657*0.0005/(1+E657)^2+0.005</f>
        <v/>
      </c>
      <c r="L657" s="17">
        <f>IF(ABS(J657)&lt;=K657,"OK",IF(M657&lt;&gt;"","EXPLAINED","CHECK"))</f>
        <v/>
      </c>
      <c r="M657" s="7" t="inlineStr"/>
    </row>
    <row r="658">
      <c r="A658" s="33" t="n">
        <v>44993</v>
      </c>
      <c r="B658" s="7" t="inlineStr">
        <is>
          <t>NB Premium</t>
        </is>
      </c>
      <c r="C658" s="7" t="inlineStr">
        <is>
          <t>FY2022</t>
        </is>
      </c>
      <c r="D658" s="35" t="n">
        <v>150.36</v>
      </c>
      <c r="E658" s="32" t="n">
        <v>0.154</v>
      </c>
      <c r="F658" s="35">
        <f>D658/(1+E658)</f>
        <v/>
      </c>
      <c r="G658" s="7" t="inlineStr">
        <is>
          <t>FY2021</t>
        </is>
      </c>
      <c r="H658" s="35" t="n">
        <v>130.32</v>
      </c>
      <c r="I658" s="33" t="n">
        <v>44627</v>
      </c>
      <c r="J658" s="36">
        <f>F658-H658</f>
        <v/>
      </c>
      <c r="K658" s="16">
        <f>0.005/(1+E658)+D658*0.0005/(1+E658)^2+0.005</f>
        <v/>
      </c>
      <c r="L658" s="17">
        <f>IF(ABS(J658)&lt;=K658,"OK",IF(M658&lt;&gt;"","EXPLAINED","CHECK"))</f>
        <v/>
      </c>
      <c r="M658" s="7" t="inlineStr"/>
    </row>
    <row r="659">
      <c r="A659" s="33" t="n">
        <v>44993</v>
      </c>
      <c r="B659" s="7" t="inlineStr">
        <is>
          <t>NB Premium</t>
        </is>
      </c>
      <c r="C659" s="7" t="inlineStr">
        <is>
          <t>11M-FY2023</t>
        </is>
      </c>
      <c r="D659" s="35" t="n">
        <v>140.57</v>
      </c>
      <c r="E659" s="32" t="n">
        <v>0.094</v>
      </c>
      <c r="F659" s="35">
        <f>D659/(1+E659)</f>
        <v/>
      </c>
      <c r="G659" s="7" t="inlineStr">
        <is>
          <t>11M-FY2022</t>
        </is>
      </c>
      <c r="H659" s="35" t="n">
        <v>128.45</v>
      </c>
      <c r="I659" s="33" t="n">
        <v>44627</v>
      </c>
      <c r="J659" s="36">
        <f>F659-H659</f>
        <v/>
      </c>
      <c r="K659" s="16">
        <f>0.005/(1+E659)+D659*0.0005/(1+E659)^2+0.005</f>
        <v/>
      </c>
      <c r="L659" s="17">
        <f>IF(ABS(J659)&lt;=K659,"OK",IF(M659&lt;&gt;"","EXPLAINED","CHECK"))</f>
        <v/>
      </c>
      <c r="M659" s="7" t="inlineStr"/>
    </row>
    <row r="660">
      <c r="A660" s="33" t="n">
        <v>44993</v>
      </c>
      <c r="B660" s="7" t="inlineStr">
        <is>
          <t>NB Premium</t>
        </is>
      </c>
      <c r="C660" s="7" t="inlineStr">
        <is>
          <t>Feb-23</t>
        </is>
      </c>
      <c r="D660" s="35" t="n">
        <v>13.3</v>
      </c>
      <c r="E660" s="32" t="n">
        <v>-0.006999999999999999</v>
      </c>
      <c r="F660" s="35">
        <f>D660/(1+E660)</f>
        <v/>
      </c>
      <c r="G660" s="7" t="inlineStr">
        <is>
          <t>Feb-22</t>
        </is>
      </c>
      <c r="H660" s="35" t="n">
        <v>13.4</v>
      </c>
      <c r="I660" s="33" t="n">
        <v>44627</v>
      </c>
      <c r="J660" s="36">
        <f>F660-H660</f>
        <v/>
      </c>
      <c r="K660" s="16">
        <f>0.005/(1+E660)+D660*0.0005/(1+E660)^2+0.005</f>
        <v/>
      </c>
      <c r="L660" s="17">
        <f>IF(ABS(J660)&lt;=K660,"OK",IF(M660&lt;&gt;"","EXPLAINED","CHECK"))</f>
        <v/>
      </c>
      <c r="M660" s="7" t="inlineStr"/>
    </row>
    <row r="661">
      <c r="A661" s="33" t="n">
        <v>44993</v>
      </c>
      <c r="B661" s="7" t="inlineStr">
        <is>
          <t>NB Premium</t>
        </is>
      </c>
      <c r="C661" s="7" t="inlineStr">
        <is>
          <t>Jan-23</t>
        </is>
      </c>
      <c r="D661" s="35" t="n">
        <v>14.39</v>
      </c>
      <c r="E661" s="32" t="n">
        <v>0.145</v>
      </c>
      <c r="F661" s="35">
        <f>D661/(1+E661)</f>
        <v/>
      </c>
      <c r="G661" s="7" t="inlineStr">
        <is>
          <t>Jan-22</t>
        </is>
      </c>
      <c r="H661" s="35" t="n">
        <v>12.57</v>
      </c>
      <c r="I661" s="33" t="n">
        <v>44627</v>
      </c>
      <c r="J661" s="36">
        <f>F661-H661</f>
        <v/>
      </c>
      <c r="K661" s="16">
        <f>0.005/(1+E661)+D661*0.0005/(1+E661)^2+0.005</f>
        <v/>
      </c>
      <c r="L661" s="17">
        <f>IF(ABS(J661)&lt;=K661,"OK",IF(M661&lt;&gt;"","EXPLAINED","CHECK"))</f>
        <v/>
      </c>
      <c r="M661" s="7" t="inlineStr"/>
    </row>
    <row r="662">
      <c r="A662" s="33" t="n">
        <v>44993</v>
      </c>
      <c r="B662" s="7" t="inlineStr">
        <is>
          <t>APE</t>
        </is>
      </c>
      <c r="C662" s="7" t="inlineStr">
        <is>
          <t>FY2022</t>
        </is>
      </c>
      <c r="D662" s="35" t="n">
        <v>77.33</v>
      </c>
      <c r="E662" s="32" t="n">
        <v>0.197</v>
      </c>
      <c r="F662" s="35">
        <f>D662/(1+E662)</f>
        <v/>
      </c>
      <c r="G662" s="7" t="inlineStr">
        <is>
          <t>FY2021</t>
        </is>
      </c>
      <c r="H662" s="35" t="n">
        <v>64.62</v>
      </c>
      <c r="I662" s="33" t="n">
        <v>44627</v>
      </c>
      <c r="J662" s="36">
        <f>F662-H662</f>
        <v/>
      </c>
      <c r="K662" s="16">
        <f>0.005/(1+E662)+D662*0.0005/(1+E662)^2+0.005</f>
        <v/>
      </c>
      <c r="L662" s="17">
        <f>IF(ABS(J662)&lt;=K662,"OK",IF(M662&lt;&gt;"","EXPLAINED","CHECK"))</f>
        <v/>
      </c>
      <c r="M662" s="7" t="inlineStr"/>
    </row>
    <row r="663">
      <c r="A663" s="33" t="n">
        <v>44993</v>
      </c>
      <c r="B663" s="7" t="inlineStr">
        <is>
          <t>APE</t>
        </is>
      </c>
      <c r="C663" s="7" t="inlineStr">
        <is>
          <t>11M-FY2023</t>
        </is>
      </c>
      <c r="D663" s="35" t="n">
        <v>68.34999999999999</v>
      </c>
      <c r="E663" s="32" t="n">
        <v>0.043</v>
      </c>
      <c r="F663" s="35">
        <f>D663/(1+E663)</f>
        <v/>
      </c>
      <c r="G663" s="7" t="inlineStr">
        <is>
          <t>11M-FY2022</t>
        </is>
      </c>
      <c r="H663" s="35" t="n">
        <v>65.52</v>
      </c>
      <c r="I663" s="33" t="n">
        <v>44627</v>
      </c>
      <c r="J663" s="36">
        <f>F663-H663</f>
        <v/>
      </c>
      <c r="K663" s="16">
        <f>0.005/(1+E663)+D663*0.0005/(1+E663)^2+0.005</f>
        <v/>
      </c>
      <c r="L663" s="17">
        <f>IF(ABS(J663)&lt;=K663,"OK",IF(M663&lt;&gt;"","EXPLAINED","CHECK"))</f>
        <v/>
      </c>
      <c r="M663" s="7" t="inlineStr"/>
    </row>
    <row r="664">
      <c r="A664" s="33" t="n">
        <v>44993</v>
      </c>
      <c r="B664" s="7" t="inlineStr">
        <is>
          <t>APE</t>
        </is>
      </c>
      <c r="C664" s="7" t="inlineStr">
        <is>
          <t>Feb-23</t>
        </is>
      </c>
      <c r="D664" s="35" t="n">
        <v>7.46</v>
      </c>
      <c r="E664" s="32" t="n">
        <v>0.06</v>
      </c>
      <c r="F664" s="35">
        <f>D664/(1+E664)</f>
        <v/>
      </c>
      <c r="G664" s="7" t="inlineStr">
        <is>
          <t>Feb-22</t>
        </is>
      </c>
      <c r="H664" s="35" t="n">
        <v>7.04</v>
      </c>
      <c r="I664" s="33" t="n">
        <v>44627</v>
      </c>
      <c r="J664" s="36">
        <f>F664-H664</f>
        <v/>
      </c>
      <c r="K664" s="16">
        <f>0.005/(1+E664)+D664*0.0005/(1+E664)^2+0.005</f>
        <v/>
      </c>
      <c r="L664" s="17">
        <f>IF(ABS(J664)&lt;=K664,"OK",IF(M664&lt;&gt;"","EXPLAINED","CHECK"))</f>
        <v/>
      </c>
      <c r="M664" s="7" t="inlineStr"/>
    </row>
    <row r="665">
      <c r="A665" s="33" t="n">
        <v>44993</v>
      </c>
      <c r="B665" s="7" t="inlineStr">
        <is>
          <t>APE</t>
        </is>
      </c>
      <c r="C665" s="7" t="inlineStr">
        <is>
          <t>Jan-23</t>
        </is>
      </c>
      <c r="D665" s="35" t="n">
        <v>7.49</v>
      </c>
      <c r="E665" s="32" t="n">
        <v>0.035</v>
      </c>
      <c r="F665" s="35">
        <f>D665/(1+E665)</f>
        <v/>
      </c>
      <c r="G665" s="7" t="inlineStr">
        <is>
          <t>Jan-22</t>
        </is>
      </c>
      <c r="H665" s="35" t="n">
        <v>7.24</v>
      </c>
      <c r="I665" s="33" t="n">
        <v>44627</v>
      </c>
      <c r="J665" s="36">
        <f>F665-H665</f>
        <v/>
      </c>
      <c r="K665" s="16">
        <f>0.005/(1+E665)+D665*0.0005/(1+E665)^2+0.005</f>
        <v/>
      </c>
      <c r="L665" s="17">
        <f>IF(ABS(J665)&lt;=K665,"OK",IF(M665&lt;&gt;"","EXPLAINED","CHECK"))</f>
        <v/>
      </c>
      <c r="M665" s="7" t="inlineStr"/>
    </row>
    <row r="666">
      <c r="A666" s="33" t="n">
        <v>44993</v>
      </c>
      <c r="B666" s="7" t="inlineStr">
        <is>
          <t>RWRP</t>
        </is>
      </c>
      <c r="C666" s="7" t="inlineStr">
        <is>
          <t>FY2022</t>
        </is>
      </c>
      <c r="D666" s="35" t="n">
        <v>62.99</v>
      </c>
      <c r="E666" s="32" t="n">
        <v>0.155</v>
      </c>
      <c r="F666" s="35">
        <f>D666/(1+E666)</f>
        <v/>
      </c>
      <c r="G666" s="7" t="inlineStr">
        <is>
          <t>FY2021</t>
        </is>
      </c>
      <c r="H666" s="35" t="n">
        <v>54.54</v>
      </c>
      <c r="I666" s="33" t="n">
        <v>44627</v>
      </c>
      <c r="J666" s="36">
        <f>F666-H666</f>
        <v/>
      </c>
      <c r="K666" s="16">
        <f>0.005/(1+E666)+D666*0.0005/(1+E666)^2+0.005</f>
        <v/>
      </c>
      <c r="L666" s="17">
        <f>IF(ABS(J666)&lt;=K666,"OK",IF(M666&lt;&gt;"","EXPLAINED","CHECK"))</f>
        <v/>
      </c>
      <c r="M666" s="7" t="inlineStr"/>
    </row>
    <row r="667">
      <c r="A667" s="33" t="n">
        <v>44993</v>
      </c>
      <c r="B667" s="7" t="inlineStr">
        <is>
          <t>RWRP</t>
        </is>
      </c>
      <c r="C667" s="7" t="inlineStr">
        <is>
          <t>11M-FY2023</t>
        </is>
      </c>
      <c r="D667" s="35" t="n">
        <v>52.15</v>
      </c>
      <c r="E667" s="32" t="n">
        <v>-0.024</v>
      </c>
      <c r="F667" s="35">
        <f>D667/(1+E667)</f>
        <v/>
      </c>
      <c r="G667" s="7" t="inlineStr">
        <is>
          <t>11M-FY2022</t>
        </is>
      </c>
      <c r="H667" s="35" t="n">
        <v>53.41</v>
      </c>
      <c r="I667" s="33" t="n">
        <v>44627</v>
      </c>
      <c r="J667" s="36">
        <f>F667-H667</f>
        <v/>
      </c>
      <c r="K667" s="16">
        <f>0.005/(1+E667)+D667*0.0005/(1+E667)^2+0.005</f>
        <v/>
      </c>
      <c r="L667" s="17">
        <f>IF(ABS(J667)&lt;=K667,"OK",IF(M667&lt;&gt;"","EXPLAINED","CHECK"))</f>
        <v/>
      </c>
      <c r="M667" s="7" t="inlineStr"/>
    </row>
    <row r="668">
      <c r="A668" s="33" t="n">
        <v>44993</v>
      </c>
      <c r="B668" s="7" t="inlineStr">
        <is>
          <t>RWRP</t>
        </is>
      </c>
      <c r="C668" s="7" t="inlineStr">
        <is>
          <t>Feb-23</t>
        </is>
      </c>
      <c r="D668" s="35" t="n">
        <v>6.25</v>
      </c>
      <c r="E668" s="32" t="n">
        <v>0.07400000000000001</v>
      </c>
      <c r="F668" s="35">
        <f>D668/(1+E668)</f>
        <v/>
      </c>
      <c r="G668" s="7" t="inlineStr">
        <is>
          <t>Feb-22</t>
        </is>
      </c>
      <c r="H668" s="35" t="n">
        <v>5.82</v>
      </c>
      <c r="I668" s="33" t="n">
        <v>44627</v>
      </c>
      <c r="J668" s="36">
        <f>F668-H668</f>
        <v/>
      </c>
      <c r="K668" s="16">
        <f>0.005/(1+E668)+D668*0.0005/(1+E668)^2+0.005</f>
        <v/>
      </c>
      <c r="L668" s="17">
        <f>IF(ABS(J668)&lt;=K668,"OK",IF(M668&lt;&gt;"","EXPLAINED","CHECK"))</f>
        <v/>
      </c>
      <c r="M668" s="7" t="inlineStr"/>
    </row>
    <row r="669">
      <c r="A669" s="33" t="n">
        <v>44993</v>
      </c>
      <c r="B669" s="7" t="inlineStr">
        <is>
          <t>RWRP</t>
        </is>
      </c>
      <c r="C669" s="7" t="inlineStr">
        <is>
          <t>Jan-23</t>
        </is>
      </c>
      <c r="D669" s="35" t="n">
        <v>5.42</v>
      </c>
      <c r="E669" s="32" t="n">
        <v>0.014</v>
      </c>
      <c r="F669" s="35">
        <f>D669/(1+E669)</f>
        <v/>
      </c>
      <c r="G669" s="7" t="inlineStr">
        <is>
          <t>Jan-22</t>
        </is>
      </c>
      <c r="H669" s="35" t="n">
        <v>5.34</v>
      </c>
      <c r="I669" s="33" t="n">
        <v>44627</v>
      </c>
      <c r="J669" s="36">
        <f>F669-H669</f>
        <v/>
      </c>
      <c r="K669" s="16">
        <f>0.005/(1+E669)+D669*0.0005/(1+E669)^2+0.005</f>
        <v/>
      </c>
      <c r="L669" s="17">
        <f>IF(ABS(J669)&lt;=K669,"OK",IF(M669&lt;&gt;"","EXPLAINED","CHECK"))</f>
        <v/>
      </c>
      <c r="M669" s="7" t="inlineStr"/>
    </row>
    <row r="670">
      <c r="A670" s="33" t="n">
        <v>44964</v>
      </c>
      <c r="B670" s="7" t="inlineStr">
        <is>
          <t>NB Sum Assured</t>
        </is>
      </c>
      <c r="C670" s="7" t="inlineStr">
        <is>
          <t>FY2022</t>
        </is>
      </c>
      <c r="D670" s="35" t="n">
        <v>7731.46</v>
      </c>
      <c r="E670" s="32" t="n">
        <v>0.254</v>
      </c>
      <c r="F670" s="35">
        <f>D670/(1+E670)</f>
        <v/>
      </c>
      <c r="G670" s="7" t="inlineStr">
        <is>
          <t>FY2021</t>
        </is>
      </c>
      <c r="H670" s="35" t="n">
        <v>6166.84</v>
      </c>
      <c r="I670" s="33" t="n">
        <v>44627</v>
      </c>
      <c r="J670" s="36">
        <f>F670-H670</f>
        <v/>
      </c>
      <c r="K670" s="16">
        <f>0.005/(1+E670)+D670*0.0005/(1+E670)^2+0.005</f>
        <v/>
      </c>
      <c r="L670" s="17">
        <f>IF(ABS(J670)&lt;=K670,"OK",IF(M670&lt;&gt;"","EXPLAINED","CHECK"))</f>
        <v/>
      </c>
      <c r="M670" s="7" t="inlineStr"/>
    </row>
    <row r="671">
      <c r="A671" s="33" t="n">
        <v>44964</v>
      </c>
      <c r="B671" s="7" t="inlineStr">
        <is>
          <t>NB Sum Assured</t>
        </is>
      </c>
      <c r="C671" s="7" t="inlineStr">
        <is>
          <t>Jan-23</t>
        </is>
      </c>
      <c r="D671" s="35" t="n">
        <v>1415</v>
      </c>
      <c r="E671" s="32" t="n">
        <v>0.317</v>
      </c>
      <c r="F671" s="35">
        <f>D671/(1+E671)</f>
        <v/>
      </c>
      <c r="G671" s="7" t="inlineStr">
        <is>
          <t>Jan-22</t>
        </is>
      </c>
      <c r="H671" s="35" t="n">
        <v>1074.7</v>
      </c>
      <c r="I671" s="33" t="n">
        <v>44627</v>
      </c>
      <c r="J671" s="36">
        <f>F671-H671</f>
        <v/>
      </c>
      <c r="K671" s="16">
        <f>0.005/(1+E671)+D671*0.0005/(1+E671)^2+0.005</f>
        <v/>
      </c>
      <c r="L671" s="17">
        <f>IF(ABS(J671)&lt;=K671,"OK",IF(M671&lt;&gt;"","EXPLAINED","CHECK"))</f>
        <v/>
      </c>
      <c r="M671" s="7" t="inlineStr"/>
    </row>
    <row r="672">
      <c r="A672" s="33" t="n">
        <v>44964</v>
      </c>
      <c r="B672" s="7" t="inlineStr">
        <is>
          <t>NB Premium</t>
        </is>
      </c>
      <c r="C672" s="7" t="inlineStr">
        <is>
          <t>FY2022</t>
        </is>
      </c>
      <c r="D672" s="35" t="n">
        <v>150.36</v>
      </c>
      <c r="E672" s="32" t="n">
        <v>0.154</v>
      </c>
      <c r="F672" s="35">
        <f>D672/(1+E672)</f>
        <v/>
      </c>
      <c r="G672" s="7" t="inlineStr">
        <is>
          <t>FY2021</t>
        </is>
      </c>
      <c r="H672" s="35" t="n">
        <v>130.32</v>
      </c>
      <c r="I672" s="33" t="n">
        <v>44627</v>
      </c>
      <c r="J672" s="36">
        <f>F672-H672</f>
        <v/>
      </c>
      <c r="K672" s="16">
        <f>0.005/(1+E672)+D672*0.0005/(1+E672)^2+0.005</f>
        <v/>
      </c>
      <c r="L672" s="17">
        <f>IF(ABS(J672)&lt;=K672,"OK",IF(M672&lt;&gt;"","EXPLAINED","CHECK"))</f>
        <v/>
      </c>
      <c r="M672" s="7" t="inlineStr"/>
    </row>
    <row r="673">
      <c r="A673" s="33" t="n">
        <v>44964</v>
      </c>
      <c r="B673" s="7" t="inlineStr">
        <is>
          <t>NB Premium</t>
        </is>
      </c>
      <c r="C673" s="7" t="inlineStr">
        <is>
          <t>Jan-23</t>
        </is>
      </c>
      <c r="D673" s="35" t="n">
        <v>14.39</v>
      </c>
      <c r="E673" s="32" t="n">
        <v>0.145</v>
      </c>
      <c r="F673" s="35">
        <f>D673/(1+E673)</f>
        <v/>
      </c>
      <c r="G673" s="7" t="inlineStr">
        <is>
          <t>Jan-22</t>
        </is>
      </c>
      <c r="H673" s="35" t="n">
        <v>12.57</v>
      </c>
      <c r="I673" s="33" t="n">
        <v>44627</v>
      </c>
      <c r="J673" s="36">
        <f>F673-H673</f>
        <v/>
      </c>
      <c r="K673" s="16">
        <f>0.005/(1+E673)+D673*0.0005/(1+E673)^2+0.005</f>
        <v/>
      </c>
      <c r="L673" s="17">
        <f>IF(ABS(J673)&lt;=K673,"OK",IF(M673&lt;&gt;"","EXPLAINED","CHECK"))</f>
        <v/>
      </c>
      <c r="M673" s="7" t="inlineStr"/>
    </row>
    <row r="674">
      <c r="A674" s="33" t="n">
        <v>44964</v>
      </c>
      <c r="B674" s="7" t="inlineStr">
        <is>
          <t>APE</t>
        </is>
      </c>
      <c r="C674" s="7" t="inlineStr">
        <is>
          <t>FY2022</t>
        </is>
      </c>
      <c r="D674" s="35" t="n">
        <v>77.33</v>
      </c>
      <c r="E674" s="32" t="n">
        <v>0.197</v>
      </c>
      <c r="F674" s="35">
        <f>D674/(1+E674)</f>
        <v/>
      </c>
      <c r="G674" s="7" t="inlineStr">
        <is>
          <t>FY2021</t>
        </is>
      </c>
      <c r="H674" s="35" t="n">
        <v>64.62</v>
      </c>
      <c r="I674" s="33" t="n">
        <v>44627</v>
      </c>
      <c r="J674" s="36">
        <f>F674-H674</f>
        <v/>
      </c>
      <c r="K674" s="16">
        <f>0.005/(1+E674)+D674*0.0005/(1+E674)^2+0.005</f>
        <v/>
      </c>
      <c r="L674" s="17">
        <f>IF(ABS(J674)&lt;=K674,"OK",IF(M674&lt;&gt;"","EXPLAINED","CHECK"))</f>
        <v/>
      </c>
      <c r="M674" s="7" t="inlineStr"/>
    </row>
    <row r="675">
      <c r="A675" s="33" t="n">
        <v>44964</v>
      </c>
      <c r="B675" s="7" t="inlineStr">
        <is>
          <t>APE</t>
        </is>
      </c>
      <c r="C675" s="7" t="inlineStr">
        <is>
          <t>Jan-23</t>
        </is>
      </c>
      <c r="D675" s="35" t="n">
        <v>7.49</v>
      </c>
      <c r="E675" s="32" t="n">
        <v>0.035</v>
      </c>
      <c r="F675" s="35">
        <f>D675/(1+E675)</f>
        <v/>
      </c>
      <c r="G675" s="7" t="inlineStr">
        <is>
          <t>Jan-22</t>
        </is>
      </c>
      <c r="H675" s="35" t="n">
        <v>7.24</v>
      </c>
      <c r="I675" s="33" t="n">
        <v>44627</v>
      </c>
      <c r="J675" s="36">
        <f>F675-H675</f>
        <v/>
      </c>
      <c r="K675" s="16">
        <f>0.005/(1+E675)+D675*0.0005/(1+E675)^2+0.005</f>
        <v/>
      </c>
      <c r="L675" s="17">
        <f>IF(ABS(J675)&lt;=K675,"OK",IF(M675&lt;&gt;"","EXPLAINED","CHECK"))</f>
        <v/>
      </c>
      <c r="M675" s="7" t="inlineStr"/>
    </row>
    <row r="676">
      <c r="A676" s="33" t="n">
        <v>44964</v>
      </c>
      <c r="B676" s="7" t="inlineStr">
        <is>
          <t>RWRP</t>
        </is>
      </c>
      <c r="C676" s="7" t="inlineStr">
        <is>
          <t>FY2022</t>
        </is>
      </c>
      <c r="D676" s="35" t="n">
        <v>62.99</v>
      </c>
      <c r="E676" s="32" t="n">
        <v>0.155</v>
      </c>
      <c r="F676" s="35">
        <f>D676/(1+E676)</f>
        <v/>
      </c>
      <c r="G676" s="7" t="inlineStr">
        <is>
          <t>FY2021</t>
        </is>
      </c>
      <c r="H676" s="35" t="n">
        <v>54.54</v>
      </c>
      <c r="I676" s="33" t="n">
        <v>44627</v>
      </c>
      <c r="J676" s="36">
        <f>F676-H676</f>
        <v/>
      </c>
      <c r="K676" s="16">
        <f>0.005/(1+E676)+D676*0.0005/(1+E676)^2+0.005</f>
        <v/>
      </c>
      <c r="L676" s="17">
        <f>IF(ABS(J676)&lt;=K676,"OK",IF(M676&lt;&gt;"","EXPLAINED","CHECK"))</f>
        <v/>
      </c>
      <c r="M676" s="7" t="inlineStr"/>
    </row>
    <row r="677">
      <c r="A677" s="33" t="n">
        <v>44964</v>
      </c>
      <c r="B677" s="7" t="inlineStr">
        <is>
          <t>RWRP</t>
        </is>
      </c>
      <c r="C677" s="7" t="inlineStr">
        <is>
          <t>Jan-23</t>
        </is>
      </c>
      <c r="D677" s="35" t="n">
        <v>5.42</v>
      </c>
      <c r="E677" s="32" t="n">
        <v>0.014</v>
      </c>
      <c r="F677" s="35">
        <f>D677/(1+E677)</f>
        <v/>
      </c>
      <c r="G677" s="7" t="inlineStr">
        <is>
          <t>Jan-22</t>
        </is>
      </c>
      <c r="H677" s="35" t="n">
        <v>5.34</v>
      </c>
      <c r="I677" s="33" t="n">
        <v>44627</v>
      </c>
      <c r="J677" s="36">
        <f>F677-H677</f>
        <v/>
      </c>
      <c r="K677" s="16">
        <f>0.005/(1+E677)+D677*0.0005/(1+E677)^2+0.005</f>
        <v/>
      </c>
      <c r="L677" s="17">
        <f>IF(ABS(J677)&lt;=K677,"OK",IF(M677&lt;&gt;"","EXPLAINED","CHECK"))</f>
        <v/>
      </c>
      <c r="M677" s="7" t="inlineStr"/>
    </row>
    <row r="678">
      <c r="A678" s="33" t="n">
        <v>44935</v>
      </c>
      <c r="B678" s="7" t="inlineStr">
        <is>
          <t>NB Sum Assured</t>
        </is>
      </c>
      <c r="C678" s="7" t="inlineStr">
        <is>
          <t>FY2022</t>
        </is>
      </c>
      <c r="D678" s="35" t="n">
        <v>7731.46</v>
      </c>
      <c r="E678" s="32" t="n">
        <v>0.254</v>
      </c>
      <c r="F678" s="35">
        <f>D678/(1+E678)</f>
        <v/>
      </c>
      <c r="G678" s="7" t="inlineStr">
        <is>
          <t>FY2021</t>
        </is>
      </c>
      <c r="H678" s="35" t="n">
        <v>6166.84</v>
      </c>
      <c r="I678" s="33" t="n">
        <v>44627</v>
      </c>
      <c r="J678" s="36">
        <f>F678-H678</f>
        <v/>
      </c>
      <c r="K678" s="16">
        <f>0.005/(1+E678)+D678*0.0005/(1+E678)^2+0.005</f>
        <v/>
      </c>
      <c r="L678" s="17">
        <f>IF(ABS(J678)&lt;=K678,"OK",IF(M678&lt;&gt;"","EXPLAINED","CHECK"))</f>
        <v/>
      </c>
      <c r="M678" s="7" t="inlineStr"/>
    </row>
    <row r="679">
      <c r="A679" s="33" t="n">
        <v>44935</v>
      </c>
      <c r="B679" s="7" t="inlineStr">
        <is>
          <t>NB Sum Assured</t>
        </is>
      </c>
      <c r="C679" s="7" t="inlineStr">
        <is>
          <t>Dec-22</t>
        </is>
      </c>
      <c r="D679" s="35" t="n">
        <v>754.75</v>
      </c>
      <c r="E679" s="32" t="n">
        <v>0.049</v>
      </c>
      <c r="F679" s="35">
        <f>D679/(1+E679)</f>
        <v/>
      </c>
      <c r="G679" s="7" t="inlineStr">
        <is>
          <t>Dec-21</t>
        </is>
      </c>
      <c r="H679" s="35" t="n">
        <v>719.36</v>
      </c>
      <c r="I679" s="33" t="n">
        <v>44568</v>
      </c>
      <c r="J679" s="36">
        <f>F679-H679</f>
        <v/>
      </c>
      <c r="K679" s="16">
        <f>0.005/(1+E679)+D679*0.0005/(1+E679)^2+0.005</f>
        <v/>
      </c>
      <c r="L679" s="17">
        <f>IF(ABS(J679)&lt;=K679,"OK",IF(M679&lt;&gt;"","EXPLAINED","CHECK"))</f>
        <v/>
      </c>
      <c r="M679" s="7" t="inlineStr"/>
    </row>
    <row r="680">
      <c r="A680" s="33" t="n">
        <v>44935</v>
      </c>
      <c r="B680" s="7" t="inlineStr">
        <is>
          <t>NB Sum Assured</t>
        </is>
      </c>
      <c r="C680" s="7" t="inlineStr">
        <is>
          <t>Nov-22</t>
        </is>
      </c>
      <c r="D680" s="35" t="n">
        <v>598.41</v>
      </c>
      <c r="E680" s="32" t="n">
        <v>0.268</v>
      </c>
      <c r="F680" s="35">
        <f>D680/(1+E680)</f>
        <v/>
      </c>
      <c r="G680" s="7" t="inlineStr">
        <is>
          <t>Nov-21</t>
        </is>
      </c>
      <c r="H680" s="35" t="n">
        <v>472.09</v>
      </c>
      <c r="I680" s="33" t="n">
        <v>44568</v>
      </c>
      <c r="J680" s="36">
        <f>F680-H680</f>
        <v/>
      </c>
      <c r="K680" s="16">
        <f>0.005/(1+E680)+D680*0.0005/(1+E680)^2+0.005</f>
        <v/>
      </c>
      <c r="L680" s="17">
        <f>IF(ABS(J680)&lt;=K680,"OK",IF(M680&lt;&gt;"","EXPLAINED","CHECK"))</f>
        <v/>
      </c>
      <c r="M680" s="7" t="inlineStr"/>
    </row>
    <row r="681">
      <c r="A681" s="33" t="n">
        <v>44935</v>
      </c>
      <c r="B681" s="7" t="inlineStr">
        <is>
          <t>NB Sum Assured</t>
        </is>
      </c>
      <c r="C681" s="7" t="inlineStr">
        <is>
          <t>Oct-22</t>
        </is>
      </c>
      <c r="D681" s="35" t="n">
        <v>768.71</v>
      </c>
      <c r="E681" s="32" t="n">
        <v>0.358</v>
      </c>
      <c r="F681" s="35">
        <f>D681/(1+E681)</f>
        <v/>
      </c>
      <c r="G681" s="7" t="inlineStr">
        <is>
          <t>Oct-21</t>
        </is>
      </c>
      <c r="H681" s="35" t="n">
        <v>566.02</v>
      </c>
      <c r="I681" s="33" t="n">
        <v>44568</v>
      </c>
      <c r="J681" s="36">
        <f>F681-H681</f>
        <v/>
      </c>
      <c r="K681" s="16">
        <f>0.005/(1+E681)+D681*0.0005/(1+E681)^2+0.005</f>
        <v/>
      </c>
      <c r="L681" s="17">
        <f>IF(ABS(J681)&lt;=K681,"OK",IF(M681&lt;&gt;"","EXPLAINED","CHECK"))</f>
        <v/>
      </c>
      <c r="M681" s="7" t="inlineStr"/>
    </row>
    <row r="682">
      <c r="A682" s="33" t="n">
        <v>44935</v>
      </c>
      <c r="B682" s="7" t="inlineStr">
        <is>
          <t>NB Premium</t>
        </is>
      </c>
      <c r="C682" s="7" t="inlineStr">
        <is>
          <t>FY2022</t>
        </is>
      </c>
      <c r="D682" s="35" t="n">
        <v>150.36</v>
      </c>
      <c r="E682" s="32" t="n">
        <v>0.154</v>
      </c>
      <c r="F682" s="35">
        <f>D682/(1+E682)</f>
        <v/>
      </c>
      <c r="G682" s="7" t="inlineStr">
        <is>
          <t>FY2021</t>
        </is>
      </c>
      <c r="H682" s="35" t="n">
        <v>130.32</v>
      </c>
      <c r="I682" s="33" t="n">
        <v>44627</v>
      </c>
      <c r="J682" s="36">
        <f>F682-H682</f>
        <v/>
      </c>
      <c r="K682" s="16">
        <f>0.005/(1+E682)+D682*0.0005/(1+E682)^2+0.005</f>
        <v/>
      </c>
      <c r="L682" s="17">
        <f>IF(ABS(J682)&lt;=K682,"OK",IF(M682&lt;&gt;"","EXPLAINED","CHECK"))</f>
        <v/>
      </c>
      <c r="M682" s="7" t="inlineStr"/>
    </row>
    <row r="683">
      <c r="A683" s="33" t="n">
        <v>44935</v>
      </c>
      <c r="B683" s="7" t="inlineStr">
        <is>
          <t>NB Premium</t>
        </is>
      </c>
      <c r="C683" s="7" t="inlineStr">
        <is>
          <t>Dec-22</t>
        </is>
      </c>
      <c r="D683" s="35" t="n">
        <v>14.55</v>
      </c>
      <c r="E683" s="32" t="n">
        <v>0.05400000000000001</v>
      </c>
      <c r="F683" s="35">
        <f>D683/(1+E683)</f>
        <v/>
      </c>
      <c r="G683" s="7" t="inlineStr">
        <is>
          <t>Dec-21</t>
        </is>
      </c>
      <c r="H683" s="35" t="n">
        <v>13.81</v>
      </c>
      <c r="I683" s="33" t="n">
        <v>44568</v>
      </c>
      <c r="J683" s="36">
        <f>F683-H683</f>
        <v/>
      </c>
      <c r="K683" s="16">
        <f>0.005/(1+E683)+D683*0.0005/(1+E683)^2+0.005</f>
        <v/>
      </c>
      <c r="L683" s="17">
        <f>IF(ABS(J683)&lt;=K683,"OK",IF(M683&lt;&gt;"","EXPLAINED","CHECK"))</f>
        <v/>
      </c>
      <c r="M683" s="7" t="inlineStr"/>
    </row>
    <row r="684">
      <c r="A684" s="33" t="n">
        <v>44935</v>
      </c>
      <c r="B684" s="7" t="inlineStr">
        <is>
          <t>NB Premium</t>
        </is>
      </c>
      <c r="C684" s="7" t="inlineStr">
        <is>
          <t>Nov-22</t>
        </is>
      </c>
      <c r="D684" s="35" t="n">
        <v>12.65</v>
      </c>
      <c r="E684" s="32" t="n">
        <v>0.01</v>
      </c>
      <c r="F684" s="35">
        <f>D684/(1+E684)</f>
        <v/>
      </c>
      <c r="G684" s="7" t="inlineStr">
        <is>
          <t>Nov-21</t>
        </is>
      </c>
      <c r="H684" s="35" t="n">
        <v>12.52</v>
      </c>
      <c r="I684" s="33" t="n">
        <v>44568</v>
      </c>
      <c r="J684" s="36">
        <f>F684-H684</f>
        <v/>
      </c>
      <c r="K684" s="16">
        <f>0.005/(1+E684)+D684*0.0005/(1+E684)^2+0.005</f>
        <v/>
      </c>
      <c r="L684" s="17">
        <f>IF(ABS(J684)&lt;=K684,"OK",IF(M684&lt;&gt;"","EXPLAINED","CHECK"))</f>
        <v/>
      </c>
      <c r="M684" s="7" t="inlineStr"/>
    </row>
    <row r="685">
      <c r="A685" s="33" t="n">
        <v>44935</v>
      </c>
      <c r="B685" s="7" t="inlineStr">
        <is>
          <t>NB Premium</t>
        </is>
      </c>
      <c r="C685" s="7" t="inlineStr">
        <is>
          <t>Oct-22</t>
        </is>
      </c>
      <c r="D685" s="35" t="n">
        <v>12.08</v>
      </c>
      <c r="E685" s="32" t="n">
        <v>0.047</v>
      </c>
      <c r="F685" s="35">
        <f>D685/(1+E685)</f>
        <v/>
      </c>
      <c r="G685" s="7" t="inlineStr">
        <is>
          <t>Oct-21</t>
        </is>
      </c>
      <c r="H685" s="35" t="n">
        <v>11.54</v>
      </c>
      <c r="I685" s="33" t="n">
        <v>44568</v>
      </c>
      <c r="J685" s="36">
        <f>F685-H685</f>
        <v/>
      </c>
      <c r="K685" s="16">
        <f>0.005/(1+E685)+D685*0.0005/(1+E685)^2+0.005</f>
        <v/>
      </c>
      <c r="L685" s="17">
        <f>IF(ABS(J685)&lt;=K685,"OK",IF(M685&lt;&gt;"","EXPLAINED","CHECK"))</f>
        <v/>
      </c>
      <c r="M685" s="7" t="inlineStr"/>
    </row>
    <row r="686">
      <c r="A686" s="33" t="n">
        <v>44935</v>
      </c>
      <c r="B686" s="7" t="inlineStr">
        <is>
          <t>APE</t>
        </is>
      </c>
      <c r="C686" s="7" t="inlineStr">
        <is>
          <t>FY2022</t>
        </is>
      </c>
      <c r="D686" s="35" t="n">
        <v>77.33</v>
      </c>
      <c r="E686" s="32" t="n">
        <v>0.197</v>
      </c>
      <c r="F686" s="35">
        <f>D686/(1+E686)</f>
        <v/>
      </c>
      <c r="G686" s="7" t="inlineStr">
        <is>
          <t>FY2021</t>
        </is>
      </c>
      <c r="H686" s="35" t="n">
        <v>64.62</v>
      </c>
      <c r="I686" s="33" t="n">
        <v>44627</v>
      </c>
      <c r="J686" s="36">
        <f>F686-H686</f>
        <v/>
      </c>
      <c r="K686" s="16">
        <f>0.005/(1+E686)+D686*0.0005/(1+E686)^2+0.005</f>
        <v/>
      </c>
      <c r="L686" s="17">
        <f>IF(ABS(J686)&lt;=K686,"OK",IF(M686&lt;&gt;"","EXPLAINED","CHECK"))</f>
        <v/>
      </c>
      <c r="M686" s="7" t="inlineStr"/>
    </row>
    <row r="687">
      <c r="A687" s="33" t="n">
        <v>44935</v>
      </c>
      <c r="B687" s="7" t="inlineStr">
        <is>
          <t>APE</t>
        </is>
      </c>
      <c r="C687" s="7" t="inlineStr">
        <is>
          <t>Dec-22</t>
        </is>
      </c>
      <c r="D687" s="35" t="n">
        <v>7.22</v>
      </c>
      <c r="E687" s="32" t="n">
        <v>-0.026</v>
      </c>
      <c r="F687" s="35">
        <f>D687/(1+E687)</f>
        <v/>
      </c>
      <c r="G687" s="7" t="inlineStr">
        <is>
          <t>Dec-21</t>
        </is>
      </c>
      <c r="H687" s="35" t="n">
        <v>7.41</v>
      </c>
      <c r="I687" s="33" t="n">
        <v>44568</v>
      </c>
      <c r="J687" s="36">
        <f>F687-H687</f>
        <v/>
      </c>
      <c r="K687" s="16">
        <f>0.005/(1+E687)+D687*0.0005/(1+E687)^2+0.005</f>
        <v/>
      </c>
      <c r="L687" s="17">
        <f>IF(ABS(J687)&lt;=K687,"OK",IF(M687&lt;&gt;"","EXPLAINED","CHECK"))</f>
        <v/>
      </c>
      <c r="M687" s="7" t="inlineStr"/>
    </row>
    <row r="688">
      <c r="A688" s="33" t="n">
        <v>44935</v>
      </c>
      <c r="B688" s="7" t="inlineStr">
        <is>
          <t>APE</t>
        </is>
      </c>
      <c r="C688" s="7" t="inlineStr">
        <is>
          <t>Nov-22</t>
        </is>
      </c>
      <c r="D688" s="35" t="n">
        <v>5.78</v>
      </c>
      <c r="E688" s="32" t="n">
        <v>0.018</v>
      </c>
      <c r="F688" s="35">
        <f>D688/(1+E688)</f>
        <v/>
      </c>
      <c r="G688" s="7" t="inlineStr">
        <is>
          <t>Nov-21</t>
        </is>
      </c>
      <c r="H688" s="35" t="n">
        <v>5.68</v>
      </c>
      <c r="I688" s="33" t="n">
        <v>44568</v>
      </c>
      <c r="J688" s="36">
        <f>F688-H688</f>
        <v/>
      </c>
      <c r="K688" s="16">
        <f>0.005/(1+E688)+D688*0.0005/(1+E688)^2+0.005</f>
        <v/>
      </c>
      <c r="L688" s="17">
        <f>IF(ABS(J688)&lt;=K688,"OK",IF(M688&lt;&gt;"","EXPLAINED","CHECK"))</f>
        <v/>
      </c>
      <c r="M688" s="7" t="inlineStr"/>
    </row>
    <row r="689">
      <c r="A689" s="33" t="n">
        <v>44935</v>
      </c>
      <c r="B689" s="7" t="inlineStr">
        <is>
          <t>APE</t>
        </is>
      </c>
      <c r="C689" s="7" t="inlineStr">
        <is>
          <t>Oct-22</t>
        </is>
      </c>
      <c r="D689" s="35" t="n">
        <v>5.21</v>
      </c>
      <c r="E689" s="32" t="n">
        <v>-0.16</v>
      </c>
      <c r="F689" s="35">
        <f>D689/(1+E689)</f>
        <v/>
      </c>
      <c r="G689" s="7" t="inlineStr">
        <is>
          <t>Oct-21</t>
        </is>
      </c>
      <c r="H689" s="35" t="n">
        <v>6.2</v>
      </c>
      <c r="I689" s="33" t="n">
        <v>44568</v>
      </c>
      <c r="J689" s="36">
        <f>F689-H689</f>
        <v/>
      </c>
      <c r="K689" s="16">
        <f>0.005/(1+E689)+D689*0.0005/(1+E689)^2+0.005</f>
        <v/>
      </c>
      <c r="L689" s="17">
        <f>IF(ABS(J689)&lt;=K689,"OK",IF(M689&lt;&gt;"","EXPLAINED","CHECK"))</f>
        <v/>
      </c>
      <c r="M689" s="7" t="inlineStr"/>
    </row>
    <row r="690">
      <c r="A690" s="33" t="n">
        <v>44935</v>
      </c>
      <c r="B690" s="7" t="inlineStr">
        <is>
          <t>RWRP</t>
        </is>
      </c>
      <c r="C690" s="7" t="inlineStr">
        <is>
          <t>FY2022</t>
        </is>
      </c>
      <c r="D690" s="35" t="n">
        <v>62.99</v>
      </c>
      <c r="E690" s="32" t="n">
        <v>0.155</v>
      </c>
      <c r="F690" s="35">
        <f>D690/(1+E690)</f>
        <v/>
      </c>
      <c r="G690" s="7" t="inlineStr">
        <is>
          <t>FY2021</t>
        </is>
      </c>
      <c r="H690" s="35" t="n">
        <v>54.54</v>
      </c>
      <c r="I690" s="33" t="n">
        <v>44627</v>
      </c>
      <c r="J690" s="36">
        <f>F690-H690</f>
        <v/>
      </c>
      <c r="K690" s="16">
        <f>0.005/(1+E690)+D690*0.0005/(1+E690)^2+0.005</f>
        <v/>
      </c>
      <c r="L690" s="17">
        <f>IF(ABS(J690)&lt;=K690,"OK",IF(M690&lt;&gt;"","EXPLAINED","CHECK"))</f>
        <v/>
      </c>
      <c r="M690" s="7" t="inlineStr"/>
    </row>
    <row r="691">
      <c r="A691" s="33" t="n">
        <v>44935</v>
      </c>
      <c r="B691" s="7" t="inlineStr">
        <is>
          <t>RWRP</t>
        </is>
      </c>
      <c r="C691" s="7" t="inlineStr">
        <is>
          <t>Dec-22</t>
        </is>
      </c>
      <c r="D691" s="35" t="n">
        <v>5.77</v>
      </c>
      <c r="E691" s="32" t="n">
        <v>-0.078</v>
      </c>
      <c r="F691" s="35">
        <f>D691/(1+E691)</f>
        <v/>
      </c>
      <c r="G691" s="7" t="inlineStr">
        <is>
          <t>Dec-21</t>
        </is>
      </c>
      <c r="H691" s="35" t="n">
        <v>6.26</v>
      </c>
      <c r="I691" s="33" t="n">
        <v>44568</v>
      </c>
      <c r="J691" s="36">
        <f>F691-H691</f>
        <v/>
      </c>
      <c r="K691" s="16">
        <f>0.005/(1+E691)+D691*0.0005/(1+E691)^2+0.005</f>
        <v/>
      </c>
      <c r="L691" s="17">
        <f>IF(ABS(J691)&lt;=K691,"OK",IF(M691&lt;&gt;"","EXPLAINED","CHECK"))</f>
        <v/>
      </c>
      <c r="M691" s="7" t="inlineStr"/>
    </row>
    <row r="692">
      <c r="A692" s="33" t="n">
        <v>44935</v>
      </c>
      <c r="B692" s="7" t="inlineStr">
        <is>
          <t>RWRP</t>
        </is>
      </c>
      <c r="C692" s="7" t="inlineStr">
        <is>
          <t>Nov-22</t>
        </is>
      </c>
      <c r="D692" s="35" t="n">
        <v>4.61</v>
      </c>
      <c r="E692" s="32" t="n">
        <v>-0.035</v>
      </c>
      <c r="F692" s="35">
        <f>D692/(1+E692)</f>
        <v/>
      </c>
      <c r="G692" s="7" t="inlineStr">
        <is>
          <t>Nov-21</t>
        </is>
      </c>
      <c r="H692" s="35" t="n">
        <v>4.77</v>
      </c>
      <c r="I692" s="33" t="n">
        <v>44568</v>
      </c>
      <c r="J692" s="36">
        <f>F692-H692</f>
        <v/>
      </c>
      <c r="K692" s="16">
        <f>0.005/(1+E692)+D692*0.0005/(1+E692)^2+0.005</f>
        <v/>
      </c>
      <c r="L692" s="17">
        <f>IF(ABS(J692)&lt;=K692,"OK",IF(M692&lt;&gt;"","EXPLAINED","CHECK"))</f>
        <v/>
      </c>
      <c r="M692" s="7" t="inlineStr"/>
    </row>
    <row r="693">
      <c r="A693" s="33" t="n">
        <v>44935</v>
      </c>
      <c r="B693" s="7" t="inlineStr">
        <is>
          <t>RWRP</t>
        </is>
      </c>
      <c r="C693" s="7" t="inlineStr">
        <is>
          <t>Oct-22</t>
        </is>
      </c>
      <c r="D693" s="35" t="n">
        <v>3.97</v>
      </c>
      <c r="E693" s="32" t="n">
        <v>-0.256</v>
      </c>
      <c r="F693" s="35">
        <f>D693/(1+E693)</f>
        <v/>
      </c>
      <c r="G693" s="7" t="inlineStr">
        <is>
          <t>Oct-21</t>
        </is>
      </c>
      <c r="H693" s="35" t="n">
        <v>5.34</v>
      </c>
      <c r="I693" s="33" t="n">
        <v>44568</v>
      </c>
      <c r="J693" s="36">
        <f>F693-H693</f>
        <v/>
      </c>
      <c r="K693" s="16">
        <f>0.005/(1+E693)+D693*0.0005/(1+E693)^2+0.005</f>
        <v/>
      </c>
      <c r="L693" s="17">
        <f>IF(ABS(J693)&lt;=K693,"OK",IF(M693&lt;&gt;"","EXPLAINED","CHECK"))</f>
        <v/>
      </c>
      <c r="M693" s="7" t="inlineStr"/>
    </row>
    <row r="694">
      <c r="A694" s="33" t="n">
        <v>44902</v>
      </c>
      <c r="B694" s="7" t="inlineStr">
        <is>
          <t>NB Sum Assured</t>
        </is>
      </c>
      <c r="C694" s="7" t="inlineStr">
        <is>
          <t>FY2022</t>
        </is>
      </c>
      <c r="D694" s="35" t="n">
        <v>7731.46</v>
      </c>
      <c r="E694" s="32" t="n">
        <v>0.254</v>
      </c>
      <c r="F694" s="35">
        <f>D694/(1+E694)</f>
        <v/>
      </c>
      <c r="G694" s="7" t="inlineStr">
        <is>
          <t>FY2021</t>
        </is>
      </c>
      <c r="H694" s="35" t="n">
        <v>6166.84</v>
      </c>
      <c r="I694" s="33" t="n">
        <v>44627</v>
      </c>
      <c r="J694" s="36">
        <f>F694-H694</f>
        <v/>
      </c>
      <c r="K694" s="16">
        <f>0.005/(1+E694)+D694*0.0005/(1+E694)^2+0.005</f>
        <v/>
      </c>
      <c r="L694" s="17">
        <f>IF(ABS(J694)&lt;=K694,"OK",IF(M694&lt;&gt;"","EXPLAINED","CHECK"))</f>
        <v/>
      </c>
      <c r="M694" s="7" t="inlineStr"/>
    </row>
    <row r="695">
      <c r="A695" s="33" t="n">
        <v>44902</v>
      </c>
      <c r="B695" s="7" t="inlineStr">
        <is>
          <t>NB Sum Assured</t>
        </is>
      </c>
      <c r="C695" s="7" t="inlineStr">
        <is>
          <t>Nov-22</t>
        </is>
      </c>
      <c r="D695" s="35" t="n">
        <v>598.41</v>
      </c>
      <c r="E695" s="32" t="n">
        <v>0.268</v>
      </c>
      <c r="F695" s="35">
        <f>D695/(1+E695)</f>
        <v/>
      </c>
      <c r="G695" s="7" t="inlineStr">
        <is>
          <t>Nov-21</t>
        </is>
      </c>
      <c r="H695" s="35" t="n">
        <v>472.09</v>
      </c>
      <c r="I695" s="33" t="n">
        <v>44568</v>
      </c>
      <c r="J695" s="36">
        <f>F695-H695</f>
        <v/>
      </c>
      <c r="K695" s="16">
        <f>0.005/(1+E695)+D695*0.0005/(1+E695)^2+0.005</f>
        <v/>
      </c>
      <c r="L695" s="17">
        <f>IF(ABS(J695)&lt;=K695,"OK",IF(M695&lt;&gt;"","EXPLAINED","CHECK"))</f>
        <v/>
      </c>
      <c r="M695" s="7" t="inlineStr"/>
    </row>
    <row r="696">
      <c r="A696" s="33" t="n">
        <v>44902</v>
      </c>
      <c r="B696" s="7" t="inlineStr">
        <is>
          <t>NB Sum Assured</t>
        </is>
      </c>
      <c r="C696" s="7" t="inlineStr">
        <is>
          <t>Oct-22</t>
        </is>
      </c>
      <c r="D696" s="35" t="n">
        <v>768.71</v>
      </c>
      <c r="E696" s="32" t="n">
        <v>0.358</v>
      </c>
      <c r="F696" s="35">
        <f>D696/(1+E696)</f>
        <v/>
      </c>
      <c r="G696" s="7" t="inlineStr">
        <is>
          <t>Oct-21</t>
        </is>
      </c>
      <c r="H696" s="35" t="n">
        <v>566.02</v>
      </c>
      <c r="I696" s="33" t="n">
        <v>44568</v>
      </c>
      <c r="J696" s="36">
        <f>F696-H696</f>
        <v/>
      </c>
      <c r="K696" s="16">
        <f>0.005/(1+E696)+D696*0.0005/(1+E696)^2+0.005</f>
        <v/>
      </c>
      <c r="L696" s="17">
        <f>IF(ABS(J696)&lt;=K696,"OK",IF(M696&lt;&gt;"","EXPLAINED","CHECK"))</f>
        <v/>
      </c>
      <c r="M696" s="7" t="inlineStr"/>
    </row>
    <row r="697">
      <c r="A697" s="33" t="n">
        <v>44902</v>
      </c>
      <c r="B697" s="7" t="inlineStr">
        <is>
          <t>NB Premium</t>
        </is>
      </c>
      <c r="C697" s="7" t="inlineStr">
        <is>
          <t>FY2022</t>
        </is>
      </c>
      <c r="D697" s="35" t="n">
        <v>150.36</v>
      </c>
      <c r="E697" s="32" t="n">
        <v>0.154</v>
      </c>
      <c r="F697" s="35">
        <f>D697/(1+E697)</f>
        <v/>
      </c>
      <c r="G697" s="7" t="inlineStr">
        <is>
          <t>FY2021</t>
        </is>
      </c>
      <c r="H697" s="35" t="n">
        <v>130.32</v>
      </c>
      <c r="I697" s="33" t="n">
        <v>44627</v>
      </c>
      <c r="J697" s="36">
        <f>F697-H697</f>
        <v/>
      </c>
      <c r="K697" s="16">
        <f>0.005/(1+E697)+D697*0.0005/(1+E697)^2+0.005</f>
        <v/>
      </c>
      <c r="L697" s="17">
        <f>IF(ABS(J697)&lt;=K697,"OK",IF(M697&lt;&gt;"","EXPLAINED","CHECK"))</f>
        <v/>
      </c>
      <c r="M697" s="7" t="inlineStr"/>
    </row>
    <row r="698">
      <c r="A698" s="33" t="n">
        <v>44902</v>
      </c>
      <c r="B698" s="7" t="inlineStr">
        <is>
          <t>NB Premium</t>
        </is>
      </c>
      <c r="C698" s="7" t="inlineStr">
        <is>
          <t>Nov-22</t>
        </is>
      </c>
      <c r="D698" s="35" t="n">
        <v>12.65</v>
      </c>
      <c r="E698" s="32" t="n">
        <v>0.01</v>
      </c>
      <c r="F698" s="35">
        <f>D698/(1+E698)</f>
        <v/>
      </c>
      <c r="G698" s="7" t="inlineStr">
        <is>
          <t>Nov-21</t>
        </is>
      </c>
      <c r="H698" s="35" t="n">
        <v>12.52</v>
      </c>
      <c r="I698" s="33" t="n">
        <v>44568</v>
      </c>
      <c r="J698" s="36">
        <f>F698-H698</f>
        <v/>
      </c>
      <c r="K698" s="16">
        <f>0.005/(1+E698)+D698*0.0005/(1+E698)^2+0.005</f>
        <v/>
      </c>
      <c r="L698" s="17">
        <f>IF(ABS(J698)&lt;=K698,"OK",IF(M698&lt;&gt;"","EXPLAINED","CHECK"))</f>
        <v/>
      </c>
      <c r="M698" s="7" t="inlineStr"/>
    </row>
    <row r="699">
      <c r="A699" s="33" t="n">
        <v>44902</v>
      </c>
      <c r="B699" s="7" t="inlineStr">
        <is>
          <t>NB Premium</t>
        </is>
      </c>
      <c r="C699" s="7" t="inlineStr">
        <is>
          <t>Oct-22</t>
        </is>
      </c>
      <c r="D699" s="35" t="n">
        <v>12.08</v>
      </c>
      <c r="E699" s="32" t="n">
        <v>0.047</v>
      </c>
      <c r="F699" s="35">
        <f>D699/(1+E699)</f>
        <v/>
      </c>
      <c r="G699" s="7" t="inlineStr">
        <is>
          <t>Oct-21</t>
        </is>
      </c>
      <c r="H699" s="35" t="n">
        <v>11.54</v>
      </c>
      <c r="I699" s="33" t="n">
        <v>44568</v>
      </c>
      <c r="J699" s="36">
        <f>F699-H699</f>
        <v/>
      </c>
      <c r="K699" s="16">
        <f>0.005/(1+E699)+D699*0.0005/(1+E699)^2+0.005</f>
        <v/>
      </c>
      <c r="L699" s="17">
        <f>IF(ABS(J699)&lt;=K699,"OK",IF(M699&lt;&gt;"","EXPLAINED","CHECK"))</f>
        <v/>
      </c>
      <c r="M699" s="7" t="inlineStr"/>
    </row>
    <row r="700">
      <c r="A700" s="33" t="n">
        <v>44902</v>
      </c>
      <c r="B700" s="7" t="inlineStr">
        <is>
          <t>APE</t>
        </is>
      </c>
      <c r="C700" s="7" t="inlineStr">
        <is>
          <t>FY2022</t>
        </is>
      </c>
      <c r="D700" s="35" t="n">
        <v>77.33</v>
      </c>
      <c r="E700" s="32" t="n">
        <v>0.197</v>
      </c>
      <c r="F700" s="35">
        <f>D700/(1+E700)</f>
        <v/>
      </c>
      <c r="G700" s="7" t="inlineStr">
        <is>
          <t>FY2021</t>
        </is>
      </c>
      <c r="H700" s="35" t="n">
        <v>64.62</v>
      </c>
      <c r="I700" s="33" t="n">
        <v>44627</v>
      </c>
      <c r="J700" s="36">
        <f>F700-H700</f>
        <v/>
      </c>
      <c r="K700" s="16">
        <f>0.005/(1+E700)+D700*0.0005/(1+E700)^2+0.005</f>
        <v/>
      </c>
      <c r="L700" s="17">
        <f>IF(ABS(J700)&lt;=K700,"OK",IF(M700&lt;&gt;"","EXPLAINED","CHECK"))</f>
        <v/>
      </c>
      <c r="M700" s="7" t="inlineStr"/>
    </row>
    <row r="701">
      <c r="A701" s="33" t="n">
        <v>44902</v>
      </c>
      <c r="B701" s="7" t="inlineStr">
        <is>
          <t>APE</t>
        </is>
      </c>
      <c r="C701" s="7" t="inlineStr">
        <is>
          <t>Nov-22</t>
        </is>
      </c>
      <c r="D701" s="35" t="n">
        <v>5.78</v>
      </c>
      <c r="E701" s="32" t="n">
        <v>0.018</v>
      </c>
      <c r="F701" s="35">
        <f>D701/(1+E701)</f>
        <v/>
      </c>
      <c r="G701" s="7" t="inlineStr">
        <is>
          <t>Nov-21</t>
        </is>
      </c>
      <c r="H701" s="35" t="n">
        <v>5.68</v>
      </c>
      <c r="I701" s="33" t="n">
        <v>44568</v>
      </c>
      <c r="J701" s="36">
        <f>F701-H701</f>
        <v/>
      </c>
      <c r="K701" s="16">
        <f>0.005/(1+E701)+D701*0.0005/(1+E701)^2+0.005</f>
        <v/>
      </c>
      <c r="L701" s="17">
        <f>IF(ABS(J701)&lt;=K701,"OK",IF(M701&lt;&gt;"","EXPLAINED","CHECK"))</f>
        <v/>
      </c>
      <c r="M701" s="7" t="inlineStr"/>
    </row>
    <row r="702">
      <c r="A702" s="33" t="n">
        <v>44902</v>
      </c>
      <c r="B702" s="7" t="inlineStr">
        <is>
          <t>APE</t>
        </is>
      </c>
      <c r="C702" s="7" t="inlineStr">
        <is>
          <t>Oct-22</t>
        </is>
      </c>
      <c r="D702" s="35" t="n">
        <v>5.21</v>
      </c>
      <c r="E702" s="32" t="n">
        <v>-0.16</v>
      </c>
      <c r="F702" s="35">
        <f>D702/(1+E702)</f>
        <v/>
      </c>
      <c r="G702" s="7" t="inlineStr">
        <is>
          <t>Oct-21</t>
        </is>
      </c>
      <c r="H702" s="35" t="n">
        <v>6.2</v>
      </c>
      <c r="I702" s="33" t="n">
        <v>44568</v>
      </c>
      <c r="J702" s="36">
        <f>F702-H702</f>
        <v/>
      </c>
      <c r="K702" s="16">
        <f>0.005/(1+E702)+D702*0.0005/(1+E702)^2+0.005</f>
        <v/>
      </c>
      <c r="L702" s="17">
        <f>IF(ABS(J702)&lt;=K702,"OK",IF(M702&lt;&gt;"","EXPLAINED","CHECK"))</f>
        <v/>
      </c>
      <c r="M702" s="7" t="inlineStr"/>
    </row>
    <row r="703">
      <c r="A703" s="33" t="n">
        <v>44902</v>
      </c>
      <c r="B703" s="7" t="inlineStr">
        <is>
          <t>RWRP</t>
        </is>
      </c>
      <c r="C703" s="7" t="inlineStr">
        <is>
          <t>FY2022</t>
        </is>
      </c>
      <c r="D703" s="35" t="n">
        <v>62.99</v>
      </c>
      <c r="E703" s="32" t="n">
        <v>0.155</v>
      </c>
      <c r="F703" s="35">
        <f>D703/(1+E703)</f>
        <v/>
      </c>
      <c r="G703" s="7" t="inlineStr">
        <is>
          <t>FY2021</t>
        </is>
      </c>
      <c r="H703" s="35" t="n">
        <v>54.54</v>
      </c>
      <c r="I703" s="33" t="n">
        <v>44627</v>
      </c>
      <c r="J703" s="36">
        <f>F703-H703</f>
        <v/>
      </c>
      <c r="K703" s="16">
        <f>0.005/(1+E703)+D703*0.0005/(1+E703)^2+0.005</f>
        <v/>
      </c>
      <c r="L703" s="17">
        <f>IF(ABS(J703)&lt;=K703,"OK",IF(M703&lt;&gt;"","EXPLAINED","CHECK"))</f>
        <v/>
      </c>
      <c r="M703" s="7" t="inlineStr"/>
    </row>
    <row r="704">
      <c r="A704" s="33" t="n">
        <v>44902</v>
      </c>
      <c r="B704" s="7" t="inlineStr">
        <is>
          <t>RWRP</t>
        </is>
      </c>
      <c r="C704" s="7" t="inlineStr">
        <is>
          <t>Nov-22</t>
        </is>
      </c>
      <c r="D704" s="35" t="n">
        <v>4.61</v>
      </c>
      <c r="E704" s="32" t="n">
        <v>-0.035</v>
      </c>
      <c r="F704" s="35">
        <f>D704/(1+E704)</f>
        <v/>
      </c>
      <c r="G704" s="7" t="inlineStr">
        <is>
          <t>Nov-21</t>
        </is>
      </c>
      <c r="H704" s="35" t="n">
        <v>4.77</v>
      </c>
      <c r="I704" s="33" t="n">
        <v>44568</v>
      </c>
      <c r="J704" s="36">
        <f>F704-H704</f>
        <v/>
      </c>
      <c r="K704" s="16">
        <f>0.005/(1+E704)+D704*0.0005/(1+E704)^2+0.005</f>
        <v/>
      </c>
      <c r="L704" s="17">
        <f>IF(ABS(J704)&lt;=K704,"OK",IF(M704&lt;&gt;"","EXPLAINED","CHECK"))</f>
        <v/>
      </c>
      <c r="M704" s="7" t="inlineStr"/>
    </row>
    <row r="705">
      <c r="A705" s="33" t="n">
        <v>44902</v>
      </c>
      <c r="B705" s="7" t="inlineStr">
        <is>
          <t>RWRP</t>
        </is>
      </c>
      <c r="C705" s="7" t="inlineStr">
        <is>
          <t>Oct-22</t>
        </is>
      </c>
      <c r="D705" s="35" t="n">
        <v>3.97</v>
      </c>
      <c r="E705" s="32" t="n">
        <v>-0.256</v>
      </c>
      <c r="F705" s="35">
        <f>D705/(1+E705)</f>
        <v/>
      </c>
      <c r="G705" s="7" t="inlineStr">
        <is>
          <t>Oct-21</t>
        </is>
      </c>
      <c r="H705" s="35" t="n">
        <v>5.34</v>
      </c>
      <c r="I705" s="33" t="n">
        <v>44568</v>
      </c>
      <c r="J705" s="36">
        <f>F705-H705</f>
        <v/>
      </c>
      <c r="K705" s="16">
        <f>0.005/(1+E705)+D705*0.0005/(1+E705)^2+0.005</f>
        <v/>
      </c>
      <c r="L705" s="17">
        <f>IF(ABS(J705)&lt;=K705,"OK",IF(M705&lt;&gt;"","EXPLAINED","CHECK"))</f>
        <v/>
      </c>
      <c r="M705" s="7" t="inlineStr"/>
    </row>
    <row r="706">
      <c r="A706" s="33" t="n">
        <v>44872</v>
      </c>
      <c r="B706" s="7" t="inlineStr">
        <is>
          <t>NB Sum Assured</t>
        </is>
      </c>
      <c r="C706" s="7" t="inlineStr">
        <is>
          <t>FY2022</t>
        </is>
      </c>
      <c r="D706" s="35" t="n">
        <v>7731.46</v>
      </c>
      <c r="E706" s="32" t="n">
        <v>0.254</v>
      </c>
      <c r="F706" s="35">
        <f>D706/(1+E706)</f>
        <v/>
      </c>
      <c r="G706" s="7" t="inlineStr">
        <is>
          <t>FY2021</t>
        </is>
      </c>
      <c r="H706" s="35" t="n">
        <v>6166.84</v>
      </c>
      <c r="I706" s="33" t="n">
        <v>44627</v>
      </c>
      <c r="J706" s="36">
        <f>F706-H706</f>
        <v/>
      </c>
      <c r="K706" s="16">
        <f>0.005/(1+E706)+D706*0.0005/(1+E706)^2+0.005</f>
        <v/>
      </c>
      <c r="L706" s="17">
        <f>IF(ABS(J706)&lt;=K706,"OK",IF(M706&lt;&gt;"","EXPLAINED","CHECK"))</f>
        <v/>
      </c>
      <c r="M706" s="7" t="inlineStr"/>
    </row>
    <row r="707">
      <c r="A707" s="33" t="n">
        <v>44872</v>
      </c>
      <c r="B707" s="7" t="inlineStr">
        <is>
          <t>NB Sum Assured</t>
        </is>
      </c>
      <c r="C707" s="7" t="inlineStr">
        <is>
          <t>Oct-22</t>
        </is>
      </c>
      <c r="D707" s="35" t="n">
        <v>768.71</v>
      </c>
      <c r="E707" s="32" t="n">
        <v>0.358</v>
      </c>
      <c r="F707" s="35">
        <f>D707/(1+E707)</f>
        <v/>
      </c>
      <c r="G707" s="7" t="inlineStr">
        <is>
          <t>Oct-21</t>
        </is>
      </c>
      <c r="H707" s="35" t="n">
        <v>566.02</v>
      </c>
      <c r="I707" s="33" t="n">
        <v>44568</v>
      </c>
      <c r="J707" s="36">
        <f>F707-H707</f>
        <v/>
      </c>
      <c r="K707" s="16">
        <f>0.005/(1+E707)+D707*0.0005/(1+E707)^2+0.005</f>
        <v/>
      </c>
      <c r="L707" s="17">
        <f>IF(ABS(J707)&lt;=K707,"OK",IF(M707&lt;&gt;"","EXPLAINED","CHECK"))</f>
        <v/>
      </c>
      <c r="M707" s="7" t="inlineStr"/>
    </row>
    <row r="708">
      <c r="A708" s="33" t="n">
        <v>44872</v>
      </c>
      <c r="B708" s="7" t="inlineStr">
        <is>
          <t>NB Premium</t>
        </is>
      </c>
      <c r="C708" s="7" t="inlineStr">
        <is>
          <t>FY2022</t>
        </is>
      </c>
      <c r="D708" s="35" t="n">
        <v>150.36</v>
      </c>
      <c r="E708" s="32" t="n">
        <v>0.154</v>
      </c>
      <c r="F708" s="35">
        <f>D708/(1+E708)</f>
        <v/>
      </c>
      <c r="G708" s="7" t="inlineStr">
        <is>
          <t>FY2021</t>
        </is>
      </c>
      <c r="H708" s="35" t="n">
        <v>130.32</v>
      </c>
      <c r="I708" s="33" t="n">
        <v>44627</v>
      </c>
      <c r="J708" s="36">
        <f>F708-H708</f>
        <v/>
      </c>
      <c r="K708" s="16">
        <f>0.005/(1+E708)+D708*0.0005/(1+E708)^2+0.005</f>
        <v/>
      </c>
      <c r="L708" s="17">
        <f>IF(ABS(J708)&lt;=K708,"OK",IF(M708&lt;&gt;"","EXPLAINED","CHECK"))</f>
        <v/>
      </c>
      <c r="M708" s="7" t="inlineStr"/>
    </row>
    <row r="709">
      <c r="A709" s="33" t="n">
        <v>44872</v>
      </c>
      <c r="B709" s="7" t="inlineStr">
        <is>
          <t>NB Premium</t>
        </is>
      </c>
      <c r="C709" s="7" t="inlineStr">
        <is>
          <t>Oct-22</t>
        </is>
      </c>
      <c r="D709" s="35" t="n">
        <v>12.08</v>
      </c>
      <c r="E709" s="32" t="n">
        <v>0.047</v>
      </c>
      <c r="F709" s="35">
        <f>D709/(1+E709)</f>
        <v/>
      </c>
      <c r="G709" s="7" t="inlineStr">
        <is>
          <t>Oct-21</t>
        </is>
      </c>
      <c r="H709" s="35" t="n">
        <v>11.54</v>
      </c>
      <c r="I709" s="33" t="n">
        <v>44568</v>
      </c>
      <c r="J709" s="36">
        <f>F709-H709</f>
        <v/>
      </c>
      <c r="K709" s="16">
        <f>0.005/(1+E709)+D709*0.0005/(1+E709)^2+0.005</f>
        <v/>
      </c>
      <c r="L709" s="17">
        <f>IF(ABS(J709)&lt;=K709,"OK",IF(M709&lt;&gt;"","EXPLAINED","CHECK"))</f>
        <v/>
      </c>
      <c r="M709" s="7" t="inlineStr"/>
    </row>
    <row r="710">
      <c r="A710" s="33" t="n">
        <v>44872</v>
      </c>
      <c r="B710" s="7" t="inlineStr">
        <is>
          <t>APE</t>
        </is>
      </c>
      <c r="C710" s="7" t="inlineStr">
        <is>
          <t>FY2022</t>
        </is>
      </c>
      <c r="D710" s="35" t="n">
        <v>77.33</v>
      </c>
      <c r="E710" s="32" t="n">
        <v>0.197</v>
      </c>
      <c r="F710" s="35">
        <f>D710/(1+E710)</f>
        <v/>
      </c>
      <c r="G710" s="7" t="inlineStr">
        <is>
          <t>FY2021</t>
        </is>
      </c>
      <c r="H710" s="35" t="n">
        <v>64.62</v>
      </c>
      <c r="I710" s="33" t="n">
        <v>44627</v>
      </c>
      <c r="J710" s="36">
        <f>F710-H710</f>
        <v/>
      </c>
      <c r="K710" s="16">
        <f>0.005/(1+E710)+D710*0.0005/(1+E710)^2+0.005</f>
        <v/>
      </c>
      <c r="L710" s="17">
        <f>IF(ABS(J710)&lt;=K710,"OK",IF(M710&lt;&gt;"","EXPLAINED","CHECK"))</f>
        <v/>
      </c>
      <c r="M710" s="7" t="inlineStr"/>
    </row>
    <row r="711">
      <c r="A711" s="33" t="n">
        <v>44872</v>
      </c>
      <c r="B711" s="7" t="inlineStr">
        <is>
          <t>APE</t>
        </is>
      </c>
      <c r="C711" s="7" t="inlineStr">
        <is>
          <t>Oct-22</t>
        </is>
      </c>
      <c r="D711" s="35" t="n">
        <v>5.21</v>
      </c>
      <c r="E711" s="32" t="n">
        <v>-0.16</v>
      </c>
      <c r="F711" s="35">
        <f>D711/(1+E711)</f>
        <v/>
      </c>
      <c r="G711" s="7" t="inlineStr">
        <is>
          <t>Oct-21</t>
        </is>
      </c>
      <c r="H711" s="35" t="n">
        <v>6.2</v>
      </c>
      <c r="I711" s="33" t="n">
        <v>44568</v>
      </c>
      <c r="J711" s="36">
        <f>F711-H711</f>
        <v/>
      </c>
      <c r="K711" s="16">
        <f>0.005/(1+E711)+D711*0.0005/(1+E711)^2+0.005</f>
        <v/>
      </c>
      <c r="L711" s="17">
        <f>IF(ABS(J711)&lt;=K711,"OK",IF(M711&lt;&gt;"","EXPLAINED","CHECK"))</f>
        <v/>
      </c>
      <c r="M711" s="7" t="inlineStr"/>
    </row>
    <row r="712">
      <c r="A712" s="33" t="n">
        <v>44872</v>
      </c>
      <c r="B712" s="7" t="inlineStr">
        <is>
          <t>RWRP</t>
        </is>
      </c>
      <c r="C712" s="7" t="inlineStr">
        <is>
          <t>FY2022</t>
        </is>
      </c>
      <c r="D712" s="35" t="n">
        <v>62.99</v>
      </c>
      <c r="E712" s="32" t="n">
        <v>0.155</v>
      </c>
      <c r="F712" s="35">
        <f>D712/(1+E712)</f>
        <v/>
      </c>
      <c r="G712" s="7" t="inlineStr">
        <is>
          <t>FY2021</t>
        </is>
      </c>
      <c r="H712" s="35" t="n">
        <v>54.54</v>
      </c>
      <c r="I712" s="33" t="n">
        <v>44627</v>
      </c>
      <c r="J712" s="36">
        <f>F712-H712</f>
        <v/>
      </c>
      <c r="K712" s="16">
        <f>0.005/(1+E712)+D712*0.0005/(1+E712)^2+0.005</f>
        <v/>
      </c>
      <c r="L712" s="17">
        <f>IF(ABS(J712)&lt;=K712,"OK",IF(M712&lt;&gt;"","EXPLAINED","CHECK"))</f>
        <v/>
      </c>
      <c r="M712" s="7" t="inlineStr"/>
    </row>
    <row r="713">
      <c r="A713" s="33" t="n">
        <v>44872</v>
      </c>
      <c r="B713" s="7" t="inlineStr">
        <is>
          <t>RWRP</t>
        </is>
      </c>
      <c r="C713" s="7" t="inlineStr">
        <is>
          <t>Oct-22</t>
        </is>
      </c>
      <c r="D713" s="35" t="n">
        <v>3.97</v>
      </c>
      <c r="E713" s="32" t="n">
        <v>-0.256</v>
      </c>
      <c r="F713" s="35">
        <f>D713/(1+E713)</f>
        <v/>
      </c>
      <c r="G713" s="7" t="inlineStr">
        <is>
          <t>Oct-21</t>
        </is>
      </c>
      <c r="H713" s="35" t="n">
        <v>5.34</v>
      </c>
      <c r="I713" s="33" t="n">
        <v>44568</v>
      </c>
      <c r="J713" s="36">
        <f>F713-H713</f>
        <v/>
      </c>
      <c r="K713" s="16">
        <f>0.005/(1+E713)+D713*0.0005/(1+E713)^2+0.005</f>
        <v/>
      </c>
      <c r="L713" s="17">
        <f>IF(ABS(J713)&lt;=K713,"OK",IF(M713&lt;&gt;"","EXPLAINED","CHECK"))</f>
        <v/>
      </c>
      <c r="M713" s="7" t="inlineStr"/>
    </row>
    <row r="714">
      <c r="A714" s="33" t="n">
        <v>44841</v>
      </c>
      <c r="B714" s="7" t="inlineStr">
        <is>
          <t>NB Sum Assured</t>
        </is>
      </c>
      <c r="C714" s="7" t="inlineStr">
        <is>
          <t>Q4-FY2022</t>
        </is>
      </c>
      <c r="D714" s="35" t="n">
        <v>2599.83</v>
      </c>
      <c r="E714" s="32" t="n">
        <v>0.267</v>
      </c>
      <c r="F714" s="35">
        <f>D714/(1+E714)</f>
        <v/>
      </c>
      <c r="G714" s="7" t="inlineStr">
        <is>
          <t>Q4-FY2021</t>
        </is>
      </c>
      <c r="H714" s="35" t="n">
        <v>2051.84</v>
      </c>
      <c r="I714" s="33" t="n">
        <v>44537</v>
      </c>
      <c r="J714" s="36">
        <f>F714-H714</f>
        <v/>
      </c>
      <c r="K714" s="16">
        <f>0.005/(1+E714)+D714*0.0005/(1+E714)^2+0.005</f>
        <v/>
      </c>
      <c r="L714" s="17">
        <f>IF(ABS(J714)&lt;=K714,"OK",IF(M714&lt;&gt;"","EXPLAINED","CHECK"))</f>
        <v/>
      </c>
      <c r="M714" s="7" t="inlineStr"/>
    </row>
    <row r="715">
      <c r="A715" s="33" t="n">
        <v>44841</v>
      </c>
      <c r="B715" s="7" t="inlineStr">
        <is>
          <t>NB Sum Assured</t>
        </is>
      </c>
      <c r="C715" s="7" t="inlineStr">
        <is>
          <t>Q1-FY2023</t>
        </is>
      </c>
      <c r="D715" s="35" t="n">
        <v>2209.35</v>
      </c>
      <c r="E715" s="32" t="n">
        <v>0.249</v>
      </c>
      <c r="F715" s="35">
        <f>D715/(1+E715)</f>
        <v/>
      </c>
      <c r="G715" s="7" t="inlineStr">
        <is>
          <t>Q1-FY2022</t>
        </is>
      </c>
      <c r="H715" s="35" t="n">
        <v>1768.62</v>
      </c>
      <c r="I715" s="33" t="n">
        <v>44508</v>
      </c>
      <c r="J715" s="36">
        <f>F715-H715</f>
        <v/>
      </c>
      <c r="K715" s="16">
        <f>0.005/(1+E715)+D715*0.0005/(1+E715)^2+0.005</f>
        <v/>
      </c>
      <c r="L715" s="17">
        <f>IF(ABS(J715)&lt;=K715,"OK",IF(M715&lt;&gt;"","EXPLAINED","CHECK"))</f>
        <v/>
      </c>
      <c r="M715" s="7" t="inlineStr"/>
    </row>
    <row r="716">
      <c r="A716" s="33" t="n">
        <v>44841</v>
      </c>
      <c r="B716" s="7" t="inlineStr">
        <is>
          <t>NB Sum Assured</t>
        </is>
      </c>
      <c r="C716" s="7" t="inlineStr">
        <is>
          <t>FY2022</t>
        </is>
      </c>
      <c r="D716" s="35" t="n">
        <v>7731.46</v>
      </c>
      <c r="E716" s="32" t="n">
        <v>0.254</v>
      </c>
      <c r="F716" s="35">
        <f>D716/(1+E716)</f>
        <v/>
      </c>
      <c r="G716" s="7" t="inlineStr">
        <is>
          <t>FY2021</t>
        </is>
      </c>
      <c r="H716" s="35" t="n">
        <v>6166.84</v>
      </c>
      <c r="I716" s="33" t="n">
        <v>44627</v>
      </c>
      <c r="J716" s="36">
        <f>F716-H716</f>
        <v/>
      </c>
      <c r="K716" s="16">
        <f>0.005/(1+E716)+D716*0.0005/(1+E716)^2+0.005</f>
        <v/>
      </c>
      <c r="L716" s="17">
        <f>IF(ABS(J716)&lt;=K716,"OK",IF(M716&lt;&gt;"","EXPLAINED","CHECK"))</f>
        <v/>
      </c>
      <c r="M716" s="7" t="inlineStr"/>
    </row>
    <row r="717">
      <c r="A717" s="33" t="n">
        <v>44841</v>
      </c>
      <c r="B717" s="7" t="inlineStr">
        <is>
          <t>NB Sum Assured</t>
        </is>
      </c>
      <c r="C717" s="7" t="inlineStr">
        <is>
          <t>Sep-22</t>
        </is>
      </c>
      <c r="D717" s="35" t="n">
        <v>879.91</v>
      </c>
      <c r="E717" s="32" t="n">
        <v>0.478</v>
      </c>
      <c r="F717" s="35">
        <f>D717/(1+E717)</f>
        <v/>
      </c>
      <c r="G717" s="7" t="inlineStr">
        <is>
          <t>Sep-21</t>
        </is>
      </c>
      <c r="H717" s="35" t="n">
        <v>595.53</v>
      </c>
      <c r="I717" s="33" t="n">
        <v>44476</v>
      </c>
      <c r="J717" s="36">
        <f>F717-H717</f>
        <v/>
      </c>
      <c r="K717" s="16">
        <f>0.005/(1+E717)+D717*0.0005/(1+E717)^2+0.005</f>
        <v/>
      </c>
      <c r="L717" s="17">
        <f>IF(ABS(J717)&lt;=K717,"OK",IF(M717&lt;&gt;"","EXPLAINED","CHECK"))</f>
        <v/>
      </c>
      <c r="M717" s="7" t="inlineStr"/>
    </row>
    <row r="718">
      <c r="A718" s="33" t="n">
        <v>44841</v>
      </c>
      <c r="B718" s="7" t="inlineStr">
        <is>
          <t>NB Sum Assured</t>
        </is>
      </c>
      <c r="C718" s="7" t="inlineStr">
        <is>
          <t>Aug-22</t>
        </is>
      </c>
      <c r="D718" s="35" t="n">
        <v>753.51</v>
      </c>
      <c r="E718" s="32" t="n">
        <v>0.478</v>
      </c>
      <c r="F718" s="35">
        <f>D718/(1+E718)</f>
        <v/>
      </c>
      <c r="G718" s="7" t="inlineStr">
        <is>
          <t>Aug-21</t>
        </is>
      </c>
      <c r="H718" s="35" t="n">
        <v>509.69</v>
      </c>
      <c r="I718" s="33" t="n">
        <v>44476</v>
      </c>
      <c r="J718" s="36">
        <f>F718-H718</f>
        <v/>
      </c>
      <c r="K718" s="16">
        <f>0.005/(1+E718)+D718*0.0005/(1+E718)^2+0.005</f>
        <v/>
      </c>
      <c r="L718" s="17">
        <f>IF(ABS(J718)&lt;=K718,"OK",IF(M718&lt;&gt;"","EXPLAINED","CHECK"))</f>
        <v/>
      </c>
      <c r="M718" s="7" t="inlineStr"/>
    </row>
    <row r="719">
      <c r="A719" s="33" t="n">
        <v>44841</v>
      </c>
      <c r="B719" s="7" t="inlineStr">
        <is>
          <t>NB Sum Assured</t>
        </is>
      </c>
      <c r="C719" s="7" t="inlineStr">
        <is>
          <t>Jul-22</t>
        </is>
      </c>
      <c r="D719" s="35" t="n">
        <v>957.28</v>
      </c>
      <c r="E719" s="32" t="n">
        <v>0.9129999999999999</v>
      </c>
      <c r="F719" s="35">
        <f>D719/(1+E719)</f>
        <v/>
      </c>
      <c r="G719" s="7" t="inlineStr">
        <is>
          <t>Jul-21</t>
        </is>
      </c>
      <c r="H719" s="35" t="n">
        <v>500.33</v>
      </c>
      <c r="I719" s="33" t="n">
        <v>44476</v>
      </c>
      <c r="J719" s="36">
        <f>F719-H719</f>
        <v/>
      </c>
      <c r="K719" s="16">
        <f>0.005/(1+E719)+D719*0.0005/(1+E719)^2+0.005</f>
        <v/>
      </c>
      <c r="L719" s="17">
        <f>IF(ABS(J719)&lt;=K719,"OK",IF(M719&lt;&gt;"","EXPLAINED","CHECK"))</f>
        <v/>
      </c>
      <c r="M719" s="7" t="inlineStr"/>
    </row>
    <row r="720">
      <c r="A720" s="33" t="n">
        <v>44841</v>
      </c>
      <c r="B720" s="7" t="inlineStr">
        <is>
          <t>NB Premium</t>
        </is>
      </c>
      <c r="C720" s="7" t="inlineStr">
        <is>
          <t>Q4-FY2022</t>
        </is>
      </c>
      <c r="D720" s="35" t="n">
        <v>47.88</v>
      </c>
      <c r="E720" s="32" t="n">
        <v>-0.067</v>
      </c>
      <c r="F720" s="35">
        <f>D720/(1+E720)</f>
        <v/>
      </c>
      <c r="G720" s="7" t="inlineStr">
        <is>
          <t>Q4-FY2021</t>
        </is>
      </c>
      <c r="H720" s="35" t="n">
        <v>51.33</v>
      </c>
      <c r="I720" s="33" t="n">
        <v>44537</v>
      </c>
      <c r="J720" s="36">
        <f>F720-H720</f>
        <v/>
      </c>
      <c r="K720" s="16">
        <f>0.005/(1+E720)+D720*0.0005/(1+E720)^2+0.005</f>
        <v/>
      </c>
      <c r="L720" s="17">
        <f>IF(ABS(J720)&lt;=K720,"OK",IF(M720&lt;&gt;"","EXPLAINED","CHECK"))</f>
        <v/>
      </c>
      <c r="M720" s="7" t="inlineStr"/>
    </row>
    <row r="721">
      <c r="A721" s="33" t="n">
        <v>44841</v>
      </c>
      <c r="B721" s="7" t="inlineStr">
        <is>
          <t>NB Premium</t>
        </is>
      </c>
      <c r="C721" s="7" t="inlineStr">
        <is>
          <t>Q1-FY2023</t>
        </is>
      </c>
      <c r="D721" s="35" t="n">
        <v>31.84</v>
      </c>
      <c r="E721" s="32" t="n">
        <v>0.244</v>
      </c>
      <c r="F721" s="35">
        <f>D721/(1+E721)</f>
        <v/>
      </c>
      <c r="G721" s="7" t="inlineStr">
        <is>
          <t>Q1-FY2022</t>
        </is>
      </c>
      <c r="H721" s="35" t="n">
        <v>25.59</v>
      </c>
      <c r="I721" s="33" t="n">
        <v>44508</v>
      </c>
      <c r="J721" s="36">
        <f>F721-H721</f>
        <v/>
      </c>
      <c r="K721" s="16">
        <f>0.005/(1+E721)+D721*0.0005/(1+E721)^2+0.005</f>
        <v/>
      </c>
      <c r="L721" s="17">
        <f>IF(ABS(J721)&lt;=K721,"OK",IF(M721&lt;&gt;"","EXPLAINED","CHECK"))</f>
        <v/>
      </c>
      <c r="M721" s="7" t="inlineStr"/>
    </row>
    <row r="722">
      <c r="A722" s="33" t="n">
        <v>44841</v>
      </c>
      <c r="B722" s="7" t="inlineStr">
        <is>
          <t>NB Premium</t>
        </is>
      </c>
      <c r="C722" s="7" t="inlineStr">
        <is>
          <t>FY2022</t>
        </is>
      </c>
      <c r="D722" s="35" t="n">
        <v>150.36</v>
      </c>
      <c r="E722" s="32" t="n">
        <v>0.154</v>
      </c>
      <c r="F722" s="35">
        <f>D722/(1+E722)</f>
        <v/>
      </c>
      <c r="G722" s="7" t="inlineStr">
        <is>
          <t>FY2021</t>
        </is>
      </c>
      <c r="H722" s="35" t="n">
        <v>130.32</v>
      </c>
      <c r="I722" s="33" t="n">
        <v>44627</v>
      </c>
      <c r="J722" s="36">
        <f>F722-H722</f>
        <v/>
      </c>
      <c r="K722" s="16">
        <f>0.005/(1+E722)+D722*0.0005/(1+E722)^2+0.005</f>
        <v/>
      </c>
      <c r="L722" s="17">
        <f>IF(ABS(J722)&lt;=K722,"OK",IF(M722&lt;&gt;"","EXPLAINED","CHECK"))</f>
        <v/>
      </c>
      <c r="M722" s="7" t="inlineStr"/>
    </row>
    <row r="723">
      <c r="A723" s="33" t="n">
        <v>44841</v>
      </c>
      <c r="B723" s="7" t="inlineStr">
        <is>
          <t>NB Premium</t>
        </is>
      </c>
      <c r="C723" s="7" t="inlineStr">
        <is>
          <t>Sep-22</t>
        </is>
      </c>
      <c r="D723" s="35" t="n">
        <v>14.1</v>
      </c>
      <c r="E723" s="32" t="n">
        <v>-0.04</v>
      </c>
      <c r="F723" s="35">
        <f>D723/(1+E723)</f>
        <v/>
      </c>
      <c r="G723" s="7" t="inlineStr">
        <is>
          <t>Sep-21</t>
        </is>
      </c>
      <c r="H723" s="35" t="n">
        <v>14.69</v>
      </c>
      <c r="I723" s="33" t="n">
        <v>44476</v>
      </c>
      <c r="J723" s="36">
        <f>F723-H723</f>
        <v/>
      </c>
      <c r="K723" s="16">
        <f>0.005/(1+E723)+D723*0.0005/(1+E723)^2+0.005</f>
        <v/>
      </c>
      <c r="L723" s="17">
        <f>IF(ABS(J723)&lt;=K723,"OK",IF(M723&lt;&gt;"","EXPLAINED","CHECK"))</f>
        <v/>
      </c>
      <c r="M723" s="7" t="inlineStr"/>
    </row>
    <row r="724">
      <c r="A724" s="33" t="n">
        <v>44841</v>
      </c>
      <c r="B724" s="7" t="inlineStr">
        <is>
          <t>NB Premium</t>
        </is>
      </c>
      <c r="C724" s="7" t="inlineStr">
        <is>
          <t>Aug-22</t>
        </is>
      </c>
      <c r="D724" s="35" t="n">
        <v>14.21</v>
      </c>
      <c r="E724" s="32" t="n">
        <v>0.113</v>
      </c>
      <c r="F724" s="35">
        <f>D724/(1+E724)</f>
        <v/>
      </c>
      <c r="G724" s="7" t="inlineStr">
        <is>
          <t>Aug-21</t>
        </is>
      </c>
      <c r="H724" s="35" t="n">
        <v>12.76</v>
      </c>
      <c r="I724" s="33" t="n">
        <v>44476</v>
      </c>
      <c r="J724" s="36">
        <f>F724-H724</f>
        <v/>
      </c>
      <c r="K724" s="16">
        <f>0.005/(1+E724)+D724*0.0005/(1+E724)^2+0.005</f>
        <v/>
      </c>
      <c r="L724" s="17">
        <f>IF(ABS(J724)&lt;=K724,"OK",IF(M724&lt;&gt;"","EXPLAINED","CHECK"))</f>
        <v/>
      </c>
      <c r="M724" s="7" t="inlineStr"/>
    </row>
    <row r="725">
      <c r="A725" s="33" t="n">
        <v>44841</v>
      </c>
      <c r="B725" s="7" t="inlineStr">
        <is>
          <t>NB Premium</t>
        </is>
      </c>
      <c r="C725" s="7" t="inlineStr">
        <is>
          <t>Jul-22</t>
        </is>
      </c>
      <c r="D725" s="35" t="n">
        <v>13.44</v>
      </c>
      <c r="E725" s="32" t="n">
        <v>0.162</v>
      </c>
      <c r="F725" s="35">
        <f>D725/(1+E725)</f>
        <v/>
      </c>
      <c r="G725" s="7" t="inlineStr">
        <is>
          <t>Jul-21</t>
        </is>
      </c>
      <c r="H725" s="35" t="n">
        <v>11.57</v>
      </c>
      <c r="I725" s="33" t="n">
        <v>44476</v>
      </c>
      <c r="J725" s="36">
        <f>F725-H725</f>
        <v/>
      </c>
      <c r="K725" s="16">
        <f>0.005/(1+E725)+D725*0.0005/(1+E725)^2+0.005</f>
        <v/>
      </c>
      <c r="L725" s="17">
        <f>IF(ABS(J725)&lt;=K725,"OK",IF(M725&lt;&gt;"","EXPLAINED","CHECK"))</f>
        <v/>
      </c>
      <c r="M725" s="7" t="inlineStr"/>
    </row>
    <row r="726">
      <c r="A726" s="33" t="n">
        <v>44841</v>
      </c>
      <c r="B726" s="7" t="inlineStr">
        <is>
          <t>APE</t>
        </is>
      </c>
      <c r="C726" s="7" t="inlineStr">
        <is>
          <t>Q4-FY2022</t>
        </is>
      </c>
      <c r="D726" s="35" t="n">
        <v>26.08</v>
      </c>
      <c r="E726" s="32" t="n">
        <v>0.039</v>
      </c>
      <c r="F726" s="35">
        <f>D726/(1+E726)</f>
        <v/>
      </c>
      <c r="G726" s="7" t="inlineStr">
        <is>
          <t>Q4-FY2021</t>
        </is>
      </c>
      <c r="H726" s="35" t="n">
        <v>25.09</v>
      </c>
      <c r="I726" s="33" t="n">
        <v>44537</v>
      </c>
      <c r="J726" s="36">
        <f>F726-H726</f>
        <v/>
      </c>
      <c r="K726" s="16">
        <f>0.005/(1+E726)+D726*0.0005/(1+E726)^2+0.005</f>
        <v/>
      </c>
      <c r="L726" s="17">
        <f>IF(ABS(J726)&lt;=K726,"OK",IF(M726&lt;&gt;"","EXPLAINED","CHECK"))</f>
        <v/>
      </c>
      <c r="M726" s="7" t="inlineStr"/>
    </row>
    <row r="727">
      <c r="A727" s="33" t="n">
        <v>44841</v>
      </c>
      <c r="B727" s="7" t="inlineStr">
        <is>
          <t>APE</t>
        </is>
      </c>
      <c r="C727" s="7" t="inlineStr">
        <is>
          <t>Q1-FY2023</t>
        </is>
      </c>
      <c r="D727" s="35" t="n">
        <v>15.2</v>
      </c>
      <c r="E727" s="32" t="n">
        <v>0.247</v>
      </c>
      <c r="F727" s="35">
        <f>D727/(1+E727)</f>
        <v/>
      </c>
      <c r="G727" s="7" t="inlineStr">
        <is>
          <t>Q1-FY2022</t>
        </is>
      </c>
      <c r="H727" s="35" t="n">
        <v>12.19</v>
      </c>
      <c r="I727" s="33" t="n">
        <v>44508</v>
      </c>
      <c r="J727" s="36">
        <f>F727-H727</f>
        <v/>
      </c>
      <c r="K727" s="16">
        <f>0.005/(1+E727)+D727*0.0005/(1+E727)^2+0.005</f>
        <v/>
      </c>
      <c r="L727" s="17">
        <f>IF(ABS(J727)&lt;=K727,"OK",IF(M727&lt;&gt;"","EXPLAINED","CHECK"))</f>
        <v/>
      </c>
      <c r="M727" s="7" t="inlineStr"/>
    </row>
    <row r="728">
      <c r="A728" s="33" t="n">
        <v>44841</v>
      </c>
      <c r="B728" s="7" t="inlineStr">
        <is>
          <t>APE</t>
        </is>
      </c>
      <c r="C728" s="7" t="inlineStr">
        <is>
          <t>FY2022</t>
        </is>
      </c>
      <c r="D728" s="35" t="n">
        <v>77.33</v>
      </c>
      <c r="E728" s="32" t="n">
        <v>0.197</v>
      </c>
      <c r="F728" s="35">
        <f>D728/(1+E728)</f>
        <v/>
      </c>
      <c r="G728" s="7" t="inlineStr">
        <is>
          <t>FY2021</t>
        </is>
      </c>
      <c r="H728" s="35" t="n">
        <v>64.62</v>
      </c>
      <c r="I728" s="33" t="n">
        <v>44627</v>
      </c>
      <c r="J728" s="36">
        <f>F728-H728</f>
        <v/>
      </c>
      <c r="K728" s="16">
        <f>0.005/(1+E728)+D728*0.0005/(1+E728)^2+0.005</f>
        <v/>
      </c>
      <c r="L728" s="17">
        <f>IF(ABS(J728)&lt;=K728,"OK",IF(M728&lt;&gt;"","EXPLAINED","CHECK"))</f>
        <v/>
      </c>
      <c r="M728" s="7" t="inlineStr"/>
    </row>
    <row r="729">
      <c r="A729" s="33" t="n">
        <v>44841</v>
      </c>
      <c r="B729" s="7" t="inlineStr">
        <is>
          <t>APE</t>
        </is>
      </c>
      <c r="C729" s="7" t="inlineStr">
        <is>
          <t>Sep-22</t>
        </is>
      </c>
      <c r="D729" s="35" t="n">
        <v>7.46</v>
      </c>
      <c r="E729" s="32" t="n">
        <v>-0.029</v>
      </c>
      <c r="F729" s="35">
        <f>D729/(1+E729)</f>
        <v/>
      </c>
      <c r="G729" s="7" t="inlineStr">
        <is>
          <t>Sep-21</t>
        </is>
      </c>
      <c r="H729" s="35" t="n">
        <v>7.68</v>
      </c>
      <c r="I729" s="33" t="n">
        <v>44476</v>
      </c>
      <c r="J729" s="36">
        <f>F729-H729</f>
        <v/>
      </c>
      <c r="K729" s="16">
        <f>0.005/(1+E729)+D729*0.0005/(1+E729)^2+0.005</f>
        <v/>
      </c>
      <c r="L729" s="17">
        <f>IF(ABS(J729)&lt;=K729,"OK",IF(M729&lt;&gt;"","EXPLAINED","CHECK"))</f>
        <v/>
      </c>
      <c r="M729" s="7" t="inlineStr"/>
    </row>
    <row r="730">
      <c r="A730" s="33" t="n">
        <v>44841</v>
      </c>
      <c r="B730" s="7" t="inlineStr">
        <is>
          <t>APE</t>
        </is>
      </c>
      <c r="C730" s="7" t="inlineStr">
        <is>
          <t>Aug-22</t>
        </is>
      </c>
      <c r="D730" s="35" t="n">
        <v>6.25</v>
      </c>
      <c r="E730" s="32" t="n">
        <v>-0.023</v>
      </c>
      <c r="F730" s="35">
        <f>D730/(1+E730)</f>
        <v/>
      </c>
      <c r="G730" s="7" t="inlineStr">
        <is>
          <t>Aug-21</t>
        </is>
      </c>
      <c r="H730" s="35" t="n">
        <v>6.4</v>
      </c>
      <c r="I730" s="33" t="n">
        <v>44476</v>
      </c>
      <c r="J730" s="36">
        <f>F730-H730</f>
        <v/>
      </c>
      <c r="K730" s="16">
        <f>0.005/(1+E730)+D730*0.0005/(1+E730)^2+0.005</f>
        <v/>
      </c>
      <c r="L730" s="17">
        <f>IF(ABS(J730)&lt;=K730,"OK",IF(M730&lt;&gt;"","EXPLAINED","CHECK"))</f>
        <v/>
      </c>
      <c r="M730" s="7" t="inlineStr"/>
    </row>
    <row r="731">
      <c r="A731" s="33" t="n">
        <v>44841</v>
      </c>
      <c r="B731" s="7" t="inlineStr">
        <is>
          <t>APE</t>
        </is>
      </c>
      <c r="C731" s="7" t="inlineStr">
        <is>
          <t>Jul-22</t>
        </is>
      </c>
      <c r="D731" s="35" t="n">
        <v>6.29</v>
      </c>
      <c r="E731" s="32" t="n">
        <v>0.105</v>
      </c>
      <c r="F731" s="35">
        <f>D731/(1+E731)</f>
        <v/>
      </c>
      <c r="G731" s="7" t="inlineStr">
        <is>
          <t>Jul-21</t>
        </is>
      </c>
      <c r="H731" s="35" t="n">
        <v>5.69</v>
      </c>
      <c r="I731" s="33" t="n">
        <v>44476</v>
      </c>
      <c r="J731" s="36">
        <f>F731-H731</f>
        <v/>
      </c>
      <c r="K731" s="16">
        <f>0.005/(1+E731)+D731*0.0005/(1+E731)^2+0.005</f>
        <v/>
      </c>
      <c r="L731" s="17">
        <f>IF(ABS(J731)&lt;=K731,"OK",IF(M731&lt;&gt;"","EXPLAINED","CHECK"))</f>
        <v/>
      </c>
      <c r="M731" s="7" t="inlineStr"/>
    </row>
    <row r="732">
      <c r="A732" s="33" t="n">
        <v>44841</v>
      </c>
      <c r="B732" s="7" t="inlineStr">
        <is>
          <t>RWRP</t>
        </is>
      </c>
      <c r="C732" s="7" t="inlineStr">
        <is>
          <t>Q4-FY2022</t>
        </is>
      </c>
      <c r="D732" s="35" t="n">
        <v>20.74</v>
      </c>
      <c r="E732" s="32" t="n">
        <v>-0.035</v>
      </c>
      <c r="F732" s="35">
        <f>D732/(1+E732)</f>
        <v/>
      </c>
      <c r="G732" s="7" t="inlineStr">
        <is>
          <t>Q4-FY2021</t>
        </is>
      </c>
      <c r="H732" s="35" t="n">
        <v>21.49</v>
      </c>
      <c r="I732" s="33" t="n">
        <v>44537</v>
      </c>
      <c r="J732" s="36">
        <f>F732-H732</f>
        <v/>
      </c>
      <c r="K732" s="16">
        <f>0.005/(1+E732)+D732*0.0005/(1+E732)^2+0.005</f>
        <v/>
      </c>
      <c r="L732" s="17">
        <f>IF(ABS(J732)&lt;=K732,"OK",IF(M732&lt;&gt;"","EXPLAINED","CHECK"))</f>
        <v/>
      </c>
      <c r="M732" s="7" t="inlineStr"/>
    </row>
    <row r="733">
      <c r="A733" s="33" t="n">
        <v>44841</v>
      </c>
      <c r="B733" s="7" t="inlineStr">
        <is>
          <t>RWRP</t>
        </is>
      </c>
      <c r="C733" s="7" t="inlineStr">
        <is>
          <t>Q1-FY2023</t>
        </is>
      </c>
      <c r="D733" s="35" t="n">
        <v>11.01</v>
      </c>
      <c r="E733" s="32" t="n">
        <v>0.168</v>
      </c>
      <c r="F733" s="35">
        <f>D733/(1+E733)</f>
        <v/>
      </c>
      <c r="G733" s="7" t="inlineStr">
        <is>
          <t>Q1-FY2022</t>
        </is>
      </c>
      <c r="H733" s="35" t="n">
        <v>9.42</v>
      </c>
      <c r="I733" s="33" t="n">
        <v>44508</v>
      </c>
      <c r="J733" s="36">
        <f>F733-H733</f>
        <v/>
      </c>
      <c r="K733" s="16">
        <f>0.005/(1+E733)+D733*0.0005/(1+E733)^2+0.005</f>
        <v/>
      </c>
      <c r="L733" s="17">
        <f>IF(ABS(J733)&lt;=K733,"OK",IF(M733&lt;&gt;"","EXPLAINED","CHECK"))</f>
        <v/>
      </c>
      <c r="M733" s="7" t="inlineStr"/>
    </row>
    <row r="734">
      <c r="A734" s="33" t="n">
        <v>44841</v>
      </c>
      <c r="B734" s="7" t="inlineStr">
        <is>
          <t>RWRP</t>
        </is>
      </c>
      <c r="C734" s="7" t="inlineStr">
        <is>
          <t>FY2022</t>
        </is>
      </c>
      <c r="D734" s="35" t="n">
        <v>62.99</v>
      </c>
      <c r="E734" s="32" t="n">
        <v>0.155</v>
      </c>
      <c r="F734" s="35">
        <f>D734/(1+E734)</f>
        <v/>
      </c>
      <c r="G734" s="7" t="inlineStr">
        <is>
          <t>FY2021</t>
        </is>
      </c>
      <c r="H734" s="35" t="n">
        <v>54.54</v>
      </c>
      <c r="I734" s="33" t="n">
        <v>44627</v>
      </c>
      <c r="J734" s="36">
        <f>F734-H734</f>
        <v/>
      </c>
      <c r="K734" s="16">
        <f>0.005/(1+E734)+D734*0.0005/(1+E734)^2+0.005</f>
        <v/>
      </c>
      <c r="L734" s="17">
        <f>IF(ABS(J734)&lt;=K734,"OK",IF(M734&lt;&gt;"","EXPLAINED","CHECK"))</f>
        <v/>
      </c>
      <c r="M734" s="7" t="inlineStr"/>
    </row>
    <row r="735">
      <c r="A735" s="33" t="n">
        <v>44841</v>
      </c>
      <c r="B735" s="7" t="inlineStr">
        <is>
          <t>RWRP</t>
        </is>
      </c>
      <c r="C735" s="7" t="inlineStr">
        <is>
          <t>Sep-22</t>
        </is>
      </c>
      <c r="D735" s="35" t="n">
        <v>5.93</v>
      </c>
      <c r="E735" s="32" t="n">
        <v>-0.048</v>
      </c>
      <c r="F735" s="35">
        <f>D735/(1+E735)</f>
        <v/>
      </c>
      <c r="G735" s="7" t="inlineStr">
        <is>
          <t>Sep-21</t>
        </is>
      </c>
      <c r="H735" s="35" t="n">
        <v>6.23</v>
      </c>
      <c r="I735" s="33" t="n">
        <v>44476</v>
      </c>
      <c r="J735" s="36">
        <f>F735-H735</f>
        <v/>
      </c>
      <c r="K735" s="16">
        <f>0.005/(1+E735)+D735*0.0005/(1+E735)^2+0.005</f>
        <v/>
      </c>
      <c r="L735" s="17">
        <f>IF(ABS(J735)&lt;=K735,"OK",IF(M735&lt;&gt;"","EXPLAINED","CHECK"))</f>
        <v/>
      </c>
      <c r="M735" s="7" t="inlineStr"/>
    </row>
    <row r="736">
      <c r="A736" s="33" t="n">
        <v>44841</v>
      </c>
      <c r="B736" s="7" t="inlineStr">
        <is>
          <t>RWRP</t>
        </is>
      </c>
      <c r="C736" s="7" t="inlineStr">
        <is>
          <t>Aug-22</t>
        </is>
      </c>
      <c r="D736" s="35" t="n">
        <v>4.69</v>
      </c>
      <c r="E736" s="32" t="n">
        <v>-0.14</v>
      </c>
      <c r="F736" s="35">
        <f>D736/(1+E736)</f>
        <v/>
      </c>
      <c r="G736" s="7" t="inlineStr">
        <is>
          <t>Aug-21</t>
        </is>
      </c>
      <c r="H736" s="35" t="n">
        <v>5.45</v>
      </c>
      <c r="I736" s="33" t="n">
        <v>44476</v>
      </c>
      <c r="J736" s="36">
        <f>F736-H736</f>
        <v/>
      </c>
      <c r="K736" s="16">
        <f>0.005/(1+E736)+D736*0.0005/(1+E736)^2+0.005</f>
        <v/>
      </c>
      <c r="L736" s="17">
        <f>IF(ABS(J736)&lt;=K736,"OK",IF(M736&lt;&gt;"","EXPLAINED","CHECK"))</f>
        <v/>
      </c>
      <c r="M736" s="7" t="inlineStr"/>
    </row>
    <row r="737">
      <c r="A737" s="33" t="n">
        <v>44841</v>
      </c>
      <c r="B737" s="7" t="inlineStr">
        <is>
          <t>RWRP</t>
        </is>
      </c>
      <c r="C737" s="7" t="inlineStr">
        <is>
          <t>Jul-22</t>
        </is>
      </c>
      <c r="D737" s="35" t="n">
        <v>4.5</v>
      </c>
      <c r="E737" s="32" t="n">
        <v>-0.05599999999999999</v>
      </c>
      <c r="F737" s="35">
        <f>D737/(1+E737)</f>
        <v/>
      </c>
      <c r="G737" s="7" t="inlineStr">
        <is>
          <t>Jul-21</t>
        </is>
      </c>
      <c r="H737" s="35" t="n">
        <v>4.77</v>
      </c>
      <c r="I737" s="33" t="n">
        <v>44476</v>
      </c>
      <c r="J737" s="36">
        <f>F737-H737</f>
        <v/>
      </c>
      <c r="K737" s="16">
        <f>0.005/(1+E737)+D737*0.0005/(1+E737)^2+0.005</f>
        <v/>
      </c>
      <c r="L737" s="17">
        <f>IF(ABS(J737)&lt;=K737,"OK",IF(M737&lt;&gt;"","EXPLAINED","CHECK"))</f>
        <v/>
      </c>
      <c r="M737" s="7" t="inlineStr"/>
    </row>
    <row r="738">
      <c r="A738" s="33" t="n">
        <v>44811</v>
      </c>
      <c r="B738" s="7" t="inlineStr">
        <is>
          <t>NB Sum Assured</t>
        </is>
      </c>
      <c r="C738" s="7" t="inlineStr">
        <is>
          <t>Q4-FY2022</t>
        </is>
      </c>
      <c r="D738" s="35" t="n">
        <v>2599.83</v>
      </c>
      <c r="E738" s="32" t="n">
        <v>0.267</v>
      </c>
      <c r="F738" s="35">
        <f>D738/(1+E738)</f>
        <v/>
      </c>
      <c r="G738" s="7" t="inlineStr">
        <is>
          <t>Q4-FY2021</t>
        </is>
      </c>
      <c r="H738" s="35" t="n">
        <v>2051.84</v>
      </c>
      <c r="I738" s="33" t="n">
        <v>44537</v>
      </c>
      <c r="J738" s="36">
        <f>F738-H738</f>
        <v/>
      </c>
      <c r="K738" s="16">
        <f>0.005/(1+E738)+D738*0.0005/(1+E738)^2+0.005</f>
        <v/>
      </c>
      <c r="L738" s="17">
        <f>IF(ABS(J738)&lt;=K738,"OK",IF(M738&lt;&gt;"","EXPLAINED","CHECK"))</f>
        <v/>
      </c>
      <c r="M738" s="7" t="inlineStr"/>
    </row>
    <row r="739">
      <c r="A739" s="33" t="n">
        <v>44811</v>
      </c>
      <c r="B739" s="7" t="inlineStr">
        <is>
          <t>NB Sum Assured</t>
        </is>
      </c>
      <c r="C739" s="7" t="inlineStr">
        <is>
          <t>Q1-FY2023</t>
        </is>
      </c>
      <c r="D739" s="35" t="n">
        <v>2209.35</v>
      </c>
      <c r="E739" s="32" t="n">
        <v>0.249</v>
      </c>
      <c r="F739" s="35">
        <f>D739/(1+E739)</f>
        <v/>
      </c>
      <c r="G739" s="7" t="inlineStr">
        <is>
          <t>Q1-FY2022</t>
        </is>
      </c>
      <c r="H739" s="35" t="n">
        <v>1768.62</v>
      </c>
      <c r="I739" s="33" t="n">
        <v>44508</v>
      </c>
      <c r="J739" s="36">
        <f>F739-H739</f>
        <v/>
      </c>
      <c r="K739" s="16">
        <f>0.005/(1+E739)+D739*0.0005/(1+E739)^2+0.005</f>
        <v/>
      </c>
      <c r="L739" s="17">
        <f>IF(ABS(J739)&lt;=K739,"OK",IF(M739&lt;&gt;"","EXPLAINED","CHECK"))</f>
        <v/>
      </c>
      <c r="M739" s="7" t="inlineStr"/>
    </row>
    <row r="740">
      <c r="A740" s="33" t="n">
        <v>44811</v>
      </c>
      <c r="B740" s="7" t="inlineStr">
        <is>
          <t>NB Sum Assured</t>
        </is>
      </c>
      <c r="C740" s="7" t="inlineStr">
        <is>
          <t>FY2022</t>
        </is>
      </c>
      <c r="D740" s="35" t="n">
        <v>7731.46</v>
      </c>
      <c r="E740" s="32" t="n">
        <v>0.254</v>
      </c>
      <c r="F740" s="35">
        <f>D740/(1+E740)</f>
        <v/>
      </c>
      <c r="G740" s="7" t="inlineStr">
        <is>
          <t>FY2021</t>
        </is>
      </c>
      <c r="H740" s="35" t="n">
        <v>6166.84</v>
      </c>
      <c r="I740" s="33" t="n">
        <v>44627</v>
      </c>
      <c r="J740" s="36">
        <f>F740-H740</f>
        <v/>
      </c>
      <c r="K740" s="16">
        <f>0.005/(1+E740)+D740*0.0005/(1+E740)^2+0.005</f>
        <v/>
      </c>
      <c r="L740" s="17">
        <f>IF(ABS(J740)&lt;=K740,"OK",IF(M740&lt;&gt;"","EXPLAINED","CHECK"))</f>
        <v/>
      </c>
      <c r="M740" s="7" t="inlineStr"/>
    </row>
    <row r="741">
      <c r="A741" s="33" t="n">
        <v>44811</v>
      </c>
      <c r="B741" s="7" t="inlineStr">
        <is>
          <t>NB Sum Assured</t>
        </is>
      </c>
      <c r="C741" s="7" t="inlineStr">
        <is>
          <t>Aug-22</t>
        </is>
      </c>
      <c r="D741" s="35" t="n">
        <v>753.51</v>
      </c>
      <c r="E741" s="32" t="n">
        <v>0.478</v>
      </c>
      <c r="F741" s="35">
        <f>D741/(1+E741)</f>
        <v/>
      </c>
      <c r="G741" s="7" t="inlineStr">
        <is>
          <t>Aug-21</t>
        </is>
      </c>
      <c r="H741" s="35" t="n">
        <v>509.69</v>
      </c>
      <c r="I741" s="33" t="n">
        <v>44476</v>
      </c>
      <c r="J741" s="36">
        <f>F741-H741</f>
        <v/>
      </c>
      <c r="K741" s="16">
        <f>0.005/(1+E741)+D741*0.0005/(1+E741)^2+0.005</f>
        <v/>
      </c>
      <c r="L741" s="17">
        <f>IF(ABS(J741)&lt;=K741,"OK",IF(M741&lt;&gt;"","EXPLAINED","CHECK"))</f>
        <v/>
      </c>
      <c r="M741" s="7" t="inlineStr"/>
    </row>
    <row r="742">
      <c r="A742" s="33" t="n">
        <v>44811</v>
      </c>
      <c r="B742" s="7" t="inlineStr">
        <is>
          <t>NB Sum Assured</t>
        </is>
      </c>
      <c r="C742" s="7" t="inlineStr">
        <is>
          <t>Jul-22</t>
        </is>
      </c>
      <c r="D742" s="35" t="n">
        <v>957.28</v>
      </c>
      <c r="E742" s="32" t="n">
        <v>0.9129999999999999</v>
      </c>
      <c r="F742" s="35">
        <f>D742/(1+E742)</f>
        <v/>
      </c>
      <c r="G742" s="7" t="inlineStr">
        <is>
          <t>Jul-21</t>
        </is>
      </c>
      <c r="H742" s="35" t="n">
        <v>500.33</v>
      </c>
      <c r="I742" s="33" t="n">
        <v>44476</v>
      </c>
      <c r="J742" s="36">
        <f>F742-H742</f>
        <v/>
      </c>
      <c r="K742" s="16">
        <f>0.005/(1+E742)+D742*0.0005/(1+E742)^2+0.005</f>
        <v/>
      </c>
      <c r="L742" s="17">
        <f>IF(ABS(J742)&lt;=K742,"OK",IF(M742&lt;&gt;"","EXPLAINED","CHECK"))</f>
        <v/>
      </c>
      <c r="M742" s="7" t="inlineStr"/>
    </row>
    <row r="743">
      <c r="A743" s="33" t="n">
        <v>44811</v>
      </c>
      <c r="B743" s="7" t="inlineStr">
        <is>
          <t>NB Premium</t>
        </is>
      </c>
      <c r="C743" s="7" t="inlineStr">
        <is>
          <t>Q4-FY2022</t>
        </is>
      </c>
      <c r="D743" s="35" t="n">
        <v>47.88</v>
      </c>
      <c r="E743" s="32" t="n">
        <v>-0.067</v>
      </c>
      <c r="F743" s="35">
        <f>D743/(1+E743)</f>
        <v/>
      </c>
      <c r="G743" s="7" t="inlineStr">
        <is>
          <t>Q4-FY2021</t>
        </is>
      </c>
      <c r="H743" s="35" t="n">
        <v>51.33</v>
      </c>
      <c r="I743" s="33" t="n">
        <v>44537</v>
      </c>
      <c r="J743" s="36">
        <f>F743-H743</f>
        <v/>
      </c>
      <c r="K743" s="16">
        <f>0.005/(1+E743)+D743*0.0005/(1+E743)^2+0.005</f>
        <v/>
      </c>
      <c r="L743" s="17">
        <f>IF(ABS(J743)&lt;=K743,"OK",IF(M743&lt;&gt;"","EXPLAINED","CHECK"))</f>
        <v/>
      </c>
      <c r="M743" s="7" t="inlineStr"/>
    </row>
    <row r="744">
      <c r="A744" s="33" t="n">
        <v>44811</v>
      </c>
      <c r="B744" s="7" t="inlineStr">
        <is>
          <t>NB Premium</t>
        </is>
      </c>
      <c r="C744" s="7" t="inlineStr">
        <is>
          <t>Q1-FY2023</t>
        </is>
      </c>
      <c r="D744" s="35" t="n">
        <v>31.84</v>
      </c>
      <c r="E744" s="32" t="n">
        <v>0.244</v>
      </c>
      <c r="F744" s="35">
        <f>D744/(1+E744)</f>
        <v/>
      </c>
      <c r="G744" s="7" t="inlineStr">
        <is>
          <t>Q1-FY2022</t>
        </is>
      </c>
      <c r="H744" s="35" t="n">
        <v>25.59</v>
      </c>
      <c r="I744" s="33" t="n">
        <v>44508</v>
      </c>
      <c r="J744" s="36">
        <f>F744-H744</f>
        <v/>
      </c>
      <c r="K744" s="16">
        <f>0.005/(1+E744)+D744*0.0005/(1+E744)^2+0.005</f>
        <v/>
      </c>
      <c r="L744" s="17">
        <f>IF(ABS(J744)&lt;=K744,"OK",IF(M744&lt;&gt;"","EXPLAINED","CHECK"))</f>
        <v/>
      </c>
      <c r="M744" s="7" t="inlineStr"/>
    </row>
    <row r="745">
      <c r="A745" s="33" t="n">
        <v>44811</v>
      </c>
      <c r="B745" s="7" t="inlineStr">
        <is>
          <t>NB Premium</t>
        </is>
      </c>
      <c r="C745" s="7" t="inlineStr">
        <is>
          <t>FY2022</t>
        </is>
      </c>
      <c r="D745" s="35" t="n">
        <v>150.36</v>
      </c>
      <c r="E745" s="32" t="n">
        <v>0.154</v>
      </c>
      <c r="F745" s="35">
        <f>D745/(1+E745)</f>
        <v/>
      </c>
      <c r="G745" s="7" t="inlineStr">
        <is>
          <t>FY2021</t>
        </is>
      </c>
      <c r="H745" s="35" t="n">
        <v>130.32</v>
      </c>
      <c r="I745" s="33" t="n">
        <v>44627</v>
      </c>
      <c r="J745" s="36">
        <f>F745-H745</f>
        <v/>
      </c>
      <c r="K745" s="16">
        <f>0.005/(1+E745)+D745*0.0005/(1+E745)^2+0.005</f>
        <v/>
      </c>
      <c r="L745" s="17">
        <f>IF(ABS(J745)&lt;=K745,"OK",IF(M745&lt;&gt;"","EXPLAINED","CHECK"))</f>
        <v/>
      </c>
      <c r="M745" s="7" t="inlineStr"/>
    </row>
    <row r="746">
      <c r="A746" s="33" t="n">
        <v>44811</v>
      </c>
      <c r="B746" s="7" t="inlineStr">
        <is>
          <t>NB Premium</t>
        </is>
      </c>
      <c r="C746" s="7" t="inlineStr">
        <is>
          <t>Aug-22</t>
        </is>
      </c>
      <c r="D746" s="35" t="n">
        <v>14.21</v>
      </c>
      <c r="E746" s="32" t="n">
        <v>0.113</v>
      </c>
      <c r="F746" s="35">
        <f>D746/(1+E746)</f>
        <v/>
      </c>
      <c r="G746" s="7" t="inlineStr">
        <is>
          <t>Aug-21</t>
        </is>
      </c>
      <c r="H746" s="35" t="n">
        <v>12.76</v>
      </c>
      <c r="I746" s="33" t="n">
        <v>44476</v>
      </c>
      <c r="J746" s="36">
        <f>F746-H746</f>
        <v/>
      </c>
      <c r="K746" s="16">
        <f>0.005/(1+E746)+D746*0.0005/(1+E746)^2+0.005</f>
        <v/>
      </c>
      <c r="L746" s="17">
        <f>IF(ABS(J746)&lt;=K746,"OK",IF(M746&lt;&gt;"","EXPLAINED","CHECK"))</f>
        <v/>
      </c>
      <c r="M746" s="7" t="inlineStr"/>
    </row>
    <row r="747">
      <c r="A747" s="33" t="n">
        <v>44811</v>
      </c>
      <c r="B747" s="7" t="inlineStr">
        <is>
          <t>NB Premium</t>
        </is>
      </c>
      <c r="C747" s="7" t="inlineStr">
        <is>
          <t>Jul-22</t>
        </is>
      </c>
      <c r="D747" s="35" t="n">
        <v>13.44</v>
      </c>
      <c r="E747" s="32" t="n">
        <v>0.162</v>
      </c>
      <c r="F747" s="35">
        <f>D747/(1+E747)</f>
        <v/>
      </c>
      <c r="G747" s="7" t="inlineStr">
        <is>
          <t>Jul-21</t>
        </is>
      </c>
      <c r="H747" s="35" t="n">
        <v>11.57</v>
      </c>
      <c r="I747" s="33" t="n">
        <v>44476</v>
      </c>
      <c r="J747" s="36">
        <f>F747-H747</f>
        <v/>
      </c>
      <c r="K747" s="16">
        <f>0.005/(1+E747)+D747*0.0005/(1+E747)^2+0.005</f>
        <v/>
      </c>
      <c r="L747" s="17">
        <f>IF(ABS(J747)&lt;=K747,"OK",IF(M747&lt;&gt;"","EXPLAINED","CHECK"))</f>
        <v/>
      </c>
      <c r="M747" s="7" t="inlineStr"/>
    </row>
    <row r="748">
      <c r="A748" s="33" t="n">
        <v>44811</v>
      </c>
      <c r="B748" s="7" t="inlineStr">
        <is>
          <t>APE</t>
        </is>
      </c>
      <c r="C748" s="7" t="inlineStr">
        <is>
          <t>Q4-FY2022</t>
        </is>
      </c>
      <c r="D748" s="35" t="n">
        <v>26.08</v>
      </c>
      <c r="E748" s="32" t="n">
        <v>0.039</v>
      </c>
      <c r="F748" s="35">
        <f>D748/(1+E748)</f>
        <v/>
      </c>
      <c r="G748" s="7" t="inlineStr">
        <is>
          <t>Q4-FY2021</t>
        </is>
      </c>
      <c r="H748" s="35" t="n">
        <v>25.09</v>
      </c>
      <c r="I748" s="33" t="n">
        <v>44537</v>
      </c>
      <c r="J748" s="36">
        <f>F748-H748</f>
        <v/>
      </c>
      <c r="K748" s="16">
        <f>0.005/(1+E748)+D748*0.0005/(1+E748)^2+0.005</f>
        <v/>
      </c>
      <c r="L748" s="17">
        <f>IF(ABS(J748)&lt;=K748,"OK",IF(M748&lt;&gt;"","EXPLAINED","CHECK"))</f>
        <v/>
      </c>
      <c r="M748" s="7" t="inlineStr"/>
    </row>
    <row r="749">
      <c r="A749" s="33" t="n">
        <v>44811</v>
      </c>
      <c r="B749" s="7" t="inlineStr">
        <is>
          <t>APE</t>
        </is>
      </c>
      <c r="C749" s="7" t="inlineStr">
        <is>
          <t>Q1-FY2023</t>
        </is>
      </c>
      <c r="D749" s="35" t="n">
        <v>15.2</v>
      </c>
      <c r="E749" s="32" t="n">
        <v>0.247</v>
      </c>
      <c r="F749" s="35">
        <f>D749/(1+E749)</f>
        <v/>
      </c>
      <c r="G749" s="7" t="inlineStr">
        <is>
          <t>Q1-FY2022</t>
        </is>
      </c>
      <c r="H749" s="35" t="n">
        <v>12.19</v>
      </c>
      <c r="I749" s="33" t="n">
        <v>44508</v>
      </c>
      <c r="J749" s="36">
        <f>F749-H749</f>
        <v/>
      </c>
      <c r="K749" s="16">
        <f>0.005/(1+E749)+D749*0.0005/(1+E749)^2+0.005</f>
        <v/>
      </c>
      <c r="L749" s="17">
        <f>IF(ABS(J749)&lt;=K749,"OK",IF(M749&lt;&gt;"","EXPLAINED","CHECK"))</f>
        <v/>
      </c>
      <c r="M749" s="7" t="inlineStr"/>
    </row>
    <row r="750">
      <c r="A750" s="33" t="n">
        <v>44811</v>
      </c>
      <c r="B750" s="7" t="inlineStr">
        <is>
          <t>APE</t>
        </is>
      </c>
      <c r="C750" s="7" t="inlineStr">
        <is>
          <t>FY2022</t>
        </is>
      </c>
      <c r="D750" s="35" t="n">
        <v>77.33</v>
      </c>
      <c r="E750" s="32" t="n">
        <v>0.197</v>
      </c>
      <c r="F750" s="35">
        <f>D750/(1+E750)</f>
        <v/>
      </c>
      <c r="G750" s="7" t="inlineStr">
        <is>
          <t>FY2021</t>
        </is>
      </c>
      <c r="H750" s="35" t="n">
        <v>64.62</v>
      </c>
      <c r="I750" s="33" t="n">
        <v>44627</v>
      </c>
      <c r="J750" s="36">
        <f>F750-H750</f>
        <v/>
      </c>
      <c r="K750" s="16">
        <f>0.005/(1+E750)+D750*0.0005/(1+E750)^2+0.005</f>
        <v/>
      </c>
      <c r="L750" s="17">
        <f>IF(ABS(J750)&lt;=K750,"OK",IF(M750&lt;&gt;"","EXPLAINED","CHECK"))</f>
        <v/>
      </c>
      <c r="M750" s="7" t="inlineStr"/>
    </row>
    <row r="751">
      <c r="A751" s="33" t="n">
        <v>44811</v>
      </c>
      <c r="B751" s="7" t="inlineStr">
        <is>
          <t>APE</t>
        </is>
      </c>
      <c r="C751" s="7" t="inlineStr">
        <is>
          <t>Aug-22</t>
        </is>
      </c>
      <c r="D751" s="35" t="n">
        <v>6.25</v>
      </c>
      <c r="E751" s="32" t="n">
        <v>-0.023</v>
      </c>
      <c r="F751" s="35">
        <f>D751/(1+E751)</f>
        <v/>
      </c>
      <c r="G751" s="7" t="inlineStr">
        <is>
          <t>Aug-21</t>
        </is>
      </c>
      <c r="H751" s="35" t="n">
        <v>6.4</v>
      </c>
      <c r="I751" s="33" t="n">
        <v>44476</v>
      </c>
      <c r="J751" s="36">
        <f>F751-H751</f>
        <v/>
      </c>
      <c r="K751" s="16">
        <f>0.005/(1+E751)+D751*0.0005/(1+E751)^2+0.005</f>
        <v/>
      </c>
      <c r="L751" s="17">
        <f>IF(ABS(J751)&lt;=K751,"OK",IF(M751&lt;&gt;"","EXPLAINED","CHECK"))</f>
        <v/>
      </c>
      <c r="M751" s="7" t="inlineStr"/>
    </row>
    <row r="752">
      <c r="A752" s="33" t="n">
        <v>44811</v>
      </c>
      <c r="B752" s="7" t="inlineStr">
        <is>
          <t>APE</t>
        </is>
      </c>
      <c r="C752" s="7" t="inlineStr">
        <is>
          <t>Jul-22</t>
        </is>
      </c>
      <c r="D752" s="35" t="n">
        <v>6.29</v>
      </c>
      <c r="E752" s="32" t="n">
        <v>0.105</v>
      </c>
      <c r="F752" s="35">
        <f>D752/(1+E752)</f>
        <v/>
      </c>
      <c r="G752" s="7" t="inlineStr">
        <is>
          <t>Jul-21</t>
        </is>
      </c>
      <c r="H752" s="35" t="n">
        <v>5.69</v>
      </c>
      <c r="I752" s="33" t="n">
        <v>44476</v>
      </c>
      <c r="J752" s="36">
        <f>F752-H752</f>
        <v/>
      </c>
      <c r="K752" s="16">
        <f>0.005/(1+E752)+D752*0.0005/(1+E752)^2+0.005</f>
        <v/>
      </c>
      <c r="L752" s="17">
        <f>IF(ABS(J752)&lt;=K752,"OK",IF(M752&lt;&gt;"","EXPLAINED","CHECK"))</f>
        <v/>
      </c>
      <c r="M752" s="7" t="inlineStr"/>
    </row>
    <row r="753">
      <c r="A753" s="33" t="n">
        <v>44811</v>
      </c>
      <c r="B753" s="7" t="inlineStr">
        <is>
          <t>RWRP</t>
        </is>
      </c>
      <c r="C753" s="7" t="inlineStr">
        <is>
          <t>Q4-FY2022</t>
        </is>
      </c>
      <c r="D753" s="35" t="n">
        <v>20.74</v>
      </c>
      <c r="E753" s="32" t="n">
        <v>-0.035</v>
      </c>
      <c r="F753" s="35">
        <f>D753/(1+E753)</f>
        <v/>
      </c>
      <c r="G753" s="7" t="inlineStr">
        <is>
          <t>Q4-FY2021</t>
        </is>
      </c>
      <c r="H753" s="35" t="n">
        <v>21.49</v>
      </c>
      <c r="I753" s="33" t="n">
        <v>44537</v>
      </c>
      <c r="J753" s="36">
        <f>F753-H753</f>
        <v/>
      </c>
      <c r="K753" s="16">
        <f>0.005/(1+E753)+D753*0.0005/(1+E753)^2+0.005</f>
        <v/>
      </c>
      <c r="L753" s="17">
        <f>IF(ABS(J753)&lt;=K753,"OK",IF(M753&lt;&gt;"","EXPLAINED","CHECK"))</f>
        <v/>
      </c>
      <c r="M753" s="7" t="inlineStr"/>
    </row>
    <row r="754">
      <c r="A754" s="33" t="n">
        <v>44811</v>
      </c>
      <c r="B754" s="7" t="inlineStr">
        <is>
          <t>RWRP</t>
        </is>
      </c>
      <c r="C754" s="7" t="inlineStr">
        <is>
          <t>Q1-FY2023</t>
        </is>
      </c>
      <c r="D754" s="35" t="n">
        <v>11.01</v>
      </c>
      <c r="E754" s="32" t="n">
        <v>0.168</v>
      </c>
      <c r="F754" s="35">
        <f>D754/(1+E754)</f>
        <v/>
      </c>
      <c r="G754" s="7" t="inlineStr">
        <is>
          <t>Q1-FY2022</t>
        </is>
      </c>
      <c r="H754" s="35" t="n">
        <v>9.42</v>
      </c>
      <c r="I754" s="33" t="n">
        <v>44508</v>
      </c>
      <c r="J754" s="36">
        <f>F754-H754</f>
        <v/>
      </c>
      <c r="K754" s="16">
        <f>0.005/(1+E754)+D754*0.0005/(1+E754)^2+0.005</f>
        <v/>
      </c>
      <c r="L754" s="17">
        <f>IF(ABS(J754)&lt;=K754,"OK",IF(M754&lt;&gt;"","EXPLAINED","CHECK"))</f>
        <v/>
      </c>
      <c r="M754" s="7" t="inlineStr"/>
    </row>
    <row r="755">
      <c r="A755" s="33" t="n">
        <v>44811</v>
      </c>
      <c r="B755" s="7" t="inlineStr">
        <is>
          <t>RWRP</t>
        </is>
      </c>
      <c r="C755" s="7" t="inlineStr">
        <is>
          <t>FY2022</t>
        </is>
      </c>
      <c r="D755" s="35" t="n">
        <v>62.99</v>
      </c>
      <c r="E755" s="32" t="n">
        <v>0.155</v>
      </c>
      <c r="F755" s="35">
        <f>D755/(1+E755)</f>
        <v/>
      </c>
      <c r="G755" s="7" t="inlineStr">
        <is>
          <t>FY2021</t>
        </is>
      </c>
      <c r="H755" s="35" t="n">
        <v>54.54</v>
      </c>
      <c r="I755" s="33" t="n">
        <v>44627</v>
      </c>
      <c r="J755" s="36">
        <f>F755-H755</f>
        <v/>
      </c>
      <c r="K755" s="16">
        <f>0.005/(1+E755)+D755*0.0005/(1+E755)^2+0.005</f>
        <v/>
      </c>
      <c r="L755" s="17">
        <f>IF(ABS(J755)&lt;=K755,"OK",IF(M755&lt;&gt;"","EXPLAINED","CHECK"))</f>
        <v/>
      </c>
      <c r="M755" s="7" t="inlineStr"/>
    </row>
    <row r="756">
      <c r="A756" s="33" t="n">
        <v>44811</v>
      </c>
      <c r="B756" s="7" t="inlineStr">
        <is>
          <t>RWRP</t>
        </is>
      </c>
      <c r="C756" s="7" t="inlineStr">
        <is>
          <t>Aug-22</t>
        </is>
      </c>
      <c r="D756" s="35" t="n">
        <v>4.69</v>
      </c>
      <c r="E756" s="32" t="n">
        <v>-0.14</v>
      </c>
      <c r="F756" s="35">
        <f>D756/(1+E756)</f>
        <v/>
      </c>
      <c r="G756" s="7" t="inlineStr">
        <is>
          <t>Aug-21</t>
        </is>
      </c>
      <c r="H756" s="35" t="n">
        <v>5.45</v>
      </c>
      <c r="I756" s="33" t="n">
        <v>44476</v>
      </c>
      <c r="J756" s="36">
        <f>F756-H756</f>
        <v/>
      </c>
      <c r="K756" s="16">
        <f>0.005/(1+E756)+D756*0.0005/(1+E756)^2+0.005</f>
        <v/>
      </c>
      <c r="L756" s="17">
        <f>IF(ABS(J756)&lt;=K756,"OK",IF(M756&lt;&gt;"","EXPLAINED","CHECK"))</f>
        <v/>
      </c>
      <c r="M756" s="7" t="inlineStr"/>
    </row>
    <row r="757">
      <c r="A757" s="33" t="n">
        <v>44811</v>
      </c>
      <c r="B757" s="7" t="inlineStr">
        <is>
          <t>RWRP</t>
        </is>
      </c>
      <c r="C757" s="7" t="inlineStr">
        <is>
          <t>Jul-22</t>
        </is>
      </c>
      <c r="D757" s="35" t="n">
        <v>4.5</v>
      </c>
      <c r="E757" s="32" t="n">
        <v>-0.05599999999999999</v>
      </c>
      <c r="F757" s="35">
        <f>D757/(1+E757)</f>
        <v/>
      </c>
      <c r="G757" s="7" t="inlineStr">
        <is>
          <t>Jul-21</t>
        </is>
      </c>
      <c r="H757" s="35" t="n">
        <v>4.77</v>
      </c>
      <c r="I757" s="33" t="n">
        <v>44476</v>
      </c>
      <c r="J757" s="36">
        <f>F757-H757</f>
        <v/>
      </c>
      <c r="K757" s="16">
        <f>0.005/(1+E757)+D757*0.0005/(1+E757)^2+0.005</f>
        <v/>
      </c>
      <c r="L757" s="17">
        <f>IF(ABS(J757)&lt;=K757,"OK",IF(M757&lt;&gt;"","EXPLAINED","CHECK"))</f>
        <v/>
      </c>
      <c r="M757" s="7" t="inlineStr"/>
    </row>
    <row r="758">
      <c r="A758" s="33" t="n">
        <v>44781</v>
      </c>
      <c r="B758" s="7" t="inlineStr">
        <is>
          <t>NB Sum Assured</t>
        </is>
      </c>
      <c r="C758" s="7" t="inlineStr">
        <is>
          <t>Q4-FY2022</t>
        </is>
      </c>
      <c r="D758" s="35" t="n">
        <v>2599.83</v>
      </c>
      <c r="E758" s="32" t="n">
        <v>0.267</v>
      </c>
      <c r="F758" s="35">
        <f>D758/(1+E758)</f>
        <v/>
      </c>
      <c r="G758" s="7" t="inlineStr">
        <is>
          <t>Q4-FY2021</t>
        </is>
      </c>
      <c r="H758" s="35" t="n">
        <v>2051.84</v>
      </c>
      <c r="I758" s="33" t="n">
        <v>44537</v>
      </c>
      <c r="J758" s="36">
        <f>F758-H758</f>
        <v/>
      </c>
      <c r="K758" s="16">
        <f>0.005/(1+E758)+D758*0.0005/(1+E758)^2+0.005</f>
        <v/>
      </c>
      <c r="L758" s="17">
        <f>IF(ABS(J758)&lt;=K758,"OK",IF(M758&lt;&gt;"","EXPLAINED","CHECK"))</f>
        <v/>
      </c>
      <c r="M758" s="7" t="inlineStr"/>
    </row>
    <row r="759">
      <c r="A759" s="33" t="n">
        <v>44781</v>
      </c>
      <c r="B759" s="7" t="inlineStr">
        <is>
          <t>NB Sum Assured</t>
        </is>
      </c>
      <c r="C759" s="7" t="inlineStr">
        <is>
          <t>Q1-FY2023</t>
        </is>
      </c>
      <c r="D759" s="35" t="n">
        <v>2209.35</v>
      </c>
      <c r="E759" s="32" t="n">
        <v>0.249</v>
      </c>
      <c r="F759" s="35">
        <f>D759/(1+E759)</f>
        <v/>
      </c>
      <c r="G759" s="7" t="inlineStr">
        <is>
          <t>Q1-FY2022</t>
        </is>
      </c>
      <c r="H759" s="35" t="n">
        <v>1768.62</v>
      </c>
      <c r="I759" s="33" t="n">
        <v>44508</v>
      </c>
      <c r="J759" s="36">
        <f>F759-H759</f>
        <v/>
      </c>
      <c r="K759" s="16">
        <f>0.005/(1+E759)+D759*0.0005/(1+E759)^2+0.005</f>
        <v/>
      </c>
      <c r="L759" s="17">
        <f>IF(ABS(J759)&lt;=K759,"OK",IF(M759&lt;&gt;"","EXPLAINED","CHECK"))</f>
        <v/>
      </c>
      <c r="M759" s="7" t="inlineStr"/>
    </row>
    <row r="760">
      <c r="A760" s="33" t="n">
        <v>44781</v>
      </c>
      <c r="B760" s="7" t="inlineStr">
        <is>
          <t>NB Sum Assured</t>
        </is>
      </c>
      <c r="C760" s="7" t="inlineStr">
        <is>
          <t>FY2022</t>
        </is>
      </c>
      <c r="D760" s="35" t="n">
        <v>7731.46</v>
      </c>
      <c r="E760" s="32" t="n">
        <v>0.254</v>
      </c>
      <c r="F760" s="35">
        <f>D760/(1+E760)</f>
        <v/>
      </c>
      <c r="G760" s="7" t="inlineStr">
        <is>
          <t>FY2021</t>
        </is>
      </c>
      <c r="H760" s="35" t="n">
        <v>6166.84</v>
      </c>
      <c r="I760" s="33" t="n">
        <v>44627</v>
      </c>
      <c r="J760" s="36">
        <f>F760-H760</f>
        <v/>
      </c>
      <c r="K760" s="16">
        <f>0.005/(1+E760)+D760*0.0005/(1+E760)^2+0.005</f>
        <v/>
      </c>
      <c r="L760" s="17">
        <f>IF(ABS(J760)&lt;=K760,"OK",IF(M760&lt;&gt;"","EXPLAINED","CHECK"))</f>
        <v/>
      </c>
      <c r="M760" s="7" t="inlineStr"/>
    </row>
    <row r="761">
      <c r="A761" s="33" t="n">
        <v>44781</v>
      </c>
      <c r="B761" s="7" t="inlineStr">
        <is>
          <t>NB Sum Assured</t>
        </is>
      </c>
      <c r="C761" s="7" t="inlineStr">
        <is>
          <t>Jul-22</t>
        </is>
      </c>
      <c r="D761" s="35" t="n">
        <v>957.28</v>
      </c>
      <c r="E761" s="32" t="n">
        <v>0.9129999999999999</v>
      </c>
      <c r="F761" s="35">
        <f>D761/(1+E761)</f>
        <v/>
      </c>
      <c r="G761" s="7" t="inlineStr">
        <is>
          <t>Jul-21</t>
        </is>
      </c>
      <c r="H761" s="35" t="n">
        <v>500.33</v>
      </c>
      <c r="I761" s="33" t="n">
        <v>44476</v>
      </c>
      <c r="J761" s="36">
        <f>F761-H761</f>
        <v/>
      </c>
      <c r="K761" s="16">
        <f>0.005/(1+E761)+D761*0.0005/(1+E761)^2+0.005</f>
        <v/>
      </c>
      <c r="L761" s="17">
        <f>IF(ABS(J761)&lt;=K761,"OK",IF(M761&lt;&gt;"","EXPLAINED","CHECK"))</f>
        <v/>
      </c>
      <c r="M761" s="7" t="inlineStr"/>
    </row>
    <row r="762">
      <c r="A762" s="33" t="n">
        <v>44781</v>
      </c>
      <c r="B762" s="7" t="inlineStr">
        <is>
          <t>NB Premium</t>
        </is>
      </c>
      <c r="C762" s="7" t="inlineStr">
        <is>
          <t>Q4-FY2022</t>
        </is>
      </c>
      <c r="D762" s="35" t="n">
        <v>47.88</v>
      </c>
      <c r="E762" s="32" t="n">
        <v>-0.067</v>
      </c>
      <c r="F762" s="35">
        <f>D762/(1+E762)</f>
        <v/>
      </c>
      <c r="G762" s="7" t="inlineStr">
        <is>
          <t>Q4-FY2021</t>
        </is>
      </c>
      <c r="H762" s="35" t="n">
        <v>51.33</v>
      </c>
      <c r="I762" s="33" t="n">
        <v>44537</v>
      </c>
      <c r="J762" s="36">
        <f>F762-H762</f>
        <v/>
      </c>
      <c r="K762" s="16">
        <f>0.005/(1+E762)+D762*0.0005/(1+E762)^2+0.005</f>
        <v/>
      </c>
      <c r="L762" s="17">
        <f>IF(ABS(J762)&lt;=K762,"OK",IF(M762&lt;&gt;"","EXPLAINED","CHECK"))</f>
        <v/>
      </c>
      <c r="M762" s="7" t="inlineStr"/>
    </row>
    <row r="763">
      <c r="A763" s="33" t="n">
        <v>44781</v>
      </c>
      <c r="B763" s="7" t="inlineStr">
        <is>
          <t>NB Premium</t>
        </is>
      </c>
      <c r="C763" s="7" t="inlineStr">
        <is>
          <t>Q1-FY2023</t>
        </is>
      </c>
      <c r="D763" s="35" t="n">
        <v>31.84</v>
      </c>
      <c r="E763" s="32" t="n">
        <v>0.244</v>
      </c>
      <c r="F763" s="35">
        <f>D763/(1+E763)</f>
        <v/>
      </c>
      <c r="G763" s="7" t="inlineStr">
        <is>
          <t>Q1-FY2022</t>
        </is>
      </c>
      <c r="H763" s="35" t="n">
        <v>25.59</v>
      </c>
      <c r="I763" s="33" t="n">
        <v>44508</v>
      </c>
      <c r="J763" s="36">
        <f>F763-H763</f>
        <v/>
      </c>
      <c r="K763" s="16">
        <f>0.005/(1+E763)+D763*0.0005/(1+E763)^2+0.005</f>
        <v/>
      </c>
      <c r="L763" s="17">
        <f>IF(ABS(J763)&lt;=K763,"OK",IF(M763&lt;&gt;"","EXPLAINED","CHECK"))</f>
        <v/>
      </c>
      <c r="M763" s="7" t="inlineStr"/>
    </row>
    <row r="764">
      <c r="A764" s="33" t="n">
        <v>44781</v>
      </c>
      <c r="B764" s="7" t="inlineStr">
        <is>
          <t>NB Premium</t>
        </is>
      </c>
      <c r="C764" s="7" t="inlineStr">
        <is>
          <t>FY2022</t>
        </is>
      </c>
      <c r="D764" s="35" t="n">
        <v>150.36</v>
      </c>
      <c r="E764" s="32" t="n">
        <v>0.154</v>
      </c>
      <c r="F764" s="35">
        <f>D764/(1+E764)</f>
        <v/>
      </c>
      <c r="G764" s="7" t="inlineStr">
        <is>
          <t>FY2021</t>
        </is>
      </c>
      <c r="H764" s="35" t="n">
        <v>130.32</v>
      </c>
      <c r="I764" s="33" t="n">
        <v>44627</v>
      </c>
      <c r="J764" s="36">
        <f>F764-H764</f>
        <v/>
      </c>
      <c r="K764" s="16">
        <f>0.005/(1+E764)+D764*0.0005/(1+E764)^2+0.005</f>
        <v/>
      </c>
      <c r="L764" s="17">
        <f>IF(ABS(J764)&lt;=K764,"OK",IF(M764&lt;&gt;"","EXPLAINED","CHECK"))</f>
        <v/>
      </c>
      <c r="M764" s="7" t="inlineStr"/>
    </row>
    <row r="765">
      <c r="A765" s="33" t="n">
        <v>44781</v>
      </c>
      <c r="B765" s="7" t="inlineStr">
        <is>
          <t>NB Premium</t>
        </is>
      </c>
      <c r="C765" s="7" t="inlineStr">
        <is>
          <t>Jul-22</t>
        </is>
      </c>
      <c r="D765" s="35" t="n">
        <v>13.44</v>
      </c>
      <c r="E765" s="32" t="n">
        <v>0.162</v>
      </c>
      <c r="F765" s="35">
        <f>D765/(1+E765)</f>
        <v/>
      </c>
      <c r="G765" s="7" t="inlineStr">
        <is>
          <t>Jul-21</t>
        </is>
      </c>
      <c r="H765" s="35" t="n">
        <v>11.57</v>
      </c>
      <c r="I765" s="33" t="n">
        <v>44476</v>
      </c>
      <c r="J765" s="36">
        <f>F765-H765</f>
        <v/>
      </c>
      <c r="K765" s="16">
        <f>0.005/(1+E765)+D765*0.0005/(1+E765)^2+0.005</f>
        <v/>
      </c>
      <c r="L765" s="17">
        <f>IF(ABS(J765)&lt;=K765,"OK",IF(M765&lt;&gt;"","EXPLAINED","CHECK"))</f>
        <v/>
      </c>
      <c r="M765" s="7" t="inlineStr"/>
    </row>
    <row r="766">
      <c r="A766" s="33" t="n">
        <v>44781</v>
      </c>
      <c r="B766" s="7" t="inlineStr">
        <is>
          <t>APE</t>
        </is>
      </c>
      <c r="C766" s="7" t="inlineStr">
        <is>
          <t>Q4-FY2022</t>
        </is>
      </c>
      <c r="D766" s="35" t="n">
        <v>26.08</v>
      </c>
      <c r="E766" s="32" t="n">
        <v>0.039</v>
      </c>
      <c r="F766" s="35">
        <f>D766/(1+E766)</f>
        <v/>
      </c>
      <c r="G766" s="7" t="inlineStr">
        <is>
          <t>Q4-FY2021</t>
        </is>
      </c>
      <c r="H766" s="35" t="n">
        <v>25.09</v>
      </c>
      <c r="I766" s="33" t="n">
        <v>44537</v>
      </c>
      <c r="J766" s="36">
        <f>F766-H766</f>
        <v/>
      </c>
      <c r="K766" s="16">
        <f>0.005/(1+E766)+D766*0.0005/(1+E766)^2+0.005</f>
        <v/>
      </c>
      <c r="L766" s="17">
        <f>IF(ABS(J766)&lt;=K766,"OK",IF(M766&lt;&gt;"","EXPLAINED","CHECK"))</f>
        <v/>
      </c>
      <c r="M766" s="7" t="inlineStr"/>
    </row>
    <row r="767">
      <c r="A767" s="33" t="n">
        <v>44781</v>
      </c>
      <c r="B767" s="7" t="inlineStr">
        <is>
          <t>APE</t>
        </is>
      </c>
      <c r="C767" s="7" t="inlineStr">
        <is>
          <t>Q1-FY2023</t>
        </is>
      </c>
      <c r="D767" s="35" t="n">
        <v>15.2</v>
      </c>
      <c r="E767" s="32" t="n">
        <v>0.247</v>
      </c>
      <c r="F767" s="35">
        <f>D767/(1+E767)</f>
        <v/>
      </c>
      <c r="G767" s="7" t="inlineStr">
        <is>
          <t>Q1-FY2022</t>
        </is>
      </c>
      <c r="H767" s="35" t="n">
        <v>12.19</v>
      </c>
      <c r="I767" s="33" t="n">
        <v>44508</v>
      </c>
      <c r="J767" s="36">
        <f>F767-H767</f>
        <v/>
      </c>
      <c r="K767" s="16">
        <f>0.005/(1+E767)+D767*0.0005/(1+E767)^2+0.005</f>
        <v/>
      </c>
      <c r="L767" s="17">
        <f>IF(ABS(J767)&lt;=K767,"OK",IF(M767&lt;&gt;"","EXPLAINED","CHECK"))</f>
        <v/>
      </c>
      <c r="M767" s="7" t="inlineStr"/>
    </row>
    <row r="768">
      <c r="A768" s="33" t="n">
        <v>44781</v>
      </c>
      <c r="B768" s="7" t="inlineStr">
        <is>
          <t>APE</t>
        </is>
      </c>
      <c r="C768" s="7" t="inlineStr">
        <is>
          <t>FY2022</t>
        </is>
      </c>
      <c r="D768" s="35" t="n">
        <v>77.33</v>
      </c>
      <c r="E768" s="32" t="n">
        <v>0.197</v>
      </c>
      <c r="F768" s="35">
        <f>D768/(1+E768)</f>
        <v/>
      </c>
      <c r="G768" s="7" t="inlineStr">
        <is>
          <t>FY2021</t>
        </is>
      </c>
      <c r="H768" s="35" t="n">
        <v>64.62</v>
      </c>
      <c r="I768" s="33" t="n">
        <v>44627</v>
      </c>
      <c r="J768" s="36">
        <f>F768-H768</f>
        <v/>
      </c>
      <c r="K768" s="16">
        <f>0.005/(1+E768)+D768*0.0005/(1+E768)^2+0.005</f>
        <v/>
      </c>
      <c r="L768" s="17">
        <f>IF(ABS(J768)&lt;=K768,"OK",IF(M768&lt;&gt;"","EXPLAINED","CHECK"))</f>
        <v/>
      </c>
      <c r="M768" s="7" t="inlineStr"/>
    </row>
    <row r="769">
      <c r="A769" s="33" t="n">
        <v>44781</v>
      </c>
      <c r="B769" s="7" t="inlineStr">
        <is>
          <t>APE</t>
        </is>
      </c>
      <c r="C769" s="7" t="inlineStr">
        <is>
          <t>Jul-22</t>
        </is>
      </c>
      <c r="D769" s="35" t="n">
        <v>6.29</v>
      </c>
      <c r="E769" s="32" t="n">
        <v>0.105</v>
      </c>
      <c r="F769" s="35">
        <f>D769/(1+E769)</f>
        <v/>
      </c>
      <c r="G769" s="7" t="inlineStr">
        <is>
          <t>Jul-21</t>
        </is>
      </c>
      <c r="H769" s="35" t="n">
        <v>5.69</v>
      </c>
      <c r="I769" s="33" t="n">
        <v>44476</v>
      </c>
      <c r="J769" s="36">
        <f>F769-H769</f>
        <v/>
      </c>
      <c r="K769" s="16">
        <f>0.005/(1+E769)+D769*0.0005/(1+E769)^2+0.005</f>
        <v/>
      </c>
      <c r="L769" s="17">
        <f>IF(ABS(J769)&lt;=K769,"OK",IF(M769&lt;&gt;"","EXPLAINED","CHECK"))</f>
        <v/>
      </c>
      <c r="M769" s="7" t="inlineStr"/>
    </row>
    <row r="770">
      <c r="A770" s="33" t="n">
        <v>44781</v>
      </c>
      <c r="B770" s="7" t="inlineStr">
        <is>
          <t>RWRP</t>
        </is>
      </c>
      <c r="C770" s="7" t="inlineStr">
        <is>
          <t>Q4-FY2022</t>
        </is>
      </c>
      <c r="D770" s="35" t="n">
        <v>20.74</v>
      </c>
      <c r="E770" s="32" t="n">
        <v>-0.035</v>
      </c>
      <c r="F770" s="35">
        <f>D770/(1+E770)</f>
        <v/>
      </c>
      <c r="G770" s="7" t="inlineStr">
        <is>
          <t>Q4-FY2021</t>
        </is>
      </c>
      <c r="H770" s="35" t="n">
        <v>21.49</v>
      </c>
      <c r="I770" s="33" t="n">
        <v>44537</v>
      </c>
      <c r="J770" s="36">
        <f>F770-H770</f>
        <v/>
      </c>
      <c r="K770" s="16">
        <f>0.005/(1+E770)+D770*0.0005/(1+E770)^2+0.005</f>
        <v/>
      </c>
      <c r="L770" s="17">
        <f>IF(ABS(J770)&lt;=K770,"OK",IF(M770&lt;&gt;"","EXPLAINED","CHECK"))</f>
        <v/>
      </c>
      <c r="M770" s="7" t="inlineStr"/>
    </row>
    <row r="771">
      <c r="A771" s="33" t="n">
        <v>44781</v>
      </c>
      <c r="B771" s="7" t="inlineStr">
        <is>
          <t>RWRP</t>
        </is>
      </c>
      <c r="C771" s="7" t="inlineStr">
        <is>
          <t>Q1-FY2023</t>
        </is>
      </c>
      <c r="D771" s="35" t="n">
        <v>11.01</v>
      </c>
      <c r="E771" s="32" t="n">
        <v>0.168</v>
      </c>
      <c r="F771" s="35">
        <f>D771/(1+E771)</f>
        <v/>
      </c>
      <c r="G771" s="7" t="inlineStr">
        <is>
          <t>Q1-FY2022</t>
        </is>
      </c>
      <c r="H771" s="35" t="n">
        <v>9.42</v>
      </c>
      <c r="I771" s="33" t="n">
        <v>44508</v>
      </c>
      <c r="J771" s="36">
        <f>F771-H771</f>
        <v/>
      </c>
      <c r="K771" s="16">
        <f>0.005/(1+E771)+D771*0.0005/(1+E771)^2+0.005</f>
        <v/>
      </c>
      <c r="L771" s="17">
        <f>IF(ABS(J771)&lt;=K771,"OK",IF(M771&lt;&gt;"","EXPLAINED","CHECK"))</f>
        <v/>
      </c>
      <c r="M771" s="7" t="inlineStr"/>
    </row>
    <row r="772">
      <c r="A772" s="33" t="n">
        <v>44781</v>
      </c>
      <c r="B772" s="7" t="inlineStr">
        <is>
          <t>RWRP</t>
        </is>
      </c>
      <c r="C772" s="7" t="inlineStr">
        <is>
          <t>FY2022</t>
        </is>
      </c>
      <c r="D772" s="35" t="n">
        <v>62.99</v>
      </c>
      <c r="E772" s="32" t="n">
        <v>0.155</v>
      </c>
      <c r="F772" s="35">
        <f>D772/(1+E772)</f>
        <v/>
      </c>
      <c r="G772" s="7" t="inlineStr">
        <is>
          <t>FY2021</t>
        </is>
      </c>
      <c r="H772" s="35" t="n">
        <v>54.54</v>
      </c>
      <c r="I772" s="33" t="n">
        <v>44627</v>
      </c>
      <c r="J772" s="36">
        <f>F772-H772</f>
        <v/>
      </c>
      <c r="K772" s="16">
        <f>0.005/(1+E772)+D772*0.0005/(1+E772)^2+0.005</f>
        <v/>
      </c>
      <c r="L772" s="17">
        <f>IF(ABS(J772)&lt;=K772,"OK",IF(M772&lt;&gt;"","EXPLAINED","CHECK"))</f>
        <v/>
      </c>
      <c r="M772" s="7" t="inlineStr"/>
    </row>
    <row r="773">
      <c r="A773" s="33" t="n">
        <v>44781</v>
      </c>
      <c r="B773" s="7" t="inlineStr">
        <is>
          <t>RWRP</t>
        </is>
      </c>
      <c r="C773" s="7" t="inlineStr">
        <is>
          <t>Jul-22</t>
        </is>
      </c>
      <c r="D773" s="35" t="n">
        <v>4.5</v>
      </c>
      <c r="E773" s="32" t="n">
        <v>-0.05599999999999999</v>
      </c>
      <c r="F773" s="35">
        <f>D773/(1+E773)</f>
        <v/>
      </c>
      <c r="G773" s="7" t="inlineStr">
        <is>
          <t>Jul-21</t>
        </is>
      </c>
      <c r="H773" s="35" t="n">
        <v>4.77</v>
      </c>
      <c r="I773" s="33" t="n">
        <v>44476</v>
      </c>
      <c r="J773" s="36">
        <f>F773-H773</f>
        <v/>
      </c>
      <c r="K773" s="16">
        <f>0.005/(1+E773)+D773*0.0005/(1+E773)^2+0.005</f>
        <v/>
      </c>
      <c r="L773" s="17">
        <f>IF(ABS(J773)&lt;=K773,"OK",IF(M773&lt;&gt;"","EXPLAINED","CHECK"))</f>
        <v/>
      </c>
      <c r="M773" s="7" t="inlineStr"/>
    </row>
    <row r="774">
      <c r="A774" s="33" t="n">
        <v>44749</v>
      </c>
      <c r="B774" s="7" t="inlineStr">
        <is>
          <t>NB Sum Assured</t>
        </is>
      </c>
      <c r="C774" s="7" t="inlineStr">
        <is>
          <t>Q4-FY2022</t>
        </is>
      </c>
      <c r="D774" s="35" t="n">
        <v>2599.83</v>
      </c>
      <c r="E774" s="32" t="n">
        <v>0.267</v>
      </c>
      <c r="F774" s="35">
        <f>D774/(1+E774)</f>
        <v/>
      </c>
      <c r="G774" s="7" t="inlineStr">
        <is>
          <t>Q4-FY2021</t>
        </is>
      </c>
      <c r="H774" s="35" t="n">
        <v>2051.84</v>
      </c>
      <c r="I774" s="33" t="n">
        <v>44537</v>
      </c>
      <c r="J774" s="36">
        <f>F774-H774</f>
        <v/>
      </c>
      <c r="K774" s="16">
        <f>0.005/(1+E774)+D774*0.0005/(1+E774)^2+0.005</f>
        <v/>
      </c>
      <c r="L774" s="17">
        <f>IF(ABS(J774)&lt;=K774,"OK",IF(M774&lt;&gt;"","EXPLAINED","CHECK"))</f>
        <v/>
      </c>
      <c r="M774" s="7" t="inlineStr"/>
    </row>
    <row r="775">
      <c r="A775" s="33" t="n">
        <v>44749</v>
      </c>
      <c r="B775" s="7" t="inlineStr">
        <is>
          <t>NB Sum Assured</t>
        </is>
      </c>
      <c r="C775" s="7" t="inlineStr">
        <is>
          <t>Q1-FY2023</t>
        </is>
      </c>
      <c r="D775" s="35" t="n">
        <v>2209.35</v>
      </c>
      <c r="E775" s="32" t="n">
        <v>0.249</v>
      </c>
      <c r="F775" s="35">
        <f>D775/(1+E775)</f>
        <v/>
      </c>
      <c r="G775" s="7" t="inlineStr">
        <is>
          <t>Q1-FY2022</t>
        </is>
      </c>
      <c r="H775" s="35" t="n">
        <v>1768.62</v>
      </c>
      <c r="I775" s="33" t="n">
        <v>44508</v>
      </c>
      <c r="J775" s="36">
        <f>F775-H775</f>
        <v/>
      </c>
      <c r="K775" s="16">
        <f>0.005/(1+E775)+D775*0.0005/(1+E775)^2+0.005</f>
        <v/>
      </c>
      <c r="L775" s="17">
        <f>IF(ABS(J775)&lt;=K775,"OK",IF(M775&lt;&gt;"","EXPLAINED","CHECK"))</f>
        <v/>
      </c>
      <c r="M775" s="7" t="inlineStr"/>
    </row>
    <row r="776">
      <c r="A776" s="33" t="n">
        <v>44749</v>
      </c>
      <c r="B776" s="7" t="inlineStr">
        <is>
          <t>NB Sum Assured</t>
        </is>
      </c>
      <c r="C776" s="7" t="inlineStr">
        <is>
          <t>FY2022</t>
        </is>
      </c>
      <c r="D776" s="35" t="n">
        <v>7731.46</v>
      </c>
      <c r="E776" s="32" t="n">
        <v>0.254</v>
      </c>
      <c r="F776" s="35">
        <f>D776/(1+E776)</f>
        <v/>
      </c>
      <c r="G776" s="7" t="inlineStr">
        <is>
          <t>FY2021</t>
        </is>
      </c>
      <c r="H776" s="35" t="n">
        <v>6166.84</v>
      </c>
      <c r="I776" s="33" t="n">
        <v>44627</v>
      </c>
      <c r="J776" s="36">
        <f>F776-H776</f>
        <v/>
      </c>
      <c r="K776" s="16">
        <f>0.005/(1+E776)+D776*0.0005/(1+E776)^2+0.005</f>
        <v/>
      </c>
      <c r="L776" s="17">
        <f>IF(ABS(J776)&lt;=K776,"OK",IF(M776&lt;&gt;"","EXPLAINED","CHECK"))</f>
        <v/>
      </c>
      <c r="M776" s="7" t="inlineStr"/>
    </row>
    <row r="777">
      <c r="A777" s="33" t="n">
        <v>44749</v>
      </c>
      <c r="B777" s="7" t="inlineStr">
        <is>
          <t>NB Sum Assured</t>
        </is>
      </c>
      <c r="C777" s="7" t="inlineStr">
        <is>
          <t>Jun-22</t>
        </is>
      </c>
      <c r="D777" s="35" t="n">
        <v>690.61</v>
      </c>
      <c r="E777" s="32" t="n">
        <v>0.458</v>
      </c>
      <c r="F777" s="35">
        <f>D777/(1+E777)</f>
        <v/>
      </c>
      <c r="G777" s="7" t="inlineStr">
        <is>
          <t>Jun-21</t>
        </is>
      </c>
      <c r="H777" s="35" t="n">
        <v>473.55</v>
      </c>
      <c r="I777" s="33" t="n">
        <v>44385</v>
      </c>
      <c r="J777" s="36">
        <f>F777-H777</f>
        <v/>
      </c>
      <c r="K777" s="16">
        <f>0.005/(1+E777)+D777*0.0005/(1+E777)^2+0.005</f>
        <v/>
      </c>
      <c r="L777" s="17">
        <f>IF(ABS(J777)&lt;=K777,"OK",IF(M777&lt;&gt;"","EXPLAINED","CHECK"))</f>
        <v/>
      </c>
      <c r="M777" s="7" t="inlineStr"/>
    </row>
    <row r="778">
      <c r="A778" s="33" t="n">
        <v>44749</v>
      </c>
      <c r="B778" s="7" t="inlineStr">
        <is>
          <t>NB Sum Assured</t>
        </is>
      </c>
      <c r="C778" s="7" t="inlineStr">
        <is>
          <t>May-22</t>
        </is>
      </c>
      <c r="D778" s="35" t="n">
        <v>669.2</v>
      </c>
      <c r="E778" s="32" t="n">
        <v>0.139</v>
      </c>
      <c r="F778" s="35">
        <f>D778/(1+E778)</f>
        <v/>
      </c>
      <c r="G778" s="7" t="inlineStr">
        <is>
          <t>May-21</t>
        </is>
      </c>
      <c r="H778" s="35" t="n">
        <v>587.48</v>
      </c>
      <c r="I778" s="33" t="n">
        <v>44385</v>
      </c>
      <c r="J778" s="36">
        <f>F778-H778</f>
        <v/>
      </c>
      <c r="K778" s="16">
        <f>0.005/(1+E778)+D778*0.0005/(1+E778)^2+0.005</f>
        <v/>
      </c>
      <c r="L778" s="17">
        <f>IF(ABS(J778)&lt;=K778,"OK",IF(M778&lt;&gt;"","EXPLAINED","CHECK"))</f>
        <v/>
      </c>
      <c r="M778" s="7" t="inlineStr"/>
    </row>
    <row r="779">
      <c r="A779" s="33" t="n">
        <v>44749</v>
      </c>
      <c r="B779" s="7" t="inlineStr">
        <is>
          <t>NB Sum Assured</t>
        </is>
      </c>
      <c r="C779" s="7" t="inlineStr">
        <is>
          <t>Apr-22</t>
        </is>
      </c>
      <c r="D779" s="35" t="n">
        <v>849.54</v>
      </c>
      <c r="E779" s="32" t="n">
        <v>0.201</v>
      </c>
      <c r="F779" s="35">
        <f>D779/(1+E779)</f>
        <v/>
      </c>
      <c r="G779" s="7" t="inlineStr">
        <is>
          <t>Apr-21</t>
        </is>
      </c>
      <c r="H779" s="35" t="n">
        <v>707.59</v>
      </c>
      <c r="I779" s="33" t="n">
        <v>44385</v>
      </c>
      <c r="J779" s="36">
        <f>F779-H779</f>
        <v/>
      </c>
      <c r="K779" s="16">
        <f>0.005/(1+E779)+D779*0.0005/(1+E779)^2+0.005</f>
        <v/>
      </c>
      <c r="L779" s="17">
        <f>IF(ABS(J779)&lt;=K779,"OK",IF(M779&lt;&gt;"","EXPLAINED","CHECK"))</f>
        <v/>
      </c>
      <c r="M779" s="7" t="inlineStr"/>
    </row>
    <row r="780">
      <c r="A780" s="33" t="n">
        <v>44749</v>
      </c>
      <c r="B780" s="7" t="inlineStr">
        <is>
          <t>NB Premium</t>
        </is>
      </c>
      <c r="C780" s="7" t="inlineStr">
        <is>
          <t>Q4-FY2022</t>
        </is>
      </c>
      <c r="D780" s="35" t="n">
        <v>47.88</v>
      </c>
      <c r="E780" s="32" t="n">
        <v>-0.067</v>
      </c>
      <c r="F780" s="35">
        <f>D780/(1+E780)</f>
        <v/>
      </c>
      <c r="G780" s="7" t="inlineStr">
        <is>
          <t>Q4-FY2021</t>
        </is>
      </c>
      <c r="H780" s="35" t="n">
        <v>51.33</v>
      </c>
      <c r="I780" s="33" t="n">
        <v>44537</v>
      </c>
      <c r="J780" s="36">
        <f>F780-H780</f>
        <v/>
      </c>
      <c r="K780" s="16">
        <f>0.005/(1+E780)+D780*0.0005/(1+E780)^2+0.005</f>
        <v/>
      </c>
      <c r="L780" s="17">
        <f>IF(ABS(J780)&lt;=K780,"OK",IF(M780&lt;&gt;"","EXPLAINED","CHECK"))</f>
        <v/>
      </c>
      <c r="M780" s="7" t="inlineStr"/>
    </row>
    <row r="781">
      <c r="A781" s="33" t="n">
        <v>44749</v>
      </c>
      <c r="B781" s="7" t="inlineStr">
        <is>
          <t>NB Premium</t>
        </is>
      </c>
      <c r="C781" s="7" t="inlineStr">
        <is>
          <t>Q1-FY2023</t>
        </is>
      </c>
      <c r="D781" s="35" t="n">
        <v>31.84</v>
      </c>
      <c r="E781" s="32" t="n">
        <v>0.244</v>
      </c>
      <c r="F781" s="35">
        <f>D781/(1+E781)</f>
        <v/>
      </c>
      <c r="G781" s="7" t="inlineStr">
        <is>
          <t>Q1-FY2022</t>
        </is>
      </c>
      <c r="H781" s="35" t="n">
        <v>25.59</v>
      </c>
      <c r="I781" s="33" t="n">
        <v>44508</v>
      </c>
      <c r="J781" s="36">
        <f>F781-H781</f>
        <v/>
      </c>
      <c r="K781" s="16">
        <f>0.005/(1+E781)+D781*0.0005/(1+E781)^2+0.005</f>
        <v/>
      </c>
      <c r="L781" s="17">
        <f>IF(ABS(J781)&lt;=K781,"OK",IF(M781&lt;&gt;"","EXPLAINED","CHECK"))</f>
        <v/>
      </c>
      <c r="M781" s="7" t="inlineStr"/>
    </row>
    <row r="782">
      <c r="A782" s="33" t="n">
        <v>44749</v>
      </c>
      <c r="B782" s="7" t="inlineStr">
        <is>
          <t>NB Premium</t>
        </is>
      </c>
      <c r="C782" s="7" t="inlineStr">
        <is>
          <t>FY2022</t>
        </is>
      </c>
      <c r="D782" s="35" t="n">
        <v>150.36</v>
      </c>
      <c r="E782" s="32" t="n">
        <v>0.154</v>
      </c>
      <c r="F782" s="35">
        <f>D782/(1+E782)</f>
        <v/>
      </c>
      <c r="G782" s="7" t="inlineStr">
        <is>
          <t>FY2021</t>
        </is>
      </c>
      <c r="H782" s="35" t="n">
        <v>130.32</v>
      </c>
      <c r="I782" s="33" t="n">
        <v>44627</v>
      </c>
      <c r="J782" s="36">
        <f>F782-H782</f>
        <v/>
      </c>
      <c r="K782" s="16">
        <f>0.005/(1+E782)+D782*0.0005/(1+E782)^2+0.005</f>
        <v/>
      </c>
      <c r="L782" s="17">
        <f>IF(ABS(J782)&lt;=K782,"OK",IF(M782&lt;&gt;"","EXPLAINED","CHECK"))</f>
        <v/>
      </c>
      <c r="M782" s="7" t="inlineStr"/>
    </row>
    <row r="783">
      <c r="A783" s="33" t="n">
        <v>44749</v>
      </c>
      <c r="B783" s="7" t="inlineStr">
        <is>
          <t>NB Premium</t>
        </is>
      </c>
      <c r="C783" s="7" t="inlineStr">
        <is>
          <t>Jun-22</t>
        </is>
      </c>
      <c r="D783" s="35" t="n">
        <v>10.8</v>
      </c>
      <c r="E783" s="32" t="n">
        <v>-0.145</v>
      </c>
      <c r="F783" s="35">
        <f>D783/(1+E783)</f>
        <v/>
      </c>
      <c r="G783" s="7" t="inlineStr">
        <is>
          <t>Jun-21</t>
        </is>
      </c>
      <c r="H783" s="35" t="n">
        <v>12.63</v>
      </c>
      <c r="I783" s="33" t="n">
        <v>44385</v>
      </c>
      <c r="J783" s="36">
        <f>F783-H783</f>
        <v/>
      </c>
      <c r="K783" s="16">
        <f>0.005/(1+E783)+D783*0.0005/(1+E783)^2+0.005</f>
        <v/>
      </c>
      <c r="L783" s="17">
        <f>IF(ABS(J783)&lt;=K783,"OK",IF(M783&lt;&gt;"","EXPLAINED","CHECK"))</f>
        <v/>
      </c>
      <c r="M783" s="7" t="inlineStr"/>
    </row>
    <row r="784">
      <c r="A784" s="33" t="n">
        <v>44749</v>
      </c>
      <c r="B784" s="7" t="inlineStr">
        <is>
          <t>NB Premium</t>
        </is>
      </c>
      <c r="C784" s="7" t="inlineStr">
        <is>
          <t>May-22</t>
        </is>
      </c>
      <c r="D784" s="35" t="n">
        <v>12.19</v>
      </c>
      <c r="E784" s="32" t="n">
        <v>0.87</v>
      </c>
      <c r="F784" s="35">
        <f>D784/(1+E784)</f>
        <v/>
      </c>
      <c r="G784" s="7" t="inlineStr">
        <is>
          <t>May-21</t>
        </is>
      </c>
      <c r="H784" s="35" t="n">
        <v>6.52</v>
      </c>
      <c r="I784" s="33" t="n">
        <v>44385</v>
      </c>
      <c r="J784" s="36">
        <f>F784-H784</f>
        <v/>
      </c>
      <c r="K784" s="16">
        <f>0.005/(1+E784)+D784*0.0005/(1+E784)^2+0.005</f>
        <v/>
      </c>
      <c r="L784" s="17">
        <f>IF(ABS(J784)&lt;=K784,"OK",IF(M784&lt;&gt;"","EXPLAINED","CHECK"))</f>
        <v/>
      </c>
      <c r="M784" s="7" t="inlineStr"/>
    </row>
    <row r="785">
      <c r="A785" s="33" t="n">
        <v>44749</v>
      </c>
      <c r="B785" s="7" t="inlineStr">
        <is>
          <t>NB Premium</t>
        </is>
      </c>
      <c r="C785" s="7" t="inlineStr">
        <is>
          <t>Apr-22</t>
        </is>
      </c>
      <c r="D785" s="35" t="n">
        <v>8.85</v>
      </c>
      <c r="E785" s="32" t="n">
        <v>0.376</v>
      </c>
      <c r="F785" s="35">
        <f>D785/(1+E785)</f>
        <v/>
      </c>
      <c r="G785" s="7" t="inlineStr">
        <is>
          <t>Apr-21</t>
        </is>
      </c>
      <c r="H785" s="35" t="n">
        <v>6.43</v>
      </c>
      <c r="I785" s="33" t="n">
        <v>44385</v>
      </c>
      <c r="J785" s="36">
        <f>F785-H785</f>
        <v/>
      </c>
      <c r="K785" s="16">
        <f>0.005/(1+E785)+D785*0.0005/(1+E785)^2+0.005</f>
        <v/>
      </c>
      <c r="L785" s="17">
        <f>IF(ABS(J785)&lt;=K785,"OK",IF(M785&lt;&gt;"","EXPLAINED","CHECK"))</f>
        <v/>
      </c>
      <c r="M785" s="7" t="inlineStr"/>
    </row>
    <row r="786">
      <c r="A786" s="33" t="n">
        <v>44749</v>
      </c>
      <c r="B786" s="7" t="inlineStr">
        <is>
          <t>APE</t>
        </is>
      </c>
      <c r="C786" s="7" t="inlineStr">
        <is>
          <t>Q4-FY2022</t>
        </is>
      </c>
      <c r="D786" s="35" t="n">
        <v>26.08</v>
      </c>
      <c r="E786" s="32" t="n">
        <v>0.039</v>
      </c>
      <c r="F786" s="35">
        <f>D786/(1+E786)</f>
        <v/>
      </c>
      <c r="G786" s="7" t="inlineStr">
        <is>
          <t>Q4-FY2021</t>
        </is>
      </c>
      <c r="H786" s="35" t="n">
        <v>25.09</v>
      </c>
      <c r="I786" s="33" t="n">
        <v>44537</v>
      </c>
      <c r="J786" s="36">
        <f>F786-H786</f>
        <v/>
      </c>
      <c r="K786" s="16">
        <f>0.005/(1+E786)+D786*0.0005/(1+E786)^2+0.005</f>
        <v/>
      </c>
      <c r="L786" s="17">
        <f>IF(ABS(J786)&lt;=K786,"OK",IF(M786&lt;&gt;"","EXPLAINED","CHECK"))</f>
        <v/>
      </c>
      <c r="M786" s="7" t="inlineStr"/>
    </row>
    <row r="787">
      <c r="A787" s="33" t="n">
        <v>44749</v>
      </c>
      <c r="B787" s="7" t="inlineStr">
        <is>
          <t>APE</t>
        </is>
      </c>
      <c r="C787" s="7" t="inlineStr">
        <is>
          <t>Q1-FY2023</t>
        </is>
      </c>
      <c r="D787" s="35" t="n">
        <v>15.2</v>
      </c>
      <c r="E787" s="32" t="n">
        <v>0.247</v>
      </c>
      <c r="F787" s="35">
        <f>D787/(1+E787)</f>
        <v/>
      </c>
      <c r="G787" s="7" t="inlineStr">
        <is>
          <t>Q1-FY2022</t>
        </is>
      </c>
      <c r="H787" s="35" t="n">
        <v>12.19</v>
      </c>
      <c r="I787" s="33" t="n">
        <v>44508</v>
      </c>
      <c r="J787" s="36">
        <f>F787-H787</f>
        <v/>
      </c>
      <c r="K787" s="16">
        <f>0.005/(1+E787)+D787*0.0005/(1+E787)^2+0.005</f>
        <v/>
      </c>
      <c r="L787" s="17">
        <f>IF(ABS(J787)&lt;=K787,"OK",IF(M787&lt;&gt;"","EXPLAINED","CHECK"))</f>
        <v/>
      </c>
      <c r="M787" s="7" t="inlineStr"/>
    </row>
    <row r="788">
      <c r="A788" s="33" t="n">
        <v>44749</v>
      </c>
      <c r="B788" s="7" t="inlineStr">
        <is>
          <t>APE</t>
        </is>
      </c>
      <c r="C788" s="7" t="inlineStr">
        <is>
          <t>FY2022</t>
        </is>
      </c>
      <c r="D788" s="35" t="n">
        <v>77.33</v>
      </c>
      <c r="E788" s="32" t="n">
        <v>0.197</v>
      </c>
      <c r="F788" s="35">
        <f>D788/(1+E788)</f>
        <v/>
      </c>
      <c r="G788" s="7" t="inlineStr">
        <is>
          <t>FY2021</t>
        </is>
      </c>
      <c r="H788" s="35" t="n">
        <v>64.62</v>
      </c>
      <c r="I788" s="33" t="n">
        <v>44627</v>
      </c>
      <c r="J788" s="36">
        <f>F788-H788</f>
        <v/>
      </c>
      <c r="K788" s="16">
        <f>0.005/(1+E788)+D788*0.0005/(1+E788)^2+0.005</f>
        <v/>
      </c>
      <c r="L788" s="17">
        <f>IF(ABS(J788)&lt;=K788,"OK",IF(M788&lt;&gt;"","EXPLAINED","CHECK"))</f>
        <v/>
      </c>
      <c r="M788" s="7" t="inlineStr"/>
    </row>
    <row r="789">
      <c r="A789" s="33" t="n">
        <v>44749</v>
      </c>
      <c r="B789" s="7" t="inlineStr">
        <is>
          <t>APE</t>
        </is>
      </c>
      <c r="C789" s="7" t="inlineStr">
        <is>
          <t>Jun-22</t>
        </is>
      </c>
      <c r="D789" s="35" t="n">
        <v>5.63</v>
      </c>
      <c r="E789" s="32" t="n">
        <v>0.009000000000000001</v>
      </c>
      <c r="F789" s="35">
        <f>D789/(1+E789)</f>
        <v/>
      </c>
      <c r="G789" s="7" t="inlineStr">
        <is>
          <t>Jun-21</t>
        </is>
      </c>
      <c r="H789" s="35" t="n">
        <v>5.58</v>
      </c>
      <c r="I789" s="33" t="n">
        <v>44385</v>
      </c>
      <c r="J789" s="36">
        <f>F789-H789</f>
        <v/>
      </c>
      <c r="K789" s="16">
        <f>0.005/(1+E789)+D789*0.0005/(1+E789)^2+0.005</f>
        <v/>
      </c>
      <c r="L789" s="17">
        <f>IF(ABS(J789)&lt;=K789,"OK",IF(M789&lt;&gt;"","EXPLAINED","CHECK"))</f>
        <v/>
      </c>
      <c r="M789" s="7" t="inlineStr"/>
    </row>
    <row r="790">
      <c r="A790" s="33" t="n">
        <v>44749</v>
      </c>
      <c r="B790" s="7" t="inlineStr">
        <is>
          <t>APE</t>
        </is>
      </c>
      <c r="C790" s="7" t="inlineStr">
        <is>
          <t>May-22</t>
        </is>
      </c>
      <c r="D790" s="35" t="n">
        <v>4.71</v>
      </c>
      <c r="E790" s="32" t="n">
        <v>0.5489999999999999</v>
      </c>
      <c r="F790" s="35">
        <f>D790/(1+E790)</f>
        <v/>
      </c>
      <c r="G790" s="7" t="inlineStr">
        <is>
          <t>May-21</t>
        </is>
      </c>
      <c r="H790" s="35" t="n">
        <v>3.04</v>
      </c>
      <c r="I790" s="33" t="n">
        <v>44385</v>
      </c>
      <c r="J790" s="36">
        <f>F790-H790</f>
        <v/>
      </c>
      <c r="K790" s="16">
        <f>0.005/(1+E790)+D790*0.0005/(1+E790)^2+0.005</f>
        <v/>
      </c>
      <c r="L790" s="17">
        <f>IF(ABS(J790)&lt;=K790,"OK",IF(M790&lt;&gt;"","EXPLAINED","CHECK"))</f>
        <v/>
      </c>
      <c r="M790" s="7" t="inlineStr"/>
    </row>
    <row r="791">
      <c r="A791" s="33" t="n">
        <v>44749</v>
      </c>
      <c r="B791" s="7" t="inlineStr">
        <is>
          <t>APE</t>
        </is>
      </c>
      <c r="C791" s="7" t="inlineStr">
        <is>
          <t>Apr-22</t>
        </is>
      </c>
      <c r="D791" s="35" t="n">
        <v>4.86</v>
      </c>
      <c r="E791" s="32" t="n">
        <v>0.361</v>
      </c>
      <c r="F791" s="35">
        <f>D791/(1+E791)</f>
        <v/>
      </c>
      <c r="G791" s="7" t="inlineStr">
        <is>
          <t>Apr-21</t>
        </is>
      </c>
      <c r="H791" s="35" t="n">
        <v>3.57</v>
      </c>
      <c r="I791" s="33" t="n">
        <v>44385</v>
      </c>
      <c r="J791" s="36">
        <f>F791-H791</f>
        <v/>
      </c>
      <c r="K791" s="16">
        <f>0.005/(1+E791)+D791*0.0005/(1+E791)^2+0.005</f>
        <v/>
      </c>
      <c r="L791" s="17">
        <f>IF(ABS(J791)&lt;=K791,"OK",IF(M791&lt;&gt;"","EXPLAINED","CHECK"))</f>
        <v/>
      </c>
      <c r="M791" s="7" t="inlineStr"/>
    </row>
    <row r="792">
      <c r="A792" s="33" t="n">
        <v>44749</v>
      </c>
      <c r="B792" s="7" t="inlineStr">
        <is>
          <t>RWRP</t>
        </is>
      </c>
      <c r="C792" s="7" t="inlineStr">
        <is>
          <t>Q4-FY2022</t>
        </is>
      </c>
      <c r="D792" s="35" t="n">
        <v>20.74</v>
      </c>
      <c r="E792" s="32" t="n">
        <v>-0.035</v>
      </c>
      <c r="F792" s="35">
        <f>D792/(1+E792)</f>
        <v/>
      </c>
      <c r="G792" s="7" t="inlineStr">
        <is>
          <t>Q4-FY2021</t>
        </is>
      </c>
      <c r="H792" s="35" t="n">
        <v>21.49</v>
      </c>
      <c r="I792" s="33" t="n">
        <v>44537</v>
      </c>
      <c r="J792" s="36">
        <f>F792-H792</f>
        <v/>
      </c>
      <c r="K792" s="16">
        <f>0.005/(1+E792)+D792*0.0005/(1+E792)^2+0.005</f>
        <v/>
      </c>
      <c r="L792" s="17">
        <f>IF(ABS(J792)&lt;=K792,"OK",IF(M792&lt;&gt;"","EXPLAINED","CHECK"))</f>
        <v/>
      </c>
      <c r="M792" s="7" t="inlineStr"/>
    </row>
    <row r="793">
      <c r="A793" s="33" t="n">
        <v>44749</v>
      </c>
      <c r="B793" s="7" t="inlineStr">
        <is>
          <t>RWRP</t>
        </is>
      </c>
      <c r="C793" s="7" t="inlineStr">
        <is>
          <t>Q1-FY2023</t>
        </is>
      </c>
      <c r="D793" s="35" t="n">
        <v>11.01</v>
      </c>
      <c r="E793" s="32" t="n">
        <v>0.168</v>
      </c>
      <c r="F793" s="35">
        <f>D793/(1+E793)</f>
        <v/>
      </c>
      <c r="G793" s="7" t="inlineStr">
        <is>
          <t>Q1-FY2022</t>
        </is>
      </c>
      <c r="H793" s="35" t="n">
        <v>9.42</v>
      </c>
      <c r="I793" s="33" t="n">
        <v>44508</v>
      </c>
      <c r="J793" s="36">
        <f>F793-H793</f>
        <v/>
      </c>
      <c r="K793" s="16">
        <f>0.005/(1+E793)+D793*0.0005/(1+E793)^2+0.005</f>
        <v/>
      </c>
      <c r="L793" s="17">
        <f>IF(ABS(J793)&lt;=K793,"OK",IF(M793&lt;&gt;"","EXPLAINED","CHECK"))</f>
        <v/>
      </c>
      <c r="M793" s="7" t="inlineStr"/>
    </row>
    <row r="794">
      <c r="A794" s="33" t="n">
        <v>44749</v>
      </c>
      <c r="B794" s="7" t="inlineStr">
        <is>
          <t>RWRP</t>
        </is>
      </c>
      <c r="C794" s="7" t="inlineStr">
        <is>
          <t>FY2022</t>
        </is>
      </c>
      <c r="D794" s="35" t="n">
        <v>62.99</v>
      </c>
      <c r="E794" s="32" t="n">
        <v>0.155</v>
      </c>
      <c r="F794" s="35">
        <f>D794/(1+E794)</f>
        <v/>
      </c>
      <c r="G794" s="7" t="inlineStr">
        <is>
          <t>FY2021</t>
        </is>
      </c>
      <c r="H794" s="35" t="n">
        <v>54.54</v>
      </c>
      <c r="I794" s="33" t="n">
        <v>44627</v>
      </c>
      <c r="J794" s="36">
        <f>F794-H794</f>
        <v/>
      </c>
      <c r="K794" s="16">
        <f>0.005/(1+E794)+D794*0.0005/(1+E794)^2+0.005</f>
        <v/>
      </c>
      <c r="L794" s="17">
        <f>IF(ABS(J794)&lt;=K794,"OK",IF(M794&lt;&gt;"","EXPLAINED","CHECK"))</f>
        <v/>
      </c>
      <c r="M794" s="7" t="inlineStr"/>
    </row>
    <row r="795">
      <c r="A795" s="33" t="n">
        <v>44749</v>
      </c>
      <c r="B795" s="7" t="inlineStr">
        <is>
          <t>RWRP</t>
        </is>
      </c>
      <c r="C795" s="7" t="inlineStr">
        <is>
          <t>Jun-22</t>
        </is>
      </c>
      <c r="D795" s="35" t="n">
        <v>4.29</v>
      </c>
      <c r="E795" s="32" t="n">
        <v>-0.029</v>
      </c>
      <c r="F795" s="35">
        <f>D795/(1+E795)</f>
        <v/>
      </c>
      <c r="G795" s="7" t="inlineStr">
        <is>
          <t>Jun-21</t>
        </is>
      </c>
      <c r="H795" s="35" t="n">
        <v>4.42</v>
      </c>
      <c r="I795" s="33" t="n">
        <v>44385</v>
      </c>
      <c r="J795" s="36">
        <f>F795-H795</f>
        <v/>
      </c>
      <c r="K795" s="16">
        <f>0.005/(1+E795)+D795*0.0005/(1+E795)^2+0.005</f>
        <v/>
      </c>
      <c r="L795" s="17">
        <f>IF(ABS(J795)&lt;=K795,"OK",IF(M795&lt;&gt;"","EXPLAINED","CHECK"))</f>
        <v/>
      </c>
      <c r="M795" s="7" t="inlineStr"/>
    </row>
    <row r="796">
      <c r="A796" s="33" t="n">
        <v>44749</v>
      </c>
      <c r="B796" s="7" t="inlineStr">
        <is>
          <t>RWRP</t>
        </is>
      </c>
      <c r="C796" s="7" t="inlineStr">
        <is>
          <t>May-22</t>
        </is>
      </c>
      <c r="D796" s="35" t="n">
        <v>3.33</v>
      </c>
      <c r="E796" s="32" t="n">
        <v>0.362</v>
      </c>
      <c r="F796" s="35">
        <f>D796/(1+E796)</f>
        <v/>
      </c>
      <c r="G796" s="7" t="inlineStr">
        <is>
          <t>May-21</t>
        </is>
      </c>
      <c r="H796" s="35" t="n">
        <v>2.45</v>
      </c>
      <c r="I796" s="33" t="n">
        <v>44385</v>
      </c>
      <c r="J796" s="36">
        <f>F796-H796</f>
        <v/>
      </c>
      <c r="K796" s="16">
        <f>0.005/(1+E796)+D796*0.0005/(1+E796)^2+0.005</f>
        <v/>
      </c>
      <c r="L796" s="17">
        <f>IF(ABS(J796)&lt;=K796,"OK",IF(M796&lt;&gt;"","EXPLAINED","CHECK"))</f>
        <v/>
      </c>
      <c r="M796" s="7" t="inlineStr"/>
    </row>
    <row r="797">
      <c r="A797" s="33" t="n">
        <v>44749</v>
      </c>
      <c r="B797" s="7" t="inlineStr">
        <is>
          <t>RWRP</t>
        </is>
      </c>
      <c r="C797" s="7" t="inlineStr">
        <is>
          <t>Apr-22</t>
        </is>
      </c>
      <c r="D797" s="35" t="n">
        <v>3.39</v>
      </c>
      <c r="E797" s="32" t="n">
        <v>0.322</v>
      </c>
      <c r="F797" s="35">
        <f>D797/(1+E797)</f>
        <v/>
      </c>
      <c r="G797" s="7" t="inlineStr">
        <is>
          <t>Apr-21</t>
        </is>
      </c>
      <c r="H797" s="35" t="n">
        <v>2.56</v>
      </c>
      <c r="I797" s="33" t="n">
        <v>44385</v>
      </c>
      <c r="J797" s="36">
        <f>F797-H797</f>
        <v/>
      </c>
      <c r="K797" s="16">
        <f>0.005/(1+E797)+D797*0.0005/(1+E797)^2+0.005</f>
        <v/>
      </c>
      <c r="L797" s="17">
        <f>IF(ABS(J797)&lt;=K797,"OK",IF(M797&lt;&gt;"","EXPLAINED","CHECK"))</f>
        <v/>
      </c>
      <c r="M797" s="7" t="inlineStr"/>
    </row>
    <row r="798">
      <c r="A798" s="33" t="n">
        <v>44719</v>
      </c>
      <c r="B798" s="7" t="inlineStr">
        <is>
          <t>NB Sum Assured</t>
        </is>
      </c>
      <c r="C798" s="7" t="inlineStr">
        <is>
          <t>Q4-FY2022</t>
        </is>
      </c>
      <c r="D798" s="35" t="n">
        <v>2599.83</v>
      </c>
      <c r="E798" s="32" t="n">
        <v>0.267</v>
      </c>
      <c r="F798" s="35">
        <f>D798/(1+E798)</f>
        <v/>
      </c>
      <c r="G798" s="7" t="inlineStr">
        <is>
          <t>Q4-FY2021</t>
        </is>
      </c>
      <c r="H798" s="35" t="n">
        <v>2051.84</v>
      </c>
      <c r="I798" s="33" t="n">
        <v>44537</v>
      </c>
      <c r="J798" s="36">
        <f>F798-H798</f>
        <v/>
      </c>
      <c r="K798" s="16">
        <f>0.005/(1+E798)+D798*0.0005/(1+E798)^2+0.005</f>
        <v/>
      </c>
      <c r="L798" s="17">
        <f>IF(ABS(J798)&lt;=K798,"OK",IF(M798&lt;&gt;"","EXPLAINED","CHECK"))</f>
        <v/>
      </c>
      <c r="M798" s="7" t="inlineStr"/>
    </row>
    <row r="799">
      <c r="A799" s="33" t="n">
        <v>44719</v>
      </c>
      <c r="B799" s="7" t="inlineStr">
        <is>
          <t>NB Sum Assured</t>
        </is>
      </c>
      <c r="C799" s="7" t="inlineStr">
        <is>
          <t>FY2022</t>
        </is>
      </c>
      <c r="D799" s="35" t="n">
        <v>7731.46</v>
      </c>
      <c r="E799" s="32" t="n">
        <v>0.254</v>
      </c>
      <c r="F799" s="35">
        <f>D799/(1+E799)</f>
        <v/>
      </c>
      <c r="G799" s="7" t="inlineStr">
        <is>
          <t>FY2021</t>
        </is>
      </c>
      <c r="H799" s="35" t="n">
        <v>6166.84</v>
      </c>
      <c r="I799" s="33" t="n">
        <v>44627</v>
      </c>
      <c r="J799" s="36">
        <f>F799-H799</f>
        <v/>
      </c>
      <c r="K799" s="16">
        <f>0.005/(1+E799)+D799*0.0005/(1+E799)^2+0.005</f>
        <v/>
      </c>
      <c r="L799" s="17">
        <f>IF(ABS(J799)&lt;=K799,"OK",IF(M799&lt;&gt;"","EXPLAINED","CHECK"))</f>
        <v/>
      </c>
      <c r="M799" s="7" t="inlineStr"/>
    </row>
    <row r="800">
      <c r="A800" s="33" t="n">
        <v>44719</v>
      </c>
      <c r="B800" s="7" t="inlineStr">
        <is>
          <t>NB Sum Assured</t>
        </is>
      </c>
      <c r="C800" s="7" t="inlineStr">
        <is>
          <t>May-22</t>
        </is>
      </c>
      <c r="D800" s="35" t="n">
        <v>669.2</v>
      </c>
      <c r="E800" s="32" t="n">
        <v>0.139</v>
      </c>
      <c r="F800" s="35">
        <f>D800/(1+E800)</f>
        <v/>
      </c>
      <c r="G800" s="7" t="inlineStr">
        <is>
          <t>May-21</t>
        </is>
      </c>
      <c r="H800" s="35" t="n">
        <v>587.48</v>
      </c>
      <c r="I800" s="33" t="n">
        <v>44385</v>
      </c>
      <c r="J800" s="36">
        <f>F800-H800</f>
        <v/>
      </c>
      <c r="K800" s="16">
        <f>0.005/(1+E800)+D800*0.0005/(1+E800)^2+0.005</f>
        <v/>
      </c>
      <c r="L800" s="17">
        <f>IF(ABS(J800)&lt;=K800,"OK",IF(M800&lt;&gt;"","EXPLAINED","CHECK"))</f>
        <v/>
      </c>
      <c r="M800" s="7" t="inlineStr"/>
    </row>
    <row r="801">
      <c r="A801" s="33" t="n">
        <v>44719</v>
      </c>
      <c r="B801" s="7" t="inlineStr">
        <is>
          <t>NB Sum Assured</t>
        </is>
      </c>
      <c r="C801" s="7" t="inlineStr">
        <is>
          <t>Apr-22</t>
        </is>
      </c>
      <c r="D801" s="35" t="n">
        <v>849.54</v>
      </c>
      <c r="E801" s="32" t="n">
        <v>0.201</v>
      </c>
      <c r="F801" s="35">
        <f>D801/(1+E801)</f>
        <v/>
      </c>
      <c r="G801" s="7" t="inlineStr">
        <is>
          <t>Apr-21</t>
        </is>
      </c>
      <c r="H801" s="35" t="n">
        <v>707.59</v>
      </c>
      <c r="I801" s="33" t="n">
        <v>44385</v>
      </c>
      <c r="J801" s="36">
        <f>F801-H801</f>
        <v/>
      </c>
      <c r="K801" s="16">
        <f>0.005/(1+E801)+D801*0.0005/(1+E801)^2+0.005</f>
        <v/>
      </c>
      <c r="L801" s="17">
        <f>IF(ABS(J801)&lt;=K801,"OK",IF(M801&lt;&gt;"","EXPLAINED","CHECK"))</f>
        <v/>
      </c>
      <c r="M801" s="7" t="inlineStr"/>
    </row>
    <row r="802">
      <c r="A802" s="33" t="n">
        <v>44719</v>
      </c>
      <c r="B802" s="7" t="inlineStr">
        <is>
          <t>NB Premium</t>
        </is>
      </c>
      <c r="C802" s="7" t="inlineStr">
        <is>
          <t>Q4-FY2022</t>
        </is>
      </c>
      <c r="D802" s="35" t="n">
        <v>47.88</v>
      </c>
      <c r="E802" s="32" t="n">
        <v>-0.067</v>
      </c>
      <c r="F802" s="35">
        <f>D802/(1+E802)</f>
        <v/>
      </c>
      <c r="G802" s="7" t="inlineStr">
        <is>
          <t>Q4-FY2021</t>
        </is>
      </c>
      <c r="H802" s="35" t="n">
        <v>51.33</v>
      </c>
      <c r="I802" s="33" t="n">
        <v>44537</v>
      </c>
      <c r="J802" s="36">
        <f>F802-H802</f>
        <v/>
      </c>
      <c r="K802" s="16">
        <f>0.005/(1+E802)+D802*0.0005/(1+E802)^2+0.005</f>
        <v/>
      </c>
      <c r="L802" s="17">
        <f>IF(ABS(J802)&lt;=K802,"OK",IF(M802&lt;&gt;"","EXPLAINED","CHECK"))</f>
        <v/>
      </c>
      <c r="M802" s="7" t="inlineStr"/>
    </row>
    <row r="803">
      <c r="A803" s="33" t="n">
        <v>44719</v>
      </c>
      <c r="B803" s="7" t="inlineStr">
        <is>
          <t>NB Premium</t>
        </is>
      </c>
      <c r="C803" s="7" t="inlineStr">
        <is>
          <t>FY2022</t>
        </is>
      </c>
      <c r="D803" s="35" t="n">
        <v>150.36</v>
      </c>
      <c r="E803" s="32" t="n">
        <v>0.154</v>
      </c>
      <c r="F803" s="35">
        <f>D803/(1+E803)</f>
        <v/>
      </c>
      <c r="G803" s="7" t="inlineStr">
        <is>
          <t>FY2021</t>
        </is>
      </c>
      <c r="H803" s="35" t="n">
        <v>130.32</v>
      </c>
      <c r="I803" s="33" t="n">
        <v>44627</v>
      </c>
      <c r="J803" s="36">
        <f>F803-H803</f>
        <v/>
      </c>
      <c r="K803" s="16">
        <f>0.005/(1+E803)+D803*0.0005/(1+E803)^2+0.005</f>
        <v/>
      </c>
      <c r="L803" s="17">
        <f>IF(ABS(J803)&lt;=K803,"OK",IF(M803&lt;&gt;"","EXPLAINED","CHECK"))</f>
        <v/>
      </c>
      <c r="M803" s="7" t="inlineStr"/>
    </row>
    <row r="804">
      <c r="A804" s="33" t="n">
        <v>44719</v>
      </c>
      <c r="B804" s="7" t="inlineStr">
        <is>
          <t>NB Premium</t>
        </is>
      </c>
      <c r="C804" s="7" t="inlineStr">
        <is>
          <t>May-22</t>
        </is>
      </c>
      <c r="D804" s="35" t="n">
        <v>12.19</v>
      </c>
      <c r="E804" s="32" t="n">
        <v>0.87</v>
      </c>
      <c r="F804" s="35">
        <f>D804/(1+E804)</f>
        <v/>
      </c>
      <c r="G804" s="7" t="inlineStr">
        <is>
          <t>May-21</t>
        </is>
      </c>
      <c r="H804" s="35" t="n">
        <v>6.52</v>
      </c>
      <c r="I804" s="33" t="n">
        <v>44385</v>
      </c>
      <c r="J804" s="36">
        <f>F804-H804</f>
        <v/>
      </c>
      <c r="K804" s="16">
        <f>0.005/(1+E804)+D804*0.0005/(1+E804)^2+0.005</f>
        <v/>
      </c>
      <c r="L804" s="17">
        <f>IF(ABS(J804)&lt;=K804,"OK",IF(M804&lt;&gt;"","EXPLAINED","CHECK"))</f>
        <v/>
      </c>
      <c r="M804" s="7" t="inlineStr"/>
    </row>
    <row r="805">
      <c r="A805" s="33" t="n">
        <v>44719</v>
      </c>
      <c r="B805" s="7" t="inlineStr">
        <is>
          <t>NB Premium</t>
        </is>
      </c>
      <c r="C805" s="7" t="inlineStr">
        <is>
          <t>Apr-22</t>
        </is>
      </c>
      <c r="D805" s="35" t="n">
        <v>8.85</v>
      </c>
      <c r="E805" s="32" t="n">
        <v>0.376</v>
      </c>
      <c r="F805" s="35">
        <f>D805/(1+E805)</f>
        <v/>
      </c>
      <c r="G805" s="7" t="inlineStr">
        <is>
          <t>Apr-21</t>
        </is>
      </c>
      <c r="H805" s="35" t="n">
        <v>6.43</v>
      </c>
      <c r="I805" s="33" t="n">
        <v>44385</v>
      </c>
      <c r="J805" s="36">
        <f>F805-H805</f>
        <v/>
      </c>
      <c r="K805" s="16">
        <f>0.005/(1+E805)+D805*0.0005/(1+E805)^2+0.005</f>
        <v/>
      </c>
      <c r="L805" s="17">
        <f>IF(ABS(J805)&lt;=K805,"OK",IF(M805&lt;&gt;"","EXPLAINED","CHECK"))</f>
        <v/>
      </c>
      <c r="M805" s="7" t="inlineStr"/>
    </row>
    <row r="806">
      <c r="A806" s="33" t="n">
        <v>44719</v>
      </c>
      <c r="B806" s="7" t="inlineStr">
        <is>
          <t>APE</t>
        </is>
      </c>
      <c r="C806" s="7" t="inlineStr">
        <is>
          <t>Q4-FY2022</t>
        </is>
      </c>
      <c r="D806" s="35" t="n">
        <v>26.08</v>
      </c>
      <c r="E806" s="32" t="n">
        <v>0.039</v>
      </c>
      <c r="F806" s="35">
        <f>D806/(1+E806)</f>
        <v/>
      </c>
      <c r="G806" s="7" t="inlineStr">
        <is>
          <t>Q4-FY2021</t>
        </is>
      </c>
      <c r="H806" s="35" t="n">
        <v>25.09</v>
      </c>
      <c r="I806" s="33" t="n">
        <v>44537</v>
      </c>
      <c r="J806" s="36">
        <f>F806-H806</f>
        <v/>
      </c>
      <c r="K806" s="16">
        <f>0.005/(1+E806)+D806*0.0005/(1+E806)^2+0.005</f>
        <v/>
      </c>
      <c r="L806" s="17">
        <f>IF(ABS(J806)&lt;=K806,"OK",IF(M806&lt;&gt;"","EXPLAINED","CHECK"))</f>
        <v/>
      </c>
      <c r="M806" s="7" t="inlineStr"/>
    </row>
    <row r="807">
      <c r="A807" s="33" t="n">
        <v>44719</v>
      </c>
      <c r="B807" s="7" t="inlineStr">
        <is>
          <t>APE</t>
        </is>
      </c>
      <c r="C807" s="7" t="inlineStr">
        <is>
          <t>FY2022</t>
        </is>
      </c>
      <c r="D807" s="35" t="n">
        <v>77.33</v>
      </c>
      <c r="E807" s="32" t="n">
        <v>0.197</v>
      </c>
      <c r="F807" s="35">
        <f>D807/(1+E807)</f>
        <v/>
      </c>
      <c r="G807" s="7" t="inlineStr">
        <is>
          <t>FY2021</t>
        </is>
      </c>
      <c r="H807" s="35" t="n">
        <v>64.62</v>
      </c>
      <c r="I807" s="33" t="n">
        <v>44627</v>
      </c>
      <c r="J807" s="36">
        <f>F807-H807</f>
        <v/>
      </c>
      <c r="K807" s="16">
        <f>0.005/(1+E807)+D807*0.0005/(1+E807)^2+0.005</f>
        <v/>
      </c>
      <c r="L807" s="17">
        <f>IF(ABS(J807)&lt;=K807,"OK",IF(M807&lt;&gt;"","EXPLAINED","CHECK"))</f>
        <v/>
      </c>
      <c r="M807" s="7" t="inlineStr"/>
    </row>
    <row r="808">
      <c r="A808" s="33" t="n">
        <v>44719</v>
      </c>
      <c r="B808" s="7" t="inlineStr">
        <is>
          <t>APE</t>
        </is>
      </c>
      <c r="C808" s="7" t="inlineStr">
        <is>
          <t>May-22</t>
        </is>
      </c>
      <c r="D808" s="35" t="n">
        <v>4.71</v>
      </c>
      <c r="E808" s="32" t="n">
        <v>0.5489999999999999</v>
      </c>
      <c r="F808" s="35">
        <f>D808/(1+E808)</f>
        <v/>
      </c>
      <c r="G808" s="7" t="inlineStr">
        <is>
          <t>May-21</t>
        </is>
      </c>
      <c r="H808" s="35" t="n">
        <v>3.04</v>
      </c>
      <c r="I808" s="33" t="n">
        <v>44385</v>
      </c>
      <c r="J808" s="36">
        <f>F808-H808</f>
        <v/>
      </c>
      <c r="K808" s="16">
        <f>0.005/(1+E808)+D808*0.0005/(1+E808)^2+0.005</f>
        <v/>
      </c>
      <c r="L808" s="17">
        <f>IF(ABS(J808)&lt;=K808,"OK",IF(M808&lt;&gt;"","EXPLAINED","CHECK"))</f>
        <v/>
      </c>
      <c r="M808" s="7" t="inlineStr"/>
    </row>
    <row r="809">
      <c r="A809" s="33" t="n">
        <v>44719</v>
      </c>
      <c r="B809" s="7" t="inlineStr">
        <is>
          <t>APE</t>
        </is>
      </c>
      <c r="C809" s="7" t="inlineStr">
        <is>
          <t>Apr-22</t>
        </is>
      </c>
      <c r="D809" s="35" t="n">
        <v>4.86</v>
      </c>
      <c r="E809" s="32" t="n">
        <v>0.361</v>
      </c>
      <c r="F809" s="35">
        <f>D809/(1+E809)</f>
        <v/>
      </c>
      <c r="G809" s="7" t="inlineStr">
        <is>
          <t>Apr-21</t>
        </is>
      </c>
      <c r="H809" s="35" t="n">
        <v>3.57</v>
      </c>
      <c r="I809" s="33" t="n">
        <v>44385</v>
      </c>
      <c r="J809" s="36">
        <f>F809-H809</f>
        <v/>
      </c>
      <c r="K809" s="16">
        <f>0.005/(1+E809)+D809*0.0005/(1+E809)^2+0.005</f>
        <v/>
      </c>
      <c r="L809" s="17">
        <f>IF(ABS(J809)&lt;=K809,"OK",IF(M809&lt;&gt;"","EXPLAINED","CHECK"))</f>
        <v/>
      </c>
      <c r="M809" s="7" t="inlineStr"/>
    </row>
    <row r="810">
      <c r="A810" s="33" t="n">
        <v>44719</v>
      </c>
      <c r="B810" s="7" t="inlineStr">
        <is>
          <t>RWRP</t>
        </is>
      </c>
      <c r="C810" s="7" t="inlineStr">
        <is>
          <t>Q4-FY2022</t>
        </is>
      </c>
      <c r="D810" s="35" t="n">
        <v>20.74</v>
      </c>
      <c r="E810" s="32" t="n">
        <v>-0.035</v>
      </c>
      <c r="F810" s="35">
        <f>D810/(1+E810)</f>
        <v/>
      </c>
      <c r="G810" s="7" t="inlineStr">
        <is>
          <t>Q4-FY2021</t>
        </is>
      </c>
      <c r="H810" s="35" t="n">
        <v>21.49</v>
      </c>
      <c r="I810" s="33" t="n">
        <v>44537</v>
      </c>
      <c r="J810" s="36">
        <f>F810-H810</f>
        <v/>
      </c>
      <c r="K810" s="16">
        <f>0.005/(1+E810)+D810*0.0005/(1+E810)^2+0.005</f>
        <v/>
      </c>
      <c r="L810" s="17">
        <f>IF(ABS(J810)&lt;=K810,"OK",IF(M810&lt;&gt;"","EXPLAINED","CHECK"))</f>
        <v/>
      </c>
      <c r="M810" s="7" t="inlineStr"/>
    </row>
    <row r="811">
      <c r="A811" s="33" t="n">
        <v>44719</v>
      </c>
      <c r="B811" s="7" t="inlineStr">
        <is>
          <t>RWRP</t>
        </is>
      </c>
      <c r="C811" s="7" t="inlineStr">
        <is>
          <t>FY2022</t>
        </is>
      </c>
      <c r="D811" s="35" t="n">
        <v>62.99</v>
      </c>
      <c r="E811" s="32" t="n">
        <v>0.155</v>
      </c>
      <c r="F811" s="35">
        <f>D811/(1+E811)</f>
        <v/>
      </c>
      <c r="G811" s="7" t="inlineStr">
        <is>
          <t>FY2021</t>
        </is>
      </c>
      <c r="H811" s="35" t="n">
        <v>54.54</v>
      </c>
      <c r="I811" s="33" t="n">
        <v>44627</v>
      </c>
      <c r="J811" s="36">
        <f>F811-H811</f>
        <v/>
      </c>
      <c r="K811" s="16">
        <f>0.005/(1+E811)+D811*0.0005/(1+E811)^2+0.005</f>
        <v/>
      </c>
      <c r="L811" s="17">
        <f>IF(ABS(J811)&lt;=K811,"OK",IF(M811&lt;&gt;"","EXPLAINED","CHECK"))</f>
        <v/>
      </c>
      <c r="M811" s="7" t="inlineStr"/>
    </row>
    <row r="812">
      <c r="A812" s="33" t="n">
        <v>44719</v>
      </c>
      <c r="B812" s="7" t="inlineStr">
        <is>
          <t>RWRP</t>
        </is>
      </c>
      <c r="C812" s="7" t="inlineStr">
        <is>
          <t>May-22</t>
        </is>
      </c>
      <c r="D812" s="35" t="n">
        <v>3.33</v>
      </c>
      <c r="E812" s="32" t="n">
        <v>0.362</v>
      </c>
      <c r="F812" s="35">
        <f>D812/(1+E812)</f>
        <v/>
      </c>
      <c r="G812" s="7" t="inlineStr">
        <is>
          <t>May-21</t>
        </is>
      </c>
      <c r="H812" s="35" t="n">
        <v>2.45</v>
      </c>
      <c r="I812" s="33" t="n">
        <v>44385</v>
      </c>
      <c r="J812" s="36">
        <f>F812-H812</f>
        <v/>
      </c>
      <c r="K812" s="16">
        <f>0.005/(1+E812)+D812*0.0005/(1+E812)^2+0.005</f>
        <v/>
      </c>
      <c r="L812" s="17">
        <f>IF(ABS(J812)&lt;=K812,"OK",IF(M812&lt;&gt;"","EXPLAINED","CHECK"))</f>
        <v/>
      </c>
      <c r="M812" s="7" t="inlineStr"/>
    </row>
    <row r="813">
      <c r="A813" s="33" t="n">
        <v>44719</v>
      </c>
      <c r="B813" s="7" t="inlineStr">
        <is>
          <t>RWRP</t>
        </is>
      </c>
      <c r="C813" s="7" t="inlineStr">
        <is>
          <t>Apr-22</t>
        </is>
      </c>
      <c r="D813" s="35" t="n">
        <v>3.39</v>
      </c>
      <c r="E813" s="32" t="n">
        <v>0.322</v>
      </c>
      <c r="F813" s="35">
        <f>D813/(1+E813)</f>
        <v/>
      </c>
      <c r="G813" s="7" t="inlineStr">
        <is>
          <t>Apr-21</t>
        </is>
      </c>
      <c r="H813" s="35" t="n">
        <v>2.56</v>
      </c>
      <c r="I813" s="33" t="n">
        <v>44385</v>
      </c>
      <c r="J813" s="36">
        <f>F813-H813</f>
        <v/>
      </c>
      <c r="K813" s="16">
        <f>0.005/(1+E813)+D813*0.0005/(1+E813)^2+0.005</f>
        <v/>
      </c>
      <c r="L813" s="17">
        <f>IF(ABS(J813)&lt;=K813,"OK",IF(M813&lt;&gt;"","EXPLAINED","CHECK"))</f>
        <v/>
      </c>
      <c r="M813" s="7" t="inlineStr"/>
    </row>
    <row r="814">
      <c r="A814" s="33" t="n">
        <v>44690</v>
      </c>
      <c r="B814" s="7" t="inlineStr">
        <is>
          <t>NB Sum Assured</t>
        </is>
      </c>
      <c r="C814" s="7" t="inlineStr">
        <is>
          <t>Q4-FY2022</t>
        </is>
      </c>
      <c r="D814" s="35" t="n">
        <v>2599.83</v>
      </c>
      <c r="E814" s="32" t="n">
        <v>0.267</v>
      </c>
      <c r="F814" s="35">
        <f>D814/(1+E814)</f>
        <v/>
      </c>
      <c r="G814" s="7" t="inlineStr">
        <is>
          <t>Q4-FY2021</t>
        </is>
      </c>
      <c r="H814" s="35" t="n">
        <v>2051.84</v>
      </c>
      <c r="I814" s="33" t="n">
        <v>44537</v>
      </c>
      <c r="J814" s="36">
        <f>F814-H814</f>
        <v/>
      </c>
      <c r="K814" s="16">
        <f>0.005/(1+E814)+D814*0.0005/(1+E814)^2+0.005</f>
        <v/>
      </c>
      <c r="L814" s="17">
        <f>IF(ABS(J814)&lt;=K814,"OK",IF(M814&lt;&gt;"","EXPLAINED","CHECK"))</f>
        <v/>
      </c>
      <c r="M814" s="7" t="inlineStr"/>
    </row>
    <row r="815">
      <c r="A815" s="33" t="n">
        <v>44690</v>
      </c>
      <c r="B815" s="7" t="inlineStr">
        <is>
          <t>NB Sum Assured</t>
        </is>
      </c>
      <c r="C815" s="7" t="inlineStr">
        <is>
          <t>FY2022</t>
        </is>
      </c>
      <c r="D815" s="35" t="n">
        <v>7731.46</v>
      </c>
      <c r="E815" s="32" t="n">
        <v>0.254</v>
      </c>
      <c r="F815" s="35">
        <f>D815/(1+E815)</f>
        <v/>
      </c>
      <c r="G815" s="7" t="inlineStr">
        <is>
          <t>FY2021</t>
        </is>
      </c>
      <c r="H815" s="35" t="n">
        <v>6166.84</v>
      </c>
      <c r="I815" s="33" t="n">
        <v>44627</v>
      </c>
      <c r="J815" s="36">
        <f>F815-H815</f>
        <v/>
      </c>
      <c r="K815" s="16">
        <f>0.005/(1+E815)+D815*0.0005/(1+E815)^2+0.005</f>
        <v/>
      </c>
      <c r="L815" s="17">
        <f>IF(ABS(J815)&lt;=K815,"OK",IF(M815&lt;&gt;"","EXPLAINED","CHECK"))</f>
        <v/>
      </c>
      <c r="M815" s="7" t="inlineStr"/>
    </row>
    <row r="816">
      <c r="A816" s="33" t="n">
        <v>44690</v>
      </c>
      <c r="B816" s="7" t="inlineStr">
        <is>
          <t>NB Sum Assured</t>
        </is>
      </c>
      <c r="C816" s="7" t="inlineStr">
        <is>
          <t>Apr-22</t>
        </is>
      </c>
      <c r="D816" s="35" t="n">
        <v>849.54</v>
      </c>
      <c r="E816" s="32" t="n">
        <v>0.201</v>
      </c>
      <c r="F816" s="35">
        <f>D816/(1+E816)</f>
        <v/>
      </c>
      <c r="G816" s="7" t="inlineStr">
        <is>
          <t>Apr-21</t>
        </is>
      </c>
      <c r="H816" s="35" t="n">
        <v>707.59</v>
      </c>
      <c r="I816" s="33" t="n">
        <v>44385</v>
      </c>
      <c r="J816" s="36">
        <f>F816-H816</f>
        <v/>
      </c>
      <c r="K816" s="16">
        <f>0.005/(1+E816)+D816*0.0005/(1+E816)^2+0.005</f>
        <v/>
      </c>
      <c r="L816" s="17">
        <f>IF(ABS(J816)&lt;=K816,"OK",IF(M816&lt;&gt;"","EXPLAINED","CHECK"))</f>
        <v/>
      </c>
      <c r="M816" s="7" t="inlineStr"/>
    </row>
    <row r="817">
      <c r="A817" s="33" t="n">
        <v>44690</v>
      </c>
      <c r="B817" s="7" t="inlineStr">
        <is>
          <t>NB Premium</t>
        </is>
      </c>
      <c r="C817" s="7" t="inlineStr">
        <is>
          <t>Q4-FY2022</t>
        </is>
      </c>
      <c r="D817" s="35" t="n">
        <v>47.88</v>
      </c>
      <c r="E817" s="32" t="n">
        <v>-0.067</v>
      </c>
      <c r="F817" s="35">
        <f>D817/(1+E817)</f>
        <v/>
      </c>
      <c r="G817" s="7" t="inlineStr">
        <is>
          <t>Q4-FY2021</t>
        </is>
      </c>
      <c r="H817" s="35" t="n">
        <v>51.33</v>
      </c>
      <c r="I817" s="33" t="n">
        <v>44537</v>
      </c>
      <c r="J817" s="36">
        <f>F817-H817</f>
        <v/>
      </c>
      <c r="K817" s="16">
        <f>0.005/(1+E817)+D817*0.0005/(1+E817)^2+0.005</f>
        <v/>
      </c>
      <c r="L817" s="17">
        <f>IF(ABS(J817)&lt;=K817,"OK",IF(M817&lt;&gt;"","EXPLAINED","CHECK"))</f>
        <v/>
      </c>
      <c r="M817" s="7" t="inlineStr"/>
    </row>
    <row r="818">
      <c r="A818" s="33" t="n">
        <v>44690</v>
      </c>
      <c r="B818" s="7" t="inlineStr">
        <is>
          <t>NB Premium</t>
        </is>
      </c>
      <c r="C818" s="7" t="inlineStr">
        <is>
          <t>FY2022</t>
        </is>
      </c>
      <c r="D818" s="35" t="n">
        <v>150.36</v>
      </c>
      <c r="E818" s="32" t="n">
        <v>0.154</v>
      </c>
      <c r="F818" s="35">
        <f>D818/(1+E818)</f>
        <v/>
      </c>
      <c r="G818" s="7" t="inlineStr">
        <is>
          <t>FY2021</t>
        </is>
      </c>
      <c r="H818" s="35" t="n">
        <v>130.32</v>
      </c>
      <c r="I818" s="33" t="n">
        <v>44627</v>
      </c>
      <c r="J818" s="36">
        <f>F818-H818</f>
        <v/>
      </c>
      <c r="K818" s="16">
        <f>0.005/(1+E818)+D818*0.0005/(1+E818)^2+0.005</f>
        <v/>
      </c>
      <c r="L818" s="17">
        <f>IF(ABS(J818)&lt;=K818,"OK",IF(M818&lt;&gt;"","EXPLAINED","CHECK"))</f>
        <v/>
      </c>
      <c r="M818" s="7" t="inlineStr"/>
    </row>
    <row r="819">
      <c r="A819" s="33" t="n">
        <v>44690</v>
      </c>
      <c r="B819" s="7" t="inlineStr">
        <is>
          <t>NB Premium</t>
        </is>
      </c>
      <c r="C819" s="7" t="inlineStr">
        <is>
          <t>Apr-22</t>
        </is>
      </c>
      <c r="D819" s="35" t="n">
        <v>8.85</v>
      </c>
      <c r="E819" s="32" t="n">
        <v>0.376</v>
      </c>
      <c r="F819" s="35">
        <f>D819/(1+E819)</f>
        <v/>
      </c>
      <c r="G819" s="7" t="inlineStr">
        <is>
          <t>Apr-21</t>
        </is>
      </c>
      <c r="H819" s="35" t="n">
        <v>6.43</v>
      </c>
      <c r="I819" s="33" t="n">
        <v>44385</v>
      </c>
      <c r="J819" s="36">
        <f>F819-H819</f>
        <v/>
      </c>
      <c r="K819" s="16">
        <f>0.005/(1+E819)+D819*0.0005/(1+E819)^2+0.005</f>
        <v/>
      </c>
      <c r="L819" s="17">
        <f>IF(ABS(J819)&lt;=K819,"OK",IF(M819&lt;&gt;"","EXPLAINED","CHECK"))</f>
        <v/>
      </c>
      <c r="M819" s="7" t="inlineStr"/>
    </row>
    <row r="820">
      <c r="A820" s="33" t="n">
        <v>44690</v>
      </c>
      <c r="B820" s="7" t="inlineStr">
        <is>
          <t>APE</t>
        </is>
      </c>
      <c r="C820" s="7" t="inlineStr">
        <is>
          <t>Q4-FY2022</t>
        </is>
      </c>
      <c r="D820" s="35" t="n">
        <v>26.08</v>
      </c>
      <c r="E820" s="32" t="n">
        <v>0.039</v>
      </c>
      <c r="F820" s="35">
        <f>D820/(1+E820)</f>
        <v/>
      </c>
      <c r="G820" s="7" t="inlineStr">
        <is>
          <t>Q4-FY2021</t>
        </is>
      </c>
      <c r="H820" s="35" t="n">
        <v>25.09</v>
      </c>
      <c r="I820" s="33" t="n">
        <v>44537</v>
      </c>
      <c r="J820" s="36">
        <f>F820-H820</f>
        <v/>
      </c>
      <c r="K820" s="16">
        <f>0.005/(1+E820)+D820*0.0005/(1+E820)^2+0.005</f>
        <v/>
      </c>
      <c r="L820" s="17">
        <f>IF(ABS(J820)&lt;=K820,"OK",IF(M820&lt;&gt;"","EXPLAINED","CHECK"))</f>
        <v/>
      </c>
      <c r="M820" s="7" t="inlineStr"/>
    </row>
    <row r="821">
      <c r="A821" s="33" t="n">
        <v>44690</v>
      </c>
      <c r="B821" s="7" t="inlineStr">
        <is>
          <t>APE</t>
        </is>
      </c>
      <c r="C821" s="7" t="inlineStr">
        <is>
          <t>FY2022</t>
        </is>
      </c>
      <c r="D821" s="35" t="n">
        <v>77.33</v>
      </c>
      <c r="E821" s="32" t="n">
        <v>0.197</v>
      </c>
      <c r="F821" s="35">
        <f>D821/(1+E821)</f>
        <v/>
      </c>
      <c r="G821" s="7" t="inlineStr">
        <is>
          <t>FY2021</t>
        </is>
      </c>
      <c r="H821" s="35" t="n">
        <v>64.62</v>
      </c>
      <c r="I821" s="33" t="n">
        <v>44627</v>
      </c>
      <c r="J821" s="36">
        <f>F821-H821</f>
        <v/>
      </c>
      <c r="K821" s="16">
        <f>0.005/(1+E821)+D821*0.0005/(1+E821)^2+0.005</f>
        <v/>
      </c>
      <c r="L821" s="17">
        <f>IF(ABS(J821)&lt;=K821,"OK",IF(M821&lt;&gt;"","EXPLAINED","CHECK"))</f>
        <v/>
      </c>
      <c r="M821" s="7" t="inlineStr"/>
    </row>
    <row r="822">
      <c r="A822" s="33" t="n">
        <v>44690</v>
      </c>
      <c r="B822" s="7" t="inlineStr">
        <is>
          <t>APE</t>
        </is>
      </c>
      <c r="C822" s="7" t="inlineStr">
        <is>
          <t>Apr-22</t>
        </is>
      </c>
      <c r="D822" s="35" t="n">
        <v>4.86</v>
      </c>
      <c r="E822" s="32" t="n">
        <v>0.361</v>
      </c>
      <c r="F822" s="35">
        <f>D822/(1+E822)</f>
        <v/>
      </c>
      <c r="G822" s="7" t="inlineStr">
        <is>
          <t>Apr-21</t>
        </is>
      </c>
      <c r="H822" s="35" t="n">
        <v>3.57</v>
      </c>
      <c r="I822" s="33" t="n">
        <v>44385</v>
      </c>
      <c r="J822" s="36">
        <f>F822-H822</f>
        <v/>
      </c>
      <c r="K822" s="16">
        <f>0.005/(1+E822)+D822*0.0005/(1+E822)^2+0.005</f>
        <v/>
      </c>
      <c r="L822" s="17">
        <f>IF(ABS(J822)&lt;=K822,"OK",IF(M822&lt;&gt;"","EXPLAINED","CHECK"))</f>
        <v/>
      </c>
      <c r="M822" s="7" t="inlineStr"/>
    </row>
    <row r="823">
      <c r="A823" s="33" t="n">
        <v>44690</v>
      </c>
      <c r="B823" s="7" t="inlineStr">
        <is>
          <t>RWRP</t>
        </is>
      </c>
      <c r="C823" s="7" t="inlineStr">
        <is>
          <t>Q4-FY2022</t>
        </is>
      </c>
      <c r="D823" s="35" t="n">
        <v>20.74</v>
      </c>
      <c r="E823" s="32" t="n">
        <v>-0.035</v>
      </c>
      <c r="F823" s="35">
        <f>D823/(1+E823)</f>
        <v/>
      </c>
      <c r="G823" s="7" t="inlineStr">
        <is>
          <t>Q4-FY2021</t>
        </is>
      </c>
      <c r="H823" s="35" t="n">
        <v>21.49</v>
      </c>
      <c r="I823" s="33" t="n">
        <v>44537</v>
      </c>
      <c r="J823" s="36">
        <f>F823-H823</f>
        <v/>
      </c>
      <c r="K823" s="16">
        <f>0.005/(1+E823)+D823*0.0005/(1+E823)^2+0.005</f>
        <v/>
      </c>
      <c r="L823" s="17">
        <f>IF(ABS(J823)&lt;=K823,"OK",IF(M823&lt;&gt;"","EXPLAINED","CHECK"))</f>
        <v/>
      </c>
      <c r="M823" s="7" t="inlineStr"/>
    </row>
    <row r="824">
      <c r="A824" s="33" t="n">
        <v>44690</v>
      </c>
      <c r="B824" s="7" t="inlineStr">
        <is>
          <t>RWRP</t>
        </is>
      </c>
      <c r="C824" s="7" t="inlineStr">
        <is>
          <t>FY2022</t>
        </is>
      </c>
      <c r="D824" s="35" t="n">
        <v>62.99</v>
      </c>
      <c r="E824" s="32" t="n">
        <v>0.155</v>
      </c>
      <c r="F824" s="35">
        <f>D824/(1+E824)</f>
        <v/>
      </c>
      <c r="G824" s="7" t="inlineStr">
        <is>
          <t>FY2021</t>
        </is>
      </c>
      <c r="H824" s="35" t="n">
        <v>54.54</v>
      </c>
      <c r="I824" s="33" t="n">
        <v>44627</v>
      </c>
      <c r="J824" s="36">
        <f>F824-H824</f>
        <v/>
      </c>
      <c r="K824" s="16">
        <f>0.005/(1+E824)+D824*0.0005/(1+E824)^2+0.005</f>
        <v/>
      </c>
      <c r="L824" s="17">
        <f>IF(ABS(J824)&lt;=K824,"OK",IF(M824&lt;&gt;"","EXPLAINED","CHECK"))</f>
        <v/>
      </c>
      <c r="M824" s="7" t="inlineStr"/>
    </row>
    <row r="825">
      <c r="A825" s="33" t="n">
        <v>44690</v>
      </c>
      <c r="B825" s="7" t="inlineStr">
        <is>
          <t>RWRP</t>
        </is>
      </c>
      <c r="C825" s="7" t="inlineStr">
        <is>
          <t>Apr-22</t>
        </is>
      </c>
      <c r="D825" s="35" t="n">
        <v>3.39</v>
      </c>
      <c r="E825" s="32" t="n">
        <v>0.322</v>
      </c>
      <c r="F825" s="35">
        <f>D825/(1+E825)</f>
        <v/>
      </c>
      <c r="G825" s="7" t="inlineStr">
        <is>
          <t>Apr-21</t>
        </is>
      </c>
      <c r="H825" s="35" t="n">
        <v>2.56</v>
      </c>
      <c r="I825" s="33" t="n">
        <v>44385</v>
      </c>
      <c r="J825" s="36">
        <f>F825-H825</f>
        <v/>
      </c>
      <c r="K825" s="16">
        <f>0.005/(1+E825)+D825*0.0005/(1+E825)^2+0.005</f>
        <v/>
      </c>
      <c r="L825" s="17">
        <f>IF(ABS(J825)&lt;=K825,"OK",IF(M825&lt;&gt;"","EXPLAINED","CHECK"))</f>
        <v/>
      </c>
      <c r="M825" s="7" t="inlineStr"/>
    </row>
    <row r="826">
      <c r="A826" s="33" t="n">
        <v>44627</v>
      </c>
      <c r="B826" s="7" t="inlineStr">
        <is>
          <t>NB Sum Assured</t>
        </is>
      </c>
      <c r="C826" s="7" t="inlineStr">
        <is>
          <t>FY2021</t>
        </is>
      </c>
      <c r="D826" s="35" t="n">
        <v>6166.84</v>
      </c>
      <c r="E826" s="32" t="n">
        <v>0.08</v>
      </c>
      <c r="F826" s="35">
        <f>D826/(1+E826)</f>
        <v/>
      </c>
      <c r="G826" s="7" t="inlineStr">
        <is>
          <t>FY2020</t>
        </is>
      </c>
      <c r="H826" s="35" t="n">
        <v>5711.84</v>
      </c>
      <c r="I826" s="33" t="n">
        <v>44263</v>
      </c>
      <c r="J826" s="36">
        <f>F826-H826</f>
        <v/>
      </c>
      <c r="K826" s="16">
        <f>0.005/(1+E826)+D826*0.0005/(1+E826)^2+0.005</f>
        <v/>
      </c>
      <c r="L826" s="17">
        <f>IF(ABS(J826)&lt;=K826,"OK",IF(M826&lt;&gt;"","EXPLAINED","CHECK"))</f>
        <v/>
      </c>
      <c r="M826" s="7" t="inlineStr"/>
    </row>
    <row r="827">
      <c r="A827" s="33" t="n">
        <v>44627</v>
      </c>
      <c r="B827" s="7" t="inlineStr">
        <is>
          <t>NB Sum Assured</t>
        </is>
      </c>
      <c r="C827" s="7" t="inlineStr">
        <is>
          <t>11M-FY2022</t>
        </is>
      </c>
      <c r="D827" s="35" t="n">
        <v>6790.52</v>
      </c>
      <c r="E827" s="32" t="n">
        <v>0.268</v>
      </c>
      <c r="F827" s="35">
        <f>D827/(1+E827)</f>
        <v/>
      </c>
      <c r="G827" s="7" t="inlineStr">
        <is>
          <t>11M-FY2021</t>
        </is>
      </c>
      <c r="H827" s="35" t="n">
        <v>5354.69</v>
      </c>
      <c r="I827" s="33" t="n">
        <v>44263</v>
      </c>
      <c r="J827" s="36">
        <f>F827-H827</f>
        <v/>
      </c>
      <c r="K827" s="16">
        <f>0.005/(1+E827)+D827*0.0005/(1+E827)^2+0.005</f>
        <v/>
      </c>
      <c r="L827" s="17">
        <f>IF(ABS(J827)&lt;=K827,"OK",IF(M827&lt;&gt;"","EXPLAINED","CHECK"))</f>
        <v/>
      </c>
      <c r="M827" s="7" t="inlineStr"/>
    </row>
    <row r="828">
      <c r="A828" s="33" t="n">
        <v>44627</v>
      </c>
      <c r="B828" s="7" t="inlineStr">
        <is>
          <t>NB Sum Assured</t>
        </is>
      </c>
      <c r="C828" s="7" t="inlineStr">
        <is>
          <t>Feb-22</t>
        </is>
      </c>
      <c r="D828" s="35" t="n">
        <v>584.1799999999999</v>
      </c>
      <c r="E828" s="32" t="n">
        <v>-0.068</v>
      </c>
      <c r="F828" s="35">
        <f>D828/(1+E828)</f>
        <v/>
      </c>
      <c r="G828" s="7" t="inlineStr">
        <is>
          <t>Feb-21</t>
        </is>
      </c>
      <c r="H828" s="35" t="n">
        <v>627.05</v>
      </c>
      <c r="I828" s="33" t="n">
        <v>44263</v>
      </c>
      <c r="J828" s="36">
        <f>F828-H828</f>
        <v/>
      </c>
      <c r="K828" s="16">
        <f>0.005/(1+E828)+D828*0.0005/(1+E828)^2+0.005</f>
        <v/>
      </c>
      <c r="L828" s="17">
        <f>IF(ABS(J828)&lt;=K828,"OK",IF(M828&lt;&gt;"","EXPLAINED","CHECK"))</f>
        <v/>
      </c>
      <c r="M828" s="7" t="inlineStr"/>
    </row>
    <row r="829">
      <c r="A829" s="33" t="n">
        <v>44627</v>
      </c>
      <c r="B829" s="7" t="inlineStr">
        <is>
          <t>NB Sum Assured</t>
        </is>
      </c>
      <c r="C829" s="7" t="inlineStr">
        <is>
          <t>Jan-22</t>
        </is>
      </c>
      <c r="D829" s="35" t="n">
        <v>1074.7</v>
      </c>
      <c r="E829" s="32" t="n">
        <v>0.754</v>
      </c>
      <c r="F829" s="35">
        <f>D829/(1+E829)</f>
        <v/>
      </c>
      <c r="G829" s="7" t="inlineStr">
        <is>
          <t>Jan-21</t>
        </is>
      </c>
      <c r="H829" s="35" t="n">
        <v>612.65</v>
      </c>
      <c r="I829" s="33" t="n">
        <v>44263</v>
      </c>
      <c r="J829" s="36">
        <f>F829-H829</f>
        <v/>
      </c>
      <c r="K829" s="16">
        <f>0.005/(1+E829)+D829*0.0005/(1+E829)^2+0.005</f>
        <v/>
      </c>
      <c r="L829" s="17">
        <f>IF(ABS(J829)&lt;=K829,"OK",IF(M829&lt;&gt;"","EXPLAINED","CHECK"))</f>
        <v/>
      </c>
      <c r="M829" s="7" t="inlineStr"/>
    </row>
    <row r="830">
      <c r="A830" s="33" t="n">
        <v>44627</v>
      </c>
      <c r="B830" s="7" t="inlineStr">
        <is>
          <t>NB Premium</t>
        </is>
      </c>
      <c r="C830" s="7" t="inlineStr">
        <is>
          <t>FY2021</t>
        </is>
      </c>
      <c r="D830" s="35" t="n">
        <v>130.32</v>
      </c>
      <c r="E830" s="32" t="n">
        <v>0.055</v>
      </c>
      <c r="F830" s="35">
        <f>D830/(1+E830)</f>
        <v/>
      </c>
      <c r="G830" s="7" t="inlineStr">
        <is>
          <t>FY2020</t>
        </is>
      </c>
      <c r="H830" s="35" t="n">
        <v>123.48</v>
      </c>
      <c r="I830" s="33" t="n">
        <v>44263</v>
      </c>
      <c r="J830" s="36">
        <f>F830-H830</f>
        <v/>
      </c>
      <c r="K830" s="16">
        <f>0.005/(1+E830)+D830*0.0005/(1+E830)^2+0.005</f>
        <v/>
      </c>
      <c r="L830" s="17">
        <f>IF(ABS(J830)&lt;=K830,"OK",IF(M830&lt;&gt;"","EXPLAINED","CHECK"))</f>
        <v/>
      </c>
      <c r="M830" s="7" t="inlineStr"/>
    </row>
    <row r="831">
      <c r="A831" s="33" t="n">
        <v>44627</v>
      </c>
      <c r="B831" s="7" t="inlineStr">
        <is>
          <t>NB Premium</t>
        </is>
      </c>
      <c r="C831" s="7" t="inlineStr">
        <is>
          <t>11M-FY2022</t>
        </is>
      </c>
      <c r="D831" s="35" t="n">
        <v>128.45</v>
      </c>
      <c r="E831" s="32" t="n">
        <v>0.181</v>
      </c>
      <c r="F831" s="35">
        <f>D831/(1+E831)</f>
        <v/>
      </c>
      <c r="G831" s="7" t="inlineStr">
        <is>
          <t>11M-FY2021</t>
        </is>
      </c>
      <c r="H831" s="35" t="n">
        <v>108.75</v>
      </c>
      <c r="I831" s="33" t="n">
        <v>44263</v>
      </c>
      <c r="J831" s="36">
        <f>F831-H831</f>
        <v/>
      </c>
      <c r="K831" s="16">
        <f>0.005/(1+E831)+D831*0.0005/(1+E831)^2+0.005</f>
        <v/>
      </c>
      <c r="L831" s="17">
        <f>IF(ABS(J831)&lt;=K831,"OK",IF(M831&lt;&gt;"","EXPLAINED","CHECK"))</f>
        <v/>
      </c>
      <c r="M831" s="7" t="inlineStr"/>
    </row>
    <row r="832">
      <c r="A832" s="33" t="n">
        <v>44627</v>
      </c>
      <c r="B832" s="7" t="inlineStr">
        <is>
          <t>NB Premium</t>
        </is>
      </c>
      <c r="C832" s="7" t="inlineStr">
        <is>
          <t>Feb-22</t>
        </is>
      </c>
      <c r="D832" s="35" t="n">
        <v>13.4</v>
      </c>
      <c r="E832" s="32" t="n">
        <v>-0.228</v>
      </c>
      <c r="F832" s="35">
        <f>D832/(1+E832)</f>
        <v/>
      </c>
      <c r="G832" s="7" t="inlineStr">
        <is>
          <t>Feb-21</t>
        </is>
      </c>
      <c r="H832" s="35" t="n">
        <v>17.37</v>
      </c>
      <c r="I832" s="33" t="n">
        <v>44263</v>
      </c>
      <c r="J832" s="36">
        <f>F832-H832</f>
        <v/>
      </c>
      <c r="K832" s="16">
        <f>0.005/(1+E832)+D832*0.0005/(1+E832)^2+0.005</f>
        <v/>
      </c>
      <c r="L832" s="17">
        <f>IF(ABS(J832)&lt;=K832,"OK",IF(M832&lt;&gt;"","EXPLAINED","CHECK"))</f>
        <v/>
      </c>
      <c r="M832" s="7" t="inlineStr"/>
    </row>
    <row r="833">
      <c r="A833" s="33" t="n">
        <v>44627</v>
      </c>
      <c r="B833" s="7" t="inlineStr">
        <is>
          <t>NB Premium</t>
        </is>
      </c>
      <c r="C833" s="7" t="inlineStr">
        <is>
          <t>Jan-22</t>
        </is>
      </c>
      <c r="D833" s="35" t="n">
        <v>12.57</v>
      </c>
      <c r="E833" s="32" t="n">
        <v>0.014</v>
      </c>
      <c r="F833" s="35">
        <f>D833/(1+E833)</f>
        <v/>
      </c>
      <c r="G833" s="7" t="inlineStr">
        <is>
          <t>Jan-21</t>
        </is>
      </c>
      <c r="H833" s="35" t="n">
        <v>12.39</v>
      </c>
      <c r="I833" s="33" t="n">
        <v>44263</v>
      </c>
      <c r="J833" s="36">
        <f>F833-H833</f>
        <v/>
      </c>
      <c r="K833" s="16">
        <f>0.005/(1+E833)+D833*0.0005/(1+E833)^2+0.005</f>
        <v/>
      </c>
      <c r="L833" s="17">
        <f>IF(ABS(J833)&lt;=K833,"OK",IF(M833&lt;&gt;"","EXPLAINED","CHECK"))</f>
        <v/>
      </c>
      <c r="M833" s="7" t="inlineStr"/>
    </row>
    <row r="834">
      <c r="A834" s="33" t="n">
        <v>44627</v>
      </c>
      <c r="B834" s="7" t="inlineStr">
        <is>
          <t>APE</t>
        </is>
      </c>
      <c r="C834" s="7" t="inlineStr">
        <is>
          <t>FY2021</t>
        </is>
      </c>
      <c r="D834" s="35" t="n">
        <v>64.62</v>
      </c>
      <c r="E834" s="32" t="n">
        <v>-0.125</v>
      </c>
      <c r="F834" s="35">
        <f>D834/(1+E834)</f>
        <v/>
      </c>
      <c r="G834" s="7" t="inlineStr">
        <is>
          <t>FY2020</t>
        </is>
      </c>
      <c r="H834" s="35" t="n">
        <v>73.81</v>
      </c>
      <c r="I834" s="33" t="n">
        <v>44263</v>
      </c>
      <c r="J834" s="36">
        <f>F834-H834</f>
        <v/>
      </c>
      <c r="K834" s="16">
        <f>0.005/(1+E834)+D834*0.0005/(1+E834)^2+0.005</f>
        <v/>
      </c>
      <c r="L834" s="17">
        <f>IF(ABS(J834)&lt;=K834,"OK",IF(M834&lt;&gt;"","EXPLAINED","CHECK"))</f>
        <v/>
      </c>
      <c r="M834" s="7" t="inlineStr"/>
    </row>
    <row r="835">
      <c r="A835" s="33" t="n">
        <v>44627</v>
      </c>
      <c r="B835" s="7" t="inlineStr">
        <is>
          <t>APE</t>
        </is>
      </c>
      <c r="C835" s="7" t="inlineStr">
        <is>
          <t>11M-FY2022</t>
        </is>
      </c>
      <c r="D835" s="35" t="n">
        <v>65.52</v>
      </c>
      <c r="E835" s="32" t="n">
        <v>0.222</v>
      </c>
      <c r="F835" s="35">
        <f>D835/(1+E835)</f>
        <v/>
      </c>
      <c r="G835" s="7" t="inlineStr">
        <is>
          <t>11M-FY2021</t>
        </is>
      </c>
      <c r="H835" s="35" t="n">
        <v>53.61</v>
      </c>
      <c r="I835" s="33" t="n">
        <v>44263</v>
      </c>
      <c r="J835" s="36">
        <f>F835-H835</f>
        <v/>
      </c>
      <c r="K835" s="16">
        <f>0.005/(1+E835)+D835*0.0005/(1+E835)^2+0.005</f>
        <v/>
      </c>
      <c r="L835" s="17">
        <f>IF(ABS(J835)&lt;=K835,"OK",IF(M835&lt;&gt;"","EXPLAINED","CHECK"))</f>
        <v/>
      </c>
      <c r="M835" s="7" t="inlineStr"/>
    </row>
    <row r="836">
      <c r="A836" s="33" t="n">
        <v>44627</v>
      </c>
      <c r="B836" s="7" t="inlineStr">
        <is>
          <t>APE</t>
        </is>
      </c>
      <c r="C836" s="7" t="inlineStr">
        <is>
          <t>Feb-22</t>
        </is>
      </c>
      <c r="D836" s="35" t="n">
        <v>7.04</v>
      </c>
      <c r="E836" s="32" t="n">
        <v>-0.046</v>
      </c>
      <c r="F836" s="35">
        <f>D836/(1+E836)</f>
        <v/>
      </c>
      <c r="G836" s="7" t="inlineStr">
        <is>
          <t>Feb-21</t>
        </is>
      </c>
      <c r="H836" s="35" t="n">
        <v>7.37</v>
      </c>
      <c r="I836" s="33" t="n">
        <v>44263</v>
      </c>
      <c r="J836" s="36">
        <f>F836-H836</f>
        <v/>
      </c>
      <c r="K836" s="16">
        <f>0.005/(1+E836)+D836*0.0005/(1+E836)^2+0.005</f>
        <v/>
      </c>
      <c r="L836" s="17">
        <f>IF(ABS(J836)&lt;=K836,"OK",IF(M836&lt;&gt;"","EXPLAINED","CHECK"))</f>
        <v/>
      </c>
      <c r="M836" s="7" t="inlineStr"/>
    </row>
    <row r="837">
      <c r="A837" s="33" t="n">
        <v>44627</v>
      </c>
      <c r="B837" s="7" t="inlineStr">
        <is>
          <t>APE</t>
        </is>
      </c>
      <c r="C837" s="7" t="inlineStr">
        <is>
          <t>Jan-22</t>
        </is>
      </c>
      <c r="D837" s="35" t="n">
        <v>7.24</v>
      </c>
      <c r="E837" s="32" t="n">
        <v>0.081</v>
      </c>
      <c r="F837" s="35">
        <f>D837/(1+E837)</f>
        <v/>
      </c>
      <c r="G837" s="7" t="inlineStr">
        <is>
          <t>Jan-21</t>
        </is>
      </c>
      <c r="H837" s="35" t="n">
        <v>6.7</v>
      </c>
      <c r="I837" s="33" t="n">
        <v>44263</v>
      </c>
      <c r="J837" s="36">
        <f>F837-H837</f>
        <v/>
      </c>
      <c r="K837" s="16">
        <f>0.005/(1+E837)+D837*0.0005/(1+E837)^2+0.005</f>
        <v/>
      </c>
      <c r="L837" s="17">
        <f>IF(ABS(J837)&lt;=K837,"OK",IF(M837&lt;&gt;"","EXPLAINED","CHECK"))</f>
        <v/>
      </c>
      <c r="M837" s="7" t="inlineStr"/>
    </row>
    <row r="838">
      <c r="A838" s="33" t="n">
        <v>44627</v>
      </c>
      <c r="B838" s="7" t="inlineStr">
        <is>
          <t>RWRP</t>
        </is>
      </c>
      <c r="C838" s="7" t="inlineStr">
        <is>
          <t>FY2021</t>
        </is>
      </c>
      <c r="D838" s="35" t="n">
        <v>54.54</v>
      </c>
      <c r="E838" s="32" t="n">
        <v>-0.179</v>
      </c>
      <c r="F838" s="35">
        <f>D838/(1+E838)</f>
        <v/>
      </c>
      <c r="G838" s="7" t="inlineStr">
        <is>
          <t>FY2020</t>
        </is>
      </c>
      <c r="H838" s="35" t="n">
        <v>66.43000000000001</v>
      </c>
      <c r="I838" s="33" t="n">
        <v>44263</v>
      </c>
      <c r="J838" s="36">
        <f>F838-H838</f>
        <v/>
      </c>
      <c r="K838" s="16">
        <f>0.005/(1+E838)+D838*0.0005/(1+E838)^2+0.005</f>
        <v/>
      </c>
      <c r="L838" s="17">
        <f>IF(ABS(J838)&lt;=K838,"OK",IF(M838&lt;&gt;"","EXPLAINED","CHECK"))</f>
        <v/>
      </c>
      <c r="M838" s="7" t="inlineStr"/>
    </row>
    <row r="839">
      <c r="A839" s="33" t="n">
        <v>44627</v>
      </c>
      <c r="B839" s="7" t="inlineStr">
        <is>
          <t>RWRP</t>
        </is>
      </c>
      <c r="C839" s="7" t="inlineStr">
        <is>
          <t>11M-FY2022</t>
        </is>
      </c>
      <c r="D839" s="35" t="n">
        <v>53.41</v>
      </c>
      <c r="E839" s="32" t="n">
        <v>0.185</v>
      </c>
      <c r="F839" s="35">
        <f>D839/(1+E839)</f>
        <v/>
      </c>
      <c r="G839" s="7" t="inlineStr">
        <is>
          <t>11M-FY2021</t>
        </is>
      </c>
      <c r="H839" s="35" t="n">
        <v>45.06</v>
      </c>
      <c r="I839" s="33" t="n">
        <v>44263</v>
      </c>
      <c r="J839" s="36">
        <f>F839-H839</f>
        <v/>
      </c>
      <c r="K839" s="16">
        <f>0.005/(1+E839)+D839*0.0005/(1+E839)^2+0.005</f>
        <v/>
      </c>
      <c r="L839" s="17">
        <f>IF(ABS(J839)&lt;=K839,"OK",IF(M839&lt;&gt;"","EXPLAINED","CHECK"))</f>
        <v/>
      </c>
      <c r="M839" s="7" t="inlineStr"/>
    </row>
    <row r="840">
      <c r="A840" s="33" t="n">
        <v>44627</v>
      </c>
      <c r="B840" s="7" t="inlineStr">
        <is>
          <t>RWRP</t>
        </is>
      </c>
      <c r="C840" s="7" t="inlineStr">
        <is>
          <t>Feb-22</t>
        </is>
      </c>
      <c r="D840" s="35" t="n">
        <v>5.82</v>
      </c>
      <c r="E840" s="32" t="n">
        <v>-0.068</v>
      </c>
      <c r="F840" s="35">
        <f>D840/(1+E840)</f>
        <v/>
      </c>
      <c r="G840" s="7" t="inlineStr">
        <is>
          <t>Feb-21</t>
        </is>
      </c>
      <c r="H840" s="35" t="n">
        <v>6.25</v>
      </c>
      <c r="I840" s="33" t="n">
        <v>44263</v>
      </c>
      <c r="J840" s="36">
        <f>F840-H840</f>
        <v/>
      </c>
      <c r="K840" s="16">
        <f>0.005/(1+E840)+D840*0.0005/(1+E840)^2+0.005</f>
        <v/>
      </c>
      <c r="L840" s="17">
        <f>IF(ABS(J840)&lt;=K840,"OK",IF(M840&lt;&gt;"","EXPLAINED","CHECK"))</f>
        <v/>
      </c>
      <c r="M840" s="7" t="inlineStr"/>
    </row>
    <row r="841">
      <c r="A841" s="33" t="n">
        <v>44627</v>
      </c>
      <c r="B841" s="7" t="inlineStr">
        <is>
          <t>RWRP</t>
        </is>
      </c>
      <c r="C841" s="7" t="inlineStr">
        <is>
          <t>Jan-22</t>
        </is>
      </c>
      <c r="D841" s="35" t="n">
        <v>5.34</v>
      </c>
      <c r="E841" s="32" t="n">
        <v>-0.07400000000000001</v>
      </c>
      <c r="F841" s="35">
        <f>D841/(1+E841)</f>
        <v/>
      </c>
      <c r="G841" s="7" t="inlineStr">
        <is>
          <t>Jan-21</t>
        </is>
      </c>
      <c r="H841" s="35" t="n">
        <v>5.77</v>
      </c>
      <c r="I841" s="33" t="n">
        <v>44263</v>
      </c>
      <c r="J841" s="36">
        <f>F841-H841</f>
        <v/>
      </c>
      <c r="K841" s="16">
        <f>0.005/(1+E841)+D841*0.0005/(1+E841)^2+0.005</f>
        <v/>
      </c>
      <c r="L841" s="17">
        <f>IF(ABS(J841)&lt;=K841,"OK",IF(M841&lt;&gt;"","EXPLAINED","CHECK"))</f>
        <v/>
      </c>
      <c r="M841" s="7" t="inlineStr"/>
    </row>
    <row r="842">
      <c r="A842" s="33" t="n">
        <v>44599</v>
      </c>
      <c r="B842" s="7" t="inlineStr">
        <is>
          <t>NB Sum Assured</t>
        </is>
      </c>
      <c r="C842" s="7" t="inlineStr">
        <is>
          <t>FY2021</t>
        </is>
      </c>
      <c r="D842" s="35" t="n">
        <v>6166.84</v>
      </c>
      <c r="E842" s="32" t="n">
        <v>0.08</v>
      </c>
      <c r="F842" s="35">
        <f>D842/(1+E842)</f>
        <v/>
      </c>
      <c r="G842" s="7" t="inlineStr">
        <is>
          <t>FY2020</t>
        </is>
      </c>
      <c r="H842" s="35" t="n">
        <v>5711.84</v>
      </c>
      <c r="I842" s="33" t="n">
        <v>44263</v>
      </c>
      <c r="J842" s="36">
        <f>F842-H842</f>
        <v/>
      </c>
      <c r="K842" s="16">
        <f>0.005/(1+E842)+D842*0.0005/(1+E842)^2+0.005</f>
        <v/>
      </c>
      <c r="L842" s="17">
        <f>IF(ABS(J842)&lt;=K842,"OK",IF(M842&lt;&gt;"","EXPLAINED","CHECK"))</f>
        <v/>
      </c>
      <c r="M842" s="7" t="inlineStr"/>
    </row>
    <row r="843">
      <c r="A843" s="33" t="n">
        <v>44599</v>
      </c>
      <c r="B843" s="7" t="inlineStr">
        <is>
          <t>NB Sum Assured</t>
        </is>
      </c>
      <c r="C843" s="7" t="inlineStr">
        <is>
          <t>Jan-22</t>
        </is>
      </c>
      <c r="D843" s="35" t="n">
        <v>1074.7</v>
      </c>
      <c r="E843" s="32" t="n">
        <v>0.754</v>
      </c>
      <c r="F843" s="35">
        <f>D843/(1+E843)</f>
        <v/>
      </c>
      <c r="G843" s="7" t="inlineStr">
        <is>
          <t>Jan-21</t>
        </is>
      </c>
      <c r="H843" s="35" t="n">
        <v>612.65</v>
      </c>
      <c r="I843" s="33" t="n">
        <v>44263</v>
      </c>
      <c r="J843" s="36">
        <f>F843-H843</f>
        <v/>
      </c>
      <c r="K843" s="16">
        <f>0.005/(1+E843)+D843*0.0005/(1+E843)^2+0.005</f>
        <v/>
      </c>
      <c r="L843" s="17">
        <f>IF(ABS(J843)&lt;=K843,"OK",IF(M843&lt;&gt;"","EXPLAINED","CHECK"))</f>
        <v/>
      </c>
      <c r="M843" s="7" t="inlineStr"/>
    </row>
    <row r="844">
      <c r="A844" s="33" t="n">
        <v>44599</v>
      </c>
      <c r="B844" s="7" t="inlineStr">
        <is>
          <t>NB Premium</t>
        </is>
      </c>
      <c r="C844" s="7" t="inlineStr">
        <is>
          <t>FY2021</t>
        </is>
      </c>
      <c r="D844" s="35" t="n">
        <v>130.32</v>
      </c>
      <c r="E844" s="32" t="n">
        <v>0.055</v>
      </c>
      <c r="F844" s="35">
        <f>D844/(1+E844)</f>
        <v/>
      </c>
      <c r="G844" s="7" t="inlineStr">
        <is>
          <t>FY2020</t>
        </is>
      </c>
      <c r="H844" s="35" t="n">
        <v>123.48</v>
      </c>
      <c r="I844" s="33" t="n">
        <v>44263</v>
      </c>
      <c r="J844" s="36">
        <f>F844-H844</f>
        <v/>
      </c>
      <c r="K844" s="16">
        <f>0.005/(1+E844)+D844*0.0005/(1+E844)^2+0.005</f>
        <v/>
      </c>
      <c r="L844" s="17">
        <f>IF(ABS(J844)&lt;=K844,"OK",IF(M844&lt;&gt;"","EXPLAINED","CHECK"))</f>
        <v/>
      </c>
      <c r="M844" s="7" t="inlineStr"/>
    </row>
    <row r="845">
      <c r="A845" s="33" t="n">
        <v>44599</v>
      </c>
      <c r="B845" s="7" t="inlineStr">
        <is>
          <t>NB Premium</t>
        </is>
      </c>
      <c r="C845" s="7" t="inlineStr">
        <is>
          <t>Jan-22</t>
        </is>
      </c>
      <c r="D845" s="35" t="n">
        <v>12.57</v>
      </c>
      <c r="E845" s="32" t="n">
        <v>0.014</v>
      </c>
      <c r="F845" s="35">
        <f>D845/(1+E845)</f>
        <v/>
      </c>
      <c r="G845" s="7" t="inlineStr">
        <is>
          <t>Jan-21</t>
        </is>
      </c>
      <c r="H845" s="35" t="n">
        <v>12.39</v>
      </c>
      <c r="I845" s="33" t="n">
        <v>44263</v>
      </c>
      <c r="J845" s="36">
        <f>F845-H845</f>
        <v/>
      </c>
      <c r="K845" s="16">
        <f>0.005/(1+E845)+D845*0.0005/(1+E845)^2+0.005</f>
        <v/>
      </c>
      <c r="L845" s="17">
        <f>IF(ABS(J845)&lt;=K845,"OK",IF(M845&lt;&gt;"","EXPLAINED","CHECK"))</f>
        <v/>
      </c>
      <c r="M845" s="7" t="inlineStr"/>
    </row>
    <row r="846">
      <c r="A846" s="33" t="n">
        <v>44599</v>
      </c>
      <c r="B846" s="7" t="inlineStr">
        <is>
          <t>APE</t>
        </is>
      </c>
      <c r="C846" s="7" t="inlineStr">
        <is>
          <t>FY2021</t>
        </is>
      </c>
      <c r="D846" s="35" t="n">
        <v>64.62</v>
      </c>
      <c r="E846" s="32" t="n">
        <v>-0.125</v>
      </c>
      <c r="F846" s="35">
        <f>D846/(1+E846)</f>
        <v/>
      </c>
      <c r="G846" s="7" t="inlineStr">
        <is>
          <t>FY2020</t>
        </is>
      </c>
      <c r="H846" s="35" t="n">
        <v>73.81</v>
      </c>
      <c r="I846" s="33" t="n">
        <v>44263</v>
      </c>
      <c r="J846" s="36">
        <f>F846-H846</f>
        <v/>
      </c>
      <c r="K846" s="16">
        <f>0.005/(1+E846)+D846*0.0005/(1+E846)^2+0.005</f>
        <v/>
      </c>
      <c r="L846" s="17">
        <f>IF(ABS(J846)&lt;=K846,"OK",IF(M846&lt;&gt;"","EXPLAINED","CHECK"))</f>
        <v/>
      </c>
      <c r="M846" s="7" t="inlineStr"/>
    </row>
    <row r="847">
      <c r="A847" s="33" t="n">
        <v>44599</v>
      </c>
      <c r="B847" s="7" t="inlineStr">
        <is>
          <t>APE</t>
        </is>
      </c>
      <c r="C847" s="7" t="inlineStr">
        <is>
          <t>Jan-22</t>
        </is>
      </c>
      <c r="D847" s="35" t="n">
        <v>7.24</v>
      </c>
      <c r="E847" s="32" t="n">
        <v>0.081</v>
      </c>
      <c r="F847" s="35">
        <f>D847/(1+E847)</f>
        <v/>
      </c>
      <c r="G847" s="7" t="inlineStr">
        <is>
          <t>Jan-21</t>
        </is>
      </c>
      <c r="H847" s="35" t="n">
        <v>6.7</v>
      </c>
      <c r="I847" s="33" t="n">
        <v>44263</v>
      </c>
      <c r="J847" s="36">
        <f>F847-H847</f>
        <v/>
      </c>
      <c r="K847" s="16">
        <f>0.005/(1+E847)+D847*0.0005/(1+E847)^2+0.005</f>
        <v/>
      </c>
      <c r="L847" s="17">
        <f>IF(ABS(J847)&lt;=K847,"OK",IF(M847&lt;&gt;"","EXPLAINED","CHECK"))</f>
        <v/>
      </c>
      <c r="M847" s="7" t="inlineStr"/>
    </row>
    <row r="848">
      <c r="A848" s="33" t="n">
        <v>44599</v>
      </c>
      <c r="B848" s="7" t="inlineStr">
        <is>
          <t>RWRP</t>
        </is>
      </c>
      <c r="C848" s="7" t="inlineStr">
        <is>
          <t>FY2021</t>
        </is>
      </c>
      <c r="D848" s="35" t="n">
        <v>54.54</v>
      </c>
      <c r="E848" s="32" t="n">
        <v>-0.179</v>
      </c>
      <c r="F848" s="35">
        <f>D848/(1+E848)</f>
        <v/>
      </c>
      <c r="G848" s="7" t="inlineStr">
        <is>
          <t>FY2020</t>
        </is>
      </c>
      <c r="H848" s="35" t="n">
        <v>66.43000000000001</v>
      </c>
      <c r="I848" s="33" t="n">
        <v>44263</v>
      </c>
      <c r="J848" s="36">
        <f>F848-H848</f>
        <v/>
      </c>
      <c r="K848" s="16">
        <f>0.005/(1+E848)+D848*0.0005/(1+E848)^2+0.005</f>
        <v/>
      </c>
      <c r="L848" s="17">
        <f>IF(ABS(J848)&lt;=K848,"OK",IF(M848&lt;&gt;"","EXPLAINED","CHECK"))</f>
        <v/>
      </c>
      <c r="M848" s="7" t="inlineStr"/>
    </row>
    <row r="849">
      <c r="A849" s="33" t="n">
        <v>44599</v>
      </c>
      <c r="B849" s="7" t="inlineStr">
        <is>
          <t>RWRP</t>
        </is>
      </c>
      <c r="C849" s="7" t="inlineStr">
        <is>
          <t>Jan-22</t>
        </is>
      </c>
      <c r="D849" s="35" t="n">
        <v>5.34</v>
      </c>
      <c r="E849" s="32" t="n">
        <v>-0.07400000000000001</v>
      </c>
      <c r="F849" s="35">
        <f>D849/(1+E849)</f>
        <v/>
      </c>
      <c r="G849" s="7" t="inlineStr">
        <is>
          <t>Jan-21</t>
        </is>
      </c>
      <c r="H849" s="35" t="n">
        <v>5.77</v>
      </c>
      <c r="I849" s="33" t="n">
        <v>44263</v>
      </c>
      <c r="J849" s="36">
        <f>F849-H849</f>
        <v/>
      </c>
      <c r="K849" s="16">
        <f>0.005/(1+E849)+D849*0.0005/(1+E849)^2+0.005</f>
        <v/>
      </c>
      <c r="L849" s="17">
        <f>IF(ABS(J849)&lt;=K849,"OK",IF(M849&lt;&gt;"","EXPLAINED","CHECK"))</f>
        <v/>
      </c>
      <c r="M849" s="7" t="inlineStr"/>
    </row>
    <row r="850">
      <c r="A850" s="33" t="n">
        <v>44568</v>
      </c>
      <c r="B850" s="7" t="inlineStr">
        <is>
          <t>NB Sum Assured</t>
        </is>
      </c>
      <c r="C850" s="7" t="inlineStr">
        <is>
          <t>FY2021</t>
        </is>
      </c>
      <c r="D850" s="35" t="n">
        <v>6166.84</v>
      </c>
      <c r="E850" s="32" t="n">
        <v>0.08</v>
      </c>
      <c r="F850" s="35">
        <f>D850/(1+E850)</f>
        <v/>
      </c>
      <c r="G850" s="7" t="inlineStr">
        <is>
          <t>FY2020</t>
        </is>
      </c>
      <c r="H850" s="35" t="n">
        <v>5711.84</v>
      </c>
      <c r="I850" s="33" t="n">
        <v>44263</v>
      </c>
      <c r="J850" s="36">
        <f>F850-H850</f>
        <v/>
      </c>
      <c r="K850" s="16">
        <f>0.005/(1+E850)+D850*0.0005/(1+E850)^2+0.005</f>
        <v/>
      </c>
      <c r="L850" s="17">
        <f>IF(ABS(J850)&lt;=K850,"OK",IF(M850&lt;&gt;"","EXPLAINED","CHECK"))</f>
        <v/>
      </c>
      <c r="M850" s="7" t="inlineStr"/>
    </row>
    <row r="851">
      <c r="A851" s="33" t="n">
        <v>44568</v>
      </c>
      <c r="B851" s="7" t="inlineStr">
        <is>
          <t>NB Sum Assured</t>
        </is>
      </c>
      <c r="C851" s="7" t="inlineStr">
        <is>
          <t>Dec-21</t>
        </is>
      </c>
      <c r="D851" s="35" t="n">
        <v>719.36</v>
      </c>
      <c r="E851" s="32" t="n">
        <v>0.1</v>
      </c>
      <c r="F851" s="35">
        <f>D851/(1+E851)</f>
        <v/>
      </c>
      <c r="G851" s="7" t="inlineStr">
        <is>
          <t>Dec-20</t>
        </is>
      </c>
      <c r="H851" s="35" t="n">
        <v>653.9</v>
      </c>
      <c r="I851" s="33" t="n">
        <v>44204</v>
      </c>
      <c r="J851" s="36">
        <f>F851-H851</f>
        <v/>
      </c>
      <c r="K851" s="16">
        <f>0.005/(1+E851)+D851*0.0005/(1+E851)^2+0.005</f>
        <v/>
      </c>
      <c r="L851" s="17">
        <f>IF(ABS(J851)&lt;=K851,"OK",IF(M851&lt;&gt;"","EXPLAINED","CHECK"))</f>
        <v/>
      </c>
      <c r="M851" s="7" t="inlineStr"/>
    </row>
    <row r="852">
      <c r="A852" s="33" t="n">
        <v>44568</v>
      </c>
      <c r="B852" s="7" t="inlineStr">
        <is>
          <t>NB Sum Assured</t>
        </is>
      </c>
      <c r="C852" s="7" t="inlineStr">
        <is>
          <t>Nov-21</t>
        </is>
      </c>
      <c r="D852" s="35" t="n">
        <v>472.09</v>
      </c>
      <c r="E852" s="32" t="n">
        <v>0.015</v>
      </c>
      <c r="F852" s="35">
        <f>D852/(1+E852)</f>
        <v/>
      </c>
      <c r="G852" s="7" t="inlineStr">
        <is>
          <t>Nov-20</t>
        </is>
      </c>
      <c r="H852" s="35" t="n">
        <v>465.09</v>
      </c>
      <c r="I852" s="33" t="n">
        <v>44204</v>
      </c>
      <c r="J852" s="36">
        <f>F852-H852</f>
        <v/>
      </c>
      <c r="K852" s="16">
        <f>0.005/(1+E852)+D852*0.0005/(1+E852)^2+0.005</f>
        <v/>
      </c>
      <c r="L852" s="17">
        <f>IF(ABS(J852)&lt;=K852,"OK",IF(M852&lt;&gt;"","EXPLAINED","CHECK"))</f>
        <v/>
      </c>
      <c r="M852" s="7" t="inlineStr"/>
    </row>
    <row r="853">
      <c r="A853" s="33" t="n">
        <v>44568</v>
      </c>
      <c r="B853" s="7" t="inlineStr">
        <is>
          <t>NB Sum Assured</t>
        </is>
      </c>
      <c r="C853" s="7" t="inlineStr">
        <is>
          <t>Oct-21</t>
        </is>
      </c>
      <c r="D853" s="35" t="n">
        <v>566.02</v>
      </c>
      <c r="E853" s="32" t="n">
        <v>0.149</v>
      </c>
      <c r="F853" s="35">
        <f>D853/(1+E853)</f>
        <v/>
      </c>
      <c r="G853" s="7" t="inlineStr">
        <is>
          <t>Oct-20</t>
        </is>
      </c>
      <c r="H853" s="35" t="n">
        <v>492.61</v>
      </c>
      <c r="I853" s="33" t="n">
        <v>44204</v>
      </c>
      <c r="J853" s="36">
        <f>F853-H853</f>
        <v/>
      </c>
      <c r="K853" s="16">
        <f>0.005/(1+E853)+D853*0.0005/(1+E853)^2+0.005</f>
        <v/>
      </c>
      <c r="L853" s="17">
        <f>IF(ABS(J853)&lt;=K853,"OK",IF(M853&lt;&gt;"","EXPLAINED","CHECK"))</f>
        <v/>
      </c>
      <c r="M853" s="7" t="inlineStr"/>
    </row>
    <row r="854">
      <c r="A854" s="33" t="n">
        <v>44568</v>
      </c>
      <c r="B854" s="7" t="inlineStr">
        <is>
          <t>NB Premium</t>
        </is>
      </c>
      <c r="C854" s="7" t="inlineStr">
        <is>
          <t>FY2021</t>
        </is>
      </c>
      <c r="D854" s="35" t="n">
        <v>130.32</v>
      </c>
      <c r="E854" s="32" t="n">
        <v>0.055</v>
      </c>
      <c r="F854" s="35">
        <f>D854/(1+E854)</f>
        <v/>
      </c>
      <c r="G854" s="7" t="inlineStr">
        <is>
          <t>FY2020</t>
        </is>
      </c>
      <c r="H854" s="35" t="n">
        <v>123.48</v>
      </c>
      <c r="I854" s="33" t="n">
        <v>44263</v>
      </c>
      <c r="J854" s="36">
        <f>F854-H854</f>
        <v/>
      </c>
      <c r="K854" s="16">
        <f>0.005/(1+E854)+D854*0.0005/(1+E854)^2+0.005</f>
        <v/>
      </c>
      <c r="L854" s="17">
        <f>IF(ABS(J854)&lt;=K854,"OK",IF(M854&lt;&gt;"","EXPLAINED","CHECK"))</f>
        <v/>
      </c>
      <c r="M854" s="7" t="inlineStr"/>
    </row>
    <row r="855">
      <c r="A855" s="33" t="n">
        <v>44568</v>
      </c>
      <c r="B855" s="7" t="inlineStr">
        <is>
          <t>NB Premium</t>
        </is>
      </c>
      <c r="C855" s="7" t="inlineStr">
        <is>
          <t>Dec-21</t>
        </is>
      </c>
      <c r="D855" s="35" t="n">
        <v>13.81</v>
      </c>
      <c r="E855" s="32" t="n">
        <v>-0.06</v>
      </c>
      <c r="F855" s="35">
        <f>D855/(1+E855)</f>
        <v/>
      </c>
      <c r="G855" s="7" t="inlineStr">
        <is>
          <t>Dec-20</t>
        </is>
      </c>
      <c r="H855" s="35" t="n">
        <v>14.69</v>
      </c>
      <c r="I855" s="33" t="n">
        <v>44204</v>
      </c>
      <c r="J855" s="36">
        <f>F855-H855</f>
        <v/>
      </c>
      <c r="K855" s="16">
        <f>0.005/(1+E855)+D855*0.0005/(1+E855)^2+0.005</f>
        <v/>
      </c>
      <c r="L855" s="17">
        <f>IF(ABS(J855)&lt;=K855,"OK",IF(M855&lt;&gt;"","EXPLAINED","CHECK"))</f>
        <v/>
      </c>
      <c r="M855" s="7" t="inlineStr"/>
    </row>
    <row r="856">
      <c r="A856" s="33" t="n">
        <v>44568</v>
      </c>
      <c r="B856" s="7" t="inlineStr">
        <is>
          <t>NB Premium</t>
        </is>
      </c>
      <c r="C856" s="7" t="inlineStr">
        <is>
          <t>Nov-21</t>
        </is>
      </c>
      <c r="D856" s="35" t="n">
        <v>12.52</v>
      </c>
      <c r="E856" s="32" t="n">
        <v>0.273</v>
      </c>
      <c r="F856" s="35">
        <f>D856/(1+E856)</f>
        <v/>
      </c>
      <c r="G856" s="7" t="inlineStr">
        <is>
          <t>Nov-20</t>
        </is>
      </c>
      <c r="H856" s="35" t="n">
        <v>9.83</v>
      </c>
      <c r="I856" s="33" t="n">
        <v>44204</v>
      </c>
      <c r="J856" s="36">
        <f>F856-H856</f>
        <v/>
      </c>
      <c r="K856" s="16">
        <f>0.005/(1+E856)+D856*0.0005/(1+E856)^2+0.005</f>
        <v/>
      </c>
      <c r="L856" s="17">
        <f>IF(ABS(J856)&lt;=K856,"OK",IF(M856&lt;&gt;"","EXPLAINED","CHECK"))</f>
        <v/>
      </c>
      <c r="M856" s="7" t="inlineStr"/>
    </row>
    <row r="857">
      <c r="A857" s="33" t="n">
        <v>44568</v>
      </c>
      <c r="B857" s="7" t="inlineStr">
        <is>
          <t>NB Premium</t>
        </is>
      </c>
      <c r="C857" s="7" t="inlineStr">
        <is>
          <t>Oct-21</t>
        </is>
      </c>
      <c r="D857" s="35" t="n">
        <v>11.54</v>
      </c>
      <c r="E857" s="32" t="n">
        <v>0.166</v>
      </c>
      <c r="F857" s="35">
        <f>D857/(1+E857)</f>
        <v/>
      </c>
      <c r="G857" s="7" t="inlineStr">
        <is>
          <t>Oct-20</t>
        </is>
      </c>
      <c r="H857" s="35" t="n">
        <v>9.9</v>
      </c>
      <c r="I857" s="33" t="n">
        <v>44204</v>
      </c>
      <c r="J857" s="36">
        <f>F857-H857</f>
        <v/>
      </c>
      <c r="K857" s="16">
        <f>0.005/(1+E857)+D857*0.0005/(1+E857)^2+0.005</f>
        <v/>
      </c>
      <c r="L857" s="17">
        <f>IF(ABS(J857)&lt;=K857,"OK",IF(M857&lt;&gt;"","EXPLAINED","CHECK"))</f>
        <v/>
      </c>
      <c r="M857" s="7" t="inlineStr"/>
    </row>
    <row r="858">
      <c r="A858" s="33" t="n">
        <v>44568</v>
      </c>
      <c r="B858" s="7" t="inlineStr">
        <is>
          <t>APE</t>
        </is>
      </c>
      <c r="C858" s="7" t="inlineStr">
        <is>
          <t>FY2021</t>
        </is>
      </c>
      <c r="D858" s="35" t="n">
        <v>64.62</v>
      </c>
      <c r="E858" s="32" t="n">
        <v>-0.125</v>
      </c>
      <c r="F858" s="35">
        <f>D858/(1+E858)</f>
        <v/>
      </c>
      <c r="G858" s="7" t="inlineStr">
        <is>
          <t>FY2020</t>
        </is>
      </c>
      <c r="H858" s="35" t="n">
        <v>73.81</v>
      </c>
      <c r="I858" s="33" t="n">
        <v>44263</v>
      </c>
      <c r="J858" s="36">
        <f>F858-H858</f>
        <v/>
      </c>
      <c r="K858" s="16">
        <f>0.005/(1+E858)+D858*0.0005/(1+E858)^2+0.005</f>
        <v/>
      </c>
      <c r="L858" s="17">
        <f>IF(ABS(J858)&lt;=K858,"OK",IF(M858&lt;&gt;"","EXPLAINED","CHECK"))</f>
        <v/>
      </c>
      <c r="M858" s="7" t="inlineStr"/>
    </row>
    <row r="859">
      <c r="A859" s="33" t="n">
        <v>44568</v>
      </c>
      <c r="B859" s="7" t="inlineStr">
        <is>
          <t>APE</t>
        </is>
      </c>
      <c r="C859" s="7" t="inlineStr">
        <is>
          <t>Dec-21</t>
        </is>
      </c>
      <c r="D859" s="35" t="n">
        <v>7.41</v>
      </c>
      <c r="E859" s="32" t="n">
        <v>0.099</v>
      </c>
      <c r="F859" s="35">
        <f>D859/(1+E859)</f>
        <v/>
      </c>
      <c r="G859" s="7" t="inlineStr">
        <is>
          <t>Dec-20</t>
        </is>
      </c>
      <c r="H859" s="35" t="n">
        <v>6.74</v>
      </c>
      <c r="I859" s="33" t="n">
        <v>44204</v>
      </c>
      <c r="J859" s="36">
        <f>F859-H859</f>
        <v/>
      </c>
      <c r="K859" s="16">
        <f>0.005/(1+E859)+D859*0.0005/(1+E859)^2+0.005</f>
        <v/>
      </c>
      <c r="L859" s="17">
        <f>IF(ABS(J859)&lt;=K859,"OK",IF(M859&lt;&gt;"","EXPLAINED","CHECK"))</f>
        <v/>
      </c>
      <c r="M859" s="7" t="inlineStr"/>
    </row>
    <row r="860">
      <c r="A860" s="33" t="n">
        <v>44568</v>
      </c>
      <c r="B860" s="7" t="inlineStr">
        <is>
          <t>APE</t>
        </is>
      </c>
      <c r="C860" s="7" t="inlineStr">
        <is>
          <t>Nov-21</t>
        </is>
      </c>
      <c r="D860" s="35" t="n">
        <v>5.68</v>
      </c>
      <c r="E860" s="32" t="n">
        <v>0.164</v>
      </c>
      <c r="F860" s="35">
        <f>D860/(1+E860)</f>
        <v/>
      </c>
      <c r="G860" s="7" t="inlineStr">
        <is>
          <t>Nov-20</t>
        </is>
      </c>
      <c r="H860" s="35" t="n">
        <v>4.88</v>
      </c>
      <c r="I860" s="33" t="n">
        <v>44204</v>
      </c>
      <c r="J860" s="36">
        <f>F860-H860</f>
        <v/>
      </c>
      <c r="K860" s="16">
        <f>0.005/(1+E860)+D860*0.0005/(1+E860)^2+0.005</f>
        <v/>
      </c>
      <c r="L860" s="17">
        <f>IF(ABS(J860)&lt;=K860,"OK",IF(M860&lt;&gt;"","EXPLAINED","CHECK"))</f>
        <v/>
      </c>
      <c r="M860" s="7" t="inlineStr"/>
    </row>
    <row r="861">
      <c r="A861" s="33" t="n">
        <v>44568</v>
      </c>
      <c r="B861" s="7" t="inlineStr">
        <is>
          <t>APE</t>
        </is>
      </c>
      <c r="C861" s="7" t="inlineStr">
        <is>
          <t>Oct-21</t>
        </is>
      </c>
      <c r="D861" s="35" t="n">
        <v>6.2</v>
      </c>
      <c r="E861" s="32" t="n">
        <v>0.23</v>
      </c>
      <c r="F861" s="35">
        <f>D861/(1+E861)</f>
        <v/>
      </c>
      <c r="G861" s="7" t="inlineStr">
        <is>
          <t>Oct-20</t>
        </is>
      </c>
      <c r="H861" s="35" t="n">
        <v>5.04</v>
      </c>
      <c r="I861" s="33" t="n">
        <v>44204</v>
      </c>
      <c r="J861" s="36">
        <f>F861-H861</f>
        <v/>
      </c>
      <c r="K861" s="16">
        <f>0.005/(1+E861)+D861*0.0005/(1+E861)^2+0.005</f>
        <v/>
      </c>
      <c r="L861" s="17">
        <f>IF(ABS(J861)&lt;=K861,"OK",IF(M861&lt;&gt;"","EXPLAINED","CHECK"))</f>
        <v/>
      </c>
      <c r="M861" s="7" t="inlineStr"/>
    </row>
    <row r="862">
      <c r="A862" s="33" t="n">
        <v>44568</v>
      </c>
      <c r="B862" s="7" t="inlineStr">
        <is>
          <t>RWRP</t>
        </is>
      </c>
      <c r="C862" s="7" t="inlineStr">
        <is>
          <t>FY2021</t>
        </is>
      </c>
      <c r="D862" s="35" t="n">
        <v>54.54</v>
      </c>
      <c r="E862" s="32" t="n">
        <v>-0.179</v>
      </c>
      <c r="F862" s="35">
        <f>D862/(1+E862)</f>
        <v/>
      </c>
      <c r="G862" s="7" t="inlineStr">
        <is>
          <t>FY2020</t>
        </is>
      </c>
      <c r="H862" s="35" t="n">
        <v>66.43000000000001</v>
      </c>
      <c r="I862" s="33" t="n">
        <v>44263</v>
      </c>
      <c r="J862" s="36">
        <f>F862-H862</f>
        <v/>
      </c>
      <c r="K862" s="16">
        <f>0.005/(1+E862)+D862*0.0005/(1+E862)^2+0.005</f>
        <v/>
      </c>
      <c r="L862" s="17">
        <f>IF(ABS(J862)&lt;=K862,"OK",IF(M862&lt;&gt;"","EXPLAINED","CHECK"))</f>
        <v/>
      </c>
      <c r="M862" s="7" t="inlineStr"/>
    </row>
    <row r="863">
      <c r="A863" s="33" t="n">
        <v>44568</v>
      </c>
      <c r="B863" s="7" t="inlineStr">
        <is>
          <t>RWRP</t>
        </is>
      </c>
      <c r="C863" s="7" t="inlineStr">
        <is>
          <t>Dec-21</t>
        </is>
      </c>
      <c r="D863" s="35" t="n">
        <v>6.26</v>
      </c>
      <c r="E863" s="32" t="n">
        <v>0.108</v>
      </c>
      <c r="F863" s="35">
        <f>D863/(1+E863)</f>
        <v/>
      </c>
      <c r="G863" s="7" t="inlineStr">
        <is>
          <t>Dec-20</t>
        </is>
      </c>
      <c r="H863" s="35" t="n">
        <v>5.65</v>
      </c>
      <c r="I863" s="33" t="n">
        <v>44204</v>
      </c>
      <c r="J863" s="36">
        <f>F863-H863</f>
        <v/>
      </c>
      <c r="K863" s="16">
        <f>0.005/(1+E863)+D863*0.0005/(1+E863)^2+0.005</f>
        <v/>
      </c>
      <c r="L863" s="17">
        <f>IF(ABS(J863)&lt;=K863,"OK",IF(M863&lt;&gt;"","EXPLAINED","CHECK"))</f>
        <v/>
      </c>
      <c r="M863" s="7" t="inlineStr"/>
    </row>
    <row r="864">
      <c r="A864" s="33" t="n">
        <v>44568</v>
      </c>
      <c r="B864" s="7" t="inlineStr">
        <is>
          <t>RWRP</t>
        </is>
      </c>
      <c r="C864" s="7" t="inlineStr">
        <is>
          <t>Nov-21</t>
        </is>
      </c>
      <c r="D864" s="35" t="n">
        <v>4.77</v>
      </c>
      <c r="E864" s="32" t="n">
        <v>0.13</v>
      </c>
      <c r="F864" s="35">
        <f>D864/(1+E864)</f>
        <v/>
      </c>
      <c r="G864" s="7" t="inlineStr">
        <is>
          <t>Nov-20</t>
        </is>
      </c>
      <c r="H864" s="35" t="n">
        <v>4.23</v>
      </c>
      <c r="I864" s="33" t="n">
        <v>44204</v>
      </c>
      <c r="J864" s="36">
        <f>F864-H864</f>
        <v/>
      </c>
      <c r="K864" s="16">
        <f>0.005/(1+E864)+D864*0.0005/(1+E864)^2+0.005</f>
        <v/>
      </c>
      <c r="L864" s="17">
        <f>IF(ABS(J864)&lt;=K864,"OK",IF(M864&lt;&gt;"","EXPLAINED","CHECK"))</f>
        <v/>
      </c>
      <c r="M864" s="7" t="inlineStr"/>
    </row>
    <row r="865">
      <c r="A865" s="33" t="n">
        <v>44568</v>
      </c>
      <c r="B865" s="7" t="inlineStr">
        <is>
          <t>RWRP</t>
        </is>
      </c>
      <c r="C865" s="7" t="inlineStr">
        <is>
          <t>Oct-21</t>
        </is>
      </c>
      <c r="D865" s="35" t="n">
        <v>5.34</v>
      </c>
      <c r="E865" s="32" t="n">
        <v>0.232</v>
      </c>
      <c r="F865" s="35">
        <f>D865/(1+E865)</f>
        <v/>
      </c>
      <c r="G865" s="7" t="inlineStr">
        <is>
          <t>Oct-20</t>
        </is>
      </c>
      <c r="H865" s="35" t="n">
        <v>4.33</v>
      </c>
      <c r="I865" s="33" t="n">
        <v>44204</v>
      </c>
      <c r="J865" s="36">
        <f>F865-H865</f>
        <v/>
      </c>
      <c r="K865" s="16">
        <f>0.005/(1+E865)+D865*0.0005/(1+E865)^2+0.005</f>
        <v/>
      </c>
      <c r="L865" s="17">
        <f>IF(ABS(J865)&lt;=K865,"OK",IF(M865&lt;&gt;"","EXPLAINED","CHECK"))</f>
        <v/>
      </c>
      <c r="M865" s="7" t="inlineStr"/>
    </row>
    <row r="866">
      <c r="A866" s="33" t="n">
        <v>44537</v>
      </c>
      <c r="B866" s="7" t="inlineStr">
        <is>
          <t>NB Sum Assured</t>
        </is>
      </c>
      <c r="C866" s="7" t="inlineStr">
        <is>
          <t>FY2021</t>
        </is>
      </c>
      <c r="D866" s="35" t="n">
        <v>6166.84</v>
      </c>
      <c r="E866" s="32" t="n">
        <v>0.08</v>
      </c>
      <c r="F866" s="35">
        <f>D866/(1+E866)</f>
        <v/>
      </c>
      <c r="G866" s="7" t="inlineStr">
        <is>
          <t>FY2020</t>
        </is>
      </c>
      <c r="H866" s="35" t="n">
        <v>5711.84</v>
      </c>
      <c r="I866" s="33" t="n">
        <v>44263</v>
      </c>
      <c r="J866" s="36">
        <f>F866-H866</f>
        <v/>
      </c>
      <c r="K866" s="16">
        <f>0.005/(1+E866)+D866*0.0005/(1+E866)^2+0.005</f>
        <v/>
      </c>
      <c r="L866" s="17">
        <f>IF(ABS(J866)&lt;=K866,"OK",IF(M866&lt;&gt;"","EXPLAINED","CHECK"))</f>
        <v/>
      </c>
      <c r="M866" s="7" t="inlineStr"/>
    </row>
    <row r="867">
      <c r="A867" s="33" t="n">
        <v>44537</v>
      </c>
      <c r="B867" s="7" t="inlineStr">
        <is>
          <t>NB Sum Assured</t>
        </is>
      </c>
      <c r="C867" s="7" t="inlineStr">
        <is>
          <t>Nov-21</t>
        </is>
      </c>
      <c r="D867" s="35" t="n">
        <v>472.09</v>
      </c>
      <c r="E867" s="32" t="n">
        <v>0.015</v>
      </c>
      <c r="F867" s="35">
        <f>D867/(1+E867)</f>
        <v/>
      </c>
      <c r="G867" s="7" t="inlineStr">
        <is>
          <t>Nov-20</t>
        </is>
      </c>
      <c r="H867" s="35" t="n">
        <v>465.09</v>
      </c>
      <c r="I867" s="33" t="n">
        <v>44204</v>
      </c>
      <c r="J867" s="36">
        <f>F867-H867</f>
        <v/>
      </c>
      <c r="K867" s="16">
        <f>0.005/(1+E867)+D867*0.0005/(1+E867)^2+0.005</f>
        <v/>
      </c>
      <c r="L867" s="17">
        <f>IF(ABS(J867)&lt;=K867,"OK",IF(M867&lt;&gt;"","EXPLAINED","CHECK"))</f>
        <v/>
      </c>
      <c r="M867" s="7" t="inlineStr"/>
    </row>
    <row r="868">
      <c r="A868" s="33" t="n">
        <v>44537</v>
      </c>
      <c r="B868" s="7" t="inlineStr">
        <is>
          <t>NB Sum Assured</t>
        </is>
      </c>
      <c r="C868" s="7" t="inlineStr">
        <is>
          <t>Oct-21</t>
        </is>
      </c>
      <c r="D868" s="35" t="n">
        <v>566.02</v>
      </c>
      <c r="E868" s="32" t="n">
        <v>0.149</v>
      </c>
      <c r="F868" s="35">
        <f>D868/(1+E868)</f>
        <v/>
      </c>
      <c r="G868" s="7" t="inlineStr">
        <is>
          <t>Oct-20</t>
        </is>
      </c>
      <c r="H868" s="35" t="n">
        <v>492.61</v>
      </c>
      <c r="I868" s="33" t="n">
        <v>44204</v>
      </c>
      <c r="J868" s="36">
        <f>F868-H868</f>
        <v/>
      </c>
      <c r="K868" s="16">
        <f>0.005/(1+E868)+D868*0.0005/(1+E868)^2+0.005</f>
        <v/>
      </c>
      <c r="L868" s="17">
        <f>IF(ABS(J868)&lt;=K868,"OK",IF(M868&lt;&gt;"","EXPLAINED","CHECK"))</f>
        <v/>
      </c>
      <c r="M868" s="7" t="inlineStr"/>
    </row>
    <row r="869">
      <c r="A869" s="33" t="n">
        <v>44537</v>
      </c>
      <c r="B869" s="7" t="inlineStr">
        <is>
          <t>NB Premium</t>
        </is>
      </c>
      <c r="C869" s="7" t="inlineStr">
        <is>
          <t>FY2021</t>
        </is>
      </c>
      <c r="D869" s="35" t="n">
        <v>130.32</v>
      </c>
      <c r="E869" s="32" t="n">
        <v>0.055</v>
      </c>
      <c r="F869" s="35">
        <f>D869/(1+E869)</f>
        <v/>
      </c>
      <c r="G869" s="7" t="inlineStr">
        <is>
          <t>FY2020</t>
        </is>
      </c>
      <c r="H869" s="35" t="n">
        <v>123.48</v>
      </c>
      <c r="I869" s="33" t="n">
        <v>44263</v>
      </c>
      <c r="J869" s="36">
        <f>F869-H869</f>
        <v/>
      </c>
      <c r="K869" s="16">
        <f>0.005/(1+E869)+D869*0.0005/(1+E869)^2+0.005</f>
        <v/>
      </c>
      <c r="L869" s="17">
        <f>IF(ABS(J869)&lt;=K869,"OK",IF(M869&lt;&gt;"","EXPLAINED","CHECK"))</f>
        <v/>
      </c>
      <c r="M869" s="7" t="inlineStr"/>
    </row>
    <row r="870">
      <c r="A870" s="33" t="n">
        <v>44537</v>
      </c>
      <c r="B870" s="7" t="inlineStr">
        <is>
          <t>NB Premium</t>
        </is>
      </c>
      <c r="C870" s="7" t="inlineStr">
        <is>
          <t>Nov-21</t>
        </is>
      </c>
      <c r="D870" s="35" t="n">
        <v>12.52</v>
      </c>
      <c r="E870" s="32" t="n">
        <v>0.273</v>
      </c>
      <c r="F870" s="35">
        <f>D870/(1+E870)</f>
        <v/>
      </c>
      <c r="G870" s="7" t="inlineStr">
        <is>
          <t>Nov-20</t>
        </is>
      </c>
      <c r="H870" s="35" t="n">
        <v>9.83</v>
      </c>
      <c r="I870" s="33" t="n">
        <v>44204</v>
      </c>
      <c r="J870" s="36">
        <f>F870-H870</f>
        <v/>
      </c>
      <c r="K870" s="16">
        <f>0.005/(1+E870)+D870*0.0005/(1+E870)^2+0.005</f>
        <v/>
      </c>
      <c r="L870" s="17">
        <f>IF(ABS(J870)&lt;=K870,"OK",IF(M870&lt;&gt;"","EXPLAINED","CHECK"))</f>
        <v/>
      </c>
      <c r="M870" s="7" t="inlineStr"/>
    </row>
    <row r="871">
      <c r="A871" s="33" t="n">
        <v>44537</v>
      </c>
      <c r="B871" s="7" t="inlineStr">
        <is>
          <t>NB Premium</t>
        </is>
      </c>
      <c r="C871" s="7" t="inlineStr">
        <is>
          <t>Oct-21</t>
        </is>
      </c>
      <c r="D871" s="35" t="n">
        <v>11.54</v>
      </c>
      <c r="E871" s="32" t="n">
        <v>0.166</v>
      </c>
      <c r="F871" s="35">
        <f>D871/(1+E871)</f>
        <v/>
      </c>
      <c r="G871" s="7" t="inlineStr">
        <is>
          <t>Oct-20</t>
        </is>
      </c>
      <c r="H871" s="35" t="n">
        <v>9.9</v>
      </c>
      <c r="I871" s="33" t="n">
        <v>44204</v>
      </c>
      <c r="J871" s="36">
        <f>F871-H871</f>
        <v/>
      </c>
      <c r="K871" s="16">
        <f>0.005/(1+E871)+D871*0.0005/(1+E871)^2+0.005</f>
        <v/>
      </c>
      <c r="L871" s="17">
        <f>IF(ABS(J871)&lt;=K871,"OK",IF(M871&lt;&gt;"","EXPLAINED","CHECK"))</f>
        <v/>
      </c>
      <c r="M871" s="7" t="inlineStr"/>
    </row>
    <row r="872">
      <c r="A872" s="33" t="n">
        <v>44537</v>
      </c>
      <c r="B872" s="7" t="inlineStr">
        <is>
          <t>APE</t>
        </is>
      </c>
      <c r="C872" s="7" t="inlineStr">
        <is>
          <t>FY2021</t>
        </is>
      </c>
      <c r="D872" s="35" t="n">
        <v>64.62</v>
      </c>
      <c r="E872" s="32" t="n">
        <v>-0.125</v>
      </c>
      <c r="F872" s="35">
        <f>D872/(1+E872)</f>
        <v/>
      </c>
      <c r="G872" s="7" t="inlineStr">
        <is>
          <t>FY2020</t>
        </is>
      </c>
      <c r="H872" s="35" t="n">
        <v>73.81</v>
      </c>
      <c r="I872" s="33" t="n">
        <v>44263</v>
      </c>
      <c r="J872" s="36">
        <f>F872-H872</f>
        <v/>
      </c>
      <c r="K872" s="16">
        <f>0.005/(1+E872)+D872*0.0005/(1+E872)^2+0.005</f>
        <v/>
      </c>
      <c r="L872" s="17">
        <f>IF(ABS(J872)&lt;=K872,"OK",IF(M872&lt;&gt;"","EXPLAINED","CHECK"))</f>
        <v/>
      </c>
      <c r="M872" s="7" t="inlineStr"/>
    </row>
    <row r="873">
      <c r="A873" s="33" t="n">
        <v>44537</v>
      </c>
      <c r="B873" s="7" t="inlineStr">
        <is>
          <t>APE</t>
        </is>
      </c>
      <c r="C873" s="7" t="inlineStr">
        <is>
          <t>Nov-21</t>
        </is>
      </c>
      <c r="D873" s="35" t="n">
        <v>5.68</v>
      </c>
      <c r="E873" s="32" t="n">
        <v>0.164</v>
      </c>
      <c r="F873" s="35">
        <f>D873/(1+E873)</f>
        <v/>
      </c>
      <c r="G873" s="7" t="inlineStr">
        <is>
          <t>Nov-20</t>
        </is>
      </c>
      <c r="H873" s="35" t="n">
        <v>4.88</v>
      </c>
      <c r="I873" s="33" t="n">
        <v>44204</v>
      </c>
      <c r="J873" s="36">
        <f>F873-H873</f>
        <v/>
      </c>
      <c r="K873" s="16">
        <f>0.005/(1+E873)+D873*0.0005/(1+E873)^2+0.005</f>
        <v/>
      </c>
      <c r="L873" s="17">
        <f>IF(ABS(J873)&lt;=K873,"OK",IF(M873&lt;&gt;"","EXPLAINED","CHECK"))</f>
        <v/>
      </c>
      <c r="M873" s="7" t="inlineStr"/>
    </row>
    <row r="874">
      <c r="A874" s="33" t="n">
        <v>44537</v>
      </c>
      <c r="B874" s="7" t="inlineStr">
        <is>
          <t>APE</t>
        </is>
      </c>
      <c r="C874" s="7" t="inlineStr">
        <is>
          <t>Oct-21</t>
        </is>
      </c>
      <c r="D874" s="35" t="n">
        <v>6.2</v>
      </c>
      <c r="E874" s="32" t="n">
        <v>0.23</v>
      </c>
      <c r="F874" s="35">
        <f>D874/(1+E874)</f>
        <v/>
      </c>
      <c r="G874" s="7" t="inlineStr">
        <is>
          <t>Oct-20</t>
        </is>
      </c>
      <c r="H874" s="35" t="n">
        <v>5.04</v>
      </c>
      <c r="I874" s="33" t="n">
        <v>44204</v>
      </c>
      <c r="J874" s="36">
        <f>F874-H874</f>
        <v/>
      </c>
      <c r="K874" s="16">
        <f>0.005/(1+E874)+D874*0.0005/(1+E874)^2+0.005</f>
        <v/>
      </c>
      <c r="L874" s="17">
        <f>IF(ABS(J874)&lt;=K874,"OK",IF(M874&lt;&gt;"","EXPLAINED","CHECK"))</f>
        <v/>
      </c>
      <c r="M874" s="7" t="inlineStr"/>
    </row>
    <row r="875">
      <c r="A875" s="33" t="n">
        <v>44537</v>
      </c>
      <c r="B875" s="7" t="inlineStr">
        <is>
          <t>RWRP</t>
        </is>
      </c>
      <c r="C875" s="7" t="inlineStr">
        <is>
          <t>FY2021</t>
        </is>
      </c>
      <c r="D875" s="35" t="n">
        <v>54.54</v>
      </c>
      <c r="E875" s="32" t="n">
        <v>-0.179</v>
      </c>
      <c r="F875" s="35">
        <f>D875/(1+E875)</f>
        <v/>
      </c>
      <c r="G875" s="7" t="inlineStr">
        <is>
          <t>FY2020</t>
        </is>
      </c>
      <c r="H875" s="35" t="n">
        <v>66.43000000000001</v>
      </c>
      <c r="I875" s="33" t="n">
        <v>44263</v>
      </c>
      <c r="J875" s="36">
        <f>F875-H875</f>
        <v/>
      </c>
      <c r="K875" s="16">
        <f>0.005/(1+E875)+D875*0.0005/(1+E875)^2+0.005</f>
        <v/>
      </c>
      <c r="L875" s="17">
        <f>IF(ABS(J875)&lt;=K875,"OK",IF(M875&lt;&gt;"","EXPLAINED","CHECK"))</f>
        <v/>
      </c>
      <c r="M875" s="7" t="inlineStr"/>
    </row>
    <row r="876">
      <c r="A876" s="33" t="n">
        <v>44537</v>
      </c>
      <c r="B876" s="7" t="inlineStr">
        <is>
          <t>RWRP</t>
        </is>
      </c>
      <c r="C876" s="7" t="inlineStr">
        <is>
          <t>Nov-21</t>
        </is>
      </c>
      <c r="D876" s="35" t="n">
        <v>4.77</v>
      </c>
      <c r="E876" s="32" t="n">
        <v>0.13</v>
      </c>
      <c r="F876" s="35">
        <f>D876/(1+E876)</f>
        <v/>
      </c>
      <c r="G876" s="7" t="inlineStr">
        <is>
          <t>Nov-20</t>
        </is>
      </c>
      <c r="H876" s="35" t="n">
        <v>4.23</v>
      </c>
      <c r="I876" s="33" t="n">
        <v>44204</v>
      </c>
      <c r="J876" s="36">
        <f>F876-H876</f>
        <v/>
      </c>
      <c r="K876" s="16">
        <f>0.005/(1+E876)+D876*0.0005/(1+E876)^2+0.005</f>
        <v/>
      </c>
      <c r="L876" s="17">
        <f>IF(ABS(J876)&lt;=K876,"OK",IF(M876&lt;&gt;"","EXPLAINED","CHECK"))</f>
        <v/>
      </c>
      <c r="M876" s="7" t="inlineStr"/>
    </row>
    <row r="877">
      <c r="A877" s="33" t="n">
        <v>44537</v>
      </c>
      <c r="B877" s="7" t="inlineStr">
        <is>
          <t>RWRP</t>
        </is>
      </c>
      <c r="C877" s="7" t="inlineStr">
        <is>
          <t>Oct-21</t>
        </is>
      </c>
      <c r="D877" s="35" t="n">
        <v>5.34</v>
      </c>
      <c r="E877" s="32" t="n">
        <v>0.232</v>
      </c>
      <c r="F877" s="35">
        <f>D877/(1+E877)</f>
        <v/>
      </c>
      <c r="G877" s="7" t="inlineStr">
        <is>
          <t>Oct-20</t>
        </is>
      </c>
      <c r="H877" s="35" t="n">
        <v>4.33</v>
      </c>
      <c r="I877" s="33" t="n">
        <v>44204</v>
      </c>
      <c r="J877" s="36">
        <f>F877-H877</f>
        <v/>
      </c>
      <c r="K877" s="16">
        <f>0.005/(1+E877)+D877*0.0005/(1+E877)^2+0.005</f>
        <v/>
      </c>
      <c r="L877" s="17">
        <f>IF(ABS(J877)&lt;=K877,"OK",IF(M877&lt;&gt;"","EXPLAINED","CHECK"))</f>
        <v/>
      </c>
      <c r="M877" s="7" t="inlineStr"/>
    </row>
    <row r="878">
      <c r="A878" s="33" t="n">
        <v>44508</v>
      </c>
      <c r="B878" s="7" t="inlineStr">
        <is>
          <t>NB Sum Assured</t>
        </is>
      </c>
      <c r="C878" s="7" t="inlineStr">
        <is>
          <t>FY2021</t>
        </is>
      </c>
      <c r="D878" s="35" t="n">
        <v>6166.84</v>
      </c>
      <c r="E878" s="32" t="n">
        <v>0.08</v>
      </c>
      <c r="F878" s="35">
        <f>D878/(1+E878)</f>
        <v/>
      </c>
      <c r="G878" s="7" t="inlineStr">
        <is>
          <t>FY2020</t>
        </is>
      </c>
      <c r="H878" s="35" t="n">
        <v>5711.84</v>
      </c>
      <c r="I878" s="33" t="n">
        <v>44263</v>
      </c>
      <c r="J878" s="36">
        <f>F878-H878</f>
        <v/>
      </c>
      <c r="K878" s="16">
        <f>0.005/(1+E878)+D878*0.0005/(1+E878)^2+0.005</f>
        <v/>
      </c>
      <c r="L878" s="17">
        <f>IF(ABS(J878)&lt;=K878,"OK",IF(M878&lt;&gt;"","EXPLAINED","CHECK"))</f>
        <v/>
      </c>
      <c r="M878" s="7" t="inlineStr"/>
    </row>
    <row r="879">
      <c r="A879" s="33" t="n">
        <v>44508</v>
      </c>
      <c r="B879" s="7" t="inlineStr">
        <is>
          <t>NB Sum Assured</t>
        </is>
      </c>
      <c r="C879" s="7" t="inlineStr">
        <is>
          <t>Oct-21</t>
        </is>
      </c>
      <c r="D879" s="35" t="n">
        <v>566.02</v>
      </c>
      <c r="E879" s="32" t="n">
        <v>0.149</v>
      </c>
      <c r="F879" s="35">
        <f>D879/(1+E879)</f>
        <v/>
      </c>
      <c r="G879" s="7" t="inlineStr">
        <is>
          <t>Oct-20</t>
        </is>
      </c>
      <c r="H879" s="35" t="n">
        <v>492.61</v>
      </c>
      <c r="I879" s="33" t="n">
        <v>44204</v>
      </c>
      <c r="J879" s="36">
        <f>F879-H879</f>
        <v/>
      </c>
      <c r="K879" s="16">
        <f>0.005/(1+E879)+D879*0.0005/(1+E879)^2+0.005</f>
        <v/>
      </c>
      <c r="L879" s="17">
        <f>IF(ABS(J879)&lt;=K879,"OK",IF(M879&lt;&gt;"","EXPLAINED","CHECK"))</f>
        <v/>
      </c>
      <c r="M879" s="7" t="inlineStr"/>
    </row>
    <row r="880">
      <c r="A880" s="33" t="n">
        <v>44508</v>
      </c>
      <c r="B880" s="7" t="inlineStr">
        <is>
          <t>NB Premium</t>
        </is>
      </c>
      <c r="C880" s="7" t="inlineStr">
        <is>
          <t>Q2-FY2022</t>
        </is>
      </c>
      <c r="D880" s="35" t="n">
        <v>39.02</v>
      </c>
      <c r="E880" s="32" t="n">
        <v>0.32</v>
      </c>
      <c r="F880" s="35">
        <f>D880/(1+E880)</f>
        <v/>
      </c>
      <c r="G880" s="7" t="inlineStr">
        <is>
          <t>Q2-FY2021</t>
        </is>
      </c>
      <c r="H880" s="35" t="n">
        <v>29.57</v>
      </c>
      <c r="I880" s="33" t="n">
        <v>44142</v>
      </c>
      <c r="J880" s="36">
        <f>F880-H880</f>
        <v/>
      </c>
      <c r="K880" s="16">
        <f>0.005/(1+E880)+D880*0.0005/(1+E880)^2+0.005</f>
        <v/>
      </c>
      <c r="L880" s="17">
        <f>IF(ABS(J880)&lt;=K880,"OK",IF(M880&lt;&gt;"","EXPLAINED","CHECK"))</f>
        <v/>
      </c>
      <c r="M880" s="7" t="inlineStr"/>
    </row>
    <row r="881">
      <c r="A881" s="33" t="n">
        <v>44508</v>
      </c>
      <c r="B881" s="7" t="inlineStr">
        <is>
          <t>NB Premium</t>
        </is>
      </c>
      <c r="C881" s="7" t="inlineStr">
        <is>
          <t>Q1-FY2022</t>
        </is>
      </c>
      <c r="D881" s="35" t="n">
        <v>25.59</v>
      </c>
      <c r="E881" s="32" t="n">
        <v>0.706</v>
      </c>
      <c r="F881" s="35">
        <f>D881/(1+E881)</f>
        <v/>
      </c>
      <c r="G881" s="7" t="inlineStr">
        <is>
          <t>Q1-FY2021</t>
        </is>
      </c>
      <c r="H881" s="35" t="n">
        <v>14.99</v>
      </c>
      <c r="I881" s="33" t="n">
        <v>44142</v>
      </c>
      <c r="J881" s="36">
        <f>F881-H881</f>
        <v/>
      </c>
      <c r="K881" s="16">
        <f>0.005/(1+E881)+D881*0.0005/(1+E881)^2+0.005</f>
        <v/>
      </c>
      <c r="L881" s="17">
        <f>IF(ABS(J881)&lt;=K881,"OK",IF(M881&lt;&gt;"","EXPLAINED","CHECK"))</f>
        <v/>
      </c>
      <c r="M881" s="7" t="inlineStr"/>
    </row>
    <row r="882">
      <c r="A882" s="33" t="n">
        <v>44508</v>
      </c>
      <c r="B882" s="7" t="inlineStr">
        <is>
          <t>NB Premium</t>
        </is>
      </c>
      <c r="C882" s="7" t="inlineStr">
        <is>
          <t>FY2021</t>
        </is>
      </c>
      <c r="D882" s="35" t="n">
        <v>130.32</v>
      </c>
      <c r="E882" s="32" t="n">
        <v>0.055</v>
      </c>
      <c r="F882" s="35">
        <f>D882/(1+E882)</f>
        <v/>
      </c>
      <c r="G882" s="7" t="inlineStr">
        <is>
          <t>FY2020</t>
        </is>
      </c>
      <c r="H882" s="35" t="n">
        <v>123.48</v>
      </c>
      <c r="I882" s="33" t="n">
        <v>44263</v>
      </c>
      <c r="J882" s="36">
        <f>F882-H882</f>
        <v/>
      </c>
      <c r="K882" s="16">
        <f>0.005/(1+E882)+D882*0.0005/(1+E882)^2+0.005</f>
        <v/>
      </c>
      <c r="L882" s="17">
        <f>IF(ABS(J882)&lt;=K882,"OK",IF(M882&lt;&gt;"","EXPLAINED","CHECK"))</f>
        <v/>
      </c>
      <c r="M882" s="7" t="inlineStr"/>
    </row>
    <row r="883">
      <c r="A883" s="33" t="n">
        <v>44508</v>
      </c>
      <c r="B883" s="7" t="inlineStr">
        <is>
          <t>NB Premium</t>
        </is>
      </c>
      <c r="C883" s="7" t="inlineStr">
        <is>
          <t>Oct-21</t>
        </is>
      </c>
      <c r="D883" s="35" t="n">
        <v>11.54</v>
      </c>
      <c r="E883" s="32" t="n">
        <v>0.166</v>
      </c>
      <c r="F883" s="35">
        <f>D883/(1+E883)</f>
        <v/>
      </c>
      <c r="G883" s="7" t="inlineStr">
        <is>
          <t>Oct-20</t>
        </is>
      </c>
      <c r="H883" s="35" t="n">
        <v>9.9</v>
      </c>
      <c r="I883" s="33" t="n">
        <v>44204</v>
      </c>
      <c r="J883" s="36">
        <f>F883-H883</f>
        <v/>
      </c>
      <c r="K883" s="16">
        <f>0.005/(1+E883)+D883*0.0005/(1+E883)^2+0.005</f>
        <v/>
      </c>
      <c r="L883" s="17">
        <f>IF(ABS(J883)&lt;=K883,"OK",IF(M883&lt;&gt;"","EXPLAINED","CHECK"))</f>
        <v/>
      </c>
      <c r="M883" s="7" t="inlineStr"/>
    </row>
    <row r="884">
      <c r="A884" s="33" t="n">
        <v>44508</v>
      </c>
      <c r="B884" s="7" t="inlineStr">
        <is>
          <t>APE</t>
        </is>
      </c>
      <c r="C884" s="7" t="inlineStr">
        <is>
          <t>Q2-FY2022</t>
        </is>
      </c>
      <c r="D884" s="35" t="n">
        <v>19.77</v>
      </c>
      <c r="E884" s="32" t="n">
        <v>0.349</v>
      </c>
      <c r="F884" s="35">
        <f>D884/(1+E884)</f>
        <v/>
      </c>
      <c r="G884" s="7" t="inlineStr">
        <is>
          <t>Q2-FY2021</t>
        </is>
      </c>
      <c r="H884" s="35" t="n">
        <v>14.65</v>
      </c>
      <c r="I884" s="33" t="n">
        <v>44142</v>
      </c>
      <c r="J884" s="36">
        <f>F884-H884</f>
        <v/>
      </c>
      <c r="K884" s="16">
        <f>0.005/(1+E884)+D884*0.0005/(1+E884)^2+0.005</f>
        <v/>
      </c>
      <c r="L884" s="17">
        <f>IF(ABS(J884)&lt;=K884,"OK",IF(M884&lt;&gt;"","EXPLAINED","CHECK"))</f>
        <v/>
      </c>
      <c r="M884" s="7" t="inlineStr"/>
    </row>
    <row r="885">
      <c r="A885" s="33" t="n">
        <v>44508</v>
      </c>
      <c r="B885" s="7" t="inlineStr">
        <is>
          <t>APE</t>
        </is>
      </c>
      <c r="C885" s="7" t="inlineStr">
        <is>
          <t>Q1-FY2022</t>
        </is>
      </c>
      <c r="D885" s="35" t="n">
        <v>12.19</v>
      </c>
      <c r="E885" s="32" t="n">
        <v>0.481</v>
      </c>
      <c r="F885" s="35">
        <f>D885/(1+E885)</f>
        <v/>
      </c>
      <c r="G885" s="7" t="inlineStr">
        <is>
          <t>Q1-FY2021</t>
        </is>
      </c>
      <c r="H885" s="35" t="n">
        <v>8.23</v>
      </c>
      <c r="I885" s="33" t="n">
        <v>44142</v>
      </c>
      <c r="J885" s="36">
        <f>F885-H885</f>
        <v/>
      </c>
      <c r="K885" s="16">
        <f>0.005/(1+E885)+D885*0.0005/(1+E885)^2+0.005</f>
        <v/>
      </c>
      <c r="L885" s="17">
        <f>IF(ABS(J885)&lt;=K885,"OK",IF(M885&lt;&gt;"","EXPLAINED","CHECK"))</f>
        <v/>
      </c>
      <c r="M885" s="7" t="inlineStr"/>
    </row>
    <row r="886">
      <c r="A886" s="33" t="n">
        <v>44508</v>
      </c>
      <c r="B886" s="7" t="inlineStr">
        <is>
          <t>APE</t>
        </is>
      </c>
      <c r="C886" s="7" t="inlineStr">
        <is>
          <t>FY2021</t>
        </is>
      </c>
      <c r="D886" s="35" t="n">
        <v>64.62</v>
      </c>
      <c r="E886" s="32" t="n">
        <v>-0.125</v>
      </c>
      <c r="F886" s="35">
        <f>D886/(1+E886)</f>
        <v/>
      </c>
      <c r="G886" s="7" t="inlineStr">
        <is>
          <t>FY2020</t>
        </is>
      </c>
      <c r="H886" s="35" t="n">
        <v>73.81</v>
      </c>
      <c r="I886" s="33" t="n">
        <v>44263</v>
      </c>
      <c r="J886" s="36">
        <f>F886-H886</f>
        <v/>
      </c>
      <c r="K886" s="16">
        <f>0.005/(1+E886)+D886*0.0005/(1+E886)^2+0.005</f>
        <v/>
      </c>
      <c r="L886" s="17">
        <f>IF(ABS(J886)&lt;=K886,"OK",IF(M886&lt;&gt;"","EXPLAINED","CHECK"))</f>
        <v/>
      </c>
      <c r="M886" s="7" t="inlineStr"/>
    </row>
    <row r="887">
      <c r="A887" s="33" t="n">
        <v>44508</v>
      </c>
      <c r="B887" s="7" t="inlineStr">
        <is>
          <t>APE</t>
        </is>
      </c>
      <c r="C887" s="7" t="inlineStr">
        <is>
          <t>Oct-21</t>
        </is>
      </c>
      <c r="D887" s="35" t="n">
        <v>6.2</v>
      </c>
      <c r="E887" s="32" t="n">
        <v>0.23</v>
      </c>
      <c r="F887" s="35">
        <f>D887/(1+E887)</f>
        <v/>
      </c>
      <c r="G887" s="7" t="inlineStr">
        <is>
          <t>Oct-20</t>
        </is>
      </c>
      <c r="H887" s="35" t="n">
        <v>5.04</v>
      </c>
      <c r="I887" s="33" t="n">
        <v>44204</v>
      </c>
      <c r="J887" s="36">
        <f>F887-H887</f>
        <v/>
      </c>
      <c r="K887" s="16">
        <f>0.005/(1+E887)+D887*0.0005/(1+E887)^2+0.005</f>
        <v/>
      </c>
      <c r="L887" s="17">
        <f>IF(ABS(J887)&lt;=K887,"OK",IF(M887&lt;&gt;"","EXPLAINED","CHECK"))</f>
        <v/>
      </c>
      <c r="M887" s="7" t="inlineStr"/>
    </row>
    <row r="888">
      <c r="A888" s="33" t="n">
        <v>44508</v>
      </c>
      <c r="B888" s="7" t="inlineStr">
        <is>
          <t>RWRP</t>
        </is>
      </c>
      <c r="C888" s="7" t="inlineStr">
        <is>
          <t>Q2-FY2022</t>
        </is>
      </c>
      <c r="D888" s="35" t="n">
        <v>16.45</v>
      </c>
      <c r="E888" s="32" t="n">
        <v>0.339</v>
      </c>
      <c r="F888" s="35">
        <f>D888/(1+E888)</f>
        <v/>
      </c>
      <c r="G888" s="7" t="inlineStr">
        <is>
          <t>Q2-FY2021</t>
        </is>
      </c>
      <c r="H888" s="35" t="n">
        <v>12.29</v>
      </c>
      <c r="I888" s="33" t="n">
        <v>44142</v>
      </c>
      <c r="J888" s="36">
        <f>F888-H888</f>
        <v/>
      </c>
      <c r="K888" s="16">
        <f>0.005/(1+E888)+D888*0.0005/(1+E888)^2+0.005</f>
        <v/>
      </c>
      <c r="L888" s="17">
        <f>IF(ABS(J888)&lt;=K888,"OK",IF(M888&lt;&gt;"","EXPLAINED","CHECK"))</f>
        <v/>
      </c>
      <c r="M888" s="7" t="inlineStr"/>
    </row>
    <row r="889">
      <c r="A889" s="33" t="n">
        <v>44508</v>
      </c>
      <c r="B889" s="7" t="inlineStr">
        <is>
          <t>RWRP</t>
        </is>
      </c>
      <c r="C889" s="7" t="inlineStr">
        <is>
          <t>Q1-FY2022</t>
        </is>
      </c>
      <c r="D889" s="35" t="n">
        <v>9.42</v>
      </c>
      <c r="E889" s="32" t="n">
        <v>0.4370000000000001</v>
      </c>
      <c r="F889" s="35">
        <f>D889/(1+E889)</f>
        <v/>
      </c>
      <c r="G889" s="7" t="inlineStr">
        <is>
          <t>Q1-FY2021</t>
        </is>
      </c>
      <c r="H889" s="35" t="n">
        <v>6.56</v>
      </c>
      <c r="I889" s="33" t="n">
        <v>44142</v>
      </c>
      <c r="J889" s="36">
        <f>F889-H889</f>
        <v/>
      </c>
      <c r="K889" s="16">
        <f>0.005/(1+E889)+D889*0.0005/(1+E889)^2+0.005</f>
        <v/>
      </c>
      <c r="L889" s="17">
        <f>IF(ABS(J889)&lt;=K889,"OK",IF(M889&lt;&gt;"","EXPLAINED","CHECK"))</f>
        <v/>
      </c>
      <c r="M889" s="7" t="inlineStr"/>
    </row>
    <row r="890">
      <c r="A890" s="33" t="n">
        <v>44508</v>
      </c>
      <c r="B890" s="7" t="inlineStr">
        <is>
          <t>RWRP</t>
        </is>
      </c>
      <c r="C890" s="7" t="inlineStr">
        <is>
          <t>FY2021</t>
        </is>
      </c>
      <c r="D890" s="35" t="n">
        <v>54.54</v>
      </c>
      <c r="E890" s="32" t="n">
        <v>-0.179</v>
      </c>
      <c r="F890" s="35">
        <f>D890/(1+E890)</f>
        <v/>
      </c>
      <c r="G890" s="7" t="inlineStr">
        <is>
          <t>FY2020</t>
        </is>
      </c>
      <c r="H890" s="35" t="n">
        <v>66.43000000000001</v>
      </c>
      <c r="I890" s="33" t="n">
        <v>44263</v>
      </c>
      <c r="J890" s="36">
        <f>F890-H890</f>
        <v/>
      </c>
      <c r="K890" s="16">
        <f>0.005/(1+E890)+D890*0.0005/(1+E890)^2+0.005</f>
        <v/>
      </c>
      <c r="L890" s="17">
        <f>IF(ABS(J890)&lt;=K890,"OK",IF(M890&lt;&gt;"","EXPLAINED","CHECK"))</f>
        <v/>
      </c>
      <c r="M890" s="7" t="inlineStr"/>
    </row>
    <row r="891">
      <c r="A891" s="33" t="n">
        <v>44508</v>
      </c>
      <c r="B891" s="7" t="inlineStr">
        <is>
          <t>RWRP</t>
        </is>
      </c>
      <c r="C891" s="7" t="inlineStr">
        <is>
          <t>Oct-21</t>
        </is>
      </c>
      <c r="D891" s="35" t="n">
        <v>5.34</v>
      </c>
      <c r="E891" s="32" t="n">
        <v>0.232</v>
      </c>
      <c r="F891" s="35">
        <f>D891/(1+E891)</f>
        <v/>
      </c>
      <c r="G891" s="7" t="inlineStr">
        <is>
          <t>Oct-20</t>
        </is>
      </c>
      <c r="H891" s="35" t="n">
        <v>4.33</v>
      </c>
      <c r="I891" s="33" t="n">
        <v>44204</v>
      </c>
      <c r="J891" s="36">
        <f>F891-H891</f>
        <v/>
      </c>
      <c r="K891" s="16">
        <f>0.005/(1+E891)+D891*0.0005/(1+E891)^2+0.005</f>
        <v/>
      </c>
      <c r="L891" s="17">
        <f>IF(ABS(J891)&lt;=K891,"OK",IF(M891&lt;&gt;"","EXPLAINED","CHECK"))</f>
        <v/>
      </c>
      <c r="M891" s="7" t="inlineStr"/>
    </row>
    <row r="892">
      <c r="A892" s="33" t="n">
        <v>44476</v>
      </c>
      <c r="B892" s="7" t="inlineStr">
        <is>
          <t>NB Sum Assured</t>
        </is>
      </c>
      <c r="C892" s="7" t="inlineStr">
        <is>
          <t>FY2021</t>
        </is>
      </c>
      <c r="D892" s="35" t="n">
        <v>6166.84</v>
      </c>
      <c r="E892" s="32" t="n">
        <v>0.08</v>
      </c>
      <c r="F892" s="35">
        <f>D892/(1+E892)</f>
        <v/>
      </c>
      <c r="G892" s="7" t="inlineStr">
        <is>
          <t>FY2020</t>
        </is>
      </c>
      <c r="H892" s="35" t="n">
        <v>5711.84</v>
      </c>
      <c r="I892" s="33" t="n">
        <v>44263</v>
      </c>
      <c r="J892" s="36">
        <f>F892-H892</f>
        <v/>
      </c>
      <c r="K892" s="16">
        <f>0.005/(1+E892)+D892*0.0005/(1+E892)^2+0.005</f>
        <v/>
      </c>
      <c r="L892" s="17">
        <f>IF(ABS(J892)&lt;=K892,"OK",IF(M892&lt;&gt;"","EXPLAINED","CHECK"))</f>
        <v/>
      </c>
      <c r="M892" s="7" t="inlineStr"/>
    </row>
    <row r="893">
      <c r="A893" s="33" t="n">
        <v>44476</v>
      </c>
      <c r="B893" s="7" t="inlineStr">
        <is>
          <t>NB Premium</t>
        </is>
      </c>
      <c r="C893" s="7" t="inlineStr">
        <is>
          <t>Q1-FY2022</t>
        </is>
      </c>
      <c r="D893" s="35" t="n">
        <v>25.59</v>
      </c>
      <c r="E893" s="32" t="n">
        <v>0.706</v>
      </c>
      <c r="F893" s="35">
        <f>D893/(1+E893)</f>
        <v/>
      </c>
      <c r="G893" s="7" t="inlineStr">
        <is>
          <t>Q1-FY2021</t>
        </is>
      </c>
      <c r="H893" s="35" t="n">
        <v>14.99</v>
      </c>
      <c r="I893" s="33" t="n">
        <v>44142</v>
      </c>
      <c r="J893" s="36">
        <f>F893-H893</f>
        <v/>
      </c>
      <c r="K893" s="16">
        <f>0.005/(1+E893)+D893*0.0005/(1+E893)^2+0.005</f>
        <v/>
      </c>
      <c r="L893" s="17">
        <f>IF(ABS(J893)&lt;=K893,"OK",IF(M893&lt;&gt;"","EXPLAINED","CHECK"))</f>
        <v/>
      </c>
      <c r="M893" s="7" t="inlineStr"/>
    </row>
    <row r="894">
      <c r="A894" s="33" t="n">
        <v>44476</v>
      </c>
      <c r="B894" s="7" t="inlineStr">
        <is>
          <t>NB Premium</t>
        </is>
      </c>
      <c r="C894" s="7" t="inlineStr">
        <is>
          <t>FY2021</t>
        </is>
      </c>
      <c r="D894" s="35" t="n">
        <v>130.32</v>
      </c>
      <c r="E894" s="32" t="n">
        <v>0.055</v>
      </c>
      <c r="F894" s="35">
        <f>D894/(1+E894)</f>
        <v/>
      </c>
      <c r="G894" s="7" t="inlineStr">
        <is>
          <t>FY2020</t>
        </is>
      </c>
      <c r="H894" s="35" t="n">
        <v>123.48</v>
      </c>
      <c r="I894" s="33" t="n">
        <v>44263</v>
      </c>
      <c r="J894" s="36">
        <f>F894-H894</f>
        <v/>
      </c>
      <c r="K894" s="16">
        <f>0.005/(1+E894)+D894*0.0005/(1+E894)^2+0.005</f>
        <v/>
      </c>
      <c r="L894" s="17">
        <f>IF(ABS(J894)&lt;=K894,"OK",IF(M894&lt;&gt;"","EXPLAINED","CHECK"))</f>
        <v/>
      </c>
      <c r="M894" s="7" t="inlineStr"/>
    </row>
    <row r="895">
      <c r="A895" s="33" t="n">
        <v>44476</v>
      </c>
      <c r="B895" s="7" t="inlineStr">
        <is>
          <t>NB Premium</t>
        </is>
      </c>
      <c r="C895" s="7" t="inlineStr">
        <is>
          <t>Sep-21</t>
        </is>
      </c>
      <c r="D895" s="35" t="n">
        <v>14.69</v>
      </c>
      <c r="E895" s="32" t="n">
        <v>0.208</v>
      </c>
      <c r="F895" s="35">
        <f>D895/(1+E895)</f>
        <v/>
      </c>
      <c r="G895" s="7" t="inlineStr">
        <is>
          <t>Sep-20</t>
        </is>
      </c>
      <c r="H895" s="35" t="n">
        <v>12.16</v>
      </c>
      <c r="I895" s="33" t="n">
        <v>44111</v>
      </c>
      <c r="J895" s="36">
        <f>F895-H895</f>
        <v/>
      </c>
      <c r="K895" s="16">
        <f>0.005/(1+E895)+D895*0.0005/(1+E895)^2+0.005</f>
        <v/>
      </c>
      <c r="L895" s="17">
        <f>IF(ABS(J895)&lt;=K895,"OK",IF(M895&lt;&gt;"","EXPLAINED","CHECK"))</f>
        <v/>
      </c>
      <c r="M895" s="7" t="inlineStr"/>
    </row>
    <row r="896">
      <c r="A896" s="33" t="n">
        <v>44476</v>
      </c>
      <c r="B896" s="7" t="inlineStr">
        <is>
          <t>NB Premium</t>
        </is>
      </c>
      <c r="C896" s="7" t="inlineStr">
        <is>
          <t>Aug-21</t>
        </is>
      </c>
      <c r="D896" s="35" t="n">
        <v>12.76</v>
      </c>
      <c r="E896" s="32" t="n">
        <v>0.43</v>
      </c>
      <c r="F896" s="35">
        <f>D896/(1+E896)</f>
        <v/>
      </c>
      <c r="G896" s="7" t="inlineStr">
        <is>
          <t>Aug-20</t>
        </is>
      </c>
      <c r="H896" s="35" t="n">
        <v>8.92</v>
      </c>
      <c r="I896" s="33" t="n">
        <v>44111</v>
      </c>
      <c r="J896" s="36">
        <f>F896-H896</f>
        <v/>
      </c>
      <c r="K896" s="16">
        <f>0.005/(1+E896)+D896*0.0005/(1+E896)^2+0.005</f>
        <v/>
      </c>
      <c r="L896" s="17">
        <f>IF(ABS(J896)&lt;=K896,"OK",IF(M896&lt;&gt;"","EXPLAINED","CHECK"))</f>
        <v/>
      </c>
      <c r="M896" s="7" t="inlineStr"/>
    </row>
    <row r="897">
      <c r="A897" s="33" t="n">
        <v>44476</v>
      </c>
      <c r="B897" s="7" t="inlineStr">
        <is>
          <t>NB Premium</t>
        </is>
      </c>
      <c r="C897" s="7" t="inlineStr">
        <is>
          <t>Jul-21</t>
        </is>
      </c>
      <c r="D897" s="35" t="n">
        <v>11.57</v>
      </c>
      <c r="E897" s="32" t="n">
        <v>0.363</v>
      </c>
      <c r="F897" s="35">
        <f>D897/(1+E897)</f>
        <v/>
      </c>
      <c r="G897" s="7" t="inlineStr">
        <is>
          <t>Jul-20</t>
        </is>
      </c>
      <c r="H897" s="35" t="n">
        <v>8.49</v>
      </c>
      <c r="I897" s="33" t="n">
        <v>44111</v>
      </c>
      <c r="J897" s="36">
        <f>F897-H897</f>
        <v/>
      </c>
      <c r="K897" s="16">
        <f>0.005/(1+E897)+D897*0.0005/(1+E897)^2+0.005</f>
        <v/>
      </c>
      <c r="L897" s="17">
        <f>IF(ABS(J897)&lt;=K897,"OK",IF(M897&lt;&gt;"","EXPLAINED","CHECK"))</f>
        <v/>
      </c>
      <c r="M897" s="7" t="inlineStr"/>
    </row>
    <row r="898">
      <c r="A898" s="33" t="n">
        <v>44476</v>
      </c>
      <c r="B898" s="7" t="inlineStr">
        <is>
          <t>APE</t>
        </is>
      </c>
      <c r="C898" s="7" t="inlineStr">
        <is>
          <t>Q1-FY2022</t>
        </is>
      </c>
      <c r="D898" s="35" t="n">
        <v>12.19</v>
      </c>
      <c r="E898" s="32" t="n">
        <v>0.481</v>
      </c>
      <c r="F898" s="35">
        <f>D898/(1+E898)</f>
        <v/>
      </c>
      <c r="G898" s="7" t="inlineStr">
        <is>
          <t>Q1-FY2021</t>
        </is>
      </c>
      <c r="H898" s="35" t="n">
        <v>8.23</v>
      </c>
      <c r="I898" s="33" t="n">
        <v>44142</v>
      </c>
      <c r="J898" s="36">
        <f>F898-H898</f>
        <v/>
      </c>
      <c r="K898" s="16">
        <f>0.005/(1+E898)+D898*0.0005/(1+E898)^2+0.005</f>
        <v/>
      </c>
      <c r="L898" s="17">
        <f>IF(ABS(J898)&lt;=K898,"OK",IF(M898&lt;&gt;"","EXPLAINED","CHECK"))</f>
        <v/>
      </c>
      <c r="M898" s="7" t="inlineStr"/>
    </row>
    <row r="899">
      <c r="A899" s="33" t="n">
        <v>44476</v>
      </c>
      <c r="B899" s="7" t="inlineStr">
        <is>
          <t>APE</t>
        </is>
      </c>
      <c r="C899" s="7" t="inlineStr">
        <is>
          <t>FY2021</t>
        </is>
      </c>
      <c r="D899" s="35" t="n">
        <v>64.62</v>
      </c>
      <c r="E899" s="32" t="n">
        <v>-0.125</v>
      </c>
      <c r="F899" s="35">
        <f>D899/(1+E899)</f>
        <v/>
      </c>
      <c r="G899" s="7" t="inlineStr">
        <is>
          <t>FY2020</t>
        </is>
      </c>
      <c r="H899" s="35" t="n">
        <v>73.81</v>
      </c>
      <c r="I899" s="33" t="n">
        <v>44263</v>
      </c>
      <c r="J899" s="36">
        <f>F899-H899</f>
        <v/>
      </c>
      <c r="K899" s="16">
        <f>0.005/(1+E899)+D899*0.0005/(1+E899)^2+0.005</f>
        <v/>
      </c>
      <c r="L899" s="17">
        <f>IF(ABS(J899)&lt;=K899,"OK",IF(M899&lt;&gt;"","EXPLAINED","CHECK"))</f>
        <v/>
      </c>
      <c r="M899" s="7" t="inlineStr"/>
    </row>
    <row r="900">
      <c r="A900" s="33" t="n">
        <v>44476</v>
      </c>
      <c r="B900" s="7" t="inlineStr">
        <is>
          <t>APE</t>
        </is>
      </c>
      <c r="C900" s="7" t="inlineStr">
        <is>
          <t>Sep-21</t>
        </is>
      </c>
      <c r="D900" s="35" t="n">
        <v>7.68</v>
      </c>
      <c r="E900" s="32" t="n">
        <v>0.449</v>
      </c>
      <c r="F900" s="35">
        <f>D900/(1+E900)</f>
        <v/>
      </c>
      <c r="G900" s="7" t="inlineStr">
        <is>
          <t>Sep-20</t>
        </is>
      </c>
      <c r="H900" s="35" t="n">
        <v>5.3</v>
      </c>
      <c r="I900" s="33" t="n">
        <v>44111</v>
      </c>
      <c r="J900" s="36">
        <f>F900-H900</f>
        <v/>
      </c>
      <c r="K900" s="16">
        <f>0.005/(1+E900)+D900*0.0005/(1+E900)^2+0.005</f>
        <v/>
      </c>
      <c r="L900" s="17">
        <f>IF(ABS(J900)&lt;=K900,"OK",IF(M900&lt;&gt;"","EXPLAINED","CHECK"))</f>
        <v/>
      </c>
      <c r="M900" s="7" t="inlineStr"/>
    </row>
    <row r="901">
      <c r="A901" s="33" t="n">
        <v>44476</v>
      </c>
      <c r="B901" s="7" t="inlineStr">
        <is>
          <t>APE</t>
        </is>
      </c>
      <c r="C901" s="7" t="inlineStr">
        <is>
          <t>Aug-21</t>
        </is>
      </c>
      <c r="D901" s="35" t="n">
        <v>6.4</v>
      </c>
      <c r="E901" s="32" t="n">
        <v>0.296</v>
      </c>
      <c r="F901" s="35">
        <f>D901/(1+E901)</f>
        <v/>
      </c>
      <c r="G901" s="7" t="inlineStr">
        <is>
          <t>Aug-20</t>
        </is>
      </c>
      <c r="H901" s="35" t="n">
        <v>4.94</v>
      </c>
      <c r="I901" s="33" t="n">
        <v>44111</v>
      </c>
      <c r="J901" s="36">
        <f>F901-H901</f>
        <v/>
      </c>
      <c r="K901" s="16">
        <f>0.005/(1+E901)+D901*0.0005/(1+E901)^2+0.005</f>
        <v/>
      </c>
      <c r="L901" s="17">
        <f>IF(ABS(J901)&lt;=K901,"OK",IF(M901&lt;&gt;"","EXPLAINED","CHECK"))</f>
        <v/>
      </c>
      <c r="M901" s="7" t="inlineStr"/>
    </row>
    <row r="902">
      <c r="A902" s="33" t="n">
        <v>44476</v>
      </c>
      <c r="B902" s="7" t="inlineStr">
        <is>
          <t>APE</t>
        </is>
      </c>
      <c r="C902" s="7" t="inlineStr">
        <is>
          <t>Jul-21</t>
        </is>
      </c>
      <c r="D902" s="35" t="n">
        <v>5.69</v>
      </c>
      <c r="E902" s="32" t="n">
        <v>0.29</v>
      </c>
      <c r="F902" s="35">
        <f>D902/(1+E902)</f>
        <v/>
      </c>
      <c r="G902" s="7" t="inlineStr">
        <is>
          <t>Jul-20</t>
        </is>
      </c>
      <c r="H902" s="35" t="n">
        <v>4.41</v>
      </c>
      <c r="I902" s="33" t="n">
        <v>44111</v>
      </c>
      <c r="J902" s="36">
        <f>F902-H902</f>
        <v/>
      </c>
      <c r="K902" s="16">
        <f>0.005/(1+E902)+D902*0.0005/(1+E902)^2+0.005</f>
        <v/>
      </c>
      <c r="L902" s="17">
        <f>IF(ABS(J902)&lt;=K902,"OK",IF(M902&lt;&gt;"","EXPLAINED","CHECK"))</f>
        <v/>
      </c>
      <c r="M902" s="7" t="inlineStr"/>
    </row>
    <row r="903">
      <c r="A903" s="33" t="n">
        <v>44476</v>
      </c>
      <c r="B903" s="7" t="inlineStr">
        <is>
          <t>RWRP</t>
        </is>
      </c>
      <c r="C903" s="7" t="inlineStr">
        <is>
          <t>Q1-FY2022</t>
        </is>
      </c>
      <c r="D903" s="35" t="n">
        <v>9.42</v>
      </c>
      <c r="E903" s="32" t="n">
        <v>0.4370000000000001</v>
      </c>
      <c r="F903" s="35">
        <f>D903/(1+E903)</f>
        <v/>
      </c>
      <c r="G903" s="7" t="inlineStr">
        <is>
          <t>Q1-FY2021</t>
        </is>
      </c>
      <c r="H903" s="35" t="n">
        <v>6.56</v>
      </c>
      <c r="I903" s="33" t="n">
        <v>44142</v>
      </c>
      <c r="J903" s="36">
        <f>F903-H903</f>
        <v/>
      </c>
      <c r="K903" s="16">
        <f>0.005/(1+E903)+D903*0.0005/(1+E903)^2+0.005</f>
        <v/>
      </c>
      <c r="L903" s="17">
        <f>IF(ABS(J903)&lt;=K903,"OK",IF(M903&lt;&gt;"","EXPLAINED","CHECK"))</f>
        <v/>
      </c>
      <c r="M903" s="7" t="inlineStr"/>
    </row>
    <row r="904">
      <c r="A904" s="33" t="n">
        <v>44476</v>
      </c>
      <c r="B904" s="7" t="inlineStr">
        <is>
          <t>RWRP</t>
        </is>
      </c>
      <c r="C904" s="7" t="inlineStr">
        <is>
          <t>FY2021</t>
        </is>
      </c>
      <c r="D904" s="35" t="n">
        <v>54.54</v>
      </c>
      <c r="E904" s="32" t="n">
        <v>-0.179</v>
      </c>
      <c r="F904" s="35">
        <f>D904/(1+E904)</f>
        <v/>
      </c>
      <c r="G904" s="7" t="inlineStr">
        <is>
          <t>FY2020</t>
        </is>
      </c>
      <c r="H904" s="35" t="n">
        <v>66.43000000000001</v>
      </c>
      <c r="I904" s="33" t="n">
        <v>44263</v>
      </c>
      <c r="J904" s="36">
        <f>F904-H904</f>
        <v/>
      </c>
      <c r="K904" s="16">
        <f>0.005/(1+E904)+D904*0.0005/(1+E904)^2+0.005</f>
        <v/>
      </c>
      <c r="L904" s="17">
        <f>IF(ABS(J904)&lt;=K904,"OK",IF(M904&lt;&gt;"","EXPLAINED","CHECK"))</f>
        <v/>
      </c>
      <c r="M904" s="7" t="inlineStr"/>
    </row>
    <row r="905">
      <c r="A905" s="33" t="n">
        <v>44476</v>
      </c>
      <c r="B905" s="7" t="inlineStr">
        <is>
          <t>RWRP</t>
        </is>
      </c>
      <c r="C905" s="7" t="inlineStr">
        <is>
          <t>Sep-21</t>
        </is>
      </c>
      <c r="D905" s="35" t="n">
        <v>6.23</v>
      </c>
      <c r="E905" s="32" t="n">
        <v>0.41</v>
      </c>
      <c r="F905" s="35">
        <f>D905/(1+E905)</f>
        <v/>
      </c>
      <c r="G905" s="7" t="inlineStr">
        <is>
          <t>Sep-20</t>
        </is>
      </c>
      <c r="H905" s="35" t="n">
        <v>4.42</v>
      </c>
      <c r="I905" s="33" t="n">
        <v>44111</v>
      </c>
      <c r="J905" s="36">
        <f>F905-H905</f>
        <v/>
      </c>
      <c r="K905" s="16">
        <f>0.005/(1+E905)+D905*0.0005/(1+E905)^2+0.005</f>
        <v/>
      </c>
      <c r="L905" s="17">
        <f>IF(ABS(J905)&lt;=K905,"OK",IF(M905&lt;&gt;"","EXPLAINED","CHECK"))</f>
        <v/>
      </c>
      <c r="M905" s="7" t="inlineStr"/>
    </row>
    <row r="906">
      <c r="A906" s="33" t="n">
        <v>44476</v>
      </c>
      <c r="B906" s="7" t="inlineStr">
        <is>
          <t>RWRP</t>
        </is>
      </c>
      <c r="C906" s="7" t="inlineStr">
        <is>
          <t>Aug-21</t>
        </is>
      </c>
      <c r="D906" s="35" t="n">
        <v>5.45</v>
      </c>
      <c r="E906" s="32" t="n">
        <v>0.343</v>
      </c>
      <c r="F906" s="35">
        <f>D906/(1+E906)</f>
        <v/>
      </c>
      <c r="G906" s="7" t="inlineStr">
        <is>
          <t>Aug-20</t>
        </is>
      </c>
      <c r="H906" s="35" t="n">
        <v>4.06</v>
      </c>
      <c r="I906" s="33" t="n">
        <v>44111</v>
      </c>
      <c r="J906" s="36">
        <f>F906-H906</f>
        <v/>
      </c>
      <c r="K906" s="16">
        <f>0.005/(1+E906)+D906*0.0005/(1+E906)^2+0.005</f>
        <v/>
      </c>
      <c r="L906" s="17">
        <f>IF(ABS(J906)&lt;=K906,"OK",IF(M906&lt;&gt;"","EXPLAINED","CHECK"))</f>
        <v/>
      </c>
      <c r="M906" s="7" t="inlineStr"/>
    </row>
    <row r="907">
      <c r="A907" s="33" t="n">
        <v>44476</v>
      </c>
      <c r="B907" s="7" t="inlineStr">
        <is>
          <t>RWRP</t>
        </is>
      </c>
      <c r="C907" s="7" t="inlineStr">
        <is>
          <t>Jul-21</t>
        </is>
      </c>
      <c r="D907" s="35" t="n">
        <v>4.77</v>
      </c>
      <c r="E907" s="32" t="n">
        <v>0.253</v>
      </c>
      <c r="F907" s="35">
        <f>D907/(1+E907)</f>
        <v/>
      </c>
      <c r="G907" s="7" t="inlineStr">
        <is>
          <t>Jul-20</t>
        </is>
      </c>
      <c r="H907" s="35" t="n">
        <v>3.81</v>
      </c>
      <c r="I907" s="33" t="n">
        <v>44111</v>
      </c>
      <c r="J907" s="36">
        <f>F907-H907</f>
        <v/>
      </c>
      <c r="K907" s="16">
        <f>0.005/(1+E907)+D907*0.0005/(1+E907)^2+0.005</f>
        <v/>
      </c>
      <c r="L907" s="17">
        <f>IF(ABS(J907)&lt;=K907,"OK",IF(M907&lt;&gt;"","EXPLAINED","CHECK"))</f>
        <v/>
      </c>
      <c r="M907" s="7" t="inlineStr"/>
    </row>
    <row r="908">
      <c r="A908" s="33" t="n">
        <v>44446</v>
      </c>
      <c r="B908" s="7" t="inlineStr">
        <is>
          <t>NB Sum Assured</t>
        </is>
      </c>
      <c r="C908" s="7" t="inlineStr">
        <is>
          <t>FY2021</t>
        </is>
      </c>
      <c r="D908" s="35" t="n">
        <v>6166.84</v>
      </c>
      <c r="E908" s="32" t="n">
        <v>0.08</v>
      </c>
      <c r="F908" s="35">
        <f>D908/(1+E908)</f>
        <v/>
      </c>
      <c r="G908" s="7" t="inlineStr">
        <is>
          <t>FY2020</t>
        </is>
      </c>
      <c r="H908" s="35" t="n">
        <v>5711.84</v>
      </c>
      <c r="I908" s="33" t="n">
        <v>44263</v>
      </c>
      <c r="J908" s="36">
        <f>F908-H908</f>
        <v/>
      </c>
      <c r="K908" s="16">
        <f>0.005/(1+E908)+D908*0.0005/(1+E908)^2+0.005</f>
        <v/>
      </c>
      <c r="L908" s="17">
        <f>IF(ABS(J908)&lt;=K908,"OK",IF(M908&lt;&gt;"","EXPLAINED","CHECK"))</f>
        <v/>
      </c>
      <c r="M908" s="7" t="inlineStr"/>
    </row>
    <row r="909">
      <c r="A909" s="33" t="n">
        <v>44446</v>
      </c>
      <c r="B909" s="7" t="inlineStr">
        <is>
          <t>NB Premium</t>
        </is>
      </c>
      <c r="C909" s="7" t="inlineStr">
        <is>
          <t>Q1-FY2022</t>
        </is>
      </c>
      <c r="D909" s="35" t="n">
        <v>25.59</v>
      </c>
      <c r="E909" s="32" t="n">
        <v>0.706</v>
      </c>
      <c r="F909" s="35">
        <f>D909/(1+E909)</f>
        <v/>
      </c>
      <c r="G909" s="7" t="inlineStr">
        <is>
          <t>Q1-FY2021</t>
        </is>
      </c>
      <c r="H909" s="35" t="n">
        <v>14.99</v>
      </c>
      <c r="I909" s="33" t="n">
        <v>44142</v>
      </c>
      <c r="J909" s="36">
        <f>F909-H909</f>
        <v/>
      </c>
      <c r="K909" s="16">
        <f>0.005/(1+E909)+D909*0.0005/(1+E909)^2+0.005</f>
        <v/>
      </c>
      <c r="L909" s="17">
        <f>IF(ABS(J909)&lt;=K909,"OK",IF(M909&lt;&gt;"","EXPLAINED","CHECK"))</f>
        <v/>
      </c>
      <c r="M909" s="7" t="inlineStr"/>
    </row>
    <row r="910">
      <c r="A910" s="33" t="n">
        <v>44446</v>
      </c>
      <c r="B910" s="7" t="inlineStr">
        <is>
          <t>NB Premium</t>
        </is>
      </c>
      <c r="C910" s="7" t="inlineStr">
        <is>
          <t>FY2021</t>
        </is>
      </c>
      <c r="D910" s="35" t="n">
        <v>130.32</v>
      </c>
      <c r="E910" s="32" t="n">
        <v>0.055</v>
      </c>
      <c r="F910" s="35">
        <f>D910/(1+E910)</f>
        <v/>
      </c>
      <c r="G910" s="7" t="inlineStr">
        <is>
          <t>FY2020</t>
        </is>
      </c>
      <c r="H910" s="35" t="n">
        <v>123.48</v>
      </c>
      <c r="I910" s="33" t="n">
        <v>44263</v>
      </c>
      <c r="J910" s="36">
        <f>F910-H910</f>
        <v/>
      </c>
      <c r="K910" s="16">
        <f>0.005/(1+E910)+D910*0.0005/(1+E910)^2+0.005</f>
        <v/>
      </c>
      <c r="L910" s="17">
        <f>IF(ABS(J910)&lt;=K910,"OK",IF(M910&lt;&gt;"","EXPLAINED","CHECK"))</f>
        <v/>
      </c>
      <c r="M910" s="7" t="inlineStr"/>
    </row>
    <row r="911">
      <c r="A911" s="33" t="n">
        <v>44446</v>
      </c>
      <c r="B911" s="7" t="inlineStr">
        <is>
          <t>NB Premium</t>
        </is>
      </c>
      <c r="C911" s="7" t="inlineStr">
        <is>
          <t>Aug-21</t>
        </is>
      </c>
      <c r="D911" s="35" t="n">
        <v>12.76</v>
      </c>
      <c r="E911" s="32" t="n">
        <v>0.43</v>
      </c>
      <c r="F911" s="35">
        <f>D911/(1+E911)</f>
        <v/>
      </c>
      <c r="G911" s="7" t="inlineStr">
        <is>
          <t>Aug-20</t>
        </is>
      </c>
      <c r="H911" s="35" t="n">
        <v>8.92</v>
      </c>
      <c r="I911" s="33" t="n">
        <v>44111</v>
      </c>
      <c r="J911" s="36">
        <f>F911-H911</f>
        <v/>
      </c>
      <c r="K911" s="16">
        <f>0.005/(1+E911)+D911*0.0005/(1+E911)^2+0.005</f>
        <v/>
      </c>
      <c r="L911" s="17">
        <f>IF(ABS(J911)&lt;=K911,"OK",IF(M911&lt;&gt;"","EXPLAINED","CHECK"))</f>
        <v/>
      </c>
      <c r="M911" s="7" t="inlineStr"/>
    </row>
    <row r="912">
      <c r="A912" s="33" t="n">
        <v>44446</v>
      </c>
      <c r="B912" s="7" t="inlineStr">
        <is>
          <t>NB Premium</t>
        </is>
      </c>
      <c r="C912" s="7" t="inlineStr">
        <is>
          <t>Jul-21</t>
        </is>
      </c>
      <c r="D912" s="35" t="n">
        <v>11.57</v>
      </c>
      <c r="E912" s="32" t="n">
        <v>0.363</v>
      </c>
      <c r="F912" s="35">
        <f>D912/(1+E912)</f>
        <v/>
      </c>
      <c r="G912" s="7" t="inlineStr">
        <is>
          <t>Jul-20</t>
        </is>
      </c>
      <c r="H912" s="35" t="n">
        <v>8.49</v>
      </c>
      <c r="I912" s="33" t="n">
        <v>44111</v>
      </c>
      <c r="J912" s="36">
        <f>F912-H912</f>
        <v/>
      </c>
      <c r="K912" s="16">
        <f>0.005/(1+E912)+D912*0.0005/(1+E912)^2+0.005</f>
        <v/>
      </c>
      <c r="L912" s="17">
        <f>IF(ABS(J912)&lt;=K912,"OK",IF(M912&lt;&gt;"","EXPLAINED","CHECK"))</f>
        <v/>
      </c>
      <c r="M912" s="7" t="inlineStr"/>
    </row>
    <row r="913">
      <c r="A913" s="33" t="n">
        <v>44446</v>
      </c>
      <c r="B913" s="7" t="inlineStr">
        <is>
          <t>APE</t>
        </is>
      </c>
      <c r="C913" s="7" t="inlineStr">
        <is>
          <t>Q1-FY2022</t>
        </is>
      </c>
      <c r="D913" s="35" t="n">
        <v>12.19</v>
      </c>
      <c r="E913" s="32" t="n">
        <v>0.481</v>
      </c>
      <c r="F913" s="35">
        <f>D913/(1+E913)</f>
        <v/>
      </c>
      <c r="G913" s="7" t="inlineStr">
        <is>
          <t>Q1-FY2021</t>
        </is>
      </c>
      <c r="H913" s="35" t="n">
        <v>8.23</v>
      </c>
      <c r="I913" s="33" t="n">
        <v>44142</v>
      </c>
      <c r="J913" s="36">
        <f>F913-H913</f>
        <v/>
      </c>
      <c r="K913" s="16">
        <f>0.005/(1+E913)+D913*0.0005/(1+E913)^2+0.005</f>
        <v/>
      </c>
      <c r="L913" s="17">
        <f>IF(ABS(J913)&lt;=K913,"OK",IF(M913&lt;&gt;"","EXPLAINED","CHECK"))</f>
        <v/>
      </c>
      <c r="M913" s="7" t="inlineStr"/>
    </row>
    <row r="914">
      <c r="A914" s="33" t="n">
        <v>44446</v>
      </c>
      <c r="B914" s="7" t="inlineStr">
        <is>
          <t>APE</t>
        </is>
      </c>
      <c r="C914" s="7" t="inlineStr">
        <is>
          <t>FY2021</t>
        </is>
      </c>
      <c r="D914" s="35" t="n">
        <v>64.62</v>
      </c>
      <c r="E914" s="32" t="n">
        <v>-0.125</v>
      </c>
      <c r="F914" s="35">
        <f>D914/(1+E914)</f>
        <v/>
      </c>
      <c r="G914" s="7" t="inlineStr">
        <is>
          <t>FY2020</t>
        </is>
      </c>
      <c r="H914" s="35" t="n">
        <v>73.81</v>
      </c>
      <c r="I914" s="33" t="n">
        <v>44263</v>
      </c>
      <c r="J914" s="36">
        <f>F914-H914</f>
        <v/>
      </c>
      <c r="K914" s="16">
        <f>0.005/(1+E914)+D914*0.0005/(1+E914)^2+0.005</f>
        <v/>
      </c>
      <c r="L914" s="17">
        <f>IF(ABS(J914)&lt;=K914,"OK",IF(M914&lt;&gt;"","EXPLAINED","CHECK"))</f>
        <v/>
      </c>
      <c r="M914" s="7" t="inlineStr"/>
    </row>
    <row r="915">
      <c r="A915" s="33" t="n">
        <v>44446</v>
      </c>
      <c r="B915" s="7" t="inlineStr">
        <is>
          <t>APE</t>
        </is>
      </c>
      <c r="C915" s="7" t="inlineStr">
        <is>
          <t>Aug-21</t>
        </is>
      </c>
      <c r="D915" s="35" t="n">
        <v>6.4</v>
      </c>
      <c r="E915" s="32" t="n">
        <v>0.296</v>
      </c>
      <c r="F915" s="35">
        <f>D915/(1+E915)</f>
        <v/>
      </c>
      <c r="G915" s="7" t="inlineStr">
        <is>
          <t>Aug-20</t>
        </is>
      </c>
      <c r="H915" s="35" t="n">
        <v>4.94</v>
      </c>
      <c r="I915" s="33" t="n">
        <v>44111</v>
      </c>
      <c r="J915" s="36">
        <f>F915-H915</f>
        <v/>
      </c>
      <c r="K915" s="16">
        <f>0.005/(1+E915)+D915*0.0005/(1+E915)^2+0.005</f>
        <v/>
      </c>
      <c r="L915" s="17">
        <f>IF(ABS(J915)&lt;=K915,"OK",IF(M915&lt;&gt;"","EXPLAINED","CHECK"))</f>
        <v/>
      </c>
      <c r="M915" s="7" t="inlineStr"/>
    </row>
    <row r="916">
      <c r="A916" s="33" t="n">
        <v>44446</v>
      </c>
      <c r="B916" s="7" t="inlineStr">
        <is>
          <t>APE</t>
        </is>
      </c>
      <c r="C916" s="7" t="inlineStr">
        <is>
          <t>Jul-21</t>
        </is>
      </c>
      <c r="D916" s="35" t="n">
        <v>5.69</v>
      </c>
      <c r="E916" s="32" t="n">
        <v>0.29</v>
      </c>
      <c r="F916" s="35">
        <f>D916/(1+E916)</f>
        <v/>
      </c>
      <c r="G916" s="7" t="inlineStr">
        <is>
          <t>Jul-20</t>
        </is>
      </c>
      <c r="H916" s="35" t="n">
        <v>4.41</v>
      </c>
      <c r="I916" s="33" t="n">
        <v>44111</v>
      </c>
      <c r="J916" s="36">
        <f>F916-H916</f>
        <v/>
      </c>
      <c r="K916" s="16">
        <f>0.005/(1+E916)+D916*0.0005/(1+E916)^2+0.005</f>
        <v/>
      </c>
      <c r="L916" s="17">
        <f>IF(ABS(J916)&lt;=K916,"OK",IF(M916&lt;&gt;"","EXPLAINED","CHECK"))</f>
        <v/>
      </c>
      <c r="M916" s="7" t="inlineStr"/>
    </row>
    <row r="917">
      <c r="A917" s="33" t="n">
        <v>44446</v>
      </c>
      <c r="B917" s="7" t="inlineStr">
        <is>
          <t>RWRP</t>
        </is>
      </c>
      <c r="C917" s="7" t="inlineStr">
        <is>
          <t>Q1-FY2022</t>
        </is>
      </c>
      <c r="D917" s="35" t="n">
        <v>9.42</v>
      </c>
      <c r="E917" s="32" t="n">
        <v>0.4370000000000001</v>
      </c>
      <c r="F917" s="35">
        <f>D917/(1+E917)</f>
        <v/>
      </c>
      <c r="G917" s="7" t="inlineStr">
        <is>
          <t>Q1-FY2021</t>
        </is>
      </c>
      <c r="H917" s="35" t="n">
        <v>6.56</v>
      </c>
      <c r="I917" s="33" t="n">
        <v>44142</v>
      </c>
      <c r="J917" s="36">
        <f>F917-H917</f>
        <v/>
      </c>
      <c r="K917" s="16">
        <f>0.005/(1+E917)+D917*0.0005/(1+E917)^2+0.005</f>
        <v/>
      </c>
      <c r="L917" s="17">
        <f>IF(ABS(J917)&lt;=K917,"OK",IF(M917&lt;&gt;"","EXPLAINED","CHECK"))</f>
        <v/>
      </c>
      <c r="M917" s="7" t="inlineStr"/>
    </row>
    <row r="918">
      <c r="A918" s="33" t="n">
        <v>44446</v>
      </c>
      <c r="B918" s="7" t="inlineStr">
        <is>
          <t>RWRP</t>
        </is>
      </c>
      <c r="C918" s="7" t="inlineStr">
        <is>
          <t>FY2021</t>
        </is>
      </c>
      <c r="D918" s="35" t="n">
        <v>54.54</v>
      </c>
      <c r="E918" s="32" t="n">
        <v>-0.179</v>
      </c>
      <c r="F918" s="35">
        <f>D918/(1+E918)</f>
        <v/>
      </c>
      <c r="G918" s="7" t="inlineStr">
        <is>
          <t>FY2020</t>
        </is>
      </c>
      <c r="H918" s="35" t="n">
        <v>66.43000000000001</v>
      </c>
      <c r="I918" s="33" t="n">
        <v>44263</v>
      </c>
      <c r="J918" s="36">
        <f>F918-H918</f>
        <v/>
      </c>
      <c r="K918" s="16">
        <f>0.005/(1+E918)+D918*0.0005/(1+E918)^2+0.005</f>
        <v/>
      </c>
      <c r="L918" s="17">
        <f>IF(ABS(J918)&lt;=K918,"OK",IF(M918&lt;&gt;"","EXPLAINED","CHECK"))</f>
        <v/>
      </c>
      <c r="M918" s="7" t="inlineStr"/>
    </row>
    <row r="919">
      <c r="A919" s="33" t="n">
        <v>44446</v>
      </c>
      <c r="B919" s="7" t="inlineStr">
        <is>
          <t>RWRP</t>
        </is>
      </c>
      <c r="C919" s="7" t="inlineStr">
        <is>
          <t>Aug-21</t>
        </is>
      </c>
      <c r="D919" s="35" t="n">
        <v>5.45</v>
      </c>
      <c r="E919" s="32" t="n">
        <v>0.343</v>
      </c>
      <c r="F919" s="35">
        <f>D919/(1+E919)</f>
        <v/>
      </c>
      <c r="G919" s="7" t="inlineStr">
        <is>
          <t>Aug-20</t>
        </is>
      </c>
      <c r="H919" s="35" t="n">
        <v>4.06</v>
      </c>
      <c r="I919" s="33" t="n">
        <v>44111</v>
      </c>
      <c r="J919" s="36">
        <f>F919-H919</f>
        <v/>
      </c>
      <c r="K919" s="16">
        <f>0.005/(1+E919)+D919*0.0005/(1+E919)^2+0.005</f>
        <v/>
      </c>
      <c r="L919" s="17">
        <f>IF(ABS(J919)&lt;=K919,"OK",IF(M919&lt;&gt;"","EXPLAINED","CHECK"))</f>
        <v/>
      </c>
      <c r="M919" s="7" t="inlineStr"/>
    </row>
    <row r="920">
      <c r="A920" s="33" t="n">
        <v>44446</v>
      </c>
      <c r="B920" s="7" t="inlineStr">
        <is>
          <t>RWRP</t>
        </is>
      </c>
      <c r="C920" s="7" t="inlineStr">
        <is>
          <t>Jul-21</t>
        </is>
      </c>
      <c r="D920" s="35" t="n">
        <v>4.77</v>
      </c>
      <c r="E920" s="32" t="n">
        <v>0.253</v>
      </c>
      <c r="F920" s="35">
        <f>D920/(1+E920)</f>
        <v/>
      </c>
      <c r="G920" s="7" t="inlineStr">
        <is>
          <t>Jul-20</t>
        </is>
      </c>
      <c r="H920" s="35" t="n">
        <v>3.81</v>
      </c>
      <c r="I920" s="33" t="n">
        <v>44111</v>
      </c>
      <c r="J920" s="36">
        <f>F920-H920</f>
        <v/>
      </c>
      <c r="K920" s="16">
        <f>0.005/(1+E920)+D920*0.0005/(1+E920)^2+0.005</f>
        <v/>
      </c>
      <c r="L920" s="17">
        <f>IF(ABS(J920)&lt;=K920,"OK",IF(M920&lt;&gt;"","EXPLAINED","CHECK"))</f>
        <v/>
      </c>
      <c r="M920" s="7" t="inlineStr"/>
    </row>
    <row r="921">
      <c r="A921" s="33" t="n">
        <v>44417</v>
      </c>
      <c r="B921" s="7" t="inlineStr">
        <is>
          <t>NB Sum Assured</t>
        </is>
      </c>
      <c r="C921" s="7" t="inlineStr">
        <is>
          <t>FY2021</t>
        </is>
      </c>
      <c r="D921" s="35" t="n">
        <v>6166.84</v>
      </c>
      <c r="E921" s="32" t="n">
        <v>0.08</v>
      </c>
      <c r="F921" s="35">
        <f>D921/(1+E921)</f>
        <v/>
      </c>
      <c r="G921" s="7" t="inlineStr">
        <is>
          <t>FY2020</t>
        </is>
      </c>
      <c r="H921" s="35" t="n">
        <v>5711.84</v>
      </c>
      <c r="I921" s="33" t="n">
        <v>44263</v>
      </c>
      <c r="J921" s="36">
        <f>F921-H921</f>
        <v/>
      </c>
      <c r="K921" s="16">
        <f>0.005/(1+E921)+D921*0.0005/(1+E921)^2+0.005</f>
        <v/>
      </c>
      <c r="L921" s="17">
        <f>IF(ABS(J921)&lt;=K921,"OK",IF(M921&lt;&gt;"","EXPLAINED","CHECK"))</f>
        <v/>
      </c>
      <c r="M921" s="7" t="inlineStr"/>
    </row>
    <row r="922">
      <c r="A922" s="33" t="n">
        <v>44417</v>
      </c>
      <c r="B922" s="7" t="inlineStr">
        <is>
          <t>NB Premium</t>
        </is>
      </c>
      <c r="C922" s="7" t="inlineStr">
        <is>
          <t>Q1-FY2022</t>
        </is>
      </c>
      <c r="D922" s="35" t="n">
        <v>25.59</v>
      </c>
      <c r="E922" s="32" t="n">
        <v>0.706</v>
      </c>
      <c r="F922" s="35">
        <f>D922/(1+E922)</f>
        <v/>
      </c>
      <c r="G922" s="7" t="inlineStr">
        <is>
          <t>Q1-FY2021</t>
        </is>
      </c>
      <c r="H922" s="35" t="n">
        <v>14.99</v>
      </c>
      <c r="I922" s="33" t="n">
        <v>44142</v>
      </c>
      <c r="J922" s="36">
        <f>F922-H922</f>
        <v/>
      </c>
      <c r="K922" s="16">
        <f>0.005/(1+E922)+D922*0.0005/(1+E922)^2+0.005</f>
        <v/>
      </c>
      <c r="L922" s="17">
        <f>IF(ABS(J922)&lt;=K922,"OK",IF(M922&lt;&gt;"","EXPLAINED","CHECK"))</f>
        <v/>
      </c>
      <c r="M922" s="7" t="inlineStr"/>
    </row>
    <row r="923">
      <c r="A923" s="33" t="n">
        <v>44417</v>
      </c>
      <c r="B923" s="7" t="inlineStr">
        <is>
          <t>NB Premium</t>
        </is>
      </c>
      <c r="C923" s="7" t="inlineStr">
        <is>
          <t>FY2021</t>
        </is>
      </c>
      <c r="D923" s="35" t="n">
        <v>130.32</v>
      </c>
      <c r="E923" s="32" t="n">
        <v>0.055</v>
      </c>
      <c r="F923" s="35">
        <f>D923/(1+E923)</f>
        <v/>
      </c>
      <c r="G923" s="7" t="inlineStr">
        <is>
          <t>FY2020</t>
        </is>
      </c>
      <c r="H923" s="35" t="n">
        <v>123.48</v>
      </c>
      <c r="I923" s="33" t="n">
        <v>44263</v>
      </c>
      <c r="J923" s="36">
        <f>F923-H923</f>
        <v/>
      </c>
      <c r="K923" s="16">
        <f>0.005/(1+E923)+D923*0.0005/(1+E923)^2+0.005</f>
        <v/>
      </c>
      <c r="L923" s="17">
        <f>IF(ABS(J923)&lt;=K923,"OK",IF(M923&lt;&gt;"","EXPLAINED","CHECK"))</f>
        <v/>
      </c>
      <c r="M923" s="7" t="inlineStr"/>
    </row>
    <row r="924">
      <c r="A924" s="33" t="n">
        <v>44417</v>
      </c>
      <c r="B924" s="7" t="inlineStr">
        <is>
          <t>NB Premium</t>
        </is>
      </c>
      <c r="C924" s="7" t="inlineStr">
        <is>
          <t>Jul-21</t>
        </is>
      </c>
      <c r="D924" s="35" t="n">
        <v>11.57</v>
      </c>
      <c r="E924" s="32" t="n">
        <v>0.363</v>
      </c>
      <c r="F924" s="35">
        <f>D924/(1+E924)</f>
        <v/>
      </c>
      <c r="G924" s="7" t="inlineStr">
        <is>
          <t>Jul-20</t>
        </is>
      </c>
      <c r="H924" s="35" t="n">
        <v>8.49</v>
      </c>
      <c r="I924" s="33" t="n">
        <v>44111</v>
      </c>
      <c r="J924" s="36">
        <f>F924-H924</f>
        <v/>
      </c>
      <c r="K924" s="16">
        <f>0.005/(1+E924)+D924*0.0005/(1+E924)^2+0.005</f>
        <v/>
      </c>
      <c r="L924" s="17">
        <f>IF(ABS(J924)&lt;=K924,"OK",IF(M924&lt;&gt;"","EXPLAINED","CHECK"))</f>
        <v/>
      </c>
      <c r="M924" s="7" t="inlineStr"/>
    </row>
    <row r="925">
      <c r="A925" s="33" t="n">
        <v>44417</v>
      </c>
      <c r="B925" s="7" t="inlineStr">
        <is>
          <t>APE</t>
        </is>
      </c>
      <c r="C925" s="7" t="inlineStr">
        <is>
          <t>Q1-FY2022</t>
        </is>
      </c>
      <c r="D925" s="35" t="n">
        <v>12.19</v>
      </c>
      <c r="E925" s="32" t="n">
        <v>0.481</v>
      </c>
      <c r="F925" s="35">
        <f>D925/(1+E925)</f>
        <v/>
      </c>
      <c r="G925" s="7" t="inlineStr">
        <is>
          <t>Q1-FY2021</t>
        </is>
      </c>
      <c r="H925" s="35" t="n">
        <v>8.23</v>
      </c>
      <c r="I925" s="33" t="n">
        <v>44142</v>
      </c>
      <c r="J925" s="36">
        <f>F925-H925</f>
        <v/>
      </c>
      <c r="K925" s="16">
        <f>0.005/(1+E925)+D925*0.0005/(1+E925)^2+0.005</f>
        <v/>
      </c>
      <c r="L925" s="17">
        <f>IF(ABS(J925)&lt;=K925,"OK",IF(M925&lt;&gt;"","EXPLAINED","CHECK"))</f>
        <v/>
      </c>
      <c r="M925" s="7" t="inlineStr"/>
    </row>
    <row r="926">
      <c r="A926" s="33" t="n">
        <v>44417</v>
      </c>
      <c r="B926" s="7" t="inlineStr">
        <is>
          <t>APE</t>
        </is>
      </c>
      <c r="C926" s="7" t="inlineStr">
        <is>
          <t>FY2021</t>
        </is>
      </c>
      <c r="D926" s="35" t="n">
        <v>64.62</v>
      </c>
      <c r="E926" s="32" t="n">
        <v>-0.125</v>
      </c>
      <c r="F926" s="35">
        <f>D926/(1+E926)</f>
        <v/>
      </c>
      <c r="G926" s="7" t="inlineStr">
        <is>
          <t>FY2020</t>
        </is>
      </c>
      <c r="H926" s="35" t="n">
        <v>73.81</v>
      </c>
      <c r="I926" s="33" t="n">
        <v>44263</v>
      </c>
      <c r="J926" s="36">
        <f>F926-H926</f>
        <v/>
      </c>
      <c r="K926" s="16">
        <f>0.005/(1+E926)+D926*0.0005/(1+E926)^2+0.005</f>
        <v/>
      </c>
      <c r="L926" s="17">
        <f>IF(ABS(J926)&lt;=K926,"OK",IF(M926&lt;&gt;"","EXPLAINED","CHECK"))</f>
        <v/>
      </c>
      <c r="M926" s="7" t="inlineStr"/>
    </row>
    <row r="927">
      <c r="A927" s="33" t="n">
        <v>44417</v>
      </c>
      <c r="B927" s="7" t="inlineStr">
        <is>
          <t>APE</t>
        </is>
      </c>
      <c r="C927" s="7" t="inlineStr">
        <is>
          <t>Jul-21</t>
        </is>
      </c>
      <c r="D927" s="35" t="n">
        <v>5.69</v>
      </c>
      <c r="E927" s="32" t="n">
        <v>0.29</v>
      </c>
      <c r="F927" s="35">
        <f>D927/(1+E927)</f>
        <v/>
      </c>
      <c r="G927" s="7" t="inlineStr">
        <is>
          <t>Jul-20</t>
        </is>
      </c>
      <c r="H927" s="35" t="n">
        <v>4.41</v>
      </c>
      <c r="I927" s="33" t="n">
        <v>44111</v>
      </c>
      <c r="J927" s="36">
        <f>F927-H927</f>
        <v/>
      </c>
      <c r="K927" s="16">
        <f>0.005/(1+E927)+D927*0.0005/(1+E927)^2+0.005</f>
        <v/>
      </c>
      <c r="L927" s="17">
        <f>IF(ABS(J927)&lt;=K927,"OK",IF(M927&lt;&gt;"","EXPLAINED","CHECK"))</f>
        <v/>
      </c>
      <c r="M927" s="7" t="inlineStr"/>
    </row>
    <row r="928">
      <c r="A928" s="33" t="n">
        <v>44417</v>
      </c>
      <c r="B928" s="7" t="inlineStr">
        <is>
          <t>RWRP</t>
        </is>
      </c>
      <c r="C928" s="7" t="inlineStr">
        <is>
          <t>Q1-FY2022</t>
        </is>
      </c>
      <c r="D928" s="35" t="n">
        <v>9.42</v>
      </c>
      <c r="E928" s="32" t="n">
        <v>0.4370000000000001</v>
      </c>
      <c r="F928" s="35">
        <f>D928/(1+E928)</f>
        <v/>
      </c>
      <c r="G928" s="7" t="inlineStr">
        <is>
          <t>Q1-FY2021</t>
        </is>
      </c>
      <c r="H928" s="35" t="n">
        <v>6.56</v>
      </c>
      <c r="I928" s="33" t="n">
        <v>44142</v>
      </c>
      <c r="J928" s="36">
        <f>F928-H928</f>
        <v/>
      </c>
      <c r="K928" s="16">
        <f>0.005/(1+E928)+D928*0.0005/(1+E928)^2+0.005</f>
        <v/>
      </c>
      <c r="L928" s="17">
        <f>IF(ABS(J928)&lt;=K928,"OK",IF(M928&lt;&gt;"","EXPLAINED","CHECK"))</f>
        <v/>
      </c>
      <c r="M928" s="7" t="inlineStr"/>
    </row>
    <row r="929">
      <c r="A929" s="33" t="n">
        <v>44417</v>
      </c>
      <c r="B929" s="7" t="inlineStr">
        <is>
          <t>RWRP</t>
        </is>
      </c>
      <c r="C929" s="7" t="inlineStr">
        <is>
          <t>FY2021</t>
        </is>
      </c>
      <c r="D929" s="35" t="n">
        <v>54.54</v>
      </c>
      <c r="E929" s="32" t="n">
        <v>-0.179</v>
      </c>
      <c r="F929" s="35">
        <f>D929/(1+E929)</f>
        <v/>
      </c>
      <c r="G929" s="7" t="inlineStr">
        <is>
          <t>FY2020</t>
        </is>
      </c>
      <c r="H929" s="35" t="n">
        <v>66.43000000000001</v>
      </c>
      <c r="I929" s="33" t="n">
        <v>44263</v>
      </c>
      <c r="J929" s="36">
        <f>F929-H929</f>
        <v/>
      </c>
      <c r="K929" s="16">
        <f>0.005/(1+E929)+D929*0.0005/(1+E929)^2+0.005</f>
        <v/>
      </c>
      <c r="L929" s="17">
        <f>IF(ABS(J929)&lt;=K929,"OK",IF(M929&lt;&gt;"","EXPLAINED","CHECK"))</f>
        <v/>
      </c>
      <c r="M929" s="7" t="inlineStr"/>
    </row>
    <row r="930">
      <c r="A930" s="33" t="n">
        <v>44417</v>
      </c>
      <c r="B930" s="7" t="inlineStr">
        <is>
          <t>RWRP</t>
        </is>
      </c>
      <c r="C930" s="7" t="inlineStr">
        <is>
          <t>Jul-21</t>
        </is>
      </c>
      <c r="D930" s="35" t="n">
        <v>4.77</v>
      </c>
      <c r="E930" s="32" t="n">
        <v>0.253</v>
      </c>
      <c r="F930" s="35">
        <f>D930/(1+E930)</f>
        <v/>
      </c>
      <c r="G930" s="7" t="inlineStr">
        <is>
          <t>Jul-20</t>
        </is>
      </c>
      <c r="H930" s="35" t="n">
        <v>3.81</v>
      </c>
      <c r="I930" s="33" t="n">
        <v>44111</v>
      </c>
      <c r="J930" s="36">
        <f>F930-H930</f>
        <v/>
      </c>
      <c r="K930" s="16">
        <f>0.005/(1+E930)+D930*0.0005/(1+E930)^2+0.005</f>
        <v/>
      </c>
      <c r="L930" s="17">
        <f>IF(ABS(J930)&lt;=K930,"OK",IF(M930&lt;&gt;"","EXPLAINED","CHECK"))</f>
        <v/>
      </c>
      <c r="M930" s="7" t="inlineStr"/>
    </row>
    <row r="931">
      <c r="A931" s="33" t="n">
        <v>44385</v>
      </c>
      <c r="B931" s="7" t="inlineStr">
        <is>
          <t>NB Sum Assured</t>
        </is>
      </c>
      <c r="C931" s="7" t="inlineStr">
        <is>
          <t>FY2021</t>
        </is>
      </c>
      <c r="D931" s="35" t="n">
        <v>6166.84</v>
      </c>
      <c r="E931" s="32" t="n">
        <v>0.08</v>
      </c>
      <c r="F931" s="35">
        <f>D931/(1+E931)</f>
        <v/>
      </c>
      <c r="G931" s="7" t="inlineStr">
        <is>
          <t>FY2020</t>
        </is>
      </c>
      <c r="H931" s="35" t="n">
        <v>5711.84</v>
      </c>
      <c r="I931" s="33" t="n">
        <v>44263</v>
      </c>
      <c r="J931" s="36">
        <f>F931-H931</f>
        <v/>
      </c>
      <c r="K931" s="16">
        <f>0.005/(1+E931)+D931*0.0005/(1+E931)^2+0.005</f>
        <v/>
      </c>
      <c r="L931" s="17">
        <f>IF(ABS(J931)&lt;=K931,"OK",IF(M931&lt;&gt;"","EXPLAINED","CHECK"))</f>
        <v/>
      </c>
      <c r="M931" s="7" t="inlineStr"/>
    </row>
    <row r="932">
      <c r="A932" s="33" t="n">
        <v>44385</v>
      </c>
      <c r="B932" s="7" t="inlineStr">
        <is>
          <t>NB Premium</t>
        </is>
      </c>
      <c r="C932" s="7" t="inlineStr">
        <is>
          <t>Q1-FY2022</t>
        </is>
      </c>
      <c r="D932" s="35" t="n">
        <v>25.58</v>
      </c>
      <c r="E932" s="32" t="n">
        <v>0.706</v>
      </c>
      <c r="F932" s="35">
        <f>D932/(1+E932)</f>
        <v/>
      </c>
      <c r="G932" s="7" t="inlineStr">
        <is>
          <t>Q1-FY2021</t>
        </is>
      </c>
      <c r="H932" s="35" t="n">
        <v>14.99</v>
      </c>
      <c r="I932" s="33" t="n">
        <v>44142</v>
      </c>
      <c r="J932" s="36">
        <f>F932-H932</f>
        <v/>
      </c>
      <c r="K932" s="16">
        <f>0.005/(1+E932)+D932*0.0005/(1+E932)^2+0.005</f>
        <v/>
      </c>
      <c r="L932" s="17">
        <f>IF(ABS(J932)&lt;=K932,"OK",IF(M932&lt;&gt;"","EXPLAINED","CHECK"))</f>
        <v/>
      </c>
      <c r="M932" s="7" t="inlineStr"/>
    </row>
    <row r="933">
      <c r="A933" s="33" t="n">
        <v>44385</v>
      </c>
      <c r="B933" s="7" t="inlineStr">
        <is>
          <t>NB Premium</t>
        </is>
      </c>
      <c r="C933" s="7" t="inlineStr">
        <is>
          <t>FY2021</t>
        </is>
      </c>
      <c r="D933" s="35" t="n">
        <v>130.32</v>
      </c>
      <c r="E933" s="32" t="n">
        <v>0.055</v>
      </c>
      <c r="F933" s="35">
        <f>D933/(1+E933)</f>
        <v/>
      </c>
      <c r="G933" s="7" t="inlineStr">
        <is>
          <t>FY2020</t>
        </is>
      </c>
      <c r="H933" s="35" t="n">
        <v>123.48</v>
      </c>
      <c r="I933" s="33" t="n">
        <v>44263</v>
      </c>
      <c r="J933" s="36">
        <f>F933-H933</f>
        <v/>
      </c>
      <c r="K933" s="16">
        <f>0.005/(1+E933)+D933*0.0005/(1+E933)^2+0.005</f>
        <v/>
      </c>
      <c r="L933" s="17">
        <f>IF(ABS(J933)&lt;=K933,"OK",IF(M933&lt;&gt;"","EXPLAINED","CHECK"))</f>
        <v/>
      </c>
      <c r="M933" s="7" t="inlineStr"/>
    </row>
    <row r="934">
      <c r="A934" s="33" t="n">
        <v>44385</v>
      </c>
      <c r="B934" s="7" t="inlineStr">
        <is>
          <t>NB Premium</t>
        </is>
      </c>
      <c r="C934" s="7" t="inlineStr">
        <is>
          <t>Jun-21</t>
        </is>
      </c>
      <c r="D934" s="35" t="n">
        <v>12.63</v>
      </c>
      <c r="E934" s="32" t="n">
        <v>1.237</v>
      </c>
      <c r="F934" s="35">
        <f>D934/(1+E934)</f>
        <v/>
      </c>
      <c r="G934" s="7" t="inlineStr">
        <is>
          <t>Jun-20</t>
        </is>
      </c>
      <c r="H934" s="35" t="n">
        <v>5.65</v>
      </c>
      <c r="I934" s="33" t="n">
        <v>44021</v>
      </c>
      <c r="J934" s="36">
        <f>F934-H934</f>
        <v/>
      </c>
      <c r="K934" s="16">
        <f>0.005/(1+E934)+D934*0.0005/(1+E934)^2+0.005</f>
        <v/>
      </c>
      <c r="L934" s="17">
        <f>IF(ABS(J934)&lt;=K934,"OK",IF(M934&lt;&gt;"","EXPLAINED","CHECK"))</f>
        <v/>
      </c>
      <c r="M934" s="7" t="inlineStr"/>
    </row>
    <row r="935">
      <c r="A935" s="33" t="n">
        <v>44385</v>
      </c>
      <c r="B935" s="7" t="inlineStr">
        <is>
          <t>NB Premium</t>
        </is>
      </c>
      <c r="C935" s="7" t="inlineStr">
        <is>
          <t>May-21</t>
        </is>
      </c>
      <c r="D935" s="35" t="n">
        <v>6.52</v>
      </c>
      <c r="E935" s="32" t="n">
        <v>-0.039</v>
      </c>
      <c r="F935" s="35">
        <f>D935/(1+E935)</f>
        <v/>
      </c>
      <c r="G935" s="7" t="inlineStr">
        <is>
          <t>May-20</t>
        </is>
      </c>
      <c r="H935" s="35" t="n">
        <v>6.79</v>
      </c>
      <c r="I935" s="33" t="n">
        <v>44021</v>
      </c>
      <c r="J935" s="36">
        <f>F935-H935</f>
        <v/>
      </c>
      <c r="K935" s="16">
        <f>0.005/(1+E935)+D935*0.0005/(1+E935)^2+0.005</f>
        <v/>
      </c>
      <c r="L935" s="17">
        <f>IF(ABS(J935)&lt;=K935,"OK",IF(M935&lt;&gt;"","EXPLAINED","CHECK"))</f>
        <v/>
      </c>
      <c r="M935" s="7" t="inlineStr"/>
    </row>
    <row r="936">
      <c r="A936" s="33" t="n">
        <v>44385</v>
      </c>
      <c r="B936" s="7" t="inlineStr">
        <is>
          <t>NB Premium</t>
        </is>
      </c>
      <c r="C936" s="7" t="inlineStr">
        <is>
          <t>Apr-21</t>
        </is>
      </c>
      <c r="D936" s="35" t="n">
        <v>6.43</v>
      </c>
      <c r="E936" s="32" t="n">
        <v>1.511</v>
      </c>
      <c r="F936" s="35">
        <f>D936/(1+E936)</f>
        <v/>
      </c>
      <c r="G936" s="7" t="inlineStr">
        <is>
          <t>Apr-20</t>
        </is>
      </c>
      <c r="H936" s="35" t="n">
        <v>2.56</v>
      </c>
      <c r="I936" s="33" t="n">
        <v>44021</v>
      </c>
      <c r="J936" s="36">
        <f>F936-H936</f>
        <v/>
      </c>
      <c r="K936" s="16">
        <f>0.005/(1+E936)+D936*0.0005/(1+E936)^2+0.005</f>
        <v/>
      </c>
      <c r="L936" s="17">
        <f>IF(ABS(J936)&lt;=K936,"OK",IF(M936&lt;&gt;"","EXPLAINED","CHECK"))</f>
        <v/>
      </c>
      <c r="M936" s="7" t="inlineStr"/>
    </row>
    <row r="937">
      <c r="A937" s="33" t="n">
        <v>44385</v>
      </c>
      <c r="B937" s="7" t="inlineStr">
        <is>
          <t>APE</t>
        </is>
      </c>
      <c r="C937" s="7" t="inlineStr">
        <is>
          <t>Q1-FY2022</t>
        </is>
      </c>
      <c r="D937" s="35" t="n">
        <v>12.19</v>
      </c>
      <c r="E937" s="32" t="n">
        <v>0.481</v>
      </c>
      <c r="F937" s="35">
        <f>D937/(1+E937)</f>
        <v/>
      </c>
      <c r="G937" s="7" t="inlineStr">
        <is>
          <t>Q1-FY2021</t>
        </is>
      </c>
      <c r="H937" s="35" t="n">
        <v>8.23</v>
      </c>
      <c r="I937" s="33" t="n">
        <v>44142</v>
      </c>
      <c r="J937" s="36">
        <f>F937-H937</f>
        <v/>
      </c>
      <c r="K937" s="16">
        <f>0.005/(1+E937)+D937*0.0005/(1+E937)^2+0.005</f>
        <v/>
      </c>
      <c r="L937" s="17">
        <f>IF(ABS(J937)&lt;=K937,"OK",IF(M937&lt;&gt;"","EXPLAINED","CHECK"))</f>
        <v/>
      </c>
      <c r="M937" s="7" t="inlineStr"/>
    </row>
    <row r="938">
      <c r="A938" s="33" t="n">
        <v>44385</v>
      </c>
      <c r="B938" s="7" t="inlineStr">
        <is>
          <t>APE</t>
        </is>
      </c>
      <c r="C938" s="7" t="inlineStr">
        <is>
          <t>FY2021</t>
        </is>
      </c>
      <c r="D938" s="35" t="n">
        <v>64.62</v>
      </c>
      <c r="E938" s="32" t="n">
        <v>-0.125</v>
      </c>
      <c r="F938" s="35">
        <f>D938/(1+E938)</f>
        <v/>
      </c>
      <c r="G938" s="7" t="inlineStr">
        <is>
          <t>FY2020</t>
        </is>
      </c>
      <c r="H938" s="35" t="n">
        <v>73.81</v>
      </c>
      <c r="I938" s="33" t="n">
        <v>44263</v>
      </c>
      <c r="J938" s="36">
        <f>F938-H938</f>
        <v/>
      </c>
      <c r="K938" s="16">
        <f>0.005/(1+E938)+D938*0.0005/(1+E938)^2+0.005</f>
        <v/>
      </c>
      <c r="L938" s="17">
        <f>IF(ABS(J938)&lt;=K938,"OK",IF(M938&lt;&gt;"","EXPLAINED","CHECK"))</f>
        <v/>
      </c>
      <c r="M938" s="7" t="inlineStr"/>
    </row>
    <row r="939">
      <c r="A939" s="33" t="n">
        <v>44385</v>
      </c>
      <c r="B939" s="7" t="inlineStr">
        <is>
          <t>APE</t>
        </is>
      </c>
      <c r="C939" s="7" t="inlineStr">
        <is>
          <t>Jun-21</t>
        </is>
      </c>
      <c r="D939" s="35" t="n">
        <v>5.58</v>
      </c>
      <c r="E939" s="32" t="n">
        <v>0.5760000000000001</v>
      </c>
      <c r="F939" s="35">
        <f>D939/(1+E939)</f>
        <v/>
      </c>
      <c r="G939" s="7" t="inlineStr">
        <is>
          <t>Jun-20</t>
        </is>
      </c>
      <c r="H939" s="35" t="n">
        <v>3.54</v>
      </c>
      <c r="I939" s="33" t="n">
        <v>44021</v>
      </c>
      <c r="J939" s="36">
        <f>F939-H939</f>
        <v/>
      </c>
      <c r="K939" s="16">
        <f>0.005/(1+E939)+D939*0.0005/(1+E939)^2+0.005</f>
        <v/>
      </c>
      <c r="L939" s="17">
        <f>IF(ABS(J939)&lt;=K939,"OK",IF(M939&lt;&gt;"","EXPLAINED","CHECK"))</f>
        <v/>
      </c>
      <c r="M939" s="7" t="inlineStr"/>
    </row>
    <row r="940">
      <c r="A940" s="33" t="n">
        <v>44385</v>
      </c>
      <c r="B940" s="7" t="inlineStr">
        <is>
          <t>APE</t>
        </is>
      </c>
      <c r="C940" s="7" t="inlineStr">
        <is>
          <t>May-21</t>
        </is>
      </c>
      <c r="D940" s="35" t="n">
        <v>3.04</v>
      </c>
      <c r="E940" s="32" t="n">
        <v>0.09</v>
      </c>
      <c r="F940" s="35">
        <f>D940/(1+E940)</f>
        <v/>
      </c>
      <c r="G940" s="7" t="inlineStr">
        <is>
          <t>May-20</t>
        </is>
      </c>
      <c r="H940" s="35" t="n">
        <v>2.79</v>
      </c>
      <c r="I940" s="33" t="n">
        <v>44021</v>
      </c>
      <c r="J940" s="36">
        <f>F940-H940</f>
        <v/>
      </c>
      <c r="K940" s="16">
        <f>0.005/(1+E940)+D940*0.0005/(1+E940)^2+0.005</f>
        <v/>
      </c>
      <c r="L940" s="17">
        <f>IF(ABS(J940)&lt;=K940,"OK",IF(M940&lt;&gt;"","EXPLAINED","CHECK"))</f>
        <v/>
      </c>
      <c r="M940" s="7" t="inlineStr"/>
    </row>
    <row r="941">
      <c r="A941" s="33" t="n">
        <v>44385</v>
      </c>
      <c r="B941" s="7" t="inlineStr">
        <is>
          <t>APE</t>
        </is>
      </c>
      <c r="C941" s="7" t="inlineStr">
        <is>
          <t>Apr-21</t>
        </is>
      </c>
      <c r="D941" s="35" t="n">
        <v>3.57</v>
      </c>
      <c r="E941" s="32" t="n">
        <v>0.879</v>
      </c>
      <c r="F941" s="35">
        <f>D941/(1+E941)</f>
        <v/>
      </c>
      <c r="G941" s="7" t="inlineStr">
        <is>
          <t>Apr-20</t>
        </is>
      </c>
      <c r="H941" s="35" t="n">
        <v>1.9</v>
      </c>
      <c r="I941" s="33" t="n">
        <v>44021</v>
      </c>
      <c r="J941" s="36">
        <f>F941-H941</f>
        <v/>
      </c>
      <c r="K941" s="16">
        <f>0.005/(1+E941)+D941*0.0005/(1+E941)^2+0.005</f>
        <v/>
      </c>
      <c r="L941" s="17">
        <f>IF(ABS(J941)&lt;=K941,"OK",IF(M941&lt;&gt;"","EXPLAINED","CHECK"))</f>
        <v/>
      </c>
      <c r="M941" s="7" t="inlineStr"/>
    </row>
    <row r="942">
      <c r="A942" s="33" t="n">
        <v>44385</v>
      </c>
      <c r="B942" s="7" t="inlineStr">
        <is>
          <t>RWRP</t>
        </is>
      </c>
      <c r="C942" s="7" t="inlineStr">
        <is>
          <t>Q1-FY2022</t>
        </is>
      </c>
      <c r="D942" s="35" t="n">
        <v>9.42</v>
      </c>
      <c r="E942" s="32" t="n">
        <v>0.4370000000000001</v>
      </c>
      <c r="F942" s="35">
        <f>D942/(1+E942)</f>
        <v/>
      </c>
      <c r="G942" s="7" t="inlineStr">
        <is>
          <t>Q1-FY2021</t>
        </is>
      </c>
      <c r="H942" s="35" t="n">
        <v>6.56</v>
      </c>
      <c r="I942" s="33" t="n">
        <v>44142</v>
      </c>
      <c r="J942" s="36">
        <f>F942-H942</f>
        <v/>
      </c>
      <c r="K942" s="16">
        <f>0.005/(1+E942)+D942*0.0005/(1+E942)^2+0.005</f>
        <v/>
      </c>
      <c r="L942" s="17">
        <f>IF(ABS(J942)&lt;=K942,"OK",IF(M942&lt;&gt;"","EXPLAINED","CHECK"))</f>
        <v/>
      </c>
      <c r="M942" s="7" t="inlineStr"/>
    </row>
    <row r="943">
      <c r="A943" s="33" t="n">
        <v>44385</v>
      </c>
      <c r="B943" s="7" t="inlineStr">
        <is>
          <t>RWRP</t>
        </is>
      </c>
      <c r="C943" s="7" t="inlineStr">
        <is>
          <t>FY2021</t>
        </is>
      </c>
      <c r="D943" s="35" t="n">
        <v>54.54</v>
      </c>
      <c r="E943" s="32" t="n">
        <v>-0.179</v>
      </c>
      <c r="F943" s="35">
        <f>D943/(1+E943)</f>
        <v/>
      </c>
      <c r="G943" s="7" t="inlineStr">
        <is>
          <t>FY2020</t>
        </is>
      </c>
      <c r="H943" s="35" t="n">
        <v>66.43000000000001</v>
      </c>
      <c r="I943" s="33" t="n">
        <v>44263</v>
      </c>
      <c r="J943" s="36">
        <f>F943-H943</f>
        <v/>
      </c>
      <c r="K943" s="16">
        <f>0.005/(1+E943)+D943*0.0005/(1+E943)^2+0.005</f>
        <v/>
      </c>
      <c r="L943" s="17">
        <f>IF(ABS(J943)&lt;=K943,"OK",IF(M943&lt;&gt;"","EXPLAINED","CHECK"))</f>
        <v/>
      </c>
      <c r="M943" s="7" t="inlineStr"/>
    </row>
    <row r="944">
      <c r="A944" s="33" t="n">
        <v>44385</v>
      </c>
      <c r="B944" s="7" t="inlineStr">
        <is>
          <t>RWRP</t>
        </is>
      </c>
      <c r="C944" s="7" t="inlineStr">
        <is>
          <t>Jun-21</t>
        </is>
      </c>
      <c r="D944" s="35" t="n">
        <v>4.42</v>
      </c>
      <c r="E944" s="32" t="n">
        <v>0.429</v>
      </c>
      <c r="F944" s="35">
        <f>D944/(1+E944)</f>
        <v/>
      </c>
      <c r="G944" s="7" t="inlineStr">
        <is>
          <t>Jun-20</t>
        </is>
      </c>
      <c r="H944" s="35" t="n">
        <v>3.09</v>
      </c>
      <c r="I944" s="33" t="n">
        <v>44021</v>
      </c>
      <c r="J944" s="36">
        <f>F944-H944</f>
        <v/>
      </c>
      <c r="K944" s="16">
        <f>0.005/(1+E944)+D944*0.0005/(1+E944)^2+0.005</f>
        <v/>
      </c>
      <c r="L944" s="17">
        <f>IF(ABS(J944)&lt;=K944,"OK",IF(M944&lt;&gt;"","EXPLAINED","CHECK"))</f>
        <v/>
      </c>
      <c r="M944" s="7" t="inlineStr"/>
    </row>
    <row r="945">
      <c r="A945" s="33" t="n">
        <v>44385</v>
      </c>
      <c r="B945" s="7" t="inlineStr">
        <is>
          <t>RWRP</t>
        </is>
      </c>
      <c r="C945" s="7" t="inlineStr">
        <is>
          <t>May-21</t>
        </is>
      </c>
      <c r="D945" s="35" t="n">
        <v>2.45</v>
      </c>
      <c r="E945" s="32" t="n">
        <v>0.277</v>
      </c>
      <c r="F945" s="35">
        <f>D945/(1+E945)</f>
        <v/>
      </c>
      <c r="G945" s="7" t="inlineStr">
        <is>
          <t>May-20</t>
        </is>
      </c>
      <c r="H945" s="35" t="n">
        <v>1.92</v>
      </c>
      <c r="I945" s="33" t="n">
        <v>44021</v>
      </c>
      <c r="J945" s="36">
        <f>F945-H945</f>
        <v/>
      </c>
      <c r="K945" s="16">
        <f>0.005/(1+E945)+D945*0.0005/(1+E945)^2+0.005</f>
        <v/>
      </c>
      <c r="L945" s="17">
        <f>IF(ABS(J945)&lt;=K945,"OK",IF(M945&lt;&gt;"","EXPLAINED","CHECK"))</f>
        <v/>
      </c>
      <c r="M945" s="7" t="inlineStr"/>
    </row>
    <row r="946">
      <c r="A946" s="33" t="n">
        <v>44385</v>
      </c>
      <c r="B946" s="7" t="inlineStr">
        <is>
          <t>RWRP</t>
        </is>
      </c>
      <c r="C946" s="7" t="inlineStr">
        <is>
          <t>Apr-21</t>
        </is>
      </c>
      <c r="D946" s="35" t="n">
        <v>2.56</v>
      </c>
      <c r="E946" s="32" t="n">
        <v>0.65</v>
      </c>
      <c r="F946" s="35">
        <f>D946/(1+E946)</f>
        <v/>
      </c>
      <c r="G946" s="7" t="inlineStr">
        <is>
          <t>Apr-20</t>
        </is>
      </c>
      <c r="H946" s="35" t="n">
        <v>1.55</v>
      </c>
      <c r="I946" s="33" t="n">
        <v>44021</v>
      </c>
      <c r="J946" s="36">
        <f>F946-H946</f>
        <v/>
      </c>
      <c r="K946" s="16">
        <f>0.005/(1+E946)+D946*0.0005/(1+E946)^2+0.005</f>
        <v/>
      </c>
      <c r="L946" s="17">
        <f>IF(ABS(J946)&lt;=K946,"OK",IF(M946&lt;&gt;"","EXPLAINED","CHECK"))</f>
        <v/>
      </c>
      <c r="M946" s="7" t="inlineStr"/>
    </row>
    <row r="947">
      <c r="A947" s="33" t="n">
        <v>44354</v>
      </c>
      <c r="B947" s="7" t="inlineStr">
        <is>
          <t>NB Sum Assured</t>
        </is>
      </c>
      <c r="C947" s="7" t="inlineStr">
        <is>
          <t>FY2021</t>
        </is>
      </c>
      <c r="D947" s="35" t="n">
        <v>6166.84</v>
      </c>
      <c r="E947" s="32" t="n">
        <v>0.08</v>
      </c>
      <c r="F947" s="35">
        <f>D947/(1+E947)</f>
        <v/>
      </c>
      <c r="G947" s="7" t="inlineStr">
        <is>
          <t>FY2020</t>
        </is>
      </c>
      <c r="H947" s="35" t="n">
        <v>5711.84</v>
      </c>
      <c r="I947" s="33" t="n">
        <v>44263</v>
      </c>
      <c r="J947" s="36">
        <f>F947-H947</f>
        <v/>
      </c>
      <c r="K947" s="16">
        <f>0.005/(1+E947)+D947*0.0005/(1+E947)^2+0.005</f>
        <v/>
      </c>
      <c r="L947" s="17">
        <f>IF(ABS(J947)&lt;=K947,"OK",IF(M947&lt;&gt;"","EXPLAINED","CHECK"))</f>
        <v/>
      </c>
      <c r="M947" s="7" t="inlineStr"/>
    </row>
    <row r="948">
      <c r="A948" s="33" t="n">
        <v>44354</v>
      </c>
      <c r="B948" s="7" t="inlineStr">
        <is>
          <t>NB Premium</t>
        </is>
      </c>
      <c r="C948" s="7" t="inlineStr">
        <is>
          <t>FY2021</t>
        </is>
      </c>
      <c r="D948" s="35" t="n">
        <v>130.32</v>
      </c>
      <c r="E948" s="32" t="n">
        <v>0.055</v>
      </c>
      <c r="F948" s="35">
        <f>D948/(1+E948)</f>
        <v/>
      </c>
      <c r="G948" s="7" t="inlineStr">
        <is>
          <t>FY2020</t>
        </is>
      </c>
      <c r="H948" s="35" t="n">
        <v>123.48</v>
      </c>
      <c r="I948" s="33" t="n">
        <v>44263</v>
      </c>
      <c r="J948" s="36">
        <f>F948-H948</f>
        <v/>
      </c>
      <c r="K948" s="16">
        <f>0.005/(1+E948)+D948*0.0005/(1+E948)^2+0.005</f>
        <v/>
      </c>
      <c r="L948" s="17">
        <f>IF(ABS(J948)&lt;=K948,"OK",IF(M948&lt;&gt;"","EXPLAINED","CHECK"))</f>
        <v/>
      </c>
      <c r="M948" s="7" t="inlineStr"/>
    </row>
    <row r="949">
      <c r="A949" s="33" t="n">
        <v>44354</v>
      </c>
      <c r="B949" s="7" t="inlineStr">
        <is>
          <t>NB Premium</t>
        </is>
      </c>
      <c r="C949" s="7" t="inlineStr">
        <is>
          <t>May-21</t>
        </is>
      </c>
      <c r="D949" s="35" t="n">
        <v>6.52</v>
      </c>
      <c r="E949" s="32" t="n">
        <v>-0.039</v>
      </c>
      <c r="F949" s="35">
        <f>D949/(1+E949)</f>
        <v/>
      </c>
      <c r="G949" s="7" t="inlineStr">
        <is>
          <t>May-20</t>
        </is>
      </c>
      <c r="H949" s="35" t="n">
        <v>6.79</v>
      </c>
      <c r="I949" s="33" t="n">
        <v>44021</v>
      </c>
      <c r="J949" s="36">
        <f>F949-H949</f>
        <v/>
      </c>
      <c r="K949" s="16">
        <f>0.005/(1+E949)+D949*0.0005/(1+E949)^2+0.005</f>
        <v/>
      </c>
      <c r="L949" s="17">
        <f>IF(ABS(J949)&lt;=K949,"OK",IF(M949&lt;&gt;"","EXPLAINED","CHECK"))</f>
        <v/>
      </c>
      <c r="M949" s="7" t="inlineStr"/>
    </row>
    <row r="950">
      <c r="A950" s="33" t="n">
        <v>44354</v>
      </c>
      <c r="B950" s="7" t="inlineStr">
        <is>
          <t>NB Premium</t>
        </is>
      </c>
      <c r="C950" s="7" t="inlineStr">
        <is>
          <t>Apr-21</t>
        </is>
      </c>
      <c r="D950" s="35" t="n">
        <v>6.43</v>
      </c>
      <c r="E950" s="32" t="n">
        <v>1.511</v>
      </c>
      <c r="F950" s="35">
        <f>D950/(1+E950)</f>
        <v/>
      </c>
      <c r="G950" s="7" t="inlineStr">
        <is>
          <t>Apr-20</t>
        </is>
      </c>
      <c r="H950" s="35" t="n">
        <v>2.56</v>
      </c>
      <c r="I950" s="33" t="n">
        <v>44021</v>
      </c>
      <c r="J950" s="36">
        <f>F950-H950</f>
        <v/>
      </c>
      <c r="K950" s="16">
        <f>0.005/(1+E950)+D950*0.0005/(1+E950)^2+0.005</f>
        <v/>
      </c>
      <c r="L950" s="17">
        <f>IF(ABS(J950)&lt;=K950,"OK",IF(M950&lt;&gt;"","EXPLAINED","CHECK"))</f>
        <v/>
      </c>
      <c r="M950" s="7" t="inlineStr"/>
    </row>
    <row r="951">
      <c r="A951" s="33" t="n">
        <v>44354</v>
      </c>
      <c r="B951" s="7" t="inlineStr">
        <is>
          <t>APE</t>
        </is>
      </c>
      <c r="C951" s="7" t="inlineStr">
        <is>
          <t>FY2021</t>
        </is>
      </c>
      <c r="D951" s="35" t="n">
        <v>64.62</v>
      </c>
      <c r="E951" s="32" t="n">
        <v>-0.125</v>
      </c>
      <c r="F951" s="35">
        <f>D951/(1+E951)</f>
        <v/>
      </c>
      <c r="G951" s="7" t="inlineStr">
        <is>
          <t>FY2020</t>
        </is>
      </c>
      <c r="H951" s="35" t="n">
        <v>73.81</v>
      </c>
      <c r="I951" s="33" t="n">
        <v>44263</v>
      </c>
      <c r="J951" s="36">
        <f>F951-H951</f>
        <v/>
      </c>
      <c r="K951" s="16">
        <f>0.005/(1+E951)+D951*0.0005/(1+E951)^2+0.005</f>
        <v/>
      </c>
      <c r="L951" s="17">
        <f>IF(ABS(J951)&lt;=K951,"OK",IF(M951&lt;&gt;"","EXPLAINED","CHECK"))</f>
        <v/>
      </c>
      <c r="M951" s="7" t="inlineStr"/>
    </row>
    <row r="952">
      <c r="A952" s="33" t="n">
        <v>44354</v>
      </c>
      <c r="B952" s="7" t="inlineStr">
        <is>
          <t>APE</t>
        </is>
      </c>
      <c r="C952" s="7" t="inlineStr">
        <is>
          <t>May-21</t>
        </is>
      </c>
      <c r="D952" s="35" t="n">
        <v>3.04</v>
      </c>
      <c r="E952" s="32" t="n">
        <v>0.09</v>
      </c>
      <c r="F952" s="35">
        <f>D952/(1+E952)</f>
        <v/>
      </c>
      <c r="G952" s="7" t="inlineStr">
        <is>
          <t>May-20</t>
        </is>
      </c>
      <c r="H952" s="35" t="n">
        <v>2.79</v>
      </c>
      <c r="I952" s="33" t="n">
        <v>44021</v>
      </c>
      <c r="J952" s="36">
        <f>F952-H952</f>
        <v/>
      </c>
      <c r="K952" s="16">
        <f>0.005/(1+E952)+D952*0.0005/(1+E952)^2+0.005</f>
        <v/>
      </c>
      <c r="L952" s="17">
        <f>IF(ABS(J952)&lt;=K952,"OK",IF(M952&lt;&gt;"","EXPLAINED","CHECK"))</f>
        <v/>
      </c>
      <c r="M952" s="7" t="inlineStr"/>
    </row>
    <row r="953">
      <c r="A953" s="33" t="n">
        <v>44354</v>
      </c>
      <c r="B953" s="7" t="inlineStr">
        <is>
          <t>APE</t>
        </is>
      </c>
      <c r="C953" s="7" t="inlineStr">
        <is>
          <t>Apr-21</t>
        </is>
      </c>
      <c r="D953" s="35" t="n">
        <v>3.57</v>
      </c>
      <c r="E953" s="32" t="n">
        <v>0.879</v>
      </c>
      <c r="F953" s="35">
        <f>D953/(1+E953)</f>
        <v/>
      </c>
      <c r="G953" s="7" t="inlineStr">
        <is>
          <t>Apr-20</t>
        </is>
      </c>
      <c r="H953" s="35" t="n">
        <v>1.9</v>
      </c>
      <c r="I953" s="33" t="n">
        <v>44021</v>
      </c>
      <c r="J953" s="36">
        <f>F953-H953</f>
        <v/>
      </c>
      <c r="K953" s="16">
        <f>0.005/(1+E953)+D953*0.0005/(1+E953)^2+0.005</f>
        <v/>
      </c>
      <c r="L953" s="17">
        <f>IF(ABS(J953)&lt;=K953,"OK",IF(M953&lt;&gt;"","EXPLAINED","CHECK"))</f>
        <v/>
      </c>
      <c r="M953" s="7" t="inlineStr"/>
    </row>
    <row r="954">
      <c r="A954" s="33" t="n">
        <v>44354</v>
      </c>
      <c r="B954" s="7" t="inlineStr">
        <is>
          <t>RWRP</t>
        </is>
      </c>
      <c r="C954" s="7" t="inlineStr">
        <is>
          <t>FY2021</t>
        </is>
      </c>
      <c r="D954" s="35" t="n">
        <v>54.54</v>
      </c>
      <c r="E954" s="32" t="n">
        <v>-0.179</v>
      </c>
      <c r="F954" s="35">
        <f>D954/(1+E954)</f>
        <v/>
      </c>
      <c r="G954" s="7" t="inlineStr">
        <is>
          <t>FY2020</t>
        </is>
      </c>
      <c r="H954" s="35" t="n">
        <v>66.43000000000001</v>
      </c>
      <c r="I954" s="33" t="n">
        <v>44263</v>
      </c>
      <c r="J954" s="36">
        <f>F954-H954</f>
        <v/>
      </c>
      <c r="K954" s="16">
        <f>0.005/(1+E954)+D954*0.0005/(1+E954)^2+0.005</f>
        <v/>
      </c>
      <c r="L954" s="17">
        <f>IF(ABS(J954)&lt;=K954,"OK",IF(M954&lt;&gt;"","EXPLAINED","CHECK"))</f>
        <v/>
      </c>
      <c r="M954" s="7" t="inlineStr"/>
    </row>
    <row r="955">
      <c r="A955" s="33" t="n">
        <v>44354</v>
      </c>
      <c r="B955" s="7" t="inlineStr">
        <is>
          <t>RWRP</t>
        </is>
      </c>
      <c r="C955" s="7" t="inlineStr">
        <is>
          <t>May-21</t>
        </is>
      </c>
      <c r="D955" s="35" t="n">
        <v>2.45</v>
      </c>
      <c r="E955" s="32" t="n">
        <v>0.277</v>
      </c>
      <c r="F955" s="35">
        <f>D955/(1+E955)</f>
        <v/>
      </c>
      <c r="G955" s="7" t="inlineStr">
        <is>
          <t>May-20</t>
        </is>
      </c>
      <c r="H955" s="35" t="n">
        <v>1.92</v>
      </c>
      <c r="I955" s="33" t="n">
        <v>44021</v>
      </c>
      <c r="J955" s="36">
        <f>F955-H955</f>
        <v/>
      </c>
      <c r="K955" s="16">
        <f>0.005/(1+E955)+D955*0.0005/(1+E955)^2+0.005</f>
        <v/>
      </c>
      <c r="L955" s="17">
        <f>IF(ABS(J955)&lt;=K955,"OK",IF(M955&lt;&gt;"","EXPLAINED","CHECK"))</f>
        <v/>
      </c>
      <c r="M955" s="7" t="inlineStr"/>
    </row>
    <row r="956">
      <c r="A956" s="33" t="n">
        <v>44354</v>
      </c>
      <c r="B956" s="7" t="inlineStr">
        <is>
          <t>RWRP</t>
        </is>
      </c>
      <c r="C956" s="7" t="inlineStr">
        <is>
          <t>Apr-21</t>
        </is>
      </c>
      <c r="D956" s="35" t="n">
        <v>2.56</v>
      </c>
      <c r="E956" s="32" t="n">
        <v>0.65</v>
      </c>
      <c r="F956" s="35">
        <f>D956/(1+E956)</f>
        <v/>
      </c>
      <c r="G956" s="7" t="inlineStr">
        <is>
          <t>Apr-20</t>
        </is>
      </c>
      <c r="H956" s="35" t="n">
        <v>1.55</v>
      </c>
      <c r="I956" s="33" t="n">
        <v>44021</v>
      </c>
      <c r="J956" s="36">
        <f>F956-H956</f>
        <v/>
      </c>
      <c r="K956" s="16">
        <f>0.005/(1+E956)+D956*0.0005/(1+E956)^2+0.005</f>
        <v/>
      </c>
      <c r="L956" s="17">
        <f>IF(ABS(J956)&lt;=K956,"OK",IF(M956&lt;&gt;"","EXPLAINED","CHECK"))</f>
        <v/>
      </c>
      <c r="M956" s="7" t="inlineStr"/>
    </row>
    <row r="957">
      <c r="A957" s="33" t="n">
        <v>44323</v>
      </c>
      <c r="B957" s="7" t="inlineStr">
        <is>
          <t>NB Sum Assured</t>
        </is>
      </c>
      <c r="C957" s="7" t="inlineStr">
        <is>
          <t>FY2021</t>
        </is>
      </c>
      <c r="D957" s="35" t="n">
        <v>6166.84</v>
      </c>
      <c r="E957" s="32" t="n">
        <v>0.08</v>
      </c>
      <c r="F957" s="35">
        <f>D957/(1+E957)</f>
        <v/>
      </c>
      <c r="G957" s="7" t="inlineStr">
        <is>
          <t>FY2020</t>
        </is>
      </c>
      <c r="H957" s="35" t="n">
        <v>5711.84</v>
      </c>
      <c r="I957" s="33" t="n">
        <v>44263</v>
      </c>
      <c r="J957" s="36">
        <f>F957-H957</f>
        <v/>
      </c>
      <c r="K957" s="16">
        <f>0.005/(1+E957)+D957*0.0005/(1+E957)^2+0.005</f>
        <v/>
      </c>
      <c r="L957" s="17">
        <f>IF(ABS(J957)&lt;=K957,"OK",IF(M957&lt;&gt;"","EXPLAINED","CHECK"))</f>
        <v/>
      </c>
      <c r="M957" s="7" t="inlineStr"/>
    </row>
    <row r="958">
      <c r="A958" s="33" t="n">
        <v>44323</v>
      </c>
      <c r="B958" s="7" t="inlineStr">
        <is>
          <t>NB Premium</t>
        </is>
      </c>
      <c r="C958" s="7" t="inlineStr">
        <is>
          <t>FY2021</t>
        </is>
      </c>
      <c r="D958" s="35" t="n">
        <v>130.32</v>
      </c>
      <c r="E958" s="32" t="n">
        <v>0.055</v>
      </c>
      <c r="F958" s="35">
        <f>D958/(1+E958)</f>
        <v/>
      </c>
      <c r="G958" s="7" t="inlineStr">
        <is>
          <t>FY2020</t>
        </is>
      </c>
      <c r="H958" s="35" t="n">
        <v>123.48</v>
      </c>
      <c r="I958" s="33" t="n">
        <v>44263</v>
      </c>
      <c r="J958" s="36">
        <f>F958-H958</f>
        <v/>
      </c>
      <c r="K958" s="16">
        <f>0.005/(1+E958)+D958*0.0005/(1+E958)^2+0.005</f>
        <v/>
      </c>
      <c r="L958" s="17">
        <f>IF(ABS(J958)&lt;=K958,"OK",IF(M958&lt;&gt;"","EXPLAINED","CHECK"))</f>
        <v/>
      </c>
      <c r="M958" s="7" t="inlineStr"/>
    </row>
    <row r="959">
      <c r="A959" s="33" t="n">
        <v>44323</v>
      </c>
      <c r="B959" s="7" t="inlineStr">
        <is>
          <t>NB Premium</t>
        </is>
      </c>
      <c r="C959" s="7" t="inlineStr">
        <is>
          <t>Apr-21</t>
        </is>
      </c>
      <c r="D959" s="35" t="n">
        <v>6.43</v>
      </c>
      <c r="E959" s="32" t="n">
        <v>1.511</v>
      </c>
      <c r="F959" s="35">
        <f>D959/(1+E959)</f>
        <v/>
      </c>
      <c r="G959" s="7" t="inlineStr">
        <is>
          <t>Apr-20</t>
        </is>
      </c>
      <c r="H959" s="35" t="n">
        <v>2.56</v>
      </c>
      <c r="I959" s="33" t="n">
        <v>44021</v>
      </c>
      <c r="J959" s="36">
        <f>F959-H959</f>
        <v/>
      </c>
      <c r="K959" s="16">
        <f>0.005/(1+E959)+D959*0.0005/(1+E959)^2+0.005</f>
        <v/>
      </c>
      <c r="L959" s="17">
        <f>IF(ABS(J959)&lt;=K959,"OK",IF(M959&lt;&gt;"","EXPLAINED","CHECK"))</f>
        <v/>
      </c>
      <c r="M959" s="7" t="inlineStr"/>
    </row>
    <row r="960">
      <c r="A960" s="33" t="n">
        <v>44323</v>
      </c>
      <c r="B960" s="7" t="inlineStr">
        <is>
          <t>APE</t>
        </is>
      </c>
      <c r="C960" s="7" t="inlineStr">
        <is>
          <t>FY2021</t>
        </is>
      </c>
      <c r="D960" s="35" t="n">
        <v>64.62</v>
      </c>
      <c r="E960" s="32" t="n">
        <v>-0.125</v>
      </c>
      <c r="F960" s="35">
        <f>D960/(1+E960)</f>
        <v/>
      </c>
      <c r="G960" s="7" t="inlineStr">
        <is>
          <t>FY2020</t>
        </is>
      </c>
      <c r="H960" s="35" t="n">
        <v>73.81</v>
      </c>
      <c r="I960" s="33" t="n">
        <v>44263</v>
      </c>
      <c r="J960" s="36">
        <f>F960-H960</f>
        <v/>
      </c>
      <c r="K960" s="16">
        <f>0.005/(1+E960)+D960*0.0005/(1+E960)^2+0.005</f>
        <v/>
      </c>
      <c r="L960" s="17">
        <f>IF(ABS(J960)&lt;=K960,"OK",IF(M960&lt;&gt;"","EXPLAINED","CHECK"))</f>
        <v/>
      </c>
      <c r="M960" s="7" t="inlineStr"/>
    </row>
    <row r="961">
      <c r="A961" s="33" t="n">
        <v>44323</v>
      </c>
      <c r="B961" s="7" t="inlineStr">
        <is>
          <t>APE</t>
        </is>
      </c>
      <c r="C961" s="7" t="inlineStr">
        <is>
          <t>Apr-21</t>
        </is>
      </c>
      <c r="D961" s="35" t="n">
        <v>3.57</v>
      </c>
      <c r="E961" s="32" t="n">
        <v>0.879</v>
      </c>
      <c r="F961" s="35">
        <f>D961/(1+E961)</f>
        <v/>
      </c>
      <c r="G961" s="7" t="inlineStr">
        <is>
          <t>Apr-20</t>
        </is>
      </c>
      <c r="H961" s="35" t="n">
        <v>1.9</v>
      </c>
      <c r="I961" s="33" t="n">
        <v>44021</v>
      </c>
      <c r="J961" s="36">
        <f>F961-H961</f>
        <v/>
      </c>
      <c r="K961" s="16">
        <f>0.005/(1+E961)+D961*0.0005/(1+E961)^2+0.005</f>
        <v/>
      </c>
      <c r="L961" s="17">
        <f>IF(ABS(J961)&lt;=K961,"OK",IF(M961&lt;&gt;"","EXPLAINED","CHECK"))</f>
        <v/>
      </c>
      <c r="M961" s="7" t="inlineStr"/>
    </row>
    <row r="962">
      <c r="A962" s="33" t="n">
        <v>44323</v>
      </c>
      <c r="B962" s="7" t="inlineStr">
        <is>
          <t>RWRP</t>
        </is>
      </c>
      <c r="C962" s="7" t="inlineStr">
        <is>
          <t>FY2021</t>
        </is>
      </c>
      <c r="D962" s="35" t="n">
        <v>54.54</v>
      </c>
      <c r="E962" s="32" t="n">
        <v>-0.179</v>
      </c>
      <c r="F962" s="35">
        <f>D962/(1+E962)</f>
        <v/>
      </c>
      <c r="G962" s="7" t="inlineStr">
        <is>
          <t>FY2020</t>
        </is>
      </c>
      <c r="H962" s="35" t="n">
        <v>66.43000000000001</v>
      </c>
      <c r="I962" s="33" t="n">
        <v>44263</v>
      </c>
      <c r="J962" s="36">
        <f>F962-H962</f>
        <v/>
      </c>
      <c r="K962" s="16">
        <f>0.005/(1+E962)+D962*0.0005/(1+E962)^2+0.005</f>
        <v/>
      </c>
      <c r="L962" s="17">
        <f>IF(ABS(J962)&lt;=K962,"OK",IF(M962&lt;&gt;"","EXPLAINED","CHECK"))</f>
        <v/>
      </c>
      <c r="M962" s="7" t="inlineStr"/>
    </row>
    <row r="963">
      <c r="A963" s="33" t="n">
        <v>44323</v>
      </c>
      <c r="B963" s="7" t="inlineStr">
        <is>
          <t>RWRP</t>
        </is>
      </c>
      <c r="C963" s="7" t="inlineStr">
        <is>
          <t>Apr-21</t>
        </is>
      </c>
      <c r="D963" s="35" t="n">
        <v>2.56</v>
      </c>
      <c r="E963" s="32" t="n">
        <v>0.65</v>
      </c>
      <c r="F963" s="35">
        <f>D963/(1+E963)</f>
        <v/>
      </c>
      <c r="G963" s="7" t="inlineStr">
        <is>
          <t>Apr-20</t>
        </is>
      </c>
      <c r="H963" s="35" t="n">
        <v>1.55</v>
      </c>
      <c r="I963" s="33" t="n">
        <v>44021</v>
      </c>
      <c r="J963" s="36">
        <f>F963-H963</f>
        <v/>
      </c>
      <c r="K963" s="16">
        <f>0.005/(1+E963)+D963*0.0005/(1+E963)^2+0.005</f>
        <v/>
      </c>
      <c r="L963" s="17">
        <f>IF(ABS(J963)&lt;=K963,"OK",IF(M963&lt;&gt;"","EXPLAINED","CHECK"))</f>
        <v/>
      </c>
      <c r="M963" s="7" t="inlineStr"/>
    </row>
    <row r="964">
      <c r="A964" s="33" t="n">
        <v>44263</v>
      </c>
      <c r="B964" s="7" t="inlineStr">
        <is>
          <t>APE</t>
        </is>
      </c>
      <c r="C964" s="7" t="inlineStr">
        <is>
          <t>FY2020</t>
        </is>
      </c>
      <c r="D964" s="35" t="n">
        <v>73.81</v>
      </c>
      <c r="E964" s="32" t="n">
        <v>-0.05400000000000001</v>
      </c>
      <c r="F964" s="35">
        <f>D964/(1+E964)</f>
        <v/>
      </c>
      <c r="G964" s="7" t="inlineStr">
        <is>
          <t>FY2019</t>
        </is>
      </c>
      <c r="H964" s="35" t="n">
        <v>77.98999999999999</v>
      </c>
      <c r="I964" s="33" t="n">
        <v>43899</v>
      </c>
      <c r="J964" s="36">
        <f>F964-H964</f>
        <v/>
      </c>
      <c r="K964" s="16">
        <f>0.005/(1+E964)+D964*0.0005/(1+E964)^2+0.005</f>
        <v/>
      </c>
      <c r="L964" s="17">
        <f>IF(ABS(J964)&lt;=K964,"OK",IF(M964&lt;&gt;"","EXPLAINED","CHECK"))</f>
        <v/>
      </c>
      <c r="M964" s="7" t="inlineStr"/>
    </row>
    <row r="965">
      <c r="A965" s="33" t="n">
        <v>44263</v>
      </c>
      <c r="B965" s="7" t="inlineStr">
        <is>
          <t>APE</t>
        </is>
      </c>
      <c r="C965" s="7" t="inlineStr">
        <is>
          <t>11M-FY2021</t>
        </is>
      </c>
      <c r="D965" s="35" t="n">
        <v>53.61</v>
      </c>
      <c r="E965" s="32" t="n">
        <v>-0.218</v>
      </c>
      <c r="F965" s="35">
        <f>D965/(1+E965)</f>
        <v/>
      </c>
      <c r="G965" s="7" t="inlineStr">
        <is>
          <t>11M-FY2020</t>
        </is>
      </c>
      <c r="H965" s="35" t="n">
        <v>68.52</v>
      </c>
      <c r="I965" s="33" t="n">
        <v>43899</v>
      </c>
      <c r="J965" s="36">
        <f>F965-H965</f>
        <v/>
      </c>
      <c r="K965" s="16">
        <f>0.005/(1+E965)+D965*0.0005/(1+E965)^2+0.005</f>
        <v/>
      </c>
      <c r="L965" s="17">
        <f>IF(ABS(J965)&lt;=K965,"OK",IF(M965&lt;&gt;"","EXPLAINED","CHECK"))</f>
        <v/>
      </c>
      <c r="M965" s="7" t="inlineStr"/>
    </row>
    <row r="966">
      <c r="A966" s="33" t="n">
        <v>44263</v>
      </c>
      <c r="B966" s="7" t="inlineStr">
        <is>
          <t>APE</t>
        </is>
      </c>
      <c r="C966" s="7" t="inlineStr">
        <is>
          <t>Feb-21</t>
        </is>
      </c>
      <c r="D966" s="35" t="n">
        <v>7.37</v>
      </c>
      <c r="E966" s="32" t="n">
        <v>-0.023</v>
      </c>
      <c r="F966" s="35">
        <f>D966/(1+E966)</f>
        <v/>
      </c>
      <c r="G966" s="7" t="inlineStr">
        <is>
          <t>Feb-20</t>
        </is>
      </c>
      <c r="H966" s="35" t="n">
        <v>7.54</v>
      </c>
      <c r="I966" s="33" t="n">
        <v>43899</v>
      </c>
      <c r="J966" s="36">
        <f>F966-H966</f>
        <v/>
      </c>
      <c r="K966" s="16">
        <f>0.005/(1+E966)+D966*0.0005/(1+E966)^2+0.005</f>
        <v/>
      </c>
      <c r="L966" s="17">
        <f>IF(ABS(J966)&lt;=K966,"OK",IF(M966&lt;&gt;"","EXPLAINED","CHECK"))</f>
        <v/>
      </c>
      <c r="M966" s="7" t="inlineStr"/>
    </row>
    <row r="967">
      <c r="A967" s="33" t="n">
        <v>44263</v>
      </c>
      <c r="B967" s="7" t="inlineStr">
        <is>
          <t>APE</t>
        </is>
      </c>
      <c r="C967" s="7" t="inlineStr">
        <is>
          <t>Jan-21</t>
        </is>
      </c>
      <c r="D967" s="35" t="n">
        <v>6.7</v>
      </c>
      <c r="E967" s="32" t="n">
        <v>-0.03</v>
      </c>
      <c r="F967" s="35">
        <f>D967/(1+E967)</f>
        <v/>
      </c>
      <c r="G967" s="7" t="inlineStr">
        <is>
          <t>Jan-20</t>
        </is>
      </c>
      <c r="H967" s="35" t="n">
        <v>6.91</v>
      </c>
      <c r="I967" s="33" t="n">
        <v>43899</v>
      </c>
      <c r="J967" s="36">
        <f>F967-H967</f>
        <v/>
      </c>
      <c r="K967" s="16">
        <f>0.005/(1+E967)+D967*0.0005/(1+E967)^2+0.005</f>
        <v/>
      </c>
      <c r="L967" s="17">
        <f>IF(ABS(J967)&lt;=K967,"OK",IF(M967&lt;&gt;"","EXPLAINED","CHECK"))</f>
        <v/>
      </c>
      <c r="M967" s="7" t="inlineStr"/>
    </row>
    <row r="968">
      <c r="A968" s="33" t="n">
        <v>44263</v>
      </c>
      <c r="B968" s="7" t="inlineStr">
        <is>
          <t>RWRP</t>
        </is>
      </c>
      <c r="C968" s="7" t="inlineStr">
        <is>
          <t>FY2020</t>
        </is>
      </c>
      <c r="D968" s="35" t="n">
        <v>66.43000000000001</v>
      </c>
      <c r="E968" s="32" t="n">
        <v>-0.064</v>
      </c>
      <c r="F968" s="35">
        <f>D968/(1+E968)</f>
        <v/>
      </c>
      <c r="G968" s="7" t="inlineStr">
        <is>
          <t>FY2019</t>
        </is>
      </c>
      <c r="H968" s="35" t="n">
        <v>70.95</v>
      </c>
      <c r="I968" s="33" t="n">
        <v>43899</v>
      </c>
      <c r="J968" s="36">
        <f>F968-H968</f>
        <v/>
      </c>
      <c r="K968" s="16">
        <f>0.005/(1+E968)+D968*0.0005/(1+E968)^2+0.005</f>
        <v/>
      </c>
      <c r="L968" s="17">
        <f>IF(ABS(J968)&lt;=K968,"OK",IF(M968&lt;&gt;"","EXPLAINED","CHECK"))</f>
        <v/>
      </c>
      <c r="M968" s="7" t="inlineStr"/>
    </row>
    <row r="969">
      <c r="A969" s="33" t="n">
        <v>44263</v>
      </c>
      <c r="B969" s="7" t="inlineStr">
        <is>
          <t>RWRP</t>
        </is>
      </c>
      <c r="C969" s="7" t="inlineStr">
        <is>
          <t>11M-FY2021</t>
        </is>
      </c>
      <c r="D969" s="35" t="n">
        <v>45.06</v>
      </c>
      <c r="E969" s="32" t="n">
        <v>-0.269</v>
      </c>
      <c r="F969" s="35">
        <f>D969/(1+E969)</f>
        <v/>
      </c>
      <c r="G969" s="7" t="inlineStr">
        <is>
          <t>11M-FY2020</t>
        </is>
      </c>
      <c r="H969" s="35" t="n">
        <v>61.65</v>
      </c>
      <c r="I969" s="33" t="n">
        <v>43899</v>
      </c>
      <c r="J969" s="36">
        <f>F969-H969</f>
        <v/>
      </c>
      <c r="K969" s="16">
        <f>0.005/(1+E969)+D969*0.0005/(1+E969)^2+0.005</f>
        <v/>
      </c>
      <c r="L969" s="17">
        <f>IF(ABS(J969)&lt;=K969,"OK",IF(M969&lt;&gt;"","EXPLAINED","CHECK"))</f>
        <v/>
      </c>
      <c r="M969" s="7" t="inlineStr"/>
    </row>
    <row r="970">
      <c r="A970" s="33" t="n">
        <v>44263</v>
      </c>
      <c r="B970" s="7" t="inlineStr">
        <is>
          <t>RWRP</t>
        </is>
      </c>
      <c r="C970" s="7" t="inlineStr">
        <is>
          <t>Feb-21</t>
        </is>
      </c>
      <c r="D970" s="35" t="n">
        <v>6.25</v>
      </c>
      <c r="E970" s="32" t="n">
        <v>0.063</v>
      </c>
      <c r="F970" s="35">
        <f>D970/(1+E970)</f>
        <v/>
      </c>
      <c r="G970" s="7" t="inlineStr">
        <is>
          <t>Feb-20</t>
        </is>
      </c>
      <c r="H970" s="35" t="n">
        <v>5.87</v>
      </c>
      <c r="I970" s="33" t="n">
        <v>43899</v>
      </c>
      <c r="J970" s="36">
        <f>F970-H970</f>
        <v/>
      </c>
      <c r="K970" s="16">
        <f>0.005/(1+E970)+D970*0.0005/(1+E970)^2+0.005</f>
        <v/>
      </c>
      <c r="L970" s="17">
        <f>IF(ABS(J970)&lt;=K970,"OK",IF(M970&lt;&gt;"","EXPLAINED","CHECK"))</f>
        <v/>
      </c>
      <c r="M970" s="7" t="inlineStr"/>
    </row>
    <row r="971">
      <c r="A971" s="33" t="n">
        <v>44263</v>
      </c>
      <c r="B971" s="7" t="inlineStr">
        <is>
          <t>RWRP</t>
        </is>
      </c>
      <c r="C971" s="7" t="inlineStr">
        <is>
          <t>Jan-21</t>
        </is>
      </c>
      <c r="D971" s="35" t="n">
        <v>5.77</v>
      </c>
      <c r="E971" s="32" t="n">
        <v>-0.073</v>
      </c>
      <c r="F971" s="35">
        <f>D971/(1+E971)</f>
        <v/>
      </c>
      <c r="G971" s="7" t="inlineStr">
        <is>
          <t>Jan-20</t>
        </is>
      </c>
      <c r="H971" s="35" t="n">
        <v>6.22</v>
      </c>
      <c r="I971" s="33" t="n">
        <v>43899</v>
      </c>
      <c r="J971" s="36">
        <f>F971-H971</f>
        <v/>
      </c>
      <c r="K971" s="16">
        <f>0.005/(1+E971)+D971*0.0005/(1+E971)^2+0.005</f>
        <v/>
      </c>
      <c r="L971" s="17">
        <f>IF(ABS(J971)&lt;=K971,"OK",IF(M971&lt;&gt;"","EXPLAINED","CHECK"))</f>
        <v/>
      </c>
      <c r="M971" s="7" t="inlineStr"/>
    </row>
    <row r="972">
      <c r="A972" s="33" t="n">
        <v>44235</v>
      </c>
      <c r="B972" s="7" t="inlineStr">
        <is>
          <t>APE</t>
        </is>
      </c>
      <c r="C972" s="7" t="inlineStr">
        <is>
          <t>FY2020</t>
        </is>
      </c>
      <c r="D972" s="35" t="n">
        <v>73.81</v>
      </c>
      <c r="E972" s="32" t="n">
        <v>-0.05400000000000001</v>
      </c>
      <c r="F972" s="35">
        <f>D972/(1+E972)</f>
        <v/>
      </c>
      <c r="G972" s="7" t="inlineStr">
        <is>
          <t>FY2019</t>
        </is>
      </c>
      <c r="H972" s="35" t="n">
        <v>77.98999999999999</v>
      </c>
      <c r="I972" s="33" t="n">
        <v>43899</v>
      </c>
      <c r="J972" s="36">
        <f>F972-H972</f>
        <v/>
      </c>
      <c r="K972" s="16">
        <f>0.005/(1+E972)+D972*0.0005/(1+E972)^2+0.005</f>
        <v/>
      </c>
      <c r="L972" s="17">
        <f>IF(ABS(J972)&lt;=K972,"OK",IF(M972&lt;&gt;"","EXPLAINED","CHECK"))</f>
        <v/>
      </c>
      <c r="M972" s="7" t="inlineStr"/>
    </row>
    <row r="973">
      <c r="A973" s="33" t="n">
        <v>44235</v>
      </c>
      <c r="B973" s="7" t="inlineStr">
        <is>
          <t>APE</t>
        </is>
      </c>
      <c r="C973" s="7" t="inlineStr">
        <is>
          <t>Jan-21</t>
        </is>
      </c>
      <c r="D973" s="35" t="n">
        <v>6.7</v>
      </c>
      <c r="E973" s="32" t="n">
        <v>-0.03</v>
      </c>
      <c r="F973" s="35">
        <f>D973/(1+E973)</f>
        <v/>
      </c>
      <c r="G973" s="7" t="inlineStr">
        <is>
          <t>Jan-20</t>
        </is>
      </c>
      <c r="H973" s="35" t="n">
        <v>6.91</v>
      </c>
      <c r="I973" s="33" t="n">
        <v>43899</v>
      </c>
      <c r="J973" s="36">
        <f>F973-H973</f>
        <v/>
      </c>
      <c r="K973" s="16">
        <f>0.005/(1+E973)+D973*0.0005/(1+E973)^2+0.005</f>
        <v/>
      </c>
      <c r="L973" s="17">
        <f>IF(ABS(J973)&lt;=K973,"OK",IF(M973&lt;&gt;"","EXPLAINED","CHECK"))</f>
        <v/>
      </c>
      <c r="M973" s="7" t="inlineStr"/>
    </row>
    <row r="974">
      <c r="A974" s="33" t="n">
        <v>44235</v>
      </c>
      <c r="B974" s="7" t="inlineStr">
        <is>
          <t>RWRP</t>
        </is>
      </c>
      <c r="C974" s="7" t="inlineStr">
        <is>
          <t>FY2020</t>
        </is>
      </c>
      <c r="D974" s="35" t="n">
        <v>66.43000000000001</v>
      </c>
      <c r="E974" s="32" t="n">
        <v>-0.064</v>
      </c>
      <c r="F974" s="35">
        <f>D974/(1+E974)</f>
        <v/>
      </c>
      <c r="G974" s="7" t="inlineStr">
        <is>
          <t>FY2019</t>
        </is>
      </c>
      <c r="H974" s="35" t="n">
        <v>70.95</v>
      </c>
      <c r="I974" s="33" t="n">
        <v>43899</v>
      </c>
      <c r="J974" s="36">
        <f>F974-H974</f>
        <v/>
      </c>
      <c r="K974" s="16">
        <f>0.005/(1+E974)+D974*0.0005/(1+E974)^2+0.005</f>
        <v/>
      </c>
      <c r="L974" s="17">
        <f>IF(ABS(J974)&lt;=K974,"OK",IF(M974&lt;&gt;"","EXPLAINED","CHECK"))</f>
        <v/>
      </c>
      <c r="M974" s="7" t="inlineStr"/>
    </row>
    <row r="975">
      <c r="A975" s="33" t="n">
        <v>44235</v>
      </c>
      <c r="B975" s="7" t="inlineStr">
        <is>
          <t>RWRP</t>
        </is>
      </c>
      <c r="C975" s="7" t="inlineStr">
        <is>
          <t>Jan-21</t>
        </is>
      </c>
      <c r="D975" s="35" t="n">
        <v>5.77</v>
      </c>
      <c r="E975" s="32" t="n">
        <v>-0.073</v>
      </c>
      <c r="F975" s="35">
        <f>D975/(1+E975)</f>
        <v/>
      </c>
      <c r="G975" s="7" t="inlineStr">
        <is>
          <t>Jan-20</t>
        </is>
      </c>
      <c r="H975" s="35" t="n">
        <v>6.22</v>
      </c>
      <c r="I975" s="33" t="n">
        <v>43899</v>
      </c>
      <c r="J975" s="36">
        <f>F975-H975</f>
        <v/>
      </c>
      <c r="K975" s="16">
        <f>0.005/(1+E975)+D975*0.0005/(1+E975)^2+0.005</f>
        <v/>
      </c>
      <c r="L975" s="17">
        <f>IF(ABS(J975)&lt;=K975,"OK",IF(M975&lt;&gt;"","EXPLAINED","CHECK"))</f>
        <v/>
      </c>
      <c r="M975" s="7" t="inlineStr"/>
    </row>
    <row r="976">
      <c r="A976" s="33" t="n">
        <v>44204</v>
      </c>
      <c r="B976" s="7" t="inlineStr">
        <is>
          <t>APE</t>
        </is>
      </c>
      <c r="C976" s="7" t="inlineStr">
        <is>
          <t>FY2020</t>
        </is>
      </c>
      <c r="D976" s="35" t="n">
        <v>73.81</v>
      </c>
      <c r="E976" s="32" t="n">
        <v>-0.05400000000000001</v>
      </c>
      <c r="F976" s="35">
        <f>D976/(1+E976)</f>
        <v/>
      </c>
      <c r="G976" s="7" t="inlineStr">
        <is>
          <t>FY2019</t>
        </is>
      </c>
      <c r="H976" s="35" t="n">
        <v>77.98999999999999</v>
      </c>
      <c r="I976" s="33" t="n">
        <v>43899</v>
      </c>
      <c r="J976" s="36">
        <f>F976-H976</f>
        <v/>
      </c>
      <c r="K976" s="16">
        <f>0.005/(1+E976)+D976*0.0005/(1+E976)^2+0.005</f>
        <v/>
      </c>
      <c r="L976" s="17">
        <f>IF(ABS(J976)&lt;=K976,"OK",IF(M976&lt;&gt;"","EXPLAINED","CHECK"))</f>
        <v/>
      </c>
      <c r="M976" s="7" t="inlineStr"/>
    </row>
    <row r="977">
      <c r="A977" s="33" t="n">
        <v>44204</v>
      </c>
      <c r="B977" s="7" t="inlineStr">
        <is>
          <t>APE</t>
        </is>
      </c>
      <c r="C977" s="7" t="inlineStr">
        <is>
          <t>Dec-20</t>
        </is>
      </c>
      <c r="D977" s="35" t="n">
        <v>6.74</v>
      </c>
      <c r="E977" s="32" t="n">
        <v>-0.151</v>
      </c>
      <c r="F977" s="35">
        <f>D977/(1+E977)</f>
        <v/>
      </c>
      <c r="G977" s="7" t="inlineStr">
        <is>
          <t>Dec-19</t>
        </is>
      </c>
      <c r="H977" s="35" t="n">
        <v>7.94</v>
      </c>
      <c r="I977" s="33" t="n">
        <v>43840</v>
      </c>
      <c r="J977" s="36">
        <f>F977-H977</f>
        <v/>
      </c>
      <c r="K977" s="16">
        <f>0.005/(1+E977)+D977*0.0005/(1+E977)^2+0.005</f>
        <v/>
      </c>
      <c r="L977" s="17">
        <f>IF(ABS(J977)&lt;=K977,"OK",IF(M977&lt;&gt;"","EXPLAINED","CHECK"))</f>
        <v/>
      </c>
      <c r="M977" s="7" t="inlineStr"/>
    </row>
    <row r="978">
      <c r="A978" s="33" t="n">
        <v>44204</v>
      </c>
      <c r="B978" s="7" t="inlineStr">
        <is>
          <t>APE</t>
        </is>
      </c>
      <c r="C978" s="7" t="inlineStr">
        <is>
          <t>Nov-20</t>
        </is>
      </c>
      <c r="D978" s="35" t="n">
        <v>4.88</v>
      </c>
      <c r="E978" s="32" t="n">
        <v>-0.254</v>
      </c>
      <c r="F978" s="35">
        <f>D978/(1+E978)</f>
        <v/>
      </c>
      <c r="G978" s="7" t="inlineStr">
        <is>
          <t>Nov-19</t>
        </is>
      </c>
      <c r="H978" s="35" t="n">
        <v>6.54</v>
      </c>
      <c r="I978" s="33" t="n">
        <v>43840</v>
      </c>
      <c r="J978" s="36">
        <f>F978-H978</f>
        <v/>
      </c>
      <c r="K978" s="16">
        <f>0.005/(1+E978)+D978*0.0005/(1+E978)^2+0.005</f>
        <v/>
      </c>
      <c r="L978" s="17">
        <f>IF(ABS(J978)&lt;=K978,"OK",IF(M978&lt;&gt;"","EXPLAINED","CHECK"))</f>
        <v/>
      </c>
      <c r="M978" s="7" t="inlineStr"/>
    </row>
    <row r="979">
      <c r="A979" s="33" t="n">
        <v>44204</v>
      </c>
      <c r="B979" s="7" t="inlineStr">
        <is>
          <t>APE</t>
        </is>
      </c>
      <c r="C979" s="7" t="inlineStr">
        <is>
          <t>Oct-20</t>
        </is>
      </c>
      <c r="D979" s="35" t="n">
        <v>5.04</v>
      </c>
      <c r="E979" s="32" t="n">
        <v>-0.146</v>
      </c>
      <c r="F979" s="35">
        <f>D979/(1+E979)</f>
        <v/>
      </c>
      <c r="G979" s="7" t="inlineStr">
        <is>
          <t>Oct-19</t>
        </is>
      </c>
      <c r="H979" s="35" t="n">
        <v>5.9</v>
      </c>
      <c r="I979" s="33" t="n">
        <v>43840</v>
      </c>
      <c r="J979" s="36">
        <f>F979-H979</f>
        <v/>
      </c>
      <c r="K979" s="16">
        <f>0.005/(1+E979)+D979*0.0005/(1+E979)^2+0.005</f>
        <v/>
      </c>
      <c r="L979" s="17">
        <f>IF(ABS(J979)&lt;=K979,"OK",IF(M979&lt;&gt;"","EXPLAINED","CHECK"))</f>
        <v/>
      </c>
      <c r="M979" s="7" t="inlineStr"/>
    </row>
    <row r="980">
      <c r="A980" s="33" t="n">
        <v>44204</v>
      </c>
      <c r="B980" s="7" t="inlineStr">
        <is>
          <t>RWRP</t>
        </is>
      </c>
      <c r="C980" s="7" t="inlineStr">
        <is>
          <t>FY2020</t>
        </is>
      </c>
      <c r="D980" s="35" t="n">
        <v>66.43000000000001</v>
      </c>
      <c r="E980" s="32" t="n">
        <v>-0.064</v>
      </c>
      <c r="F980" s="35">
        <f>D980/(1+E980)</f>
        <v/>
      </c>
      <c r="G980" s="7" t="inlineStr">
        <is>
          <t>FY2019</t>
        </is>
      </c>
      <c r="H980" s="35" t="n">
        <v>70.95</v>
      </c>
      <c r="I980" s="33" t="n">
        <v>43899</v>
      </c>
      <c r="J980" s="36">
        <f>F980-H980</f>
        <v/>
      </c>
      <c r="K980" s="16">
        <f>0.005/(1+E980)+D980*0.0005/(1+E980)^2+0.005</f>
        <v/>
      </c>
      <c r="L980" s="17">
        <f>IF(ABS(J980)&lt;=K980,"OK",IF(M980&lt;&gt;"","EXPLAINED","CHECK"))</f>
        <v/>
      </c>
      <c r="M980" s="7" t="inlineStr"/>
    </row>
    <row r="981">
      <c r="A981" s="33" t="n">
        <v>44204</v>
      </c>
      <c r="B981" s="7" t="inlineStr">
        <is>
          <t>RWRP</t>
        </is>
      </c>
      <c r="C981" s="7" t="inlineStr">
        <is>
          <t>Dec-20</t>
        </is>
      </c>
      <c r="D981" s="35" t="n">
        <v>5.65</v>
      </c>
      <c r="E981" s="32" t="n">
        <v>-0.239</v>
      </c>
      <c r="F981" s="35">
        <f>D981/(1+E981)</f>
        <v/>
      </c>
      <c r="G981" s="7" t="inlineStr">
        <is>
          <t>Dec-19</t>
        </is>
      </c>
      <c r="H981" s="35" t="n">
        <v>7.42</v>
      </c>
      <c r="I981" s="33" t="n">
        <v>43840</v>
      </c>
      <c r="J981" s="36">
        <f>F981-H981</f>
        <v/>
      </c>
      <c r="K981" s="16">
        <f>0.005/(1+E981)+D981*0.0005/(1+E981)^2+0.005</f>
        <v/>
      </c>
      <c r="L981" s="17">
        <f>IF(ABS(J981)&lt;=K981,"OK",IF(M981&lt;&gt;"","EXPLAINED","CHECK"))</f>
        <v/>
      </c>
      <c r="M981" s="7" t="inlineStr"/>
    </row>
    <row r="982">
      <c r="A982" s="33" t="n">
        <v>44204</v>
      </c>
      <c r="B982" s="7" t="inlineStr">
        <is>
          <t>RWRP</t>
        </is>
      </c>
      <c r="C982" s="7" t="inlineStr">
        <is>
          <t>Nov-20</t>
        </is>
      </c>
      <c r="D982" s="35" t="n">
        <v>4.23</v>
      </c>
      <c r="E982" s="32" t="n">
        <v>-0.308</v>
      </c>
      <c r="F982" s="35">
        <f>D982/(1+E982)</f>
        <v/>
      </c>
      <c r="G982" s="7" t="inlineStr">
        <is>
          <t>Nov-19</t>
        </is>
      </c>
      <c r="H982" s="35" t="n">
        <v>6.11</v>
      </c>
      <c r="I982" s="33" t="n">
        <v>43840</v>
      </c>
      <c r="J982" s="36">
        <f>F982-H982</f>
        <v/>
      </c>
      <c r="K982" s="16">
        <f>0.005/(1+E982)+D982*0.0005/(1+E982)^2+0.005</f>
        <v/>
      </c>
      <c r="L982" s="17">
        <f>IF(ABS(J982)&lt;=K982,"OK",IF(M982&lt;&gt;"","EXPLAINED","CHECK"))</f>
        <v/>
      </c>
      <c r="M982" s="7" t="inlineStr"/>
    </row>
    <row r="983">
      <c r="A983" s="33" t="n">
        <v>44204</v>
      </c>
      <c r="B983" s="7" t="inlineStr">
        <is>
          <t>RWRP</t>
        </is>
      </c>
      <c r="C983" s="7" t="inlineStr">
        <is>
          <t>Oct-20</t>
        </is>
      </c>
      <c r="D983" s="35" t="n">
        <v>4.33</v>
      </c>
      <c r="E983" s="32" t="n">
        <v>-0.216</v>
      </c>
      <c r="F983" s="35">
        <f>D983/(1+E983)</f>
        <v/>
      </c>
      <c r="G983" s="7" t="inlineStr">
        <is>
          <t>Oct-19</t>
        </is>
      </c>
      <c r="H983" s="35" t="n">
        <v>5.53</v>
      </c>
      <c r="I983" s="33" t="n">
        <v>43840</v>
      </c>
      <c r="J983" s="36">
        <f>F983-H983</f>
        <v/>
      </c>
      <c r="K983" s="16">
        <f>0.005/(1+E983)+D983*0.0005/(1+E983)^2+0.005</f>
        <v/>
      </c>
      <c r="L983" s="17">
        <f>IF(ABS(J983)&lt;=K983,"OK",IF(M983&lt;&gt;"","EXPLAINED","CHECK"))</f>
        <v/>
      </c>
      <c r="M983" s="7" t="inlineStr"/>
    </row>
    <row r="984">
      <c r="A984" s="33" t="n">
        <v>44174</v>
      </c>
      <c r="B984" s="7" t="inlineStr">
        <is>
          <t>APE</t>
        </is>
      </c>
      <c r="C984" s="7" t="inlineStr">
        <is>
          <t>FY2020</t>
        </is>
      </c>
      <c r="D984" s="35" t="n">
        <v>73.81</v>
      </c>
      <c r="E984" s="32" t="n">
        <v>-0.05400000000000001</v>
      </c>
      <c r="F984" s="35">
        <f>D984/(1+E984)</f>
        <v/>
      </c>
      <c r="G984" s="7" t="inlineStr">
        <is>
          <t>FY2019</t>
        </is>
      </c>
      <c r="H984" s="35" t="n">
        <v>77.98999999999999</v>
      </c>
      <c r="I984" s="33" t="n">
        <v>43899</v>
      </c>
      <c r="J984" s="36">
        <f>F984-H984</f>
        <v/>
      </c>
      <c r="K984" s="16">
        <f>0.005/(1+E984)+D984*0.0005/(1+E984)^2+0.005</f>
        <v/>
      </c>
      <c r="L984" s="17">
        <f>IF(ABS(J984)&lt;=K984,"OK",IF(M984&lt;&gt;"","EXPLAINED","CHECK"))</f>
        <v/>
      </c>
      <c r="M984" s="7" t="inlineStr"/>
    </row>
    <row r="985">
      <c r="A985" s="33" t="n">
        <v>44174</v>
      </c>
      <c r="B985" s="7" t="inlineStr">
        <is>
          <t>APE</t>
        </is>
      </c>
      <c r="C985" s="7" t="inlineStr">
        <is>
          <t>Nov-20</t>
        </is>
      </c>
      <c r="D985" s="35" t="n">
        <v>4.88</v>
      </c>
      <c r="E985" s="32" t="n">
        <v>-0.254</v>
      </c>
      <c r="F985" s="35">
        <f>D985/(1+E985)</f>
        <v/>
      </c>
      <c r="G985" s="7" t="inlineStr">
        <is>
          <t>Nov-19</t>
        </is>
      </c>
      <c r="H985" s="35" t="n">
        <v>6.54</v>
      </c>
      <c r="I985" s="33" t="n">
        <v>43840</v>
      </c>
      <c r="J985" s="36">
        <f>F985-H985</f>
        <v/>
      </c>
      <c r="K985" s="16">
        <f>0.005/(1+E985)+D985*0.0005/(1+E985)^2+0.005</f>
        <v/>
      </c>
      <c r="L985" s="17">
        <f>IF(ABS(J985)&lt;=K985,"OK",IF(M985&lt;&gt;"","EXPLAINED","CHECK"))</f>
        <v/>
      </c>
      <c r="M985" s="7" t="inlineStr"/>
    </row>
    <row r="986">
      <c r="A986" s="33" t="n">
        <v>44174</v>
      </c>
      <c r="B986" s="7" t="inlineStr">
        <is>
          <t>APE</t>
        </is>
      </c>
      <c r="C986" s="7" t="inlineStr">
        <is>
          <t>Oct-20</t>
        </is>
      </c>
      <c r="D986" s="35" t="n">
        <v>5.04</v>
      </c>
      <c r="E986" s="32" t="n">
        <v>-0.146</v>
      </c>
      <c r="F986" s="35">
        <f>D986/(1+E986)</f>
        <v/>
      </c>
      <c r="G986" s="7" t="inlineStr">
        <is>
          <t>Oct-19</t>
        </is>
      </c>
      <c r="H986" s="35" t="n">
        <v>5.9</v>
      </c>
      <c r="I986" s="33" t="n">
        <v>43840</v>
      </c>
      <c r="J986" s="36">
        <f>F986-H986</f>
        <v/>
      </c>
      <c r="K986" s="16">
        <f>0.005/(1+E986)+D986*0.0005/(1+E986)^2+0.005</f>
        <v/>
      </c>
      <c r="L986" s="17">
        <f>IF(ABS(J986)&lt;=K986,"OK",IF(M986&lt;&gt;"","EXPLAINED","CHECK"))</f>
        <v/>
      </c>
      <c r="M986" s="7" t="inlineStr"/>
    </row>
    <row r="987">
      <c r="A987" s="33" t="n">
        <v>44174</v>
      </c>
      <c r="B987" s="7" t="inlineStr">
        <is>
          <t>RWRP</t>
        </is>
      </c>
      <c r="C987" s="7" t="inlineStr">
        <is>
          <t>FY2020</t>
        </is>
      </c>
      <c r="D987" s="35" t="n">
        <v>66.43000000000001</v>
      </c>
      <c r="E987" s="32" t="n">
        <v>-0.064</v>
      </c>
      <c r="F987" s="35">
        <f>D987/(1+E987)</f>
        <v/>
      </c>
      <c r="G987" s="7" t="inlineStr">
        <is>
          <t>FY2019</t>
        </is>
      </c>
      <c r="H987" s="35" t="n">
        <v>70.95</v>
      </c>
      <c r="I987" s="33" t="n">
        <v>43899</v>
      </c>
      <c r="J987" s="36">
        <f>F987-H987</f>
        <v/>
      </c>
      <c r="K987" s="16">
        <f>0.005/(1+E987)+D987*0.0005/(1+E987)^2+0.005</f>
        <v/>
      </c>
      <c r="L987" s="17">
        <f>IF(ABS(J987)&lt;=K987,"OK",IF(M987&lt;&gt;"","EXPLAINED","CHECK"))</f>
        <v/>
      </c>
      <c r="M987" s="7" t="inlineStr"/>
    </row>
    <row r="988">
      <c r="A988" s="33" t="n">
        <v>44174</v>
      </c>
      <c r="B988" s="7" t="inlineStr">
        <is>
          <t>RWRP</t>
        </is>
      </c>
      <c r="C988" s="7" t="inlineStr">
        <is>
          <t>Nov-20</t>
        </is>
      </c>
      <c r="D988" s="35" t="n">
        <v>4.23</v>
      </c>
      <c r="E988" s="32" t="n">
        <v>-0.308</v>
      </c>
      <c r="F988" s="35">
        <f>D988/(1+E988)</f>
        <v/>
      </c>
      <c r="G988" s="7" t="inlineStr">
        <is>
          <t>Nov-19</t>
        </is>
      </c>
      <c r="H988" s="35" t="n">
        <v>6.11</v>
      </c>
      <c r="I988" s="33" t="n">
        <v>43840</v>
      </c>
      <c r="J988" s="36">
        <f>F988-H988</f>
        <v/>
      </c>
      <c r="K988" s="16">
        <f>0.005/(1+E988)+D988*0.0005/(1+E988)^2+0.005</f>
        <v/>
      </c>
      <c r="L988" s="17">
        <f>IF(ABS(J988)&lt;=K988,"OK",IF(M988&lt;&gt;"","EXPLAINED","CHECK"))</f>
        <v/>
      </c>
      <c r="M988" s="7" t="inlineStr"/>
    </row>
    <row r="989">
      <c r="A989" s="33" t="n">
        <v>44174</v>
      </c>
      <c r="B989" s="7" t="inlineStr">
        <is>
          <t>RWRP</t>
        </is>
      </c>
      <c r="C989" s="7" t="inlineStr">
        <is>
          <t>Oct-20</t>
        </is>
      </c>
      <c r="D989" s="35" t="n">
        <v>4.33</v>
      </c>
      <c r="E989" s="32" t="n">
        <v>-0.216</v>
      </c>
      <c r="F989" s="35">
        <f>D989/(1+E989)</f>
        <v/>
      </c>
      <c r="G989" s="7" t="inlineStr">
        <is>
          <t>Oct-19</t>
        </is>
      </c>
      <c r="H989" s="35" t="n">
        <v>5.53</v>
      </c>
      <c r="I989" s="33" t="n">
        <v>43840</v>
      </c>
      <c r="J989" s="36">
        <f>F989-H989</f>
        <v/>
      </c>
      <c r="K989" s="16">
        <f>0.005/(1+E989)+D989*0.0005/(1+E989)^2+0.005</f>
        <v/>
      </c>
      <c r="L989" s="17">
        <f>IF(ABS(J989)&lt;=K989,"OK",IF(M989&lt;&gt;"","EXPLAINED","CHECK"))</f>
        <v/>
      </c>
      <c r="M989" s="7" t="inlineStr"/>
    </row>
    <row r="990">
      <c r="A990" s="33" t="n">
        <v>44142</v>
      </c>
      <c r="B990" s="7" t="inlineStr">
        <is>
          <t>APE</t>
        </is>
      </c>
      <c r="C990" s="7" t="inlineStr">
        <is>
          <t>Q1-FY2021</t>
        </is>
      </c>
      <c r="D990" s="35" t="n">
        <v>8.23</v>
      </c>
      <c r="E990" s="32" t="n">
        <v>-0.44</v>
      </c>
      <c r="F990" s="35">
        <f>D990/(1+E990)</f>
        <v/>
      </c>
      <c r="G990" s="7" t="inlineStr">
        <is>
          <t>Q1-FY2020</t>
        </is>
      </c>
      <c r="H990" s="35" t="n">
        <v>14.7</v>
      </c>
      <c r="I990" s="33" t="n">
        <v>43749</v>
      </c>
      <c r="J990" s="36">
        <f>F990-H990</f>
        <v/>
      </c>
      <c r="K990" s="16">
        <f>0.005/(1+E990)+D990*0.0005/(1+E990)^2+0.005</f>
        <v/>
      </c>
      <c r="L990" s="17">
        <f>IF(ABS(J990)&lt;=K990,"OK",IF(M990&lt;&gt;"","EXPLAINED","CHECK"))</f>
        <v/>
      </c>
      <c r="M990" s="7" t="inlineStr"/>
    </row>
    <row r="991">
      <c r="A991" s="33" t="n">
        <v>44142</v>
      </c>
      <c r="B991" s="7" t="inlineStr">
        <is>
          <t>APE</t>
        </is>
      </c>
      <c r="C991" s="7" t="inlineStr">
        <is>
          <t>FY2020</t>
        </is>
      </c>
      <c r="D991" s="35" t="n">
        <v>73.81</v>
      </c>
      <c r="E991" s="32" t="n">
        <v>-0.05400000000000001</v>
      </c>
      <c r="F991" s="35">
        <f>D991/(1+E991)</f>
        <v/>
      </c>
      <c r="G991" s="7" t="inlineStr">
        <is>
          <t>FY2019</t>
        </is>
      </c>
      <c r="H991" s="35" t="n">
        <v>77.98999999999999</v>
      </c>
      <c r="I991" s="33" t="n">
        <v>43899</v>
      </c>
      <c r="J991" s="36">
        <f>F991-H991</f>
        <v/>
      </c>
      <c r="K991" s="16">
        <f>0.005/(1+E991)+D991*0.0005/(1+E991)^2+0.005</f>
        <v/>
      </c>
      <c r="L991" s="17">
        <f>IF(ABS(J991)&lt;=K991,"OK",IF(M991&lt;&gt;"","EXPLAINED","CHECK"))</f>
        <v/>
      </c>
      <c r="M991" s="7" t="inlineStr"/>
    </row>
    <row r="992">
      <c r="A992" s="33" t="n">
        <v>44142</v>
      </c>
      <c r="B992" s="7" t="inlineStr">
        <is>
          <t>APE</t>
        </is>
      </c>
      <c r="C992" s="7" t="inlineStr">
        <is>
          <t>Oct-20</t>
        </is>
      </c>
      <c r="D992" s="35" t="n">
        <v>5.04</v>
      </c>
      <c r="E992" s="32" t="n">
        <v>-0.146</v>
      </c>
      <c r="F992" s="35">
        <f>D992/(1+E992)</f>
        <v/>
      </c>
      <c r="G992" s="7" t="inlineStr">
        <is>
          <t>Oct-19</t>
        </is>
      </c>
      <c r="H992" s="35" t="n">
        <v>5.9</v>
      </c>
      <c r="I992" s="33" t="n">
        <v>43840</v>
      </c>
      <c r="J992" s="36">
        <f>F992-H992</f>
        <v/>
      </c>
      <c r="K992" s="16">
        <f>0.005/(1+E992)+D992*0.0005/(1+E992)^2+0.005</f>
        <v/>
      </c>
      <c r="L992" s="17">
        <f>IF(ABS(J992)&lt;=K992,"OK",IF(M992&lt;&gt;"","EXPLAINED","CHECK"))</f>
        <v/>
      </c>
      <c r="M992" s="7" t="inlineStr"/>
    </row>
    <row r="993">
      <c r="A993" s="33" t="n">
        <v>44142</v>
      </c>
      <c r="B993" s="7" t="inlineStr">
        <is>
          <t>RWRP</t>
        </is>
      </c>
      <c r="C993" s="7" t="inlineStr">
        <is>
          <t>Q1-FY2021</t>
        </is>
      </c>
      <c r="D993" s="35" t="n">
        <v>6.56</v>
      </c>
      <c r="E993" s="32" t="n">
        <v>-0.494</v>
      </c>
      <c r="F993" s="35">
        <f>D993/(1+E993)</f>
        <v/>
      </c>
      <c r="G993" s="7" t="inlineStr">
        <is>
          <t>Q1-FY2020</t>
        </is>
      </c>
      <c r="H993" s="35" t="n">
        <v>12.96</v>
      </c>
      <c r="I993" s="33" t="n">
        <v>43749</v>
      </c>
      <c r="J993" s="36">
        <f>F993-H993</f>
        <v/>
      </c>
      <c r="K993" s="16">
        <f>0.005/(1+E993)+D993*0.0005/(1+E993)^2+0.005</f>
        <v/>
      </c>
      <c r="L993" s="17">
        <f>IF(ABS(J993)&lt;=K993,"OK",IF(M993&lt;&gt;"","EXPLAINED","CHECK"))</f>
        <v/>
      </c>
      <c r="M993" s="7" t="inlineStr"/>
    </row>
    <row r="994">
      <c r="A994" s="33" t="n">
        <v>44142</v>
      </c>
      <c r="B994" s="7" t="inlineStr">
        <is>
          <t>RWRP</t>
        </is>
      </c>
      <c r="C994" s="7" t="inlineStr">
        <is>
          <t>FY2020</t>
        </is>
      </c>
      <c r="D994" s="35" t="n">
        <v>66.43000000000001</v>
      </c>
      <c r="E994" s="32" t="n">
        <v>-0.064</v>
      </c>
      <c r="F994" s="35">
        <f>D994/(1+E994)</f>
        <v/>
      </c>
      <c r="G994" s="7" t="inlineStr">
        <is>
          <t>FY2019</t>
        </is>
      </c>
      <c r="H994" s="35" t="n">
        <v>70.95</v>
      </c>
      <c r="I994" s="33" t="n">
        <v>43899</v>
      </c>
      <c r="J994" s="36">
        <f>F994-H994</f>
        <v/>
      </c>
      <c r="K994" s="16">
        <f>0.005/(1+E994)+D994*0.0005/(1+E994)^2+0.005</f>
        <v/>
      </c>
      <c r="L994" s="17">
        <f>IF(ABS(J994)&lt;=K994,"OK",IF(M994&lt;&gt;"","EXPLAINED","CHECK"))</f>
        <v/>
      </c>
      <c r="M994" s="7" t="inlineStr"/>
    </row>
    <row r="995">
      <c r="A995" s="33" t="n">
        <v>44142</v>
      </c>
      <c r="B995" s="7" t="inlineStr">
        <is>
          <t>RWRP</t>
        </is>
      </c>
      <c r="C995" s="7" t="inlineStr">
        <is>
          <t>Oct-20</t>
        </is>
      </c>
      <c r="D995" s="35" t="n">
        <v>4.33</v>
      </c>
      <c r="E995" s="32" t="n">
        <v>-0.216</v>
      </c>
      <c r="F995" s="35">
        <f>D995/(1+E995)</f>
        <v/>
      </c>
      <c r="G995" s="7" t="inlineStr">
        <is>
          <t>Oct-19</t>
        </is>
      </c>
      <c r="H995" s="35" t="n">
        <v>5.53</v>
      </c>
      <c r="I995" s="33" t="n">
        <v>43840</v>
      </c>
      <c r="J995" s="36">
        <f>F995-H995</f>
        <v/>
      </c>
      <c r="K995" s="16">
        <f>0.005/(1+E995)+D995*0.0005/(1+E995)^2+0.005</f>
        <v/>
      </c>
      <c r="L995" s="17">
        <f>IF(ABS(J995)&lt;=K995,"OK",IF(M995&lt;&gt;"","EXPLAINED","CHECK"))</f>
        <v/>
      </c>
      <c r="M995" s="7" t="inlineStr"/>
    </row>
    <row r="996">
      <c r="A996" s="33" t="n">
        <v>44111</v>
      </c>
      <c r="B996" s="7" t="inlineStr">
        <is>
          <t>APE</t>
        </is>
      </c>
      <c r="C996" s="7" t="inlineStr">
        <is>
          <t>Q1-FY2021</t>
        </is>
      </c>
      <c r="D996" s="35" t="n">
        <v>8.23</v>
      </c>
      <c r="E996" s="32" t="n">
        <v>-0.44</v>
      </c>
      <c r="F996" s="35">
        <f>D996/(1+E996)</f>
        <v/>
      </c>
      <c r="G996" s="7" t="inlineStr">
        <is>
          <t>Q1-FY2020</t>
        </is>
      </c>
      <c r="H996" s="35" t="n">
        <v>14.7</v>
      </c>
      <c r="I996" s="33" t="n">
        <v>43749</v>
      </c>
      <c r="J996" s="36">
        <f>F996-H996</f>
        <v/>
      </c>
      <c r="K996" s="16">
        <f>0.005/(1+E996)+D996*0.0005/(1+E996)^2+0.005</f>
        <v/>
      </c>
      <c r="L996" s="17">
        <f>IF(ABS(J996)&lt;=K996,"OK",IF(M996&lt;&gt;"","EXPLAINED","CHECK"))</f>
        <v/>
      </c>
      <c r="M996" s="7" t="inlineStr"/>
    </row>
    <row r="997">
      <c r="A997" s="33" t="n">
        <v>44111</v>
      </c>
      <c r="B997" s="7" t="inlineStr">
        <is>
          <t>APE</t>
        </is>
      </c>
      <c r="C997" s="7" t="inlineStr">
        <is>
          <t>FY2020</t>
        </is>
      </c>
      <c r="D997" s="35" t="n">
        <v>73.81</v>
      </c>
      <c r="E997" s="32" t="n">
        <v>-0.05400000000000001</v>
      </c>
      <c r="F997" s="35">
        <f>D997/(1+E997)</f>
        <v/>
      </c>
      <c r="G997" s="7" t="inlineStr">
        <is>
          <t>FY2019</t>
        </is>
      </c>
      <c r="H997" s="35" t="n">
        <v>77.98999999999999</v>
      </c>
      <c r="I997" s="33" t="n">
        <v>43899</v>
      </c>
      <c r="J997" s="36">
        <f>F997-H997</f>
        <v/>
      </c>
      <c r="K997" s="16">
        <f>0.005/(1+E997)+D997*0.0005/(1+E997)^2+0.005</f>
        <v/>
      </c>
      <c r="L997" s="17">
        <f>IF(ABS(J997)&lt;=K997,"OK",IF(M997&lt;&gt;"","EXPLAINED","CHECK"))</f>
        <v/>
      </c>
      <c r="M997" s="7" t="inlineStr"/>
    </row>
    <row r="998">
      <c r="A998" s="33" t="n">
        <v>44111</v>
      </c>
      <c r="B998" s="7" t="inlineStr">
        <is>
          <t>APE</t>
        </is>
      </c>
      <c r="C998" s="7" t="inlineStr">
        <is>
          <t>Sep-20</t>
        </is>
      </c>
      <c r="D998" s="35" t="n">
        <v>5.3</v>
      </c>
      <c r="E998" s="32" t="n">
        <v>-0.152</v>
      </c>
      <c r="F998" s="35">
        <f>D998/(1+E998)</f>
        <v/>
      </c>
      <c r="G998" s="7" t="inlineStr">
        <is>
          <t>Sep-19</t>
        </is>
      </c>
      <c r="H998" s="35" t="n">
        <v>6.25</v>
      </c>
      <c r="I998" s="33" t="n">
        <v>43749</v>
      </c>
      <c r="J998" s="36">
        <f>F998-H998</f>
        <v/>
      </c>
      <c r="K998" s="16">
        <f>0.005/(1+E998)+D998*0.0005/(1+E998)^2+0.005</f>
        <v/>
      </c>
      <c r="L998" s="17">
        <f>IF(ABS(J998)&lt;=K998,"OK",IF(M998&lt;&gt;"","EXPLAINED","CHECK"))</f>
        <v/>
      </c>
      <c r="M998" s="7" t="inlineStr"/>
    </row>
    <row r="999">
      <c r="A999" s="33" t="n">
        <v>44111</v>
      </c>
      <c r="B999" s="7" t="inlineStr">
        <is>
          <t>APE</t>
        </is>
      </c>
      <c r="C999" s="7" t="inlineStr">
        <is>
          <t>Aug-20</t>
        </is>
      </c>
      <c r="D999" s="35" t="n">
        <v>4.94</v>
      </c>
      <c r="E999" s="32" t="n">
        <v>-0.213</v>
      </c>
      <c r="F999" s="35">
        <f>D999/(1+E999)</f>
        <v/>
      </c>
      <c r="G999" s="7" t="inlineStr">
        <is>
          <t>Aug-19</t>
        </is>
      </c>
      <c r="H999" s="35" t="n">
        <v>6.28</v>
      </c>
      <c r="I999" s="33" t="n">
        <v>43749</v>
      </c>
      <c r="J999" s="36">
        <f>F999-H999</f>
        <v/>
      </c>
      <c r="K999" s="16">
        <f>0.005/(1+E999)+D999*0.0005/(1+E999)^2+0.005</f>
        <v/>
      </c>
      <c r="L999" s="17">
        <f>IF(ABS(J999)&lt;=K999,"OK",IF(M999&lt;&gt;"","EXPLAINED","CHECK"))</f>
        <v/>
      </c>
      <c r="M999" s="7" t="inlineStr"/>
    </row>
    <row r="1000">
      <c r="A1000" s="33" t="n">
        <v>44111</v>
      </c>
      <c r="B1000" s="7" t="inlineStr">
        <is>
          <t>APE</t>
        </is>
      </c>
      <c r="C1000" s="7" t="inlineStr">
        <is>
          <t>Jul-20</t>
        </is>
      </c>
      <c r="D1000" s="35" t="n">
        <v>4.41</v>
      </c>
      <c r="E1000" s="32" t="n">
        <v>-0.317</v>
      </c>
      <c r="F1000" s="35">
        <f>D1000/(1+E1000)</f>
        <v/>
      </c>
      <c r="G1000" s="7" t="inlineStr">
        <is>
          <t>Jul-19</t>
        </is>
      </c>
      <c r="H1000" s="35" t="n">
        <v>6.46</v>
      </c>
      <c r="I1000" s="33" t="n">
        <v>43749</v>
      </c>
      <c r="J1000" s="36">
        <f>F1000-H1000</f>
        <v/>
      </c>
      <c r="K1000" s="16">
        <f>0.005/(1+E1000)+D1000*0.0005/(1+E1000)^2+0.005</f>
        <v/>
      </c>
      <c r="L1000" s="17">
        <f>IF(ABS(J1000)&lt;=K1000,"OK",IF(M1000&lt;&gt;"","EXPLAINED","CHECK"))</f>
        <v/>
      </c>
      <c r="M1000" s="7" t="inlineStr"/>
    </row>
    <row r="1001">
      <c r="A1001" s="33" t="n">
        <v>44111</v>
      </c>
      <c r="B1001" s="7" t="inlineStr">
        <is>
          <t>RWRP</t>
        </is>
      </c>
      <c r="C1001" s="7" t="inlineStr">
        <is>
          <t>Q1-FY2021</t>
        </is>
      </c>
      <c r="D1001" s="35" t="n">
        <v>6.56</v>
      </c>
      <c r="E1001" s="32" t="n">
        <v>-0.494</v>
      </c>
      <c r="F1001" s="35">
        <f>D1001/(1+E1001)</f>
        <v/>
      </c>
      <c r="G1001" s="7" t="inlineStr">
        <is>
          <t>Q1-FY2020</t>
        </is>
      </c>
      <c r="H1001" s="35" t="n">
        <v>12.96</v>
      </c>
      <c r="I1001" s="33" t="n">
        <v>43749</v>
      </c>
      <c r="J1001" s="36">
        <f>F1001-H1001</f>
        <v/>
      </c>
      <c r="K1001" s="16">
        <f>0.005/(1+E1001)+D1001*0.0005/(1+E1001)^2+0.005</f>
        <v/>
      </c>
      <c r="L1001" s="17">
        <f>IF(ABS(J1001)&lt;=K1001,"OK",IF(M1001&lt;&gt;"","EXPLAINED","CHECK"))</f>
        <v/>
      </c>
      <c r="M1001" s="7" t="inlineStr"/>
    </row>
    <row r="1002">
      <c r="A1002" s="33" t="n">
        <v>44111</v>
      </c>
      <c r="B1002" s="7" t="inlineStr">
        <is>
          <t>RWRP</t>
        </is>
      </c>
      <c r="C1002" s="7" t="inlineStr">
        <is>
          <t>FY2020</t>
        </is>
      </c>
      <c r="D1002" s="35" t="n">
        <v>66.43000000000001</v>
      </c>
      <c r="E1002" s="32" t="n">
        <v>-0.064</v>
      </c>
      <c r="F1002" s="35">
        <f>D1002/(1+E1002)</f>
        <v/>
      </c>
      <c r="G1002" s="7" t="inlineStr">
        <is>
          <t>FY2019</t>
        </is>
      </c>
      <c r="H1002" s="35" t="n">
        <v>70.95</v>
      </c>
      <c r="I1002" s="33" t="n">
        <v>43899</v>
      </c>
      <c r="J1002" s="36">
        <f>F1002-H1002</f>
        <v/>
      </c>
      <c r="K1002" s="16">
        <f>0.005/(1+E1002)+D1002*0.0005/(1+E1002)^2+0.005</f>
        <v/>
      </c>
      <c r="L1002" s="17">
        <f>IF(ABS(J1002)&lt;=K1002,"OK",IF(M1002&lt;&gt;"","EXPLAINED","CHECK"))</f>
        <v/>
      </c>
      <c r="M1002" s="7" t="inlineStr"/>
    </row>
    <row r="1003">
      <c r="A1003" s="33" t="n">
        <v>44111</v>
      </c>
      <c r="B1003" s="7" t="inlineStr">
        <is>
          <t>RWRP</t>
        </is>
      </c>
      <c r="C1003" s="7" t="inlineStr">
        <is>
          <t>Sep-20</t>
        </is>
      </c>
      <c r="D1003" s="35" t="n">
        <v>4.42</v>
      </c>
      <c r="E1003" s="32" t="n">
        <v>-0.239</v>
      </c>
      <c r="F1003" s="35">
        <f>D1003/(1+E1003)</f>
        <v/>
      </c>
      <c r="G1003" s="7" t="inlineStr">
        <is>
          <t>Sep-19</t>
        </is>
      </c>
      <c r="H1003" s="35" t="n">
        <v>5.81</v>
      </c>
      <c r="I1003" s="33" t="n">
        <v>43749</v>
      </c>
      <c r="J1003" s="36">
        <f>F1003-H1003</f>
        <v/>
      </c>
      <c r="K1003" s="16">
        <f>0.005/(1+E1003)+D1003*0.0005/(1+E1003)^2+0.005</f>
        <v/>
      </c>
      <c r="L1003" s="17">
        <f>IF(ABS(J1003)&lt;=K1003,"OK",IF(M1003&lt;&gt;"","EXPLAINED","CHECK"))</f>
        <v/>
      </c>
      <c r="M1003" s="7" t="inlineStr"/>
    </row>
    <row r="1004">
      <c r="A1004" s="33" t="n">
        <v>44111</v>
      </c>
      <c r="B1004" s="7" t="inlineStr">
        <is>
          <t>RWRP</t>
        </is>
      </c>
      <c r="C1004" s="7" t="inlineStr">
        <is>
          <t>Aug-20</t>
        </is>
      </c>
      <c r="D1004" s="35" t="n">
        <v>4.06</v>
      </c>
      <c r="E1004" s="32" t="n">
        <v>-0.292</v>
      </c>
      <c r="F1004" s="35">
        <f>D1004/(1+E1004)</f>
        <v/>
      </c>
      <c r="G1004" s="7" t="inlineStr">
        <is>
          <t>Aug-19</t>
        </is>
      </c>
      <c r="H1004" s="35" t="n">
        <v>5.73</v>
      </c>
      <c r="I1004" s="33" t="n">
        <v>43749</v>
      </c>
      <c r="J1004" s="36">
        <f>F1004-H1004</f>
        <v/>
      </c>
      <c r="K1004" s="16">
        <f>0.005/(1+E1004)+D1004*0.0005/(1+E1004)^2+0.005</f>
        <v/>
      </c>
      <c r="L1004" s="17">
        <f>IF(ABS(J1004)&lt;=K1004,"OK",IF(M1004&lt;&gt;"","EXPLAINED","CHECK"))</f>
        <v/>
      </c>
      <c r="M1004" s="7" t="inlineStr"/>
    </row>
    <row r="1005">
      <c r="A1005" s="33" t="n">
        <v>44111</v>
      </c>
      <c r="B1005" s="7" t="inlineStr">
        <is>
          <t>RWRP</t>
        </is>
      </c>
      <c r="C1005" s="7" t="inlineStr">
        <is>
          <t>Jul-20</t>
        </is>
      </c>
      <c r="D1005" s="35" t="n">
        <v>3.81</v>
      </c>
      <c r="E1005" s="32" t="n">
        <v>-0.365</v>
      </c>
      <c r="F1005" s="35">
        <f>D1005/(1+E1005)</f>
        <v/>
      </c>
      <c r="G1005" s="7" t="inlineStr">
        <is>
          <t>Jul-19</t>
        </is>
      </c>
      <c r="H1005" s="35" t="n">
        <v>5.99</v>
      </c>
      <c r="I1005" s="33" t="n">
        <v>43749</v>
      </c>
      <c r="J1005" s="36">
        <f>F1005-H1005</f>
        <v/>
      </c>
      <c r="K1005" s="16">
        <f>0.005/(1+E1005)+D1005*0.0005/(1+E1005)^2+0.005</f>
        <v/>
      </c>
      <c r="L1005" s="17">
        <f>IF(ABS(J1005)&lt;=K1005,"OK",IF(M1005&lt;&gt;"","EXPLAINED","CHECK"))</f>
        <v/>
      </c>
      <c r="M1005" s="7" t="inlineStr"/>
    </row>
    <row r="1006">
      <c r="A1006" s="33" t="n">
        <v>44082</v>
      </c>
      <c r="B1006" s="7" t="inlineStr">
        <is>
          <t>APE</t>
        </is>
      </c>
      <c r="C1006" s="7" t="inlineStr">
        <is>
          <t>Q1-FY2021</t>
        </is>
      </c>
      <c r="D1006" s="35" t="n">
        <v>8.23</v>
      </c>
      <c r="E1006" s="32" t="n">
        <v>-0.44</v>
      </c>
      <c r="F1006" s="35">
        <f>D1006/(1+E1006)</f>
        <v/>
      </c>
      <c r="G1006" s="7" t="inlineStr">
        <is>
          <t>Q1-FY2020</t>
        </is>
      </c>
      <c r="H1006" s="35" t="n">
        <v>14.7</v>
      </c>
      <c r="I1006" s="33" t="n">
        <v>43749</v>
      </c>
      <c r="J1006" s="36">
        <f>F1006-H1006</f>
        <v/>
      </c>
      <c r="K1006" s="16">
        <f>0.005/(1+E1006)+D1006*0.0005/(1+E1006)^2+0.005</f>
        <v/>
      </c>
      <c r="L1006" s="17">
        <f>IF(ABS(J1006)&lt;=K1006,"OK",IF(M1006&lt;&gt;"","EXPLAINED","CHECK"))</f>
        <v/>
      </c>
      <c r="M1006" s="7" t="inlineStr"/>
    </row>
    <row r="1007">
      <c r="A1007" s="33" t="n">
        <v>44082</v>
      </c>
      <c r="B1007" s="7" t="inlineStr">
        <is>
          <t>APE</t>
        </is>
      </c>
      <c r="C1007" s="7" t="inlineStr">
        <is>
          <t>FY2020</t>
        </is>
      </c>
      <c r="D1007" s="35" t="n">
        <v>73.81</v>
      </c>
      <c r="E1007" s="32" t="n">
        <v>-0.05400000000000001</v>
      </c>
      <c r="F1007" s="35">
        <f>D1007/(1+E1007)</f>
        <v/>
      </c>
      <c r="G1007" s="7" t="inlineStr">
        <is>
          <t>FY2019</t>
        </is>
      </c>
      <c r="H1007" s="35" t="n">
        <v>77.98999999999999</v>
      </c>
      <c r="I1007" s="33" t="n">
        <v>43899</v>
      </c>
      <c r="J1007" s="36">
        <f>F1007-H1007</f>
        <v/>
      </c>
      <c r="K1007" s="16">
        <f>0.005/(1+E1007)+D1007*0.0005/(1+E1007)^2+0.005</f>
        <v/>
      </c>
      <c r="L1007" s="17">
        <f>IF(ABS(J1007)&lt;=K1007,"OK",IF(M1007&lt;&gt;"","EXPLAINED","CHECK"))</f>
        <v/>
      </c>
      <c r="M1007" s="7" t="inlineStr"/>
    </row>
    <row r="1008">
      <c r="A1008" s="33" t="n">
        <v>44082</v>
      </c>
      <c r="B1008" s="7" t="inlineStr">
        <is>
          <t>APE</t>
        </is>
      </c>
      <c r="C1008" s="7" t="inlineStr">
        <is>
          <t>Aug-20</t>
        </is>
      </c>
      <c r="D1008" s="35" t="n">
        <v>4.94</v>
      </c>
      <c r="E1008" s="32" t="n">
        <v>-0.213</v>
      </c>
      <c r="F1008" s="35">
        <f>D1008/(1+E1008)</f>
        <v/>
      </c>
      <c r="G1008" s="7" t="inlineStr">
        <is>
          <t>Aug-19</t>
        </is>
      </c>
      <c r="H1008" s="35" t="n">
        <v>6.28</v>
      </c>
      <c r="I1008" s="33" t="n">
        <v>43749</v>
      </c>
      <c r="J1008" s="36">
        <f>F1008-H1008</f>
        <v/>
      </c>
      <c r="K1008" s="16">
        <f>0.005/(1+E1008)+D1008*0.0005/(1+E1008)^2+0.005</f>
        <v/>
      </c>
      <c r="L1008" s="17">
        <f>IF(ABS(J1008)&lt;=K1008,"OK",IF(M1008&lt;&gt;"","EXPLAINED","CHECK"))</f>
        <v/>
      </c>
      <c r="M1008" s="7" t="inlineStr"/>
    </row>
    <row r="1009">
      <c r="A1009" s="33" t="n">
        <v>44082</v>
      </c>
      <c r="B1009" s="7" t="inlineStr">
        <is>
          <t>APE</t>
        </is>
      </c>
      <c r="C1009" s="7" t="inlineStr">
        <is>
          <t>Jul-20</t>
        </is>
      </c>
      <c r="D1009" s="35" t="n">
        <v>4.41</v>
      </c>
      <c r="E1009" s="32" t="n">
        <v>-0.317</v>
      </c>
      <c r="F1009" s="35">
        <f>D1009/(1+E1009)</f>
        <v/>
      </c>
      <c r="G1009" s="7" t="inlineStr">
        <is>
          <t>Jul-19</t>
        </is>
      </c>
      <c r="H1009" s="35" t="n">
        <v>6.46</v>
      </c>
      <c r="I1009" s="33" t="n">
        <v>43749</v>
      </c>
      <c r="J1009" s="36">
        <f>F1009-H1009</f>
        <v/>
      </c>
      <c r="K1009" s="16">
        <f>0.005/(1+E1009)+D1009*0.0005/(1+E1009)^2+0.005</f>
        <v/>
      </c>
      <c r="L1009" s="17">
        <f>IF(ABS(J1009)&lt;=K1009,"OK",IF(M1009&lt;&gt;"","EXPLAINED","CHECK"))</f>
        <v/>
      </c>
      <c r="M1009" s="7" t="inlineStr"/>
    </row>
    <row r="1010">
      <c r="A1010" s="33" t="n">
        <v>44082</v>
      </c>
      <c r="B1010" s="7" t="inlineStr">
        <is>
          <t>RWRP</t>
        </is>
      </c>
      <c r="C1010" s="7" t="inlineStr">
        <is>
          <t>Q1-FY2021</t>
        </is>
      </c>
      <c r="D1010" s="35" t="n">
        <v>6.56</v>
      </c>
      <c r="E1010" s="32" t="n">
        <v>-0.494</v>
      </c>
      <c r="F1010" s="35">
        <f>D1010/(1+E1010)</f>
        <v/>
      </c>
      <c r="G1010" s="7" t="inlineStr">
        <is>
          <t>Q1-FY2020</t>
        </is>
      </c>
      <c r="H1010" s="35" t="n">
        <v>12.96</v>
      </c>
      <c r="I1010" s="33" t="n">
        <v>43749</v>
      </c>
      <c r="J1010" s="36">
        <f>F1010-H1010</f>
        <v/>
      </c>
      <c r="K1010" s="16">
        <f>0.005/(1+E1010)+D1010*0.0005/(1+E1010)^2+0.005</f>
        <v/>
      </c>
      <c r="L1010" s="17">
        <f>IF(ABS(J1010)&lt;=K1010,"OK",IF(M1010&lt;&gt;"","EXPLAINED","CHECK"))</f>
        <v/>
      </c>
      <c r="M1010" s="7" t="inlineStr"/>
    </row>
    <row r="1011">
      <c r="A1011" s="33" t="n">
        <v>44082</v>
      </c>
      <c r="B1011" s="7" t="inlineStr">
        <is>
          <t>RWRP</t>
        </is>
      </c>
      <c r="C1011" s="7" t="inlineStr">
        <is>
          <t>FY2020</t>
        </is>
      </c>
      <c r="D1011" s="35" t="n">
        <v>66.43000000000001</v>
      </c>
      <c r="E1011" s="32" t="n">
        <v>-0.064</v>
      </c>
      <c r="F1011" s="35">
        <f>D1011/(1+E1011)</f>
        <v/>
      </c>
      <c r="G1011" s="7" t="inlineStr">
        <is>
          <t>FY2019</t>
        </is>
      </c>
      <c r="H1011" s="35" t="n">
        <v>70.95</v>
      </c>
      <c r="I1011" s="33" t="n">
        <v>43899</v>
      </c>
      <c r="J1011" s="36">
        <f>F1011-H1011</f>
        <v/>
      </c>
      <c r="K1011" s="16">
        <f>0.005/(1+E1011)+D1011*0.0005/(1+E1011)^2+0.005</f>
        <v/>
      </c>
      <c r="L1011" s="17">
        <f>IF(ABS(J1011)&lt;=K1011,"OK",IF(M1011&lt;&gt;"","EXPLAINED","CHECK"))</f>
        <v/>
      </c>
      <c r="M1011" s="7" t="inlineStr"/>
    </row>
    <row r="1012">
      <c r="A1012" s="33" t="n">
        <v>44082</v>
      </c>
      <c r="B1012" s="7" t="inlineStr">
        <is>
          <t>RWRP</t>
        </is>
      </c>
      <c r="C1012" s="7" t="inlineStr">
        <is>
          <t>Aug-20</t>
        </is>
      </c>
      <c r="D1012" s="35" t="n">
        <v>4.06</v>
      </c>
      <c r="E1012" s="32" t="n">
        <v>-0.292</v>
      </c>
      <c r="F1012" s="35">
        <f>D1012/(1+E1012)</f>
        <v/>
      </c>
      <c r="G1012" s="7" t="inlineStr">
        <is>
          <t>Aug-19</t>
        </is>
      </c>
      <c r="H1012" s="35" t="n">
        <v>5.73</v>
      </c>
      <c r="I1012" s="33" t="n">
        <v>43749</v>
      </c>
      <c r="J1012" s="36">
        <f>F1012-H1012</f>
        <v/>
      </c>
      <c r="K1012" s="16">
        <f>0.005/(1+E1012)+D1012*0.0005/(1+E1012)^2+0.005</f>
        <v/>
      </c>
      <c r="L1012" s="17">
        <f>IF(ABS(J1012)&lt;=K1012,"OK",IF(M1012&lt;&gt;"","EXPLAINED","CHECK"))</f>
        <v/>
      </c>
      <c r="M1012" s="7" t="inlineStr"/>
    </row>
    <row r="1013">
      <c r="A1013" s="33" t="n">
        <v>44082</v>
      </c>
      <c r="B1013" s="7" t="inlineStr">
        <is>
          <t>RWRP</t>
        </is>
      </c>
      <c r="C1013" s="7" t="inlineStr">
        <is>
          <t>Jul-20</t>
        </is>
      </c>
      <c r="D1013" s="35" t="n">
        <v>3.81</v>
      </c>
      <c r="E1013" s="32" t="n">
        <v>-0.365</v>
      </c>
      <c r="F1013" s="35">
        <f>D1013/(1+E1013)</f>
        <v/>
      </c>
      <c r="G1013" s="7" t="inlineStr">
        <is>
          <t>Jul-19</t>
        </is>
      </c>
      <c r="H1013" s="35" t="n">
        <v>5.99</v>
      </c>
      <c r="I1013" s="33" t="n">
        <v>43749</v>
      </c>
      <c r="J1013" s="36">
        <f>F1013-H1013</f>
        <v/>
      </c>
      <c r="K1013" s="16">
        <f>0.005/(1+E1013)+D1013*0.0005/(1+E1013)^2+0.005</f>
        <v/>
      </c>
      <c r="L1013" s="17">
        <f>IF(ABS(J1013)&lt;=K1013,"OK",IF(M1013&lt;&gt;"","EXPLAINED","CHECK"))</f>
        <v/>
      </c>
      <c r="M1013" s="7" t="inlineStr"/>
    </row>
    <row r="1014">
      <c r="A1014" s="33" t="n">
        <v>44050</v>
      </c>
      <c r="B1014" s="7" t="inlineStr">
        <is>
          <t>APE</t>
        </is>
      </c>
      <c r="C1014" s="7" t="inlineStr">
        <is>
          <t>Q1-FY2021</t>
        </is>
      </c>
      <c r="D1014" s="35" t="n">
        <v>8.23</v>
      </c>
      <c r="E1014" s="32" t="n">
        <v>-0.44</v>
      </c>
      <c r="F1014" s="35">
        <f>D1014/(1+E1014)</f>
        <v/>
      </c>
      <c r="G1014" s="7" t="inlineStr">
        <is>
          <t>Q1-FY2020</t>
        </is>
      </c>
      <c r="H1014" s="35" t="n">
        <v>14.7</v>
      </c>
      <c r="I1014" s="33" t="n">
        <v>43749</v>
      </c>
      <c r="J1014" s="36">
        <f>F1014-H1014</f>
        <v/>
      </c>
      <c r="K1014" s="16">
        <f>0.005/(1+E1014)+D1014*0.0005/(1+E1014)^2+0.005</f>
        <v/>
      </c>
      <c r="L1014" s="17">
        <f>IF(ABS(J1014)&lt;=K1014,"OK",IF(M1014&lt;&gt;"","EXPLAINED","CHECK"))</f>
        <v/>
      </c>
      <c r="M1014" s="7" t="inlineStr"/>
    </row>
    <row r="1015">
      <c r="A1015" s="33" t="n">
        <v>44050</v>
      </c>
      <c r="B1015" s="7" t="inlineStr">
        <is>
          <t>APE</t>
        </is>
      </c>
      <c r="C1015" s="7" t="inlineStr">
        <is>
          <t>FY2020</t>
        </is>
      </c>
      <c r="D1015" s="35" t="n">
        <v>73.81</v>
      </c>
      <c r="E1015" s="32" t="n">
        <v>-0.05400000000000001</v>
      </c>
      <c r="F1015" s="35">
        <f>D1015/(1+E1015)</f>
        <v/>
      </c>
      <c r="G1015" s="7" t="inlineStr">
        <is>
          <t>FY2019</t>
        </is>
      </c>
      <c r="H1015" s="35" t="n">
        <v>77.98999999999999</v>
      </c>
      <c r="I1015" s="33" t="n">
        <v>43899</v>
      </c>
      <c r="J1015" s="36">
        <f>F1015-H1015</f>
        <v/>
      </c>
      <c r="K1015" s="16">
        <f>0.005/(1+E1015)+D1015*0.0005/(1+E1015)^2+0.005</f>
        <v/>
      </c>
      <c r="L1015" s="17">
        <f>IF(ABS(J1015)&lt;=K1015,"OK",IF(M1015&lt;&gt;"","EXPLAINED","CHECK"))</f>
        <v/>
      </c>
      <c r="M1015" s="7" t="inlineStr"/>
    </row>
    <row r="1016">
      <c r="A1016" s="33" t="n">
        <v>44050</v>
      </c>
      <c r="B1016" s="7" t="inlineStr">
        <is>
          <t>APE</t>
        </is>
      </c>
      <c r="C1016" s="7" t="inlineStr">
        <is>
          <t>Jul-20</t>
        </is>
      </c>
      <c r="D1016" s="35" t="n">
        <v>4.41</v>
      </c>
      <c r="E1016" s="32" t="n">
        <v>-0.317</v>
      </c>
      <c r="F1016" s="35">
        <f>D1016/(1+E1016)</f>
        <v/>
      </c>
      <c r="G1016" s="7" t="inlineStr">
        <is>
          <t>Jul-19</t>
        </is>
      </c>
      <c r="H1016" s="35" t="n">
        <v>6.46</v>
      </c>
      <c r="I1016" s="33" t="n">
        <v>43749</v>
      </c>
      <c r="J1016" s="36">
        <f>F1016-H1016</f>
        <v/>
      </c>
      <c r="K1016" s="16">
        <f>0.005/(1+E1016)+D1016*0.0005/(1+E1016)^2+0.005</f>
        <v/>
      </c>
      <c r="L1016" s="17">
        <f>IF(ABS(J1016)&lt;=K1016,"OK",IF(M1016&lt;&gt;"","EXPLAINED","CHECK"))</f>
        <v/>
      </c>
      <c r="M1016" s="7" t="inlineStr"/>
    </row>
    <row r="1017">
      <c r="A1017" s="33" t="n">
        <v>44050</v>
      </c>
      <c r="B1017" s="7" t="inlineStr">
        <is>
          <t>RWRP</t>
        </is>
      </c>
      <c r="C1017" s="7" t="inlineStr">
        <is>
          <t>Q1-FY2021</t>
        </is>
      </c>
      <c r="D1017" s="35" t="n">
        <v>6.56</v>
      </c>
      <c r="E1017" s="32" t="n">
        <v>-0.494</v>
      </c>
      <c r="F1017" s="35">
        <f>D1017/(1+E1017)</f>
        <v/>
      </c>
      <c r="G1017" s="7" t="inlineStr">
        <is>
          <t>Q1-FY2020</t>
        </is>
      </c>
      <c r="H1017" s="35" t="n">
        <v>12.96</v>
      </c>
      <c r="I1017" s="33" t="n">
        <v>43749</v>
      </c>
      <c r="J1017" s="36">
        <f>F1017-H1017</f>
        <v/>
      </c>
      <c r="K1017" s="16">
        <f>0.005/(1+E1017)+D1017*0.0005/(1+E1017)^2+0.005</f>
        <v/>
      </c>
      <c r="L1017" s="17">
        <f>IF(ABS(J1017)&lt;=K1017,"OK",IF(M1017&lt;&gt;"","EXPLAINED","CHECK"))</f>
        <v/>
      </c>
      <c r="M1017" s="7" t="inlineStr"/>
    </row>
    <row r="1018">
      <c r="A1018" s="33" t="n">
        <v>44050</v>
      </c>
      <c r="B1018" s="7" t="inlineStr">
        <is>
          <t>RWRP</t>
        </is>
      </c>
      <c r="C1018" s="7" t="inlineStr">
        <is>
          <t>FY2020</t>
        </is>
      </c>
      <c r="D1018" s="35" t="n">
        <v>66.43000000000001</v>
      </c>
      <c r="E1018" s="32" t="n">
        <v>-0.064</v>
      </c>
      <c r="F1018" s="35">
        <f>D1018/(1+E1018)</f>
        <v/>
      </c>
      <c r="G1018" s="7" t="inlineStr">
        <is>
          <t>FY2019</t>
        </is>
      </c>
      <c r="H1018" s="35" t="n">
        <v>70.95</v>
      </c>
      <c r="I1018" s="33" t="n">
        <v>43899</v>
      </c>
      <c r="J1018" s="36">
        <f>F1018-H1018</f>
        <v/>
      </c>
      <c r="K1018" s="16">
        <f>0.005/(1+E1018)+D1018*0.0005/(1+E1018)^2+0.005</f>
        <v/>
      </c>
      <c r="L1018" s="17">
        <f>IF(ABS(J1018)&lt;=K1018,"OK",IF(M1018&lt;&gt;"","EXPLAINED","CHECK"))</f>
        <v/>
      </c>
      <c r="M1018" s="7" t="inlineStr"/>
    </row>
    <row r="1019">
      <c r="A1019" s="33" t="n">
        <v>44050</v>
      </c>
      <c r="B1019" s="7" t="inlineStr">
        <is>
          <t>RWRP</t>
        </is>
      </c>
      <c r="C1019" s="7" t="inlineStr">
        <is>
          <t>Jul-20</t>
        </is>
      </c>
      <c r="D1019" s="35" t="n">
        <v>3.81</v>
      </c>
      <c r="E1019" s="32" t="n">
        <v>-0.365</v>
      </c>
      <c r="F1019" s="35">
        <f>D1019/(1+E1019)</f>
        <v/>
      </c>
      <c r="G1019" s="7" t="inlineStr">
        <is>
          <t>Jul-19</t>
        </is>
      </c>
      <c r="H1019" s="35" t="n">
        <v>5.99</v>
      </c>
      <c r="I1019" s="33" t="n">
        <v>43749</v>
      </c>
      <c r="J1019" s="36">
        <f>F1019-H1019</f>
        <v/>
      </c>
      <c r="K1019" s="16">
        <f>0.005/(1+E1019)+D1019*0.0005/(1+E1019)^2+0.005</f>
        <v/>
      </c>
      <c r="L1019" s="17">
        <f>IF(ABS(J1019)&lt;=K1019,"OK",IF(M1019&lt;&gt;"","EXPLAINED","CHECK"))</f>
        <v/>
      </c>
      <c r="M1019" s="7" t="inlineStr"/>
    </row>
    <row r="1020">
      <c r="A1020" s="33" t="n">
        <v>44021</v>
      </c>
      <c r="B1020" s="7" t="inlineStr">
        <is>
          <t>APE</t>
        </is>
      </c>
      <c r="C1020" s="7" t="inlineStr">
        <is>
          <t>Q1-FY2021</t>
        </is>
      </c>
      <c r="D1020" s="35" t="n">
        <v>8.23</v>
      </c>
      <c r="E1020" s="32" t="n">
        <v>-0.44</v>
      </c>
      <c r="F1020" s="35">
        <f>D1020/(1+E1020)</f>
        <v/>
      </c>
      <c r="G1020" s="7" t="inlineStr">
        <is>
          <t>Q1-FY2020</t>
        </is>
      </c>
      <c r="H1020" s="35" t="n">
        <v>14.7</v>
      </c>
      <c r="I1020" s="33" t="n">
        <v>43749</v>
      </c>
      <c r="J1020" s="36">
        <f>F1020-H1020</f>
        <v/>
      </c>
      <c r="K1020" s="16">
        <f>0.005/(1+E1020)+D1020*0.0005/(1+E1020)^2+0.005</f>
        <v/>
      </c>
      <c r="L1020" s="17">
        <f>IF(ABS(J1020)&lt;=K1020,"OK",IF(M1020&lt;&gt;"","EXPLAINED","CHECK"))</f>
        <v/>
      </c>
      <c r="M1020" s="7" t="inlineStr"/>
    </row>
    <row r="1021">
      <c r="A1021" s="33" t="n">
        <v>44021</v>
      </c>
      <c r="B1021" s="7" t="inlineStr">
        <is>
          <t>APE</t>
        </is>
      </c>
      <c r="C1021" s="7" t="inlineStr">
        <is>
          <t>FY2020</t>
        </is>
      </c>
      <c r="D1021" s="35" t="n">
        <v>73.81</v>
      </c>
      <c r="E1021" s="32" t="n">
        <v>-0.05400000000000001</v>
      </c>
      <c r="F1021" s="35">
        <f>D1021/(1+E1021)</f>
        <v/>
      </c>
      <c r="G1021" s="7" t="inlineStr">
        <is>
          <t>FY2019</t>
        </is>
      </c>
      <c r="H1021" s="35" t="n">
        <v>77.98999999999999</v>
      </c>
      <c r="I1021" s="33" t="n">
        <v>43899</v>
      </c>
      <c r="J1021" s="36">
        <f>F1021-H1021</f>
        <v/>
      </c>
      <c r="K1021" s="16">
        <f>0.005/(1+E1021)+D1021*0.0005/(1+E1021)^2+0.005</f>
        <v/>
      </c>
      <c r="L1021" s="17">
        <f>IF(ABS(J1021)&lt;=K1021,"OK",IF(M1021&lt;&gt;"","EXPLAINED","CHECK"))</f>
        <v/>
      </c>
      <c r="M1021" s="7" t="inlineStr"/>
    </row>
    <row r="1022">
      <c r="A1022" s="33" t="n">
        <v>44021</v>
      </c>
      <c r="B1022" s="7" t="inlineStr">
        <is>
          <t>APE</t>
        </is>
      </c>
      <c r="C1022" s="7" t="inlineStr">
        <is>
          <t>Jun-20</t>
        </is>
      </c>
      <c r="D1022" s="35" t="n">
        <v>3.54</v>
      </c>
      <c r="E1022" s="32" t="n">
        <v>-0.409</v>
      </c>
      <c r="F1022" s="35">
        <f>D1022/(1+E1022)</f>
        <v/>
      </c>
      <c r="G1022" s="7" t="inlineStr">
        <is>
          <t>Jun-19</t>
        </is>
      </c>
      <c r="H1022" s="35" t="n">
        <v>5.99</v>
      </c>
      <c r="I1022" s="33" t="n">
        <v>43651</v>
      </c>
      <c r="J1022" s="36">
        <f>F1022-H1022</f>
        <v/>
      </c>
      <c r="K1022" s="16">
        <f>0.005/(1+E1022)+D1022*0.0005/(1+E1022)^2+0.005</f>
        <v/>
      </c>
      <c r="L1022" s="17">
        <f>IF(ABS(J1022)&lt;=K1022,"OK",IF(M1022&lt;&gt;"","EXPLAINED","CHECK"))</f>
        <v/>
      </c>
      <c r="M1022" s="7" t="inlineStr"/>
    </row>
    <row r="1023">
      <c r="A1023" s="33" t="n">
        <v>44021</v>
      </c>
      <c r="B1023" s="7" t="inlineStr">
        <is>
          <t>APE</t>
        </is>
      </c>
      <c r="C1023" s="7" t="inlineStr">
        <is>
          <t>May-20</t>
        </is>
      </c>
      <c r="D1023" s="35" t="n">
        <v>2.79</v>
      </c>
      <c r="E1023" s="32" t="n">
        <v>-0.389</v>
      </c>
      <c r="F1023" s="35">
        <f>D1023/(1+E1023)</f>
        <v/>
      </c>
      <c r="G1023" s="7" t="inlineStr">
        <is>
          <t>May-19</t>
        </is>
      </c>
      <c r="H1023" s="35" t="n">
        <v>4.57</v>
      </c>
      <c r="I1023" s="33" t="n">
        <v>43651</v>
      </c>
      <c r="J1023" s="36">
        <f>F1023-H1023</f>
        <v/>
      </c>
      <c r="K1023" s="16">
        <f>0.005/(1+E1023)+D1023*0.0005/(1+E1023)^2+0.005</f>
        <v/>
      </c>
      <c r="L1023" s="17">
        <f>IF(ABS(J1023)&lt;=K1023,"OK",IF(M1023&lt;&gt;"","EXPLAINED","CHECK"))</f>
        <v/>
      </c>
      <c r="M1023" s="7" t="inlineStr"/>
    </row>
    <row r="1024">
      <c r="A1024" s="33" t="n">
        <v>44021</v>
      </c>
      <c r="B1024" s="7" t="inlineStr">
        <is>
          <t>APE</t>
        </is>
      </c>
      <c r="C1024" s="7" t="inlineStr">
        <is>
          <t>Apr-20</t>
        </is>
      </c>
      <c r="D1024" s="35" t="n">
        <v>1.9</v>
      </c>
      <c r="E1024" s="32" t="n">
        <v>-0.54</v>
      </c>
      <c r="F1024" s="35">
        <f>D1024/(1+E1024)</f>
        <v/>
      </c>
      <c r="G1024" s="7" t="inlineStr">
        <is>
          <t>Apr-19</t>
        </is>
      </c>
      <c r="H1024" s="35" t="n">
        <v>4.13</v>
      </c>
      <c r="I1024" s="33" t="n">
        <v>43651</v>
      </c>
      <c r="J1024" s="36">
        <f>F1024-H1024</f>
        <v/>
      </c>
      <c r="K1024" s="16">
        <f>0.005/(1+E1024)+D1024*0.0005/(1+E1024)^2+0.005</f>
        <v/>
      </c>
      <c r="L1024" s="17">
        <f>IF(ABS(J1024)&lt;=K1024,"OK",IF(M1024&lt;&gt;"","EXPLAINED","CHECK"))</f>
        <v/>
      </c>
      <c r="M1024" s="7" t="inlineStr"/>
    </row>
    <row r="1025">
      <c r="A1025" s="33" t="n">
        <v>44021</v>
      </c>
      <c r="B1025" s="7" t="inlineStr">
        <is>
          <t>RWRP</t>
        </is>
      </c>
      <c r="C1025" s="7" t="inlineStr">
        <is>
          <t>Q1-FY2021</t>
        </is>
      </c>
      <c r="D1025" s="35" t="n">
        <v>6.56</v>
      </c>
      <c r="E1025" s="32" t="n">
        <v>-0.494</v>
      </c>
      <c r="F1025" s="35">
        <f>D1025/(1+E1025)</f>
        <v/>
      </c>
      <c r="G1025" s="7" t="inlineStr">
        <is>
          <t>Q1-FY2020</t>
        </is>
      </c>
      <c r="H1025" s="35" t="n">
        <v>12.96</v>
      </c>
      <c r="I1025" s="33" t="n">
        <v>43749</v>
      </c>
      <c r="J1025" s="36">
        <f>F1025-H1025</f>
        <v/>
      </c>
      <c r="K1025" s="16">
        <f>0.005/(1+E1025)+D1025*0.0005/(1+E1025)^2+0.005</f>
        <v/>
      </c>
      <c r="L1025" s="17">
        <f>IF(ABS(J1025)&lt;=K1025,"OK",IF(M1025&lt;&gt;"","EXPLAINED","CHECK"))</f>
        <v/>
      </c>
      <c r="M1025" s="7" t="inlineStr"/>
    </row>
    <row r="1026">
      <c r="A1026" s="33" t="n">
        <v>44021</v>
      </c>
      <c r="B1026" s="7" t="inlineStr">
        <is>
          <t>RWRP</t>
        </is>
      </c>
      <c r="C1026" s="7" t="inlineStr">
        <is>
          <t>FY2020</t>
        </is>
      </c>
      <c r="D1026" s="35" t="n">
        <v>66.43000000000001</v>
      </c>
      <c r="E1026" s="32" t="n">
        <v>-0.064</v>
      </c>
      <c r="F1026" s="35">
        <f>D1026/(1+E1026)</f>
        <v/>
      </c>
      <c r="G1026" s="7" t="inlineStr">
        <is>
          <t>FY2019</t>
        </is>
      </c>
      <c r="H1026" s="35" t="n">
        <v>70.95</v>
      </c>
      <c r="I1026" s="33" t="n">
        <v>43899</v>
      </c>
      <c r="J1026" s="36">
        <f>F1026-H1026</f>
        <v/>
      </c>
      <c r="K1026" s="16">
        <f>0.005/(1+E1026)+D1026*0.0005/(1+E1026)^2+0.005</f>
        <v/>
      </c>
      <c r="L1026" s="17">
        <f>IF(ABS(J1026)&lt;=K1026,"OK",IF(M1026&lt;&gt;"","EXPLAINED","CHECK"))</f>
        <v/>
      </c>
      <c r="M1026" s="7" t="inlineStr"/>
    </row>
    <row r="1027">
      <c r="A1027" s="33" t="n">
        <v>44021</v>
      </c>
      <c r="B1027" s="7" t="inlineStr">
        <is>
          <t>RWRP</t>
        </is>
      </c>
      <c r="C1027" s="7" t="inlineStr">
        <is>
          <t>Jun-20</t>
        </is>
      </c>
      <c r="D1027" s="35" t="n">
        <v>3.09</v>
      </c>
      <c r="E1027" s="32" t="n">
        <v>-0.435</v>
      </c>
      <c r="F1027" s="35">
        <f>D1027/(1+E1027)</f>
        <v/>
      </c>
      <c r="G1027" s="7" t="inlineStr">
        <is>
          <t>Jun-19</t>
        </is>
      </c>
      <c r="H1027" s="35" t="n">
        <v>5.47</v>
      </c>
      <c r="I1027" s="33" t="n">
        <v>43651</v>
      </c>
      <c r="J1027" s="36">
        <f>F1027-H1027</f>
        <v/>
      </c>
      <c r="K1027" s="16">
        <f>0.005/(1+E1027)+D1027*0.0005/(1+E1027)^2+0.005</f>
        <v/>
      </c>
      <c r="L1027" s="17">
        <f>IF(ABS(J1027)&lt;=K1027,"OK",IF(M1027&lt;&gt;"","EXPLAINED","CHECK"))</f>
        <v/>
      </c>
      <c r="M1027" s="7" t="inlineStr"/>
    </row>
    <row r="1028">
      <c r="A1028" s="33" t="n">
        <v>44021</v>
      </c>
      <c r="B1028" s="7" t="inlineStr">
        <is>
          <t>RWRP</t>
        </is>
      </c>
      <c r="C1028" s="7" t="inlineStr">
        <is>
          <t>May-20</t>
        </is>
      </c>
      <c r="D1028" s="35" t="n">
        <v>1.92</v>
      </c>
      <c r="E1028" s="32" t="n">
        <v>-0.524</v>
      </c>
      <c r="F1028" s="35">
        <f>D1028/(1+E1028)</f>
        <v/>
      </c>
      <c r="G1028" s="7" t="inlineStr">
        <is>
          <t>May-19</t>
        </is>
      </c>
      <c r="H1028" s="35" t="n">
        <v>4.03</v>
      </c>
      <c r="I1028" s="33" t="n">
        <v>43651</v>
      </c>
      <c r="J1028" s="36">
        <f>F1028-H1028</f>
        <v/>
      </c>
      <c r="K1028" s="16">
        <f>0.005/(1+E1028)+D1028*0.0005/(1+E1028)^2+0.005</f>
        <v/>
      </c>
      <c r="L1028" s="17">
        <f>IF(ABS(J1028)&lt;=K1028,"OK",IF(M1028&lt;&gt;"","EXPLAINED","CHECK"))</f>
        <v/>
      </c>
      <c r="M1028" s="7" t="inlineStr"/>
    </row>
    <row r="1029">
      <c r="A1029" s="33" t="n">
        <v>44021</v>
      </c>
      <c r="B1029" s="7" t="inlineStr">
        <is>
          <t>RWRP</t>
        </is>
      </c>
      <c r="C1029" s="7" t="inlineStr">
        <is>
          <t>Apr-20</t>
        </is>
      </c>
      <c r="D1029" s="35" t="n">
        <v>1.55</v>
      </c>
      <c r="E1029" s="32" t="n">
        <v>-0.551</v>
      </c>
      <c r="F1029" s="35">
        <f>D1029/(1+E1029)</f>
        <v/>
      </c>
      <c r="G1029" s="7" t="inlineStr">
        <is>
          <t>Apr-19</t>
        </is>
      </c>
      <c r="H1029" s="35" t="n">
        <v>3.46</v>
      </c>
      <c r="I1029" s="33" t="n">
        <v>43651</v>
      </c>
      <c r="J1029" s="36">
        <f>F1029-H1029</f>
        <v/>
      </c>
      <c r="K1029" s="16">
        <f>0.005/(1+E1029)+D1029*0.0005/(1+E1029)^2+0.005</f>
        <v/>
      </c>
      <c r="L1029" s="17">
        <f>IF(ABS(J1029)&lt;=K1029,"OK",IF(M1029&lt;&gt;"","EXPLAINED","CHECK"))</f>
        <v/>
      </c>
      <c r="M1029" s="7" t="inlineStr"/>
    </row>
    <row r="1030">
      <c r="A1030" s="33" t="n">
        <v>43990</v>
      </c>
      <c r="B1030" s="7" t="inlineStr">
        <is>
          <t>APE</t>
        </is>
      </c>
      <c r="C1030" s="7" t="inlineStr">
        <is>
          <t>FY2020</t>
        </is>
      </c>
      <c r="D1030" s="35" t="n">
        <v>73.81</v>
      </c>
      <c r="E1030" s="32" t="n">
        <v>-0.05400000000000001</v>
      </c>
      <c r="F1030" s="35">
        <f>D1030/(1+E1030)</f>
        <v/>
      </c>
      <c r="G1030" s="7" t="inlineStr">
        <is>
          <t>FY2019</t>
        </is>
      </c>
      <c r="H1030" s="35" t="n">
        <v>77.98999999999999</v>
      </c>
      <c r="I1030" s="33" t="n">
        <v>43899</v>
      </c>
      <c r="J1030" s="36">
        <f>F1030-H1030</f>
        <v/>
      </c>
      <c r="K1030" s="16">
        <f>0.005/(1+E1030)+D1030*0.0005/(1+E1030)^2+0.005</f>
        <v/>
      </c>
      <c r="L1030" s="17">
        <f>IF(ABS(J1030)&lt;=K1030,"OK",IF(M1030&lt;&gt;"","EXPLAINED","CHECK"))</f>
        <v/>
      </c>
      <c r="M1030" s="7" t="inlineStr"/>
    </row>
    <row r="1031">
      <c r="A1031" s="33" t="n">
        <v>43990</v>
      </c>
      <c r="B1031" s="7" t="inlineStr">
        <is>
          <t>APE</t>
        </is>
      </c>
      <c r="C1031" s="7" t="inlineStr">
        <is>
          <t>May-20</t>
        </is>
      </c>
      <c r="D1031" s="35" t="n">
        <v>2.79</v>
      </c>
      <c r="E1031" s="32" t="n">
        <v>-0.389</v>
      </c>
      <c r="F1031" s="35">
        <f>D1031/(1+E1031)</f>
        <v/>
      </c>
      <c r="G1031" s="7" t="inlineStr">
        <is>
          <t>May-19</t>
        </is>
      </c>
      <c r="H1031" s="35" t="n">
        <v>4.57</v>
      </c>
      <c r="I1031" s="33" t="n">
        <v>43651</v>
      </c>
      <c r="J1031" s="36">
        <f>F1031-H1031</f>
        <v/>
      </c>
      <c r="K1031" s="16">
        <f>0.005/(1+E1031)+D1031*0.0005/(1+E1031)^2+0.005</f>
        <v/>
      </c>
      <c r="L1031" s="17">
        <f>IF(ABS(J1031)&lt;=K1031,"OK",IF(M1031&lt;&gt;"","EXPLAINED","CHECK"))</f>
        <v/>
      </c>
      <c r="M1031" s="7" t="inlineStr"/>
    </row>
    <row r="1032">
      <c r="A1032" s="33" t="n">
        <v>43990</v>
      </c>
      <c r="B1032" s="7" t="inlineStr">
        <is>
          <t>APE</t>
        </is>
      </c>
      <c r="C1032" s="7" t="inlineStr">
        <is>
          <t>Apr-20</t>
        </is>
      </c>
      <c r="D1032" s="35" t="n">
        <v>1.9</v>
      </c>
      <c r="E1032" s="32" t="n">
        <v>-0.54</v>
      </c>
      <c r="F1032" s="35">
        <f>D1032/(1+E1032)</f>
        <v/>
      </c>
      <c r="G1032" s="7" t="inlineStr">
        <is>
          <t>Apr-19</t>
        </is>
      </c>
      <c r="H1032" s="35" t="n">
        <v>4.13</v>
      </c>
      <c r="I1032" s="33" t="n">
        <v>43651</v>
      </c>
      <c r="J1032" s="36">
        <f>F1032-H1032</f>
        <v/>
      </c>
      <c r="K1032" s="16">
        <f>0.005/(1+E1032)+D1032*0.0005/(1+E1032)^2+0.005</f>
        <v/>
      </c>
      <c r="L1032" s="17">
        <f>IF(ABS(J1032)&lt;=K1032,"OK",IF(M1032&lt;&gt;"","EXPLAINED","CHECK"))</f>
        <v/>
      </c>
      <c r="M1032" s="7" t="inlineStr"/>
    </row>
    <row r="1033">
      <c r="A1033" s="33" t="n">
        <v>43990</v>
      </c>
      <c r="B1033" s="7" t="inlineStr">
        <is>
          <t>RWRP</t>
        </is>
      </c>
      <c r="C1033" s="7" t="inlineStr">
        <is>
          <t>FY2020</t>
        </is>
      </c>
      <c r="D1033" s="35" t="n">
        <v>66.43000000000001</v>
      </c>
      <c r="E1033" s="32" t="n">
        <v>-0.064</v>
      </c>
      <c r="F1033" s="35">
        <f>D1033/(1+E1033)</f>
        <v/>
      </c>
      <c r="G1033" s="7" t="inlineStr">
        <is>
          <t>FY2019</t>
        </is>
      </c>
      <c r="H1033" s="35" t="n">
        <v>70.95</v>
      </c>
      <c r="I1033" s="33" t="n">
        <v>43899</v>
      </c>
      <c r="J1033" s="36">
        <f>F1033-H1033</f>
        <v/>
      </c>
      <c r="K1033" s="16">
        <f>0.005/(1+E1033)+D1033*0.0005/(1+E1033)^2+0.005</f>
        <v/>
      </c>
      <c r="L1033" s="17">
        <f>IF(ABS(J1033)&lt;=K1033,"OK",IF(M1033&lt;&gt;"","EXPLAINED","CHECK"))</f>
        <v/>
      </c>
      <c r="M1033" s="7" t="inlineStr"/>
    </row>
    <row r="1034">
      <c r="A1034" s="33" t="n">
        <v>43990</v>
      </c>
      <c r="B1034" s="7" t="inlineStr">
        <is>
          <t>RWRP</t>
        </is>
      </c>
      <c r="C1034" s="7" t="inlineStr">
        <is>
          <t>May-20</t>
        </is>
      </c>
      <c r="D1034" s="35" t="n">
        <v>1.92</v>
      </c>
      <c r="E1034" s="32" t="n">
        <v>-0.524</v>
      </c>
      <c r="F1034" s="35">
        <f>D1034/(1+E1034)</f>
        <v/>
      </c>
      <c r="G1034" s="7" t="inlineStr">
        <is>
          <t>May-19</t>
        </is>
      </c>
      <c r="H1034" s="35" t="n">
        <v>4.03</v>
      </c>
      <c r="I1034" s="33" t="n">
        <v>43651</v>
      </c>
      <c r="J1034" s="36">
        <f>F1034-H1034</f>
        <v/>
      </c>
      <c r="K1034" s="16">
        <f>0.005/(1+E1034)+D1034*0.0005/(1+E1034)^2+0.005</f>
        <v/>
      </c>
      <c r="L1034" s="17">
        <f>IF(ABS(J1034)&lt;=K1034,"OK",IF(M1034&lt;&gt;"","EXPLAINED","CHECK"))</f>
        <v/>
      </c>
      <c r="M1034" s="7" t="inlineStr"/>
    </row>
    <row r="1035">
      <c r="A1035" s="33" t="n">
        <v>43990</v>
      </c>
      <c r="B1035" s="7" t="inlineStr">
        <is>
          <t>RWRP</t>
        </is>
      </c>
      <c r="C1035" s="7" t="inlineStr">
        <is>
          <t>Apr-20</t>
        </is>
      </c>
      <c r="D1035" s="35" t="n">
        <v>1.55</v>
      </c>
      <c r="E1035" s="32" t="n">
        <v>-0.551</v>
      </c>
      <c r="F1035" s="35">
        <f>D1035/(1+E1035)</f>
        <v/>
      </c>
      <c r="G1035" s="7" t="inlineStr">
        <is>
          <t>Apr-19</t>
        </is>
      </c>
      <c r="H1035" s="35" t="n">
        <v>3.46</v>
      </c>
      <c r="I1035" s="33" t="n">
        <v>43651</v>
      </c>
      <c r="J1035" s="36">
        <f>F1035-H1035</f>
        <v/>
      </c>
      <c r="K1035" s="16">
        <f>0.005/(1+E1035)+D1035*0.0005/(1+E1035)^2+0.005</f>
        <v/>
      </c>
      <c r="L1035" s="17">
        <f>IF(ABS(J1035)&lt;=K1035,"OK",IF(M1035&lt;&gt;"","EXPLAINED","CHECK"))</f>
        <v/>
      </c>
      <c r="M1035" s="7" t="inlineStr"/>
    </row>
    <row r="1036">
      <c r="A1036" s="33" t="n">
        <v>43960</v>
      </c>
      <c r="B1036" s="7" t="inlineStr">
        <is>
          <t>APE</t>
        </is>
      </c>
      <c r="C1036" s="7" t="inlineStr">
        <is>
          <t>FY2020</t>
        </is>
      </c>
      <c r="D1036" s="35" t="n">
        <v>73.81</v>
      </c>
      <c r="E1036" s="32" t="n">
        <v>-0.05400000000000001</v>
      </c>
      <c r="F1036" s="35">
        <f>D1036/(1+E1036)</f>
        <v/>
      </c>
      <c r="G1036" s="7" t="inlineStr">
        <is>
          <t>FY2019</t>
        </is>
      </c>
      <c r="H1036" s="35" t="n">
        <v>77.98999999999999</v>
      </c>
      <c r="I1036" s="33" t="n">
        <v>43899</v>
      </c>
      <c r="J1036" s="36">
        <f>F1036-H1036</f>
        <v/>
      </c>
      <c r="K1036" s="16">
        <f>0.005/(1+E1036)+D1036*0.0005/(1+E1036)^2+0.005</f>
        <v/>
      </c>
      <c r="L1036" s="17">
        <f>IF(ABS(J1036)&lt;=K1036,"OK",IF(M1036&lt;&gt;"","EXPLAINED","CHECK"))</f>
        <v/>
      </c>
      <c r="M1036" s="7" t="inlineStr"/>
    </row>
    <row r="1037">
      <c r="A1037" s="33" t="n">
        <v>43960</v>
      </c>
      <c r="B1037" s="7" t="inlineStr">
        <is>
          <t>APE</t>
        </is>
      </c>
      <c r="C1037" s="7" t="inlineStr">
        <is>
          <t>Apr-20</t>
        </is>
      </c>
      <c r="D1037" s="35" t="n">
        <v>1.9</v>
      </c>
      <c r="E1037" s="32" t="n">
        <v>-0.54</v>
      </c>
      <c r="F1037" s="35">
        <f>D1037/(1+E1037)</f>
        <v/>
      </c>
      <c r="G1037" s="7" t="inlineStr">
        <is>
          <t>Apr-19</t>
        </is>
      </c>
      <c r="H1037" s="35" t="n">
        <v>4.13</v>
      </c>
      <c r="I1037" s="33" t="n">
        <v>43651</v>
      </c>
      <c r="J1037" s="36">
        <f>F1037-H1037</f>
        <v/>
      </c>
      <c r="K1037" s="16">
        <f>0.005/(1+E1037)+D1037*0.0005/(1+E1037)^2+0.005</f>
        <v/>
      </c>
      <c r="L1037" s="17">
        <f>IF(ABS(J1037)&lt;=K1037,"OK",IF(M1037&lt;&gt;"","EXPLAINED","CHECK"))</f>
        <v/>
      </c>
      <c r="M1037" s="7" t="inlineStr"/>
    </row>
    <row r="1038">
      <c r="A1038" s="33" t="n">
        <v>43960</v>
      </c>
      <c r="B1038" s="7" t="inlineStr">
        <is>
          <t>RWRP</t>
        </is>
      </c>
      <c r="C1038" s="7" t="inlineStr">
        <is>
          <t>FY2020</t>
        </is>
      </c>
      <c r="D1038" s="35" t="n">
        <v>66.43000000000001</v>
      </c>
      <c r="E1038" s="32" t="n">
        <v>-0.064</v>
      </c>
      <c r="F1038" s="35">
        <f>D1038/(1+E1038)</f>
        <v/>
      </c>
      <c r="G1038" s="7" t="inlineStr">
        <is>
          <t>FY2019</t>
        </is>
      </c>
      <c r="H1038" s="35" t="n">
        <v>70.95</v>
      </c>
      <c r="I1038" s="33" t="n">
        <v>43899</v>
      </c>
      <c r="J1038" s="36">
        <f>F1038-H1038</f>
        <v/>
      </c>
      <c r="K1038" s="16">
        <f>0.005/(1+E1038)+D1038*0.0005/(1+E1038)^2+0.005</f>
        <v/>
      </c>
      <c r="L1038" s="17">
        <f>IF(ABS(J1038)&lt;=K1038,"OK",IF(M1038&lt;&gt;"","EXPLAINED","CHECK"))</f>
        <v/>
      </c>
      <c r="M1038" s="7" t="inlineStr"/>
    </row>
    <row r="1039">
      <c r="A1039" s="33" t="n">
        <v>43960</v>
      </c>
      <c r="B1039" s="7" t="inlineStr">
        <is>
          <t>RWRP</t>
        </is>
      </c>
      <c r="C1039" s="7" t="inlineStr">
        <is>
          <t>Apr-20</t>
        </is>
      </c>
      <c r="D1039" s="35" t="n">
        <v>1.55</v>
      </c>
      <c r="E1039" s="32" t="n">
        <v>-0.551</v>
      </c>
      <c r="F1039" s="35">
        <f>D1039/(1+E1039)</f>
        <v/>
      </c>
      <c r="G1039" s="7" t="inlineStr">
        <is>
          <t>Apr-19</t>
        </is>
      </c>
      <c r="H1039" s="35" t="n">
        <v>3.46</v>
      </c>
      <c r="I1039" s="33" t="n">
        <v>43651</v>
      </c>
      <c r="J1039" s="36">
        <f>F1039-H1039</f>
        <v/>
      </c>
      <c r="K1039" s="16">
        <f>0.005/(1+E1039)+D1039*0.0005/(1+E1039)^2+0.005</f>
        <v/>
      </c>
      <c r="L1039" s="17">
        <f>IF(ABS(J1039)&lt;=K1039,"OK",IF(M1039&lt;&gt;"","EXPLAINED","CHECK"))</f>
        <v/>
      </c>
      <c r="M1039" s="7" t="inlineStr"/>
    </row>
    <row r="1040">
      <c r="A1040" s="33" t="n">
        <v>43899</v>
      </c>
      <c r="B1040" s="7" t="inlineStr">
        <is>
          <t>APE</t>
        </is>
      </c>
      <c r="C1040" s="7" t="inlineStr">
        <is>
          <t>FY2019</t>
        </is>
      </c>
      <c r="D1040" s="35" t="n">
        <v>77.98999999999999</v>
      </c>
      <c r="E1040" s="32" t="n">
        <v>0.001</v>
      </c>
      <c r="F1040" s="35">
        <f>D1040/(1+E1040)</f>
        <v/>
      </c>
      <c r="G1040" s="7" t="inlineStr">
        <is>
          <t>FY2018</t>
        </is>
      </c>
      <c r="H1040" s="35" t="n">
        <v>77.92</v>
      </c>
      <c r="I1040" s="33" t="n">
        <v>43572</v>
      </c>
      <c r="J1040" s="36">
        <f>F1040-H1040</f>
        <v/>
      </c>
      <c r="K1040" s="16">
        <f>0.005/(1+E1040)+D1040*0.0005/(1+E1040)^2+0.005</f>
        <v/>
      </c>
      <c r="L1040" s="17">
        <f>IF(ABS(J1040)&lt;=K1040,"OK",IF(M1040&lt;&gt;"","EXPLAINED","CHECK"))</f>
        <v/>
      </c>
      <c r="M1040" s="7" t="inlineStr"/>
    </row>
    <row r="1041">
      <c r="A1041" s="33" t="n">
        <v>43899</v>
      </c>
      <c r="B1041" s="7" t="inlineStr">
        <is>
          <t>APE</t>
        </is>
      </c>
      <c r="C1041" s="7" t="inlineStr">
        <is>
          <t>11M-FY2020</t>
        </is>
      </c>
      <c r="D1041" s="35" t="n">
        <v>68.52</v>
      </c>
      <c r="E1041" s="32" t="n">
        <v>0.006999999999999999</v>
      </c>
      <c r="F1041" s="35">
        <f>D1041/(1+E1041)</f>
        <v/>
      </c>
      <c r="G1041" s="7" t="inlineStr">
        <is>
          <t>11M-FY2019</t>
        </is>
      </c>
      <c r="H1041" s="35" t="n">
        <v>68.06999999999999</v>
      </c>
      <c r="I1041" s="33" t="n">
        <v>43529</v>
      </c>
      <c r="J1041" s="36">
        <f>F1041-H1041</f>
        <v/>
      </c>
      <c r="K1041" s="16">
        <f>0.005/(1+E1041)+D1041*0.0005/(1+E1041)^2+0.005</f>
        <v/>
      </c>
      <c r="L1041" s="17">
        <f>IF(ABS(J1041)&lt;=K1041,"OK",IF(M1041&lt;&gt;"","EXPLAINED","CHECK"))</f>
        <v/>
      </c>
      <c r="M1041" s="7" t="inlineStr"/>
    </row>
    <row r="1042">
      <c r="A1042" s="33" t="n">
        <v>43899</v>
      </c>
      <c r="B1042" s="7" t="inlineStr">
        <is>
          <t>APE</t>
        </is>
      </c>
      <c r="C1042" s="7" t="inlineStr">
        <is>
          <t>Feb-20</t>
        </is>
      </c>
      <c r="D1042" s="35" t="n">
        <v>7.54</v>
      </c>
      <c r="E1042" s="32" t="n">
        <v>0.008</v>
      </c>
      <c r="F1042" s="35">
        <f>D1042/(1+E1042)</f>
        <v/>
      </c>
      <c r="G1042" s="7" t="inlineStr">
        <is>
          <t>Feb-19</t>
        </is>
      </c>
      <c r="H1042" s="35" t="n">
        <v>7.48</v>
      </c>
      <c r="I1042" s="33" t="n">
        <v>43572</v>
      </c>
      <c r="J1042" s="36">
        <f>F1042-H1042</f>
        <v/>
      </c>
      <c r="K1042" s="16">
        <f>0.005/(1+E1042)+D1042*0.0005/(1+E1042)^2+0.005</f>
        <v/>
      </c>
      <c r="L1042" s="17">
        <f>IF(ABS(J1042)&lt;=K1042,"OK",IF(M1042&lt;&gt;"","EXPLAINED","CHECK"))</f>
        <v/>
      </c>
      <c r="M1042" s="7" t="inlineStr"/>
    </row>
    <row r="1043">
      <c r="A1043" s="33" t="n">
        <v>43899</v>
      </c>
      <c r="B1043" s="7" t="inlineStr">
        <is>
          <t>APE</t>
        </is>
      </c>
      <c r="C1043" s="7" t="inlineStr">
        <is>
          <t>Jan-20</t>
        </is>
      </c>
      <c r="D1043" s="35" t="n">
        <v>6.91</v>
      </c>
      <c r="E1043" s="32" t="n">
        <v>-0.036</v>
      </c>
      <c r="F1043" s="35">
        <f>D1043/(1+E1043)</f>
        <v/>
      </c>
      <c r="G1043" s="7" t="inlineStr">
        <is>
          <t>Jan-19</t>
        </is>
      </c>
      <c r="H1043" s="35" t="n">
        <v>7.17</v>
      </c>
      <c r="I1043" s="33" t="n">
        <v>43572</v>
      </c>
      <c r="J1043" s="36">
        <f>F1043-H1043</f>
        <v/>
      </c>
      <c r="K1043" s="16">
        <f>0.005/(1+E1043)+D1043*0.0005/(1+E1043)^2+0.005</f>
        <v/>
      </c>
      <c r="L1043" s="17">
        <f>IF(ABS(J1043)&lt;=K1043,"OK",IF(M1043&lt;&gt;"","EXPLAINED","CHECK"))</f>
        <v/>
      </c>
      <c r="M1043" s="7" t="inlineStr"/>
    </row>
    <row r="1044">
      <c r="A1044" s="33" t="n">
        <v>43899</v>
      </c>
      <c r="B1044" s="7" t="inlineStr">
        <is>
          <t>RWRP</t>
        </is>
      </c>
      <c r="C1044" s="7" t="inlineStr">
        <is>
          <t>FY2019</t>
        </is>
      </c>
      <c r="D1044" s="35" t="n">
        <v>70.95</v>
      </c>
      <c r="E1044" s="32" t="n">
        <v>-0.049</v>
      </c>
      <c r="F1044" s="35">
        <f>D1044/(1+E1044)</f>
        <v/>
      </c>
      <c r="G1044" s="7" t="inlineStr">
        <is>
          <t>FY2018</t>
        </is>
      </c>
      <c r="H1044" s="35" t="n">
        <v>74.61</v>
      </c>
      <c r="I1044" s="33" t="n">
        <v>43572</v>
      </c>
      <c r="J1044" s="36">
        <f>F1044-H1044</f>
        <v/>
      </c>
      <c r="K1044" s="16">
        <f>0.005/(1+E1044)+D1044*0.0005/(1+E1044)^2+0.005</f>
        <v/>
      </c>
      <c r="L1044" s="17">
        <f>IF(ABS(J1044)&lt;=K1044,"OK",IF(M1044&lt;&gt;"","EXPLAINED","CHECK"))</f>
        <v/>
      </c>
      <c r="M1044" s="7" t="inlineStr"/>
    </row>
    <row r="1045">
      <c r="A1045" s="33" t="n">
        <v>43899</v>
      </c>
      <c r="B1045" s="7" t="inlineStr">
        <is>
          <t>RWRP</t>
        </is>
      </c>
      <c r="C1045" s="7" t="inlineStr">
        <is>
          <t>11M-FY2020</t>
        </is>
      </c>
      <c r="D1045" s="35" t="n">
        <v>61.65</v>
      </c>
      <c r="E1045" s="32" t="n">
        <v>0.001</v>
      </c>
      <c r="F1045" s="35">
        <f>D1045/(1+E1045)</f>
        <v/>
      </c>
      <c r="G1045" s="7" t="inlineStr">
        <is>
          <t>11M-FY2019</t>
        </is>
      </c>
      <c r="H1045" s="35" t="n">
        <v>61.58</v>
      </c>
      <c r="I1045" s="33" t="n">
        <v>43529</v>
      </c>
      <c r="J1045" s="36">
        <f>F1045-H1045</f>
        <v/>
      </c>
      <c r="K1045" s="16">
        <f>0.005/(1+E1045)+D1045*0.0005/(1+E1045)^2+0.005</f>
        <v/>
      </c>
      <c r="L1045" s="17">
        <f>IF(ABS(J1045)&lt;=K1045,"OK",IF(M1045&lt;&gt;"","EXPLAINED","CHECK"))</f>
        <v/>
      </c>
      <c r="M1045" s="7" t="inlineStr"/>
    </row>
    <row r="1046">
      <c r="A1046" s="33" t="n">
        <v>43899</v>
      </c>
      <c r="B1046" s="7" t="inlineStr">
        <is>
          <t>RWRP</t>
        </is>
      </c>
      <c r="C1046" s="7" t="inlineStr">
        <is>
          <t>Feb-20</t>
        </is>
      </c>
      <c r="D1046" s="35" t="n">
        <v>5.87</v>
      </c>
      <c r="E1046" s="32" t="n">
        <v>-0.147</v>
      </c>
      <c r="F1046" s="35">
        <f>D1046/(1+E1046)</f>
        <v/>
      </c>
      <c r="G1046" s="7" t="inlineStr">
        <is>
          <t>Feb-19</t>
        </is>
      </c>
      <c r="H1046" s="35" t="n">
        <v>6.88</v>
      </c>
      <c r="I1046" s="33" t="n">
        <v>43572</v>
      </c>
      <c r="J1046" s="36">
        <f>F1046-H1046</f>
        <v/>
      </c>
      <c r="K1046" s="16">
        <f>0.005/(1+E1046)+D1046*0.0005/(1+E1046)^2+0.005</f>
        <v/>
      </c>
      <c r="L1046" s="17">
        <f>IF(ABS(J1046)&lt;=K1046,"OK",IF(M1046&lt;&gt;"","EXPLAINED","CHECK"))</f>
        <v/>
      </c>
      <c r="M1046" s="7" t="inlineStr"/>
    </row>
    <row r="1047">
      <c r="A1047" s="33" t="n">
        <v>43899</v>
      </c>
      <c r="B1047" s="7" t="inlineStr">
        <is>
          <t>RWRP</t>
        </is>
      </c>
      <c r="C1047" s="7" t="inlineStr">
        <is>
          <t>Jan-20</t>
        </is>
      </c>
      <c r="D1047" s="35" t="n">
        <v>6.22</v>
      </c>
      <c r="E1047" s="32" t="n">
        <v>-0.048</v>
      </c>
      <c r="F1047" s="35">
        <f>D1047/(1+E1047)</f>
        <v/>
      </c>
      <c r="G1047" s="7" t="inlineStr">
        <is>
          <t>Jan-19</t>
        </is>
      </c>
      <c r="H1047" s="35" t="n">
        <v>6.54</v>
      </c>
      <c r="I1047" s="33" t="n">
        <v>43572</v>
      </c>
      <c r="J1047" s="36">
        <f>F1047-H1047</f>
        <v/>
      </c>
      <c r="K1047" s="16">
        <f>0.005/(1+E1047)+D1047*0.0005/(1+E1047)^2+0.005</f>
        <v/>
      </c>
      <c r="L1047" s="17">
        <f>IF(ABS(J1047)&lt;=K1047,"OK",IF(M1047&lt;&gt;"","EXPLAINED","CHECK"))</f>
        <v/>
      </c>
      <c r="M1047" s="7" t="inlineStr"/>
    </row>
    <row r="1048">
      <c r="A1048" s="33" t="n">
        <v>43868</v>
      </c>
      <c r="B1048" s="7" t="inlineStr">
        <is>
          <t>APE</t>
        </is>
      </c>
      <c r="C1048" s="7" t="inlineStr">
        <is>
          <t>FY2019</t>
        </is>
      </c>
      <c r="D1048" s="35" t="n">
        <v>77.98999999999999</v>
      </c>
      <c r="E1048" s="32" t="n">
        <v>0.001</v>
      </c>
      <c r="F1048" s="35">
        <f>D1048/(1+E1048)</f>
        <v/>
      </c>
      <c r="G1048" s="7" t="inlineStr">
        <is>
          <t>FY2018</t>
        </is>
      </c>
      <c r="H1048" s="35" t="n">
        <v>77.92</v>
      </c>
      <c r="I1048" s="33" t="n">
        <v>43572</v>
      </c>
      <c r="J1048" s="36">
        <f>F1048-H1048</f>
        <v/>
      </c>
      <c r="K1048" s="16">
        <f>0.005/(1+E1048)+D1048*0.0005/(1+E1048)^2+0.005</f>
        <v/>
      </c>
      <c r="L1048" s="17">
        <f>IF(ABS(J1048)&lt;=K1048,"OK",IF(M1048&lt;&gt;"","EXPLAINED","CHECK"))</f>
        <v/>
      </c>
      <c r="M1048" s="7" t="inlineStr"/>
    </row>
    <row r="1049">
      <c r="A1049" s="33" t="n">
        <v>43868</v>
      </c>
      <c r="B1049" s="7" t="inlineStr">
        <is>
          <t>APE</t>
        </is>
      </c>
      <c r="C1049" s="7" t="inlineStr">
        <is>
          <t>FY2019</t>
        </is>
      </c>
      <c r="D1049" s="35" t="n">
        <v>77.98999999999999</v>
      </c>
      <c r="E1049" s="32" t="n">
        <v>0.001</v>
      </c>
      <c r="F1049" s="35">
        <f>D1049/(1+E1049)</f>
        <v/>
      </c>
      <c r="G1049" s="7" t="inlineStr">
        <is>
          <t>FY2018</t>
        </is>
      </c>
      <c r="H1049" s="35" t="n">
        <v>77.92</v>
      </c>
      <c r="I1049" s="33" t="n">
        <v>43572</v>
      </c>
      <c r="J1049" s="36">
        <f>F1049-H1049</f>
        <v/>
      </c>
      <c r="K1049" s="16">
        <f>0.005/(1+E1049)+D1049*0.0005/(1+E1049)^2+0.005</f>
        <v/>
      </c>
      <c r="L1049" s="17">
        <f>IF(ABS(J1049)&lt;=K1049,"OK",IF(M1049&lt;&gt;"","EXPLAINED","CHECK"))</f>
        <v/>
      </c>
      <c r="M1049" s="7" t="inlineStr"/>
    </row>
    <row r="1050">
      <c r="A1050" s="33" t="n">
        <v>43868</v>
      </c>
      <c r="B1050" s="7" t="inlineStr">
        <is>
          <t>APE</t>
        </is>
      </c>
      <c r="C1050" s="7" t="inlineStr">
        <is>
          <t>Jan-20</t>
        </is>
      </c>
      <c r="D1050" s="35" t="n">
        <v>6.91</v>
      </c>
      <c r="E1050" s="32" t="n">
        <v>-0.036</v>
      </c>
      <c r="F1050" s="35">
        <f>D1050/(1+E1050)</f>
        <v/>
      </c>
      <c r="G1050" s="7" t="inlineStr">
        <is>
          <t>Jan-19</t>
        </is>
      </c>
      <c r="H1050" s="35" t="n">
        <v>7.17</v>
      </c>
      <c r="I1050" s="33" t="n">
        <v>43572</v>
      </c>
      <c r="J1050" s="36">
        <f>F1050-H1050</f>
        <v/>
      </c>
      <c r="K1050" s="16">
        <f>0.005/(1+E1050)+D1050*0.0005/(1+E1050)^2+0.005</f>
        <v/>
      </c>
      <c r="L1050" s="17">
        <f>IF(ABS(J1050)&lt;=K1050,"OK",IF(M1050&lt;&gt;"","EXPLAINED","CHECK"))</f>
        <v/>
      </c>
      <c r="M1050" s="7" t="inlineStr"/>
    </row>
    <row r="1051">
      <c r="A1051" s="33" t="n">
        <v>43868</v>
      </c>
      <c r="B1051" s="7" t="inlineStr">
        <is>
          <t>APE</t>
        </is>
      </c>
      <c r="C1051" s="7" t="inlineStr">
        <is>
          <t>Jan-20</t>
        </is>
      </c>
      <c r="D1051" s="35" t="n">
        <v>6.91</v>
      </c>
      <c r="E1051" s="32" t="n">
        <v>-0.036</v>
      </c>
      <c r="F1051" s="35">
        <f>D1051/(1+E1051)</f>
        <v/>
      </c>
      <c r="G1051" s="7" t="inlineStr">
        <is>
          <t>Jan-19</t>
        </is>
      </c>
      <c r="H1051" s="35" t="n">
        <v>7.17</v>
      </c>
      <c r="I1051" s="33" t="n">
        <v>43572</v>
      </c>
      <c r="J1051" s="36">
        <f>F1051-H1051</f>
        <v/>
      </c>
      <c r="K1051" s="16">
        <f>0.005/(1+E1051)+D1051*0.0005/(1+E1051)^2+0.005</f>
        <v/>
      </c>
      <c r="L1051" s="17">
        <f>IF(ABS(J1051)&lt;=K1051,"OK",IF(M1051&lt;&gt;"","EXPLAINED","CHECK"))</f>
        <v/>
      </c>
      <c r="M1051" s="7" t="inlineStr"/>
    </row>
    <row r="1052">
      <c r="A1052" s="33" t="n">
        <v>43868</v>
      </c>
      <c r="B1052" s="7" t="inlineStr">
        <is>
          <t>RWRP</t>
        </is>
      </c>
      <c r="C1052" s="7" t="inlineStr">
        <is>
          <t>FY2019</t>
        </is>
      </c>
      <c r="D1052" s="35" t="n">
        <v>70.95</v>
      </c>
      <c r="E1052" s="32" t="n">
        <v>-0.049</v>
      </c>
      <c r="F1052" s="35">
        <f>D1052/(1+E1052)</f>
        <v/>
      </c>
      <c r="G1052" s="7" t="inlineStr">
        <is>
          <t>FY2018</t>
        </is>
      </c>
      <c r="H1052" s="35" t="n">
        <v>74.61</v>
      </c>
      <c r="I1052" s="33" t="n">
        <v>43572</v>
      </c>
      <c r="J1052" s="36">
        <f>F1052-H1052</f>
        <v/>
      </c>
      <c r="K1052" s="16">
        <f>0.005/(1+E1052)+D1052*0.0005/(1+E1052)^2+0.005</f>
        <v/>
      </c>
      <c r="L1052" s="17">
        <f>IF(ABS(J1052)&lt;=K1052,"OK",IF(M1052&lt;&gt;"","EXPLAINED","CHECK"))</f>
        <v/>
      </c>
      <c r="M1052" s="7" t="inlineStr"/>
    </row>
    <row r="1053">
      <c r="A1053" s="33" t="n">
        <v>43868</v>
      </c>
      <c r="B1053" s="7" t="inlineStr">
        <is>
          <t>RWRP</t>
        </is>
      </c>
      <c r="C1053" s="7" t="inlineStr">
        <is>
          <t>FY2019</t>
        </is>
      </c>
      <c r="D1053" s="35" t="n">
        <v>70.95</v>
      </c>
      <c r="E1053" s="32" t="n">
        <v>-0.049</v>
      </c>
      <c r="F1053" s="35">
        <f>D1053/(1+E1053)</f>
        <v/>
      </c>
      <c r="G1053" s="7" t="inlineStr">
        <is>
          <t>FY2018</t>
        </is>
      </c>
      <c r="H1053" s="35" t="n">
        <v>74.61</v>
      </c>
      <c r="I1053" s="33" t="n">
        <v>43572</v>
      </c>
      <c r="J1053" s="36">
        <f>F1053-H1053</f>
        <v/>
      </c>
      <c r="K1053" s="16">
        <f>0.005/(1+E1053)+D1053*0.0005/(1+E1053)^2+0.005</f>
        <v/>
      </c>
      <c r="L1053" s="17">
        <f>IF(ABS(J1053)&lt;=K1053,"OK",IF(M1053&lt;&gt;"","EXPLAINED","CHECK"))</f>
        <v/>
      </c>
      <c r="M1053" s="7" t="inlineStr"/>
    </row>
    <row r="1054">
      <c r="A1054" s="33" t="n">
        <v>43868</v>
      </c>
      <c r="B1054" s="7" t="inlineStr">
        <is>
          <t>RWRP</t>
        </is>
      </c>
      <c r="C1054" s="7" t="inlineStr">
        <is>
          <t>Jan-20</t>
        </is>
      </c>
      <c r="D1054" s="35" t="n">
        <v>6.22</v>
      </c>
      <c r="E1054" s="32" t="n">
        <v>-0.048</v>
      </c>
      <c r="F1054" s="35">
        <f>D1054/(1+E1054)</f>
        <v/>
      </c>
      <c r="G1054" s="7" t="inlineStr">
        <is>
          <t>Jan-19</t>
        </is>
      </c>
      <c r="H1054" s="35" t="n">
        <v>6.54</v>
      </c>
      <c r="I1054" s="33" t="n">
        <v>43572</v>
      </c>
      <c r="J1054" s="36">
        <f>F1054-H1054</f>
        <v/>
      </c>
      <c r="K1054" s="16">
        <f>0.005/(1+E1054)+D1054*0.0005/(1+E1054)^2+0.005</f>
        <v/>
      </c>
      <c r="L1054" s="17">
        <f>IF(ABS(J1054)&lt;=K1054,"OK",IF(M1054&lt;&gt;"","EXPLAINED","CHECK"))</f>
        <v/>
      </c>
      <c r="M1054" s="7" t="inlineStr"/>
    </row>
    <row r="1055">
      <c r="A1055" s="33" t="n">
        <v>43868</v>
      </c>
      <c r="B1055" s="7" t="inlineStr">
        <is>
          <t>RWRP</t>
        </is>
      </c>
      <c r="C1055" s="7" t="inlineStr">
        <is>
          <t>Jan-20</t>
        </is>
      </c>
      <c r="D1055" s="35" t="n">
        <v>6.22</v>
      </c>
      <c r="E1055" s="32" t="n">
        <v>-0.048</v>
      </c>
      <c r="F1055" s="35">
        <f>D1055/(1+E1055)</f>
        <v/>
      </c>
      <c r="G1055" s="7" t="inlineStr">
        <is>
          <t>Jan-19</t>
        </is>
      </c>
      <c r="H1055" s="35" t="n">
        <v>6.54</v>
      </c>
      <c r="I1055" s="33" t="n">
        <v>43572</v>
      </c>
      <c r="J1055" s="36">
        <f>F1055-H1055</f>
        <v/>
      </c>
      <c r="K1055" s="16">
        <f>0.005/(1+E1055)+D1055*0.0005/(1+E1055)^2+0.005</f>
        <v/>
      </c>
      <c r="L1055" s="17">
        <f>IF(ABS(J1055)&lt;=K1055,"OK",IF(M1055&lt;&gt;"","EXPLAINED","CHECK"))</f>
        <v/>
      </c>
      <c r="M1055" s="7" t="inlineStr"/>
    </row>
    <row r="1056">
      <c r="A1056" s="33" t="n">
        <v>43840</v>
      </c>
      <c r="B1056" s="7" t="inlineStr">
        <is>
          <t>APE</t>
        </is>
      </c>
      <c r="C1056" s="7" t="inlineStr">
        <is>
          <t>FY2019</t>
        </is>
      </c>
      <c r="D1056" s="35" t="n">
        <v>77.98999999999999</v>
      </c>
      <c r="E1056" s="32" t="n">
        <v>0.001</v>
      </c>
      <c r="F1056" s="35">
        <f>D1056/(1+E1056)</f>
        <v/>
      </c>
      <c r="G1056" s="7" t="inlineStr">
        <is>
          <t>FY2018</t>
        </is>
      </c>
      <c r="H1056" s="35" t="n">
        <v>77.92</v>
      </c>
      <c r="I1056" s="33" t="n">
        <v>43572</v>
      </c>
      <c r="J1056" s="36">
        <f>F1056-H1056</f>
        <v/>
      </c>
      <c r="K1056" s="16">
        <f>0.005/(1+E1056)+D1056*0.0005/(1+E1056)^2+0.005</f>
        <v/>
      </c>
      <c r="L1056" s="17">
        <f>IF(ABS(J1056)&lt;=K1056,"OK",IF(M1056&lt;&gt;"","EXPLAINED","CHECK"))</f>
        <v/>
      </c>
      <c r="M1056" s="7" t="inlineStr"/>
    </row>
    <row r="1057">
      <c r="A1057" s="33" t="n">
        <v>43840</v>
      </c>
      <c r="B1057" s="7" t="inlineStr">
        <is>
          <t>APE</t>
        </is>
      </c>
      <c r="C1057" s="7" t="inlineStr">
        <is>
          <t>Dec-19</t>
        </is>
      </c>
      <c r="D1057" s="35" t="n">
        <v>7.94</v>
      </c>
      <c r="E1057" s="32" t="n">
        <v>0.03700000000000001</v>
      </c>
      <c r="F1057" s="35">
        <f>D1057/(1+E1057)</f>
        <v/>
      </c>
      <c r="G1057" s="7" t="inlineStr">
        <is>
          <t>Dec-18</t>
        </is>
      </c>
      <c r="H1057" s="35" t="n">
        <v>7.66</v>
      </c>
      <c r="I1057" s="33" t="n">
        <v>43472</v>
      </c>
      <c r="J1057" s="36">
        <f>F1057-H1057</f>
        <v/>
      </c>
      <c r="K1057" s="16">
        <f>0.005/(1+E1057)+D1057*0.0005/(1+E1057)^2+0.005</f>
        <v/>
      </c>
      <c r="L1057" s="17">
        <f>IF(ABS(J1057)&lt;=K1057,"OK",IF(M1057&lt;&gt;"","EXPLAINED","CHECK"))</f>
        <v/>
      </c>
      <c r="M1057" s="7" t="inlineStr"/>
    </row>
    <row r="1058">
      <c r="A1058" s="33" t="n">
        <v>43840</v>
      </c>
      <c r="B1058" s="7" t="inlineStr">
        <is>
          <t>APE</t>
        </is>
      </c>
      <c r="C1058" s="7" t="inlineStr">
        <is>
          <t>Nov-19</t>
        </is>
      </c>
      <c r="D1058" s="35" t="n">
        <v>6.54</v>
      </c>
      <c r="E1058" s="32" t="n">
        <v>-0.048</v>
      </c>
      <c r="F1058" s="35">
        <f>D1058/(1+E1058)</f>
        <v/>
      </c>
      <c r="G1058" s="7" t="inlineStr">
        <is>
          <t>Nov-18</t>
        </is>
      </c>
      <c r="H1058" s="35" t="n">
        <v>6.87</v>
      </c>
      <c r="I1058" s="33" t="n">
        <v>43472</v>
      </c>
      <c r="J1058" s="36">
        <f>F1058-H1058</f>
        <v/>
      </c>
      <c r="K1058" s="16">
        <f>0.005/(1+E1058)+D1058*0.0005/(1+E1058)^2+0.005</f>
        <v/>
      </c>
      <c r="L1058" s="17">
        <f>IF(ABS(J1058)&lt;=K1058,"OK",IF(M1058&lt;&gt;"","EXPLAINED","CHECK"))</f>
        <v/>
      </c>
      <c r="M1058" s="7" t="inlineStr"/>
    </row>
    <row r="1059">
      <c r="A1059" s="33" t="n">
        <v>43840</v>
      </c>
      <c r="B1059" s="7" t="inlineStr">
        <is>
          <t>APE</t>
        </is>
      </c>
      <c r="C1059" s="7" t="inlineStr">
        <is>
          <t>Oct-19</t>
        </is>
      </c>
      <c r="D1059" s="35" t="n">
        <v>5.9</v>
      </c>
      <c r="E1059" s="32" t="n">
        <v>0.159</v>
      </c>
      <c r="F1059" s="35">
        <f>D1059/(1+E1059)</f>
        <v/>
      </c>
      <c r="G1059" s="7" t="inlineStr">
        <is>
          <t>Oct-18</t>
        </is>
      </c>
      <c r="H1059" s="35" t="n">
        <v>5.09</v>
      </c>
      <c r="I1059" s="33" t="n">
        <v>43472</v>
      </c>
      <c r="J1059" s="36">
        <f>F1059-H1059</f>
        <v/>
      </c>
      <c r="K1059" s="16">
        <f>0.005/(1+E1059)+D1059*0.0005/(1+E1059)^2+0.005</f>
        <v/>
      </c>
      <c r="L1059" s="17">
        <f>IF(ABS(J1059)&lt;=K1059,"OK",IF(M1059&lt;&gt;"","EXPLAINED","CHECK"))</f>
        <v/>
      </c>
      <c r="M1059" s="7" t="inlineStr"/>
    </row>
    <row r="1060">
      <c r="A1060" s="33" t="n">
        <v>43840</v>
      </c>
      <c r="B1060" s="7" t="inlineStr">
        <is>
          <t>RWRP</t>
        </is>
      </c>
      <c r="C1060" s="7" t="inlineStr">
        <is>
          <t>FY2019</t>
        </is>
      </c>
      <c r="D1060" s="35" t="n">
        <v>70.95</v>
      </c>
      <c r="E1060" s="32" t="n">
        <v>-0.049</v>
      </c>
      <c r="F1060" s="35">
        <f>D1060/(1+E1060)</f>
        <v/>
      </c>
      <c r="G1060" s="7" t="inlineStr">
        <is>
          <t>FY2018</t>
        </is>
      </c>
      <c r="H1060" s="35" t="n">
        <v>74.61</v>
      </c>
      <c r="I1060" s="33" t="n">
        <v>43572</v>
      </c>
      <c r="J1060" s="36">
        <f>F1060-H1060</f>
        <v/>
      </c>
      <c r="K1060" s="16">
        <f>0.005/(1+E1060)+D1060*0.0005/(1+E1060)^2+0.005</f>
        <v/>
      </c>
      <c r="L1060" s="17">
        <f>IF(ABS(J1060)&lt;=K1060,"OK",IF(M1060&lt;&gt;"","EXPLAINED","CHECK"))</f>
        <v/>
      </c>
      <c r="M1060" s="7" t="inlineStr"/>
    </row>
    <row r="1061">
      <c r="A1061" s="33" t="n">
        <v>43840</v>
      </c>
      <c r="B1061" s="7" t="inlineStr">
        <is>
          <t>RWRP</t>
        </is>
      </c>
      <c r="C1061" s="7" t="inlineStr">
        <is>
          <t>Dec-19</t>
        </is>
      </c>
      <c r="D1061" s="35" t="n">
        <v>7.42</v>
      </c>
      <c r="E1061" s="32" t="n">
        <v>0.079</v>
      </c>
      <c r="F1061" s="35">
        <f>D1061/(1+E1061)</f>
        <v/>
      </c>
      <c r="G1061" s="7" t="inlineStr">
        <is>
          <t>Dec-18</t>
        </is>
      </c>
      <c r="H1061" s="35" t="n">
        <v>6.88</v>
      </c>
      <c r="I1061" s="33" t="n">
        <v>43472</v>
      </c>
      <c r="J1061" s="36">
        <f>F1061-H1061</f>
        <v/>
      </c>
      <c r="K1061" s="16">
        <f>0.005/(1+E1061)+D1061*0.0005/(1+E1061)^2+0.005</f>
        <v/>
      </c>
      <c r="L1061" s="17">
        <f>IF(ABS(J1061)&lt;=K1061,"OK",IF(M1061&lt;&gt;"","EXPLAINED","CHECK"))</f>
        <v/>
      </c>
      <c r="M1061" s="7" t="inlineStr"/>
    </row>
    <row r="1062">
      <c r="A1062" s="33" t="n">
        <v>43840</v>
      </c>
      <c r="B1062" s="7" t="inlineStr">
        <is>
          <t>RWRP</t>
        </is>
      </c>
      <c r="C1062" s="7" t="inlineStr">
        <is>
          <t>Nov-19</t>
        </is>
      </c>
      <c r="D1062" s="35" t="n">
        <v>6.11</v>
      </c>
      <c r="E1062" s="32" t="n">
        <v>0.196</v>
      </c>
      <c r="F1062" s="35">
        <f>D1062/(1+E1062)</f>
        <v/>
      </c>
      <c r="G1062" s="7" t="inlineStr">
        <is>
          <t>Nov-18</t>
        </is>
      </c>
      <c r="H1062" s="35" t="n">
        <v>5.11</v>
      </c>
      <c r="I1062" s="33" t="n">
        <v>43472</v>
      </c>
      <c r="J1062" s="36">
        <f>F1062-H1062</f>
        <v/>
      </c>
      <c r="K1062" s="16">
        <f>0.005/(1+E1062)+D1062*0.0005/(1+E1062)^2+0.005</f>
        <v/>
      </c>
      <c r="L1062" s="17">
        <f>IF(ABS(J1062)&lt;=K1062,"OK",IF(M1062&lt;&gt;"","EXPLAINED","CHECK"))</f>
        <v/>
      </c>
      <c r="M1062" s="7" t="inlineStr"/>
    </row>
    <row r="1063">
      <c r="A1063" s="33" t="n">
        <v>43840</v>
      </c>
      <c r="B1063" s="7" t="inlineStr">
        <is>
          <t>RWRP</t>
        </is>
      </c>
      <c r="C1063" s="7" t="inlineStr">
        <is>
          <t>Oct-19</t>
        </is>
      </c>
      <c r="D1063" s="35" t="n">
        <v>5.53</v>
      </c>
      <c r="E1063" s="32" t="n">
        <v>0.179</v>
      </c>
      <c r="F1063" s="35">
        <f>D1063/(1+E1063)</f>
        <v/>
      </c>
      <c r="G1063" s="7" t="inlineStr">
        <is>
          <t>Oct-18</t>
        </is>
      </c>
      <c r="H1063" s="35" t="n">
        <v>4.69</v>
      </c>
      <c r="I1063" s="33" t="n">
        <v>43472</v>
      </c>
      <c r="J1063" s="36">
        <f>F1063-H1063</f>
        <v/>
      </c>
      <c r="K1063" s="16">
        <f>0.005/(1+E1063)+D1063*0.0005/(1+E1063)^2+0.005</f>
        <v/>
      </c>
      <c r="L1063" s="17">
        <f>IF(ABS(J1063)&lt;=K1063,"OK",IF(M1063&lt;&gt;"","EXPLAINED","CHECK"))</f>
        <v/>
      </c>
      <c r="M1063" s="7" t="inlineStr"/>
    </row>
    <row r="1064">
      <c r="A1064" s="33" t="n">
        <v>43808</v>
      </c>
      <c r="B1064" s="7" t="inlineStr">
        <is>
          <t>APE</t>
        </is>
      </c>
      <c r="C1064" s="7" t="inlineStr">
        <is>
          <t>FY2019</t>
        </is>
      </c>
      <c r="D1064" s="35" t="n">
        <v>77.98999999999999</v>
      </c>
      <c r="E1064" s="32" t="n">
        <v>0.001</v>
      </c>
      <c r="F1064" s="35">
        <f>D1064/(1+E1064)</f>
        <v/>
      </c>
      <c r="G1064" s="7" t="inlineStr">
        <is>
          <t>FY2018</t>
        </is>
      </c>
      <c r="H1064" s="35" t="n">
        <v>77.92</v>
      </c>
      <c r="I1064" s="33" t="n">
        <v>43572</v>
      </c>
      <c r="J1064" s="36">
        <f>F1064-H1064</f>
        <v/>
      </c>
      <c r="K1064" s="16">
        <f>0.005/(1+E1064)+D1064*0.0005/(1+E1064)^2+0.005</f>
        <v/>
      </c>
      <c r="L1064" s="17">
        <f>IF(ABS(J1064)&lt;=K1064,"OK",IF(M1064&lt;&gt;"","EXPLAINED","CHECK"))</f>
        <v/>
      </c>
      <c r="M1064" s="7" t="inlineStr"/>
    </row>
    <row r="1065">
      <c r="A1065" s="33" t="n">
        <v>43808</v>
      </c>
      <c r="B1065" s="7" t="inlineStr">
        <is>
          <t>APE</t>
        </is>
      </c>
      <c r="C1065" s="7" t="inlineStr">
        <is>
          <t>Nov-19</t>
        </is>
      </c>
      <c r="D1065" s="35" t="n">
        <v>6.54</v>
      </c>
      <c r="E1065" s="32" t="n">
        <v>-0.048</v>
      </c>
      <c r="F1065" s="35">
        <f>D1065/(1+E1065)</f>
        <v/>
      </c>
      <c r="G1065" s="7" t="inlineStr">
        <is>
          <t>Nov-18</t>
        </is>
      </c>
      <c r="H1065" s="35" t="n">
        <v>6.87</v>
      </c>
      <c r="I1065" s="33" t="n">
        <v>43472</v>
      </c>
      <c r="J1065" s="36">
        <f>F1065-H1065</f>
        <v/>
      </c>
      <c r="K1065" s="16">
        <f>0.005/(1+E1065)+D1065*0.0005/(1+E1065)^2+0.005</f>
        <v/>
      </c>
      <c r="L1065" s="17">
        <f>IF(ABS(J1065)&lt;=K1065,"OK",IF(M1065&lt;&gt;"","EXPLAINED","CHECK"))</f>
        <v/>
      </c>
      <c r="M1065" s="7" t="inlineStr"/>
    </row>
    <row r="1066">
      <c r="A1066" s="33" t="n">
        <v>43808</v>
      </c>
      <c r="B1066" s="7" t="inlineStr">
        <is>
          <t>APE</t>
        </is>
      </c>
      <c r="C1066" s="7" t="inlineStr">
        <is>
          <t>Oct-19</t>
        </is>
      </c>
      <c r="D1066" s="35" t="n">
        <v>5.9</v>
      </c>
      <c r="E1066" s="32" t="n">
        <v>0.159</v>
      </c>
      <c r="F1066" s="35">
        <f>D1066/(1+E1066)</f>
        <v/>
      </c>
      <c r="G1066" s="7" t="inlineStr">
        <is>
          <t>Oct-18</t>
        </is>
      </c>
      <c r="H1066" s="35" t="n">
        <v>5.09</v>
      </c>
      <c r="I1066" s="33" t="n">
        <v>43472</v>
      </c>
      <c r="J1066" s="36">
        <f>F1066-H1066</f>
        <v/>
      </c>
      <c r="K1066" s="16">
        <f>0.005/(1+E1066)+D1066*0.0005/(1+E1066)^2+0.005</f>
        <v/>
      </c>
      <c r="L1066" s="17">
        <f>IF(ABS(J1066)&lt;=K1066,"OK",IF(M1066&lt;&gt;"","EXPLAINED","CHECK"))</f>
        <v/>
      </c>
      <c r="M1066" s="7" t="inlineStr"/>
    </row>
    <row r="1067">
      <c r="A1067" s="33" t="n">
        <v>43808</v>
      </c>
      <c r="B1067" s="7" t="inlineStr">
        <is>
          <t>RWRP</t>
        </is>
      </c>
      <c r="C1067" s="7" t="inlineStr">
        <is>
          <t>FY2019</t>
        </is>
      </c>
      <c r="D1067" s="35" t="n">
        <v>70.95</v>
      </c>
      <c r="E1067" s="32" t="n">
        <v>-0.049</v>
      </c>
      <c r="F1067" s="35">
        <f>D1067/(1+E1067)</f>
        <v/>
      </c>
      <c r="G1067" s="7" t="inlineStr">
        <is>
          <t>FY2018</t>
        </is>
      </c>
      <c r="H1067" s="35" t="n">
        <v>74.61</v>
      </c>
      <c r="I1067" s="33" t="n">
        <v>43572</v>
      </c>
      <c r="J1067" s="36">
        <f>F1067-H1067</f>
        <v/>
      </c>
      <c r="K1067" s="16">
        <f>0.005/(1+E1067)+D1067*0.0005/(1+E1067)^2+0.005</f>
        <v/>
      </c>
      <c r="L1067" s="17">
        <f>IF(ABS(J1067)&lt;=K1067,"OK",IF(M1067&lt;&gt;"","EXPLAINED","CHECK"))</f>
        <v/>
      </c>
      <c r="M1067" s="7" t="inlineStr"/>
    </row>
    <row r="1068">
      <c r="A1068" s="33" t="n">
        <v>43808</v>
      </c>
      <c r="B1068" s="7" t="inlineStr">
        <is>
          <t>RWRP</t>
        </is>
      </c>
      <c r="C1068" s="7" t="inlineStr">
        <is>
          <t>Nov-19</t>
        </is>
      </c>
      <c r="D1068" s="35" t="n">
        <v>6.11</v>
      </c>
      <c r="E1068" s="32" t="n">
        <v>0.196</v>
      </c>
      <c r="F1068" s="35">
        <f>D1068/(1+E1068)</f>
        <v/>
      </c>
      <c r="G1068" s="7" t="inlineStr">
        <is>
          <t>Nov-18</t>
        </is>
      </c>
      <c r="H1068" s="35" t="n">
        <v>5.11</v>
      </c>
      <c r="I1068" s="33" t="n">
        <v>43472</v>
      </c>
      <c r="J1068" s="36">
        <f>F1068-H1068</f>
        <v/>
      </c>
      <c r="K1068" s="16">
        <f>0.005/(1+E1068)+D1068*0.0005/(1+E1068)^2+0.005</f>
        <v/>
      </c>
      <c r="L1068" s="17">
        <f>IF(ABS(J1068)&lt;=K1068,"OK",IF(M1068&lt;&gt;"","EXPLAINED","CHECK"))</f>
        <v/>
      </c>
      <c r="M1068" s="7" t="inlineStr"/>
    </row>
    <row r="1069">
      <c r="A1069" s="33" t="n">
        <v>43808</v>
      </c>
      <c r="B1069" s="7" t="inlineStr">
        <is>
          <t>RWRP</t>
        </is>
      </c>
      <c r="C1069" s="7" t="inlineStr">
        <is>
          <t>Oct-19</t>
        </is>
      </c>
      <c r="D1069" s="35" t="n">
        <v>5.53</v>
      </c>
      <c r="E1069" s="32" t="n">
        <v>0.179</v>
      </c>
      <c r="F1069" s="35">
        <f>D1069/(1+E1069)</f>
        <v/>
      </c>
      <c r="G1069" s="7" t="inlineStr">
        <is>
          <t>Oct-18</t>
        </is>
      </c>
      <c r="H1069" s="35" t="n">
        <v>4.69</v>
      </c>
      <c r="I1069" s="33" t="n">
        <v>43472</v>
      </c>
      <c r="J1069" s="36">
        <f>F1069-H1069</f>
        <v/>
      </c>
      <c r="K1069" s="16">
        <f>0.005/(1+E1069)+D1069*0.0005/(1+E1069)^2+0.005</f>
        <v/>
      </c>
      <c r="L1069" s="17">
        <f>IF(ABS(J1069)&lt;=K1069,"OK",IF(M1069&lt;&gt;"","EXPLAINED","CHECK"))</f>
        <v/>
      </c>
      <c r="M1069" s="7" t="inlineStr"/>
    </row>
    <row r="1070">
      <c r="A1070" s="33" t="n">
        <v>43749</v>
      </c>
      <c r="B1070" s="7" t="inlineStr">
        <is>
          <t>APE</t>
        </is>
      </c>
      <c r="C1070" s="7" t="inlineStr">
        <is>
          <t>FY2019</t>
        </is>
      </c>
      <c r="D1070" s="35" t="n">
        <v>77.98999999999999</v>
      </c>
      <c r="E1070" s="32" t="n">
        <v>0.001</v>
      </c>
      <c r="F1070" s="35">
        <f>D1070/(1+E1070)</f>
        <v/>
      </c>
      <c r="G1070" s="7" t="inlineStr">
        <is>
          <t>FY2018</t>
        </is>
      </c>
      <c r="H1070" s="35" t="n">
        <v>77.92</v>
      </c>
      <c r="I1070" s="33" t="n">
        <v>43572</v>
      </c>
      <c r="J1070" s="36">
        <f>F1070-H1070</f>
        <v/>
      </c>
      <c r="K1070" s="16">
        <f>0.005/(1+E1070)+D1070*0.0005/(1+E1070)^2+0.005</f>
        <v/>
      </c>
      <c r="L1070" s="17">
        <f>IF(ABS(J1070)&lt;=K1070,"OK",IF(M1070&lt;&gt;"","EXPLAINED","CHECK"))</f>
        <v/>
      </c>
      <c r="M1070" s="7" t="inlineStr"/>
    </row>
    <row r="1071">
      <c r="A1071" s="33" t="n">
        <v>43749</v>
      </c>
      <c r="B1071" s="7" t="inlineStr">
        <is>
          <t>RWRP</t>
        </is>
      </c>
      <c r="C1071" s="7" t="inlineStr">
        <is>
          <t>FY2019</t>
        </is>
      </c>
      <c r="D1071" s="35" t="n">
        <v>70.95</v>
      </c>
      <c r="E1071" s="32" t="n">
        <v>-0.049</v>
      </c>
      <c r="F1071" s="35">
        <f>D1071/(1+E1071)</f>
        <v/>
      </c>
      <c r="G1071" s="7" t="inlineStr">
        <is>
          <t>FY2018</t>
        </is>
      </c>
      <c r="H1071" s="35" t="n">
        <v>74.61</v>
      </c>
      <c r="I1071" s="33" t="n">
        <v>43572</v>
      </c>
      <c r="J1071" s="36">
        <f>F1071-H1071</f>
        <v/>
      </c>
      <c r="K1071" s="16">
        <f>0.005/(1+E1071)+D1071*0.0005/(1+E1071)^2+0.005</f>
        <v/>
      </c>
      <c r="L1071" s="17">
        <f>IF(ABS(J1071)&lt;=K1071,"OK",IF(M1071&lt;&gt;"","EXPLAINED","CHECK"))</f>
        <v/>
      </c>
      <c r="M1071" s="7" t="inlineStr"/>
    </row>
    <row r="1072">
      <c r="A1072" s="33" t="n">
        <v>43719</v>
      </c>
      <c r="B1072" s="7" t="inlineStr">
        <is>
          <t>APE</t>
        </is>
      </c>
      <c r="C1072" s="7" t="inlineStr">
        <is>
          <t>FY2019</t>
        </is>
      </c>
      <c r="D1072" s="35" t="n">
        <v>77.98999999999999</v>
      </c>
      <c r="E1072" s="32" t="n">
        <v>0.001</v>
      </c>
      <c r="F1072" s="35">
        <f>D1072/(1+E1072)</f>
        <v/>
      </c>
      <c r="G1072" s="7" t="inlineStr">
        <is>
          <t>FY2018</t>
        </is>
      </c>
      <c r="H1072" s="35" t="n">
        <v>77.92</v>
      </c>
      <c r="I1072" s="33" t="n">
        <v>43572</v>
      </c>
      <c r="J1072" s="36">
        <f>F1072-H1072</f>
        <v/>
      </c>
      <c r="K1072" s="16">
        <f>0.005/(1+E1072)+D1072*0.0005/(1+E1072)^2+0.005</f>
        <v/>
      </c>
      <c r="L1072" s="17">
        <f>IF(ABS(J1072)&lt;=K1072,"OK",IF(M1072&lt;&gt;"","EXPLAINED","CHECK"))</f>
        <v/>
      </c>
      <c r="M1072" s="7" t="inlineStr"/>
    </row>
    <row r="1073">
      <c r="A1073" s="33" t="n">
        <v>43719</v>
      </c>
      <c r="B1073" s="7" t="inlineStr">
        <is>
          <t>RWRP</t>
        </is>
      </c>
      <c r="C1073" s="7" t="inlineStr">
        <is>
          <t>FY2019</t>
        </is>
      </c>
      <c r="D1073" s="35" t="n">
        <v>70.95</v>
      </c>
      <c r="E1073" s="32" t="n">
        <v>-0.049</v>
      </c>
      <c r="F1073" s="35">
        <f>D1073/(1+E1073)</f>
        <v/>
      </c>
      <c r="G1073" s="7" t="inlineStr">
        <is>
          <t>FY2018</t>
        </is>
      </c>
      <c r="H1073" s="35" t="n">
        <v>74.61</v>
      </c>
      <c r="I1073" s="33" t="n">
        <v>43572</v>
      </c>
      <c r="J1073" s="36">
        <f>F1073-H1073</f>
        <v/>
      </c>
      <c r="K1073" s="16">
        <f>0.005/(1+E1073)+D1073*0.0005/(1+E1073)^2+0.005</f>
        <v/>
      </c>
      <c r="L1073" s="17">
        <f>IF(ABS(J1073)&lt;=K1073,"OK",IF(M1073&lt;&gt;"","EXPLAINED","CHECK"))</f>
        <v/>
      </c>
      <c r="M1073" s="7" t="inlineStr"/>
    </row>
    <row r="1074">
      <c r="A1074" s="33" t="n">
        <v>43690</v>
      </c>
      <c r="B1074" s="7" t="inlineStr">
        <is>
          <t>APE</t>
        </is>
      </c>
      <c r="C1074" s="7" t="inlineStr">
        <is>
          <t>FY2019</t>
        </is>
      </c>
      <c r="D1074" s="35" t="n">
        <v>77.98999999999999</v>
      </c>
      <c r="E1074" s="32" t="n">
        <v>0.001</v>
      </c>
      <c r="F1074" s="35">
        <f>D1074/(1+E1074)</f>
        <v/>
      </c>
      <c r="G1074" s="7" t="inlineStr">
        <is>
          <t>FY2018</t>
        </is>
      </c>
      <c r="H1074" s="35" t="n">
        <v>77.92</v>
      </c>
      <c r="I1074" s="33" t="n">
        <v>43572</v>
      </c>
      <c r="J1074" s="36">
        <f>F1074-H1074</f>
        <v/>
      </c>
      <c r="K1074" s="16">
        <f>0.005/(1+E1074)+D1074*0.0005/(1+E1074)^2+0.005</f>
        <v/>
      </c>
      <c r="L1074" s="17">
        <f>IF(ABS(J1074)&lt;=K1074,"OK",IF(M1074&lt;&gt;"","EXPLAINED","CHECK"))</f>
        <v/>
      </c>
      <c r="M1074" s="7" t="inlineStr"/>
    </row>
    <row r="1075">
      <c r="A1075" s="33" t="n">
        <v>43690</v>
      </c>
      <c r="B1075" s="7" t="inlineStr">
        <is>
          <t>RWRP</t>
        </is>
      </c>
      <c r="C1075" s="7" t="inlineStr">
        <is>
          <t>FY2019</t>
        </is>
      </c>
      <c r="D1075" s="35" t="n">
        <v>70.95</v>
      </c>
      <c r="E1075" s="32" t="n">
        <v>-0.049</v>
      </c>
      <c r="F1075" s="35">
        <f>D1075/(1+E1075)</f>
        <v/>
      </c>
      <c r="G1075" s="7" t="inlineStr">
        <is>
          <t>FY2018</t>
        </is>
      </c>
      <c r="H1075" s="35" t="n">
        <v>74.61</v>
      </c>
      <c r="I1075" s="33" t="n">
        <v>43572</v>
      </c>
      <c r="J1075" s="36">
        <f>F1075-H1075</f>
        <v/>
      </c>
      <c r="K1075" s="16">
        <f>0.005/(1+E1075)+D1075*0.0005/(1+E1075)^2+0.005</f>
        <v/>
      </c>
      <c r="L1075" s="17">
        <f>IF(ABS(J1075)&lt;=K1075,"OK",IF(M1075&lt;&gt;"","EXPLAINED","CHECK"))</f>
        <v/>
      </c>
      <c r="M1075" s="7" t="inlineStr"/>
    </row>
    <row r="1076">
      <c r="A1076" s="33" t="n">
        <v>43651</v>
      </c>
      <c r="B1076" s="7" t="inlineStr">
        <is>
          <t>APE</t>
        </is>
      </c>
      <c r="C1076" s="7" t="inlineStr">
        <is>
          <t>FY2019</t>
        </is>
      </c>
      <c r="D1076" s="35" t="n">
        <v>77.98999999999999</v>
      </c>
      <c r="E1076" s="32" t="n">
        <v>0.001</v>
      </c>
      <c r="F1076" s="35">
        <f>D1076/(1+E1076)</f>
        <v/>
      </c>
      <c r="G1076" s="7" t="inlineStr">
        <is>
          <t>FY2018</t>
        </is>
      </c>
      <c r="H1076" s="35" t="n">
        <v>77.92</v>
      </c>
      <c r="I1076" s="33" t="n">
        <v>43572</v>
      </c>
      <c r="J1076" s="36">
        <f>F1076-H1076</f>
        <v/>
      </c>
      <c r="K1076" s="16">
        <f>0.005/(1+E1076)+D1076*0.0005/(1+E1076)^2+0.005</f>
        <v/>
      </c>
      <c r="L1076" s="17">
        <f>IF(ABS(J1076)&lt;=K1076,"OK",IF(M1076&lt;&gt;"","EXPLAINED","CHECK"))</f>
        <v/>
      </c>
      <c r="M1076" s="7" t="inlineStr"/>
    </row>
    <row r="1077">
      <c r="A1077" s="33" t="n">
        <v>43651</v>
      </c>
      <c r="B1077" s="7" t="inlineStr">
        <is>
          <t>RWRP</t>
        </is>
      </c>
      <c r="C1077" s="7" t="inlineStr">
        <is>
          <t>FY2019</t>
        </is>
      </c>
      <c r="D1077" s="35" t="n">
        <v>70.95</v>
      </c>
      <c r="E1077" s="32" t="n">
        <v>-0.049</v>
      </c>
      <c r="F1077" s="35">
        <f>D1077/(1+E1077)</f>
        <v/>
      </c>
      <c r="G1077" s="7" t="inlineStr">
        <is>
          <t>FY2018</t>
        </is>
      </c>
      <c r="H1077" s="35" t="n">
        <v>74.61</v>
      </c>
      <c r="I1077" s="33" t="n">
        <v>43572</v>
      </c>
      <c r="J1077" s="36">
        <f>F1077-H1077</f>
        <v/>
      </c>
      <c r="K1077" s="16">
        <f>0.005/(1+E1077)+D1077*0.0005/(1+E1077)^2+0.005</f>
        <v/>
      </c>
      <c r="L1077" s="17">
        <f>IF(ABS(J1077)&lt;=K1077,"OK",IF(M1077&lt;&gt;"","EXPLAINED","CHECK"))</f>
        <v/>
      </c>
      <c r="M1077" s="7" t="inlineStr"/>
    </row>
    <row r="1078">
      <c r="A1078" s="33" t="n">
        <v>43621</v>
      </c>
      <c r="B1078" s="7" t="inlineStr">
        <is>
          <t>APE</t>
        </is>
      </c>
      <c r="C1078" s="7" t="inlineStr">
        <is>
          <t>FY2019</t>
        </is>
      </c>
      <c r="D1078" s="35" t="n">
        <v>77.98999999999999</v>
      </c>
      <c r="E1078" s="32" t="n">
        <v>0.001</v>
      </c>
      <c r="F1078" s="35">
        <f>D1078/(1+E1078)</f>
        <v/>
      </c>
      <c r="G1078" s="7" t="inlineStr">
        <is>
          <t>FY2018</t>
        </is>
      </c>
      <c r="H1078" s="35" t="n">
        <v>77.92</v>
      </c>
      <c r="I1078" s="33" t="n">
        <v>43572</v>
      </c>
      <c r="J1078" s="36">
        <f>F1078-H1078</f>
        <v/>
      </c>
      <c r="K1078" s="16">
        <f>0.005/(1+E1078)+D1078*0.0005/(1+E1078)^2+0.005</f>
        <v/>
      </c>
      <c r="L1078" s="17">
        <f>IF(ABS(J1078)&lt;=K1078,"OK",IF(M1078&lt;&gt;"","EXPLAINED","CHECK"))</f>
        <v/>
      </c>
      <c r="M1078" s="7" t="inlineStr"/>
    </row>
    <row r="1079">
      <c r="A1079" s="33" t="n">
        <v>43621</v>
      </c>
      <c r="B1079" s="7" t="inlineStr">
        <is>
          <t>RWRP</t>
        </is>
      </c>
      <c r="C1079" s="7" t="inlineStr">
        <is>
          <t>FY2019</t>
        </is>
      </c>
      <c r="D1079" s="35" t="n">
        <v>70.95</v>
      </c>
      <c r="E1079" s="32" t="n">
        <v>-0.049</v>
      </c>
      <c r="F1079" s="35">
        <f>D1079/(1+E1079)</f>
        <v/>
      </c>
      <c r="G1079" s="7" t="inlineStr">
        <is>
          <t>FY2018</t>
        </is>
      </c>
      <c r="H1079" s="35" t="n">
        <v>74.61</v>
      </c>
      <c r="I1079" s="33" t="n">
        <v>43572</v>
      </c>
      <c r="J1079" s="36">
        <f>F1079-H1079</f>
        <v/>
      </c>
      <c r="K1079" s="16">
        <f>0.005/(1+E1079)+D1079*0.0005/(1+E1079)^2+0.005</f>
        <v/>
      </c>
      <c r="L1079" s="17">
        <f>IF(ABS(J1079)&lt;=K1079,"OK",IF(M1079&lt;&gt;"","EXPLAINED","CHECK"))</f>
        <v/>
      </c>
      <c r="M1079" s="7" t="inlineStr"/>
    </row>
    <row r="1080">
      <c r="A1080" s="33" t="n">
        <v>43589</v>
      </c>
      <c r="B1080" s="7" t="inlineStr">
        <is>
          <t>APE</t>
        </is>
      </c>
      <c r="C1080" s="7" t="inlineStr">
        <is>
          <t>FY2019</t>
        </is>
      </c>
      <c r="D1080" s="35" t="n">
        <v>77.98999999999999</v>
      </c>
      <c r="E1080" s="32" t="n">
        <v>0.001</v>
      </c>
      <c r="F1080" s="35">
        <f>D1080/(1+E1080)</f>
        <v/>
      </c>
      <c r="G1080" s="7" t="inlineStr">
        <is>
          <t>FY2018</t>
        </is>
      </c>
      <c r="H1080" s="35" t="n">
        <v>77.92</v>
      </c>
      <c r="I1080" s="33" t="n">
        <v>43572</v>
      </c>
      <c r="J1080" s="36">
        <f>F1080-H1080</f>
        <v/>
      </c>
      <c r="K1080" s="16">
        <f>0.005/(1+E1080)+D1080*0.0005/(1+E1080)^2+0.005</f>
        <v/>
      </c>
      <c r="L1080" s="17">
        <f>IF(ABS(J1080)&lt;=K1080,"OK",IF(M1080&lt;&gt;"","EXPLAINED","CHECK"))</f>
        <v/>
      </c>
      <c r="M1080" s="7" t="inlineStr"/>
    </row>
    <row r="1081">
      <c r="A1081" s="33" t="n">
        <v>43589</v>
      </c>
      <c r="B1081" s="7" t="inlineStr">
        <is>
          <t>RWRP</t>
        </is>
      </c>
      <c r="C1081" s="7" t="inlineStr">
        <is>
          <t>FY2019</t>
        </is>
      </c>
      <c r="D1081" s="35" t="n">
        <v>70.95</v>
      </c>
      <c r="E1081" s="32" t="n">
        <v>-0.049</v>
      </c>
      <c r="F1081" s="35">
        <f>D1081/(1+E1081)</f>
        <v/>
      </c>
      <c r="G1081" s="7" t="inlineStr">
        <is>
          <t>FY2018</t>
        </is>
      </c>
      <c r="H1081" s="35" t="n">
        <v>74.61</v>
      </c>
      <c r="I1081" s="33" t="n">
        <v>43572</v>
      </c>
      <c r="J1081" s="36">
        <f>F1081-H1081</f>
        <v/>
      </c>
      <c r="K1081" s="16">
        <f>0.005/(1+E1081)+D1081*0.0005/(1+E1081)^2+0.005</f>
        <v/>
      </c>
      <c r="L1081" s="17">
        <f>IF(ABS(J1081)&lt;=K1081,"OK",IF(M1081&lt;&gt;"","EXPLAINED","CHECK"))</f>
        <v/>
      </c>
      <c r="M1081" s="7" t="inlineStr"/>
    </row>
  </sheetData>
  <autoFilter ref="A4:M108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44" customWidth="1" min="3" max="3"/>
    <col width="10" customWidth="1" min="4" max="4"/>
    <col width="90" customWidth="1" min="5" max="5"/>
    <col width="10" customWidth="1" min="6" max="6"/>
  </cols>
  <sheetData>
    <row r="1">
      <c r="A1" s="1" t="inlineStr">
        <is>
          <t>BSE filings scanned (Investor Presentation / Performance Update, Dec-2018 onward)</t>
        </is>
      </c>
      <c r="B1" s="2" t="n"/>
      <c r="C1" s="2" t="n"/>
      <c r="D1" s="2" t="n"/>
      <c r="E1" s="2" t="n"/>
      <c r="F1" s="2" t="n"/>
    </row>
    <row r="3">
      <c r="A3" s="3" t="inlineStr">
        <is>
          <t>Filing Date</t>
        </is>
      </c>
      <c r="B3" s="3" t="inlineStr">
        <is>
          <t>Months in Table</t>
        </is>
      </c>
      <c r="C3" s="3" t="inlineStr">
        <is>
          <t>Status</t>
        </is>
      </c>
      <c r="D3" s="3" t="inlineStr">
        <is>
          <t>Table Page</t>
        </is>
      </c>
      <c r="E3" s="3" t="inlineStr">
        <is>
          <t>Filing Subject</t>
        </is>
      </c>
      <c r="F3" s="3" t="inlineStr">
        <is>
          <t>BSE PDF</t>
        </is>
      </c>
    </row>
    <row r="4">
      <c r="A4" s="33" t="n">
        <v>46308</v>
      </c>
      <c r="B4" s="7" t="inlineStr"/>
      <c r="C4" s="7" t="inlineStr">
        <is>
          <t>Earnings-call / other presentation (no monthly table)</t>
        </is>
      </c>
      <c r="D4" s="7" t="n"/>
      <c r="E4" s="7" t="inlineStr">
        <is>
          <t>Please find attached the Investor Presentation</t>
        </is>
      </c>
      <c r="F4" s="37" t="inlineStr">
        <is>
          <t>Open PDF</t>
        </is>
      </c>
    </row>
    <row r="5">
      <c r="A5" s="33" t="n">
        <v>46308</v>
      </c>
      <c r="B5" s="7" t="inlineStr"/>
      <c r="C5" s="7" t="inlineStr">
        <is>
          <t>Earnings-call / other presentation (no monthly table)</t>
        </is>
      </c>
      <c r="D5" s="7" t="n"/>
      <c r="E5" s="7" t="inlineStr">
        <is>
          <t>Please find attached the Investor Presentation</t>
        </is>
      </c>
      <c r="F5" s="37" t="inlineStr">
        <is>
          <t>Open PDF</t>
        </is>
      </c>
    </row>
    <row r="6">
      <c r="A6" s="33" t="n">
        <v>46303</v>
      </c>
      <c r="B6" s="7" t="inlineStr">
        <is>
          <t>Jul-26, Aug-26, Sep-26</t>
        </is>
      </c>
      <c r="C6" s="7" t="inlineStr">
        <is>
          <t>Parsed</t>
        </is>
      </c>
      <c r="D6" s="7" t="n">
        <v>3</v>
      </c>
      <c r="E6" s="7" t="inlineStr">
        <is>
          <t>Monthly Business Performance Update for the Month of September 2026</t>
        </is>
      </c>
      <c r="F6" s="37" t="inlineStr">
        <is>
          <t>Open PDF</t>
        </is>
      </c>
    </row>
    <row r="7">
      <c r="A7" s="33" t="n">
        <v>46272</v>
      </c>
      <c r="B7" s="7" t="inlineStr"/>
      <c r="C7" s="7" t="inlineStr">
        <is>
          <t>Image-only PDF (no text layer)</t>
        </is>
      </c>
      <c r="D7" s="7" t="n"/>
      <c r="E7" s="7" t="inlineStr">
        <is>
          <t>Monthly Business Performance Update for the Month of August 2026.</t>
        </is>
      </c>
      <c r="F7" s="37" t="inlineStr">
        <is>
          <t>Open PDF</t>
        </is>
      </c>
    </row>
    <row r="8">
      <c r="A8" s="33" t="n">
        <v>46241</v>
      </c>
      <c r="B8" s="7" t="inlineStr">
        <is>
          <t>Jul-26</t>
        </is>
      </c>
      <c r="C8" s="7" t="inlineStr">
        <is>
          <t>Parsed</t>
        </is>
      </c>
      <c r="D8" s="7" t="n">
        <v>3</v>
      </c>
      <c r="E8" s="7" t="inlineStr">
        <is>
          <t>Monthly business performance update for the month of July 2026.</t>
        </is>
      </c>
      <c r="F8" s="37" t="inlineStr">
        <is>
          <t>Open PDF</t>
        </is>
      </c>
    </row>
    <row r="9">
      <c r="A9" s="33" t="n">
        <v>46218</v>
      </c>
      <c r="B9" s="7" t="inlineStr"/>
      <c r="C9" s="7" t="inlineStr">
        <is>
          <t>Earnings-call / other presentation (no monthly table)</t>
        </is>
      </c>
      <c r="D9" s="7" t="n"/>
      <c r="E9" s="7" t="inlineStr">
        <is>
          <t>Investor Presentation</t>
        </is>
      </c>
      <c r="F9" s="37" t="inlineStr">
        <is>
          <t>Open PDF</t>
        </is>
      </c>
    </row>
    <row r="10">
      <c r="A10" s="33" t="n">
        <v>46211</v>
      </c>
      <c r="B10" s="7" t="inlineStr">
        <is>
          <t>Apr-26, May-26, Jun-26</t>
        </is>
      </c>
      <c r="C10" s="7" t="inlineStr">
        <is>
          <t>Parsed</t>
        </is>
      </c>
      <c r="D10" s="7" t="n">
        <v>3</v>
      </c>
      <c r="E10" s="7" t="inlineStr">
        <is>
          <t>Investor Presentation for the month of June 2026.</t>
        </is>
      </c>
      <c r="F10" s="37" t="inlineStr">
        <is>
          <t>Open PDF</t>
        </is>
      </c>
    </row>
    <row r="11">
      <c r="A11" s="33" t="n">
        <v>46182</v>
      </c>
      <c r="B11" s="7" t="inlineStr">
        <is>
          <t>Apr-26, May-26</t>
        </is>
      </c>
      <c r="C11" s="7" t="inlineStr">
        <is>
          <t>Parsed</t>
        </is>
      </c>
      <c r="D11" s="7" t="n">
        <v>3</v>
      </c>
      <c r="E11" s="7" t="inlineStr">
        <is>
          <t>Investor presentation for the month of May 2026.</t>
        </is>
      </c>
      <c r="F11" s="37" t="inlineStr">
        <is>
          <t>Open PDF</t>
        </is>
      </c>
    </row>
    <row r="12">
      <c r="A12" s="33" t="n">
        <v>46150</v>
      </c>
      <c r="B12" s="7" t="inlineStr">
        <is>
          <t>Apr-26</t>
        </is>
      </c>
      <c r="C12" s="7" t="inlineStr">
        <is>
          <t>Parsed</t>
        </is>
      </c>
      <c r="D12" s="7" t="n">
        <v>3</v>
      </c>
      <c r="E12" s="7" t="inlineStr">
        <is>
          <t>Investor presentation for the month of April 2026.</t>
        </is>
      </c>
      <c r="F12" s="37" t="inlineStr">
        <is>
          <t>Open PDF</t>
        </is>
      </c>
    </row>
    <row r="13">
      <c r="A13" s="33" t="n">
        <v>46126</v>
      </c>
      <c r="B13" s="7" t="inlineStr"/>
      <c r="C13" s="7" t="inlineStr">
        <is>
          <t>Earnings-call / other presentation (no monthly table)</t>
        </is>
      </c>
      <c r="D13" s="7" t="n"/>
      <c r="E13" s="7" t="inlineStr">
        <is>
          <t>Please find enclosed earnings call presentation.</t>
        </is>
      </c>
      <c r="F13" s="37" t="inlineStr">
        <is>
          <t>Open PDF</t>
        </is>
      </c>
    </row>
    <row r="14">
      <c r="A14" s="33" t="n">
        <v>46090</v>
      </c>
      <c r="B14" s="7" t="inlineStr">
        <is>
          <t>Jan-26, Feb-26</t>
        </is>
      </c>
      <c r="C14" s="7" t="inlineStr">
        <is>
          <t>Parsed</t>
        </is>
      </c>
      <c r="D14" s="7" t="n">
        <v>3</v>
      </c>
      <c r="E14" s="7" t="inlineStr">
        <is>
          <t>Investor presentation for the month of February 2026</t>
        </is>
      </c>
      <c r="F14" s="37" t="inlineStr">
        <is>
          <t>Open PDF</t>
        </is>
      </c>
    </row>
    <row r="15">
      <c r="A15" s="33" t="n">
        <v>46062</v>
      </c>
      <c r="B15" s="7" t="inlineStr">
        <is>
          <t>Jan-26</t>
        </is>
      </c>
      <c r="C15" s="7" t="inlineStr">
        <is>
          <t>Parsed</t>
        </is>
      </c>
      <c r="D15" s="7" t="n">
        <v>3</v>
      </c>
      <c r="E15" s="7" t="inlineStr">
        <is>
          <t>Investor presentation for the month of January 2026.</t>
        </is>
      </c>
      <c r="F15" s="37" t="inlineStr">
        <is>
          <t>Open PDF</t>
        </is>
      </c>
    </row>
    <row r="16">
      <c r="A16" s="33" t="n">
        <v>46035</v>
      </c>
      <c r="B16" s="7" t="inlineStr"/>
      <c r="C16" s="7" t="inlineStr">
        <is>
          <t>Earnings-call / other presentation (no monthly table)</t>
        </is>
      </c>
      <c r="D16" s="7" t="n"/>
      <c r="E16" s="7" t="inlineStr">
        <is>
          <t>Please find enclosed herewith the earning''s call presentation.</t>
        </is>
      </c>
      <c r="F16" s="37" t="inlineStr">
        <is>
          <t>Open PDF</t>
        </is>
      </c>
    </row>
    <row r="17">
      <c r="A17" s="33" t="n">
        <v>46032</v>
      </c>
      <c r="B17" s="7" t="inlineStr">
        <is>
          <t>Oct-25, Nov-25, Dec-25</t>
        </is>
      </c>
      <c r="C17" s="7" t="inlineStr">
        <is>
          <t>Parsed</t>
        </is>
      </c>
      <c r="D17" s="7" t="n">
        <v>3</v>
      </c>
      <c r="E17" s="7" t="inlineStr">
        <is>
          <t>Please find attached herewith the performance update for the month of December 2025.</t>
        </is>
      </c>
      <c r="F17" s="37" t="inlineStr">
        <is>
          <t>Open PDF</t>
        </is>
      </c>
    </row>
    <row r="18">
      <c r="A18" s="33" t="n">
        <v>45999</v>
      </c>
      <c r="B18" s="7" t="inlineStr">
        <is>
          <t>Oct-25, Nov-25</t>
        </is>
      </c>
      <c r="C18" s="7" t="inlineStr">
        <is>
          <t>Parsed</t>
        </is>
      </c>
      <c r="D18" s="7" t="n">
        <v>3</v>
      </c>
      <c r="E18" s="7" t="inlineStr">
        <is>
          <t>Please find attached herewith the performance update for the month of November 2025.</t>
        </is>
      </c>
      <c r="F18" s="37" t="inlineStr">
        <is>
          <t>Open PDF</t>
        </is>
      </c>
    </row>
    <row r="19">
      <c r="A19" s="33" t="n">
        <v>45968</v>
      </c>
      <c r="B19" s="7" t="inlineStr">
        <is>
          <t>Oct-25</t>
        </is>
      </c>
      <c r="C19" s="7" t="inlineStr">
        <is>
          <t>Parsed</t>
        </is>
      </c>
      <c r="D19" s="7" t="n">
        <v>4</v>
      </c>
      <c r="E19" s="7" t="inlineStr">
        <is>
          <t>Please find attached the performance update of the Company for the month of October 2025.</t>
        </is>
      </c>
      <c r="F19" s="37" t="inlineStr">
        <is>
          <t>Open PDF</t>
        </is>
      </c>
    </row>
    <row r="20">
      <c r="A20" s="33" t="n">
        <v>45944</v>
      </c>
      <c r="B20" s="7" t="inlineStr"/>
      <c r="C20" s="7" t="inlineStr">
        <is>
          <t>Earnings-call / other presentation (no monthly table)</t>
        </is>
      </c>
      <c r="D20" s="7" t="n"/>
      <c r="E20" s="7" t="inlineStr">
        <is>
          <t>Please find enclosed herewith the Earnings Call - Presentation.</t>
        </is>
      </c>
      <c r="F20" s="37" t="inlineStr">
        <is>
          <t>Open PDF</t>
        </is>
      </c>
    </row>
    <row r="21">
      <c r="A21" s="33" t="n">
        <v>45939</v>
      </c>
      <c r="B21" s="7" t="inlineStr">
        <is>
          <t>Jul-25, Aug-25, Sep-25</t>
        </is>
      </c>
      <c r="C21" s="7" t="inlineStr">
        <is>
          <t>Parsed</t>
        </is>
      </c>
      <c r="D21" s="7" t="n">
        <v>4</v>
      </c>
      <c r="E21" s="7" t="inlineStr">
        <is>
          <t>Please find attached the performance update of the Company for the month of September 2025.</t>
        </is>
      </c>
      <c r="F21" s="37" t="inlineStr">
        <is>
          <t>Open PDF</t>
        </is>
      </c>
    </row>
    <row r="22">
      <c r="A22" s="33" t="n">
        <v>45909</v>
      </c>
      <c r="B22" s="7" t="inlineStr">
        <is>
          <t>Jul-25, Aug-25</t>
        </is>
      </c>
      <c r="C22" s="7" t="inlineStr">
        <is>
          <t>Parsed</t>
        </is>
      </c>
      <c r="D22" s="7" t="n">
        <v>4</v>
      </c>
      <c r="E22" s="7" t="inlineStr">
        <is>
          <t>Please find attached the performance update of the Company for the month of August 2025.</t>
        </is>
      </c>
      <c r="F22" s="37" t="inlineStr">
        <is>
          <t>Open PDF</t>
        </is>
      </c>
    </row>
    <row r="23">
      <c r="A23" s="33" t="n">
        <v>45877</v>
      </c>
      <c r="B23" s="7" t="inlineStr">
        <is>
          <t>Jul-25</t>
        </is>
      </c>
      <c r="C23" s="7" t="inlineStr">
        <is>
          <t>Parsed</t>
        </is>
      </c>
      <c r="D23" s="7" t="n">
        <v>4</v>
      </c>
      <c r="E23" s="7" t="inlineStr">
        <is>
          <t>Please find attached the monthly investor presentation, on the performance of the Company.</t>
        </is>
      </c>
      <c r="F23" s="37" t="inlineStr">
        <is>
          <t>Open PDF</t>
        </is>
      </c>
    </row>
    <row r="24">
      <c r="A24" s="33" t="n">
        <v>45853</v>
      </c>
      <c r="B24" s="7" t="inlineStr"/>
      <c r="C24" s="7" t="inlineStr">
        <is>
          <t>Earnings-call / other presentation (no monthly table)</t>
        </is>
      </c>
      <c r="D24" s="7" t="n"/>
      <c r="E24" s="7" t="inlineStr">
        <is>
          <t>Please find enclosed herewith the Earnings Call - Presentation.</t>
        </is>
      </c>
      <c r="F24" s="37" t="inlineStr">
        <is>
          <t>Open PDF</t>
        </is>
      </c>
    </row>
    <row r="25">
      <c r="A25" s="33" t="n">
        <v>45848</v>
      </c>
      <c r="B25" s="7" t="inlineStr">
        <is>
          <t>Apr-25, May-25, Jun-25</t>
        </is>
      </c>
      <c r="C25" s="7" t="inlineStr">
        <is>
          <t>Parsed</t>
        </is>
      </c>
      <c r="D25" s="7" t="n">
        <v>4</v>
      </c>
      <c r="E25" s="7" t="inlineStr">
        <is>
          <t>Please find attached the monthly investor presentation, on the performance of the Company.</t>
        </is>
      </c>
      <c r="F25" s="37" t="inlineStr">
        <is>
          <t>Open PDF</t>
        </is>
      </c>
    </row>
    <row r="26">
      <c r="A26" s="33" t="n">
        <v>45817</v>
      </c>
      <c r="B26" s="7" t="inlineStr">
        <is>
          <t>Apr-25, May-25</t>
        </is>
      </c>
      <c r="C26" s="7" t="inlineStr">
        <is>
          <t>Parsed</t>
        </is>
      </c>
      <c r="D26" s="7" t="n">
        <v>4</v>
      </c>
      <c r="E26" s="7" t="inlineStr">
        <is>
          <t>Please find attached the monthly investor presentation, on the performance of the Company.</t>
        </is>
      </c>
      <c r="F26" s="37" t="inlineStr">
        <is>
          <t>Open PDF</t>
        </is>
      </c>
    </row>
    <row r="27">
      <c r="A27" s="33" t="n">
        <v>45790</v>
      </c>
      <c r="B27" s="7" t="inlineStr">
        <is>
          <t>Apr-25</t>
        </is>
      </c>
      <c r="C27" s="7" t="inlineStr">
        <is>
          <t>Parsed</t>
        </is>
      </c>
      <c r="D27" s="7" t="n">
        <v>4</v>
      </c>
      <c r="E27" s="7" t="inlineStr">
        <is>
          <t>Please find attached the monthly investor presentation, on the performance of the Company.</t>
        </is>
      </c>
      <c r="F27" s="37" t="inlineStr">
        <is>
          <t>Open PDF</t>
        </is>
      </c>
    </row>
    <row r="28">
      <c r="A28" s="33" t="n">
        <v>45762</v>
      </c>
      <c r="B28" s="7" t="inlineStr"/>
      <c r="C28" s="7" t="inlineStr">
        <is>
          <t>Earnings-call / other presentation (no monthly table)</t>
        </is>
      </c>
      <c r="D28" s="7" t="n"/>
      <c r="E28" s="7" t="inlineStr">
        <is>
          <t>Please find attached the business presentation for earnings conference call to discuss the performance of the Company for FY2025</t>
        </is>
      </c>
      <c r="F28" s="37" t="inlineStr">
        <is>
          <t>Open PDF</t>
        </is>
      </c>
    </row>
    <row r="29">
      <c r="A29" s="33" t="n">
        <v>45727</v>
      </c>
      <c r="B29" s="7" t="inlineStr">
        <is>
          <t>Jan-25, Feb-25</t>
        </is>
      </c>
      <c r="C29" s="7" t="inlineStr">
        <is>
          <t>Parsed</t>
        </is>
      </c>
      <c r="D29" s="7" t="n">
        <v>4</v>
      </c>
      <c r="E29" s="7" t="inlineStr">
        <is>
          <t>Please find attached the monthly investor presentation, on the performance of the Company.</t>
        </is>
      </c>
      <c r="F29" s="37" t="inlineStr">
        <is>
          <t>Open PDF</t>
        </is>
      </c>
    </row>
    <row r="30">
      <c r="A30" s="33" t="n">
        <v>45695</v>
      </c>
      <c r="B30" s="7" t="inlineStr">
        <is>
          <t>Jan-25</t>
        </is>
      </c>
      <c r="C30" s="7" t="inlineStr">
        <is>
          <t>Parsed</t>
        </is>
      </c>
      <c r="D30" s="7" t="n">
        <v>4</v>
      </c>
      <c r="E30" s="7" t="inlineStr">
        <is>
          <t>Please find attached the monthly investor presentation, on the performance of the Company.</t>
        </is>
      </c>
      <c r="F30" s="37" t="inlineStr">
        <is>
          <t>Open PDF</t>
        </is>
      </c>
    </row>
    <row r="31">
      <c r="A31" s="33" t="n">
        <v>45678</v>
      </c>
      <c r="B31" s="7" t="inlineStr"/>
      <c r="C31" s="7" t="inlineStr">
        <is>
          <t>Earnings-call / other presentation (no monthly table)</t>
        </is>
      </c>
      <c r="D31" s="7" t="n"/>
      <c r="E31" s="7" t="inlineStr">
        <is>
          <t>Please find enclosed investor presentation for earnings conference call to discuss performance of the company for 9M-FY2025</t>
        </is>
      </c>
      <c r="F31" s="37" t="inlineStr">
        <is>
          <t>Open PDF</t>
        </is>
      </c>
    </row>
    <row r="32">
      <c r="A32" s="33" t="n">
        <v>45667</v>
      </c>
      <c r="B32" s="7" t="inlineStr">
        <is>
          <t>Oct-24, Nov-24, Dec-24</t>
        </is>
      </c>
      <c r="C32" s="7" t="inlineStr">
        <is>
          <t>Parsed</t>
        </is>
      </c>
      <c r="D32" s="7" t="n">
        <v>4</v>
      </c>
      <c r="E32" s="7" t="inlineStr">
        <is>
          <t>Please find attached the monthly investor presentation, on the performance of the Company.</t>
        </is>
      </c>
      <c r="F32" s="37" t="inlineStr">
        <is>
          <t>Open PDF</t>
        </is>
      </c>
    </row>
    <row r="33">
      <c r="A33" s="33" t="n">
        <v>45635</v>
      </c>
      <c r="B33" s="7" t="inlineStr">
        <is>
          <t>Oct-24, Nov-24</t>
        </is>
      </c>
      <c r="C33" s="7" t="inlineStr">
        <is>
          <t>Parsed</t>
        </is>
      </c>
      <c r="D33" s="7" t="n">
        <v>4</v>
      </c>
      <c r="E33" s="7" t="inlineStr">
        <is>
          <t>Please find attached the monthly investor presentation, on the performance of the Company.</t>
        </is>
      </c>
      <c r="F33" s="37" t="inlineStr">
        <is>
          <t>Open PDF</t>
        </is>
      </c>
    </row>
    <row r="34">
      <c r="A34" s="33" t="n">
        <v>45604</v>
      </c>
      <c r="B34" s="7" t="inlineStr">
        <is>
          <t>Oct-24</t>
        </is>
      </c>
      <c r="C34" s="7" t="inlineStr">
        <is>
          <t>Parsed</t>
        </is>
      </c>
      <c r="D34" s="7" t="n">
        <v>4</v>
      </c>
      <c r="E34" s="7" t="inlineStr">
        <is>
          <t>Please find attached the monthly investor presentation, on the performance of the Company.</t>
        </is>
      </c>
      <c r="F34" s="37" t="inlineStr">
        <is>
          <t>Open PDF</t>
        </is>
      </c>
    </row>
    <row r="35">
      <c r="A35" s="33" t="n">
        <v>45587</v>
      </c>
      <c r="B35" s="7" t="inlineStr"/>
      <c r="C35" s="7" t="inlineStr">
        <is>
          <t>Earnings-call / other presentation (no monthly table)</t>
        </is>
      </c>
      <c r="D35" s="7" t="n"/>
      <c r="E35" s="7" t="inlineStr">
        <is>
          <t>Please find enclosed investor presentation for earnings conference call to discuss performance of the company for H1-FY2025</t>
        </is>
      </c>
      <c r="F35" s="37" t="inlineStr">
        <is>
          <t>Open PDF</t>
        </is>
      </c>
    </row>
    <row r="36">
      <c r="A36" s="33" t="n">
        <v>45576</v>
      </c>
      <c r="B36" s="7" t="inlineStr">
        <is>
          <t>Jul-24, Aug-24, Sep-24</t>
        </is>
      </c>
      <c r="C36" s="7" t="inlineStr">
        <is>
          <t>Parsed</t>
        </is>
      </c>
      <c r="D36" s="7" t="n">
        <v>4</v>
      </c>
      <c r="E36" s="7" t="inlineStr">
        <is>
          <t>Please find attached the monthly investor presentation, on the performance of the Company.</t>
        </is>
      </c>
      <c r="F36" s="37" t="inlineStr">
        <is>
          <t>Open PDF</t>
        </is>
      </c>
    </row>
    <row r="37">
      <c r="A37" s="33" t="n">
        <v>45544</v>
      </c>
      <c r="B37" s="7" t="inlineStr">
        <is>
          <t>Jul-24, Aug-24</t>
        </is>
      </c>
      <c r="C37" s="7" t="inlineStr">
        <is>
          <t>Parsed</t>
        </is>
      </c>
      <c r="D37" s="7" t="n">
        <v>4</v>
      </c>
      <c r="E37" s="7" t="inlineStr">
        <is>
          <t>Please note the updated investor presentation enclosed along with this letter.</t>
        </is>
      </c>
      <c r="F37" s="37" t="inlineStr">
        <is>
          <t>Open PDF</t>
        </is>
      </c>
    </row>
    <row r="38">
      <c r="A38" s="33" t="n">
        <v>45516</v>
      </c>
      <c r="B38" s="7" t="inlineStr">
        <is>
          <t>Jul-24</t>
        </is>
      </c>
      <c r="C38" s="7" t="inlineStr">
        <is>
          <t>Parsed</t>
        </is>
      </c>
      <c r="D38" s="7" t="n">
        <v>4</v>
      </c>
      <c r="E38" s="7" t="inlineStr">
        <is>
          <t>Please note the updated investor presentation enclosed along with this letter.</t>
        </is>
      </c>
      <c r="F38" s="37" t="inlineStr">
        <is>
          <t>Open PDF</t>
        </is>
      </c>
    </row>
    <row r="39">
      <c r="A39" s="33" t="n">
        <v>45496</v>
      </c>
      <c r="B39" s="7" t="inlineStr"/>
      <c r="C39" s="7" t="inlineStr">
        <is>
          <t>Earnings-call / other presentation (no monthly table)</t>
        </is>
      </c>
      <c r="D39" s="7" t="n"/>
      <c r="E39" s="7" t="inlineStr">
        <is>
          <t>Please find attached Investor presentation for earnings conference call to discuss the performance of the Company for Q1-FY2025.</t>
        </is>
      </c>
      <c r="F39" s="37" t="inlineStr">
        <is>
          <t>Open PDF</t>
        </is>
      </c>
    </row>
    <row r="40">
      <c r="A40" s="33" t="n">
        <v>45481</v>
      </c>
      <c r="B40" s="7" t="inlineStr">
        <is>
          <t>Apr-24, May-24, Jun-24</t>
        </is>
      </c>
      <c r="C40" s="7" t="inlineStr">
        <is>
          <t>Parsed</t>
        </is>
      </c>
      <c r="D40" s="7" t="n">
        <v>4</v>
      </c>
      <c r="E40" s="7" t="inlineStr">
        <is>
          <t>Please find enclosed the investor presentation.</t>
        </is>
      </c>
      <c r="F40" s="37" t="inlineStr">
        <is>
          <t>Open PDF</t>
        </is>
      </c>
    </row>
    <row r="41">
      <c r="A41" s="33" t="n">
        <v>45453</v>
      </c>
      <c r="B41" s="7" t="inlineStr">
        <is>
          <t>Apr-24, May-24</t>
        </is>
      </c>
      <c r="C41" s="7" t="inlineStr">
        <is>
          <t>Parsed</t>
        </is>
      </c>
      <c r="D41" s="7" t="n">
        <v>4</v>
      </c>
      <c r="E41" s="7" t="inlineStr">
        <is>
          <t>Please find enclosed herewith the investor presentation enclosed along with this letter. The same is also made available on the website of the Company.</t>
        </is>
      </c>
      <c r="F41" s="37" t="inlineStr">
        <is>
          <t>Open PDF</t>
        </is>
      </c>
    </row>
    <row r="42">
      <c r="A42" s="33" t="n">
        <v>45421</v>
      </c>
      <c r="B42" s="7" t="inlineStr">
        <is>
          <t>Apr-24</t>
        </is>
      </c>
      <c r="C42" s="7" t="inlineStr">
        <is>
          <t>Parsed</t>
        </is>
      </c>
      <c r="D42" s="7" t="n">
        <v>4</v>
      </c>
      <c r="E42" s="7" t="inlineStr">
        <is>
          <t>Please find enclosed herewith the updated investor presentation.</t>
        </is>
      </c>
      <c r="F42" s="37" t="inlineStr">
        <is>
          <t>Open PDF</t>
        </is>
      </c>
    </row>
    <row r="43">
      <c r="A43" s="33" t="n">
        <v>45405</v>
      </c>
      <c r="B43" s="7" t="inlineStr"/>
      <c r="C43" s="7" t="inlineStr">
        <is>
          <t>Earnings-call / other presentation (no monthly table)</t>
        </is>
      </c>
      <c r="D43" s="7" t="n"/>
      <c r="E43" s="7" t="inlineStr">
        <is>
          <t>Please find attached investor presentation for FY2024</t>
        </is>
      </c>
      <c r="F43" s="37" t="inlineStr">
        <is>
          <t>Open PDF</t>
        </is>
      </c>
    </row>
    <row r="44">
      <c r="A44" s="33" t="n">
        <v>45400</v>
      </c>
      <c r="B44" s="7" t="inlineStr">
        <is>
          <t>Jan-24, Feb-24, Mar-24</t>
        </is>
      </c>
      <c r="C44" s="7" t="inlineStr">
        <is>
          <t>Parsed</t>
        </is>
      </c>
      <c r="D44" s="7" t="n">
        <v>4</v>
      </c>
      <c r="E44" s="7" t="inlineStr">
        <is>
          <t>Please find enclosed herewith the updated investor presentation.</t>
        </is>
      </c>
      <c r="F44" s="37" t="inlineStr">
        <is>
          <t>Open PDF</t>
        </is>
      </c>
    </row>
    <row r="45">
      <c r="A45" s="33" t="n">
        <v>45358</v>
      </c>
      <c r="B45" s="7" t="inlineStr">
        <is>
          <t>Jan-24, Feb-24</t>
        </is>
      </c>
      <c r="C45" s="7" t="inlineStr">
        <is>
          <t>Parsed</t>
        </is>
      </c>
      <c r="D45" s="7" t="n">
        <v>4</v>
      </c>
      <c r="E45" s="7" t="inlineStr">
        <is>
          <t>Please note the updated investor presentation enclosed along with this letter. The same is also made available on the website of the Company.</t>
        </is>
      </c>
      <c r="F45" s="37" t="inlineStr">
        <is>
          <t>Open PDF</t>
        </is>
      </c>
    </row>
    <row r="46">
      <c r="A46" s="33" t="n">
        <v>45329</v>
      </c>
      <c r="B46" s="7" t="inlineStr">
        <is>
          <t>Jan-24</t>
        </is>
      </c>
      <c r="C46" s="7" t="inlineStr">
        <is>
          <t>Parsed</t>
        </is>
      </c>
      <c r="D46" s="7" t="n">
        <v>4</v>
      </c>
      <c r="E46" s="7" t="inlineStr">
        <is>
          <t>Please note the updated investor presentation enclosed along with this letter. The same is also made available on the website of the Company.</t>
        </is>
      </c>
      <c r="F46" s="37" t="inlineStr">
        <is>
          <t>Open PDF</t>
        </is>
      </c>
    </row>
    <row r="47">
      <c r="A47" s="33" t="n">
        <v>45308</v>
      </c>
      <c r="B47" s="7" t="inlineStr"/>
      <c r="C47" s="7" t="inlineStr">
        <is>
          <t>Earnings-call / other presentation (no monthly table)</t>
        </is>
      </c>
      <c r="D47" s="7" t="n"/>
      <c r="E47" s="7" t="inlineStr">
        <is>
          <t>Please find enclosed Investor Presentation for earnings conference call to discuss performance of the Company for 9M-FY2024.</t>
        </is>
      </c>
      <c r="F47" s="37" t="inlineStr">
        <is>
          <t>Open PDF</t>
        </is>
      </c>
    </row>
    <row r="48">
      <c r="A48" s="33" t="n">
        <v>45300</v>
      </c>
      <c r="B48" s="7" t="inlineStr">
        <is>
          <t>Dec-23</t>
        </is>
      </c>
      <c r="C48" s="7" t="inlineStr">
        <is>
          <t>Parsed</t>
        </is>
      </c>
      <c r="D48" s="7" t="n">
        <v>4</v>
      </c>
      <c r="E48" s="7" t="inlineStr">
        <is>
          <t>Please note the updated investor presentation enclosed along with this letter. The same is also made available on the website of the Company.</t>
        </is>
      </c>
      <c r="F48" s="37" t="inlineStr">
        <is>
          <t>Open PDF</t>
        </is>
      </c>
    </row>
    <row r="49">
      <c r="A49" s="33" t="n">
        <v>45267</v>
      </c>
      <c r="B49" s="7" t="inlineStr">
        <is>
          <t>Oct-23, Nov-23</t>
        </is>
      </c>
      <c r="C49" s="7" t="inlineStr">
        <is>
          <t>Parsed</t>
        </is>
      </c>
      <c r="D49" s="7" t="n">
        <v>4</v>
      </c>
      <c r="E49" s="7" t="inlineStr">
        <is>
          <t>Please note the updated investor presentation enclosed along with this letter. The same is also made available on the website of the Company.</t>
        </is>
      </c>
      <c r="F49" s="37" t="inlineStr">
        <is>
          <t>Open PDF</t>
        </is>
      </c>
    </row>
    <row r="50">
      <c r="A50" s="33" t="n">
        <v>45237</v>
      </c>
      <c r="B50" s="7" t="inlineStr">
        <is>
          <t>Oct-23</t>
        </is>
      </c>
      <c r="C50" s="7" t="inlineStr">
        <is>
          <t>Parsed</t>
        </is>
      </c>
      <c r="D50" s="7" t="n">
        <v>4</v>
      </c>
      <c r="E50" s="7" t="inlineStr">
        <is>
          <t>Please note the updated investor presentation enclosed along with this letter. The same is also made available on the website of the Company.</t>
        </is>
      </c>
      <c r="F50" s="37" t="inlineStr">
        <is>
          <t>Open PDF</t>
        </is>
      </c>
    </row>
    <row r="51">
      <c r="A51" s="33" t="n">
        <v>45216</v>
      </c>
      <c r="B51" s="7" t="inlineStr"/>
      <c r="C51" s="7" t="inlineStr">
        <is>
          <t>Earnings-call / other presentation (no monthly table)</t>
        </is>
      </c>
      <c r="D51" s="7" t="n"/>
      <c r="E51" s="7" t="inlineStr">
        <is>
          <t>Please find attached the investor presentation for earnings conference call to discuss the performance of the Company for H1 FY2024.</t>
        </is>
      </c>
      <c r="F51" s="37" t="inlineStr">
        <is>
          <t>Open PDF</t>
        </is>
      </c>
    </row>
    <row r="52">
      <c r="A52" s="33" t="n">
        <v>45208</v>
      </c>
      <c r="B52" s="7" t="inlineStr">
        <is>
          <t>Jul-23, Aug-23, Sep-23</t>
        </is>
      </c>
      <c r="C52" s="7" t="inlineStr">
        <is>
          <t>Parsed</t>
        </is>
      </c>
      <c r="D52" s="7" t="n">
        <v>4</v>
      </c>
      <c r="E52" s="7" t="inlineStr">
        <is>
          <t>Please note the updated investor presentation enclosed along with this letter. The same is also made available on the website of the Company.</t>
        </is>
      </c>
      <c r="F52" s="37" t="inlineStr">
        <is>
          <t>Open PDF</t>
        </is>
      </c>
    </row>
    <row r="53">
      <c r="A53" s="33" t="n">
        <v>45176</v>
      </c>
      <c r="B53" s="7" t="inlineStr">
        <is>
          <t>Jul-23, Aug-23</t>
        </is>
      </c>
      <c r="C53" s="7" t="inlineStr">
        <is>
          <t>Parsed</t>
        </is>
      </c>
      <c r="D53" s="7" t="n">
        <v>4</v>
      </c>
      <c r="E53" s="7" t="inlineStr">
        <is>
          <t>Please note the updated investor presentation enclosed along with this letter. The same is also made available on the website of the Company.</t>
        </is>
      </c>
      <c r="F53" s="37" t="inlineStr">
        <is>
          <t>Open PDF</t>
        </is>
      </c>
    </row>
    <row r="54">
      <c r="A54" s="33" t="n">
        <v>45146</v>
      </c>
      <c r="B54" s="7" t="inlineStr">
        <is>
          <t>Jul-23</t>
        </is>
      </c>
      <c r="C54" s="7" t="inlineStr">
        <is>
          <t>Parsed</t>
        </is>
      </c>
      <c r="D54" s="7" t="n">
        <v>4</v>
      </c>
      <c r="E54" s="7" t="inlineStr">
        <is>
          <t>Please note the updated investor presentation enclosed along with this letter. The same is also made available on the website of the Company.</t>
        </is>
      </c>
      <c r="F54" s="37" t="inlineStr">
        <is>
          <t>Open PDF</t>
        </is>
      </c>
    </row>
    <row r="55">
      <c r="A55" s="33" t="n">
        <v>45125</v>
      </c>
      <c r="B55" s="7" t="inlineStr"/>
      <c r="C55" s="7" t="inlineStr">
        <is>
          <t>Earnings-call / other presentation (no monthly table)</t>
        </is>
      </c>
      <c r="D55" s="7" t="n"/>
      <c r="E55" s="7" t="inlineStr">
        <is>
          <t xml:space="preserve">This is further to our letter dated July 7, 2023 with reference to the earnings conference call to be hosted by the Company on July 18, 2023 with investors and </t>
        </is>
      </c>
      <c r="F55" s="37" t="inlineStr">
        <is>
          <t>Open PDF</t>
        </is>
      </c>
    </row>
    <row r="56">
      <c r="A56" s="33" t="n">
        <v>45114</v>
      </c>
      <c r="B56" s="7" t="inlineStr">
        <is>
          <t>Apr-23, May-23, Jun-23</t>
        </is>
      </c>
      <c r="C56" s="7" t="inlineStr">
        <is>
          <t>Parsed</t>
        </is>
      </c>
      <c r="D56" s="7" t="n">
        <v>4</v>
      </c>
      <c r="E56" s="7" t="inlineStr">
        <is>
          <t>Please note the updated investor presentation enclosed along with this letter. The same is also made available on the website of the Company.</t>
        </is>
      </c>
      <c r="F56" s="37" t="inlineStr">
        <is>
          <t>Open PDF</t>
        </is>
      </c>
    </row>
    <row r="57">
      <c r="A57" s="33" t="n">
        <v>45086</v>
      </c>
      <c r="B57" s="7" t="inlineStr">
        <is>
          <t>Apr-23, May-23</t>
        </is>
      </c>
      <c r="C57" s="7" t="inlineStr">
        <is>
          <t>Parsed</t>
        </is>
      </c>
      <c r="D57" s="7" t="n">
        <v>4</v>
      </c>
      <c r="E57" s="7" t="inlineStr">
        <is>
          <t>Please note the updated investor presentation enclosed alongwith this letter. The same is also made available on the website of the Company.</t>
        </is>
      </c>
      <c r="F57" s="37" t="inlineStr">
        <is>
          <t>Open PDF</t>
        </is>
      </c>
    </row>
    <row r="58">
      <c r="A58" s="33" t="n">
        <v>45058</v>
      </c>
      <c r="B58" s="7" t="inlineStr">
        <is>
          <t>Apr-23</t>
        </is>
      </c>
      <c r="C58" s="7" t="inlineStr">
        <is>
          <t>Parsed</t>
        </is>
      </c>
      <c r="D58" s="7" t="n">
        <v>4</v>
      </c>
      <c r="E58" s="7" t="inlineStr">
        <is>
          <t>Please note the updated investor presentation enclosed alongwith this letter. The same is also made available on the website of the Company.</t>
        </is>
      </c>
      <c r="F58" s="37" t="inlineStr">
        <is>
          <t>Open PDF</t>
        </is>
      </c>
    </row>
    <row r="59">
      <c r="A59" s="33" t="n">
        <v>45036</v>
      </c>
      <c r="B59" s="7" t="inlineStr"/>
      <c r="C59" s="7" t="inlineStr">
        <is>
          <t>Earnings-call / other presentation (no monthly table)</t>
        </is>
      </c>
      <c r="D59" s="7" t="n"/>
      <c r="E59" s="7" t="inlineStr">
        <is>
          <t>This is further to our letter dated April 10, 2023 with reference to the earnings call to be hosted by the Company on April 20, 2023 with investors and analysts</t>
        </is>
      </c>
      <c r="F59" s="37" t="inlineStr">
        <is>
          <t>Open PDF</t>
        </is>
      </c>
    </row>
    <row r="60">
      <c r="A60" s="33" t="n">
        <v>44993</v>
      </c>
      <c r="B60" s="7" t="inlineStr">
        <is>
          <t>Jan-23, Feb-23</t>
        </is>
      </c>
      <c r="C60" s="7" t="inlineStr">
        <is>
          <t>Parsed</t>
        </is>
      </c>
      <c r="D60" s="7" t="n">
        <v>4</v>
      </c>
      <c r="E60" s="7" t="inlineStr">
        <is>
          <t>Please note the updated investor presentation enclosed alongwith this letter. The same is also made available on the website of the Company.</t>
        </is>
      </c>
      <c r="F60" s="37" t="inlineStr">
        <is>
          <t>Open PDF</t>
        </is>
      </c>
    </row>
    <row r="61">
      <c r="A61" s="33" t="n">
        <v>44964</v>
      </c>
      <c r="B61" s="7" t="inlineStr">
        <is>
          <t>Jan-23</t>
        </is>
      </c>
      <c r="C61" s="7" t="inlineStr">
        <is>
          <t>Parsed</t>
        </is>
      </c>
      <c r="D61" s="7" t="n">
        <v>4</v>
      </c>
      <c r="E61" s="7" t="inlineStr">
        <is>
          <t>Please note the updated investor presentation enclosed alongwith this letter. The same is also made available on the website of the Company.</t>
        </is>
      </c>
      <c r="F61" s="37" t="inlineStr">
        <is>
          <t>Open PDF</t>
        </is>
      </c>
    </row>
    <row r="62">
      <c r="A62" s="33" t="n">
        <v>44943</v>
      </c>
      <c r="B62" s="7" t="inlineStr"/>
      <c r="C62" s="7" t="inlineStr">
        <is>
          <t>Earnings-call / other presentation (no monthly table)</t>
        </is>
      </c>
      <c r="D62" s="7" t="n"/>
      <c r="E62" s="7" t="inlineStr">
        <is>
          <t>This is further to our letter dated January 10, 2023 with reference to the earnings call to be hosted by the Company on January 18, 2023 with investors and anal</t>
        </is>
      </c>
      <c r="F62" s="37" t="inlineStr">
        <is>
          <t>Open PDF</t>
        </is>
      </c>
    </row>
    <row r="63">
      <c r="A63" s="33" t="n">
        <v>44935</v>
      </c>
      <c r="B63" s="7" t="inlineStr">
        <is>
          <t>Oct-22, Nov-22, Dec-22</t>
        </is>
      </c>
      <c r="C63" s="7" t="inlineStr">
        <is>
          <t>Parsed</t>
        </is>
      </c>
      <c r="D63" s="7" t="n">
        <v>4</v>
      </c>
      <c r="E63" s="7" t="inlineStr">
        <is>
          <t>Please find enclosed the business presentation.</t>
        </is>
      </c>
      <c r="F63" s="37" t="inlineStr">
        <is>
          <t>Open PDF</t>
        </is>
      </c>
    </row>
    <row r="64">
      <c r="A64" s="33" t="n">
        <v>44902</v>
      </c>
      <c r="B64" s="7" t="inlineStr">
        <is>
          <t>Oct-22, Nov-22</t>
        </is>
      </c>
      <c r="C64" s="7" t="inlineStr">
        <is>
          <t>Parsed</t>
        </is>
      </c>
      <c r="D64" s="7" t="n">
        <v>4</v>
      </c>
      <c r="E64" s="7" t="inlineStr">
        <is>
          <t>Please find enclosed the business presentation.</t>
        </is>
      </c>
      <c r="F64" s="37" t="inlineStr">
        <is>
          <t>Open PDF</t>
        </is>
      </c>
    </row>
    <row r="65">
      <c r="A65" s="33" t="n">
        <v>44872</v>
      </c>
      <c r="B65" s="7" t="inlineStr">
        <is>
          <t>Oct-22</t>
        </is>
      </c>
      <c r="C65" s="7" t="inlineStr">
        <is>
          <t>Parsed</t>
        </is>
      </c>
      <c r="D65" s="7" t="n">
        <v>4</v>
      </c>
      <c r="E65" s="7" t="inlineStr">
        <is>
          <t>Please find enclosed the investor presentation</t>
        </is>
      </c>
      <c r="F65" s="37" t="inlineStr">
        <is>
          <t>Open PDF</t>
        </is>
      </c>
    </row>
    <row r="66">
      <c r="A66" s="33" t="n">
        <v>44849</v>
      </c>
      <c r="B66" s="7" t="inlineStr"/>
      <c r="C66" s="7" t="inlineStr">
        <is>
          <t>Earnings-call / other presentation (no monthly table)</t>
        </is>
      </c>
      <c r="D66" s="7" t="n"/>
      <c r="E66" s="7" t="inlineStr">
        <is>
          <t>Please find enclosed the business presentation for 'earnings conference call' to discuss the performance of the Company for H1-FY2023.</t>
        </is>
      </c>
      <c r="F66" s="37" t="inlineStr">
        <is>
          <t>Open PDF</t>
        </is>
      </c>
    </row>
    <row r="67">
      <c r="A67" s="33" t="n">
        <v>44841</v>
      </c>
      <c r="B67" s="7" t="inlineStr">
        <is>
          <t>Jul-22, Aug-22, Sep-22</t>
        </is>
      </c>
      <c r="C67" s="7" t="inlineStr">
        <is>
          <t>Parsed</t>
        </is>
      </c>
      <c r="D67" s="7" t="n">
        <v>4</v>
      </c>
      <c r="E67" s="7" t="inlineStr">
        <is>
          <t>Please find enclosed the updated business presentation.</t>
        </is>
      </c>
      <c r="F67" s="37" t="inlineStr">
        <is>
          <t>Open PDF</t>
        </is>
      </c>
    </row>
    <row r="68">
      <c r="A68" s="33" t="n">
        <v>44811</v>
      </c>
      <c r="B68" s="7" t="inlineStr">
        <is>
          <t>Jul-22, Aug-22</t>
        </is>
      </c>
      <c r="C68" s="7" t="inlineStr">
        <is>
          <t>Parsed</t>
        </is>
      </c>
      <c r="D68" s="7" t="n">
        <v>4</v>
      </c>
      <c r="E68" s="7" t="inlineStr">
        <is>
          <t>Please find enclosed the updated business presentation</t>
        </is>
      </c>
      <c r="F68" s="37" t="inlineStr">
        <is>
          <t>Open PDF</t>
        </is>
      </c>
    </row>
    <row r="69">
      <c r="A69" s="33" t="n">
        <v>44781</v>
      </c>
      <c r="B69" s="7" t="inlineStr">
        <is>
          <t>Jul-22</t>
        </is>
      </c>
      <c r="C69" s="7" t="inlineStr">
        <is>
          <t>Parsed</t>
        </is>
      </c>
      <c r="D69" s="7" t="n">
        <v>4</v>
      </c>
      <c r="E69" s="7" t="inlineStr">
        <is>
          <t>Please find enclosed investor presentation.</t>
        </is>
      </c>
      <c r="F69" s="37" t="inlineStr">
        <is>
          <t>Open PDF</t>
        </is>
      </c>
    </row>
    <row r="70">
      <c r="A70" s="33" t="n">
        <v>44758</v>
      </c>
      <c r="B70" s="7" t="inlineStr"/>
      <c r="C70" s="7" t="inlineStr">
        <is>
          <t>Earnings-call / other presentation (no monthly table)</t>
        </is>
      </c>
      <c r="D70" s="7" t="n"/>
      <c r="E70" s="7" t="inlineStr">
        <is>
          <t>Please find enclosed the business presentation for ''earnings conference call'' to discuss the financial performance of the Company for O1-FY2023.</t>
        </is>
      </c>
      <c r="F70" s="37" t="inlineStr">
        <is>
          <t>Open PDF</t>
        </is>
      </c>
    </row>
    <row r="71">
      <c r="A71" s="33" t="n">
        <v>44749</v>
      </c>
      <c r="B71" s="7" t="inlineStr">
        <is>
          <t>Apr-22, May-22, Jun-22</t>
        </is>
      </c>
      <c r="C71" s="7" t="inlineStr">
        <is>
          <t>Parsed</t>
        </is>
      </c>
      <c r="D71" s="7" t="n">
        <v>4</v>
      </c>
      <c r="E71" s="7" t="inlineStr">
        <is>
          <t>please find enclosed investor presentation.</t>
        </is>
      </c>
      <c r="F71" s="37" t="inlineStr">
        <is>
          <t>Open PDF</t>
        </is>
      </c>
    </row>
    <row r="72">
      <c r="A72" s="33" t="n">
        <v>44719</v>
      </c>
      <c r="B72" s="7" t="inlineStr">
        <is>
          <t>Apr-22, May-22</t>
        </is>
      </c>
      <c r="C72" s="7" t="inlineStr">
        <is>
          <t>Parsed</t>
        </is>
      </c>
      <c r="D72" s="7" t="n">
        <v>4</v>
      </c>
      <c r="E72" s="7" t="inlineStr">
        <is>
          <t>Please note the updated investor presentation.</t>
        </is>
      </c>
      <c r="F72" s="37" t="inlineStr">
        <is>
          <t>Open PDF</t>
        </is>
      </c>
    </row>
    <row r="73">
      <c r="A73" s="33" t="n">
        <v>44690</v>
      </c>
      <c r="B73" s="7" t="inlineStr">
        <is>
          <t>Apr-22</t>
        </is>
      </c>
      <c r="C73" s="7" t="inlineStr">
        <is>
          <t>Parsed</t>
        </is>
      </c>
      <c r="D73" s="7" t="n">
        <v>4</v>
      </c>
      <c r="E73" s="7" t="inlineStr">
        <is>
          <t>Please note the updated investor presentation.</t>
        </is>
      </c>
      <c r="F73" s="37" t="inlineStr">
        <is>
          <t>Open PDF</t>
        </is>
      </c>
    </row>
    <row r="74">
      <c r="A74" s="33" t="n">
        <v>44667</v>
      </c>
      <c r="B74" s="7" t="inlineStr"/>
      <c r="C74" s="7" t="inlineStr">
        <is>
          <t>Earnings-call / other presentation (no monthly table)</t>
        </is>
      </c>
      <c r="D74" s="7" t="n"/>
      <c r="E74" s="7" t="inlineStr">
        <is>
          <t>ICICI Prudential Life Insurance Company Limited has informed the Exchange about the business presentation for earnings conference call of the Company for FY2022</t>
        </is>
      </c>
      <c r="F74" s="37" t="inlineStr">
        <is>
          <t>Open PDF</t>
        </is>
      </c>
    </row>
    <row r="75">
      <c r="A75" s="33" t="n">
        <v>44627</v>
      </c>
      <c r="B75" s="7" t="inlineStr">
        <is>
          <t>Jan-22, Feb-22</t>
        </is>
      </c>
      <c r="C75" s="7" t="inlineStr">
        <is>
          <t>Parsed</t>
        </is>
      </c>
      <c r="D75" s="7" t="n">
        <v>4</v>
      </c>
      <c r="E75" s="7" t="inlineStr">
        <is>
          <t>Please note the updated investor presentation.</t>
        </is>
      </c>
      <c r="F75" s="37" t="inlineStr">
        <is>
          <t>Open PDF</t>
        </is>
      </c>
    </row>
    <row r="76">
      <c r="A76" s="33" t="n">
        <v>44599</v>
      </c>
      <c r="B76" s="7" t="inlineStr">
        <is>
          <t>Jan-22</t>
        </is>
      </c>
      <c r="C76" s="7" t="inlineStr">
        <is>
          <t>Parsed</t>
        </is>
      </c>
      <c r="D76" s="7" t="n">
        <v>4</v>
      </c>
      <c r="E76" s="7" t="inlineStr">
        <is>
          <t>Please note the updated investor presentation.</t>
        </is>
      </c>
      <c r="F76" s="37" t="inlineStr">
        <is>
          <t>Open PDF</t>
        </is>
      </c>
    </row>
    <row r="77">
      <c r="A77" s="33" t="n">
        <v>44579</v>
      </c>
      <c r="B77" s="7" t="inlineStr"/>
      <c r="C77" s="7" t="inlineStr">
        <is>
          <t>Earnings-call / other presentation (no monthly table)</t>
        </is>
      </c>
      <c r="D77" s="7" t="n"/>
      <c r="E77" s="7" t="inlineStr">
        <is>
          <t xml:space="preserve">ICICI Prudential Life Insurance Company Limited has informed the Exchange about the business presentation for earnings conference call to discuss the financial </t>
        </is>
      </c>
      <c r="F77" s="37" t="inlineStr">
        <is>
          <t>Open PDF</t>
        </is>
      </c>
    </row>
    <row r="78">
      <c r="A78" s="33" t="n">
        <v>44568</v>
      </c>
      <c r="B78" s="7" t="inlineStr">
        <is>
          <t>Oct-21, Nov-21, Dec-21</t>
        </is>
      </c>
      <c r="C78" s="7" t="inlineStr">
        <is>
          <t>Parsed</t>
        </is>
      </c>
      <c r="D78" s="7" t="n">
        <v>4</v>
      </c>
      <c r="E78" s="7" t="inlineStr">
        <is>
          <t>Please note the updated investor presentation.</t>
        </is>
      </c>
      <c r="F78" s="37" t="inlineStr">
        <is>
          <t>Open PDF</t>
        </is>
      </c>
    </row>
    <row r="79">
      <c r="A79" s="33" t="n">
        <v>44537</v>
      </c>
      <c r="B79" s="7" t="inlineStr">
        <is>
          <t>Oct-21, Nov-21</t>
        </is>
      </c>
      <c r="C79" s="7" t="inlineStr">
        <is>
          <t>Parsed</t>
        </is>
      </c>
      <c r="D79" s="7" t="n">
        <v>4</v>
      </c>
      <c r="E79" s="7" t="inlineStr">
        <is>
          <t>Please note the updated investor presentation.</t>
        </is>
      </c>
      <c r="F79" s="37" t="inlineStr">
        <is>
          <t>Open PDF</t>
        </is>
      </c>
    </row>
    <row r="80">
      <c r="A80" s="33" t="n">
        <v>44508</v>
      </c>
      <c r="B80" s="7" t="inlineStr">
        <is>
          <t>Oct-21</t>
        </is>
      </c>
      <c r="C80" s="7" t="inlineStr">
        <is>
          <t>Parsed</t>
        </is>
      </c>
      <c r="D80" s="7" t="n">
        <v>5</v>
      </c>
      <c r="E80" s="7" t="inlineStr">
        <is>
          <t>Please note the updated investor presentation.</t>
        </is>
      </c>
      <c r="F80" s="37" t="inlineStr">
        <is>
          <t>Open PDF</t>
        </is>
      </c>
    </row>
    <row r="81">
      <c r="A81" s="33" t="n">
        <v>44488</v>
      </c>
      <c r="B81" s="7" t="inlineStr"/>
      <c r="C81" s="7" t="inlineStr">
        <is>
          <t>Earnings-call / other presentation (no monthly table)</t>
        </is>
      </c>
      <c r="D81" s="7" t="n"/>
      <c r="E81" s="7" t="inlineStr">
        <is>
          <t>ICICI Prudential Life Insurance Company Limited has informed the exchange about the business presentation of the Company on the performance update for H1-FY2022</t>
        </is>
      </c>
      <c r="F81" s="37" t="inlineStr">
        <is>
          <t>Open PDF</t>
        </is>
      </c>
    </row>
    <row r="82">
      <c r="A82" s="33" t="n">
        <v>44476</v>
      </c>
      <c r="B82" s="7" t="inlineStr">
        <is>
          <t>Jul-21, Aug-21, Sep-21</t>
        </is>
      </c>
      <c r="C82" s="7" t="inlineStr">
        <is>
          <t>Parsed</t>
        </is>
      </c>
      <c r="D82" s="7" t="n">
        <v>4</v>
      </c>
      <c r="E82" s="7" t="inlineStr">
        <is>
          <t>Please note the updated investor presentation.</t>
        </is>
      </c>
      <c r="F82" s="37" t="inlineStr">
        <is>
          <t>Open PDF</t>
        </is>
      </c>
    </row>
    <row r="83">
      <c r="A83" s="33" t="n">
        <v>44446</v>
      </c>
      <c r="B83" s="7" t="inlineStr">
        <is>
          <t>Jul-21, Aug-21</t>
        </is>
      </c>
      <c r="C83" s="7" t="inlineStr">
        <is>
          <t>Parsed</t>
        </is>
      </c>
      <c r="D83" s="7" t="n">
        <v>4</v>
      </c>
      <c r="E83" s="7" t="inlineStr">
        <is>
          <t>Please note the updated investor presentation.</t>
        </is>
      </c>
      <c r="F83" s="37" t="inlineStr">
        <is>
          <t>Open PDF</t>
        </is>
      </c>
    </row>
    <row r="84">
      <c r="A84" s="33" t="n">
        <v>44417</v>
      </c>
      <c r="B84" s="7" t="inlineStr">
        <is>
          <t>Jul-21</t>
        </is>
      </c>
      <c r="C84" s="7" t="inlineStr">
        <is>
          <t>Parsed</t>
        </is>
      </c>
      <c r="D84" s="7" t="n">
        <v>4</v>
      </c>
      <c r="E84" s="7" t="inlineStr">
        <is>
          <t>Please note the updated investor presentation.</t>
        </is>
      </c>
      <c r="F84" s="37" t="inlineStr">
        <is>
          <t>Open PDF</t>
        </is>
      </c>
    </row>
    <row r="85">
      <c r="A85" s="33" t="n">
        <v>44397</v>
      </c>
      <c r="B85" s="7" t="inlineStr"/>
      <c r="C85" s="7" t="inlineStr">
        <is>
          <t>Earnings-call / other presentation (no monthly table)</t>
        </is>
      </c>
      <c r="D85" s="7" t="n"/>
      <c r="E85" s="7" t="inlineStr">
        <is>
          <t>ICICI Prudential Life Insurance Company Limited has informed the exchange about the business presentation of the Company on the performance update for O1-FY2022</t>
        </is>
      </c>
      <c r="F85" s="37" t="inlineStr">
        <is>
          <t>Open PDF</t>
        </is>
      </c>
    </row>
    <row r="86">
      <c r="A86" s="33" t="n">
        <v>44385</v>
      </c>
      <c r="B86" s="7" t="inlineStr">
        <is>
          <t>Apr-21, May-21, Jun-21</t>
        </is>
      </c>
      <c r="C86" s="7" t="inlineStr">
        <is>
          <t>Parsed</t>
        </is>
      </c>
      <c r="D86" s="7" t="n">
        <v>4</v>
      </c>
      <c r="E86" s="7" t="inlineStr">
        <is>
          <t>The Company has informed the Exchange regarding the updated Investor Presentation.</t>
        </is>
      </c>
      <c r="F86" s="37" t="inlineStr">
        <is>
          <t>Open PDF</t>
        </is>
      </c>
    </row>
    <row r="87">
      <c r="A87" s="33" t="n">
        <v>44354</v>
      </c>
      <c r="B87" s="7" t="inlineStr">
        <is>
          <t>Apr-21, May-21</t>
        </is>
      </c>
      <c r="C87" s="7" t="inlineStr">
        <is>
          <t>Parsed</t>
        </is>
      </c>
      <c r="D87" s="7" t="n">
        <v>4</v>
      </c>
      <c r="E87" s="7" t="inlineStr">
        <is>
          <t>Please note the updated investor presentation.</t>
        </is>
      </c>
      <c r="F87" s="37" t="inlineStr">
        <is>
          <t>Open PDF</t>
        </is>
      </c>
    </row>
    <row r="88">
      <c r="A88" s="33" t="n">
        <v>44344</v>
      </c>
      <c r="B88" s="7" t="inlineStr"/>
      <c r="C88" s="7" t="inlineStr">
        <is>
          <t>Image-only PDF (no text layer)</t>
        </is>
      </c>
      <c r="D88" s="7" t="n"/>
      <c r="E88" s="7" t="inlineStr">
        <is>
          <t xml:space="preserve">Kindly note that Prudential Plc has scheduled a virtual investor day on June 2, 2021. &lt;BR&gt; &lt;BR&gt; A video has been made available as part of the virtual showcase </t>
        </is>
      </c>
      <c r="F88" s="37" t="inlineStr">
        <is>
          <t>Open PDF</t>
        </is>
      </c>
    </row>
    <row r="89">
      <c r="A89" s="33" t="n">
        <v>44323</v>
      </c>
      <c r="B89" s="7" t="inlineStr">
        <is>
          <t>Apr-21</t>
        </is>
      </c>
      <c r="C89" s="7" t="inlineStr">
        <is>
          <t>Parsed</t>
        </is>
      </c>
      <c r="D89" s="7" t="n">
        <v>4</v>
      </c>
      <c r="E89" s="7" t="inlineStr">
        <is>
          <t>The Company has informed the Exchange regarding the updated Investor Presentation.</t>
        </is>
      </c>
      <c r="F89" s="37" t="inlineStr">
        <is>
          <t>Open PDF</t>
        </is>
      </c>
    </row>
    <row r="90">
      <c r="A90" s="33" t="n">
        <v>44305</v>
      </c>
      <c r="B90" s="7" t="inlineStr"/>
      <c r="C90" s="7" t="inlineStr">
        <is>
          <t>Earnings-call / other presentation (no monthly table)</t>
        </is>
      </c>
      <c r="D90" s="7" t="n"/>
      <c r="E90" s="7" t="inlineStr">
        <is>
          <t>ICICI Prudential Life Insurance Company Limited has informed the exchange about the business presentation of the Company on the performance update for FY2021</t>
        </is>
      </c>
      <c r="F90" s="37" t="inlineStr">
        <is>
          <t>Open PDF</t>
        </is>
      </c>
    </row>
    <row r="91">
      <c r="A91" s="33" t="n">
        <v>44263</v>
      </c>
      <c r="B91" s="7" t="inlineStr">
        <is>
          <t>Jan-21, Feb-21</t>
        </is>
      </c>
      <c r="C91" s="7" t="inlineStr">
        <is>
          <t>Parsed</t>
        </is>
      </c>
      <c r="D91" s="7" t="n">
        <v>4</v>
      </c>
      <c r="E91" s="7" t="inlineStr">
        <is>
          <t>The Company has informed the Exchange regarding the updated Investor Presentation.</t>
        </is>
      </c>
      <c r="F91" s="37" t="inlineStr">
        <is>
          <t>Open PDF</t>
        </is>
      </c>
    </row>
    <row r="92">
      <c r="A92" s="33" t="n">
        <v>44235</v>
      </c>
      <c r="B92" s="7" t="inlineStr">
        <is>
          <t>Jan-21</t>
        </is>
      </c>
      <c r="C92" s="7" t="inlineStr">
        <is>
          <t>Parsed</t>
        </is>
      </c>
      <c r="D92" s="7" t="n">
        <v>4</v>
      </c>
      <c r="E92" s="7" t="inlineStr">
        <is>
          <t>The Company has informed the Exchange regarding the updated Investor Presentation.&lt;BR&gt;</t>
        </is>
      </c>
      <c r="F92" s="37" t="inlineStr">
        <is>
          <t>Open PDF</t>
        </is>
      </c>
    </row>
    <row r="93">
      <c r="A93" s="33" t="n">
        <v>44223</v>
      </c>
      <c r="B93" s="7" t="inlineStr"/>
      <c r="C93" s="7" t="inlineStr">
        <is>
          <t>Earnings-call / other presentation (no monthly table)</t>
        </is>
      </c>
      <c r="D93" s="7" t="n"/>
      <c r="E93" s="7" t="inlineStr">
        <is>
          <t>ICICI Prudential Life Insurance Company Limited has informed the exchange about the business presentation of the Company on the performance update for 9MFY2021.</t>
        </is>
      </c>
      <c r="F93" s="37" t="inlineStr">
        <is>
          <t>Open PDF</t>
        </is>
      </c>
    </row>
    <row r="94">
      <c r="A94" s="33" t="n">
        <v>44204</v>
      </c>
      <c r="B94" s="7" t="inlineStr">
        <is>
          <t>Oct-20, Nov-20, Dec-20</t>
        </is>
      </c>
      <c r="C94" s="7" t="inlineStr">
        <is>
          <t>Parsed</t>
        </is>
      </c>
      <c r="D94" s="7" t="n">
        <v>4</v>
      </c>
      <c r="E94" s="7" t="inlineStr">
        <is>
          <t>The Company has informed the Exchange regarding the updated Investor Presentation.&lt;BR&gt;</t>
        </is>
      </c>
      <c r="F94" s="37" t="inlineStr">
        <is>
          <t>Open PDF</t>
        </is>
      </c>
    </row>
    <row r="95">
      <c r="A95" s="33" t="n">
        <v>44174</v>
      </c>
      <c r="B95" s="7" t="inlineStr">
        <is>
          <t>Oct-20, Nov-20</t>
        </is>
      </c>
      <c r="C95" s="7" t="inlineStr">
        <is>
          <t>Parsed</t>
        </is>
      </c>
      <c r="D95" s="7" t="n">
        <v>4</v>
      </c>
      <c r="E95" s="7" t="inlineStr">
        <is>
          <t>The Company has informed the Exchange regarding the updated Investor Presentation.&lt;BR&gt;</t>
        </is>
      </c>
      <c r="F95" s="37" t="inlineStr">
        <is>
          <t>Open PDF</t>
        </is>
      </c>
    </row>
    <row r="96">
      <c r="A96" s="33" t="n">
        <v>44142</v>
      </c>
      <c r="B96" s="7" t="inlineStr">
        <is>
          <t>Oct-20</t>
        </is>
      </c>
      <c r="C96" s="7" t="inlineStr">
        <is>
          <t>Parsed</t>
        </is>
      </c>
      <c r="D96" s="7" t="n">
        <v>5</v>
      </c>
      <c r="E96" s="7" t="inlineStr">
        <is>
          <t>The Company has informed the Exchange regarding the updated Investor Presentation.</t>
        </is>
      </c>
      <c r="F96" s="37" t="inlineStr">
        <is>
          <t>Open PDF</t>
        </is>
      </c>
    </row>
    <row r="97">
      <c r="A97" s="33" t="n">
        <v>44131</v>
      </c>
      <c r="B97" s="7" t="inlineStr"/>
      <c r="C97" s="7" t="inlineStr">
        <is>
          <t>Earnings-call / other presentation (no monthly table)</t>
        </is>
      </c>
      <c r="D97" s="7" t="n"/>
      <c r="E97" s="7" t="inlineStr">
        <is>
          <t>ICICI Prudential Life Insurance Company Limited has informed the exchange about the business presentation of the Company on the performance update for H1-FY2021</t>
        </is>
      </c>
      <c r="F97" s="37" t="inlineStr">
        <is>
          <t>Open PDF</t>
        </is>
      </c>
    </row>
    <row r="98">
      <c r="A98" s="33" t="n">
        <v>44111</v>
      </c>
      <c r="B98" s="7" t="inlineStr">
        <is>
          <t>Jul-20, Aug-20, Sep-20</t>
        </is>
      </c>
      <c r="C98" s="7" t="inlineStr">
        <is>
          <t>Parsed</t>
        </is>
      </c>
      <c r="D98" s="7" t="n">
        <v>4</v>
      </c>
      <c r="E98" s="7" t="inlineStr">
        <is>
          <t>The Company has informed the Exchange regarding the updated Investor Presentation.</t>
        </is>
      </c>
      <c r="F98" s="37" t="inlineStr">
        <is>
          <t>Open PDF</t>
        </is>
      </c>
    </row>
    <row r="99">
      <c r="A99" s="33" t="n">
        <v>44082</v>
      </c>
      <c r="B99" s="7" t="inlineStr">
        <is>
          <t>Jul-20, Aug-20</t>
        </is>
      </c>
      <c r="C99" s="7" t="inlineStr">
        <is>
          <t>Parsed</t>
        </is>
      </c>
      <c r="D99" s="7" t="n">
        <v>4</v>
      </c>
      <c r="E99" s="7" t="inlineStr">
        <is>
          <t>The Company has informed the Exchange regarding the updated Investor Presentation.&lt;BR&gt;</t>
        </is>
      </c>
      <c r="F99" s="37" t="inlineStr">
        <is>
          <t>Open PDF</t>
        </is>
      </c>
    </row>
    <row r="100">
      <c r="A100" s="33" t="n">
        <v>44050</v>
      </c>
      <c r="B100" s="7" t="inlineStr">
        <is>
          <t>Jul-20</t>
        </is>
      </c>
      <c r="C100" s="7" t="inlineStr">
        <is>
          <t>Parsed</t>
        </is>
      </c>
      <c r="D100" s="7" t="n">
        <v>4</v>
      </c>
      <c r="E100" s="7" t="inlineStr">
        <is>
          <t>The Company has informed the Exchange regarding the updated Investor Presentation.&lt;BR&gt;</t>
        </is>
      </c>
      <c r="F100" s="37" t="inlineStr">
        <is>
          <t>Open PDF</t>
        </is>
      </c>
    </row>
    <row r="101">
      <c r="A101" s="33" t="n">
        <v>44033</v>
      </c>
      <c r="B101" s="7" t="inlineStr"/>
      <c r="C101" s="7" t="inlineStr">
        <is>
          <t>Earnings-call / other presentation (no monthly table)</t>
        </is>
      </c>
      <c r="D101" s="7" t="n"/>
      <c r="E101" s="7" t="inlineStr">
        <is>
          <t>ICICI Prudential Life Insurance Company Limited has informed the exchange about the business presentation of the Company on the performance update for Q1-FY2021</t>
        </is>
      </c>
      <c r="F101" s="37" t="inlineStr">
        <is>
          <t>Open PDF</t>
        </is>
      </c>
    </row>
    <row r="102">
      <c r="A102" s="33" t="n">
        <v>44021</v>
      </c>
      <c r="B102" s="7" t="inlineStr">
        <is>
          <t>Apr-20, May-20, Jun-20</t>
        </is>
      </c>
      <c r="C102" s="7" t="inlineStr">
        <is>
          <t>Parsed</t>
        </is>
      </c>
      <c r="D102" s="7" t="n">
        <v>4</v>
      </c>
      <c r="E102" s="7" t="inlineStr">
        <is>
          <t>The Company has informed the Exchange regarding the updated Investor Presentation.&lt;BR&gt;</t>
        </is>
      </c>
      <c r="F102" s="37" t="inlineStr">
        <is>
          <t>Open PDF</t>
        </is>
      </c>
    </row>
    <row r="103">
      <c r="A103" s="33" t="n">
        <v>43990</v>
      </c>
      <c r="B103" s="7" t="inlineStr">
        <is>
          <t>Apr-20, May-20</t>
        </is>
      </c>
      <c r="C103" s="7" t="inlineStr">
        <is>
          <t>Parsed</t>
        </is>
      </c>
      <c r="D103" s="7" t="n">
        <v>4</v>
      </c>
      <c r="E103" s="7" t="inlineStr">
        <is>
          <t>The Company has informed the Exchange regarding the updated Investor Presentation.&lt;BR&gt;</t>
        </is>
      </c>
      <c r="F103" s="37" t="inlineStr">
        <is>
          <t>Open PDF</t>
        </is>
      </c>
    </row>
    <row r="104">
      <c r="A104" s="33" t="n">
        <v>43960</v>
      </c>
      <c r="B104" s="7" t="inlineStr">
        <is>
          <t>Apr-20</t>
        </is>
      </c>
      <c r="C104" s="7" t="inlineStr">
        <is>
          <t>Parsed</t>
        </is>
      </c>
      <c r="D104" s="7" t="n">
        <v>4</v>
      </c>
      <c r="E104" s="7" t="inlineStr">
        <is>
          <t>The Company has informed the Exchange regarding the updated Investor Presentation.</t>
        </is>
      </c>
      <c r="F104" s="37" t="inlineStr">
        <is>
          <t>Open PDF</t>
        </is>
      </c>
    </row>
    <row r="105">
      <c r="A105" s="33" t="n">
        <v>43946</v>
      </c>
      <c r="B105" s="7" t="inlineStr"/>
      <c r="C105" s="7" t="inlineStr">
        <is>
          <t>Earnings-call / other presentation (no monthly table)</t>
        </is>
      </c>
      <c r="D105" s="7" t="n"/>
      <c r="E105" s="7" t="inlineStr">
        <is>
          <t>ICICI Prudential Life Insurance Company Limited has informed the exchange about the business presentation of the Company on the performance update for FY2020.</t>
        </is>
      </c>
      <c r="F105" s="37" t="inlineStr">
        <is>
          <t>Open PDF</t>
        </is>
      </c>
    </row>
    <row r="106">
      <c r="A106" s="33" t="n">
        <v>43899</v>
      </c>
      <c r="B106" s="7" t="inlineStr">
        <is>
          <t>Jan-20, Feb-20</t>
        </is>
      </c>
      <c r="C106" s="7" t="inlineStr">
        <is>
          <t>Parsed</t>
        </is>
      </c>
      <c r="D106" s="7" t="n">
        <v>5</v>
      </c>
      <c r="E106" s="7" t="inlineStr">
        <is>
          <t>The Company has informed the Exchange regarding the updated Investor Presentation.&lt;BR&gt;</t>
        </is>
      </c>
      <c r="F106" s="37" t="inlineStr">
        <is>
          <t>Open PDF</t>
        </is>
      </c>
    </row>
    <row r="107">
      <c r="A107" s="33" t="n">
        <v>43868</v>
      </c>
      <c r="B107" s="7" t="inlineStr">
        <is>
          <t>Jan-20</t>
        </is>
      </c>
      <c r="C107" s="7" t="inlineStr">
        <is>
          <t>Parsed</t>
        </is>
      </c>
      <c r="D107" s="7" t="n">
        <v>5</v>
      </c>
      <c r="E107" s="7" t="inlineStr">
        <is>
          <t>The Company has informed the Exchange regarding the updated Investor Presentation.&lt;BR&gt;</t>
        </is>
      </c>
      <c r="F107" s="37" t="inlineStr">
        <is>
          <t>Open PDF</t>
        </is>
      </c>
    </row>
    <row r="108">
      <c r="A108" s="33" t="n">
        <v>43868</v>
      </c>
      <c r="B108" s="7" t="inlineStr">
        <is>
          <t>Jan-20</t>
        </is>
      </c>
      <c r="C108" s="7" t="inlineStr">
        <is>
          <t>Parsed</t>
        </is>
      </c>
      <c r="D108" s="7" t="n">
        <v>5</v>
      </c>
      <c r="E108" s="7" t="inlineStr">
        <is>
          <t>The Company has informed the Exchange regarding the updated Investor Presentation.&lt;BR&gt;</t>
        </is>
      </c>
      <c r="F108" s="37" t="inlineStr">
        <is>
          <t>Open PDF</t>
        </is>
      </c>
    </row>
    <row r="109">
      <c r="A109" s="33" t="n">
        <v>43851</v>
      </c>
      <c r="B109" s="7" t="inlineStr"/>
      <c r="C109" s="7" t="inlineStr">
        <is>
          <t>Earnings-call / other presentation (no monthly table)</t>
        </is>
      </c>
      <c r="D109" s="7" t="n"/>
      <c r="E109" s="7" t="inlineStr">
        <is>
          <t>ICICI Prudential Life Insurance Company Limited has informed the exchange about the business presentation of the Company on the performance update for 9M-FY2020</t>
        </is>
      </c>
      <c r="F109" s="37" t="inlineStr">
        <is>
          <t>Open PDF</t>
        </is>
      </c>
    </row>
    <row r="110">
      <c r="A110" s="33" t="n">
        <v>43840</v>
      </c>
      <c r="B110" s="7" t="inlineStr">
        <is>
          <t>Oct-19, Nov-19, Dec-19</t>
        </is>
      </c>
      <c r="C110" s="7" t="inlineStr">
        <is>
          <t>Parsed</t>
        </is>
      </c>
      <c r="D110" s="7" t="n">
        <v>5</v>
      </c>
      <c r="E110" s="7" t="inlineStr">
        <is>
          <t>The Company has informed the Exchange regarding the updated Investor Presentation.&lt;BR&gt;</t>
        </is>
      </c>
      <c r="F110" s="37" t="inlineStr">
        <is>
          <t>Open PDF</t>
        </is>
      </c>
    </row>
    <row r="111">
      <c r="A111" s="33" t="n">
        <v>43808</v>
      </c>
      <c r="B111" s="7" t="inlineStr">
        <is>
          <t>Oct-19, Nov-19</t>
        </is>
      </c>
      <c r="C111" s="7" t="inlineStr">
        <is>
          <t>Parsed</t>
        </is>
      </c>
      <c r="D111" s="7" t="n">
        <v>5</v>
      </c>
      <c r="E111" s="7" t="inlineStr">
        <is>
          <t>The Company has informed the Exchange regarding the updated Investor Presentation.&lt;BR&gt;</t>
        </is>
      </c>
      <c r="F111" s="37" t="inlineStr">
        <is>
          <t>Open PDF</t>
        </is>
      </c>
    </row>
    <row r="112">
      <c r="A112" s="33" t="n">
        <v>43776</v>
      </c>
      <c r="B112" s="7" t="inlineStr"/>
      <c r="C112" s="7" t="inlineStr">
        <is>
          <t>Earnings-call / other presentation (no monthly table)</t>
        </is>
      </c>
      <c r="D112" s="7" t="n"/>
      <c r="E112" s="7" t="inlineStr">
        <is>
          <t>The Company has informed the Exchange regarding the updated Investor Presentation.&lt;BR&gt;</t>
        </is>
      </c>
      <c r="F112" s="37" t="inlineStr">
        <is>
          <t>Open PDF</t>
        </is>
      </c>
    </row>
    <row r="113">
      <c r="A113" s="33" t="n">
        <v>43760</v>
      </c>
      <c r="B113" s="7" t="inlineStr"/>
      <c r="C113" s="7" t="inlineStr">
        <is>
          <t>Earnings-call / other presentation (no monthly table)</t>
        </is>
      </c>
      <c r="D113" s="7" t="n"/>
      <c r="E113" s="7" t="inlineStr">
        <is>
          <t>ICICI Prudential Life Insurance Company Limited has informed the exchange about the business presentation of the Company on the performance update for H1-FY2020</t>
        </is>
      </c>
      <c r="F113" s="37" t="inlineStr">
        <is>
          <t>Open PDF</t>
        </is>
      </c>
    </row>
    <row r="114">
      <c r="A114" s="33" t="n">
        <v>43749</v>
      </c>
      <c r="B114" s="7" t="inlineStr">
        <is>
          <t>Jul-19, Aug-19, Sep-19</t>
        </is>
      </c>
      <c r="C114" s="7" t="inlineStr">
        <is>
          <t>Parsed</t>
        </is>
      </c>
      <c r="D114" s="7" t="n">
        <v>5</v>
      </c>
      <c r="E114" s="7" t="inlineStr">
        <is>
          <t>The Company has informed the Exchange regarding the updated Investor Presentation.&lt;BR&gt;</t>
        </is>
      </c>
      <c r="F114" s="37" t="inlineStr">
        <is>
          <t>Open PDF</t>
        </is>
      </c>
    </row>
    <row r="115">
      <c r="A115" s="33" t="n">
        <v>43719</v>
      </c>
      <c r="B115" s="7" t="inlineStr">
        <is>
          <t>Jul-19, Aug-19</t>
        </is>
      </c>
      <c r="C115" s="7" t="inlineStr">
        <is>
          <t>Parsed</t>
        </is>
      </c>
      <c r="D115" s="7" t="n">
        <v>5</v>
      </c>
      <c r="E115" s="7" t="inlineStr">
        <is>
          <t>The Company has informed the Exchange regarding the updated Investor Presentation.</t>
        </is>
      </c>
      <c r="F115" s="37" t="inlineStr">
        <is>
          <t>Open PDF</t>
        </is>
      </c>
    </row>
    <row r="116">
      <c r="A116" s="33" t="n">
        <v>43690</v>
      </c>
      <c r="B116" s="7" t="inlineStr">
        <is>
          <t>Jul-19</t>
        </is>
      </c>
      <c r="C116" s="7" t="inlineStr">
        <is>
          <t>Parsed</t>
        </is>
      </c>
      <c r="D116" s="7" t="n">
        <v>5</v>
      </c>
      <c r="E116" s="7" t="inlineStr">
        <is>
          <t>The Company has informed the Exchange regarding the updated Investor Presentation.&lt;BR&gt;</t>
        </is>
      </c>
      <c r="F116" s="37" t="inlineStr">
        <is>
          <t>Open PDF</t>
        </is>
      </c>
    </row>
    <row r="117">
      <c r="A117" s="33" t="n">
        <v>43651</v>
      </c>
      <c r="B117" s="7" t="inlineStr">
        <is>
          <t>Apr-19, May-19, Jun-19</t>
        </is>
      </c>
      <c r="C117" s="7" t="inlineStr">
        <is>
          <t>Parsed</t>
        </is>
      </c>
      <c r="D117" s="7" t="n">
        <v>5</v>
      </c>
      <c r="E117" s="7" t="inlineStr">
        <is>
          <t>The Company has informed the Exchange regarding the updated Investor Presentation.</t>
        </is>
      </c>
      <c r="F117" s="37" t="inlineStr">
        <is>
          <t>Open PDF</t>
        </is>
      </c>
    </row>
    <row r="118">
      <c r="A118" s="33" t="n">
        <v>43643</v>
      </c>
      <c r="B118" s="7" t="inlineStr"/>
      <c r="C118" s="7" t="inlineStr">
        <is>
          <t>Earnings-call / other presentation (no monthly table)</t>
        </is>
      </c>
      <c r="D118" s="7" t="n"/>
      <c r="E118" s="7" t="inlineStr">
        <is>
          <t>The Company has informed the Exchange regarding Company''s presentation as a part of experiential session on technology held on June 27, 2019, which was attende</t>
        </is>
      </c>
      <c r="F118" s="37" t="inlineStr">
        <is>
          <t>Open PDF</t>
        </is>
      </c>
    </row>
    <row r="119">
      <c r="A119" s="33" t="n">
        <v>43621</v>
      </c>
      <c r="B119" s="7" t="inlineStr">
        <is>
          <t>Apr-19, May-19</t>
        </is>
      </c>
      <c r="C119" s="7" t="inlineStr">
        <is>
          <t>Parsed</t>
        </is>
      </c>
      <c r="D119" s="7" t="n">
        <v>5</v>
      </c>
      <c r="E119" s="7" t="inlineStr">
        <is>
          <t>The Company has informed the Exchange regarding the updated Investor Presentation.</t>
        </is>
      </c>
      <c r="F119" s="37" t="inlineStr">
        <is>
          <t>Open PDF</t>
        </is>
      </c>
    </row>
    <row r="120">
      <c r="A120" s="33" t="n">
        <v>43589</v>
      </c>
      <c r="B120" s="7" t="inlineStr">
        <is>
          <t>Apr-19</t>
        </is>
      </c>
      <c r="C120" s="7" t="inlineStr">
        <is>
          <t>Parsed</t>
        </is>
      </c>
      <c r="D120" s="7" t="n">
        <v>5</v>
      </c>
      <c r="E120" s="7" t="inlineStr">
        <is>
          <t>The Company has informed the Exchange regarding the updated Investor Presentation.</t>
        </is>
      </c>
      <c r="F120" s="37" t="inlineStr">
        <is>
          <t>Open PDF</t>
        </is>
      </c>
    </row>
    <row r="121">
      <c r="A121" s="33" t="n">
        <v>43572</v>
      </c>
      <c r="B121" s="7" t="inlineStr">
        <is>
          <t>Jan-19, Feb-19, Mar-19</t>
        </is>
      </c>
      <c r="C121" s="7" t="inlineStr">
        <is>
          <t>Parsed</t>
        </is>
      </c>
      <c r="D121" s="7" t="n">
        <v>7</v>
      </c>
      <c r="E121" s="7" t="inlineStr">
        <is>
          <t>The Company has informed the Exchange regarding the updated Investor Presentation.</t>
        </is>
      </c>
      <c r="F121" s="37" t="inlineStr">
        <is>
          <t>Open PDF</t>
        </is>
      </c>
    </row>
    <row r="122">
      <c r="A122" s="33" t="n">
        <v>43529</v>
      </c>
      <c r="B122" s="7" t="inlineStr">
        <is>
          <t>Jan-19, Feb-19</t>
        </is>
      </c>
      <c r="C122" s="7" t="inlineStr">
        <is>
          <t>Parsed</t>
        </is>
      </c>
      <c r="D122" s="7" t="n">
        <v>7</v>
      </c>
      <c r="E122" s="7" t="inlineStr">
        <is>
          <t>The Company has informed the Exchange regarding the updated Investor Presentation.</t>
        </is>
      </c>
      <c r="F122" s="37" t="inlineStr">
        <is>
          <t>Open PDF</t>
        </is>
      </c>
    </row>
    <row r="123">
      <c r="A123" s="33" t="n">
        <v>43502</v>
      </c>
      <c r="B123" s="7" t="inlineStr">
        <is>
          <t>Jan-19</t>
        </is>
      </c>
      <c r="C123" s="7" t="inlineStr">
        <is>
          <t>Parsed</t>
        </is>
      </c>
      <c r="D123" s="7" t="n">
        <v>7</v>
      </c>
      <c r="E123" s="7" t="inlineStr">
        <is>
          <t>The Company has informed the Exchange regarding the updated Investor Presentation.</t>
        </is>
      </c>
      <c r="F123" s="37" t="inlineStr">
        <is>
          <t>Open PDF</t>
        </is>
      </c>
    </row>
    <row r="124">
      <c r="A124" s="33" t="n">
        <v>43472</v>
      </c>
      <c r="B124" s="7" t="inlineStr">
        <is>
          <t>Oct-18, Nov-18, Dec-18</t>
        </is>
      </c>
      <c r="C124" s="7" t="inlineStr">
        <is>
          <t>Parsed</t>
        </is>
      </c>
      <c r="D124" s="7" t="n">
        <v>7</v>
      </c>
      <c r="E124" s="7" t="inlineStr">
        <is>
          <t>The Company has informed the Exchange regarding the updated Investor Presentation.</t>
        </is>
      </c>
      <c r="F124" s="37" t="inlineStr">
        <is>
          <t>Open PDF</t>
        </is>
      </c>
    </row>
    <row r="125">
      <c r="A125" s="33" t="n">
        <v>43440</v>
      </c>
      <c r="B125" s="7" t="inlineStr"/>
      <c r="C125" s="7" t="inlineStr">
        <is>
          <t>PDF not downloadable from BSE</t>
        </is>
      </c>
      <c r="D125" s="7" t="n"/>
      <c r="E125" s="7" t="inlineStr">
        <is>
          <t>The Company has informed the Exchange regarding the updated Investor Presentation</t>
        </is>
      </c>
      <c r="F125" s="37" t="inlineStr">
        <is>
          <t>Open PDF</t>
        </is>
      </c>
    </row>
  </sheetData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5" r:id="rId22"/>
    <hyperlink xmlns:r="http://schemas.openxmlformats.org/officeDocument/2006/relationships" ref="F26" r:id="rId23"/>
    <hyperlink xmlns:r="http://schemas.openxmlformats.org/officeDocument/2006/relationships" ref="F27" r:id="rId24"/>
    <hyperlink xmlns:r="http://schemas.openxmlformats.org/officeDocument/2006/relationships" ref="F28" r:id="rId25"/>
    <hyperlink xmlns:r="http://schemas.openxmlformats.org/officeDocument/2006/relationships" ref="F29" r:id="rId26"/>
    <hyperlink xmlns:r="http://schemas.openxmlformats.org/officeDocument/2006/relationships" ref="F30" r:id="rId27"/>
    <hyperlink xmlns:r="http://schemas.openxmlformats.org/officeDocument/2006/relationships" ref="F31" r:id="rId28"/>
    <hyperlink xmlns:r="http://schemas.openxmlformats.org/officeDocument/2006/relationships" ref="F32" r:id="rId29"/>
    <hyperlink xmlns:r="http://schemas.openxmlformats.org/officeDocument/2006/relationships" ref="F33" r:id="rId30"/>
    <hyperlink xmlns:r="http://schemas.openxmlformats.org/officeDocument/2006/relationships" ref="F34" r:id="rId31"/>
    <hyperlink xmlns:r="http://schemas.openxmlformats.org/officeDocument/2006/relationships" ref="F35" r:id="rId32"/>
    <hyperlink xmlns:r="http://schemas.openxmlformats.org/officeDocument/2006/relationships" ref="F36" r:id="rId33"/>
    <hyperlink xmlns:r="http://schemas.openxmlformats.org/officeDocument/2006/relationships" ref="F37" r:id="rId34"/>
    <hyperlink xmlns:r="http://schemas.openxmlformats.org/officeDocument/2006/relationships" ref="F38" r:id="rId35"/>
    <hyperlink xmlns:r="http://schemas.openxmlformats.org/officeDocument/2006/relationships" ref="F39" r:id="rId36"/>
    <hyperlink xmlns:r="http://schemas.openxmlformats.org/officeDocument/2006/relationships" ref="F40" r:id="rId37"/>
    <hyperlink xmlns:r="http://schemas.openxmlformats.org/officeDocument/2006/relationships" ref="F41" r:id="rId38"/>
    <hyperlink xmlns:r="http://schemas.openxmlformats.org/officeDocument/2006/relationships" ref="F42" r:id="rId39"/>
    <hyperlink xmlns:r="http://schemas.openxmlformats.org/officeDocument/2006/relationships" ref="F43" r:id="rId40"/>
    <hyperlink xmlns:r="http://schemas.openxmlformats.org/officeDocument/2006/relationships" ref="F44" r:id="rId41"/>
    <hyperlink xmlns:r="http://schemas.openxmlformats.org/officeDocument/2006/relationships" ref="F45" r:id="rId42"/>
    <hyperlink xmlns:r="http://schemas.openxmlformats.org/officeDocument/2006/relationships" ref="F46" r:id="rId43"/>
    <hyperlink xmlns:r="http://schemas.openxmlformats.org/officeDocument/2006/relationships" ref="F47" r:id="rId44"/>
    <hyperlink xmlns:r="http://schemas.openxmlformats.org/officeDocument/2006/relationships" ref="F48" r:id="rId45"/>
    <hyperlink xmlns:r="http://schemas.openxmlformats.org/officeDocument/2006/relationships" ref="F49" r:id="rId46"/>
    <hyperlink xmlns:r="http://schemas.openxmlformats.org/officeDocument/2006/relationships" ref="F50" r:id="rId47"/>
    <hyperlink xmlns:r="http://schemas.openxmlformats.org/officeDocument/2006/relationships" ref="F51" r:id="rId48"/>
    <hyperlink xmlns:r="http://schemas.openxmlformats.org/officeDocument/2006/relationships" ref="F52" r:id="rId49"/>
    <hyperlink xmlns:r="http://schemas.openxmlformats.org/officeDocument/2006/relationships" ref="F53" r:id="rId50"/>
    <hyperlink xmlns:r="http://schemas.openxmlformats.org/officeDocument/2006/relationships" ref="F54" r:id="rId51"/>
    <hyperlink xmlns:r="http://schemas.openxmlformats.org/officeDocument/2006/relationships" ref="F55" r:id="rId52"/>
    <hyperlink xmlns:r="http://schemas.openxmlformats.org/officeDocument/2006/relationships" ref="F56" r:id="rId53"/>
    <hyperlink xmlns:r="http://schemas.openxmlformats.org/officeDocument/2006/relationships" ref="F57" r:id="rId54"/>
    <hyperlink xmlns:r="http://schemas.openxmlformats.org/officeDocument/2006/relationships" ref="F58" r:id="rId55"/>
    <hyperlink xmlns:r="http://schemas.openxmlformats.org/officeDocument/2006/relationships" ref="F59" r:id="rId56"/>
    <hyperlink xmlns:r="http://schemas.openxmlformats.org/officeDocument/2006/relationships" ref="F60" r:id="rId57"/>
    <hyperlink xmlns:r="http://schemas.openxmlformats.org/officeDocument/2006/relationships" ref="F61" r:id="rId58"/>
    <hyperlink xmlns:r="http://schemas.openxmlformats.org/officeDocument/2006/relationships" ref="F62" r:id="rId59"/>
    <hyperlink xmlns:r="http://schemas.openxmlformats.org/officeDocument/2006/relationships" ref="F63" r:id="rId60"/>
    <hyperlink xmlns:r="http://schemas.openxmlformats.org/officeDocument/2006/relationships" ref="F64" r:id="rId61"/>
    <hyperlink xmlns:r="http://schemas.openxmlformats.org/officeDocument/2006/relationships" ref="F65" r:id="rId62"/>
    <hyperlink xmlns:r="http://schemas.openxmlformats.org/officeDocument/2006/relationships" ref="F66" r:id="rId63"/>
    <hyperlink xmlns:r="http://schemas.openxmlformats.org/officeDocument/2006/relationships" ref="F67" r:id="rId64"/>
    <hyperlink xmlns:r="http://schemas.openxmlformats.org/officeDocument/2006/relationships" ref="F68" r:id="rId65"/>
    <hyperlink xmlns:r="http://schemas.openxmlformats.org/officeDocument/2006/relationships" ref="F69" r:id="rId66"/>
    <hyperlink xmlns:r="http://schemas.openxmlformats.org/officeDocument/2006/relationships" ref="F70" r:id="rId67"/>
    <hyperlink xmlns:r="http://schemas.openxmlformats.org/officeDocument/2006/relationships" ref="F71" r:id="rId68"/>
    <hyperlink xmlns:r="http://schemas.openxmlformats.org/officeDocument/2006/relationships" ref="F72" r:id="rId69"/>
    <hyperlink xmlns:r="http://schemas.openxmlformats.org/officeDocument/2006/relationships" ref="F73" r:id="rId70"/>
    <hyperlink xmlns:r="http://schemas.openxmlformats.org/officeDocument/2006/relationships" ref="F74" r:id="rId71"/>
    <hyperlink xmlns:r="http://schemas.openxmlformats.org/officeDocument/2006/relationships" ref="F75" r:id="rId72"/>
    <hyperlink xmlns:r="http://schemas.openxmlformats.org/officeDocument/2006/relationships" ref="F76" r:id="rId73"/>
    <hyperlink xmlns:r="http://schemas.openxmlformats.org/officeDocument/2006/relationships" ref="F77" r:id="rId74"/>
    <hyperlink xmlns:r="http://schemas.openxmlformats.org/officeDocument/2006/relationships" ref="F78" r:id="rId75"/>
    <hyperlink xmlns:r="http://schemas.openxmlformats.org/officeDocument/2006/relationships" ref="F79" r:id="rId76"/>
    <hyperlink xmlns:r="http://schemas.openxmlformats.org/officeDocument/2006/relationships" ref="F80" r:id="rId77"/>
    <hyperlink xmlns:r="http://schemas.openxmlformats.org/officeDocument/2006/relationships" ref="F81" r:id="rId78"/>
    <hyperlink xmlns:r="http://schemas.openxmlformats.org/officeDocument/2006/relationships" ref="F82" r:id="rId79"/>
    <hyperlink xmlns:r="http://schemas.openxmlformats.org/officeDocument/2006/relationships" ref="F83" r:id="rId80"/>
    <hyperlink xmlns:r="http://schemas.openxmlformats.org/officeDocument/2006/relationships" ref="F84" r:id="rId81"/>
    <hyperlink xmlns:r="http://schemas.openxmlformats.org/officeDocument/2006/relationships" ref="F85" r:id="rId82"/>
    <hyperlink xmlns:r="http://schemas.openxmlformats.org/officeDocument/2006/relationships" ref="F86" r:id="rId83"/>
    <hyperlink xmlns:r="http://schemas.openxmlformats.org/officeDocument/2006/relationships" ref="F87" r:id="rId84"/>
    <hyperlink xmlns:r="http://schemas.openxmlformats.org/officeDocument/2006/relationships" ref="F88" r:id="rId85"/>
    <hyperlink xmlns:r="http://schemas.openxmlformats.org/officeDocument/2006/relationships" ref="F89" r:id="rId86"/>
    <hyperlink xmlns:r="http://schemas.openxmlformats.org/officeDocument/2006/relationships" ref="F90" r:id="rId87"/>
    <hyperlink xmlns:r="http://schemas.openxmlformats.org/officeDocument/2006/relationships" ref="F91" r:id="rId88"/>
    <hyperlink xmlns:r="http://schemas.openxmlformats.org/officeDocument/2006/relationships" ref="F92" r:id="rId89"/>
    <hyperlink xmlns:r="http://schemas.openxmlformats.org/officeDocument/2006/relationships" ref="F93" r:id="rId90"/>
    <hyperlink xmlns:r="http://schemas.openxmlformats.org/officeDocument/2006/relationships" ref="F94" r:id="rId91"/>
    <hyperlink xmlns:r="http://schemas.openxmlformats.org/officeDocument/2006/relationships" ref="F95" r:id="rId92"/>
    <hyperlink xmlns:r="http://schemas.openxmlformats.org/officeDocument/2006/relationships" ref="F96" r:id="rId93"/>
    <hyperlink xmlns:r="http://schemas.openxmlformats.org/officeDocument/2006/relationships" ref="F97" r:id="rId94"/>
    <hyperlink xmlns:r="http://schemas.openxmlformats.org/officeDocument/2006/relationships" ref="F98" r:id="rId95"/>
    <hyperlink xmlns:r="http://schemas.openxmlformats.org/officeDocument/2006/relationships" ref="F99" r:id="rId96"/>
    <hyperlink xmlns:r="http://schemas.openxmlformats.org/officeDocument/2006/relationships" ref="F100" r:id="rId97"/>
    <hyperlink xmlns:r="http://schemas.openxmlformats.org/officeDocument/2006/relationships" ref="F101" r:id="rId98"/>
    <hyperlink xmlns:r="http://schemas.openxmlformats.org/officeDocument/2006/relationships" ref="F102" r:id="rId99"/>
    <hyperlink xmlns:r="http://schemas.openxmlformats.org/officeDocument/2006/relationships" ref="F103" r:id="rId100"/>
    <hyperlink xmlns:r="http://schemas.openxmlformats.org/officeDocument/2006/relationships" ref="F104" r:id="rId101"/>
    <hyperlink xmlns:r="http://schemas.openxmlformats.org/officeDocument/2006/relationships" ref="F105" r:id="rId102"/>
    <hyperlink xmlns:r="http://schemas.openxmlformats.org/officeDocument/2006/relationships" ref="F106" r:id="rId103"/>
    <hyperlink xmlns:r="http://schemas.openxmlformats.org/officeDocument/2006/relationships" ref="F107" r:id="rId104"/>
    <hyperlink xmlns:r="http://schemas.openxmlformats.org/officeDocument/2006/relationships" ref="F108" r:id="rId105"/>
    <hyperlink xmlns:r="http://schemas.openxmlformats.org/officeDocument/2006/relationships" ref="F109" r:id="rId106"/>
    <hyperlink xmlns:r="http://schemas.openxmlformats.org/officeDocument/2006/relationships" ref="F110" r:id="rId107"/>
    <hyperlink xmlns:r="http://schemas.openxmlformats.org/officeDocument/2006/relationships" ref="F111" r:id="rId108"/>
    <hyperlink xmlns:r="http://schemas.openxmlformats.org/officeDocument/2006/relationships" ref="F112" r:id="rId109"/>
    <hyperlink xmlns:r="http://schemas.openxmlformats.org/officeDocument/2006/relationships" ref="F113" r:id="rId110"/>
    <hyperlink xmlns:r="http://schemas.openxmlformats.org/officeDocument/2006/relationships" ref="F114" r:id="rId111"/>
    <hyperlink xmlns:r="http://schemas.openxmlformats.org/officeDocument/2006/relationships" ref="F115" r:id="rId112"/>
    <hyperlink xmlns:r="http://schemas.openxmlformats.org/officeDocument/2006/relationships" ref="F116" r:id="rId113"/>
    <hyperlink xmlns:r="http://schemas.openxmlformats.org/officeDocument/2006/relationships" ref="F117" r:id="rId114"/>
    <hyperlink xmlns:r="http://schemas.openxmlformats.org/officeDocument/2006/relationships" ref="F118" r:id="rId115"/>
    <hyperlink xmlns:r="http://schemas.openxmlformats.org/officeDocument/2006/relationships" ref="F119" r:id="rId116"/>
    <hyperlink xmlns:r="http://schemas.openxmlformats.org/officeDocument/2006/relationships" ref="F120" r:id="rId117"/>
    <hyperlink xmlns:r="http://schemas.openxmlformats.org/officeDocument/2006/relationships" ref="F121" r:id="rId118"/>
    <hyperlink xmlns:r="http://schemas.openxmlformats.org/officeDocument/2006/relationships" ref="F122" r:id="rId119"/>
    <hyperlink xmlns:r="http://schemas.openxmlformats.org/officeDocument/2006/relationships" ref="F123" r:id="rId120"/>
    <hyperlink xmlns:r="http://schemas.openxmlformats.org/officeDocument/2006/relationships" ref="F124" r:id="rId121"/>
    <hyperlink xmlns:r="http://schemas.openxmlformats.org/officeDocument/2006/relationships" ref="F125" r:id="rId1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2026-10-14T04:48:34Z</dcterms:created>
  <dcterms:modified xsi:type="dcterms:W3CDTF">2026-10-14T04:48:35Z</dcterms:modified>
</cp:coreProperties>
</file>