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D summary 2005-2025" sheetId="1" state="visible" r:id="rId3"/>
    <sheet name="Verification" sheetId="2" state="visible" r:id="rId4"/>
    <sheet name="Reconciliation" sheetId="3" state="visible" r:id="rId5"/>
    <sheet name="Raw data (as reported)" sheetId="4" state="visible" r:id="rId6"/>
    <sheet name="FX" sheetId="5" state="visible" r:id="rId7"/>
    <sheet name="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<sst xmlns="http://schemas.openxmlformats.org/spreadsheetml/2006/main" count="508" uniqueCount="223">
  <si>
    <t xml:space="preserve">UBS wealth management – revenue mix in USD, 2005–2025</t>
  </si>
  <si>
    <t xml:space="preserve">All figures USD millions, CHF years converted at each year's average rate (FX tab). A year shows a number only when every unit in that year has it; otherwise the cell is blank – see Raw data for the unit-level figures.</t>
  </si>
  <si>
    <t xml:space="preserve">Year</t>
  </si>
  <si>
    <t xml:space="preserve">Perimeter</t>
  </si>
  <si>
    <t xml:space="preserve">Basis</t>
  </si>
  <si>
    <t xml:space="preserve">Total revenue (USD m)</t>
  </si>
  <si>
    <t xml:space="preserve">Net interest income</t>
  </si>
  <si>
    <t xml:space="preserve">Recurring net fees</t>
  </si>
  <si>
    <t xml:space="preserve">Transaction-based</t>
  </si>
  <si>
    <t xml:space="preserve">Other revenues</t>
  </si>
  <si>
    <t xml:space="preserve">Recurring (old: NII+fees)</t>
  </si>
  <si>
    <t xml:space="preserve">Non-recurring (old)</t>
  </si>
  <si>
    <t xml:space="preserve">Sum of income lines</t>
  </si>
  <si>
    <t xml:space="preserve">NII share</t>
  </si>
  <si>
    <t xml:space="preserve">Recurring fee share</t>
  </si>
  <si>
    <t xml:space="preserve">Transaction share</t>
  </si>
  <si>
    <t xml:space="preserve">Other revenues share</t>
  </si>
  <si>
    <t xml:space="preserve">Recurring share (NII+fees) – continuous series</t>
  </si>
  <si>
    <t xml:space="preserve">Note</t>
  </si>
  <si>
    <t xml:space="preserve">2005</t>
  </si>
  <si>
    <t xml:space="preserve">WM Intl &amp; Switzerland + WM US</t>
  </si>
  <si>
    <t xml:space="preserve">Old (recurring vs non-recurring)</t>
  </si>
  <si>
    <t xml:space="preserve">Recurring split only for WM US (55% recurring) – see Raw.</t>
  </si>
  <si>
    <t xml:space="preserve">2006</t>
  </si>
  <si>
    <t xml:space="preserve">Recurring split only for WM US (59% recurring) – see Raw.</t>
  </si>
  <si>
    <t xml:space="preserve">2007</t>
  </si>
  <si>
    <t xml:space="preserve">Annual totals not found; WM US recurring USD 3.5bn. 3Q07 Intl &amp; Swiss unit: 75% recurring.</t>
  </si>
  <si>
    <t xml:space="preserve">2008</t>
  </si>
  <si>
    <t xml:space="preserve">WM + WM Americas</t>
  </si>
  <si>
    <t xml:space="preserve">Only WM Americas found (65% recurring) – see Raw.</t>
  </si>
  <si>
    <t xml:space="preserve">2009</t>
  </si>
  <si>
    <t xml:space="preserve">2010</t>
  </si>
  <si>
    <t xml:space="preserve">2011</t>
  </si>
  <si>
    <t xml:space="preserve">Accounting lines</t>
  </si>
  <si>
    <t xml:space="preserve">Only NII, other income and totals disclosed on a comparable basis.</t>
  </si>
  <si>
    <t xml:space="preserve">2012</t>
  </si>
  <si>
    <t xml:space="preserve">2013</t>
  </si>
  <si>
    <t xml:space="preserve">New (NII / fees / transaction / other)</t>
  </si>
  <si>
    <t xml:space="preserve">Other income not disclosed separately; it sits inside recurring fees (derived).</t>
  </si>
  <si>
    <t xml:space="preserve">2014</t>
  </si>
  <si>
    <t xml:space="preserve">2015</t>
  </si>
  <si>
    <t xml:space="preserve">2016</t>
  </si>
  <si>
    <t xml:space="preserve">2017</t>
  </si>
  <si>
    <t xml:space="preserve">Global Wealth Management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</si>
  <si>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</si>
  <si>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</si>
  <si>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</si>
  <si>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</si>
  <si>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</si>
  <si>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</si>
  <si>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GWM + Credit Suisse (7 months)</t>
  </si>
  <si>
    <t xml:space="preserve">Includes Credit Suisse from June 2023; other revenues negative.</t>
  </si>
  <si>
    <t xml:space="preserve">2024</t>
  </si>
  <si>
    <t xml:space="preserve">GWM + Credit Suisse</t>
  </si>
  <si>
    <t xml:space="preserve">2025</t>
  </si>
  <si>
    <t xml:space="preserve">UBS renamed 'Other income' to 'Other revenues' from 4Q25.</t>
  </si>
  <si>
    <t xml:space="preserve">NII share in 2011–2012 (WM + WMA): see Raw data – NII was about 21% of revenue in both years.</t>
  </si>
  <si>
    <t xml:space="preserve">Shares use the sum of all four income lines (NII + recurring fees + transaction + other revenues) as the denominator; recurring share (NII+fees) links both reporting bases.</t>
  </si>
  <si>
    <t xml:space="preserve">Verification log – how each input was checked</t>
  </si>
  <si>
    <t xml:space="preserve">Status key: VERBATIM = row read word-for-word from the filing table · TWO SOURCES = two separate filings show the same number · TIES = the lines add exactly to the reported total · QUARTERLY CHECK = consistent with quarterly figures · DERIVED = calculated by me · NOT VERIFIED = left blank.</t>
  </si>
  <si>
    <t xml:space="preserve">Unit</t>
  </si>
  <si>
    <t xml:space="preserve">Figures</t>
  </si>
  <si>
    <t xml:space="preserve">Status</t>
  </si>
  <si>
    <t xml:space="preserve">How it was checked</t>
  </si>
  <si>
    <t xml:space="preserve">WM Intl &amp; Switzerland</t>
  </si>
  <si>
    <t xml:space="preserve">Total CHF 9,011m</t>
  </si>
  <si>
    <t xml:space="preserve">VERBATIM + TIES</t>
  </si>
  <si>
    <t xml:space="preserve">4Q05 6-K table row 'Total operating income … 9,011 | 7,693'; Handbook: 9,011 + 5,156 + 5,071 (Business Banking) = 19,238 business-group total.</t>
  </si>
  <si>
    <t xml:space="preserve">2005–06</t>
  </si>
  <si>
    <t xml:space="preserve">WM US</t>
  </si>
  <si>
    <t xml:space="preserve">Totals 5,156 / 5,863</t>
  </si>
  <si>
    <t xml:space="preserve">TIES</t>
  </si>
  <si>
    <t xml:space="preserve">UBS Handbook table; unit totals add exactly to the business-group totals 19,238 (2005) and 21,931 (2006).</t>
  </si>
  <si>
    <t xml:space="preserve">Total 10,798</t>
  </si>
  <si>
    <t xml:space="preserve">As above: 10,798 + 5,863 + 5,270 = 21,931.</t>
  </si>
  <si>
    <t xml:space="preserve">2005–07</t>
  </si>
  <si>
    <t xml:space="preserve">Recurring 2,834 / 3,488 / 4,173</t>
  </si>
  <si>
    <t xml:space="preserve">QUARTERLY CHECK</t>
  </si>
  <si>
    <t xml:space="preserve">Text from 20-F 2007. Unit confirmed by quarterly reports: WM US recurring was CHF 1,040m (2Q07) and 1,092m (3Q07), consistent with ~4.2bn a year; the Intl &amp; Swiss unit ran ~2.5bn a quarter, so it cannot be that unit.</t>
  </si>
  <si>
    <t xml:space="preserve">WM Americas</t>
  </si>
  <si>
    <t xml:space="preserve">Income 6,278; recurring 4,076</t>
  </si>
  <si>
    <t xml:space="preserve">VERBATIM</t>
  </si>
  <si>
    <t xml:space="preserve">4Q09 6-K table, 'Year ended 31.12.08' column.</t>
  </si>
  <si>
    <t xml:space="preserve">2009–10</t>
  </si>
  <si>
    <t xml:space="preserve">WM and WM Americas</t>
  </si>
  <si>
    <t xml:space="preserve">Recurring / non-recurring / income</t>
  </si>
  <si>
    <t xml:space="preserve">4Q10 6-K tables, 'Year ended' columns; recurring + non-recurring = income exactly (e.g. 5,411 + 1,934 = 7,345).</t>
  </si>
  <si>
    <t xml:space="preserve">2011–12</t>
  </si>
  <si>
    <t xml:space="preserve">WM</t>
  </si>
  <si>
    <t xml:space="preserve">NII 1,968 / 1,951; income 7,634 / 7,040</t>
  </si>
  <si>
    <t xml:space="preserve">4Q12 6-K table, 'Year ended' columns.</t>
  </si>
  <si>
    <t xml:space="preserve">NII 828 / 849; income 6,017 / 6,547</t>
  </si>
  <si>
    <t xml:space="preserve">4Q12 6-K US-dollar table.</t>
  </si>
  <si>
    <t xml:space="preserve">Recurring income</t>
  </si>
  <si>
    <t xml:space="preserve">NOT VERIFIED – REMOVED</t>
  </si>
  <si>
    <t xml:space="preserve">An earlier extraction said 65.2% / 65.3%; the filing text shows 2012 recurring as '4,26…' (cut off), i.e. ~65.1%, so the earlier figure could not be confirmed. Left blank.</t>
  </si>
  <si>
    <t xml:space="preserve">NII, transaction, total</t>
  </si>
  <si>
    <t xml:space="preserve">4Q14 6-K comparison table (13 vs 14) as indexed from the SEC filing.</t>
  </si>
  <si>
    <t xml:space="preserve">Recurring fees</t>
  </si>
  <si>
    <t xml:space="preserve">DERIVED</t>
  </si>
  <si>
    <t xml:space="preserve">Total less NII and transaction (includes small other income).</t>
  </si>
  <si>
    <t xml:space="preserve">WM / WMA</t>
  </si>
  <si>
    <t xml:space="preserve">All four lines + income</t>
  </si>
  <si>
    <t xml:space="preserve">TWO SOURCES + TIES</t>
  </si>
  <si>
    <t xml:space="preserve">4Q14 and 4Q15 6-Ks agree; WM 2,165 + 3,783 + 1,928 + 25 = 7,901 (income 7,902, rounding).</t>
  </si>
  <si>
    <t xml:space="preserve">4Q15 and 4Q16 6-Ks agree; WM lines = 8,155; WMA lines = 7,656 vs income 7,657 (rounding).</t>
  </si>
  <si>
    <t xml:space="preserve">4Q16 and 4Q17 6-Ks agree; WM lines = 7,296 = income; WMA lines = 7,873 = income.</t>
  </si>
  <si>
    <t xml:space="preserve">2017–18</t>
  </si>
  <si>
    <t xml:space="preserve">GWM</t>
  </si>
  <si>
    <t xml:space="preserve">4Q18 6-K table; lines sum to income 16,295 / 16,956 (±1 rounding); totals match 20-F geographic split (16.3bn / 16.9bn).</t>
  </si>
  <si>
    <t xml:space="preserve">2019–20</t>
  </si>
  <si>
    <t xml:space="preserve">4Q20 6-K table; 3,947 + 9,258 + 3,059 + 110 = 16,374 vs income 16,373; 2020 sums to 17,134 exactly. Matches 20-F 2020 text (2020 vs 2019 changes).</t>
  </si>
  <si>
    <t xml:space="preserve">2021–22</t>
  </si>
  <si>
    <t xml:space="preserve">All four lines + total</t>
  </si>
  <si>
    <t xml:space="preserve">VERBATIM + TIES – CORRECTED</t>
  </si>
  <si>
    <t xml:space="preserve">4Q22 6-K table: recurring fees 11,170 / 10,282, other 168 / 275. Earlier version derived recurring fees incl. other (11,339 / 10,557) – now replaced with reported figures.</t>
  </si>
  <si>
    <t xml:space="preserve">2023–24</t>
  </si>
  <si>
    <t xml:space="preserve">20-F 2024 table; lines sum exactly to 21,556 and 24,516.</t>
  </si>
  <si>
    <t xml:space="preserve">VERBATIM + TIES – RE-CHECKED</t>
  </si>
  <si>
    <t xml:space="preserve">4Q25 report table re-read line by line: NII 7,018; recurring fees 13,671; transaction 5,208; other revenues 62; total revenues 25,960. 2024 comparatives: 7,358 / 12,625 / 4,503 / 31 / 24,516. Other revenues corrected from my derived 63 / 30 to reported 62 / 31.</t>
  </si>
  <si>
    <t xml:space="preserve">All CHF years</t>
  </si>
  <si>
    <t xml:space="preserve">FX</t>
  </si>
  <si>
    <t xml:space="preserve">Annual average CHF per USD</t>
  </si>
  <si>
    <t xml:space="preserve">PRIMARY SOURCE</t>
  </si>
  <si>
    <t xml:space="preserve">FRED series AEXSZUS (Federal Reserve).</t>
  </si>
  <si>
    <t xml:space="preserve">Reconciliation: do the four income lines add up to the total UBS reported?</t>
  </si>
  <si>
    <t xml:space="preserve">UBS files Form 20-F (annual) and Form 6-K (quarterly reports) with the SEC – it is a foreign private issuer, so there are no 10-K/10-Q filings. Every line links to the Raw data tab.</t>
  </si>
  <si>
    <t xml:space="preserve">Ccy</t>
  </si>
  <si>
    <t xml:space="preserve">SEC form</t>
  </si>
  <si>
    <t xml:space="preserve">NII + recurring fees + transaction + other</t>
  </si>
  <si>
    <t xml:space="preserve">Reported total</t>
  </si>
  <si>
    <t xml:space="preserve">Difference</t>
  </si>
  <si>
    <t xml:space="preserve">What explains the difference</t>
  </si>
  <si>
    <t xml:space="preserve">20-F 2007 / Handbook</t>
  </si>
  <si>
    <t xml:space="preserve">Only a total (or nothing) found – nothing to reconcile.</t>
  </si>
  <si>
    <t xml:space="preserve">Non-recurring derived as total less recurring, so ties by construction.</t>
  </si>
  <si>
    <t xml:space="preserve">20-F 2007</t>
  </si>
  <si>
    <t xml:space="preserve">6-K (4Q09 report)</t>
  </si>
  <si>
    <t xml:space="preserve">6-K (4Q10 report)</t>
  </si>
  <si>
    <t xml:space="preserve">Recurring + non-recurring = income before credit loss (by construction).</t>
  </si>
  <si>
    <t xml:space="preserve">6-K (4Q12 report)</t>
  </si>
  <si>
    <t xml:space="preserve">Other income not separately captured – see Raw data.</t>
  </si>
  <si>
    <t xml:space="preserve">6-K (4Q14 report)</t>
  </si>
  <si>
    <t xml:space="preserve">Recurring fees derived as total less NII and transaction, so ties by construction.</t>
  </si>
  <si>
    <t xml:space="preserve">6-K (4Q15 report)</t>
  </si>
  <si>
    <t xml:space="preserve">Ties (±1 rounding): total is income before credit loss.</t>
  </si>
  <si>
    <t xml:space="preserve">6-K (4Q16 report)</t>
  </si>
  <si>
    <t xml:space="preserve">6-K (4Q18 report)</t>
  </si>
  <si>
    <t xml:space="preserve">20-F 2020</t>
  </si>
  <si>
    <t xml:space="preserve">6-K (4Q22 report)</t>
  </si>
  <si>
    <t xml:space="preserve">20-F 2024</t>
  </si>
  <si>
    <t xml:space="preserve">Ties exactly.</t>
  </si>
  <si>
    <t xml:space="preserve">6-K (4Q25 report)</t>
  </si>
  <si>
    <t xml:space="preserve">Ties (±1 rounding): all lines reported in 4Q25 report.</t>
  </si>
  <si>
    <t xml:space="preserve">UBS wealth management – data as reported, then converted to USD</t>
  </si>
  <si>
    <t xml:space="preserve">Blue = reported by UBS (millions, reporting currency). Black = formula. Green = pulled from another tab. 'Old' basis = Recurring (NII + recurring fees) vs Non-recurring (transactions); 'New' basis = NII / Recurring fees / Transaction.</t>
  </si>
  <si>
    <t xml:space="preserve">Recurring net fee income</t>
  </si>
  <si>
    <t xml:space="preserve">Transaction-based income</t>
  </si>
  <si>
    <t xml:space="preserve">Other income</t>
  </si>
  <si>
    <t xml:space="preserve">Recurring income (old: NII+fees)</t>
  </si>
  <si>
    <t xml:space="preserve">Non-recurring income (old)</t>
  </si>
  <si>
    <t xml:space="preserve">Total revenue (before credit loss)</t>
  </si>
  <si>
    <t xml:space="preserve">Source / note</t>
  </si>
  <si>
    <t xml:space="preserve">FX (CHF per USD)</t>
  </si>
  <si>
    <t xml:space="preserve">NII (USD m)</t>
  </si>
  <si>
    <t xml:space="preserve">Recurring fees (USD m)</t>
  </si>
  <si>
    <t xml:space="preserve">Transaction (USD m)</t>
  </si>
  <si>
    <t xml:space="preserve">Other (USD m)</t>
  </si>
  <si>
    <t xml:space="preserve">Recurring old (USD m)</t>
  </si>
  <si>
    <t xml:space="preserve">Non-recurring old (USD m)</t>
  </si>
  <si>
    <t xml:space="preserve">Recurring share (NII+fees)</t>
  </si>
  <si>
    <t xml:space="preserve">WM International &amp; Switzerland</t>
  </si>
  <si>
    <t xml:space="preserve">CHF</t>
  </si>
  <si>
    <t xml:space="preserve">Old</t>
  </si>
  <si>
    <t xml:space="preserve">Total: UBS Handbook 2005/06. Recurring split not found.</t>
  </si>
  <si>
    <t xml:space="preserve">Wealth Management US</t>
  </si>
  <si>
    <t xml:space="preserve">UBS 20-F 2007 (WM US recurring income) https://www.sec.gov/Archives/edgar/data/1114446/000095012308003086/y51182e20vf.htm; totals: UBS Handbook 2005/06 &amp; 2006/07</t>
  </si>
  <si>
    <t xml:space="preserve">Total: UBS Handbook 2006/07. Recurring split not found.</t>
  </si>
  <si>
    <t xml:space="preserve">Annual figures not found (3Q07 quarter: recurring 2,498, non-recurring 824 – see Notes).</t>
  </si>
  <si>
    <t xml:space="preserve">UBS 20-F 2007 (WM US recurring income) https://www.sec.gov/Archives/edgar/data/1114446/000095012308003086/y51182e20vf.htm; totals: UBS Handbook 2005/06 &amp; 2006/07 – total not found</t>
  </si>
  <si>
    <t xml:space="preserve">Wealth Management (excl. Swiss retail)</t>
  </si>
  <si>
    <t xml:space="preserve">Not found on a comparable basis (2008 restated only as 'WM &amp; Swiss Bank', which includes Swiss retail/corporate).</t>
  </si>
  <si>
    <t xml:space="preserve">Wealth Management Americas</t>
  </si>
  <si>
    <t xml:space="preserve">UBS 4Q09 report, 6-K 9-Feb-2010 https://www.sec.gov/Archives/edgar/data/1114446/000095012310010264/y81900e6vk.htm (total = income before credit loss)</t>
  </si>
  <si>
    <t xml:space="preserve">Wealth Management</t>
  </si>
  <si>
    <t xml:space="preserve">UBS 4Q10 report, 6-K 8-Feb-2011 https://www.sec.gov/Archives/edgar/data/1114446/000095012311010017/y89488e6vk.htm</t>
  </si>
  <si>
    <t xml:space="preserve">UBS 4Q12 report, 6-K 5-Feb-2013 https://www.sec.gov/Archives/edgar/data/1114446/000119312513037560/d477497d6k.htm (NII known; recurring split not disclosed)</t>
  </si>
  <si>
    <t xml:space="preserve">USD</t>
  </si>
  <si>
    <t xml:space="preserve">UBS 4Q12 report, 6-K 5-Feb-2013 https://www.sec.gov/Archives/edgar/data/1114446/000119312513037560/d477497d6k.htm (NII known; recurring income not verified, left blank)</t>
  </si>
  <si>
    <t xml:space="preserve">UBS 4Q12 report, 6-K 5-Feb-2013 https://www.sec.gov/Archives/edgar/data/1114446/000119312513037560/d477497d6k.htm (NII known; recurring income cut off in filing text at '4,26x', left blank)</t>
  </si>
  <si>
    <t xml:space="preserve">New</t>
  </si>
  <si>
    <t xml:space="preserve">UBS 4Q14 report, 6-K Feb-2015 https://www.sec.gov/Archives/edgar/data/0001610520/000119312515040199/d865106d6k.htm (recurring fees derived, incl. other)</t>
  </si>
  <si>
    <t xml:space="preserve">UBS 4Q15 report, 6-K 2-Feb-2016 https://www.sec.gov/Archives/edgar/data/1610520/000161052016000031/6k20160202ER.htm</t>
  </si>
  <si>
    <t xml:space="preserve">UBS 4Q16 report, 6-K 27-Jan-2017 https://www.sec.gov/Archives/edgar/data/1610520/000161052017000002/6kubsgroupag4q16.htm</t>
  </si>
  <si>
    <t xml:space="preserve">Global Wealth Management (restated)</t>
  </si>
  <si>
    <t xml:space="preserve">UBS 4Q18 report, 6-K 22-Jan-2019 (GWM restated) https://www.sec.gov/Archives/edgar/data/1610520/000161052019000002/6kubsgroupag4q18.htm</t>
  </si>
  <si>
    <t xml:space="preserve">UBS 4Q20 report, 6-K Jan-2021 https://www.sec.gov/Archives/edgar/data/1610520/000161052021000008/6kubsgroupag4q20.htm</t>
  </si>
  <si>
    <t xml:space="preserve">UBS 4Q22 report https://www.sec.gov/Archives/edgar/data/1610520/000161052023000011/EDGARq22ubsgroupag.htm</t>
  </si>
  <si>
    <t xml:space="preserve">GWM incl. Credit Suisse (Jun–Dec)</t>
  </si>
  <si>
    <t xml:space="preserve">UBS Annual Report 2024 (20-F) https://www.sec.gov/Archives/edgar/data/0001610520/000161052025000023/ubs-20241231.htm</t>
  </si>
  <si>
    <t xml:space="preserve">GWM incl. Credit Suisse</t>
  </si>
  <si>
    <t xml:space="preserve">UBS 4Q25 report https://www.ubs.com/content/dam/assets/cc/investor-relations/quarterlies/2025/4q25/full-report-ubs-group-consolidated-4q25.pdf ('Other revenues' as reported)</t>
  </si>
  <si>
    <t xml:space="preserve">Recurring share (NII+fees): new-basis rows = (NII + recurring fees) ÷ sum of the three lines; old-basis rows = recurring income ÷ total. This is the one ratio comparable across all years.</t>
  </si>
  <si>
    <t xml:space="preserve">Source: Federal Reserve via FRED, series AEXSZUS (annual average). https://fred.stlouisfed.org/series/AEXSZUS — USD = CHF ÷ rate.</t>
  </si>
  <si>
    <t xml:space="preserve">CHF per USD</t>
  </si>
  <si>
    <t xml:space="preserve">How to read this</t>
  </si>
  <si>
    <t xml:space="preserve">• Every UBS figure is in blue on the Raw data tab in the currency UBS reported it; the USD columns convert CHF at the FRED annual average rate.</t>
  </si>
  <si>
    <t xml:space="preserve">• The Summary tab only adds up a year when all units for that year have the number, so a blank means 'not complete', never zero.</t>
  </si>
  <si>
    <t xml:space="preserve">Reporting bases</t>
  </si>
  <si>
    <t xml:space="preserve">• 2005–2010 (old): UBS split revenue into Recurring (interest + recurring fees) and Non-recurring (transactions).</t>
  </si>
  <si>
    <t xml:space="preserve">• 2011–2012: both units reported only accounting lines (NII, net fees, trading); the recurring split could not be verified, so it is left blank.</t>
  </si>
  <si>
    <t xml:space="preserve">• 2013 onward (new): Net interest income / Recurring net fee income / Transaction-based income.</t>
  </si>
  <si>
    <t xml:space="preserve">Perimeter breaks</t>
  </si>
  <si>
    <t xml:space="preserve">• 2005–2008: WM International &amp; Switzerland + WM US (inside Global Wealth Management &amp; Business Banking).</t>
  </si>
  <si>
    <t xml:space="preserve">• 2009–2016: Wealth Management (CHF) + Wealth Management Americas (USD) reported separately.</t>
  </si>
  <si>
    <t xml:space="preserve">• 2017 onward: Global Wealth Management (2017 restated by UBS); from June 2023 includes Credit Suisse.</t>
  </si>
  <si>
    <t xml:space="preserve">Gaps (left blank on purpose)</t>
  </si>
  <si>
    <t xml:space="preserve">• 2005–2006: recurring split for the International &amp; Swiss unit not found (US unit only).</t>
  </si>
  <si>
    <t xml:space="preserve">• 2007: annual unit totals not found. 3Q07 International &amp; Swiss unit: recurring CHF 2,498m vs non-recurring CHF 824m (75% recurring).</t>
  </si>
  <si>
    <t xml:space="preserve">• 2008: only WM Americas on a comparable basis; the Swiss/international unit was restated together with Swiss retail banking.</t>
  </si>
  <si>
    <t xml:space="preserve">Key takeaways</t>
  </si>
  <si>
    <t xml:space="preserve">• Recurring (NII + fees) share: ~55–60% in the US unit in 2005–06, 69% combined in 2009–10, 74–75% in 2013–14, 78–84% since 2016 (all four income lines in the denominator).</t>
  </si>
  <si>
    <t xml:space="preserve">• Transaction income fell from ~25–30% of revenue to ~17–20%; NII share swings with rates (22% in 2021 → 33% in 2023 → 27% in 2025).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</si>
</sst>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#,##0;\(#,##0\);\-"/>
    <numFmt numFmtId="168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sz val="11"/>
      <color rgb="FF0000FF"/>
      <name val="Arial"/>
      <family val="0"/>
      <charset val="1"/>
    </font>
    <font>
      <sz val="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7" min="5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9"/>
    <col collapsed="false" customWidth="true" hidden="false" outlineLevel="0" max="15" min="13" style="0" width="10"/>
    <col collapsed="false" customWidth="true" hidden="false" outlineLevel="0" max="16" min="16" style="0" width="16"/>
    <col collapsed="false" customWidth="true" hidden="false" outlineLevel="0" max="17" min="17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15" hidden="false" customHeight="false" outlineLevel="0" collapsed="false">
      <c r="A5" s="4" t="s">
        <v>19</v>
      </c>
      <c r="B5" s="4" t="s">
        <v>20</v>
      </c>
      <c r="C5" s="4" t="s">
        <v>21</v>
      </c>
      <c r="D5" s="5" t="n">
        <f aca="false">IF(SUMPRODUCT(('Raw data (as reported)'!$A$5:$A$37=$A5)*ISNUMBER('Raw data (as reported)'!T$5:T$37))=COUNTIF('Raw data (as reported)'!$A$5:$A$37,$A5),SUMIFS('Raw data (as reported)'!T$5:T$37,'Raw data (as reported)'!$A$5:$A$37,$A5),"")</f>
        <v>11370.8965406533</v>
      </c>
      <c r="E5" s="5" t="str">
        <f aca="false">IF(SUMPRODUCT(('Raw data (as reported)'!$A$5:$A$37=$A5)*ISNUMBER('Raw data (as reported)'!N$5:N$37))=COUNTIF('Raw data (as reported)'!$A$5:$A$37,$A5),SUMIFS('Raw data (as reported)'!N$5:N$37,'Raw data (as reported)'!$A$5:$A$37,$A5),"")</f>
        <v/>
      </c>
      <c r="F5" s="5" t="str">
        <f aca="false">IF(SUMPRODUCT(('Raw data (as reported)'!$A$5:$A$37=$A5)*ISNUMBER('Raw data (as reported)'!O$5:O$37))=COUNTIF('Raw data (as reported)'!$A$5:$A$37,$A5),SUMIFS('Raw data (as reported)'!O$5:O$37,'Raw data (as reported)'!$A$5:$A$37,$A5),"")</f>
        <v/>
      </c>
      <c r="G5" s="5" t="str">
        <f aca="false">IF(SUMPRODUCT(('Raw data (as reported)'!$A$5:$A$37=$A5)*ISNUMBER('Raw data (as reported)'!P$5:P$37))=COUNTIF('Raw data (as reported)'!$A$5:$A$37,$A5),SUMIFS('Raw data (as reported)'!P$5:P$37,'Raw data (as reported)'!$A$5:$A$37,$A5),"")</f>
        <v/>
      </c>
      <c r="H5" s="5" t="str">
        <f aca="false">IF(SUMPRODUCT(('Raw data (as reported)'!$A$5:$A$37=$A5)*ISNUMBER('Raw data (as reported)'!Q$5:Q$37))=COUNTIF('Raw data (as reported)'!$A$5:$A$37,$A5),SUMIFS('Raw data (as reported)'!Q$5:Q$37,'Raw data (as reported)'!$A$5:$A$37,$A5),"")</f>
        <v/>
      </c>
      <c r="I5" s="5" t="str">
        <f aca="false">IF(SUMPRODUCT(('Raw data (as reported)'!$A$5:$A$37=$A5)*ISNUMBER('Raw data (as reported)'!R$5:R$37))=COUNTIF('Raw data (as reported)'!$A$5:$A$37,$A5),SUMIFS('Raw data (as reported)'!R$5:R$37,'Raw data (as reported)'!$A$5:$A$37,$A5),"")</f>
        <v/>
      </c>
      <c r="J5" s="5" t="str">
        <f aca="false">IF(SUMPRODUCT(('Raw data (as reported)'!$A$5:$A$37=$A5)*ISNUMBER('Raw data (as reported)'!S$5:S$37))=COUNTIF('Raw data (as reported)'!$A$5:$A$37,$A5),SUMIFS('Raw data (as reported)'!S$5:S$37,'Raw data (as reported)'!$A$5:$A$37,$A5),"")</f>
        <v/>
      </c>
      <c r="K5" s="6" t="str">
        <f aca="false">IF(AND(ISNUMBER(E5),ISNUMBER(F5),ISNUMBER(G5)),E5+F5+G5+IF(ISNUMBER(H5),H5,0),"")</f>
        <v/>
      </c>
      <c r="L5" s="7" t="str">
        <f aca="false">IF(ISNUMBER(K5),E5/K5,"")</f>
        <v/>
      </c>
      <c r="M5" s="7" t="str">
        <f aca="false">IF(ISNUMBER(K5),F5/K5,"")</f>
        <v/>
      </c>
      <c r="N5" s="7" t="str">
        <f aca="false">IF(ISNUMBER(K5),G5/K5,"")</f>
        <v/>
      </c>
      <c r="O5" s="7" t="str">
        <f aca="false">IF(AND(ISNUMBER(K5),ISNUMBER(H5)),H5/K5,"")</f>
        <v/>
      </c>
      <c r="P5" s="8" t="str">
        <f aca="false">IF(ISNUMBER(K5),(E5+F5)/K5,IF(AND(ISNUMBER(I5),ISNUMBER(J5)),I5/(I5+J5),""))</f>
        <v/>
      </c>
      <c r="Q5" s="9" t="s">
        <v>22</v>
      </c>
    </row>
    <row r="6" customFormat="false" ht="15" hidden="false" customHeight="false" outlineLevel="0" collapsed="false">
      <c r="A6" s="4" t="s">
        <v>23</v>
      </c>
      <c r="B6" s="4" t="s">
        <v>20</v>
      </c>
      <c r="C6" s="4" t="s">
        <v>21</v>
      </c>
      <c r="D6" s="5" t="n">
        <f aca="false">IF(SUMPRODUCT(('Raw data (as reported)'!$A$5:$A$37=$A6)*ISNUMBER('Raw data (as reported)'!T$5:T$37))=COUNTIF('Raw data (as reported)'!$A$5:$A$37,$A6),SUMIFS('Raw data (as reported)'!T$5:T$37,'Raw data (as reported)'!$A$5:$A$37,$A6),"")</f>
        <v>13294.7654005745</v>
      </c>
      <c r="E6" s="5" t="str">
        <f aca="false">IF(SUMPRODUCT(('Raw data (as reported)'!$A$5:$A$37=$A6)*ISNUMBER('Raw data (as reported)'!N$5:N$37))=COUNTIF('Raw data (as reported)'!$A$5:$A$37,$A6),SUMIFS('Raw data (as reported)'!N$5:N$37,'Raw data (as reported)'!$A$5:$A$37,$A6),"")</f>
        <v/>
      </c>
      <c r="F6" s="5" t="str">
        <f aca="false">IF(SUMPRODUCT(('Raw data (as reported)'!$A$5:$A$37=$A6)*ISNUMBER('Raw data (as reported)'!O$5:O$37))=COUNTIF('Raw data (as reported)'!$A$5:$A$37,$A6),SUMIFS('Raw data (as reported)'!O$5:O$37,'Raw data (as reported)'!$A$5:$A$37,$A6),"")</f>
        <v/>
      </c>
      <c r="G6" s="5" t="str">
        <f aca="false">IF(SUMPRODUCT(('Raw data (as reported)'!$A$5:$A$37=$A6)*ISNUMBER('Raw data (as reported)'!P$5:P$37))=COUNTIF('Raw data (as reported)'!$A$5:$A$37,$A6),SUMIFS('Raw data (as reported)'!P$5:P$37,'Raw data (as reported)'!$A$5:$A$37,$A6),"")</f>
        <v/>
      </c>
      <c r="H6" s="5" t="str">
        <f aca="false">IF(SUMPRODUCT(('Raw data (as reported)'!$A$5:$A$37=$A6)*ISNUMBER('Raw data (as reported)'!Q$5:Q$37))=COUNTIF('Raw data (as reported)'!$A$5:$A$37,$A6),SUMIFS('Raw data (as reported)'!Q$5:Q$37,'Raw data (as reported)'!$A$5:$A$37,$A6),"")</f>
        <v/>
      </c>
      <c r="I6" s="5" t="str">
        <f aca="false">IF(SUMPRODUCT(('Raw data (as reported)'!$A$5:$A$37=$A6)*ISNUMBER('Raw data (as reported)'!R$5:R$37))=COUNTIF('Raw data (as reported)'!$A$5:$A$37,$A6),SUMIFS('Raw data (as reported)'!R$5:R$37,'Raw data (as reported)'!$A$5:$A$37,$A6),"")</f>
        <v/>
      </c>
      <c r="J6" s="5" t="str">
        <f aca="false">IF(SUMPRODUCT(('Raw data (as reported)'!$A$5:$A$37=$A6)*ISNUMBER('Raw data (as reported)'!S$5:S$37))=COUNTIF('Raw data (as reported)'!$A$5:$A$37,$A6),SUMIFS('Raw data (as reported)'!S$5:S$37,'Raw data (as reported)'!$A$5:$A$37,$A6),"")</f>
        <v/>
      </c>
      <c r="K6" s="6" t="str">
        <f aca="false">IF(AND(ISNUMBER(E6),ISNUMBER(F6),ISNUMBER(G6)),E6+F6+G6+IF(ISNUMBER(H6),H6,0),"")</f>
        <v/>
      </c>
      <c r="L6" s="7" t="str">
        <f aca="false">IF(ISNUMBER(K6),E6/K6,"")</f>
        <v/>
      </c>
      <c r="M6" s="7" t="str">
        <f aca="false">IF(ISNUMBER(K6),F6/K6,"")</f>
        <v/>
      </c>
      <c r="N6" s="7" t="str">
        <f aca="false">IF(ISNUMBER(K6),G6/K6,"")</f>
        <v/>
      </c>
      <c r="O6" s="7" t="str">
        <f aca="false">IF(AND(ISNUMBER(K6),ISNUMBER(H6)),H6/K6,"")</f>
        <v/>
      </c>
      <c r="P6" s="8" t="str">
        <f aca="false">IF(ISNUMBER(K6),(E6+F6)/K6,IF(AND(ISNUMBER(I6),ISNUMBER(J6)),I6/(I6+J6),""))</f>
        <v/>
      </c>
      <c r="Q6" s="9" t="s">
        <v>24</v>
      </c>
    </row>
    <row r="7" customFormat="false" ht="15" hidden="false" customHeight="false" outlineLevel="0" collapsed="false">
      <c r="A7" s="4" t="s">
        <v>25</v>
      </c>
      <c r="B7" s="4" t="s">
        <v>20</v>
      </c>
      <c r="C7" s="4" t="s">
        <v>21</v>
      </c>
      <c r="D7" s="5" t="str">
        <f aca="false">IF(SUMPRODUCT(('Raw data (as reported)'!$A$5:$A$37=$A7)*ISNUMBER('Raw data (as reported)'!T$5:T$37))=COUNTIF('Raw data (as reported)'!$A$5:$A$37,$A7),SUMIFS('Raw data (as reported)'!T$5:T$37,'Raw data (as reported)'!$A$5:$A$37,$A7),"")</f>
        <v/>
      </c>
      <c r="E7" s="5" t="str">
        <f aca="false">IF(SUMPRODUCT(('Raw data (as reported)'!$A$5:$A$37=$A7)*ISNUMBER('Raw data (as reported)'!N$5:N$37))=COUNTIF('Raw data (as reported)'!$A$5:$A$37,$A7),SUMIFS('Raw data (as reported)'!N$5:N$37,'Raw data (as reported)'!$A$5:$A$37,$A7),"")</f>
        <v/>
      </c>
      <c r="F7" s="5" t="str">
        <f aca="false">IF(SUMPRODUCT(('Raw data (as reported)'!$A$5:$A$37=$A7)*ISNUMBER('Raw data (as reported)'!O$5:O$37))=COUNTIF('Raw data (as reported)'!$A$5:$A$37,$A7),SUMIFS('Raw data (as reported)'!O$5:O$37,'Raw data (as reported)'!$A$5:$A$37,$A7),"")</f>
        <v/>
      </c>
      <c r="G7" s="5" t="str">
        <f aca="false">IF(SUMPRODUCT(('Raw data (as reported)'!$A$5:$A$37=$A7)*ISNUMBER('Raw data (as reported)'!P$5:P$37))=COUNTIF('Raw data (as reported)'!$A$5:$A$37,$A7),SUMIFS('Raw data (as reported)'!P$5:P$37,'Raw data (as reported)'!$A$5:$A$37,$A7),"")</f>
        <v/>
      </c>
      <c r="H7" s="5" t="str">
        <f aca="false">IF(SUMPRODUCT(('Raw data (as reported)'!$A$5:$A$37=$A7)*ISNUMBER('Raw data (as reported)'!Q$5:Q$37))=COUNTIF('Raw data (as reported)'!$A$5:$A$37,$A7),SUMIFS('Raw data (as reported)'!Q$5:Q$37,'Raw data (as reported)'!$A$5:$A$37,$A7),"")</f>
        <v/>
      </c>
      <c r="I7" s="5" t="str">
        <f aca="false">IF(SUMPRODUCT(('Raw data (as reported)'!$A$5:$A$37=$A7)*ISNUMBER('Raw data (as reported)'!R$5:R$37))=COUNTIF('Raw data (as reported)'!$A$5:$A$37,$A7),SUMIFS('Raw data (as reported)'!R$5:R$37,'Raw data (as reported)'!$A$5:$A$37,$A7),"")</f>
        <v/>
      </c>
      <c r="J7" s="5" t="str">
        <f aca="false">IF(SUMPRODUCT(('Raw data (as reported)'!$A$5:$A$37=$A7)*ISNUMBER('Raw data (as reported)'!S$5:S$37))=COUNTIF('Raw data (as reported)'!$A$5:$A$37,$A7),SUMIFS('Raw data (as reported)'!S$5:S$37,'Raw data (as reported)'!$A$5:$A$37,$A7),"")</f>
        <v/>
      </c>
      <c r="K7" s="6" t="str">
        <f aca="false">IF(AND(ISNUMBER(E7),ISNUMBER(F7),ISNUMBER(G7)),E7+F7+G7+IF(ISNUMBER(H7),H7,0),"")</f>
        <v/>
      </c>
      <c r="L7" s="7" t="str">
        <f aca="false">IF(ISNUMBER(K7),E7/K7,"")</f>
        <v/>
      </c>
      <c r="M7" s="7" t="str">
        <f aca="false">IF(ISNUMBER(K7),F7/K7,"")</f>
        <v/>
      </c>
      <c r="N7" s="7" t="str">
        <f aca="false">IF(ISNUMBER(K7),G7/K7,"")</f>
        <v/>
      </c>
      <c r="O7" s="7" t="str">
        <f aca="false">IF(AND(ISNUMBER(K7),ISNUMBER(H7)),H7/K7,"")</f>
        <v/>
      </c>
      <c r="P7" s="8" t="str">
        <f aca="false">IF(ISNUMBER(K7),(E7+F7)/K7,IF(AND(ISNUMBER(I7),ISNUMBER(J7)),I7/(I7+J7),""))</f>
        <v/>
      </c>
      <c r="Q7" s="9" t="s">
        <v>26</v>
      </c>
    </row>
    <row r="8" customFormat="false" ht="15" hidden="false" customHeight="false" outlineLevel="0" collapsed="false">
      <c r="A8" s="4" t="s">
        <v>27</v>
      </c>
      <c r="B8" s="4" t="s">
        <v>28</v>
      </c>
      <c r="C8" s="4" t="s">
        <v>21</v>
      </c>
      <c r="D8" s="5" t="str">
        <f aca="false">IF(SUMPRODUCT(('Raw data (as reported)'!$A$5:$A$37=$A8)*ISNUMBER('Raw data (as reported)'!T$5:T$37))=COUNTIF('Raw data (as reported)'!$A$5:$A$37,$A8),SUMIFS('Raw data (as reported)'!T$5:T$37,'Raw data (as reported)'!$A$5:$A$37,$A8),"")</f>
        <v/>
      </c>
      <c r="E8" s="5" t="str">
        <f aca="false">IF(SUMPRODUCT(('Raw data (as reported)'!$A$5:$A$37=$A8)*ISNUMBER('Raw data (as reported)'!N$5:N$37))=COUNTIF('Raw data (as reported)'!$A$5:$A$37,$A8),SUMIFS('Raw data (as reported)'!N$5:N$37,'Raw data (as reported)'!$A$5:$A$37,$A8),"")</f>
        <v/>
      </c>
      <c r="F8" s="5" t="str">
        <f aca="false">IF(SUMPRODUCT(('Raw data (as reported)'!$A$5:$A$37=$A8)*ISNUMBER('Raw data (as reported)'!O$5:O$37))=COUNTIF('Raw data (as reported)'!$A$5:$A$37,$A8),SUMIFS('Raw data (as reported)'!O$5:O$37,'Raw data (as reported)'!$A$5:$A$37,$A8),"")</f>
        <v/>
      </c>
      <c r="G8" s="5" t="str">
        <f aca="false">IF(SUMPRODUCT(('Raw data (as reported)'!$A$5:$A$37=$A8)*ISNUMBER('Raw data (as reported)'!P$5:P$37))=COUNTIF('Raw data (as reported)'!$A$5:$A$37,$A8),SUMIFS('Raw data (as reported)'!P$5:P$37,'Raw data (as reported)'!$A$5:$A$37,$A8),"")</f>
        <v/>
      </c>
      <c r="H8" s="5" t="str">
        <f aca="false">IF(SUMPRODUCT(('Raw data (as reported)'!$A$5:$A$37=$A8)*ISNUMBER('Raw data (as reported)'!Q$5:Q$37))=COUNTIF('Raw data (as reported)'!$A$5:$A$37,$A8),SUMIFS('Raw data (as reported)'!Q$5:Q$37,'Raw data (as reported)'!$A$5:$A$37,$A8),"")</f>
        <v/>
      </c>
      <c r="I8" s="5" t="str">
        <f aca="false">IF(SUMPRODUCT(('Raw data (as reported)'!$A$5:$A$37=$A8)*ISNUMBER('Raw data (as reported)'!R$5:R$37))=COUNTIF('Raw data (as reported)'!$A$5:$A$37,$A8),SUMIFS('Raw data (as reported)'!R$5:R$37,'Raw data (as reported)'!$A$5:$A$37,$A8),"")</f>
        <v/>
      </c>
      <c r="J8" s="5" t="str">
        <f aca="false">IF(SUMPRODUCT(('Raw data (as reported)'!$A$5:$A$37=$A8)*ISNUMBER('Raw data (as reported)'!S$5:S$37))=COUNTIF('Raw data (as reported)'!$A$5:$A$37,$A8),SUMIFS('Raw data (as reported)'!S$5:S$37,'Raw data (as reported)'!$A$5:$A$37,$A8),"")</f>
        <v/>
      </c>
      <c r="K8" s="6" t="str">
        <f aca="false">IF(AND(ISNUMBER(E8),ISNUMBER(F8),ISNUMBER(G8)),E8+F8+G8+IF(ISNUMBER(H8),H8,0),"")</f>
        <v/>
      </c>
      <c r="L8" s="7" t="str">
        <f aca="false">IF(ISNUMBER(K8),E8/K8,"")</f>
        <v/>
      </c>
      <c r="M8" s="7" t="str">
        <f aca="false">IF(ISNUMBER(K8),F8/K8,"")</f>
        <v/>
      </c>
      <c r="N8" s="7" t="str">
        <f aca="false">IF(ISNUMBER(K8),G8/K8,"")</f>
        <v/>
      </c>
      <c r="O8" s="7" t="str">
        <f aca="false">IF(AND(ISNUMBER(K8),ISNUMBER(H8)),H8/K8,"")</f>
        <v/>
      </c>
      <c r="P8" s="8" t="str">
        <f aca="false">IF(ISNUMBER(K8),(E8+F8)/K8,IF(AND(ISNUMBER(I8),ISNUMBER(J8)),I8/(I8+J8),""))</f>
        <v/>
      </c>
      <c r="Q8" s="9" t="s">
        <v>29</v>
      </c>
    </row>
    <row r="9" customFormat="false" ht="15" hidden="false" customHeight="false" outlineLevel="0" collapsed="false">
      <c r="A9" s="4" t="s">
        <v>30</v>
      </c>
      <c r="B9" s="4" t="s">
        <v>28</v>
      </c>
      <c r="C9" s="4" t="s">
        <v>21</v>
      </c>
      <c r="D9" s="5" t="n">
        <f aca="false">IF(SUMPRODUCT(('Raw data (as reported)'!$A$5:$A$37=$A9)*ISNUMBER('Raw data (as reported)'!T$5:T$37))=COUNTIF('Raw data (as reported)'!$A$5:$A$37,$A9),SUMIFS('Raw data (as reported)'!T$5:T$37,'Raw data (as reported)'!$A$5:$A$37,$A9),"")</f>
        <v>11945.6721915285</v>
      </c>
      <c r="E9" s="5" t="str">
        <f aca="false">IF(SUMPRODUCT(('Raw data (as reported)'!$A$5:$A$37=$A9)*ISNUMBER('Raw data (as reported)'!N$5:N$37))=COUNTIF('Raw data (as reported)'!$A$5:$A$37,$A9),SUMIFS('Raw data (as reported)'!N$5:N$37,'Raw data (as reported)'!$A$5:$A$37,$A9),"")</f>
        <v/>
      </c>
      <c r="F9" s="5" t="str">
        <f aca="false">IF(SUMPRODUCT(('Raw data (as reported)'!$A$5:$A$37=$A9)*ISNUMBER('Raw data (as reported)'!O$5:O$37))=COUNTIF('Raw data (as reported)'!$A$5:$A$37,$A9),SUMIFS('Raw data (as reported)'!O$5:O$37,'Raw data (as reported)'!$A$5:$A$37,$A9),"")</f>
        <v/>
      </c>
      <c r="G9" s="5" t="str">
        <f aca="false">IF(SUMPRODUCT(('Raw data (as reported)'!$A$5:$A$37=$A9)*ISNUMBER('Raw data (as reported)'!P$5:P$37))=COUNTIF('Raw data (as reported)'!$A$5:$A$37,$A9),SUMIFS('Raw data (as reported)'!P$5:P$37,'Raw data (as reported)'!$A$5:$A$37,$A9),"")</f>
        <v/>
      </c>
      <c r="H9" s="5" t="str">
        <f aca="false">IF(SUMPRODUCT(('Raw data (as reported)'!$A$5:$A$37=$A9)*ISNUMBER('Raw data (as reported)'!Q$5:Q$37))=COUNTIF('Raw data (as reported)'!$A$5:$A$37,$A9),SUMIFS('Raw data (as reported)'!Q$5:Q$37,'Raw data (as reported)'!$A$5:$A$37,$A9),"")</f>
        <v/>
      </c>
      <c r="I9" s="5" t="n">
        <f aca="false">IF(SUMPRODUCT(('Raw data (as reported)'!$A$5:$A$37=$A9)*ISNUMBER('Raw data (as reported)'!R$5:R$37))=COUNTIF('Raw data (as reported)'!$A$5:$A$37,$A9),SUMIFS('Raw data (as reported)'!R$5:R$37,'Raw data (as reported)'!$A$5:$A$37,$A9),"")</f>
        <v>8243.09392265193</v>
      </c>
      <c r="J9" s="5" t="n">
        <f aca="false">IF(SUMPRODUCT(('Raw data (as reported)'!$A$5:$A$37=$A9)*ISNUMBER('Raw data (as reported)'!S$5:S$37))=COUNTIF('Raw data (as reported)'!$A$5:$A$37,$A9),SUMIFS('Raw data (as reported)'!S$5:S$37,'Raw data (as reported)'!$A$5:$A$37,$A9),"")</f>
        <v>3702.57826887661</v>
      </c>
      <c r="K9" s="6" t="str">
        <f aca="false">IF(AND(ISNUMBER(E9),ISNUMBER(F9),ISNUMBER(G9)),E9+F9+G9+IF(ISNUMBER(H9),H9,0),"")</f>
        <v/>
      </c>
      <c r="L9" s="7" t="str">
        <f aca="false">IF(ISNUMBER(K9),E9/K9,"")</f>
        <v/>
      </c>
      <c r="M9" s="7" t="str">
        <f aca="false">IF(ISNUMBER(K9),F9/K9,"")</f>
        <v/>
      </c>
      <c r="N9" s="7" t="str">
        <f aca="false">IF(ISNUMBER(K9),G9/K9,"")</f>
        <v/>
      </c>
      <c r="O9" s="7" t="str">
        <f aca="false">IF(AND(ISNUMBER(K9),ISNUMBER(H9)),H9/K9,"")</f>
        <v/>
      </c>
      <c r="P9" s="8" t="n">
        <f aca="false">IF(ISNUMBER(K9),(E9+F9)/K9,IF(AND(ISNUMBER(I9),ISNUMBER(J9)),I9/(I9+J9),""))</f>
        <v>0.690048562398828</v>
      </c>
      <c r="Q9" s="9"/>
    </row>
    <row r="10" customFormat="false" ht="15" hidden="false" customHeight="false" outlineLevel="0" collapsed="false">
      <c r="A10" s="4" t="s">
        <v>31</v>
      </c>
      <c r="B10" s="4" t="s">
        <v>28</v>
      </c>
      <c r="C10" s="4" t="s">
        <v>21</v>
      </c>
      <c r="D10" s="5" t="n">
        <f aca="false">IF(SUMPRODUCT(('Raw data (as reported)'!$A$5:$A$37=$A10)*ISNUMBER('Raw data (as reported)'!T$5:T$37))=COUNTIF('Raw data (as reported)'!$A$5:$A$37,$A10),SUMIFS('Raw data (as reported)'!T$5:T$37,'Raw data (as reported)'!$A$5:$A$37,$A10),"")</f>
        <v>12375.3834355828</v>
      </c>
      <c r="E10" s="5" t="str">
        <f aca="false">IF(SUMPRODUCT(('Raw data (as reported)'!$A$5:$A$37=$A10)*ISNUMBER('Raw data (as reported)'!N$5:N$37))=COUNTIF('Raw data (as reported)'!$A$5:$A$37,$A10),SUMIFS('Raw data (as reported)'!N$5:N$37,'Raw data (as reported)'!$A$5:$A$37,$A10),"")</f>
        <v/>
      </c>
      <c r="F10" s="5" t="str">
        <f aca="false">IF(SUMPRODUCT(('Raw data (as reported)'!$A$5:$A$37=$A10)*ISNUMBER('Raw data (as reported)'!O$5:O$37))=COUNTIF('Raw data (as reported)'!$A$5:$A$37,$A10),SUMIFS('Raw data (as reported)'!O$5:O$37,'Raw data (as reported)'!$A$5:$A$37,$A10),"")</f>
        <v/>
      </c>
      <c r="G10" s="5" t="str">
        <f aca="false">IF(SUMPRODUCT(('Raw data (as reported)'!$A$5:$A$37=$A10)*ISNUMBER('Raw data (as reported)'!P$5:P$37))=COUNTIF('Raw data (as reported)'!$A$5:$A$37,$A10),SUMIFS('Raw data (as reported)'!P$5:P$37,'Raw data (as reported)'!$A$5:$A$37,$A10),"")</f>
        <v/>
      </c>
      <c r="H10" s="5" t="str">
        <f aca="false">IF(SUMPRODUCT(('Raw data (as reported)'!$A$5:$A$37=$A10)*ISNUMBER('Raw data (as reported)'!Q$5:Q$37))=COUNTIF('Raw data (as reported)'!$A$5:$A$37,$A10),SUMIFS('Raw data (as reported)'!Q$5:Q$37,'Raw data (as reported)'!$A$5:$A$37,$A10),"")</f>
        <v/>
      </c>
      <c r="I10" s="5" t="n">
        <f aca="false">IF(SUMPRODUCT(('Raw data (as reported)'!$A$5:$A$37=$A10)*ISNUMBER('Raw data (as reported)'!R$5:R$37))=COUNTIF('Raw data (as reported)'!$A$5:$A$37,$A10),SUMIFS('Raw data (as reported)'!R$5:R$37,'Raw data (as reported)'!$A$5:$A$37,$A10),"")</f>
        <v>8515.14570552147</v>
      </c>
      <c r="J10" s="5" t="n">
        <f aca="false">IF(SUMPRODUCT(('Raw data (as reported)'!$A$5:$A$37=$A10)*ISNUMBER('Raw data (as reported)'!S$5:S$37))=COUNTIF('Raw data (as reported)'!$A$5:$A$37,$A10),SUMIFS('Raw data (as reported)'!S$5:S$37,'Raw data (as reported)'!$A$5:$A$37,$A10),"")</f>
        <v>3860.23773006135</v>
      </c>
      <c r="K10" s="6" t="str">
        <f aca="false">IF(AND(ISNUMBER(E10),ISNUMBER(F10),ISNUMBER(G10)),E10+F10+G10+IF(ISNUMBER(H10),H10,0),"")</f>
        <v/>
      </c>
      <c r="L10" s="7" t="str">
        <f aca="false">IF(ISNUMBER(K10),E10/K10,"")</f>
        <v/>
      </c>
      <c r="M10" s="7" t="str">
        <f aca="false">IF(ISNUMBER(K10),F10/K10,"")</f>
        <v/>
      </c>
      <c r="N10" s="7" t="str">
        <f aca="false">IF(ISNUMBER(K10),G10/K10,"")</f>
        <v/>
      </c>
      <c r="O10" s="7" t="str">
        <f aca="false">IF(AND(ISNUMBER(K10),ISNUMBER(H10)),H10/K10,"")</f>
        <v/>
      </c>
      <c r="P10" s="8" t="n">
        <f aca="false">IF(ISNUMBER(K10),(E10+F10)/K10,IF(AND(ISNUMBER(I10),ISNUMBER(J10)),I10/(I10+J10),""))</f>
        <v>0.688071262587142</v>
      </c>
      <c r="Q10" s="9"/>
    </row>
    <row r="11" customFormat="false" ht="15" hidden="false" customHeight="false" outlineLevel="0" collapsed="false">
      <c r="A11" s="4" t="s">
        <v>32</v>
      </c>
      <c r="B11" s="4" t="s">
        <v>28</v>
      </c>
      <c r="C11" s="4" t="s">
        <v>33</v>
      </c>
      <c r="D11" s="5" t="n">
        <f aca="false">IF(SUMPRODUCT(('Raw data (as reported)'!$A$5:$A$37=$A11)*ISNUMBER('Raw data (as reported)'!T$5:T$37))=COUNTIF('Raw data (as reported)'!$A$5:$A$37,$A11),SUMIFS('Raw data (as reported)'!T$5:T$37,'Raw data (as reported)'!$A$5:$A$37,$A11),"")</f>
        <v>14631.3082825547</v>
      </c>
      <c r="E11" s="5" t="n">
        <f aca="false">IF(SUMPRODUCT(('Raw data (as reported)'!$A$5:$A$37=$A11)*ISNUMBER('Raw data (as reported)'!N$5:N$37))=COUNTIF('Raw data (as reported)'!$A$5:$A$37,$A11),SUMIFS('Raw data (as reported)'!N$5:N$37,'Raw data (as reported)'!$A$5:$A$37,$A11),"")</f>
        <v>3048.71767095464</v>
      </c>
      <c r="F11" s="5" t="str">
        <f aca="false">IF(SUMPRODUCT(('Raw data (as reported)'!$A$5:$A$37=$A11)*ISNUMBER('Raw data (as reported)'!O$5:O$37))=COUNTIF('Raw data (as reported)'!$A$5:$A$37,$A11),SUMIFS('Raw data (as reported)'!O$5:O$37,'Raw data (as reported)'!$A$5:$A$37,$A11),"")</f>
        <v/>
      </c>
      <c r="G11" s="5" t="str">
        <f aca="false">IF(SUMPRODUCT(('Raw data (as reported)'!$A$5:$A$37=$A11)*ISNUMBER('Raw data (as reported)'!P$5:P$37))=COUNTIF('Raw data (as reported)'!$A$5:$A$37,$A11),SUMIFS('Raw data (as reported)'!P$5:P$37,'Raw data (as reported)'!$A$5:$A$37,$A11),"")</f>
        <v/>
      </c>
      <c r="H11" s="5" t="n">
        <f aca="false">IF(SUMPRODUCT(('Raw data (as reported)'!$A$5:$A$37=$A11)*ISNUMBER('Raw data (as reported)'!Q$5:Q$37))=COUNTIF('Raw data (as reported)'!$A$5:$A$37,$A11),SUMIFS('Raw data (as reported)'!Q$5:Q$37,'Raw data (as reported)'!$A$5:$A$37,$A11),"")</f>
        <v>600.575716542541</v>
      </c>
      <c r="I11" s="5" t="str">
        <f aca="false">IF(SUMPRODUCT(('Raw data (as reported)'!$A$5:$A$37=$A11)*ISNUMBER('Raw data (as reported)'!R$5:R$37))=COUNTIF('Raw data (as reported)'!$A$5:$A$37,$A11),SUMIFS('Raw data (as reported)'!R$5:R$37,'Raw data (as reported)'!$A$5:$A$37,$A11),"")</f>
        <v/>
      </c>
      <c r="J11" s="5" t="str">
        <f aca="false">IF(SUMPRODUCT(('Raw data (as reported)'!$A$5:$A$37=$A11)*ISNUMBER('Raw data (as reported)'!S$5:S$37))=COUNTIF('Raw data (as reported)'!$A$5:$A$37,$A11),SUMIFS('Raw data (as reported)'!S$5:S$37,'Raw data (as reported)'!$A$5:$A$37,$A11),"")</f>
        <v/>
      </c>
      <c r="K11" s="6" t="str">
        <f aca="false">IF(AND(ISNUMBER(E11),ISNUMBER(F11),ISNUMBER(G11)),E11+F11+G11+IF(ISNUMBER(H11),H11,0),"")</f>
        <v/>
      </c>
      <c r="L11" s="7" t="str">
        <f aca="false">IF(ISNUMBER(K11),E11/K11,"")</f>
        <v/>
      </c>
      <c r="M11" s="7" t="str">
        <f aca="false">IF(ISNUMBER(K11),F11/K11,"")</f>
        <v/>
      </c>
      <c r="N11" s="7" t="str">
        <f aca="false">IF(ISNUMBER(K11),G11/K11,"")</f>
        <v/>
      </c>
      <c r="O11" s="7" t="str">
        <f aca="false">IF(AND(ISNUMBER(K11),ISNUMBER(H11)),H11/K11,"")</f>
        <v/>
      </c>
      <c r="P11" s="8" t="str">
        <f aca="false">IF(ISNUMBER(K11),(E11+F11)/K11,IF(AND(ISNUMBER(I11),ISNUMBER(J11)),I11/(I11+J11),""))</f>
        <v/>
      </c>
      <c r="Q11" s="9" t="s">
        <v>34</v>
      </c>
    </row>
    <row r="12" customFormat="false" ht="15" hidden="false" customHeight="false" outlineLevel="0" collapsed="false">
      <c r="A12" s="4" t="s">
        <v>35</v>
      </c>
      <c r="B12" s="4" t="s">
        <v>28</v>
      </c>
      <c r="C12" s="4" t="s">
        <v>33</v>
      </c>
      <c r="D12" s="5" t="n">
        <f aca="false">IF(SUMPRODUCT(('Raw data (as reported)'!$A$5:$A$37=$A12)*ISNUMBER('Raw data (as reported)'!T$5:T$37))=COUNTIF('Raw data (as reported)'!$A$5:$A$37,$A12),SUMIFS('Raw data (as reported)'!T$5:T$37,'Raw data (as reported)'!$A$5:$A$37,$A12),"")</f>
        <v>14054.7316839074</v>
      </c>
      <c r="E12" s="5" t="n">
        <f aca="false">IF(SUMPRODUCT(('Raw data (as reported)'!$A$5:$A$37=$A12)*ISNUMBER('Raw data (as reported)'!N$5:N$37))=COUNTIF('Raw data (as reported)'!$A$5:$A$37,$A12),SUMIFS('Raw data (as reported)'!N$5:N$37,'Raw data (as reported)'!$A$5:$A$37,$A12),"")</f>
        <v>2929.62280046923</v>
      </c>
      <c r="F12" s="5" t="str">
        <f aca="false">IF(SUMPRODUCT(('Raw data (as reported)'!$A$5:$A$37=$A12)*ISNUMBER('Raw data (as reported)'!O$5:O$37))=COUNTIF('Raw data (as reported)'!$A$5:$A$37,$A12),SUMIFS('Raw data (as reported)'!O$5:O$37,'Raw data (as reported)'!$A$5:$A$37,$A12),"")</f>
        <v/>
      </c>
      <c r="G12" s="5" t="str">
        <f aca="false">IF(SUMPRODUCT(('Raw data (as reported)'!$A$5:$A$37=$A12)*ISNUMBER('Raw data (as reported)'!P$5:P$37))=COUNTIF('Raw data (as reported)'!$A$5:$A$37,$A12),SUMIFS('Raw data (as reported)'!P$5:P$37,'Raw data (as reported)'!$A$5:$A$37,$A12),"")</f>
        <v/>
      </c>
      <c r="H12" s="5" t="n">
        <f aca="false">IF(SUMPRODUCT(('Raw data (as reported)'!$A$5:$A$37=$A12)*ISNUMBER('Raw data (as reported)'!Q$5:Q$37))=COUNTIF('Raw data (as reported)'!$A$5:$A$37,$A12),SUMIFS('Raw data (as reported)'!Q$5:Q$37,'Raw data (as reported)'!$A$5:$A$37,$A12),"")</f>
        <v>305.4582489069</v>
      </c>
      <c r="I12" s="5" t="str">
        <f aca="false">IF(SUMPRODUCT(('Raw data (as reported)'!$A$5:$A$37=$A12)*ISNUMBER('Raw data (as reported)'!R$5:R$37))=COUNTIF('Raw data (as reported)'!$A$5:$A$37,$A12),SUMIFS('Raw data (as reported)'!R$5:R$37,'Raw data (as reported)'!$A$5:$A$37,$A12),"")</f>
        <v/>
      </c>
      <c r="J12" s="5" t="str">
        <f aca="false">IF(SUMPRODUCT(('Raw data (as reported)'!$A$5:$A$37=$A12)*ISNUMBER('Raw data (as reported)'!S$5:S$37))=COUNTIF('Raw data (as reported)'!$A$5:$A$37,$A12),SUMIFS('Raw data (as reported)'!S$5:S$37,'Raw data (as reported)'!$A$5:$A$37,$A12),"")</f>
        <v/>
      </c>
      <c r="K12" s="6" t="str">
        <f aca="false">IF(AND(ISNUMBER(E12),ISNUMBER(F12),ISNUMBER(G12)),E12+F12+G12+IF(ISNUMBER(H12),H12,0),"")</f>
        <v/>
      </c>
      <c r="L12" s="7" t="str">
        <f aca="false">IF(ISNUMBER(K12),E12/K12,"")</f>
        <v/>
      </c>
      <c r="M12" s="7" t="str">
        <f aca="false">IF(ISNUMBER(K12),F12/K12,"")</f>
        <v/>
      </c>
      <c r="N12" s="7" t="str">
        <f aca="false">IF(ISNUMBER(K12),G12/K12,"")</f>
        <v/>
      </c>
      <c r="O12" s="7" t="str">
        <f aca="false">IF(AND(ISNUMBER(K12),ISNUMBER(H12)),H12/K12,"")</f>
        <v/>
      </c>
      <c r="P12" s="8" t="str">
        <f aca="false">IF(ISNUMBER(K12),(E12+F12)/K12,IF(AND(ISNUMBER(I12),ISNUMBER(J12)),I12/(I12+J12),""))</f>
        <v/>
      </c>
      <c r="Q12" s="9" t="s">
        <v>34</v>
      </c>
    </row>
    <row r="13" customFormat="false" ht="15" hidden="false" customHeight="false" outlineLevel="0" collapsed="false">
      <c r="A13" s="4" t="s">
        <v>36</v>
      </c>
      <c r="B13" s="4" t="s">
        <v>28</v>
      </c>
      <c r="C13" s="4" t="s">
        <v>37</v>
      </c>
      <c r="D13" s="5" t="n">
        <f aca="false">IF(SUMPRODUCT(('Raw data (as reported)'!$A$5:$A$37=$A13)*ISNUMBER('Raw data (as reported)'!T$5:T$37))=COUNTIF('Raw data (as reported)'!$A$5:$A$37,$A13),SUMIFS('Raw data (as reported)'!T$5:T$37,'Raw data (as reported)'!$A$5:$A$37,$A13),"")</f>
        <v>15213.0758442119</v>
      </c>
      <c r="E13" s="5" t="n">
        <f aca="false">IF(SUMPRODUCT(('Raw data (as reported)'!$A$5:$A$37=$A13)*ISNUMBER('Raw data (as reported)'!N$5:N$37))=COUNTIF('Raw data (as reported)'!$A$5:$A$37,$A13),SUMIFS('Raw data (as reported)'!N$5:N$37,'Raw data (as reported)'!$A$5:$A$37,$A13),"")</f>
        <v>3233.35850685079</v>
      </c>
      <c r="F13" s="5" t="n">
        <f aca="false">IF(SUMPRODUCT(('Raw data (as reported)'!$A$5:$A$37=$A13)*ISNUMBER('Raw data (as reported)'!O$5:O$37))=COUNTIF('Raw data (as reported)'!$A$5:$A$37,$A13),SUMIFS('Raw data (as reported)'!O$5:O$37,'Raw data (as reported)'!$A$5:$A$37,$A13),"")</f>
        <v>8000.86309202719</v>
      </c>
      <c r="G13" s="5" t="n">
        <f aca="false">IF(SUMPRODUCT(('Raw data (as reported)'!$A$5:$A$37=$A13)*ISNUMBER('Raw data (as reported)'!P$5:P$37))=COUNTIF('Raw data (as reported)'!$A$5:$A$37,$A13),SUMIFS('Raw data (as reported)'!P$5:P$37,'Raw data (as reported)'!$A$5:$A$37,$A13),"")</f>
        <v>3978.85424533391</v>
      </c>
      <c r="H13" s="5" t="str">
        <f aca="false">IF(SUMPRODUCT(('Raw data (as reported)'!$A$5:$A$37=$A13)*ISNUMBER('Raw data (as reported)'!Q$5:Q$37))=COUNTIF('Raw data (as reported)'!$A$5:$A$37,$A13),SUMIFS('Raw data (as reported)'!Q$5:Q$37,'Raw data (as reported)'!$A$5:$A$37,$A13),"")</f>
        <v/>
      </c>
      <c r="I13" s="5" t="str">
        <f aca="false">IF(SUMPRODUCT(('Raw data (as reported)'!$A$5:$A$37=$A13)*ISNUMBER('Raw data (as reported)'!R$5:R$37))=COUNTIF('Raw data (as reported)'!$A$5:$A$37,$A13),SUMIFS('Raw data (as reported)'!R$5:R$37,'Raw data (as reported)'!$A$5:$A$37,$A13),"")</f>
        <v/>
      </c>
      <c r="J13" s="5" t="str">
        <f aca="false">IF(SUMPRODUCT(('Raw data (as reported)'!$A$5:$A$37=$A13)*ISNUMBER('Raw data (as reported)'!S$5:S$37))=COUNTIF('Raw data (as reported)'!$A$5:$A$37,$A13),SUMIFS('Raw data (as reported)'!S$5:S$37,'Raw data (as reported)'!$A$5:$A$37,$A13),"")</f>
        <v/>
      </c>
      <c r="K13" s="6" t="n">
        <f aca="false">IF(AND(ISNUMBER(E13),ISNUMBER(F13),ISNUMBER(G13)),E13+F13+G13+IF(ISNUMBER(H13),H13,0),"")</f>
        <v>15213.0758442119</v>
      </c>
      <c r="L13" s="7" t="n">
        <f aca="false">IF(ISNUMBER(K13),E13/K13,"")</f>
        <v>0.212538117863981</v>
      </c>
      <c r="M13" s="7" t="n">
        <f aca="false">IF(ISNUMBER(K13),F13/K13,"")</f>
        <v>0.525920147507269</v>
      </c>
      <c r="N13" s="7" t="n">
        <f aca="false">IF(ISNUMBER(K13),G13/K13,"")</f>
        <v>0.26154173462875</v>
      </c>
      <c r="O13" s="7" t="str">
        <f aca="false">IF(AND(ISNUMBER(K13),ISNUMBER(H13)),H13/K13,"")</f>
        <v/>
      </c>
      <c r="P13" s="8" t="n">
        <f aca="false">IF(ISNUMBER(K13),(E13+F13)/K13,IF(AND(ISNUMBER(I13),ISNUMBER(J13)),I13/(I13+J13),""))</f>
        <v>0.73845826537125</v>
      </c>
      <c r="Q13" s="9" t="s">
        <v>38</v>
      </c>
    </row>
    <row r="14" customFormat="false" ht="15" hidden="false" customHeight="false" outlineLevel="0" collapsed="false">
      <c r="A14" s="4" t="s">
        <v>39</v>
      </c>
      <c r="B14" s="4" t="s">
        <v>28</v>
      </c>
      <c r="C14" s="4" t="s">
        <v>37</v>
      </c>
      <c r="D14" s="5" t="n">
        <f aca="false">IF(SUMPRODUCT(('Raw data (as reported)'!$A$5:$A$37=$A14)*ISNUMBER('Raw data (as reported)'!T$5:T$37))=COUNTIF('Raw data (as reported)'!$A$5:$A$37,$A14),SUMIFS('Raw data (as reported)'!T$5:T$37,'Raw data (as reported)'!$A$5:$A$37,$A14),"")</f>
        <v>16228.897999344</v>
      </c>
      <c r="E14" s="5" t="n">
        <f aca="false">IF(SUMPRODUCT(('Raw data (as reported)'!$A$5:$A$37=$A14)*ISNUMBER('Raw data (as reported)'!N$5:N$37))=COUNTIF('Raw data (as reported)'!$A$5:$A$37,$A14),SUMIFS('Raw data (as reported)'!N$5:N$37,'Raw data (as reported)'!$A$5:$A$37,$A14),"")</f>
        <v>3433.89625013666</v>
      </c>
      <c r="F14" s="5" t="n">
        <f aca="false">IF(SUMPRODUCT(('Raw data (as reported)'!$A$5:$A$37=$A14)*ISNUMBER('Raw data (as reported)'!O$5:O$37))=COUNTIF('Raw data (as reported)'!$A$5:$A$37,$A14),SUMIFS('Raw data (as reported)'!O$5:O$37,'Raw data (as reported)'!$A$5:$A$37,$A14),"")</f>
        <v>8801.7822236799</v>
      </c>
      <c r="G14" s="5" t="n">
        <f aca="false">IF(SUMPRODUCT(('Raw data (as reported)'!$A$5:$A$37=$A14)*ISNUMBER('Raw data (as reported)'!P$5:P$37))=COUNTIF('Raw data (as reported)'!$A$5:$A$37,$A14),SUMIFS('Raw data (as reported)'!P$5:P$37,'Raw data (as reported)'!$A$5:$A$37,$A14),"")</f>
        <v>3932.79490543348</v>
      </c>
      <c r="H14" s="5" t="n">
        <f aca="false">IF(SUMPRODUCT(('Raw data (as reported)'!$A$5:$A$37=$A14)*ISNUMBER('Raw data (as reported)'!Q$5:Q$37))=COUNTIF('Raw data (as reported)'!$A$5:$A$37,$A14),SUMIFS('Raw data (as reported)'!Q$5:Q$37,'Raw data (as reported)'!$A$5:$A$37,$A14),"")</f>
        <v>60.3313654750191</v>
      </c>
      <c r="I14" s="5" t="str">
        <f aca="false">IF(SUMPRODUCT(('Raw data (as reported)'!$A$5:$A$37=$A14)*ISNUMBER('Raw data (as reported)'!R$5:R$37))=COUNTIF('Raw data (as reported)'!$A$5:$A$37,$A14),SUMIFS('Raw data (as reported)'!R$5:R$37,'Raw data (as reported)'!$A$5:$A$37,$A14),"")</f>
        <v/>
      </c>
      <c r="J14" s="5" t="str">
        <f aca="false">IF(SUMPRODUCT(('Raw data (as reported)'!$A$5:$A$37=$A14)*ISNUMBER('Raw data (as reported)'!S$5:S$37))=COUNTIF('Raw data (as reported)'!$A$5:$A$37,$A14),SUMIFS('Raw data (as reported)'!S$5:S$37,'Raw data (as reported)'!$A$5:$A$37,$A14),"")</f>
        <v/>
      </c>
      <c r="K14" s="6" t="n">
        <f aca="false">IF(AND(ISNUMBER(E14),ISNUMBER(F14),ISNUMBER(G14)),E14+F14+G14+IF(ISNUMBER(H14),H14,0),"")</f>
        <v>16228.804744725</v>
      </c>
      <c r="L14" s="7" t="n">
        <f aca="false">IF(ISNUMBER(K14),E14/K14,"")</f>
        <v>0.211592677597085</v>
      </c>
      <c r="M14" s="7" t="n">
        <f aca="false">IF(ISNUMBER(K14),F14/K14,"")</f>
        <v>0.542355543869661</v>
      </c>
      <c r="N14" s="7" t="n">
        <f aca="false">IF(ISNUMBER(K14),G14/K14,"")</f>
        <v>0.242334230234163</v>
      </c>
      <c r="O14" s="7" t="n">
        <f aca="false">IF(AND(ISNUMBER(K14),ISNUMBER(H14)),H14/K14,"")</f>
        <v>0.00371754829909017</v>
      </c>
      <c r="P14" s="8" t="n">
        <f aca="false">IF(ISNUMBER(K14),(E14+F14)/K14,IF(AND(ISNUMBER(I14),ISNUMBER(J14)),I14/(I14+J14),""))</f>
        <v>0.753948221466747</v>
      </c>
      <c r="Q14" s="9"/>
    </row>
    <row r="15" customFormat="false" ht="15" hidden="false" customHeight="false" outlineLevel="0" collapsed="false">
      <c r="A15" s="4" t="s">
        <v>40</v>
      </c>
      <c r="B15" s="4" t="s">
        <v>28</v>
      </c>
      <c r="C15" s="4" t="s">
        <v>37</v>
      </c>
      <c r="D15" s="5" t="n">
        <f aca="false">IF(SUMPRODUCT(('Raw data (as reported)'!$A$5:$A$37=$A15)*ISNUMBER('Raw data (as reported)'!T$5:T$37))=COUNTIF('Raw data (as reported)'!$A$5:$A$37,$A15),SUMIFS('Raw data (as reported)'!T$5:T$37,'Raw data (as reported)'!$A$5:$A$37,$A15),"")</f>
        <v>16127.0872455339</v>
      </c>
      <c r="E15" s="5" t="n">
        <f aca="false">IF(SUMPRODUCT(('Raw data (as reported)'!$A$5:$A$37=$A15)*ISNUMBER('Raw data (as reported)'!N$5:N$37))=COUNTIF('Raw data (as reported)'!$A$5:$A$37,$A15),SUMIFS('Raw data (as reported)'!N$5:N$37,'Raw data (as reported)'!$A$5:$A$37,$A15),"")</f>
        <v>3630.87037806398</v>
      </c>
      <c r="F15" s="5" t="n">
        <f aca="false">IF(SUMPRODUCT(('Raw data (as reported)'!$A$5:$A$37=$A15)*ISNUMBER('Raw data (as reported)'!O$5:O$37))=COUNTIF('Raw data (as reported)'!$A$5:$A$37,$A15),SUMIFS('Raw data (as reported)'!O$5:O$37,'Raw data (as reported)'!$A$5:$A$37,$A15),"")</f>
        <v>8762.59451599502</v>
      </c>
      <c r="G15" s="5" t="n">
        <f aca="false">IF(SUMPRODUCT(('Raw data (as reported)'!$A$5:$A$37=$A15)*ISNUMBER('Raw data (as reported)'!P$5:P$37))=COUNTIF('Raw data (as reported)'!$A$5:$A$37,$A15),SUMIFS('Raw data (as reported)'!P$5:P$37,'Raw data (as reported)'!$A$5:$A$37,$A15),"")</f>
        <v>3460.69713336103</v>
      </c>
      <c r="H15" s="5" t="n">
        <f aca="false">IF(SUMPRODUCT(('Raw data (as reported)'!$A$5:$A$37=$A15)*ISNUMBER('Raw data (as reported)'!Q$5:Q$37))=COUNTIF('Raw data (as reported)'!$A$5:$A$37,$A15),SUMIFS('Raw data (as reported)'!Q$5:Q$37,'Raw data (as reported)'!$A$5:$A$37,$A15),"")</f>
        <v>271.925218113835</v>
      </c>
      <c r="I15" s="5" t="str">
        <f aca="false">IF(SUMPRODUCT(('Raw data (as reported)'!$A$5:$A$37=$A15)*ISNUMBER('Raw data (as reported)'!R$5:R$37))=COUNTIF('Raw data (as reported)'!$A$5:$A$37,$A15),SUMIFS('Raw data (as reported)'!R$5:R$37,'Raw data (as reported)'!$A$5:$A$37,$A15),"")</f>
        <v/>
      </c>
      <c r="J15" s="5" t="str">
        <f aca="false">IF(SUMPRODUCT(('Raw data (as reported)'!$A$5:$A$37=$A15)*ISNUMBER('Raw data (as reported)'!S$5:S$37))=COUNTIF('Raw data (as reported)'!$A$5:$A$37,$A15),SUMIFS('Raw data (as reported)'!S$5:S$37,'Raw data (as reported)'!$A$5:$A$37,$A15),"")</f>
        <v/>
      </c>
      <c r="K15" s="6" t="n">
        <f aca="false">IF(AND(ISNUMBER(E15),ISNUMBER(F15),ISNUMBER(G15)),E15+F15+G15+IF(ISNUMBER(H15),H15,0),"")</f>
        <v>16126.0872455339</v>
      </c>
      <c r="L15" s="7" t="n">
        <f aca="false">IF(ISNUMBER(K15),E15/K15,"")</f>
        <v>0.225155074679976</v>
      </c>
      <c r="M15" s="7" t="n">
        <f aca="false">IF(ISNUMBER(K15),F15/K15,"")</f>
        <v>0.543380076181953</v>
      </c>
      <c r="N15" s="7" t="n">
        <f aca="false">IF(ISNUMBER(K15),G15/K15,"")</f>
        <v>0.214602406688546</v>
      </c>
      <c r="O15" s="7" t="n">
        <f aca="false">IF(AND(ISNUMBER(K15),ISNUMBER(H15)),H15/K15,"")</f>
        <v>0.0168624424495251</v>
      </c>
      <c r="P15" s="8" t="n">
        <f aca="false">IF(ISNUMBER(K15),(E15+F15)/K15,IF(AND(ISNUMBER(I15),ISNUMBER(J15)),I15/(I15+J15),""))</f>
        <v>0.768535150861929</v>
      </c>
      <c r="Q15" s="9"/>
    </row>
    <row r="16" customFormat="false" ht="15" hidden="false" customHeight="false" outlineLevel="0" collapsed="false">
      <c r="A16" s="4" t="s">
        <v>41</v>
      </c>
      <c r="B16" s="4" t="s">
        <v>28</v>
      </c>
      <c r="C16" s="4" t="s">
        <v>37</v>
      </c>
      <c r="D16" s="5" t="n">
        <f aca="false">IF(SUMPRODUCT(('Raw data (as reported)'!$A$5:$A$37=$A16)*ISNUMBER('Raw data (as reported)'!T$5:T$37))=COUNTIF('Raw data (as reported)'!$A$5:$A$37,$A16),SUMIFS('Raw data (as reported)'!T$5:T$37,'Raw data (as reported)'!$A$5:$A$37,$A16),"")</f>
        <v>15281.610885459</v>
      </c>
      <c r="E16" s="5" t="n">
        <f aca="false">IF(SUMPRODUCT(('Raw data (as reported)'!$A$5:$A$37=$A16)*ISNUMBER('Raw data (as reported)'!N$5:N$37))=COUNTIF('Raw data (as reported)'!$A$5:$A$37,$A16),SUMIFS('Raw data (as reported)'!N$5:N$37,'Raw data (as reported)'!$A$5:$A$37,$A16),"")</f>
        <v>3850.97806661251</v>
      </c>
      <c r="F16" s="5" t="n">
        <f aca="false">IF(SUMPRODUCT(('Raw data (as reported)'!$A$5:$A$37=$A16)*ISNUMBER('Raw data (as reported)'!O$5:O$37))=COUNTIF('Raw data (as reported)'!$A$5:$A$37,$A16),SUMIFS('Raw data (as reported)'!O$5:O$37,'Raw data (as reported)'!$A$5:$A$37,$A16),"")</f>
        <v>8482.76198212835</v>
      </c>
      <c r="G16" s="5" t="n">
        <f aca="false">IF(SUMPRODUCT(('Raw data (as reported)'!$A$5:$A$37=$A16)*ISNUMBER('Raw data (as reported)'!P$5:P$37))=COUNTIF('Raw data (as reported)'!$A$5:$A$37,$A16),SUMIFS('Raw data (as reported)'!P$5:P$37,'Raw data (as reported)'!$A$5:$A$37,$A16),"")</f>
        <v>2892.56214459789</v>
      </c>
      <c r="H16" s="5" t="n">
        <f aca="false">IF(SUMPRODUCT(('Raw data (as reported)'!$A$5:$A$37=$A16)*ISNUMBER('Raw data (as reported)'!Q$5:Q$37))=COUNTIF('Raw data (as reported)'!$A$5:$A$37,$A16),SUMIFS('Raw data (as reported)'!Q$5:Q$37,'Raw data (as reported)'!$A$5:$A$37,$A16),"")</f>
        <v>55.3086921202275</v>
      </c>
      <c r="I16" s="5" t="str">
        <f aca="false">IF(SUMPRODUCT(('Raw data (as reported)'!$A$5:$A$37=$A16)*ISNUMBER('Raw data (as reported)'!R$5:R$37))=COUNTIF('Raw data (as reported)'!$A$5:$A$37,$A16),SUMIFS('Raw data (as reported)'!R$5:R$37,'Raw data (as reported)'!$A$5:$A$37,$A16),"")</f>
        <v/>
      </c>
      <c r="J16" s="5" t="str">
        <f aca="false">IF(SUMPRODUCT(('Raw data (as reported)'!$A$5:$A$37=$A16)*ISNUMBER('Raw data (as reported)'!S$5:S$37))=COUNTIF('Raw data (as reported)'!$A$5:$A$37,$A16),SUMIFS('Raw data (as reported)'!S$5:S$37,'Raw data (as reported)'!$A$5:$A$37,$A16),"")</f>
        <v/>
      </c>
      <c r="K16" s="6" t="n">
        <f aca="false">IF(AND(ISNUMBER(E16),ISNUMBER(F16),ISNUMBER(G16)),E16+F16+G16+IF(ISNUMBER(H16),H16,0),"")</f>
        <v>15281.610885459</v>
      </c>
      <c r="L16" s="7" t="n">
        <f aca="false">IF(ISNUMBER(K16),E16/K16,"")</f>
        <v>0.252000793337623</v>
      </c>
      <c r="M16" s="7" t="n">
        <f aca="false">IF(ISNUMBER(K16),F16/K16,"")</f>
        <v>0.555096059290452</v>
      </c>
      <c r="N16" s="7" t="n">
        <f aca="false">IF(ISNUMBER(K16),G16/K16,"")</f>
        <v>0.189283850130634</v>
      </c>
      <c r="O16" s="7" t="n">
        <f aca="false">IF(AND(ISNUMBER(K16),ISNUMBER(H16)),H16/K16,"")</f>
        <v>0.00361929724129121</v>
      </c>
      <c r="P16" s="8" t="n">
        <f aca="false">IF(ISNUMBER(K16),(E16+F16)/K16,IF(AND(ISNUMBER(I16),ISNUMBER(J16)),I16/(I16+J16),""))</f>
        <v>0.807096852628074</v>
      </c>
      <c r="Q16" s="9"/>
    </row>
    <row r="17" customFormat="false" ht="15" hidden="false" customHeight="false" outlineLevel="0" collapsed="false">
      <c r="A17" s="4" t="s">
        <v>42</v>
      </c>
      <c r="B17" s="4" t="s">
        <v>43</v>
      </c>
      <c r="C17" s="4" t="s">
        <v>37</v>
      </c>
      <c r="D17" s="5" t="n">
        <f aca="false">IF(SUMPRODUCT(('Raw data (as reported)'!$A$5:$A$37=$A17)*ISNUMBER('Raw data (as reported)'!T$5:T$37))=COUNTIF('Raw data (as reported)'!$A$5:$A$37,$A17),SUMIFS('Raw data (as reported)'!T$5:T$37,'Raw data (as reported)'!$A$5:$A$37,$A17),"")</f>
        <v>16295</v>
      </c>
      <c r="E17" s="5" t="n">
        <f aca="false">IF(SUMPRODUCT(('Raw data (as reported)'!$A$5:$A$37=$A17)*ISNUMBER('Raw data (as reported)'!N$5:N$37))=COUNTIF('Raw data (as reported)'!$A$5:$A$37,$A17),SUMIFS('Raw data (as reported)'!N$5:N$37,'Raw data (as reported)'!$A$5:$A$37,$A17),"")</f>
        <v>4103</v>
      </c>
      <c r="F17" s="5" t="n">
        <f aca="false">IF(SUMPRODUCT(('Raw data (as reported)'!$A$5:$A$37=$A17)*ISNUMBER('Raw data (as reported)'!O$5:O$37))=COUNTIF('Raw data (as reported)'!$A$5:$A$37,$A17),SUMIFS('Raw data (as reported)'!O$5:O$37,'Raw data (as reported)'!$A$5:$A$37,$A17),"")</f>
        <v>8968</v>
      </c>
      <c r="G17" s="5" t="n">
        <f aca="false">IF(SUMPRODUCT(('Raw data (as reported)'!$A$5:$A$37=$A17)*ISNUMBER('Raw data (as reported)'!P$5:P$37))=COUNTIF('Raw data (as reported)'!$A$5:$A$37,$A17),SUMIFS('Raw data (as reported)'!P$5:P$37,'Raw data (as reported)'!$A$5:$A$37,$A17),"")</f>
        <v>3159</v>
      </c>
      <c r="H17" s="5" t="n">
        <f aca="false">IF(SUMPRODUCT(('Raw data (as reported)'!$A$5:$A$37=$A17)*ISNUMBER('Raw data (as reported)'!Q$5:Q$37))=COUNTIF('Raw data (as reported)'!$A$5:$A$37,$A17),SUMIFS('Raw data (as reported)'!Q$5:Q$37,'Raw data (as reported)'!$A$5:$A$37,$A17),"")</f>
        <v>65</v>
      </c>
      <c r="I17" s="5" t="str">
        <f aca="false">IF(SUMPRODUCT(('Raw data (as reported)'!$A$5:$A$37=$A17)*ISNUMBER('Raw data (as reported)'!R$5:R$37))=COUNTIF('Raw data (as reported)'!$A$5:$A$37,$A17),SUMIFS('Raw data (as reported)'!R$5:R$37,'Raw data (as reported)'!$A$5:$A$37,$A17),"")</f>
        <v/>
      </c>
      <c r="J17" s="5" t="str">
        <f aca="false">IF(SUMPRODUCT(('Raw data (as reported)'!$A$5:$A$37=$A17)*ISNUMBER('Raw data (as reported)'!S$5:S$37))=COUNTIF('Raw data (as reported)'!$A$5:$A$37,$A17),SUMIFS('Raw data (as reported)'!S$5:S$37,'Raw data (as reported)'!$A$5:$A$37,$A17),"")</f>
        <v/>
      </c>
      <c r="K17" s="6" t="n">
        <f aca="false">IF(AND(ISNUMBER(E17),ISNUMBER(F17),ISNUMBER(G17)),E17+F17+G17+IF(ISNUMBER(H17),H17,0),"")</f>
        <v>16295</v>
      </c>
      <c r="L17" s="7" t="n">
        <f aca="false">IF(ISNUMBER(K17),E17/K17,"")</f>
        <v>0.251795029150046</v>
      </c>
      <c r="M17" s="7" t="n">
        <f aca="false">IF(ISNUMBER(K17),F17/K17,"")</f>
        <v>0.550352868978214</v>
      </c>
      <c r="N17" s="7" t="n">
        <f aca="false">IF(ISNUMBER(K17),G17/K17,"")</f>
        <v>0.193863148204971</v>
      </c>
      <c r="O17" s="7" t="n">
        <f aca="false">IF(AND(ISNUMBER(K17),ISNUMBER(H17)),H17/K17,"")</f>
        <v>0.00398895366676895</v>
      </c>
      <c r="P17" s="8" t="n">
        <f aca="false">IF(ISNUMBER(K17),(E17+F17)/K17,IF(AND(ISNUMBER(I17),ISNUMBER(J17)),I17/(I17+J17),""))</f>
        <v>0.80214789812826</v>
      </c>
      <c r="Q17" s="9"/>
    </row>
    <row r="18" customFormat="false" ht="15" hidden="false" customHeight="false" outlineLevel="0" collapsed="false">
      <c r="A18" s="4" t="s">
        <v>44</v>
      </c>
      <c r="B18" s="4" t="s">
        <v>43</v>
      </c>
      <c r="C18" s="4" t="s">
        <v>37</v>
      </c>
      <c r="D18" s="5" t="n">
        <f aca="false">IF(SUMPRODUCT(('Raw data (as reported)'!$A$5:$A$37=$A18)*ISNUMBER('Raw data (as reported)'!T$5:T$37))=COUNTIF('Raw data (as reported)'!$A$5:$A$37,$A18),SUMIFS('Raw data (as reported)'!T$5:T$37,'Raw data (as reported)'!$A$5:$A$37,$A18),"")</f>
        <v>16956</v>
      </c>
      <c r="E18" s="5" t="n">
        <f aca="false">IF(SUMPRODUCT(('Raw data (as reported)'!$A$5:$A$37=$A18)*ISNUMBER('Raw data (as reported)'!N$5:N$37))=COUNTIF('Raw data (as reported)'!$A$5:$A$37,$A18),SUMIFS('Raw data (as reported)'!N$5:N$37,'Raw data (as reported)'!$A$5:$A$37,$A18),"")</f>
        <v>4310</v>
      </c>
      <c r="F18" s="5" t="n">
        <f aca="false">IF(SUMPRODUCT(('Raw data (as reported)'!$A$5:$A$37=$A18)*ISNUMBER('Raw data (as reported)'!O$5:O$37))=COUNTIF('Raw data (as reported)'!$A$5:$A$37,$A18),SUMIFS('Raw data (as reported)'!O$5:O$37,'Raw data (as reported)'!$A$5:$A$37,$A18),"")</f>
        <v>9585</v>
      </c>
      <c r="G18" s="5" t="n">
        <f aca="false">IF(SUMPRODUCT(('Raw data (as reported)'!$A$5:$A$37=$A18)*ISNUMBER('Raw data (as reported)'!P$5:P$37))=COUNTIF('Raw data (as reported)'!$A$5:$A$37,$A18),SUMIFS('Raw data (as reported)'!P$5:P$37,'Raw data (as reported)'!$A$5:$A$37,$A18),"")</f>
        <v>2911</v>
      </c>
      <c r="H18" s="5" t="n">
        <f aca="false">IF(SUMPRODUCT(('Raw data (as reported)'!$A$5:$A$37=$A18)*ISNUMBER('Raw data (as reported)'!Q$5:Q$37))=COUNTIF('Raw data (as reported)'!$A$5:$A$37,$A18),SUMIFS('Raw data (as reported)'!Q$5:Q$37,'Raw data (as reported)'!$A$5:$A$37,$A18),"")</f>
        <v>151</v>
      </c>
      <c r="I18" s="5" t="str">
        <f aca="false">IF(SUMPRODUCT(('Raw data (as reported)'!$A$5:$A$37=$A18)*ISNUMBER('Raw data (as reported)'!R$5:R$37))=COUNTIF('Raw data (as reported)'!$A$5:$A$37,$A18),SUMIFS('Raw data (as reported)'!R$5:R$37,'Raw data (as reported)'!$A$5:$A$37,$A18),"")</f>
        <v/>
      </c>
      <c r="J18" s="5" t="str">
        <f aca="false">IF(SUMPRODUCT(('Raw data (as reported)'!$A$5:$A$37=$A18)*ISNUMBER('Raw data (as reported)'!S$5:S$37))=COUNTIF('Raw data (as reported)'!$A$5:$A$37,$A18),SUMIFS('Raw data (as reported)'!S$5:S$37,'Raw data (as reported)'!$A$5:$A$37,$A18),"")</f>
        <v/>
      </c>
      <c r="K18" s="6" t="n">
        <f aca="false">IF(AND(ISNUMBER(E18),ISNUMBER(F18),ISNUMBER(G18)),E18+F18+G18+IF(ISNUMBER(H18),H18,0),"")</f>
        <v>16957</v>
      </c>
      <c r="L18" s="7" t="n">
        <f aca="false">IF(ISNUMBER(K18),E18/K18,"")</f>
        <v>0.254172318216666</v>
      </c>
      <c r="M18" s="7" t="n">
        <f aca="false">IF(ISNUMBER(K18),F18/K18,"")</f>
        <v>0.565253287727782</v>
      </c>
      <c r="N18" s="7" t="n">
        <f aca="false">IF(ISNUMBER(K18),G18/K18,"")</f>
        <v>0.171669517013623</v>
      </c>
      <c r="O18" s="7" t="n">
        <f aca="false">IF(AND(ISNUMBER(K18),ISNUMBER(H18)),H18/K18,"")</f>
        <v>0.00890487704192959</v>
      </c>
      <c r="P18" s="8" t="n">
        <f aca="false">IF(ISNUMBER(K18),(E18+F18)/K18,IF(AND(ISNUMBER(I18),ISNUMBER(J18)),I18/(I18+J18),""))</f>
        <v>0.819425605944448</v>
      </c>
      <c r="Q18" s="9"/>
    </row>
    <row r="19" customFormat="false" ht="15" hidden="false" customHeight="false" outlineLevel="0" collapsed="false">
      <c r="A19" s="4" t="s">
        <v>45</v>
      </c>
      <c r="B19" s="4" t="s">
        <v>43</v>
      </c>
      <c r="C19" s="4" t="s">
        <v>37</v>
      </c>
      <c r="D19" s="5" t="n">
        <f aca="false">IF(SUMPRODUCT(('Raw data (as reported)'!$A$5:$A$37=$A19)*ISNUMBER('Raw data (as reported)'!T$5:T$37))=COUNTIF('Raw data (as reported)'!$A$5:$A$37,$A19),SUMIFS('Raw data (as reported)'!T$5:T$37,'Raw data (as reported)'!$A$5:$A$37,$A19),"")</f>
        <v>16373</v>
      </c>
      <c r="E19" s="5" t="n">
        <f aca="false">IF(SUMPRODUCT(('Raw data (as reported)'!$A$5:$A$37=$A19)*ISNUMBER('Raw data (as reported)'!N$5:N$37))=COUNTIF('Raw data (as reported)'!$A$5:$A$37,$A19),SUMIFS('Raw data (as reported)'!N$5:N$37,'Raw data (as reported)'!$A$5:$A$37,$A19),"")</f>
        <v>3947</v>
      </c>
      <c r="F19" s="5" t="n">
        <f aca="false">IF(SUMPRODUCT(('Raw data (as reported)'!$A$5:$A$37=$A19)*ISNUMBER('Raw data (as reported)'!O$5:O$37))=COUNTIF('Raw data (as reported)'!$A$5:$A$37,$A19),SUMIFS('Raw data (as reported)'!O$5:O$37,'Raw data (as reported)'!$A$5:$A$37,$A19),"")</f>
        <v>9258</v>
      </c>
      <c r="G19" s="5" t="n">
        <f aca="false">IF(SUMPRODUCT(('Raw data (as reported)'!$A$5:$A$37=$A19)*ISNUMBER('Raw data (as reported)'!P$5:P$37))=COUNTIF('Raw data (as reported)'!$A$5:$A$37,$A19),SUMIFS('Raw data (as reported)'!P$5:P$37,'Raw data (as reported)'!$A$5:$A$37,$A19),"")</f>
        <v>3059</v>
      </c>
      <c r="H19" s="5" t="n">
        <f aca="false">IF(SUMPRODUCT(('Raw data (as reported)'!$A$5:$A$37=$A19)*ISNUMBER('Raw data (as reported)'!Q$5:Q$37))=COUNTIF('Raw data (as reported)'!$A$5:$A$37,$A19),SUMIFS('Raw data (as reported)'!Q$5:Q$37,'Raw data (as reported)'!$A$5:$A$37,$A19),"")</f>
        <v>110</v>
      </c>
      <c r="I19" s="5" t="str">
        <f aca="false">IF(SUMPRODUCT(('Raw data (as reported)'!$A$5:$A$37=$A19)*ISNUMBER('Raw data (as reported)'!R$5:R$37))=COUNTIF('Raw data (as reported)'!$A$5:$A$37,$A19),SUMIFS('Raw data (as reported)'!R$5:R$37,'Raw data (as reported)'!$A$5:$A$37,$A19),"")</f>
        <v/>
      </c>
      <c r="J19" s="5" t="str">
        <f aca="false">IF(SUMPRODUCT(('Raw data (as reported)'!$A$5:$A$37=$A19)*ISNUMBER('Raw data (as reported)'!S$5:S$37))=COUNTIF('Raw data (as reported)'!$A$5:$A$37,$A19),SUMIFS('Raw data (as reported)'!S$5:S$37,'Raw data (as reported)'!$A$5:$A$37,$A19),"")</f>
        <v/>
      </c>
      <c r="K19" s="6" t="n">
        <f aca="false">IF(AND(ISNUMBER(E19),ISNUMBER(F19),ISNUMBER(G19)),E19+F19+G19+IF(ISNUMBER(H19),H19,0),"")</f>
        <v>16374</v>
      </c>
      <c r="L19" s="7" t="n">
        <f aca="false">IF(ISNUMBER(K19),E19/K19,"")</f>
        <v>0.241052888726029</v>
      </c>
      <c r="M19" s="7" t="n">
        <f aca="false">IF(ISNUMBER(K19),F19/K19,"")</f>
        <v>0.565408574569439</v>
      </c>
      <c r="N19" s="7" t="n">
        <f aca="false">IF(ISNUMBER(K19),G19/K19,"")</f>
        <v>0.186820569195065</v>
      </c>
      <c r="O19" s="7" t="n">
        <f aca="false">IF(AND(ISNUMBER(K19),ISNUMBER(H19)),H19/K19,"")</f>
        <v>0.00671796750946623</v>
      </c>
      <c r="P19" s="8" t="n">
        <f aca="false">IF(ISNUMBER(K19),(E19+F19)/K19,IF(AND(ISNUMBER(I19),ISNUMBER(J19)),I19/(I19+J19),""))</f>
        <v>0.806461463295468</v>
      </c>
      <c r="Q19" s="9"/>
    </row>
    <row r="20" customFormat="false" ht="15" hidden="false" customHeight="false" outlineLevel="0" collapsed="false">
      <c r="A20" s="4" t="s">
        <v>46</v>
      </c>
      <c r="B20" s="4" t="s">
        <v>43</v>
      </c>
      <c r="C20" s="4" t="s">
        <v>37</v>
      </c>
      <c r="D20" s="5" t="n">
        <f aca="false">IF(SUMPRODUCT(('Raw data (as reported)'!$A$5:$A$37=$A20)*ISNUMBER('Raw data (as reported)'!T$5:T$37))=COUNTIF('Raw data (as reported)'!$A$5:$A$37,$A20),SUMIFS('Raw data (as reported)'!T$5:T$37,'Raw data (as reported)'!$A$5:$A$37,$A20),"")</f>
        <v>17134</v>
      </c>
      <c r="E20" s="5" t="n">
        <f aca="false">IF(SUMPRODUCT(('Raw data (as reported)'!$A$5:$A$37=$A20)*ISNUMBER('Raw data (as reported)'!N$5:N$37))=COUNTIF('Raw data (as reported)'!$A$5:$A$37,$A20),SUMIFS('Raw data (as reported)'!N$5:N$37,'Raw data (as reported)'!$A$5:$A$37,$A20),"")</f>
        <v>4027</v>
      </c>
      <c r="F20" s="5" t="n">
        <f aca="false">IF(SUMPRODUCT(('Raw data (as reported)'!$A$5:$A$37=$A20)*ISNUMBER('Raw data (as reported)'!O$5:O$37))=COUNTIF('Raw data (as reported)'!$A$5:$A$37,$A20),SUMIFS('Raw data (as reported)'!O$5:O$37,'Raw data (as reported)'!$A$5:$A$37,$A20),"")</f>
        <v>9372</v>
      </c>
      <c r="G20" s="5" t="n">
        <f aca="false">IF(SUMPRODUCT(('Raw data (as reported)'!$A$5:$A$37=$A20)*ISNUMBER('Raw data (as reported)'!P$5:P$37))=COUNTIF('Raw data (as reported)'!$A$5:$A$37,$A20),SUMIFS('Raw data (as reported)'!P$5:P$37,'Raw data (as reported)'!$A$5:$A$37,$A20),"")</f>
        <v>3576</v>
      </c>
      <c r="H20" s="5" t="n">
        <f aca="false">IF(SUMPRODUCT(('Raw data (as reported)'!$A$5:$A$37=$A20)*ISNUMBER('Raw data (as reported)'!Q$5:Q$37))=COUNTIF('Raw data (as reported)'!$A$5:$A$37,$A20),SUMIFS('Raw data (as reported)'!Q$5:Q$37,'Raw data (as reported)'!$A$5:$A$37,$A20),"")</f>
        <v>159</v>
      </c>
      <c r="I20" s="5" t="str">
        <f aca="false">IF(SUMPRODUCT(('Raw data (as reported)'!$A$5:$A$37=$A20)*ISNUMBER('Raw data (as reported)'!R$5:R$37))=COUNTIF('Raw data (as reported)'!$A$5:$A$37,$A20),SUMIFS('Raw data (as reported)'!R$5:R$37,'Raw data (as reported)'!$A$5:$A$37,$A20),"")</f>
        <v/>
      </c>
      <c r="J20" s="5" t="str">
        <f aca="false">IF(SUMPRODUCT(('Raw data (as reported)'!$A$5:$A$37=$A20)*ISNUMBER('Raw data (as reported)'!S$5:S$37))=COUNTIF('Raw data (as reported)'!$A$5:$A$37,$A20),SUMIFS('Raw data (as reported)'!S$5:S$37,'Raw data (as reported)'!$A$5:$A$37,$A20),"")</f>
        <v/>
      </c>
      <c r="K20" s="6" t="n">
        <f aca="false">IF(AND(ISNUMBER(E20),ISNUMBER(F20),ISNUMBER(G20)),E20+F20+G20+IF(ISNUMBER(H20),H20,0),"")</f>
        <v>17134</v>
      </c>
      <c r="L20" s="7" t="n">
        <f aca="false">IF(ISNUMBER(K20),E20/K20,"")</f>
        <v>0.235029765378779</v>
      </c>
      <c r="M20" s="7" t="n">
        <f aca="false">IF(ISNUMBER(K20),F20/K20,"")</f>
        <v>0.546982607680635</v>
      </c>
      <c r="N20" s="7" t="n">
        <f aca="false">IF(ISNUMBER(K20),G20/K20,"")</f>
        <v>0.208707832380063</v>
      </c>
      <c r="O20" s="7" t="n">
        <f aca="false">IF(AND(ISNUMBER(K20),ISNUMBER(H20)),H20/K20,"")</f>
        <v>0.00927979456052294</v>
      </c>
      <c r="P20" s="8" t="n">
        <f aca="false">IF(ISNUMBER(K20),(E20+F20)/K20,IF(AND(ISNUMBER(I20),ISNUMBER(J20)),I20/(I20+J20),""))</f>
        <v>0.782012373059414</v>
      </c>
      <c r="Q20" s="9"/>
    </row>
    <row r="21" customFormat="false" ht="15" hidden="false" customHeight="false" outlineLevel="0" collapsed="false">
      <c r="A21" s="4" t="s">
        <v>47</v>
      </c>
      <c r="B21" s="4" t="s">
        <v>43</v>
      </c>
      <c r="C21" s="4" t="s">
        <v>37</v>
      </c>
      <c r="D21" s="5" t="n">
        <f aca="false">IF(SUMPRODUCT(('Raw data (as reported)'!$A$5:$A$37=$A21)*ISNUMBER('Raw data (as reported)'!T$5:T$37))=COUNTIF('Raw data (as reported)'!$A$5:$A$37,$A21),SUMIFS('Raw data (as reported)'!T$5:T$37,'Raw data (as reported)'!$A$5:$A$37,$A21),"")</f>
        <v>19419</v>
      </c>
      <c r="E21" s="5" t="n">
        <f aca="false">IF(SUMPRODUCT(('Raw data (as reported)'!$A$5:$A$37=$A21)*ISNUMBER('Raw data (as reported)'!N$5:N$37))=COUNTIF('Raw data (as reported)'!$A$5:$A$37,$A21),SUMIFS('Raw data (as reported)'!N$5:N$37,'Raw data (as reported)'!$A$5:$A$37,$A21),"")</f>
        <v>4244</v>
      </c>
      <c r="F21" s="5" t="n">
        <f aca="false">IF(SUMPRODUCT(('Raw data (as reported)'!$A$5:$A$37=$A21)*ISNUMBER('Raw data (as reported)'!O$5:O$37))=COUNTIF('Raw data (as reported)'!$A$5:$A$37,$A21),SUMIFS('Raw data (as reported)'!O$5:O$37,'Raw data (as reported)'!$A$5:$A$37,$A21),"")</f>
        <v>11170</v>
      </c>
      <c r="G21" s="5" t="n">
        <f aca="false">IF(SUMPRODUCT(('Raw data (as reported)'!$A$5:$A$37=$A21)*ISNUMBER('Raw data (as reported)'!P$5:P$37))=COUNTIF('Raw data (as reported)'!$A$5:$A$37,$A21),SUMIFS('Raw data (as reported)'!P$5:P$37,'Raw data (as reported)'!$A$5:$A$37,$A21),"")</f>
        <v>3836</v>
      </c>
      <c r="H21" s="5" t="n">
        <f aca="false">IF(SUMPRODUCT(('Raw data (as reported)'!$A$5:$A$37=$A21)*ISNUMBER('Raw data (as reported)'!Q$5:Q$37))=COUNTIF('Raw data (as reported)'!$A$5:$A$37,$A21),SUMIFS('Raw data (as reported)'!Q$5:Q$37,'Raw data (as reported)'!$A$5:$A$37,$A21),"")</f>
        <v>168</v>
      </c>
      <c r="I21" s="5" t="str">
        <f aca="false">IF(SUMPRODUCT(('Raw data (as reported)'!$A$5:$A$37=$A21)*ISNUMBER('Raw data (as reported)'!R$5:R$37))=COUNTIF('Raw data (as reported)'!$A$5:$A$37,$A21),SUMIFS('Raw data (as reported)'!R$5:R$37,'Raw data (as reported)'!$A$5:$A$37,$A21),"")</f>
        <v/>
      </c>
      <c r="J21" s="5" t="str">
        <f aca="false">IF(SUMPRODUCT(('Raw data (as reported)'!$A$5:$A$37=$A21)*ISNUMBER('Raw data (as reported)'!S$5:S$37))=COUNTIF('Raw data (as reported)'!$A$5:$A$37,$A21),SUMIFS('Raw data (as reported)'!S$5:S$37,'Raw data (as reported)'!$A$5:$A$37,$A21),"")</f>
        <v/>
      </c>
      <c r="K21" s="6" t="n">
        <f aca="false">IF(AND(ISNUMBER(E21),ISNUMBER(F21),ISNUMBER(G21)),E21+F21+G21+IF(ISNUMBER(H21),H21,0),"")</f>
        <v>19418</v>
      </c>
      <c r="L21" s="7" t="n">
        <f aca="false">IF(ISNUMBER(K21),E21/K21,"")</f>
        <v>0.21856009887733</v>
      </c>
      <c r="M21" s="7" t="n">
        <f aca="false">IF(ISNUMBER(K21),F21/K21,"")</f>
        <v>0.57523946853435</v>
      </c>
      <c r="N21" s="7" t="n">
        <f aca="false">IF(ISNUMBER(K21),G21/K21,"")</f>
        <v>0.197548666186013</v>
      </c>
      <c r="O21" s="7" t="n">
        <f aca="false">IF(AND(ISNUMBER(K21),ISNUMBER(H21)),H21/K21,"")</f>
        <v>0.00865176640230714</v>
      </c>
      <c r="P21" s="8" t="n">
        <f aca="false">IF(ISNUMBER(K21),(E21+F21)/K21,IF(AND(ISNUMBER(I21),ISNUMBER(J21)),I21/(I21+J21),""))</f>
        <v>0.79379956741168</v>
      </c>
      <c r="Q21" s="9"/>
    </row>
    <row r="22" customFormat="false" ht="15" hidden="false" customHeight="false" outlineLevel="0" collapsed="false">
      <c r="A22" s="4" t="s">
        <v>48</v>
      </c>
      <c r="B22" s="4" t="s">
        <v>43</v>
      </c>
      <c r="C22" s="4" t="s">
        <v>37</v>
      </c>
      <c r="D22" s="5" t="n">
        <f aca="false">IF(SUMPRODUCT(('Raw data (as reported)'!$A$5:$A$37=$A22)*ISNUMBER('Raw data (as reported)'!T$5:T$37))=COUNTIF('Raw data (as reported)'!$A$5:$A$37,$A22),SUMIFS('Raw data (as reported)'!T$5:T$37,'Raw data (as reported)'!$A$5:$A$37,$A22),"")</f>
        <v>18967</v>
      </c>
      <c r="E22" s="5" t="n">
        <f aca="false">IF(SUMPRODUCT(('Raw data (as reported)'!$A$5:$A$37=$A22)*ISNUMBER('Raw data (as reported)'!N$5:N$37))=COUNTIF('Raw data (as reported)'!$A$5:$A$37,$A22),SUMIFS('Raw data (as reported)'!N$5:N$37,'Raw data (as reported)'!$A$5:$A$37,$A22),"")</f>
        <v>5273</v>
      </c>
      <c r="F22" s="5" t="n">
        <f aca="false">IF(SUMPRODUCT(('Raw data (as reported)'!$A$5:$A$37=$A22)*ISNUMBER('Raw data (as reported)'!O$5:O$37))=COUNTIF('Raw data (as reported)'!$A$5:$A$37,$A22),SUMIFS('Raw data (as reported)'!O$5:O$37,'Raw data (as reported)'!$A$5:$A$37,$A22),"")</f>
        <v>10282</v>
      </c>
      <c r="G22" s="5" t="n">
        <f aca="false">IF(SUMPRODUCT(('Raw data (as reported)'!$A$5:$A$37=$A22)*ISNUMBER('Raw data (as reported)'!P$5:P$37))=COUNTIF('Raw data (as reported)'!$A$5:$A$37,$A22),SUMIFS('Raw data (as reported)'!P$5:P$37,'Raw data (as reported)'!$A$5:$A$37,$A22),"")</f>
        <v>3137</v>
      </c>
      <c r="H22" s="5" t="n">
        <f aca="false">IF(SUMPRODUCT(('Raw data (as reported)'!$A$5:$A$37=$A22)*ISNUMBER('Raw data (as reported)'!Q$5:Q$37))=COUNTIF('Raw data (as reported)'!$A$5:$A$37,$A22),SUMIFS('Raw data (as reported)'!Q$5:Q$37,'Raw data (as reported)'!$A$5:$A$37,$A22),"")</f>
        <v>275</v>
      </c>
      <c r="I22" s="5" t="str">
        <f aca="false">IF(SUMPRODUCT(('Raw data (as reported)'!$A$5:$A$37=$A22)*ISNUMBER('Raw data (as reported)'!R$5:R$37))=COUNTIF('Raw data (as reported)'!$A$5:$A$37,$A22),SUMIFS('Raw data (as reported)'!R$5:R$37,'Raw data (as reported)'!$A$5:$A$37,$A22),"")</f>
        <v/>
      </c>
      <c r="J22" s="5" t="str">
        <f aca="false">IF(SUMPRODUCT(('Raw data (as reported)'!$A$5:$A$37=$A22)*ISNUMBER('Raw data (as reported)'!S$5:S$37))=COUNTIF('Raw data (as reported)'!$A$5:$A$37,$A22),SUMIFS('Raw data (as reported)'!S$5:S$37,'Raw data (as reported)'!$A$5:$A$37,$A22),"")</f>
        <v/>
      </c>
      <c r="K22" s="6" t="n">
        <f aca="false">IF(AND(ISNUMBER(E22),ISNUMBER(F22),ISNUMBER(G22)),E22+F22+G22+IF(ISNUMBER(H22),H22,0),"")</f>
        <v>18967</v>
      </c>
      <c r="L22" s="7" t="n">
        <f aca="false">IF(ISNUMBER(K22),E22/K22,"")</f>
        <v>0.278009173828228</v>
      </c>
      <c r="M22" s="7" t="n">
        <f aca="false">IF(ISNUMBER(K22),F22/K22,"")</f>
        <v>0.542099435862287</v>
      </c>
      <c r="N22" s="7" t="n">
        <f aca="false">IF(ISNUMBER(K22),G22/K22,"")</f>
        <v>0.165392523857226</v>
      </c>
      <c r="O22" s="7" t="n">
        <f aca="false">IF(AND(ISNUMBER(K22),ISNUMBER(H22)),H22/K22,"")</f>
        <v>0.0144988664522592</v>
      </c>
      <c r="P22" s="8" t="n">
        <f aca="false">IF(ISNUMBER(K22),(E22+F22)/K22,IF(AND(ISNUMBER(I22),ISNUMBER(J22)),I22/(I22+J22),""))</f>
        <v>0.820108609690515</v>
      </c>
      <c r="Q22" s="9"/>
    </row>
    <row r="23" customFormat="false" ht="15" hidden="false" customHeight="false" outlineLevel="0" collapsed="false">
      <c r="A23" s="4" t="s">
        <v>49</v>
      </c>
      <c r="B23" s="4" t="s">
        <v>50</v>
      </c>
      <c r="C23" s="4" t="s">
        <v>37</v>
      </c>
      <c r="D23" s="5" t="n">
        <f aca="false">IF(SUMPRODUCT(('Raw data (as reported)'!$A$5:$A$37=$A23)*ISNUMBER('Raw data (as reported)'!T$5:T$37))=COUNTIF('Raw data (as reported)'!$A$5:$A$37,$A23),SUMIFS('Raw data (as reported)'!T$5:T$37,'Raw data (as reported)'!$A$5:$A$37,$A23),"")</f>
        <v>21556</v>
      </c>
      <c r="E23" s="5" t="n">
        <f aca="false">IF(SUMPRODUCT(('Raw data (as reported)'!$A$5:$A$37=$A23)*ISNUMBER('Raw data (as reported)'!N$5:N$37))=COUNTIF('Raw data (as reported)'!$A$5:$A$37,$A23),SUMIFS('Raw data (as reported)'!N$5:N$37,'Raw data (as reported)'!$A$5:$A$37,$A23),"")</f>
        <v>7082</v>
      </c>
      <c r="F23" s="5" t="n">
        <f aca="false">IF(SUMPRODUCT(('Raw data (as reported)'!$A$5:$A$37=$A23)*ISNUMBER('Raw data (as reported)'!O$5:O$37))=COUNTIF('Raw data (as reported)'!$A$5:$A$37,$A23),SUMIFS('Raw data (as reported)'!O$5:O$37,'Raw data (as reported)'!$A$5:$A$37,$A23),"")</f>
        <v>10988</v>
      </c>
      <c r="G23" s="5" t="n">
        <f aca="false">IF(SUMPRODUCT(('Raw data (as reported)'!$A$5:$A$37=$A23)*ISNUMBER('Raw data (as reported)'!P$5:P$37))=COUNTIF('Raw data (as reported)'!$A$5:$A$37,$A23),SUMIFS('Raw data (as reported)'!P$5:P$37,'Raw data (as reported)'!$A$5:$A$37,$A23),"")</f>
        <v>3623</v>
      </c>
      <c r="H23" s="5" t="n">
        <f aca="false">IF(SUMPRODUCT(('Raw data (as reported)'!$A$5:$A$37=$A23)*ISNUMBER('Raw data (as reported)'!Q$5:Q$37))=COUNTIF('Raw data (as reported)'!$A$5:$A$37,$A23),SUMIFS('Raw data (as reported)'!Q$5:Q$37,'Raw data (as reported)'!$A$5:$A$37,$A23),"")</f>
        <v>-137</v>
      </c>
      <c r="I23" s="5" t="str">
        <f aca="false">IF(SUMPRODUCT(('Raw data (as reported)'!$A$5:$A$37=$A23)*ISNUMBER('Raw data (as reported)'!R$5:R$37))=COUNTIF('Raw data (as reported)'!$A$5:$A$37,$A23),SUMIFS('Raw data (as reported)'!R$5:R$37,'Raw data (as reported)'!$A$5:$A$37,$A23),"")</f>
        <v/>
      </c>
      <c r="J23" s="5" t="str">
        <f aca="false">IF(SUMPRODUCT(('Raw data (as reported)'!$A$5:$A$37=$A23)*ISNUMBER('Raw data (as reported)'!S$5:S$37))=COUNTIF('Raw data (as reported)'!$A$5:$A$37,$A23),SUMIFS('Raw data (as reported)'!S$5:S$37,'Raw data (as reported)'!$A$5:$A$37,$A23),"")</f>
        <v/>
      </c>
      <c r="K23" s="6" t="n">
        <f aca="false">IF(AND(ISNUMBER(E23),ISNUMBER(F23),ISNUMBER(G23)),E23+F23+G23+IF(ISNUMBER(H23),H23,0),"")</f>
        <v>21556</v>
      </c>
      <c r="L23" s="7" t="n">
        <f aca="false">IF(ISNUMBER(K23),E23/K23,"")</f>
        <v>0.32853961773984</v>
      </c>
      <c r="M23" s="7" t="n">
        <f aca="false">IF(ISNUMBER(K23),F23/K23,"")</f>
        <v>0.509742067173873</v>
      </c>
      <c r="N23" s="7" t="n">
        <f aca="false">IF(ISNUMBER(K23),G23/K23,"")</f>
        <v>0.168073854147337</v>
      </c>
      <c r="O23" s="7" t="n">
        <f aca="false">IF(AND(ISNUMBER(K23),ISNUMBER(H23)),H23/K23,"")</f>
        <v>-0.00635553906105029</v>
      </c>
      <c r="P23" s="8" t="n">
        <f aca="false">IF(ISNUMBER(K23),(E23+F23)/K23,IF(AND(ISNUMBER(I23),ISNUMBER(J23)),I23/(I23+J23),""))</f>
        <v>0.838281684913713</v>
      </c>
      <c r="Q23" s="9" t="s">
        <v>51</v>
      </c>
    </row>
    <row r="24" customFormat="false" ht="15" hidden="false" customHeight="false" outlineLevel="0" collapsed="false">
      <c r="A24" s="4" t="s">
        <v>52</v>
      </c>
      <c r="B24" s="4" t="s">
        <v>53</v>
      </c>
      <c r="C24" s="4" t="s">
        <v>37</v>
      </c>
      <c r="D24" s="5" t="n">
        <f aca="false">IF(SUMPRODUCT(('Raw data (as reported)'!$A$5:$A$37=$A24)*ISNUMBER('Raw data (as reported)'!T$5:T$37))=COUNTIF('Raw data (as reported)'!$A$5:$A$37,$A24),SUMIFS('Raw data (as reported)'!T$5:T$37,'Raw data (as reported)'!$A$5:$A$37,$A24),"")</f>
        <v>24516</v>
      </c>
      <c r="E24" s="5" t="n">
        <f aca="false">IF(SUMPRODUCT(('Raw data (as reported)'!$A$5:$A$37=$A24)*ISNUMBER('Raw data (as reported)'!N$5:N$37))=COUNTIF('Raw data (as reported)'!$A$5:$A$37,$A24),SUMIFS('Raw data (as reported)'!N$5:N$37,'Raw data (as reported)'!$A$5:$A$37,$A24),"")</f>
        <v>7358</v>
      </c>
      <c r="F24" s="5" t="n">
        <f aca="false">IF(SUMPRODUCT(('Raw data (as reported)'!$A$5:$A$37=$A24)*ISNUMBER('Raw data (as reported)'!O$5:O$37))=COUNTIF('Raw data (as reported)'!$A$5:$A$37,$A24),SUMIFS('Raw data (as reported)'!O$5:O$37,'Raw data (as reported)'!$A$5:$A$37,$A24),"")</f>
        <v>12625</v>
      </c>
      <c r="G24" s="5" t="n">
        <f aca="false">IF(SUMPRODUCT(('Raw data (as reported)'!$A$5:$A$37=$A24)*ISNUMBER('Raw data (as reported)'!P$5:P$37))=COUNTIF('Raw data (as reported)'!$A$5:$A$37,$A24),SUMIFS('Raw data (as reported)'!P$5:P$37,'Raw data (as reported)'!$A$5:$A$37,$A24),"")</f>
        <v>4503</v>
      </c>
      <c r="H24" s="5" t="n">
        <f aca="false">IF(SUMPRODUCT(('Raw data (as reported)'!$A$5:$A$37=$A24)*ISNUMBER('Raw data (as reported)'!Q$5:Q$37))=COUNTIF('Raw data (as reported)'!$A$5:$A$37,$A24),SUMIFS('Raw data (as reported)'!Q$5:Q$37,'Raw data (as reported)'!$A$5:$A$37,$A24),"")</f>
        <v>31</v>
      </c>
      <c r="I24" s="5" t="str">
        <f aca="false">IF(SUMPRODUCT(('Raw data (as reported)'!$A$5:$A$37=$A24)*ISNUMBER('Raw data (as reported)'!R$5:R$37))=COUNTIF('Raw data (as reported)'!$A$5:$A$37,$A24),SUMIFS('Raw data (as reported)'!R$5:R$37,'Raw data (as reported)'!$A$5:$A$37,$A24),"")</f>
        <v/>
      </c>
      <c r="J24" s="5" t="str">
        <f aca="false">IF(SUMPRODUCT(('Raw data (as reported)'!$A$5:$A$37=$A24)*ISNUMBER('Raw data (as reported)'!S$5:S$37))=COUNTIF('Raw data (as reported)'!$A$5:$A$37,$A24),SUMIFS('Raw data (as reported)'!S$5:S$37,'Raw data (as reported)'!$A$5:$A$37,$A24),"")</f>
        <v/>
      </c>
      <c r="K24" s="6" t="n">
        <f aca="false">IF(AND(ISNUMBER(E24),ISNUMBER(F24),ISNUMBER(G24)),E24+F24+G24+IF(ISNUMBER(H24),H24,0),"")</f>
        <v>24517</v>
      </c>
      <c r="L24" s="7" t="n">
        <f aca="false">IF(ISNUMBER(K24),E24/K24,"")</f>
        <v>0.300118285271444</v>
      </c>
      <c r="M24" s="7" t="n">
        <f aca="false">IF(ISNUMBER(K24),F24/K24,"")</f>
        <v>0.514948811029082</v>
      </c>
      <c r="N24" s="7" t="n">
        <f aca="false">IF(ISNUMBER(K24),G24/K24,"")</f>
        <v>0.183668474935759</v>
      </c>
      <c r="O24" s="7" t="n">
        <f aca="false">IF(AND(ISNUMBER(K24),ISNUMBER(H24)),H24/K24,"")</f>
        <v>0.00126442876371497</v>
      </c>
      <c r="P24" s="8" t="n">
        <f aca="false">IF(ISNUMBER(K24),(E24+F24)/K24,IF(AND(ISNUMBER(I24),ISNUMBER(J24)),I24/(I24+J24),""))</f>
        <v>0.815067096300526</v>
      </c>
      <c r="Q24" s="9"/>
    </row>
    <row r="25" customFormat="false" ht="15" hidden="false" customHeight="false" outlineLevel="0" collapsed="false">
      <c r="A25" s="4" t="s">
        <v>54</v>
      </c>
      <c r="B25" s="4" t="s">
        <v>53</v>
      </c>
      <c r="C25" s="4" t="s">
        <v>37</v>
      </c>
      <c r="D25" s="5" t="n">
        <f aca="false">IF(SUMPRODUCT(('Raw data (as reported)'!$A$5:$A$37=$A25)*ISNUMBER('Raw data (as reported)'!T$5:T$37))=COUNTIF('Raw data (as reported)'!$A$5:$A$37,$A25),SUMIFS('Raw data (as reported)'!T$5:T$37,'Raw data (as reported)'!$A$5:$A$37,$A25),"")</f>
        <v>25960</v>
      </c>
      <c r="E25" s="5" t="n">
        <f aca="false">IF(SUMPRODUCT(('Raw data (as reported)'!$A$5:$A$37=$A25)*ISNUMBER('Raw data (as reported)'!N$5:N$37))=COUNTIF('Raw data (as reported)'!$A$5:$A$37,$A25),SUMIFS('Raw data (as reported)'!N$5:N$37,'Raw data (as reported)'!$A$5:$A$37,$A25),"")</f>
        <v>7018</v>
      </c>
      <c r="F25" s="5" t="n">
        <f aca="false">IF(SUMPRODUCT(('Raw data (as reported)'!$A$5:$A$37=$A25)*ISNUMBER('Raw data (as reported)'!O$5:O$37))=COUNTIF('Raw data (as reported)'!$A$5:$A$37,$A25),SUMIFS('Raw data (as reported)'!O$5:O$37,'Raw data (as reported)'!$A$5:$A$37,$A25),"")</f>
        <v>13671</v>
      </c>
      <c r="G25" s="5" t="n">
        <f aca="false">IF(SUMPRODUCT(('Raw data (as reported)'!$A$5:$A$37=$A25)*ISNUMBER('Raw data (as reported)'!P$5:P$37))=COUNTIF('Raw data (as reported)'!$A$5:$A$37,$A25),SUMIFS('Raw data (as reported)'!P$5:P$37,'Raw data (as reported)'!$A$5:$A$37,$A25),"")</f>
        <v>5208</v>
      </c>
      <c r="H25" s="5" t="n">
        <f aca="false">IF(SUMPRODUCT(('Raw data (as reported)'!$A$5:$A$37=$A25)*ISNUMBER('Raw data (as reported)'!Q$5:Q$37))=COUNTIF('Raw data (as reported)'!$A$5:$A$37,$A25),SUMIFS('Raw data (as reported)'!Q$5:Q$37,'Raw data (as reported)'!$A$5:$A$37,$A25),"")</f>
        <v>62</v>
      </c>
      <c r="I25" s="5" t="str">
        <f aca="false">IF(SUMPRODUCT(('Raw data (as reported)'!$A$5:$A$37=$A25)*ISNUMBER('Raw data (as reported)'!R$5:R$37))=COUNTIF('Raw data (as reported)'!$A$5:$A$37,$A25),SUMIFS('Raw data (as reported)'!R$5:R$37,'Raw data (as reported)'!$A$5:$A$37,$A25),"")</f>
        <v/>
      </c>
      <c r="J25" s="5" t="str">
        <f aca="false">IF(SUMPRODUCT(('Raw data (as reported)'!$A$5:$A$37=$A25)*ISNUMBER('Raw data (as reported)'!S$5:S$37))=COUNTIF('Raw data (as reported)'!$A$5:$A$37,$A25),SUMIFS('Raw data (as reported)'!S$5:S$37,'Raw data (as reported)'!$A$5:$A$37,$A25),"")</f>
        <v/>
      </c>
      <c r="K25" s="6" t="n">
        <f aca="false">IF(AND(ISNUMBER(E25),ISNUMBER(F25),ISNUMBER(G25)),E25+F25+G25+IF(ISNUMBER(H25),H25,0),"")</f>
        <v>25959</v>
      </c>
      <c r="L25" s="7" t="n">
        <f aca="false">IF(ISNUMBER(K25),E25/K25,"")</f>
        <v>0.270349397126238</v>
      </c>
      <c r="M25" s="7" t="n">
        <f aca="false">IF(ISNUMBER(K25),F25/K25,"")</f>
        <v>0.526638160175662</v>
      </c>
      <c r="N25" s="7" t="n">
        <f aca="false">IF(ISNUMBER(K25),G25/K25,"")</f>
        <v>0.2006240610193</v>
      </c>
      <c r="O25" s="7" t="n">
        <f aca="false">IF(AND(ISNUMBER(K25),ISNUMBER(H25)),H25/K25,"")</f>
        <v>0.00238838167880119</v>
      </c>
      <c r="P25" s="8" t="n">
        <f aca="false">IF(ISNUMBER(K25),(E25+F25)/K25,IF(AND(ISNUMBER(I25),ISNUMBER(J25)),I25/(I25+J25),""))</f>
        <v>0.796987557301899</v>
      </c>
      <c r="Q25" s="9" t="s">
        <v>55</v>
      </c>
    </row>
    <row r="28" customFormat="false" ht="15" hidden="false" customHeight="false" outlineLevel="0" collapsed="false">
      <c r="A28" s="2" t="s">
        <v>56</v>
      </c>
    </row>
    <row r="29" customFormat="false" ht="15" hidden="false" customHeight="false" outlineLevel="0" collapsed="false">
      <c r="A29" s="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30" hidden="false" customHeight="true" outlineLevel="0" collapsed="false">
      <c r="A4" s="3" t="s">
        <v>2</v>
      </c>
      <c r="B4" s="3" t="s">
        <v>60</v>
      </c>
      <c r="C4" s="3" t="s">
        <v>61</v>
      </c>
      <c r="D4" s="3" t="s">
        <v>62</v>
      </c>
      <c r="E4" s="3" t="s">
        <v>63</v>
      </c>
    </row>
    <row r="5" customFormat="false" ht="22.35" hidden="false" customHeight="false" outlineLevel="0" collapsed="false">
      <c r="A5" s="10" t="s">
        <v>19</v>
      </c>
      <c r="B5" s="10" t="s">
        <v>64</v>
      </c>
      <c r="C5" s="10" t="s">
        <v>65</v>
      </c>
      <c r="D5" s="11" t="s">
        <v>66</v>
      </c>
      <c r="E5" s="12" t="s">
        <v>67</v>
      </c>
    </row>
    <row r="6" customFormat="false" ht="15" hidden="false" customHeight="false" outlineLevel="0" collapsed="false">
      <c r="A6" s="10" t="s">
        <v>68</v>
      </c>
      <c r="B6" s="10" t="s">
        <v>69</v>
      </c>
      <c r="C6" s="10" t="s">
        <v>70</v>
      </c>
      <c r="D6" s="11" t="s">
        <v>71</v>
      </c>
      <c r="E6" s="12" t="s">
        <v>72</v>
      </c>
    </row>
    <row r="7" customFormat="false" ht="15" hidden="false" customHeight="false" outlineLevel="0" collapsed="false">
      <c r="A7" s="10" t="s">
        <v>23</v>
      </c>
      <c r="B7" s="10" t="s">
        <v>64</v>
      </c>
      <c r="C7" s="10" t="s">
        <v>73</v>
      </c>
      <c r="D7" s="11" t="s">
        <v>71</v>
      </c>
      <c r="E7" s="12" t="s">
        <v>74</v>
      </c>
    </row>
    <row r="8" customFormat="false" ht="22.35" hidden="false" customHeight="false" outlineLevel="0" collapsed="false">
      <c r="A8" s="10" t="s">
        <v>75</v>
      </c>
      <c r="B8" s="10" t="s">
        <v>69</v>
      </c>
      <c r="C8" s="10" t="s">
        <v>76</v>
      </c>
      <c r="D8" s="11" t="s">
        <v>77</v>
      </c>
      <c r="E8" s="12" t="s">
        <v>78</v>
      </c>
    </row>
    <row r="9" customFormat="false" ht="15" hidden="false" customHeight="false" outlineLevel="0" collapsed="false">
      <c r="A9" s="10" t="s">
        <v>27</v>
      </c>
      <c r="B9" s="10" t="s">
        <v>79</v>
      </c>
      <c r="C9" s="10" t="s">
        <v>80</v>
      </c>
      <c r="D9" s="11" t="s">
        <v>81</v>
      </c>
      <c r="E9" s="12" t="s">
        <v>82</v>
      </c>
    </row>
    <row r="10" customFormat="false" ht="26.85" hidden="false" customHeight="false" outlineLevel="0" collapsed="false">
      <c r="A10" s="10" t="s">
        <v>83</v>
      </c>
      <c r="B10" s="10" t="s">
        <v>84</v>
      </c>
      <c r="C10" s="10" t="s">
        <v>85</v>
      </c>
      <c r="D10" s="11" t="s">
        <v>66</v>
      </c>
      <c r="E10" s="12" t="s">
        <v>86</v>
      </c>
    </row>
    <row r="11" customFormat="false" ht="26.85" hidden="false" customHeight="false" outlineLevel="0" collapsed="false">
      <c r="A11" s="10" t="s">
        <v>87</v>
      </c>
      <c r="B11" s="10" t="s">
        <v>88</v>
      </c>
      <c r="C11" s="10" t="s">
        <v>89</v>
      </c>
      <c r="D11" s="11" t="s">
        <v>81</v>
      </c>
      <c r="E11" s="12" t="s">
        <v>90</v>
      </c>
    </row>
    <row r="12" customFormat="false" ht="26.85" hidden="false" customHeight="false" outlineLevel="0" collapsed="false">
      <c r="A12" s="10" t="s">
        <v>87</v>
      </c>
      <c r="B12" s="10" t="s">
        <v>79</v>
      </c>
      <c r="C12" s="10" t="s">
        <v>91</v>
      </c>
      <c r="D12" s="11" t="s">
        <v>81</v>
      </c>
      <c r="E12" s="12" t="s">
        <v>92</v>
      </c>
    </row>
    <row r="13" customFormat="false" ht="26.85" hidden="false" customHeight="false" outlineLevel="0" collapsed="false">
      <c r="A13" s="10" t="s">
        <v>87</v>
      </c>
      <c r="B13" s="10" t="s">
        <v>79</v>
      </c>
      <c r="C13" s="10" t="s">
        <v>93</v>
      </c>
      <c r="D13" s="13" t="s">
        <v>94</v>
      </c>
      <c r="E13" s="12" t="s">
        <v>95</v>
      </c>
    </row>
    <row r="14" customFormat="false" ht="15" hidden="false" customHeight="false" outlineLevel="0" collapsed="false">
      <c r="A14" s="10" t="s">
        <v>36</v>
      </c>
      <c r="B14" s="10" t="s">
        <v>84</v>
      </c>
      <c r="C14" s="10" t="s">
        <v>96</v>
      </c>
      <c r="D14" s="11" t="s">
        <v>81</v>
      </c>
      <c r="E14" s="12" t="s">
        <v>97</v>
      </c>
    </row>
    <row r="15" customFormat="false" ht="15" hidden="false" customHeight="false" outlineLevel="0" collapsed="false">
      <c r="A15" s="10" t="s">
        <v>36</v>
      </c>
      <c r="B15" s="10" t="s">
        <v>84</v>
      </c>
      <c r="C15" s="10" t="s">
        <v>98</v>
      </c>
      <c r="D15" s="14" t="s">
        <v>99</v>
      </c>
      <c r="E15" s="12" t="s">
        <v>100</v>
      </c>
    </row>
    <row r="16" customFormat="false" ht="15" hidden="false" customHeight="false" outlineLevel="0" collapsed="false">
      <c r="A16" s="10" t="s">
        <v>39</v>
      </c>
      <c r="B16" s="10" t="s">
        <v>101</v>
      </c>
      <c r="C16" s="10" t="s">
        <v>102</v>
      </c>
      <c r="D16" s="11" t="s">
        <v>103</v>
      </c>
      <c r="E16" s="12" t="s">
        <v>104</v>
      </c>
    </row>
    <row r="17" customFormat="false" ht="15" hidden="false" customHeight="false" outlineLevel="0" collapsed="false">
      <c r="A17" s="10" t="s">
        <v>40</v>
      </c>
      <c r="B17" s="10" t="s">
        <v>101</v>
      </c>
      <c r="C17" s="10" t="s">
        <v>102</v>
      </c>
      <c r="D17" s="11" t="s">
        <v>103</v>
      </c>
      <c r="E17" s="12" t="s">
        <v>105</v>
      </c>
    </row>
    <row r="18" customFormat="false" ht="15" hidden="false" customHeight="false" outlineLevel="0" collapsed="false">
      <c r="A18" s="10" t="s">
        <v>41</v>
      </c>
      <c r="B18" s="10" t="s">
        <v>101</v>
      </c>
      <c r="C18" s="10" t="s">
        <v>102</v>
      </c>
      <c r="D18" s="11" t="s">
        <v>103</v>
      </c>
      <c r="E18" s="12" t="s">
        <v>106</v>
      </c>
    </row>
    <row r="19" customFormat="false" ht="15" hidden="false" customHeight="false" outlineLevel="0" collapsed="false">
      <c r="A19" s="10" t="s">
        <v>107</v>
      </c>
      <c r="B19" s="10" t="s">
        <v>108</v>
      </c>
      <c r="C19" s="10" t="s">
        <v>102</v>
      </c>
      <c r="D19" s="11" t="s">
        <v>66</v>
      </c>
      <c r="E19" s="12" t="s">
        <v>109</v>
      </c>
    </row>
    <row r="20" customFormat="false" ht="22.35" hidden="false" customHeight="false" outlineLevel="0" collapsed="false">
      <c r="A20" s="10" t="s">
        <v>110</v>
      </c>
      <c r="B20" s="10" t="s">
        <v>108</v>
      </c>
      <c r="C20" s="10" t="s">
        <v>102</v>
      </c>
      <c r="D20" s="11" t="s">
        <v>66</v>
      </c>
      <c r="E20" s="12" t="s">
        <v>111</v>
      </c>
    </row>
    <row r="21" customFormat="false" ht="26.85" hidden="false" customHeight="false" outlineLevel="0" collapsed="false">
      <c r="A21" s="10" t="s">
        <v>112</v>
      </c>
      <c r="B21" s="10" t="s">
        <v>108</v>
      </c>
      <c r="C21" s="10" t="s">
        <v>113</v>
      </c>
      <c r="D21" s="14" t="s">
        <v>114</v>
      </c>
      <c r="E21" s="12" t="s">
        <v>115</v>
      </c>
    </row>
    <row r="22" customFormat="false" ht="15" hidden="false" customHeight="false" outlineLevel="0" collapsed="false">
      <c r="A22" s="10" t="s">
        <v>116</v>
      </c>
      <c r="B22" s="10" t="s">
        <v>108</v>
      </c>
      <c r="C22" s="10" t="s">
        <v>113</v>
      </c>
      <c r="D22" s="11" t="s">
        <v>66</v>
      </c>
      <c r="E22" s="12" t="s">
        <v>117</v>
      </c>
    </row>
    <row r="23" customFormat="false" ht="26.85" hidden="false" customHeight="false" outlineLevel="0" collapsed="false">
      <c r="A23" s="10" t="s">
        <v>54</v>
      </c>
      <c r="B23" s="10" t="s">
        <v>108</v>
      </c>
      <c r="C23" s="10" t="s">
        <v>113</v>
      </c>
      <c r="D23" s="11" t="s">
        <v>118</v>
      </c>
      <c r="E23" s="12" t="s">
        <v>119</v>
      </c>
    </row>
    <row r="24" customFormat="false" ht="26.85" hidden="false" customHeight="false" outlineLevel="0" collapsed="false">
      <c r="A24" s="10" t="s">
        <v>120</v>
      </c>
      <c r="B24" s="10" t="s">
        <v>121</v>
      </c>
      <c r="C24" s="10" t="s">
        <v>122</v>
      </c>
      <c r="D24" s="11" t="s">
        <v>123</v>
      </c>
      <c r="E24" s="12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45" hidden="false" customHeight="true" outlineLevel="0" collapsed="false">
      <c r="A4" s="3" t="s">
        <v>2</v>
      </c>
      <c r="B4" s="3" t="s">
        <v>60</v>
      </c>
      <c r="C4" s="3" t="s">
        <v>127</v>
      </c>
      <c r="D4" s="3" t="s">
        <v>128</v>
      </c>
      <c r="E4" s="3" t="s">
        <v>129</v>
      </c>
      <c r="F4" s="3" t="s">
        <v>130</v>
      </c>
      <c r="G4" s="3" t="s">
        <v>131</v>
      </c>
      <c r="H4" s="3" t="s">
        <v>132</v>
      </c>
    </row>
    <row r="5" customFormat="false" ht="15" hidden="false" customHeight="false" outlineLevel="0" collapsed="false">
      <c r="A5" s="15" t="str">
        <f aca="false">'Raw data (as reported)'!A5</f>
        <v>2005</v>
      </c>
      <c r="B5" s="15" t="str">
        <f aca="false">'Raw data (as reported)'!B5</f>
        <v>WM International &amp; Switzerland</v>
      </c>
      <c r="C5" s="15" t="str">
        <f aca="false">'Raw data (as reported)'!C5</f>
        <v>CHF</v>
      </c>
      <c r="D5" s="4" t="s">
        <v>133</v>
      </c>
      <c r="E5" s="16" t="str">
        <f aca="false">IF(AND(ISNUMBER('Raw data (as reported)'!E5),ISNUMBER('Raw data (as reported)'!F5),ISNUMBER('Raw data (as reported)'!G5),ISNUMBER('Raw data (as reported)'!H5)),'Raw data (as reported)'!E5+'Raw data (as reported)'!F5+'Raw data (as reported)'!G5+'Raw data (as reported)'!H5,IF(AND(ISNUMBER('Raw data (as reported)'!I5),ISNUMBER('Raw data (as reported)'!J5)),'Raw data (as reported)'!I5+'Raw data (as reported)'!J5,""))</f>
        <v/>
      </c>
      <c r="F5" s="17" t="n">
        <f aca="false">IF(ISNUMBER('Raw data (as reported)'!K5),'Raw data (as reported)'!K5,"")</f>
        <v>9011</v>
      </c>
      <c r="G5" s="16" t="str">
        <f aca="false">IF(AND(ISNUMBER(E5),ISNUMBER(F5)),F5-E5,"")</f>
        <v/>
      </c>
      <c r="H5" s="9" t="s">
        <v>134</v>
      </c>
    </row>
    <row r="6" customFormat="false" ht="15" hidden="false" customHeight="false" outlineLevel="0" collapsed="false">
      <c r="A6" s="15" t="str">
        <f aca="false">'Raw data (as reported)'!A6</f>
        <v>2005</v>
      </c>
      <c r="B6" s="15" t="str">
        <f aca="false">'Raw data (as reported)'!B6</f>
        <v>Wealth Management US</v>
      </c>
      <c r="C6" s="15" t="str">
        <f aca="false">'Raw data (as reported)'!C6</f>
        <v>CHF</v>
      </c>
      <c r="D6" s="4" t="s">
        <v>133</v>
      </c>
      <c r="E6" s="16" t="n">
        <f aca="false">IF(AND(ISNUMBER('Raw data (as reported)'!E6),ISNUMBER('Raw data (as reported)'!F6),ISNUMBER('Raw data (as reported)'!G6),ISNUMBER('Raw data (as reported)'!H6)),'Raw data (as reported)'!E6+'Raw data (as reported)'!F6+'Raw data (as reported)'!G6+'Raw data (as reported)'!H6,IF(AND(ISNUMBER('Raw data (as reported)'!I6),ISNUMBER('Raw data (as reported)'!J6)),'Raw data (as reported)'!I6+'Raw data (as reported)'!J6,""))</f>
        <v>5156</v>
      </c>
      <c r="F6" s="17" t="n">
        <f aca="false">IF(ISNUMBER('Raw data (as reported)'!K6),'Raw data (as reported)'!K6,"")</f>
        <v>5156</v>
      </c>
      <c r="G6" s="16" t="n">
        <f aca="false">IF(AND(ISNUMBER(E6),ISNUMBER(F6)),F6-E6,"")</f>
        <v>0</v>
      </c>
      <c r="H6" s="9" t="s">
        <v>135</v>
      </c>
    </row>
    <row r="7" customFormat="false" ht="15" hidden="false" customHeight="false" outlineLevel="0" collapsed="false">
      <c r="A7" s="15" t="str">
        <f aca="false">'Raw data (as reported)'!A7</f>
        <v>2006</v>
      </c>
      <c r="B7" s="15" t="str">
        <f aca="false">'Raw data (as reported)'!B7</f>
        <v>WM International &amp; Switzerland</v>
      </c>
      <c r="C7" s="15" t="str">
        <f aca="false">'Raw data (as reported)'!C7</f>
        <v>CHF</v>
      </c>
      <c r="D7" s="4" t="s">
        <v>133</v>
      </c>
      <c r="E7" s="16" t="str">
        <f aca="false">IF(AND(ISNUMBER('Raw data (as reported)'!E7),ISNUMBER('Raw data (as reported)'!F7),ISNUMBER('Raw data (as reported)'!G7),ISNUMBER('Raw data (as reported)'!H7)),'Raw data (as reported)'!E7+'Raw data (as reported)'!F7+'Raw data (as reported)'!G7+'Raw data (as reported)'!H7,IF(AND(ISNUMBER('Raw data (as reported)'!I7),ISNUMBER('Raw data (as reported)'!J7)),'Raw data (as reported)'!I7+'Raw data (as reported)'!J7,""))</f>
        <v/>
      </c>
      <c r="F7" s="17" t="n">
        <f aca="false">IF(ISNUMBER('Raw data (as reported)'!K7),'Raw data (as reported)'!K7,"")</f>
        <v>10798</v>
      </c>
      <c r="G7" s="16" t="str">
        <f aca="false">IF(AND(ISNUMBER(E7),ISNUMBER(F7)),F7-E7,"")</f>
        <v/>
      </c>
      <c r="H7" s="9" t="s">
        <v>134</v>
      </c>
    </row>
    <row r="8" customFormat="false" ht="15" hidden="false" customHeight="false" outlineLevel="0" collapsed="false">
      <c r="A8" s="15" t="str">
        <f aca="false">'Raw data (as reported)'!A8</f>
        <v>2006</v>
      </c>
      <c r="B8" s="15" t="str">
        <f aca="false">'Raw data (as reported)'!B8</f>
        <v>Wealth Management US</v>
      </c>
      <c r="C8" s="15" t="str">
        <f aca="false">'Raw data (as reported)'!C8</f>
        <v>CHF</v>
      </c>
      <c r="D8" s="4" t="s">
        <v>133</v>
      </c>
      <c r="E8" s="16" t="n">
        <f aca="false">IF(AND(ISNUMBER('Raw data (as reported)'!E8),ISNUMBER('Raw data (as reported)'!F8),ISNUMBER('Raw data (as reported)'!G8),ISNUMBER('Raw data (as reported)'!H8)),'Raw data (as reported)'!E8+'Raw data (as reported)'!F8+'Raw data (as reported)'!G8+'Raw data (as reported)'!H8,IF(AND(ISNUMBER('Raw data (as reported)'!I8),ISNUMBER('Raw data (as reported)'!J8)),'Raw data (as reported)'!I8+'Raw data (as reported)'!J8,""))</f>
        <v>5863</v>
      </c>
      <c r="F8" s="17" t="n">
        <f aca="false">IF(ISNUMBER('Raw data (as reported)'!K8),'Raw data (as reported)'!K8,"")</f>
        <v>5863</v>
      </c>
      <c r="G8" s="16" t="n">
        <f aca="false">IF(AND(ISNUMBER(E8),ISNUMBER(F8)),F8-E8,"")</f>
        <v>0</v>
      </c>
      <c r="H8" s="9" t="s">
        <v>135</v>
      </c>
    </row>
    <row r="9" customFormat="false" ht="15" hidden="false" customHeight="false" outlineLevel="0" collapsed="false">
      <c r="A9" s="15" t="str">
        <f aca="false">'Raw data (as reported)'!A9</f>
        <v>2007</v>
      </c>
      <c r="B9" s="15" t="str">
        <f aca="false">'Raw data (as reported)'!B9</f>
        <v>WM International &amp; Switzerland</v>
      </c>
      <c r="C9" s="15" t="str">
        <f aca="false">'Raw data (as reported)'!C9</f>
        <v>CHF</v>
      </c>
      <c r="D9" s="4" t="s">
        <v>136</v>
      </c>
      <c r="E9" s="16" t="str">
        <f aca="false">IF(AND(ISNUMBER('Raw data (as reported)'!E9),ISNUMBER('Raw data (as reported)'!F9),ISNUMBER('Raw data (as reported)'!G9),ISNUMBER('Raw data (as reported)'!H9)),'Raw data (as reported)'!E9+'Raw data (as reported)'!F9+'Raw data (as reported)'!G9+'Raw data (as reported)'!H9,IF(AND(ISNUMBER('Raw data (as reported)'!I9),ISNUMBER('Raw data (as reported)'!J9)),'Raw data (as reported)'!I9+'Raw data (as reported)'!J9,""))</f>
        <v/>
      </c>
      <c r="F9" s="17" t="str">
        <f aca="false">IF(ISNUMBER('Raw data (as reported)'!K9),'Raw data (as reported)'!K9,"")</f>
        <v/>
      </c>
      <c r="G9" s="16" t="str">
        <f aca="false">IF(AND(ISNUMBER(E9),ISNUMBER(F9)),F9-E9,"")</f>
        <v/>
      </c>
      <c r="H9" s="9" t="s">
        <v>134</v>
      </c>
    </row>
    <row r="10" customFormat="false" ht="15" hidden="false" customHeight="false" outlineLevel="0" collapsed="false">
      <c r="A10" s="15" t="str">
        <f aca="false">'Raw data (as reported)'!A10</f>
        <v>2007</v>
      </c>
      <c r="B10" s="15" t="str">
        <f aca="false">'Raw data (as reported)'!B10</f>
        <v>Wealth Management US</v>
      </c>
      <c r="C10" s="15" t="str">
        <f aca="false">'Raw data (as reported)'!C10</f>
        <v>CHF</v>
      </c>
      <c r="D10" s="4" t="s">
        <v>136</v>
      </c>
      <c r="E10" s="16" t="str">
        <f aca="false">IF(AND(ISNUMBER('Raw data (as reported)'!E10),ISNUMBER('Raw data (as reported)'!F10),ISNUMBER('Raw data (as reported)'!G10),ISNUMBER('Raw data (as reported)'!H10)),'Raw data (as reported)'!E10+'Raw data (as reported)'!F10+'Raw data (as reported)'!G10+'Raw data (as reported)'!H10,IF(AND(ISNUMBER('Raw data (as reported)'!I10),ISNUMBER('Raw data (as reported)'!J10)),'Raw data (as reported)'!I10+'Raw data (as reported)'!J10,""))</f>
        <v/>
      </c>
      <c r="F10" s="17" t="str">
        <f aca="false">IF(ISNUMBER('Raw data (as reported)'!K10),'Raw data (as reported)'!K10,"")</f>
        <v/>
      </c>
      <c r="G10" s="16" t="str">
        <f aca="false">IF(AND(ISNUMBER(E10),ISNUMBER(F10)),F10-E10,"")</f>
        <v/>
      </c>
      <c r="H10" s="9" t="s">
        <v>135</v>
      </c>
    </row>
    <row r="11" customFormat="false" ht="15" hidden="false" customHeight="false" outlineLevel="0" collapsed="false">
      <c r="A11" s="15" t="str">
        <f aca="false">'Raw data (as reported)'!A11</f>
        <v>2008</v>
      </c>
      <c r="B11" s="15" t="str">
        <f aca="false">'Raw data (as reported)'!B11</f>
        <v>Wealth Management (excl. Swiss retail)</v>
      </c>
      <c r="C11" s="15" t="str">
        <f aca="false">'Raw data (as reported)'!C11</f>
        <v>CHF</v>
      </c>
      <c r="D11" s="4" t="s">
        <v>137</v>
      </c>
      <c r="E11" s="16" t="str">
        <f aca="false">IF(AND(ISNUMBER('Raw data (as reported)'!E11),ISNUMBER('Raw data (as reported)'!F11),ISNUMBER('Raw data (as reported)'!G11),ISNUMBER('Raw data (as reported)'!H11)),'Raw data (as reported)'!E11+'Raw data (as reported)'!F11+'Raw data (as reported)'!G11+'Raw data (as reported)'!H11,IF(AND(ISNUMBER('Raw data (as reported)'!I11),ISNUMBER('Raw data (as reported)'!J11)),'Raw data (as reported)'!I11+'Raw data (as reported)'!J11,""))</f>
        <v/>
      </c>
      <c r="F11" s="17" t="str">
        <f aca="false">IF(ISNUMBER('Raw data (as reported)'!K11),'Raw data (as reported)'!K11,"")</f>
        <v/>
      </c>
      <c r="G11" s="16" t="str">
        <f aca="false">IF(AND(ISNUMBER(E11),ISNUMBER(F11)),F11-E11,"")</f>
        <v/>
      </c>
      <c r="H11" s="9" t="s">
        <v>134</v>
      </c>
    </row>
    <row r="12" customFormat="false" ht="15" hidden="false" customHeight="false" outlineLevel="0" collapsed="false">
      <c r="A12" s="15" t="str">
        <f aca="false">'Raw data (as reported)'!A12</f>
        <v>2008</v>
      </c>
      <c r="B12" s="15" t="str">
        <f aca="false">'Raw data (as reported)'!B12</f>
        <v>Wealth Management Americas</v>
      </c>
      <c r="C12" s="15" t="str">
        <f aca="false">'Raw data (as reported)'!C12</f>
        <v>CHF</v>
      </c>
      <c r="D12" s="4" t="s">
        <v>137</v>
      </c>
      <c r="E12" s="16" t="n">
        <f aca="false">IF(AND(ISNUMBER('Raw data (as reported)'!E12),ISNUMBER('Raw data (as reported)'!F12),ISNUMBER('Raw data (as reported)'!G12),ISNUMBER('Raw data (as reported)'!H12)),'Raw data (as reported)'!E12+'Raw data (as reported)'!F12+'Raw data (as reported)'!G12+'Raw data (as reported)'!H12,IF(AND(ISNUMBER('Raw data (as reported)'!I12),ISNUMBER('Raw data (as reported)'!J12)),'Raw data (as reported)'!I12+'Raw data (as reported)'!J12,""))</f>
        <v>6278</v>
      </c>
      <c r="F12" s="17" t="n">
        <f aca="false">IF(ISNUMBER('Raw data (as reported)'!K12),'Raw data (as reported)'!K12,"")</f>
        <v>6278</v>
      </c>
      <c r="G12" s="16" t="n">
        <f aca="false">IF(AND(ISNUMBER(E12),ISNUMBER(F12)),F12-E12,"")</f>
        <v>0</v>
      </c>
      <c r="H12" s="9" t="s">
        <v>135</v>
      </c>
    </row>
    <row r="13" customFormat="false" ht="15" hidden="false" customHeight="false" outlineLevel="0" collapsed="false">
      <c r="A13" s="15" t="str">
        <f aca="false">'Raw data (as reported)'!A13</f>
        <v>2009</v>
      </c>
      <c r="B13" s="15" t="str">
        <f aca="false">'Raw data (as reported)'!B13</f>
        <v>Wealth Management</v>
      </c>
      <c r="C13" s="15" t="str">
        <f aca="false">'Raw data (as reported)'!C13</f>
        <v>CHF</v>
      </c>
      <c r="D13" s="4" t="s">
        <v>138</v>
      </c>
      <c r="E13" s="16" t="n">
        <f aca="false">IF(AND(ISNUMBER('Raw data (as reported)'!E13),ISNUMBER('Raw data (as reported)'!F13),ISNUMBER('Raw data (as reported)'!G13),ISNUMBER('Raw data (as reported)'!H13)),'Raw data (as reported)'!E13+'Raw data (as reported)'!F13+'Raw data (as reported)'!G13+'Raw data (as reported)'!H13,IF(AND(ISNUMBER('Raw data (as reported)'!I13),ISNUMBER('Raw data (as reported)'!J13)),'Raw data (as reported)'!I13+'Raw data (as reported)'!J13,""))</f>
        <v>7427</v>
      </c>
      <c r="F13" s="17" t="n">
        <f aca="false">IF(ISNUMBER('Raw data (as reported)'!K13),'Raw data (as reported)'!K13,"")</f>
        <v>7427</v>
      </c>
      <c r="G13" s="16" t="n">
        <f aca="false">IF(AND(ISNUMBER(E13),ISNUMBER(F13)),F13-E13,"")</f>
        <v>0</v>
      </c>
      <c r="H13" s="9" t="s">
        <v>139</v>
      </c>
    </row>
    <row r="14" customFormat="false" ht="15" hidden="false" customHeight="false" outlineLevel="0" collapsed="false">
      <c r="A14" s="15" t="str">
        <f aca="false">'Raw data (as reported)'!A14</f>
        <v>2009</v>
      </c>
      <c r="B14" s="15" t="str">
        <f aca="false">'Raw data (as reported)'!B14</f>
        <v>Wealth Management Americas</v>
      </c>
      <c r="C14" s="15" t="str">
        <f aca="false">'Raw data (as reported)'!C14</f>
        <v>CHF</v>
      </c>
      <c r="D14" s="4" t="s">
        <v>138</v>
      </c>
      <c r="E14" s="16" t="n">
        <f aca="false">IF(AND(ISNUMBER('Raw data (as reported)'!E14),ISNUMBER('Raw data (as reported)'!F14),ISNUMBER('Raw data (as reported)'!G14),ISNUMBER('Raw data (as reported)'!H14)),'Raw data (as reported)'!E14+'Raw data (as reported)'!F14+'Raw data (as reported)'!G14+'Raw data (as reported)'!H14,IF(AND(ISNUMBER('Raw data (as reported)'!I14),ISNUMBER('Raw data (as reported)'!J14)),'Raw data (as reported)'!I14+'Raw data (as reported)'!J14,""))</f>
        <v>5546</v>
      </c>
      <c r="F14" s="17" t="n">
        <f aca="false">IF(ISNUMBER('Raw data (as reported)'!K14),'Raw data (as reported)'!K14,"")</f>
        <v>5546</v>
      </c>
      <c r="G14" s="16" t="n">
        <f aca="false">IF(AND(ISNUMBER(E14),ISNUMBER(F14)),F14-E14,"")</f>
        <v>0</v>
      </c>
      <c r="H14" s="9" t="s">
        <v>139</v>
      </c>
    </row>
    <row r="15" customFormat="false" ht="15" hidden="false" customHeight="false" outlineLevel="0" collapsed="false">
      <c r="A15" s="15" t="str">
        <f aca="false">'Raw data (as reported)'!A15</f>
        <v>2010</v>
      </c>
      <c r="B15" s="15" t="str">
        <f aca="false">'Raw data (as reported)'!B15</f>
        <v>Wealth Management</v>
      </c>
      <c r="C15" s="15" t="str">
        <f aca="false">'Raw data (as reported)'!C15</f>
        <v>CHF</v>
      </c>
      <c r="D15" s="4" t="s">
        <v>138</v>
      </c>
      <c r="E15" s="16" t="n">
        <f aca="false">IF(AND(ISNUMBER('Raw data (as reported)'!E15),ISNUMBER('Raw data (as reported)'!F15),ISNUMBER('Raw data (as reported)'!G15),ISNUMBER('Raw data (as reported)'!H15)),'Raw data (as reported)'!E15+'Raw data (as reported)'!F15+'Raw data (as reported)'!G15+'Raw data (as reported)'!H15,IF(AND(ISNUMBER('Raw data (as reported)'!I15),ISNUMBER('Raw data (as reported)'!J15)),'Raw data (as reported)'!I15+'Raw data (as reported)'!J15,""))</f>
        <v>7345</v>
      </c>
      <c r="F15" s="17" t="n">
        <f aca="false">IF(ISNUMBER('Raw data (as reported)'!K15),'Raw data (as reported)'!K15,"")</f>
        <v>7345</v>
      </c>
      <c r="G15" s="16" t="n">
        <f aca="false">IF(AND(ISNUMBER(E15),ISNUMBER(F15)),F15-E15,"")</f>
        <v>0</v>
      </c>
      <c r="H15" s="9" t="s">
        <v>139</v>
      </c>
    </row>
    <row r="16" customFormat="false" ht="15" hidden="false" customHeight="false" outlineLevel="0" collapsed="false">
      <c r="A16" s="15" t="str">
        <f aca="false">'Raw data (as reported)'!A16</f>
        <v>2010</v>
      </c>
      <c r="B16" s="15" t="str">
        <f aca="false">'Raw data (as reported)'!B16</f>
        <v>Wealth Management Americas</v>
      </c>
      <c r="C16" s="15" t="str">
        <f aca="false">'Raw data (as reported)'!C16</f>
        <v>CHF</v>
      </c>
      <c r="D16" s="4" t="s">
        <v>138</v>
      </c>
      <c r="E16" s="16" t="n">
        <f aca="false">IF(AND(ISNUMBER('Raw data (as reported)'!E16),ISNUMBER('Raw data (as reported)'!F16),ISNUMBER('Raw data (as reported)'!G16),ISNUMBER('Raw data (as reported)'!H16)),'Raw data (as reported)'!E16+'Raw data (as reported)'!F16+'Raw data (as reported)'!G16+'Raw data (as reported)'!H16,IF(AND(ISNUMBER('Raw data (as reported)'!I16),ISNUMBER('Raw data (as reported)'!J16)),'Raw data (as reported)'!I16+'Raw data (as reported)'!J16,""))</f>
        <v>5565</v>
      </c>
      <c r="F16" s="17" t="n">
        <f aca="false">IF(ISNUMBER('Raw data (as reported)'!K16),'Raw data (as reported)'!K16,"")</f>
        <v>5565</v>
      </c>
      <c r="G16" s="16" t="n">
        <f aca="false">IF(AND(ISNUMBER(E16),ISNUMBER(F16)),F16-E16,"")</f>
        <v>0</v>
      </c>
      <c r="H16" s="9" t="s">
        <v>139</v>
      </c>
    </row>
    <row r="17" customFormat="false" ht="15" hidden="false" customHeight="false" outlineLevel="0" collapsed="false">
      <c r="A17" s="15" t="str">
        <f aca="false">'Raw data (as reported)'!A17</f>
        <v>2011</v>
      </c>
      <c r="B17" s="15" t="str">
        <f aca="false">'Raw data (as reported)'!B17</f>
        <v>Wealth Management</v>
      </c>
      <c r="C17" s="15" t="str">
        <f aca="false">'Raw data (as reported)'!C17</f>
        <v>CHF</v>
      </c>
      <c r="D17" s="4" t="s">
        <v>140</v>
      </c>
      <c r="E17" s="16" t="str">
        <f aca="false">IF(AND(ISNUMBER('Raw data (as reported)'!E17),ISNUMBER('Raw data (as reported)'!F17),ISNUMBER('Raw data (as reported)'!G17),ISNUMBER('Raw data (as reported)'!H17)),'Raw data (as reported)'!E17+'Raw data (as reported)'!F17+'Raw data (as reported)'!G17+'Raw data (as reported)'!H17,IF(AND(ISNUMBER('Raw data (as reported)'!I17),ISNUMBER('Raw data (as reported)'!J17)),'Raw data (as reported)'!I17+'Raw data (as reported)'!J17,""))</f>
        <v/>
      </c>
      <c r="F17" s="17" t="n">
        <f aca="false">IF(ISNUMBER('Raw data (as reported)'!K17),'Raw data (as reported)'!K17,"")</f>
        <v>7634</v>
      </c>
      <c r="G17" s="16" t="str">
        <f aca="false">IF(AND(ISNUMBER(E17),ISNUMBER(F17)),F17-E17,"")</f>
        <v/>
      </c>
      <c r="H17" s="9" t="s">
        <v>141</v>
      </c>
    </row>
    <row r="18" customFormat="false" ht="15" hidden="false" customHeight="false" outlineLevel="0" collapsed="false">
      <c r="A18" s="15" t="str">
        <f aca="false">'Raw data (as reported)'!A18</f>
        <v>2011</v>
      </c>
      <c r="B18" s="15" t="str">
        <f aca="false">'Raw data (as reported)'!B18</f>
        <v>Wealth Management Americas</v>
      </c>
      <c r="C18" s="15" t="str">
        <f aca="false">'Raw data (as reported)'!C18</f>
        <v>USD</v>
      </c>
      <c r="D18" s="4" t="s">
        <v>140</v>
      </c>
      <c r="E18" s="16" t="str">
        <f aca="false">IF(AND(ISNUMBER('Raw data (as reported)'!E18),ISNUMBER('Raw data (as reported)'!F18),ISNUMBER('Raw data (as reported)'!G18),ISNUMBER('Raw data (as reported)'!H18)),'Raw data (as reported)'!E18+'Raw data (as reported)'!F18+'Raw data (as reported)'!G18+'Raw data (as reported)'!H18,IF(AND(ISNUMBER('Raw data (as reported)'!I18),ISNUMBER('Raw data (as reported)'!J18)),'Raw data (as reported)'!I18+'Raw data (as reported)'!J18,""))</f>
        <v/>
      </c>
      <c r="F18" s="17" t="n">
        <f aca="false">IF(ISNUMBER('Raw data (as reported)'!K18),'Raw data (as reported)'!K18,"")</f>
        <v>6017</v>
      </c>
      <c r="G18" s="16" t="str">
        <f aca="false">IF(AND(ISNUMBER(E18),ISNUMBER(F18)),F18-E18,"")</f>
        <v/>
      </c>
      <c r="H18" s="9" t="s">
        <v>141</v>
      </c>
    </row>
    <row r="19" customFormat="false" ht="15" hidden="false" customHeight="false" outlineLevel="0" collapsed="false">
      <c r="A19" s="15" t="str">
        <f aca="false">'Raw data (as reported)'!A19</f>
        <v>2012</v>
      </c>
      <c r="B19" s="15" t="str">
        <f aca="false">'Raw data (as reported)'!B19</f>
        <v>Wealth Management</v>
      </c>
      <c r="C19" s="15" t="str">
        <f aca="false">'Raw data (as reported)'!C19</f>
        <v>CHF</v>
      </c>
      <c r="D19" s="4" t="s">
        <v>140</v>
      </c>
      <c r="E19" s="16" t="str">
        <f aca="false">IF(AND(ISNUMBER('Raw data (as reported)'!E19),ISNUMBER('Raw data (as reported)'!F19),ISNUMBER('Raw data (as reported)'!G19),ISNUMBER('Raw data (as reported)'!H19)),'Raw data (as reported)'!E19+'Raw data (as reported)'!F19+'Raw data (as reported)'!G19+'Raw data (as reported)'!H19,IF(AND(ISNUMBER('Raw data (as reported)'!I19),ISNUMBER('Raw data (as reported)'!J19)),'Raw data (as reported)'!I19+'Raw data (as reported)'!J19,""))</f>
        <v/>
      </c>
      <c r="F19" s="17" t="n">
        <f aca="false">IF(ISNUMBER('Raw data (as reported)'!K19),'Raw data (as reported)'!K19,"")</f>
        <v>7040</v>
      </c>
      <c r="G19" s="16" t="str">
        <f aca="false">IF(AND(ISNUMBER(E19),ISNUMBER(F19)),F19-E19,"")</f>
        <v/>
      </c>
      <c r="H19" s="9" t="s">
        <v>141</v>
      </c>
    </row>
    <row r="20" customFormat="false" ht="15" hidden="false" customHeight="false" outlineLevel="0" collapsed="false">
      <c r="A20" s="15" t="str">
        <f aca="false">'Raw data (as reported)'!A20</f>
        <v>2012</v>
      </c>
      <c r="B20" s="15" t="str">
        <f aca="false">'Raw data (as reported)'!B20</f>
        <v>Wealth Management Americas</v>
      </c>
      <c r="C20" s="15" t="str">
        <f aca="false">'Raw data (as reported)'!C20</f>
        <v>USD</v>
      </c>
      <c r="D20" s="4" t="s">
        <v>140</v>
      </c>
      <c r="E20" s="16" t="str">
        <f aca="false">IF(AND(ISNUMBER('Raw data (as reported)'!E20),ISNUMBER('Raw data (as reported)'!F20),ISNUMBER('Raw data (as reported)'!G20),ISNUMBER('Raw data (as reported)'!H20)),'Raw data (as reported)'!E20+'Raw data (as reported)'!F20+'Raw data (as reported)'!G20+'Raw data (as reported)'!H20,IF(AND(ISNUMBER('Raw data (as reported)'!I20),ISNUMBER('Raw data (as reported)'!J20)),'Raw data (as reported)'!I20+'Raw data (as reported)'!J20,""))</f>
        <v/>
      </c>
      <c r="F20" s="17" t="n">
        <f aca="false">IF(ISNUMBER('Raw data (as reported)'!K20),'Raw data (as reported)'!K20,"")</f>
        <v>6547</v>
      </c>
      <c r="G20" s="16" t="str">
        <f aca="false">IF(AND(ISNUMBER(E20),ISNUMBER(F20)),F20-E20,"")</f>
        <v/>
      </c>
      <c r="H20" s="9" t="s">
        <v>141</v>
      </c>
    </row>
    <row r="21" customFormat="false" ht="15" hidden="false" customHeight="false" outlineLevel="0" collapsed="false">
      <c r="A21" s="15" t="str">
        <f aca="false">'Raw data (as reported)'!A21</f>
        <v>2013</v>
      </c>
      <c r="B21" s="15" t="str">
        <f aca="false">'Raw data (as reported)'!B21</f>
        <v>Wealth Management</v>
      </c>
      <c r="C21" s="15" t="str">
        <f aca="false">'Raw data (as reported)'!C21</f>
        <v>CHF</v>
      </c>
      <c r="D21" s="4" t="s">
        <v>142</v>
      </c>
      <c r="E21" s="16" t="str">
        <f aca="false">IF(AND(ISNUMBER('Raw data (as reported)'!E21),ISNUMBER('Raw data (as reported)'!F21),ISNUMBER('Raw data (as reported)'!G21),ISNUMBER('Raw data (as reported)'!H21)),'Raw data (as reported)'!E21+'Raw data (as reported)'!F21+'Raw data (as reported)'!G21+'Raw data (as reported)'!H21,IF(AND(ISNUMBER('Raw data (as reported)'!I21),ISNUMBER('Raw data (as reported)'!J21)),'Raw data (as reported)'!I21+'Raw data (as reported)'!J21,""))</f>
        <v/>
      </c>
      <c r="F21" s="17" t="n">
        <f aca="false">IF(ISNUMBER('Raw data (as reported)'!K21),'Raw data (as reported)'!K21,"")</f>
        <v>7563</v>
      </c>
      <c r="G21" s="16" t="str">
        <f aca="false">IF(AND(ISNUMBER(E21),ISNUMBER(F21)),F21-E21,"")</f>
        <v/>
      </c>
      <c r="H21" s="9" t="s">
        <v>143</v>
      </c>
    </row>
    <row r="22" customFormat="false" ht="15" hidden="false" customHeight="false" outlineLevel="0" collapsed="false">
      <c r="A22" s="15" t="str">
        <f aca="false">'Raw data (as reported)'!A22</f>
        <v>2013</v>
      </c>
      <c r="B22" s="15" t="str">
        <f aca="false">'Raw data (as reported)'!B22</f>
        <v>Wealth Management Americas</v>
      </c>
      <c r="C22" s="15" t="str">
        <f aca="false">'Raw data (as reported)'!C22</f>
        <v>CHF</v>
      </c>
      <c r="D22" s="4" t="s">
        <v>142</v>
      </c>
      <c r="E22" s="16" t="str">
        <f aca="false">IF(AND(ISNUMBER('Raw data (as reported)'!E22),ISNUMBER('Raw data (as reported)'!F22),ISNUMBER('Raw data (as reported)'!G22),ISNUMBER('Raw data (as reported)'!H22)),'Raw data (as reported)'!E22+'Raw data (as reported)'!F22+'Raw data (as reported)'!G22+'Raw data (as reported)'!H22,IF(AND(ISNUMBER('Raw data (as reported)'!I22),ISNUMBER('Raw data (as reported)'!J22)),'Raw data (as reported)'!I22+'Raw data (as reported)'!J22,""))</f>
        <v/>
      </c>
      <c r="F22" s="17" t="n">
        <f aca="false">IF(ISNUMBER('Raw data (as reported)'!K22),'Raw data (as reported)'!K22,"")</f>
        <v>6538</v>
      </c>
      <c r="G22" s="16" t="str">
        <f aca="false">IF(AND(ISNUMBER(E22),ISNUMBER(F22)),F22-E22,"")</f>
        <v/>
      </c>
      <c r="H22" s="9" t="s">
        <v>143</v>
      </c>
    </row>
    <row r="23" customFormat="false" ht="15" hidden="false" customHeight="false" outlineLevel="0" collapsed="false">
      <c r="A23" s="15" t="str">
        <f aca="false">'Raw data (as reported)'!A23</f>
        <v>2014</v>
      </c>
      <c r="B23" s="15" t="str">
        <f aca="false">'Raw data (as reported)'!B23</f>
        <v>Wealth Management</v>
      </c>
      <c r="C23" s="15" t="str">
        <f aca="false">'Raw data (as reported)'!C23</f>
        <v>CHF</v>
      </c>
      <c r="D23" s="4" t="s">
        <v>144</v>
      </c>
      <c r="E23" s="16" t="n">
        <f aca="false">IF(AND(ISNUMBER('Raw data (as reported)'!E23),ISNUMBER('Raw data (as reported)'!F23),ISNUMBER('Raw data (as reported)'!G23),ISNUMBER('Raw data (as reported)'!H23)),'Raw data (as reported)'!E23+'Raw data (as reported)'!F23+'Raw data (as reported)'!G23+'Raw data (as reported)'!H23,IF(AND(ISNUMBER('Raw data (as reported)'!I23),ISNUMBER('Raw data (as reported)'!J23)),'Raw data (as reported)'!I23+'Raw data (as reported)'!J23,""))</f>
        <v>7901</v>
      </c>
      <c r="F23" s="17" t="n">
        <f aca="false">IF(ISNUMBER('Raw data (as reported)'!K23),'Raw data (as reported)'!K23,"")</f>
        <v>7902</v>
      </c>
      <c r="G23" s="16" t="n">
        <f aca="false">IF(AND(ISNUMBER(E23),ISNUMBER(F23)),F23-E23,"")</f>
        <v>1</v>
      </c>
      <c r="H23" s="9" t="s">
        <v>145</v>
      </c>
    </row>
    <row r="24" customFormat="false" ht="15" hidden="false" customHeight="false" outlineLevel="0" collapsed="false">
      <c r="A24" s="15" t="str">
        <f aca="false">'Raw data (as reported)'!A24</f>
        <v>2014</v>
      </c>
      <c r="B24" s="15" t="str">
        <f aca="false">'Raw data (as reported)'!B24</f>
        <v>Wealth Management Americas</v>
      </c>
      <c r="C24" s="15" t="str">
        <f aca="false">'Raw data (as reported)'!C24</f>
        <v>USD</v>
      </c>
      <c r="D24" s="4" t="s">
        <v>144</v>
      </c>
      <c r="E24" s="16" t="n">
        <f aca="false">IF(AND(ISNUMBER('Raw data (as reported)'!E24),ISNUMBER('Raw data (as reported)'!F24),ISNUMBER('Raw data (as reported)'!G24),ISNUMBER('Raw data (as reported)'!H24)),'Raw data (as reported)'!E24+'Raw data (as reported)'!F24+'Raw data (as reported)'!G24+'Raw data (as reported)'!H24,IF(AND(ISNUMBER('Raw data (as reported)'!I24),ISNUMBER('Raw data (as reported)'!J24)),'Raw data (as reported)'!I24+'Raw data (as reported)'!J24,""))</f>
        <v>7591</v>
      </c>
      <c r="F24" s="17" t="n">
        <f aca="false">IF(ISNUMBER('Raw data (as reported)'!K24),'Raw data (as reported)'!K24,"")</f>
        <v>7590</v>
      </c>
      <c r="G24" s="16" t="n">
        <f aca="false">IF(AND(ISNUMBER(E24),ISNUMBER(F24)),F24-E24,"")</f>
        <v>-1</v>
      </c>
      <c r="H24" s="9" t="s">
        <v>145</v>
      </c>
    </row>
    <row r="25" customFormat="false" ht="15" hidden="false" customHeight="false" outlineLevel="0" collapsed="false">
      <c r="A25" s="15" t="str">
        <f aca="false">'Raw data (as reported)'!A25</f>
        <v>2015</v>
      </c>
      <c r="B25" s="15" t="str">
        <f aca="false">'Raw data (as reported)'!B25</f>
        <v>Wealth Management</v>
      </c>
      <c r="C25" s="15" t="str">
        <f aca="false">'Raw data (as reported)'!C25</f>
        <v>CHF</v>
      </c>
      <c r="D25" s="4" t="s">
        <v>146</v>
      </c>
      <c r="E25" s="16" t="n">
        <f aca="false">IF(AND(ISNUMBER('Raw data (as reported)'!E25),ISNUMBER('Raw data (as reported)'!F25),ISNUMBER('Raw data (as reported)'!G25),ISNUMBER('Raw data (as reported)'!H25)),'Raw data (as reported)'!E25+'Raw data (as reported)'!F25+'Raw data (as reported)'!G25+'Raw data (as reported)'!H25,IF(AND(ISNUMBER('Raw data (as reported)'!I25),ISNUMBER('Raw data (as reported)'!J25)),'Raw data (as reported)'!I25+'Raw data (as reported)'!J25,""))</f>
        <v>8155</v>
      </c>
      <c r="F25" s="17" t="n">
        <f aca="false">IF(ISNUMBER('Raw data (as reported)'!K25),'Raw data (as reported)'!K25,"")</f>
        <v>8155</v>
      </c>
      <c r="G25" s="16" t="n">
        <f aca="false">IF(AND(ISNUMBER(E25),ISNUMBER(F25)),F25-E25,"")</f>
        <v>0</v>
      </c>
      <c r="H25" s="9" t="s">
        <v>145</v>
      </c>
    </row>
    <row r="26" customFormat="false" ht="15" hidden="false" customHeight="false" outlineLevel="0" collapsed="false">
      <c r="A26" s="15" t="str">
        <f aca="false">'Raw data (as reported)'!A26</f>
        <v>2015</v>
      </c>
      <c r="B26" s="15" t="str">
        <f aca="false">'Raw data (as reported)'!B26</f>
        <v>Wealth Management Americas</v>
      </c>
      <c r="C26" s="15" t="str">
        <f aca="false">'Raw data (as reported)'!C26</f>
        <v>USD</v>
      </c>
      <c r="D26" s="4" t="s">
        <v>146</v>
      </c>
      <c r="E26" s="16" t="n">
        <f aca="false">IF(AND(ISNUMBER('Raw data (as reported)'!E26),ISNUMBER('Raw data (as reported)'!F26),ISNUMBER('Raw data (as reported)'!G26),ISNUMBER('Raw data (as reported)'!H26)),'Raw data (as reported)'!E26+'Raw data (as reported)'!F26+'Raw data (as reported)'!G26+'Raw data (as reported)'!H26,IF(AND(ISNUMBER('Raw data (as reported)'!I26),ISNUMBER('Raw data (as reported)'!J26)),'Raw data (as reported)'!I26+'Raw data (as reported)'!J26,""))</f>
        <v>7656</v>
      </c>
      <c r="F26" s="17" t="n">
        <f aca="false">IF(ISNUMBER('Raw data (as reported)'!K26),'Raw data (as reported)'!K26,"")</f>
        <v>7657</v>
      </c>
      <c r="G26" s="16" t="n">
        <f aca="false">IF(AND(ISNUMBER(E26),ISNUMBER(F26)),F26-E26,"")</f>
        <v>1</v>
      </c>
      <c r="H26" s="9" t="s">
        <v>145</v>
      </c>
    </row>
    <row r="27" customFormat="false" ht="15" hidden="false" customHeight="false" outlineLevel="0" collapsed="false">
      <c r="A27" s="15" t="str">
        <f aca="false">'Raw data (as reported)'!A27</f>
        <v>2016</v>
      </c>
      <c r="B27" s="15" t="str">
        <f aca="false">'Raw data (as reported)'!B27</f>
        <v>Wealth Management</v>
      </c>
      <c r="C27" s="15" t="str">
        <f aca="false">'Raw data (as reported)'!C27</f>
        <v>CHF</v>
      </c>
      <c r="D27" s="4" t="s">
        <v>146</v>
      </c>
      <c r="E27" s="16" t="n">
        <f aca="false">IF(AND(ISNUMBER('Raw data (as reported)'!E27),ISNUMBER('Raw data (as reported)'!F27),ISNUMBER('Raw data (as reported)'!G27),ISNUMBER('Raw data (as reported)'!H27)),'Raw data (as reported)'!E27+'Raw data (as reported)'!F27+'Raw data (as reported)'!G27+'Raw data (as reported)'!H27,IF(AND(ISNUMBER('Raw data (as reported)'!I27),ISNUMBER('Raw data (as reported)'!J27)),'Raw data (as reported)'!I27+'Raw data (as reported)'!J27,""))</f>
        <v>7296</v>
      </c>
      <c r="F27" s="17" t="n">
        <f aca="false">IF(ISNUMBER('Raw data (as reported)'!K27),'Raw data (as reported)'!K27,"")</f>
        <v>7296</v>
      </c>
      <c r="G27" s="16" t="n">
        <f aca="false">IF(AND(ISNUMBER(E27),ISNUMBER(F27)),F27-E27,"")</f>
        <v>0</v>
      </c>
      <c r="H27" s="9" t="s">
        <v>145</v>
      </c>
    </row>
    <row r="28" customFormat="false" ht="15" hidden="false" customHeight="false" outlineLevel="0" collapsed="false">
      <c r="A28" s="15" t="str">
        <f aca="false">'Raw data (as reported)'!A28</f>
        <v>2016</v>
      </c>
      <c r="B28" s="15" t="str">
        <f aca="false">'Raw data (as reported)'!B28</f>
        <v>Wealth Management Americas</v>
      </c>
      <c r="C28" s="15" t="str">
        <f aca="false">'Raw data (as reported)'!C28</f>
        <v>USD</v>
      </c>
      <c r="D28" s="4" t="s">
        <v>146</v>
      </c>
      <c r="E28" s="16" t="n">
        <f aca="false">IF(AND(ISNUMBER('Raw data (as reported)'!E28),ISNUMBER('Raw data (as reported)'!F28),ISNUMBER('Raw data (as reported)'!G28),ISNUMBER('Raw data (as reported)'!H28)),'Raw data (as reported)'!E28+'Raw data (as reported)'!F28+'Raw data (as reported)'!G28+'Raw data (as reported)'!H28,IF(AND(ISNUMBER('Raw data (as reported)'!I28),ISNUMBER('Raw data (as reported)'!J28)),'Raw data (as reported)'!I28+'Raw data (as reported)'!J28,""))</f>
        <v>7873</v>
      </c>
      <c r="F28" s="17" t="n">
        <f aca="false">IF(ISNUMBER('Raw data (as reported)'!K28),'Raw data (as reported)'!K28,"")</f>
        <v>7873</v>
      </c>
      <c r="G28" s="16" t="n">
        <f aca="false">IF(AND(ISNUMBER(E28),ISNUMBER(F28)),F28-E28,"")</f>
        <v>0</v>
      </c>
      <c r="H28" s="9" t="s">
        <v>145</v>
      </c>
    </row>
    <row r="29" customFormat="false" ht="15" hidden="false" customHeight="false" outlineLevel="0" collapsed="false">
      <c r="A29" s="15" t="str">
        <f aca="false">'Raw data (as reported)'!A29</f>
        <v>2017</v>
      </c>
      <c r="B29" s="15" t="str">
        <f aca="false">'Raw data (as reported)'!B29</f>
        <v>Global Wealth Management (restated)</v>
      </c>
      <c r="C29" s="15" t="str">
        <f aca="false">'Raw data (as reported)'!C29</f>
        <v>USD</v>
      </c>
      <c r="D29" s="4" t="s">
        <v>147</v>
      </c>
      <c r="E29" s="16" t="n">
        <f aca="false">IF(AND(ISNUMBER('Raw data (as reported)'!E29),ISNUMBER('Raw data (as reported)'!F29),ISNUMBER('Raw data (as reported)'!G29),ISNUMBER('Raw data (as reported)'!H29)),'Raw data (as reported)'!E29+'Raw data (as reported)'!F29+'Raw data (as reported)'!G29+'Raw data (as reported)'!H29,IF(AND(ISNUMBER('Raw data (as reported)'!I29),ISNUMBER('Raw data (as reported)'!J29)),'Raw data (as reported)'!I29+'Raw data (as reported)'!J29,""))</f>
        <v>16295</v>
      </c>
      <c r="F29" s="17" t="n">
        <f aca="false">IF(ISNUMBER('Raw data (as reported)'!K29),'Raw data (as reported)'!K29,"")</f>
        <v>16295</v>
      </c>
      <c r="G29" s="16" t="n">
        <f aca="false">IF(AND(ISNUMBER(E29),ISNUMBER(F29)),F29-E29,"")</f>
        <v>0</v>
      </c>
      <c r="H29" s="9" t="s">
        <v>145</v>
      </c>
    </row>
    <row r="30" customFormat="false" ht="15" hidden="false" customHeight="false" outlineLevel="0" collapsed="false">
      <c r="A30" s="15" t="str">
        <f aca="false">'Raw data (as reported)'!A30</f>
        <v>2018</v>
      </c>
      <c r="B30" s="15" t="str">
        <f aca="false">'Raw data (as reported)'!B30</f>
        <v>Global Wealth Management</v>
      </c>
      <c r="C30" s="15" t="str">
        <f aca="false">'Raw data (as reported)'!C30</f>
        <v>USD</v>
      </c>
      <c r="D30" s="4" t="s">
        <v>147</v>
      </c>
      <c r="E30" s="16" t="n">
        <f aca="false">IF(AND(ISNUMBER('Raw data (as reported)'!E30),ISNUMBER('Raw data (as reported)'!F30),ISNUMBER('Raw data (as reported)'!G30),ISNUMBER('Raw data (as reported)'!H30)),'Raw data (as reported)'!E30+'Raw data (as reported)'!F30+'Raw data (as reported)'!G30+'Raw data (as reported)'!H30,IF(AND(ISNUMBER('Raw data (as reported)'!I30),ISNUMBER('Raw data (as reported)'!J30)),'Raw data (as reported)'!I30+'Raw data (as reported)'!J30,""))</f>
        <v>16957</v>
      </c>
      <c r="F30" s="17" t="n">
        <f aca="false">IF(ISNUMBER('Raw data (as reported)'!K30),'Raw data (as reported)'!K30,"")</f>
        <v>16956</v>
      </c>
      <c r="G30" s="16" t="n">
        <f aca="false">IF(AND(ISNUMBER(E30),ISNUMBER(F30)),F30-E30,"")</f>
        <v>-1</v>
      </c>
      <c r="H30" s="9" t="s">
        <v>145</v>
      </c>
    </row>
    <row r="31" customFormat="false" ht="15" hidden="false" customHeight="false" outlineLevel="0" collapsed="false">
      <c r="A31" s="15" t="str">
        <f aca="false">'Raw data (as reported)'!A31</f>
        <v>2019</v>
      </c>
      <c r="B31" s="15" t="str">
        <f aca="false">'Raw data (as reported)'!B31</f>
        <v>Global Wealth Management</v>
      </c>
      <c r="C31" s="15" t="str">
        <f aca="false">'Raw data (as reported)'!C31</f>
        <v>USD</v>
      </c>
      <c r="D31" s="4" t="s">
        <v>148</v>
      </c>
      <c r="E31" s="16" t="n">
        <f aca="false">IF(AND(ISNUMBER('Raw data (as reported)'!E31),ISNUMBER('Raw data (as reported)'!F31),ISNUMBER('Raw data (as reported)'!G31),ISNUMBER('Raw data (as reported)'!H31)),'Raw data (as reported)'!E31+'Raw data (as reported)'!F31+'Raw data (as reported)'!G31+'Raw data (as reported)'!H31,IF(AND(ISNUMBER('Raw data (as reported)'!I31),ISNUMBER('Raw data (as reported)'!J31)),'Raw data (as reported)'!I31+'Raw data (as reported)'!J31,""))</f>
        <v>16374</v>
      </c>
      <c r="F31" s="17" t="n">
        <f aca="false">IF(ISNUMBER('Raw data (as reported)'!K31),'Raw data (as reported)'!K31,"")</f>
        <v>16373</v>
      </c>
      <c r="G31" s="16" t="n">
        <f aca="false">IF(AND(ISNUMBER(E31),ISNUMBER(F31)),F31-E31,"")</f>
        <v>-1</v>
      </c>
      <c r="H31" s="9" t="s">
        <v>145</v>
      </c>
    </row>
    <row r="32" customFormat="false" ht="15" hidden="false" customHeight="false" outlineLevel="0" collapsed="false">
      <c r="A32" s="15" t="str">
        <f aca="false">'Raw data (as reported)'!A32</f>
        <v>2020</v>
      </c>
      <c r="B32" s="15" t="str">
        <f aca="false">'Raw data (as reported)'!B32</f>
        <v>Global Wealth Management</v>
      </c>
      <c r="C32" s="15" t="str">
        <f aca="false">'Raw data (as reported)'!C32</f>
        <v>USD</v>
      </c>
      <c r="D32" s="4" t="s">
        <v>148</v>
      </c>
      <c r="E32" s="16" t="n">
        <f aca="false">IF(AND(ISNUMBER('Raw data (as reported)'!E32),ISNUMBER('Raw data (as reported)'!F32),ISNUMBER('Raw data (as reported)'!G32),ISNUMBER('Raw data (as reported)'!H32)),'Raw data (as reported)'!E32+'Raw data (as reported)'!F32+'Raw data (as reported)'!G32+'Raw data (as reported)'!H32,IF(AND(ISNUMBER('Raw data (as reported)'!I32),ISNUMBER('Raw data (as reported)'!J32)),'Raw data (as reported)'!I32+'Raw data (as reported)'!J32,""))</f>
        <v>17134</v>
      </c>
      <c r="F32" s="17" t="n">
        <f aca="false">IF(ISNUMBER('Raw data (as reported)'!K32),'Raw data (as reported)'!K32,"")</f>
        <v>17134</v>
      </c>
      <c r="G32" s="16" t="n">
        <f aca="false">IF(AND(ISNUMBER(E32),ISNUMBER(F32)),F32-E32,"")</f>
        <v>0</v>
      </c>
      <c r="H32" s="9" t="s">
        <v>145</v>
      </c>
    </row>
    <row r="33" customFormat="false" ht="15" hidden="false" customHeight="false" outlineLevel="0" collapsed="false">
      <c r="A33" s="15" t="str">
        <f aca="false">'Raw data (as reported)'!A33</f>
        <v>2021</v>
      </c>
      <c r="B33" s="15" t="str">
        <f aca="false">'Raw data (as reported)'!B33</f>
        <v>Global Wealth Management</v>
      </c>
      <c r="C33" s="15" t="str">
        <f aca="false">'Raw data (as reported)'!C33</f>
        <v>USD</v>
      </c>
      <c r="D33" s="4" t="s">
        <v>149</v>
      </c>
      <c r="E33" s="16" t="n">
        <f aca="false">IF(AND(ISNUMBER('Raw data (as reported)'!E33),ISNUMBER('Raw data (as reported)'!F33),ISNUMBER('Raw data (as reported)'!G33),ISNUMBER('Raw data (as reported)'!H33)),'Raw data (as reported)'!E33+'Raw data (as reported)'!F33+'Raw data (as reported)'!G33+'Raw data (as reported)'!H33,IF(AND(ISNUMBER('Raw data (as reported)'!I33),ISNUMBER('Raw data (as reported)'!J33)),'Raw data (as reported)'!I33+'Raw data (as reported)'!J33,""))</f>
        <v>19418</v>
      </c>
      <c r="F33" s="17" t="n">
        <f aca="false">IF(ISNUMBER('Raw data (as reported)'!K33),'Raw data (as reported)'!K33,"")</f>
        <v>19419</v>
      </c>
      <c r="G33" s="16" t="n">
        <f aca="false">IF(AND(ISNUMBER(E33),ISNUMBER(F33)),F33-E33,"")</f>
        <v>1</v>
      </c>
      <c r="H33" s="9" t="s">
        <v>145</v>
      </c>
    </row>
    <row r="34" customFormat="false" ht="15" hidden="false" customHeight="false" outlineLevel="0" collapsed="false">
      <c r="A34" s="15" t="str">
        <f aca="false">'Raw data (as reported)'!A34</f>
        <v>2022</v>
      </c>
      <c r="B34" s="15" t="str">
        <f aca="false">'Raw data (as reported)'!B34</f>
        <v>Global Wealth Management</v>
      </c>
      <c r="C34" s="15" t="str">
        <f aca="false">'Raw data (as reported)'!C34</f>
        <v>USD</v>
      </c>
      <c r="D34" s="4" t="s">
        <v>149</v>
      </c>
      <c r="E34" s="16" t="n">
        <f aca="false">IF(AND(ISNUMBER('Raw data (as reported)'!E34),ISNUMBER('Raw data (as reported)'!F34),ISNUMBER('Raw data (as reported)'!G34),ISNUMBER('Raw data (as reported)'!H34)),'Raw data (as reported)'!E34+'Raw data (as reported)'!F34+'Raw data (as reported)'!G34+'Raw data (as reported)'!H34,IF(AND(ISNUMBER('Raw data (as reported)'!I34),ISNUMBER('Raw data (as reported)'!J34)),'Raw data (as reported)'!I34+'Raw data (as reported)'!J34,""))</f>
        <v>18967</v>
      </c>
      <c r="F34" s="17" t="n">
        <f aca="false">IF(ISNUMBER('Raw data (as reported)'!K34),'Raw data (as reported)'!K34,"")</f>
        <v>18967</v>
      </c>
      <c r="G34" s="16" t="n">
        <f aca="false">IF(AND(ISNUMBER(E34),ISNUMBER(F34)),F34-E34,"")</f>
        <v>0</v>
      </c>
      <c r="H34" s="9" t="s">
        <v>145</v>
      </c>
    </row>
    <row r="35" customFormat="false" ht="15" hidden="false" customHeight="false" outlineLevel="0" collapsed="false">
      <c r="A35" s="15" t="str">
        <f aca="false">'Raw data (as reported)'!A35</f>
        <v>2023</v>
      </c>
      <c r="B35" s="15" t="str">
        <f aca="false">'Raw data (as reported)'!B35</f>
        <v>GWM incl. Credit Suisse (Jun–Dec)</v>
      </c>
      <c r="C35" s="15" t="str">
        <f aca="false">'Raw data (as reported)'!C35</f>
        <v>USD</v>
      </c>
      <c r="D35" s="4" t="s">
        <v>150</v>
      </c>
      <c r="E35" s="16" t="n">
        <f aca="false">IF(AND(ISNUMBER('Raw data (as reported)'!E35),ISNUMBER('Raw data (as reported)'!F35),ISNUMBER('Raw data (as reported)'!G35),ISNUMBER('Raw data (as reported)'!H35)),'Raw data (as reported)'!E35+'Raw data (as reported)'!F35+'Raw data (as reported)'!G35+'Raw data (as reported)'!H35,IF(AND(ISNUMBER('Raw data (as reported)'!I35),ISNUMBER('Raw data (as reported)'!J35)),'Raw data (as reported)'!I35+'Raw data (as reported)'!J35,""))</f>
        <v>21556</v>
      </c>
      <c r="F35" s="17" t="n">
        <f aca="false">IF(ISNUMBER('Raw data (as reported)'!K35),'Raw data (as reported)'!K35,"")</f>
        <v>21556</v>
      </c>
      <c r="G35" s="16" t="n">
        <f aca="false">IF(AND(ISNUMBER(E35),ISNUMBER(F35)),F35-E35,"")</f>
        <v>0</v>
      </c>
      <c r="H35" s="9" t="s">
        <v>151</v>
      </c>
    </row>
    <row r="36" customFormat="false" ht="15" hidden="false" customHeight="false" outlineLevel="0" collapsed="false">
      <c r="A36" s="15" t="str">
        <f aca="false">'Raw data (as reported)'!A36</f>
        <v>2024</v>
      </c>
      <c r="B36" s="15" t="str">
        <f aca="false">'Raw data (as reported)'!B36</f>
        <v>GWM incl. Credit Suisse</v>
      </c>
      <c r="C36" s="15" t="str">
        <f aca="false">'Raw data (as reported)'!C36</f>
        <v>USD</v>
      </c>
      <c r="D36" s="4" t="s">
        <v>150</v>
      </c>
      <c r="E36" s="16" t="n">
        <f aca="false">IF(AND(ISNUMBER('Raw data (as reported)'!E36),ISNUMBER('Raw data (as reported)'!F36),ISNUMBER('Raw data (as reported)'!G36),ISNUMBER('Raw data (as reported)'!H36)),'Raw data (as reported)'!E36+'Raw data (as reported)'!F36+'Raw data (as reported)'!G36+'Raw data (as reported)'!H36,IF(AND(ISNUMBER('Raw data (as reported)'!I36),ISNUMBER('Raw data (as reported)'!J36)),'Raw data (as reported)'!I36+'Raw data (as reported)'!J36,""))</f>
        <v>24517</v>
      </c>
      <c r="F36" s="17" t="n">
        <f aca="false">IF(ISNUMBER('Raw data (as reported)'!K36),'Raw data (as reported)'!K36,"")</f>
        <v>24516</v>
      </c>
      <c r="G36" s="16" t="n">
        <f aca="false">IF(AND(ISNUMBER(E36),ISNUMBER(F36)),F36-E36,"")</f>
        <v>-1</v>
      </c>
      <c r="H36" s="9" t="s">
        <v>151</v>
      </c>
    </row>
    <row r="37" customFormat="false" ht="15" hidden="false" customHeight="false" outlineLevel="0" collapsed="false">
      <c r="A37" s="15" t="str">
        <f aca="false">'Raw data (as reported)'!A37</f>
        <v>2025</v>
      </c>
      <c r="B37" s="15" t="str">
        <f aca="false">'Raw data (as reported)'!B37</f>
        <v>GWM incl. Credit Suisse</v>
      </c>
      <c r="C37" s="15" t="str">
        <f aca="false">'Raw data (as reported)'!C37</f>
        <v>USD</v>
      </c>
      <c r="D37" s="4" t="s">
        <v>152</v>
      </c>
      <c r="E37" s="16" t="n">
        <f aca="false">IF(AND(ISNUMBER('Raw data (as reported)'!E37),ISNUMBER('Raw data (as reported)'!F37),ISNUMBER('Raw data (as reported)'!G37),ISNUMBER('Raw data (as reported)'!H37)),'Raw data (as reported)'!E37+'Raw data (as reported)'!F37+'Raw data (as reported)'!G37+'Raw data (as reported)'!H37,IF(AND(ISNUMBER('Raw data (as reported)'!I37),ISNUMBER('Raw data (as reported)'!J37)),'Raw data (as reported)'!I37+'Raw data (as reported)'!J37,""))</f>
        <v>25959</v>
      </c>
      <c r="F37" s="17" t="n">
        <f aca="false">IF(ISNUMBER('Raw data (as reported)'!K37),'Raw data (as reported)'!K37,"")</f>
        <v>25960</v>
      </c>
      <c r="G37" s="16" t="n">
        <f aca="false">IF(AND(ISNUMBER(E37),ISNUMBER(F37)),F37-E37,"")</f>
        <v>1</v>
      </c>
      <c r="H37" s="9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5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60"/>
    <col collapsed="false" customWidth="true" hidden="false" outlineLevel="0" max="13" min="13" style="0" width="10"/>
    <col collapsed="false" customWidth="true" hidden="false" outlineLevel="0" max="16" min="14" style="0" width="12"/>
    <col collapsed="false" customWidth="true" hidden="false" outlineLevel="0" max="17" min="17" style="0" width="10"/>
    <col collapsed="false" customWidth="true" hidden="false" outlineLevel="0" max="19" min="18" style="0" width="12"/>
    <col collapsed="false" customWidth="true" hidden="false" outlineLevel="0" max="20" min="20" style="0" width="13"/>
    <col collapsed="false" customWidth="true" hidden="false" outlineLevel="0" max="21" min="21" style="0" width="12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60" hidden="false" customHeight="true" outlineLevel="0" collapsed="false">
      <c r="A4" s="3" t="s">
        <v>2</v>
      </c>
      <c r="B4" s="3" t="s">
        <v>60</v>
      </c>
      <c r="C4" s="3" t="s">
        <v>127</v>
      </c>
      <c r="D4" s="3" t="s">
        <v>4</v>
      </c>
      <c r="E4" s="3" t="s">
        <v>6</v>
      </c>
      <c r="F4" s="3" t="s">
        <v>156</v>
      </c>
      <c r="G4" s="3" t="s">
        <v>157</v>
      </c>
      <c r="H4" s="3" t="s">
        <v>158</v>
      </c>
      <c r="I4" s="3" t="s">
        <v>159</v>
      </c>
      <c r="J4" s="3" t="s">
        <v>160</v>
      </c>
      <c r="K4" s="3" t="s">
        <v>161</v>
      </c>
      <c r="L4" s="3" t="s">
        <v>162</v>
      </c>
      <c r="M4" s="3" t="s">
        <v>163</v>
      </c>
      <c r="N4" s="3" t="s">
        <v>164</v>
      </c>
      <c r="O4" s="3" t="s">
        <v>165</v>
      </c>
      <c r="P4" s="3" t="s">
        <v>166</v>
      </c>
      <c r="Q4" s="3" t="s">
        <v>167</v>
      </c>
      <c r="R4" s="3" t="s">
        <v>168</v>
      </c>
      <c r="S4" s="3" t="s">
        <v>169</v>
      </c>
      <c r="T4" s="3" t="s">
        <v>5</v>
      </c>
      <c r="U4" s="3" t="s">
        <v>170</v>
      </c>
    </row>
    <row r="5" customFormat="false" ht="15" hidden="false" customHeight="false" outlineLevel="0" collapsed="false">
      <c r="A5" s="4" t="s">
        <v>19</v>
      </c>
      <c r="B5" s="4" t="s">
        <v>171</v>
      </c>
      <c r="C5" s="4" t="s">
        <v>172</v>
      </c>
      <c r="D5" s="4" t="s">
        <v>173</v>
      </c>
      <c r="E5" s="18"/>
      <c r="F5" s="18"/>
      <c r="G5" s="18"/>
      <c r="H5" s="18"/>
      <c r="I5" s="18"/>
      <c r="J5" s="18"/>
      <c r="K5" s="19" t="n">
        <v>9011</v>
      </c>
      <c r="L5" s="20" t="s">
        <v>174</v>
      </c>
      <c r="M5" s="21" t="n">
        <f aca="false">INDEX(FX!$B$5:$B$25,MATCH($A5,FX!$A$5:$A$25,0))</f>
        <v>1.2459</v>
      </c>
      <c r="N5" s="22" t="str">
        <f aca="false">IF(E5="","",IF($C5="USD",E5,E5/$M5))</f>
        <v/>
      </c>
      <c r="O5" s="22" t="str">
        <f aca="false">IF(F5="","",IF($C5="USD",F5,F5/$M5))</f>
        <v/>
      </c>
      <c r="P5" s="22" t="str">
        <f aca="false">IF(G5="","",IF($C5="USD",G5,G5/$M5))</f>
        <v/>
      </c>
      <c r="Q5" s="22" t="str">
        <f aca="false">IF(H5="","",IF($C5="USD",H5,H5/$M5))</f>
        <v/>
      </c>
      <c r="R5" s="22" t="str">
        <f aca="false">IF(I5="","",IF($C5="USD",I5,I5/$M5))</f>
        <v/>
      </c>
      <c r="S5" s="22" t="str">
        <f aca="false">IF(J5="","",IF($C5="USD",J5,J5/$M5))</f>
        <v/>
      </c>
      <c r="T5" s="22" t="n">
        <f aca="false">IF(K5="","",IF($C5="USD",K5,K5/$M5))</f>
        <v>7232.52267437194</v>
      </c>
      <c r="U5" s="23" t="str">
        <f aca="false">IF(AND(ISNUMBER(N5),ISNUMBER(O5),ISNUMBER(P5)),(N5+O5)/(N5+O5+P5),IF(AND(ISNUMBER(S5),ISNUMBER(T5)),S5/T5,""))</f>
        <v/>
      </c>
    </row>
    <row r="6" customFormat="false" ht="15" hidden="false" customHeight="false" outlineLevel="0" collapsed="false">
      <c r="A6" s="4" t="s">
        <v>19</v>
      </c>
      <c r="B6" s="4" t="s">
        <v>175</v>
      </c>
      <c r="C6" s="4" t="s">
        <v>172</v>
      </c>
      <c r="D6" s="4" t="s">
        <v>173</v>
      </c>
      <c r="E6" s="18"/>
      <c r="F6" s="18"/>
      <c r="G6" s="18"/>
      <c r="H6" s="18"/>
      <c r="I6" s="19" t="n">
        <v>2834</v>
      </c>
      <c r="J6" s="24" t="n">
        <f aca="false">K6-I6</f>
        <v>2322</v>
      </c>
      <c r="K6" s="19" t="n">
        <v>5156</v>
      </c>
      <c r="L6" s="20" t="s">
        <v>176</v>
      </c>
      <c r="M6" s="21" t="n">
        <f aca="false">INDEX(FX!$B$5:$B$25,MATCH($A6,FX!$A$5:$A$25,0))</f>
        <v>1.2459</v>
      </c>
      <c r="N6" s="22" t="str">
        <f aca="false">IF(E6="","",IF($C6="USD",E6,E6/$M6))</f>
        <v/>
      </c>
      <c r="O6" s="22" t="str">
        <f aca="false">IF(F6="","",IF($C6="USD",F6,F6/$M6))</f>
        <v/>
      </c>
      <c r="P6" s="22" t="str">
        <f aca="false">IF(G6="","",IF($C6="USD",G6,G6/$M6))</f>
        <v/>
      </c>
      <c r="Q6" s="22" t="str">
        <f aca="false">IF(H6="","",IF($C6="USD",H6,H6/$M6))</f>
        <v/>
      </c>
      <c r="R6" s="22" t="n">
        <f aca="false">IF(I6="","",IF($C6="USD",I6,I6/$M6))</f>
        <v>2274.66088771169</v>
      </c>
      <c r="S6" s="22" t="n">
        <f aca="false">IF(J6="","",IF($C6="USD",J6,J6/$M6))</f>
        <v>1863.71297856971</v>
      </c>
      <c r="T6" s="22" t="n">
        <f aca="false">IF(K6="","",IF($C6="USD",K6,K6/$M6))</f>
        <v>4138.3738662814</v>
      </c>
      <c r="U6" s="23" t="n">
        <f aca="false">IF(AND(ISNUMBER(N6),ISNUMBER(O6),ISNUMBER(P6)),(N6+O6)/(N6+O6+P6),IF(AND(ISNUMBER(S6),ISNUMBER(T6)),S6/T6,""))</f>
        <v>0.450349107835531</v>
      </c>
    </row>
    <row r="7" customFormat="false" ht="15" hidden="false" customHeight="false" outlineLevel="0" collapsed="false">
      <c r="A7" s="4" t="s">
        <v>23</v>
      </c>
      <c r="B7" s="4" t="s">
        <v>171</v>
      </c>
      <c r="C7" s="4" t="s">
        <v>172</v>
      </c>
      <c r="D7" s="4" t="s">
        <v>173</v>
      </c>
      <c r="E7" s="18"/>
      <c r="F7" s="18"/>
      <c r="G7" s="18"/>
      <c r="H7" s="18"/>
      <c r="I7" s="18"/>
      <c r="J7" s="18"/>
      <c r="K7" s="19" t="n">
        <v>10798</v>
      </c>
      <c r="L7" s="20" t="s">
        <v>177</v>
      </c>
      <c r="M7" s="21" t="n">
        <f aca="false">INDEX(FX!$B$5:$B$25,MATCH($A7,FX!$A$5:$A$25,0))</f>
        <v>1.2532</v>
      </c>
      <c r="N7" s="22" t="str">
        <f aca="false">IF(E7="","",IF($C7="USD",E7,E7/$M7))</f>
        <v/>
      </c>
      <c r="O7" s="22" t="str">
        <f aca="false">IF(F7="","",IF($C7="USD",F7,F7/$M7))</f>
        <v/>
      </c>
      <c r="P7" s="22" t="str">
        <f aca="false">IF(G7="","",IF($C7="USD",G7,G7/$M7))</f>
        <v/>
      </c>
      <c r="Q7" s="22" t="str">
        <f aca="false">IF(H7="","",IF($C7="USD",H7,H7/$M7))</f>
        <v/>
      </c>
      <c r="R7" s="22" t="str">
        <f aca="false">IF(I7="","",IF($C7="USD",I7,I7/$M7))</f>
        <v/>
      </c>
      <c r="S7" s="22" t="str">
        <f aca="false">IF(J7="","",IF($C7="USD",J7,J7/$M7))</f>
        <v/>
      </c>
      <c r="T7" s="22" t="n">
        <f aca="false">IF(K7="","",IF($C7="USD",K7,K7/$M7))</f>
        <v>8616.34216406001</v>
      </c>
      <c r="U7" s="23" t="str">
        <f aca="false">IF(AND(ISNUMBER(N7),ISNUMBER(O7),ISNUMBER(P7)),(N7+O7)/(N7+O7+P7),IF(AND(ISNUMBER(S7),ISNUMBER(T7)),S7/T7,""))</f>
        <v/>
      </c>
    </row>
    <row r="8" customFormat="false" ht="15" hidden="false" customHeight="false" outlineLevel="0" collapsed="false">
      <c r="A8" s="4" t="s">
        <v>23</v>
      </c>
      <c r="B8" s="4" t="s">
        <v>175</v>
      </c>
      <c r="C8" s="4" t="s">
        <v>172</v>
      </c>
      <c r="D8" s="4" t="s">
        <v>173</v>
      </c>
      <c r="E8" s="18"/>
      <c r="F8" s="18"/>
      <c r="G8" s="18"/>
      <c r="H8" s="18"/>
      <c r="I8" s="19" t="n">
        <v>3488</v>
      </c>
      <c r="J8" s="24" t="n">
        <f aca="false">K8-I8</f>
        <v>2375</v>
      </c>
      <c r="K8" s="19" t="n">
        <v>5863</v>
      </c>
      <c r="L8" s="20" t="s">
        <v>176</v>
      </c>
      <c r="M8" s="21" t="n">
        <f aca="false">INDEX(FX!$B$5:$B$25,MATCH($A8,FX!$A$5:$A$25,0))</f>
        <v>1.2532</v>
      </c>
      <c r="N8" s="22" t="str">
        <f aca="false">IF(E8="","",IF($C8="USD",E8,E8/$M8))</f>
        <v/>
      </c>
      <c r="O8" s="22" t="str">
        <f aca="false">IF(F8="","",IF($C8="USD",F8,F8/$M8))</f>
        <v/>
      </c>
      <c r="P8" s="22" t="str">
        <f aca="false">IF(G8="","",IF($C8="USD",G8,G8/$M8))</f>
        <v/>
      </c>
      <c r="Q8" s="22" t="str">
        <f aca="false">IF(H8="","",IF($C8="USD",H8,H8/$M8))</f>
        <v/>
      </c>
      <c r="R8" s="22" t="n">
        <f aca="false">IF(I8="","",IF($C8="USD",I8,I8/$M8))</f>
        <v>2783.27481646984</v>
      </c>
      <c r="S8" s="22" t="n">
        <f aca="false">IF(J8="","",IF($C8="USD",J8,J8/$M8))</f>
        <v>1895.14842004469</v>
      </c>
      <c r="T8" s="22" t="n">
        <f aca="false">IF(K8="","",IF($C8="USD",K8,K8/$M8))</f>
        <v>4678.42323651452</v>
      </c>
      <c r="U8" s="23" t="n">
        <f aca="false">IF(AND(ISNUMBER(N8),ISNUMBER(O8),ISNUMBER(P8)),(N8+O8)/(N8+O8+P8),IF(AND(ISNUMBER(S8),ISNUMBER(T8)),S8/T8,""))</f>
        <v>0.405082722155893</v>
      </c>
    </row>
    <row r="9" customFormat="false" ht="15" hidden="false" customHeight="false" outlineLevel="0" collapsed="false">
      <c r="A9" s="4" t="s">
        <v>25</v>
      </c>
      <c r="B9" s="4" t="s">
        <v>171</v>
      </c>
      <c r="C9" s="4" t="s">
        <v>172</v>
      </c>
      <c r="D9" s="4" t="s">
        <v>173</v>
      </c>
      <c r="E9" s="18"/>
      <c r="F9" s="18"/>
      <c r="G9" s="18"/>
      <c r="H9" s="18"/>
      <c r="I9" s="18"/>
      <c r="J9" s="18"/>
      <c r="K9" s="18"/>
      <c r="L9" s="20" t="s">
        <v>178</v>
      </c>
      <c r="M9" s="21" t="n">
        <f aca="false">INDEX(FX!$B$5:$B$25,MATCH($A9,FX!$A$5:$A$25,0))</f>
        <v>1.1999</v>
      </c>
      <c r="N9" s="22" t="str">
        <f aca="false">IF(E9="","",IF($C9="USD",E9,E9/$M9))</f>
        <v/>
      </c>
      <c r="O9" s="22" t="str">
        <f aca="false">IF(F9="","",IF($C9="USD",F9,F9/$M9))</f>
        <v/>
      </c>
      <c r="P9" s="22" t="str">
        <f aca="false">IF(G9="","",IF($C9="USD",G9,G9/$M9))</f>
        <v/>
      </c>
      <c r="Q9" s="22" t="str">
        <f aca="false">IF(H9="","",IF($C9="USD",H9,H9/$M9))</f>
        <v/>
      </c>
      <c r="R9" s="22" t="str">
        <f aca="false">IF(I9="","",IF($C9="USD",I9,I9/$M9))</f>
        <v/>
      </c>
      <c r="S9" s="22" t="str">
        <f aca="false">IF(J9="","",IF($C9="USD",J9,J9/$M9))</f>
        <v/>
      </c>
      <c r="T9" s="22" t="str">
        <f aca="false">IF(K9="","",IF($C9="USD",K9,K9/$M9))</f>
        <v/>
      </c>
      <c r="U9" s="23" t="str">
        <f aca="false">IF(AND(ISNUMBER(N9),ISNUMBER(O9),ISNUMBER(P9)),(N9+O9)/(N9+O9+P9),IF(AND(ISNUMBER(S9),ISNUMBER(T9)),S9/T9,""))</f>
        <v/>
      </c>
    </row>
    <row r="10" customFormat="false" ht="15" hidden="false" customHeight="false" outlineLevel="0" collapsed="false">
      <c r="A10" s="4" t="s">
        <v>25</v>
      </c>
      <c r="B10" s="4" t="s">
        <v>175</v>
      </c>
      <c r="C10" s="4" t="s">
        <v>172</v>
      </c>
      <c r="D10" s="4" t="s">
        <v>173</v>
      </c>
      <c r="E10" s="18"/>
      <c r="F10" s="18"/>
      <c r="G10" s="18"/>
      <c r="H10" s="18"/>
      <c r="I10" s="19" t="n">
        <v>4173</v>
      </c>
      <c r="J10" s="18"/>
      <c r="K10" s="18"/>
      <c r="L10" s="20" t="s">
        <v>179</v>
      </c>
      <c r="M10" s="21" t="n">
        <f aca="false">INDEX(FX!$B$5:$B$25,MATCH($A10,FX!$A$5:$A$25,0))</f>
        <v>1.1999</v>
      </c>
      <c r="N10" s="22" t="str">
        <f aca="false">IF(E10="","",IF($C10="USD",E10,E10/$M10))</f>
        <v/>
      </c>
      <c r="O10" s="22" t="str">
        <f aca="false">IF(F10="","",IF($C10="USD",F10,F10/$M10))</f>
        <v/>
      </c>
      <c r="P10" s="22" t="str">
        <f aca="false">IF(G10="","",IF($C10="USD",G10,G10/$M10))</f>
        <v/>
      </c>
      <c r="Q10" s="22" t="str">
        <f aca="false">IF(H10="","",IF($C10="USD",H10,H10/$M10))</f>
        <v/>
      </c>
      <c r="R10" s="22" t="n">
        <f aca="false">IF(I10="","",IF($C10="USD",I10,I10/$M10))</f>
        <v>3477.78981581799</v>
      </c>
      <c r="S10" s="22" t="str">
        <f aca="false">IF(J10="","",IF($C10="USD",J10,J10/$M10))</f>
        <v/>
      </c>
      <c r="T10" s="22" t="str">
        <f aca="false">IF(K10="","",IF($C10="USD",K10,K10/$M10))</f>
        <v/>
      </c>
      <c r="U10" s="23" t="str">
        <f aca="false">IF(AND(ISNUMBER(N10),ISNUMBER(O10),ISNUMBER(P10)),(N10+O10)/(N10+O10+P10),IF(AND(ISNUMBER(S10),ISNUMBER(T10)),S10/T10,""))</f>
        <v/>
      </c>
    </row>
    <row r="11" customFormat="false" ht="15" hidden="false" customHeight="false" outlineLevel="0" collapsed="false">
      <c r="A11" s="4" t="s">
        <v>27</v>
      </c>
      <c r="B11" s="4" t="s">
        <v>180</v>
      </c>
      <c r="C11" s="4" t="s">
        <v>172</v>
      </c>
      <c r="D11" s="4" t="s">
        <v>173</v>
      </c>
      <c r="E11" s="18"/>
      <c r="F11" s="18"/>
      <c r="G11" s="18"/>
      <c r="H11" s="18"/>
      <c r="I11" s="18"/>
      <c r="J11" s="18"/>
      <c r="K11" s="18"/>
      <c r="L11" s="20" t="s">
        <v>181</v>
      </c>
      <c r="M11" s="21" t="n">
        <f aca="false">INDEX(FX!$B$5:$B$25,MATCH($A11,FX!$A$5:$A$25,0))</f>
        <v>1.0816</v>
      </c>
      <c r="N11" s="22" t="str">
        <f aca="false">IF(E11="","",IF($C11="USD",E11,E11/$M11))</f>
        <v/>
      </c>
      <c r="O11" s="22" t="str">
        <f aca="false">IF(F11="","",IF($C11="USD",F11,F11/$M11))</f>
        <v/>
      </c>
      <c r="P11" s="22" t="str">
        <f aca="false">IF(G11="","",IF($C11="USD",G11,G11/$M11))</f>
        <v/>
      </c>
      <c r="Q11" s="22" t="str">
        <f aca="false">IF(H11="","",IF($C11="USD",H11,H11/$M11))</f>
        <v/>
      </c>
      <c r="R11" s="22" t="str">
        <f aca="false">IF(I11="","",IF($C11="USD",I11,I11/$M11))</f>
        <v/>
      </c>
      <c r="S11" s="22" t="str">
        <f aca="false">IF(J11="","",IF($C11="USD",J11,J11/$M11))</f>
        <v/>
      </c>
      <c r="T11" s="22" t="str">
        <f aca="false">IF(K11="","",IF($C11="USD",K11,K11/$M11))</f>
        <v/>
      </c>
      <c r="U11" s="23" t="str">
        <f aca="false">IF(AND(ISNUMBER(N11),ISNUMBER(O11),ISNUMBER(P11)),(N11+O11)/(N11+O11+P11),IF(AND(ISNUMBER(S11),ISNUMBER(T11)),S11/T11,""))</f>
        <v/>
      </c>
    </row>
    <row r="12" customFormat="false" ht="15" hidden="false" customHeight="false" outlineLevel="0" collapsed="false">
      <c r="A12" s="4" t="s">
        <v>27</v>
      </c>
      <c r="B12" s="4" t="s">
        <v>182</v>
      </c>
      <c r="C12" s="4" t="s">
        <v>172</v>
      </c>
      <c r="D12" s="4" t="s">
        <v>173</v>
      </c>
      <c r="E12" s="18"/>
      <c r="F12" s="18"/>
      <c r="G12" s="18"/>
      <c r="H12" s="18"/>
      <c r="I12" s="19" t="n">
        <v>4076</v>
      </c>
      <c r="J12" s="24" t="n">
        <f aca="false">K12-I12</f>
        <v>2202</v>
      </c>
      <c r="K12" s="19" t="n">
        <v>6278</v>
      </c>
      <c r="L12" s="20" t="s">
        <v>183</v>
      </c>
      <c r="M12" s="21" t="n">
        <f aca="false">INDEX(FX!$B$5:$B$25,MATCH($A12,FX!$A$5:$A$25,0))</f>
        <v>1.0816</v>
      </c>
      <c r="N12" s="22" t="str">
        <f aca="false">IF(E12="","",IF($C12="USD",E12,E12/$M12))</f>
        <v/>
      </c>
      <c r="O12" s="22" t="str">
        <f aca="false">IF(F12="","",IF($C12="USD",F12,F12/$M12))</f>
        <v/>
      </c>
      <c r="P12" s="22" t="str">
        <f aca="false">IF(G12="","",IF($C12="USD",G12,G12/$M12))</f>
        <v/>
      </c>
      <c r="Q12" s="22" t="str">
        <f aca="false">IF(H12="","",IF($C12="USD",H12,H12/$M12))</f>
        <v/>
      </c>
      <c r="R12" s="22" t="n">
        <f aca="false">IF(I12="","",IF($C12="USD",I12,I12/$M12))</f>
        <v>3768.49112426036</v>
      </c>
      <c r="S12" s="22" t="n">
        <f aca="false">IF(J12="","",IF($C12="USD",J12,J12/$M12))</f>
        <v>2035.87278106509</v>
      </c>
      <c r="T12" s="22" t="n">
        <f aca="false">IF(K12="","",IF($C12="USD",K12,K12/$M12))</f>
        <v>5804.36390532545</v>
      </c>
      <c r="U12" s="23" t="n">
        <f aca="false">IF(AND(ISNUMBER(N12),ISNUMBER(O12),ISNUMBER(P12)),(N12+O12)/(N12+O12+P12),IF(AND(ISNUMBER(S12),ISNUMBER(T12)),S12/T12,""))</f>
        <v>0.350748646065626</v>
      </c>
    </row>
    <row r="13" customFormat="false" ht="15" hidden="false" customHeight="false" outlineLevel="0" collapsed="false">
      <c r="A13" s="4" t="s">
        <v>30</v>
      </c>
      <c r="B13" s="4" t="s">
        <v>184</v>
      </c>
      <c r="C13" s="4" t="s">
        <v>172</v>
      </c>
      <c r="D13" s="4" t="s">
        <v>173</v>
      </c>
      <c r="E13" s="18"/>
      <c r="F13" s="18"/>
      <c r="G13" s="18"/>
      <c r="H13" s="18"/>
      <c r="I13" s="19" t="n">
        <v>5696</v>
      </c>
      <c r="J13" s="19" t="n">
        <v>1731</v>
      </c>
      <c r="K13" s="24" t="n">
        <f aca="false">I13+J13</f>
        <v>7427</v>
      </c>
      <c r="L13" s="20" t="s">
        <v>185</v>
      </c>
      <c r="M13" s="21" t="n">
        <f aca="false">INDEX(FX!$B$5:$B$25,MATCH($A13,FX!$A$5:$A$25,0))</f>
        <v>1.086</v>
      </c>
      <c r="N13" s="22" t="str">
        <f aca="false">IF(E13="","",IF($C13="USD",E13,E13/$M13))</f>
        <v/>
      </c>
      <c r="O13" s="22" t="str">
        <f aca="false">IF(F13="","",IF($C13="USD",F13,F13/$M13))</f>
        <v/>
      </c>
      <c r="P13" s="22" t="str">
        <f aca="false">IF(G13="","",IF($C13="USD",G13,G13/$M13))</f>
        <v/>
      </c>
      <c r="Q13" s="22" t="str">
        <f aca="false">IF(H13="","",IF($C13="USD",H13,H13/$M13))</f>
        <v/>
      </c>
      <c r="R13" s="22" t="n">
        <f aca="false">IF(I13="","",IF($C13="USD",I13,I13/$M13))</f>
        <v>5244.93554327808</v>
      </c>
      <c r="S13" s="22" t="n">
        <f aca="false">IF(J13="","",IF($C13="USD",J13,J13/$M13))</f>
        <v>1593.9226519337</v>
      </c>
      <c r="T13" s="22" t="n">
        <f aca="false">IF(K13="","",IF($C13="USD",K13,K13/$M13))</f>
        <v>6838.85819521179</v>
      </c>
      <c r="U13" s="23" t="n">
        <f aca="false">IF(AND(ISNUMBER(N13),ISNUMBER(O13),ISNUMBER(P13)),(N13+O13)/(N13+O13+P13),IF(AND(ISNUMBER(S13),ISNUMBER(T13)),S13/T13,""))</f>
        <v>0.233068533728289</v>
      </c>
    </row>
    <row r="14" customFormat="false" ht="15" hidden="false" customHeight="false" outlineLevel="0" collapsed="false">
      <c r="A14" s="4" t="s">
        <v>30</v>
      </c>
      <c r="B14" s="4" t="s">
        <v>182</v>
      </c>
      <c r="C14" s="4" t="s">
        <v>172</v>
      </c>
      <c r="D14" s="4" t="s">
        <v>173</v>
      </c>
      <c r="E14" s="18"/>
      <c r="F14" s="18"/>
      <c r="G14" s="18"/>
      <c r="H14" s="18"/>
      <c r="I14" s="19" t="n">
        <v>3256</v>
      </c>
      <c r="J14" s="19" t="n">
        <v>2290</v>
      </c>
      <c r="K14" s="24" t="n">
        <f aca="false">I14+J14</f>
        <v>5546</v>
      </c>
      <c r="L14" s="20" t="s">
        <v>185</v>
      </c>
      <c r="M14" s="21" t="n">
        <f aca="false">INDEX(FX!$B$5:$B$25,MATCH($A14,FX!$A$5:$A$25,0))</f>
        <v>1.086</v>
      </c>
      <c r="N14" s="22" t="str">
        <f aca="false">IF(E14="","",IF($C14="USD",E14,E14/$M14))</f>
        <v/>
      </c>
      <c r="O14" s="22" t="str">
        <f aca="false">IF(F14="","",IF($C14="USD",F14,F14/$M14))</f>
        <v/>
      </c>
      <c r="P14" s="22" t="str">
        <f aca="false">IF(G14="","",IF($C14="USD",G14,G14/$M14))</f>
        <v/>
      </c>
      <c r="Q14" s="22" t="str">
        <f aca="false">IF(H14="","",IF($C14="USD",H14,H14/$M14))</f>
        <v/>
      </c>
      <c r="R14" s="22" t="n">
        <f aca="false">IF(I14="","",IF($C14="USD",I14,I14/$M14))</f>
        <v>2998.15837937385</v>
      </c>
      <c r="S14" s="22" t="n">
        <f aca="false">IF(J14="","",IF($C14="USD",J14,J14/$M14))</f>
        <v>2108.65561694291</v>
      </c>
      <c r="T14" s="22" t="n">
        <f aca="false">IF(K14="","",IF($C14="USD",K14,K14/$M14))</f>
        <v>5106.81399631676</v>
      </c>
      <c r="U14" s="23" t="n">
        <f aca="false">IF(AND(ISNUMBER(N14),ISNUMBER(O14),ISNUMBER(P14)),(N14+O14)/(N14+O14+P14),IF(AND(ISNUMBER(S14),ISNUMBER(T14)),S14/T14,""))</f>
        <v>0.412910205553552</v>
      </c>
    </row>
    <row r="15" customFormat="false" ht="15" hidden="false" customHeight="false" outlineLevel="0" collapsed="false">
      <c r="A15" s="4" t="s">
        <v>31</v>
      </c>
      <c r="B15" s="4" t="s">
        <v>184</v>
      </c>
      <c r="C15" s="4" t="s">
        <v>172</v>
      </c>
      <c r="D15" s="4" t="s">
        <v>173</v>
      </c>
      <c r="E15" s="18"/>
      <c r="F15" s="18"/>
      <c r="G15" s="18"/>
      <c r="H15" s="18"/>
      <c r="I15" s="19" t="n">
        <v>5411</v>
      </c>
      <c r="J15" s="19" t="n">
        <v>1934</v>
      </c>
      <c r="K15" s="24" t="n">
        <f aca="false">I15+J15</f>
        <v>7345</v>
      </c>
      <c r="L15" s="20" t="s">
        <v>185</v>
      </c>
      <c r="M15" s="21" t="n">
        <f aca="false">INDEX(FX!$B$5:$B$25,MATCH($A15,FX!$A$5:$A$25,0))</f>
        <v>1.0432</v>
      </c>
      <c r="N15" s="22" t="str">
        <f aca="false">IF(E15="","",IF($C15="USD",E15,E15/$M15))</f>
        <v/>
      </c>
      <c r="O15" s="22" t="str">
        <f aca="false">IF(F15="","",IF($C15="USD",F15,F15/$M15))</f>
        <v/>
      </c>
      <c r="P15" s="22" t="str">
        <f aca="false">IF(G15="","",IF($C15="USD",G15,G15/$M15))</f>
        <v/>
      </c>
      <c r="Q15" s="22" t="str">
        <f aca="false">IF(H15="","",IF($C15="USD",H15,H15/$M15))</f>
        <v/>
      </c>
      <c r="R15" s="22" t="n">
        <f aca="false">IF(I15="","",IF($C15="USD",I15,I15/$M15))</f>
        <v>5186.92484662577</v>
      </c>
      <c r="S15" s="22" t="n">
        <f aca="false">IF(J15="","",IF($C15="USD",J15,J15/$M15))</f>
        <v>1853.91104294479</v>
      </c>
      <c r="T15" s="22" t="n">
        <f aca="false">IF(K15="","",IF($C15="USD",K15,K15/$M15))</f>
        <v>7040.83588957055</v>
      </c>
      <c r="U15" s="23" t="n">
        <f aca="false">IF(AND(ISNUMBER(N15),ISNUMBER(O15),ISNUMBER(P15)),(N15+O15)/(N15+O15+P15),IF(AND(ISNUMBER(S15),ISNUMBER(T15)),S15/T15,""))</f>
        <v>0.263308373042886</v>
      </c>
    </row>
    <row r="16" customFormat="false" ht="15" hidden="false" customHeight="false" outlineLevel="0" collapsed="false">
      <c r="A16" s="4" t="s">
        <v>31</v>
      </c>
      <c r="B16" s="4" t="s">
        <v>182</v>
      </c>
      <c r="C16" s="4" t="s">
        <v>172</v>
      </c>
      <c r="D16" s="4" t="s">
        <v>173</v>
      </c>
      <c r="E16" s="18"/>
      <c r="F16" s="18"/>
      <c r="G16" s="18"/>
      <c r="H16" s="18"/>
      <c r="I16" s="19" t="n">
        <v>3472</v>
      </c>
      <c r="J16" s="19" t="n">
        <v>2093</v>
      </c>
      <c r="K16" s="24" t="n">
        <f aca="false">I16+J16</f>
        <v>5565</v>
      </c>
      <c r="L16" s="20" t="s">
        <v>185</v>
      </c>
      <c r="M16" s="21" t="n">
        <f aca="false">INDEX(FX!$B$5:$B$25,MATCH($A16,FX!$A$5:$A$25,0))</f>
        <v>1.0432</v>
      </c>
      <c r="N16" s="22" t="str">
        <f aca="false">IF(E16="","",IF($C16="USD",E16,E16/$M16))</f>
        <v/>
      </c>
      <c r="O16" s="22" t="str">
        <f aca="false">IF(F16="","",IF($C16="USD",F16,F16/$M16))</f>
        <v/>
      </c>
      <c r="P16" s="22" t="str">
        <f aca="false">IF(G16="","",IF($C16="USD",G16,G16/$M16))</f>
        <v/>
      </c>
      <c r="Q16" s="22" t="str">
        <f aca="false">IF(H16="","",IF($C16="USD",H16,H16/$M16))</f>
        <v/>
      </c>
      <c r="R16" s="22" t="n">
        <f aca="false">IF(I16="","",IF($C16="USD",I16,I16/$M16))</f>
        <v>3328.22085889571</v>
      </c>
      <c r="S16" s="22" t="n">
        <f aca="false">IF(J16="","",IF($C16="USD",J16,J16/$M16))</f>
        <v>2006.32668711656</v>
      </c>
      <c r="T16" s="22" t="n">
        <f aca="false">IF(K16="","",IF($C16="USD",K16,K16/$M16))</f>
        <v>5334.54754601227</v>
      </c>
      <c r="U16" s="23" t="n">
        <f aca="false">IF(AND(ISNUMBER(N16),ISNUMBER(O16),ISNUMBER(P16)),(N16+O16)/(N16+O16+P16),IF(AND(ISNUMBER(S16),ISNUMBER(T16)),S16/T16,""))</f>
        <v>0.376100628930818</v>
      </c>
    </row>
    <row r="17" customFormat="false" ht="15" hidden="false" customHeight="false" outlineLevel="0" collapsed="false">
      <c r="A17" s="4" t="s">
        <v>32</v>
      </c>
      <c r="B17" s="4" t="s">
        <v>184</v>
      </c>
      <c r="C17" s="4" t="s">
        <v>172</v>
      </c>
      <c r="D17" s="4" t="s">
        <v>33</v>
      </c>
      <c r="E17" s="19" t="n">
        <v>1968</v>
      </c>
      <c r="F17" s="18"/>
      <c r="G17" s="18"/>
      <c r="H17" s="19" t="n">
        <v>425</v>
      </c>
      <c r="I17" s="18"/>
      <c r="J17" s="18"/>
      <c r="K17" s="19" t="n">
        <v>7634</v>
      </c>
      <c r="L17" s="20" t="s">
        <v>186</v>
      </c>
      <c r="M17" s="21" t="n">
        <f aca="false">INDEX(FX!$B$5:$B$25,MATCH($A17,FX!$A$5:$A$25,0))</f>
        <v>0.8862</v>
      </c>
      <c r="N17" s="22" t="n">
        <f aca="false">IF(E17="","",IF($C17="USD",E17,E17/$M17))</f>
        <v>2220.71767095464</v>
      </c>
      <c r="O17" s="22" t="str">
        <f aca="false">IF(F17="","",IF($C17="USD",F17,F17/$M17))</f>
        <v/>
      </c>
      <c r="P17" s="22" t="str">
        <f aca="false">IF(G17="","",IF($C17="USD",G17,G17/$M17))</f>
        <v/>
      </c>
      <c r="Q17" s="22" t="n">
        <f aca="false">IF(H17="","",IF($C17="USD",H17,H17/$M17))</f>
        <v>479.575716542541</v>
      </c>
      <c r="R17" s="22" t="str">
        <f aca="false">IF(I17="","",IF($C17="USD",I17,I17/$M17))</f>
        <v/>
      </c>
      <c r="S17" s="22" t="str">
        <f aca="false">IF(J17="","",IF($C17="USD",J17,J17/$M17))</f>
        <v/>
      </c>
      <c r="T17" s="22" t="n">
        <f aca="false">IF(K17="","",IF($C17="USD",K17,K17/$M17))</f>
        <v>8614.30828255473</v>
      </c>
      <c r="U17" s="23" t="str">
        <f aca="false">IF(AND(ISNUMBER(N17),ISNUMBER(O17),ISNUMBER(P17)),(N17+O17)/(N17+O17+P17),IF(AND(ISNUMBER(S17),ISNUMBER(T17)),S17/T17,""))</f>
        <v/>
      </c>
    </row>
    <row r="18" customFormat="false" ht="15" hidden="false" customHeight="false" outlineLevel="0" collapsed="false">
      <c r="A18" s="4" t="s">
        <v>32</v>
      </c>
      <c r="B18" s="4" t="s">
        <v>182</v>
      </c>
      <c r="C18" s="4" t="s">
        <v>187</v>
      </c>
      <c r="D18" s="4" t="s">
        <v>33</v>
      </c>
      <c r="E18" s="19" t="n">
        <v>828</v>
      </c>
      <c r="F18" s="18"/>
      <c r="G18" s="18"/>
      <c r="H18" s="19" t="n">
        <v>121</v>
      </c>
      <c r="I18" s="18"/>
      <c r="J18" s="18"/>
      <c r="K18" s="19" t="n">
        <v>6017</v>
      </c>
      <c r="L18" s="20" t="s">
        <v>188</v>
      </c>
      <c r="M18" s="21" t="n">
        <f aca="false">INDEX(FX!$B$5:$B$25,MATCH($A18,FX!$A$5:$A$25,0))</f>
        <v>0.8862</v>
      </c>
      <c r="N18" s="22" t="n">
        <f aca="false">IF(E18="","",IF($C18="USD",E18,E18/$M18))</f>
        <v>828</v>
      </c>
      <c r="O18" s="22" t="str">
        <f aca="false">IF(F18="","",IF($C18="USD",F18,F18/$M18))</f>
        <v/>
      </c>
      <c r="P18" s="22" t="str">
        <f aca="false">IF(G18="","",IF($C18="USD",G18,G18/$M18))</f>
        <v/>
      </c>
      <c r="Q18" s="22" t="n">
        <f aca="false">IF(H18="","",IF($C18="USD",H18,H18/$M18))</f>
        <v>121</v>
      </c>
      <c r="R18" s="22" t="str">
        <f aca="false">IF(I18="","",IF($C18="USD",I18,I18/$M18))</f>
        <v/>
      </c>
      <c r="S18" s="22" t="str">
        <f aca="false">IF(J18="","",IF($C18="USD",J18,J18/$M18))</f>
        <v/>
      </c>
      <c r="T18" s="22" t="n">
        <f aca="false">IF(K18="","",IF($C18="USD",K18,K18/$M18))</f>
        <v>6017</v>
      </c>
      <c r="U18" s="23" t="str">
        <f aca="false">IF(AND(ISNUMBER(N18),ISNUMBER(O18),ISNUMBER(P18)),(N18+O18)/(N18+O18+P18),IF(AND(ISNUMBER(S18),ISNUMBER(T18)),S18/T18,""))</f>
        <v/>
      </c>
    </row>
    <row r="19" customFormat="false" ht="15" hidden="false" customHeight="false" outlineLevel="0" collapsed="false">
      <c r="A19" s="4" t="s">
        <v>35</v>
      </c>
      <c r="B19" s="4" t="s">
        <v>184</v>
      </c>
      <c r="C19" s="4" t="s">
        <v>172</v>
      </c>
      <c r="D19" s="4" t="s">
        <v>33</v>
      </c>
      <c r="E19" s="19" t="n">
        <v>1951</v>
      </c>
      <c r="F19" s="18"/>
      <c r="G19" s="18"/>
      <c r="H19" s="19" t="n">
        <v>37</v>
      </c>
      <c r="I19" s="18"/>
      <c r="J19" s="18"/>
      <c r="K19" s="19" t="n">
        <v>7040</v>
      </c>
      <c r="L19" s="20" t="s">
        <v>186</v>
      </c>
      <c r="M19" s="21" t="n">
        <f aca="false">INDEX(FX!$B$5:$B$25,MATCH($A19,FX!$A$5:$A$25,0))</f>
        <v>0.9377</v>
      </c>
      <c r="N19" s="22" t="n">
        <f aca="false">IF(E19="","",IF($C19="USD",E19,E19/$M19))</f>
        <v>2080.62280046923</v>
      </c>
      <c r="O19" s="22" t="str">
        <f aca="false">IF(F19="","",IF($C19="USD",F19,F19/$M19))</f>
        <v/>
      </c>
      <c r="P19" s="22" t="str">
        <f aca="false">IF(G19="","",IF($C19="USD",G19,G19/$M19))</f>
        <v/>
      </c>
      <c r="Q19" s="22" t="n">
        <f aca="false">IF(H19="","",IF($C19="USD",H19,H19/$M19))</f>
        <v>39.4582489068999</v>
      </c>
      <c r="R19" s="22" t="str">
        <f aca="false">IF(I19="","",IF($C19="USD",I19,I19/$M19))</f>
        <v/>
      </c>
      <c r="S19" s="22" t="str">
        <f aca="false">IF(J19="","",IF($C19="USD",J19,J19/$M19))</f>
        <v/>
      </c>
      <c r="T19" s="22" t="n">
        <f aca="false">IF(K19="","",IF($C19="USD",K19,K19/$M19))</f>
        <v>7507.73168390743</v>
      </c>
      <c r="U19" s="23" t="str">
        <f aca="false">IF(AND(ISNUMBER(N19),ISNUMBER(O19),ISNUMBER(P19)),(N19+O19)/(N19+O19+P19),IF(AND(ISNUMBER(S19),ISNUMBER(T19)),S19/T19,""))</f>
        <v/>
      </c>
    </row>
    <row r="20" customFormat="false" ht="15" hidden="false" customHeight="false" outlineLevel="0" collapsed="false">
      <c r="A20" s="4" t="s">
        <v>35</v>
      </c>
      <c r="B20" s="4" t="s">
        <v>182</v>
      </c>
      <c r="C20" s="4" t="s">
        <v>187</v>
      </c>
      <c r="D20" s="4" t="s">
        <v>33</v>
      </c>
      <c r="E20" s="19" t="n">
        <v>849</v>
      </c>
      <c r="F20" s="18"/>
      <c r="G20" s="18"/>
      <c r="H20" s="19" t="n">
        <v>266</v>
      </c>
      <c r="I20" s="18"/>
      <c r="J20" s="18"/>
      <c r="K20" s="19" t="n">
        <v>6547</v>
      </c>
      <c r="L20" s="20" t="s">
        <v>189</v>
      </c>
      <c r="M20" s="21" t="n">
        <f aca="false">INDEX(FX!$B$5:$B$25,MATCH($A20,FX!$A$5:$A$25,0))</f>
        <v>0.9377</v>
      </c>
      <c r="N20" s="22" t="n">
        <f aca="false">IF(E20="","",IF($C20="USD",E20,E20/$M20))</f>
        <v>849</v>
      </c>
      <c r="O20" s="22" t="str">
        <f aca="false">IF(F20="","",IF($C20="USD",F20,F20/$M20))</f>
        <v/>
      </c>
      <c r="P20" s="22" t="str">
        <f aca="false">IF(G20="","",IF($C20="USD",G20,G20/$M20))</f>
        <v/>
      </c>
      <c r="Q20" s="22" t="n">
        <f aca="false">IF(H20="","",IF($C20="USD",H20,H20/$M20))</f>
        <v>266</v>
      </c>
      <c r="R20" s="22" t="str">
        <f aca="false">IF(I20="","",IF($C20="USD",I20,I20/$M20))</f>
        <v/>
      </c>
      <c r="S20" s="22" t="str">
        <f aca="false">IF(J20="","",IF($C20="USD",J20,J20/$M20))</f>
        <v/>
      </c>
      <c r="T20" s="22" t="n">
        <f aca="false">IF(K20="","",IF($C20="USD",K20,K20/$M20))</f>
        <v>6547</v>
      </c>
      <c r="U20" s="23" t="str">
        <f aca="false">IF(AND(ISNUMBER(N20),ISNUMBER(O20),ISNUMBER(P20)),(N20+O20)/(N20+O20+P20),IF(AND(ISNUMBER(S20),ISNUMBER(T20)),S20/T20,""))</f>
        <v/>
      </c>
    </row>
    <row r="21" customFormat="false" ht="15" hidden="false" customHeight="false" outlineLevel="0" collapsed="false">
      <c r="A21" s="4" t="s">
        <v>36</v>
      </c>
      <c r="B21" s="4" t="s">
        <v>184</v>
      </c>
      <c r="C21" s="4" t="s">
        <v>172</v>
      </c>
      <c r="D21" s="4" t="s">
        <v>190</v>
      </c>
      <c r="E21" s="19" t="n">
        <v>2061</v>
      </c>
      <c r="F21" s="24" t="n">
        <f aca="false">K21-E21-G21</f>
        <v>3614</v>
      </c>
      <c r="G21" s="19" t="n">
        <v>1888</v>
      </c>
      <c r="H21" s="18"/>
      <c r="I21" s="18"/>
      <c r="J21" s="18"/>
      <c r="K21" s="19" t="n">
        <v>7563</v>
      </c>
      <c r="L21" s="20" t="s">
        <v>191</v>
      </c>
      <c r="M21" s="21" t="n">
        <f aca="false">INDEX(FX!$B$5:$B$25,MATCH($A21,FX!$A$5:$A$25,0))</f>
        <v>0.9269</v>
      </c>
      <c r="N21" s="22" t="n">
        <f aca="false">IF(E21="","",IF($C21="USD",E21,E21/$M21))</f>
        <v>2223.54083504154</v>
      </c>
      <c r="O21" s="22" t="n">
        <f aca="false">IF(F21="","",IF($C21="USD",F21,F21/$M21))</f>
        <v>3899.01823281907</v>
      </c>
      <c r="P21" s="22" t="n">
        <f aca="false">IF(G21="","",IF($C21="USD",G21,G21/$M21))</f>
        <v>2036.89718416226</v>
      </c>
      <c r="Q21" s="22" t="str">
        <f aca="false">IF(H21="","",IF($C21="USD",H21,H21/$M21))</f>
        <v/>
      </c>
      <c r="R21" s="22" t="str">
        <f aca="false">IF(I21="","",IF($C21="USD",I21,I21/$M21))</f>
        <v/>
      </c>
      <c r="S21" s="22" t="str">
        <f aca="false">IF(J21="","",IF($C21="USD",J21,J21/$M21))</f>
        <v/>
      </c>
      <c r="T21" s="22" t="n">
        <f aca="false">IF(K21="","",IF($C21="USD",K21,K21/$M21))</f>
        <v>8159.45625202287</v>
      </c>
      <c r="U21" s="23" t="n">
        <f aca="false">IF(AND(ISNUMBER(N21),ISNUMBER(O21),ISNUMBER(P21)),(N21+O21)/(N21+O21+P21),IF(AND(ISNUMBER(S21),ISNUMBER(T21)),S21/T21,""))</f>
        <v>0.750363612323152</v>
      </c>
    </row>
    <row r="22" customFormat="false" ht="15" hidden="false" customHeight="false" outlineLevel="0" collapsed="false">
      <c r="A22" s="4" t="s">
        <v>36</v>
      </c>
      <c r="B22" s="4" t="s">
        <v>182</v>
      </c>
      <c r="C22" s="4" t="s">
        <v>172</v>
      </c>
      <c r="D22" s="4" t="s">
        <v>190</v>
      </c>
      <c r="E22" s="19" t="n">
        <v>936</v>
      </c>
      <c r="F22" s="24" t="n">
        <f aca="false">K22-E22-G22</f>
        <v>3802</v>
      </c>
      <c r="G22" s="19" t="n">
        <v>1800</v>
      </c>
      <c r="H22" s="18"/>
      <c r="I22" s="18"/>
      <c r="J22" s="18"/>
      <c r="K22" s="19" t="n">
        <v>6538</v>
      </c>
      <c r="L22" s="20" t="s">
        <v>191</v>
      </c>
      <c r="M22" s="21" t="n">
        <f aca="false">INDEX(FX!$B$5:$B$25,MATCH($A22,FX!$A$5:$A$25,0))</f>
        <v>0.9269</v>
      </c>
      <c r="N22" s="22" t="n">
        <f aca="false">IF(E22="","",IF($C22="USD",E22,E22/$M22))</f>
        <v>1009.81767180926</v>
      </c>
      <c r="O22" s="22" t="n">
        <f aca="false">IF(F22="","",IF($C22="USD",F22,F22/$M22))</f>
        <v>4101.84485920811</v>
      </c>
      <c r="P22" s="22" t="n">
        <f aca="false">IF(G22="","",IF($C22="USD",G22,G22/$M22))</f>
        <v>1941.95706117165</v>
      </c>
      <c r="Q22" s="22" t="str">
        <f aca="false">IF(H22="","",IF($C22="USD",H22,H22/$M22))</f>
        <v/>
      </c>
      <c r="R22" s="22" t="str">
        <f aca="false">IF(I22="","",IF($C22="USD",I22,I22/$M22))</f>
        <v/>
      </c>
      <c r="S22" s="22" t="str">
        <f aca="false">IF(J22="","",IF($C22="USD",J22,J22/$M22))</f>
        <v/>
      </c>
      <c r="T22" s="22" t="n">
        <f aca="false">IF(K22="","",IF($C22="USD",K22,K22/$M22))</f>
        <v>7053.61959218902</v>
      </c>
      <c r="U22" s="23" t="n">
        <f aca="false">IF(AND(ISNUMBER(N22),ISNUMBER(O22),ISNUMBER(P22)),(N22+O22)/(N22+O22+P22),IF(AND(ISNUMBER(S22),ISNUMBER(T22)),S22/T22,""))</f>
        <v>0.724686448455185</v>
      </c>
    </row>
    <row r="23" customFormat="false" ht="15" hidden="false" customHeight="false" outlineLevel="0" collapsed="false">
      <c r="A23" s="4" t="s">
        <v>39</v>
      </c>
      <c r="B23" s="4" t="s">
        <v>184</v>
      </c>
      <c r="C23" s="4" t="s">
        <v>172</v>
      </c>
      <c r="D23" s="4" t="s">
        <v>190</v>
      </c>
      <c r="E23" s="19" t="n">
        <v>2165</v>
      </c>
      <c r="F23" s="19" t="n">
        <v>3783</v>
      </c>
      <c r="G23" s="19" t="n">
        <v>1928</v>
      </c>
      <c r="H23" s="19" t="n">
        <v>25</v>
      </c>
      <c r="I23" s="18"/>
      <c r="J23" s="18"/>
      <c r="K23" s="19" t="n">
        <v>7902</v>
      </c>
      <c r="L23" s="20" t="s">
        <v>192</v>
      </c>
      <c r="M23" s="21" t="n">
        <f aca="false">INDEX(FX!$B$5:$B$25,MATCH($A23,FX!$A$5:$A$25,0))</f>
        <v>0.9147</v>
      </c>
      <c r="N23" s="22" t="n">
        <f aca="false">IF(E23="","",IF($C23="USD",E23,E23/$M23))</f>
        <v>2366.89625013666</v>
      </c>
      <c r="O23" s="22" t="n">
        <f aca="false">IF(F23="","",IF($C23="USD",F23,F23/$M23))</f>
        <v>4135.7822236799</v>
      </c>
      <c r="P23" s="22" t="n">
        <f aca="false">IF(G23="","",IF($C23="USD",G23,G23/$M23))</f>
        <v>2107.79490543348</v>
      </c>
      <c r="Q23" s="22" t="n">
        <f aca="false">IF(H23="","",IF($C23="USD",H23,H23/$M23))</f>
        <v>27.3313654750191</v>
      </c>
      <c r="R23" s="22" t="str">
        <f aca="false">IF(I23="","",IF($C23="USD",I23,I23/$M23))</f>
        <v/>
      </c>
      <c r="S23" s="22" t="str">
        <f aca="false">IF(J23="","",IF($C23="USD",J23,J23/$M23))</f>
        <v/>
      </c>
      <c r="T23" s="22" t="n">
        <f aca="false">IF(K23="","",IF($C23="USD",K23,K23/$M23))</f>
        <v>8638.89799934405</v>
      </c>
      <c r="U23" s="23" t="n">
        <f aca="false">IF(AND(ISNUMBER(N23),ISNUMBER(O23),ISNUMBER(P23)),(N23+O23)/(N23+O23+P23),IF(AND(ISNUMBER(S23),ISNUMBER(T23)),S23/T23,""))</f>
        <v>0.755205688166582</v>
      </c>
    </row>
    <row r="24" customFormat="false" ht="15" hidden="false" customHeight="false" outlineLevel="0" collapsed="false">
      <c r="A24" s="4" t="s">
        <v>39</v>
      </c>
      <c r="B24" s="4" t="s">
        <v>182</v>
      </c>
      <c r="C24" s="4" t="s">
        <v>187</v>
      </c>
      <c r="D24" s="4" t="s">
        <v>190</v>
      </c>
      <c r="E24" s="19" t="n">
        <v>1067</v>
      </c>
      <c r="F24" s="19" t="n">
        <v>4666</v>
      </c>
      <c r="G24" s="19" t="n">
        <v>1825</v>
      </c>
      <c r="H24" s="19" t="n">
        <v>33</v>
      </c>
      <c r="I24" s="18"/>
      <c r="J24" s="18"/>
      <c r="K24" s="19" t="n">
        <v>7590</v>
      </c>
      <c r="L24" s="20" t="s">
        <v>192</v>
      </c>
      <c r="M24" s="21" t="n">
        <f aca="false">INDEX(FX!$B$5:$B$25,MATCH($A24,FX!$A$5:$A$25,0))</f>
        <v>0.9147</v>
      </c>
      <c r="N24" s="22" t="n">
        <f aca="false">IF(E24="","",IF($C24="USD",E24,E24/$M24))</f>
        <v>1067</v>
      </c>
      <c r="O24" s="22" t="n">
        <f aca="false">IF(F24="","",IF($C24="USD",F24,F24/$M24))</f>
        <v>4666</v>
      </c>
      <c r="P24" s="22" t="n">
        <f aca="false">IF(G24="","",IF($C24="USD",G24,G24/$M24))</f>
        <v>1825</v>
      </c>
      <c r="Q24" s="22" t="n">
        <f aca="false">IF(H24="","",IF($C24="USD",H24,H24/$M24))</f>
        <v>33</v>
      </c>
      <c r="R24" s="22" t="str">
        <f aca="false">IF(I24="","",IF($C24="USD",I24,I24/$M24))</f>
        <v/>
      </c>
      <c r="S24" s="22" t="str">
        <f aca="false">IF(J24="","",IF($C24="USD",J24,J24/$M24))</f>
        <v/>
      </c>
      <c r="T24" s="22" t="n">
        <f aca="false">IF(K24="","",IF($C24="USD",K24,K24/$M24))</f>
        <v>7590</v>
      </c>
      <c r="U24" s="23" t="n">
        <f aca="false">IF(AND(ISNUMBER(N24),ISNUMBER(O24),ISNUMBER(P24)),(N24+O24)/(N24+O24+P24),IF(AND(ISNUMBER(S24),ISNUMBER(T24)),S24/T24,""))</f>
        <v>0.758534003704684</v>
      </c>
    </row>
    <row r="25" customFormat="false" ht="15" hidden="false" customHeight="false" outlineLevel="0" collapsed="false">
      <c r="A25" s="4" t="s">
        <v>40</v>
      </c>
      <c r="B25" s="4" t="s">
        <v>184</v>
      </c>
      <c r="C25" s="4" t="s">
        <v>172</v>
      </c>
      <c r="D25" s="4" t="s">
        <v>190</v>
      </c>
      <c r="E25" s="19" t="n">
        <v>2326</v>
      </c>
      <c r="F25" s="19" t="n">
        <v>3820</v>
      </c>
      <c r="G25" s="19" t="n">
        <v>1778</v>
      </c>
      <c r="H25" s="19" t="n">
        <v>231</v>
      </c>
      <c r="I25" s="18"/>
      <c r="J25" s="18"/>
      <c r="K25" s="19" t="n">
        <v>8155</v>
      </c>
      <c r="L25" s="20" t="s">
        <v>193</v>
      </c>
      <c r="M25" s="21" t="n">
        <f aca="false">INDEX(FX!$B$5:$B$25,MATCH($A25,FX!$A$5:$A$25,0))</f>
        <v>0.9628</v>
      </c>
      <c r="N25" s="22" t="n">
        <f aca="false">IF(E25="","",IF($C25="USD",E25,E25/$M25))</f>
        <v>2415.87037806398</v>
      </c>
      <c r="O25" s="22" t="n">
        <f aca="false">IF(F25="","",IF($C25="USD",F25,F25/$M25))</f>
        <v>3967.59451599501</v>
      </c>
      <c r="P25" s="22" t="n">
        <f aca="false">IF(G25="","",IF($C25="USD",G25,G25/$M25))</f>
        <v>1846.69713336103</v>
      </c>
      <c r="Q25" s="22" t="n">
        <f aca="false">IF(H25="","",IF($C25="USD",H25,H25/$M25))</f>
        <v>239.925218113835</v>
      </c>
      <c r="R25" s="22" t="str">
        <f aca="false">IF(I25="","",IF($C25="USD",I25,I25/$M25))</f>
        <v/>
      </c>
      <c r="S25" s="22" t="str">
        <f aca="false">IF(J25="","",IF($C25="USD",J25,J25/$M25))</f>
        <v/>
      </c>
      <c r="T25" s="22" t="n">
        <f aca="false">IF(K25="","",IF($C25="USD",K25,K25/$M25))</f>
        <v>8470.08724553386</v>
      </c>
      <c r="U25" s="23" t="n">
        <f aca="false">IF(AND(ISNUMBER(N25),ISNUMBER(O25),ISNUMBER(P25)),(N25+O25)/(N25+O25+P25),IF(AND(ISNUMBER(S25),ISNUMBER(T25)),S25/T25,""))</f>
        <v>0.775618374558304</v>
      </c>
    </row>
    <row r="26" customFormat="false" ht="15" hidden="false" customHeight="false" outlineLevel="0" collapsed="false">
      <c r="A26" s="4" t="s">
        <v>40</v>
      </c>
      <c r="B26" s="4" t="s">
        <v>182</v>
      </c>
      <c r="C26" s="4" t="s">
        <v>187</v>
      </c>
      <c r="D26" s="4" t="s">
        <v>190</v>
      </c>
      <c r="E26" s="19" t="n">
        <v>1215</v>
      </c>
      <c r="F26" s="19" t="n">
        <v>4795</v>
      </c>
      <c r="G26" s="19" t="n">
        <v>1614</v>
      </c>
      <c r="H26" s="19" t="n">
        <v>32</v>
      </c>
      <c r="I26" s="18"/>
      <c r="J26" s="18"/>
      <c r="K26" s="19" t="n">
        <v>7657</v>
      </c>
      <c r="L26" s="20" t="s">
        <v>193</v>
      </c>
      <c r="M26" s="21" t="n">
        <f aca="false">INDEX(FX!$B$5:$B$25,MATCH($A26,FX!$A$5:$A$25,0))</f>
        <v>0.9628</v>
      </c>
      <c r="N26" s="22" t="n">
        <f aca="false">IF(E26="","",IF($C26="USD",E26,E26/$M26))</f>
        <v>1215</v>
      </c>
      <c r="O26" s="22" t="n">
        <f aca="false">IF(F26="","",IF($C26="USD",F26,F26/$M26))</f>
        <v>4795</v>
      </c>
      <c r="P26" s="22" t="n">
        <f aca="false">IF(G26="","",IF($C26="USD",G26,G26/$M26))</f>
        <v>1614</v>
      </c>
      <c r="Q26" s="22" t="n">
        <f aca="false">IF(H26="","",IF($C26="USD",H26,H26/$M26))</f>
        <v>32</v>
      </c>
      <c r="R26" s="22" t="str">
        <f aca="false">IF(I26="","",IF($C26="USD",I26,I26/$M26))</f>
        <v/>
      </c>
      <c r="S26" s="22" t="str">
        <f aca="false">IF(J26="","",IF($C26="USD",J26,J26/$M26))</f>
        <v/>
      </c>
      <c r="T26" s="22" t="n">
        <f aca="false">IF(K26="","",IF($C26="USD",K26,K26/$M26))</f>
        <v>7657</v>
      </c>
      <c r="U26" s="23" t="n">
        <f aca="false">IF(AND(ISNUMBER(N26),ISNUMBER(O26),ISNUMBER(P26)),(N26+O26)/(N26+O26+P26),IF(AND(ISNUMBER(S26),ISNUMBER(T26)),S26/T26,""))</f>
        <v>0.788300104931794</v>
      </c>
    </row>
    <row r="27" customFormat="false" ht="15" hidden="false" customHeight="false" outlineLevel="0" collapsed="false">
      <c r="A27" s="4" t="s">
        <v>41</v>
      </c>
      <c r="B27" s="4" t="s">
        <v>184</v>
      </c>
      <c r="C27" s="4" t="s">
        <v>172</v>
      </c>
      <c r="D27" s="4" t="s">
        <v>190</v>
      </c>
      <c r="E27" s="19" t="n">
        <v>2331</v>
      </c>
      <c r="F27" s="19" t="n">
        <v>3548</v>
      </c>
      <c r="G27" s="19" t="n">
        <v>1397</v>
      </c>
      <c r="H27" s="19" t="n">
        <v>20</v>
      </c>
      <c r="I27" s="18"/>
      <c r="J27" s="18"/>
      <c r="K27" s="19" t="n">
        <v>7296</v>
      </c>
      <c r="L27" s="20" t="s">
        <v>193</v>
      </c>
      <c r="M27" s="21" t="n">
        <f aca="false">INDEX(FX!$B$5:$B$25,MATCH($A27,FX!$A$5:$A$25,0))</f>
        <v>0.9848</v>
      </c>
      <c r="N27" s="22" t="n">
        <f aca="false">IF(E27="","",IF($C27="USD",E27,E27/$M27))</f>
        <v>2366.97806661251</v>
      </c>
      <c r="O27" s="22" t="n">
        <f aca="false">IF(F27="","",IF($C27="USD",F27,F27/$M27))</f>
        <v>3602.76198212835</v>
      </c>
      <c r="P27" s="22" t="n">
        <f aca="false">IF(G27="","",IF($C27="USD",G27,G27/$M27))</f>
        <v>1418.56214459789</v>
      </c>
      <c r="Q27" s="22" t="n">
        <f aca="false">IF(H27="","",IF($C27="USD",H27,H27/$M27))</f>
        <v>20.3086921202275</v>
      </c>
      <c r="R27" s="22" t="str">
        <f aca="false">IF(I27="","",IF($C27="USD",I27,I27/$M27))</f>
        <v/>
      </c>
      <c r="S27" s="22" t="str">
        <f aca="false">IF(J27="","",IF($C27="USD",J27,J27/$M27))</f>
        <v/>
      </c>
      <c r="T27" s="22" t="n">
        <f aca="false">IF(K27="","",IF($C27="USD",K27,K27/$M27))</f>
        <v>7408.61088545898</v>
      </c>
      <c r="U27" s="23" t="n">
        <f aca="false">IF(AND(ISNUMBER(N27),ISNUMBER(O27),ISNUMBER(P27)),(N27+O27)/(N27+O27+P27),IF(AND(ISNUMBER(S27),ISNUMBER(T27)),S27/T27,""))</f>
        <v>0.807998900494777</v>
      </c>
    </row>
    <row r="28" customFormat="false" ht="15" hidden="false" customHeight="false" outlineLevel="0" collapsed="false">
      <c r="A28" s="4" t="s">
        <v>41</v>
      </c>
      <c r="B28" s="4" t="s">
        <v>182</v>
      </c>
      <c r="C28" s="4" t="s">
        <v>187</v>
      </c>
      <c r="D28" s="4" t="s">
        <v>190</v>
      </c>
      <c r="E28" s="19" t="n">
        <v>1484</v>
      </c>
      <c r="F28" s="19" t="n">
        <v>4880</v>
      </c>
      <c r="G28" s="19" t="n">
        <v>1474</v>
      </c>
      <c r="H28" s="19" t="n">
        <v>35</v>
      </c>
      <c r="I28" s="18"/>
      <c r="J28" s="18"/>
      <c r="K28" s="19" t="n">
        <v>7873</v>
      </c>
      <c r="L28" s="20" t="s">
        <v>193</v>
      </c>
      <c r="M28" s="21" t="n">
        <f aca="false">INDEX(FX!$B$5:$B$25,MATCH($A28,FX!$A$5:$A$25,0))</f>
        <v>0.9848</v>
      </c>
      <c r="N28" s="22" t="n">
        <f aca="false">IF(E28="","",IF($C28="USD",E28,E28/$M28))</f>
        <v>1484</v>
      </c>
      <c r="O28" s="22" t="n">
        <f aca="false">IF(F28="","",IF($C28="USD",F28,F28/$M28))</f>
        <v>4880</v>
      </c>
      <c r="P28" s="22" t="n">
        <f aca="false">IF(G28="","",IF($C28="USD",G28,G28/$M28))</f>
        <v>1474</v>
      </c>
      <c r="Q28" s="22" t="n">
        <f aca="false">IF(H28="","",IF($C28="USD",H28,H28/$M28))</f>
        <v>35</v>
      </c>
      <c r="R28" s="22" t="str">
        <f aca="false">IF(I28="","",IF($C28="USD",I28,I28/$M28))</f>
        <v/>
      </c>
      <c r="S28" s="22" t="str">
        <f aca="false">IF(J28="","",IF($C28="USD",J28,J28/$M28))</f>
        <v/>
      </c>
      <c r="T28" s="22" t="n">
        <f aca="false">IF(K28="","",IF($C28="USD",K28,K28/$M28))</f>
        <v>7873</v>
      </c>
      <c r="U28" s="23" t="n">
        <f aca="false">IF(AND(ISNUMBER(N28),ISNUMBER(O28),ISNUMBER(P28)),(N28+O28)/(N28+O28+P28),IF(AND(ISNUMBER(S28),ISNUMBER(T28)),S28/T28,""))</f>
        <v>0.81194182189334</v>
      </c>
    </row>
    <row r="29" customFormat="false" ht="15" hidden="false" customHeight="false" outlineLevel="0" collapsed="false">
      <c r="A29" s="4" t="s">
        <v>42</v>
      </c>
      <c r="B29" s="4" t="s">
        <v>194</v>
      </c>
      <c r="C29" s="4" t="s">
        <v>187</v>
      </c>
      <c r="D29" s="4" t="s">
        <v>190</v>
      </c>
      <c r="E29" s="19" t="n">
        <v>4103</v>
      </c>
      <c r="F29" s="19" t="n">
        <v>8968</v>
      </c>
      <c r="G29" s="19" t="n">
        <v>3159</v>
      </c>
      <c r="H29" s="19" t="n">
        <v>65</v>
      </c>
      <c r="I29" s="18"/>
      <c r="J29" s="18"/>
      <c r="K29" s="19" t="n">
        <v>16295</v>
      </c>
      <c r="L29" s="20" t="s">
        <v>195</v>
      </c>
      <c r="M29" s="21" t="n">
        <f aca="false">INDEX(FX!$B$5:$B$25,MATCH($A29,FX!$A$5:$A$25,0))</f>
        <v>0.9842</v>
      </c>
      <c r="N29" s="22" t="n">
        <f aca="false">IF(E29="","",IF($C29="USD",E29,E29/$M29))</f>
        <v>4103</v>
      </c>
      <c r="O29" s="22" t="n">
        <f aca="false">IF(F29="","",IF($C29="USD",F29,F29/$M29))</f>
        <v>8968</v>
      </c>
      <c r="P29" s="22" t="n">
        <f aca="false">IF(G29="","",IF($C29="USD",G29,G29/$M29))</f>
        <v>3159</v>
      </c>
      <c r="Q29" s="22" t="n">
        <f aca="false">IF(H29="","",IF($C29="USD",H29,H29/$M29))</f>
        <v>65</v>
      </c>
      <c r="R29" s="22" t="str">
        <f aca="false">IF(I29="","",IF($C29="USD",I29,I29/$M29))</f>
        <v/>
      </c>
      <c r="S29" s="22" t="str">
        <f aca="false">IF(J29="","",IF($C29="USD",J29,J29/$M29))</f>
        <v/>
      </c>
      <c r="T29" s="22" t="n">
        <f aca="false">IF(K29="","",IF($C29="USD",K29,K29/$M29))</f>
        <v>16295</v>
      </c>
      <c r="U29" s="23" t="n">
        <f aca="false">IF(AND(ISNUMBER(N29),ISNUMBER(O29),ISNUMBER(P29)),(N29+O29)/(N29+O29+P29),IF(AND(ISNUMBER(S29),ISNUMBER(T29)),S29/T29,""))</f>
        <v>0.805360443622921</v>
      </c>
    </row>
    <row r="30" customFormat="false" ht="15" hidden="false" customHeight="false" outlineLevel="0" collapsed="false">
      <c r="A30" s="4" t="s">
        <v>44</v>
      </c>
      <c r="B30" s="4" t="s">
        <v>43</v>
      </c>
      <c r="C30" s="4" t="s">
        <v>187</v>
      </c>
      <c r="D30" s="4" t="s">
        <v>190</v>
      </c>
      <c r="E30" s="19" t="n">
        <v>4310</v>
      </c>
      <c r="F30" s="19" t="n">
        <v>9585</v>
      </c>
      <c r="G30" s="19" t="n">
        <v>2911</v>
      </c>
      <c r="H30" s="19" t="n">
        <v>151</v>
      </c>
      <c r="I30" s="18"/>
      <c r="J30" s="18"/>
      <c r="K30" s="19" t="n">
        <v>16956</v>
      </c>
      <c r="L30" s="20" t="s">
        <v>195</v>
      </c>
      <c r="M30" s="21" t="n">
        <f aca="false">INDEX(FX!$B$5:$B$25,MATCH($A30,FX!$A$5:$A$25,0))</f>
        <v>0.9784</v>
      </c>
      <c r="N30" s="22" t="n">
        <f aca="false">IF(E30="","",IF($C30="USD",E30,E30/$M30))</f>
        <v>4310</v>
      </c>
      <c r="O30" s="22" t="n">
        <f aca="false">IF(F30="","",IF($C30="USD",F30,F30/$M30))</f>
        <v>9585</v>
      </c>
      <c r="P30" s="22" t="n">
        <f aca="false">IF(G30="","",IF($C30="USD",G30,G30/$M30))</f>
        <v>2911</v>
      </c>
      <c r="Q30" s="22" t="n">
        <f aca="false">IF(H30="","",IF($C30="USD",H30,H30/$M30))</f>
        <v>151</v>
      </c>
      <c r="R30" s="22" t="str">
        <f aca="false">IF(I30="","",IF($C30="USD",I30,I30/$M30))</f>
        <v/>
      </c>
      <c r="S30" s="22" t="str">
        <f aca="false">IF(J30="","",IF($C30="USD",J30,J30/$M30))</f>
        <v/>
      </c>
      <c r="T30" s="22" t="n">
        <f aca="false">IF(K30="","",IF($C30="USD",K30,K30/$M30))</f>
        <v>16956</v>
      </c>
      <c r="U30" s="23" t="n">
        <f aca="false">IF(AND(ISNUMBER(N30),ISNUMBER(O30),ISNUMBER(P30)),(N30+O30)/(N30+O30+P30),IF(AND(ISNUMBER(S30),ISNUMBER(T30)),S30/T30,""))</f>
        <v>0.826788051886231</v>
      </c>
    </row>
    <row r="31" customFormat="false" ht="15" hidden="false" customHeight="false" outlineLevel="0" collapsed="false">
      <c r="A31" s="4" t="s">
        <v>45</v>
      </c>
      <c r="B31" s="4" t="s">
        <v>43</v>
      </c>
      <c r="C31" s="4" t="s">
        <v>187</v>
      </c>
      <c r="D31" s="4" t="s">
        <v>190</v>
      </c>
      <c r="E31" s="19" t="n">
        <v>3947</v>
      </c>
      <c r="F31" s="19" t="n">
        <v>9258</v>
      </c>
      <c r="G31" s="19" t="n">
        <v>3059</v>
      </c>
      <c r="H31" s="19" t="n">
        <v>110</v>
      </c>
      <c r="I31" s="18"/>
      <c r="J31" s="18"/>
      <c r="K31" s="19" t="n">
        <v>16373</v>
      </c>
      <c r="L31" s="20" t="s">
        <v>196</v>
      </c>
      <c r="M31" s="21" t="n">
        <f aca="false">INDEX(FX!$B$5:$B$25,MATCH($A31,FX!$A$5:$A$25,0))</f>
        <v>0.9937</v>
      </c>
      <c r="N31" s="22" t="n">
        <f aca="false">IF(E31="","",IF($C31="USD",E31,E31/$M31))</f>
        <v>3947</v>
      </c>
      <c r="O31" s="22" t="n">
        <f aca="false">IF(F31="","",IF($C31="USD",F31,F31/$M31))</f>
        <v>9258</v>
      </c>
      <c r="P31" s="22" t="n">
        <f aca="false">IF(G31="","",IF($C31="USD",G31,G31/$M31))</f>
        <v>3059</v>
      </c>
      <c r="Q31" s="22" t="n">
        <f aca="false">IF(H31="","",IF($C31="USD",H31,H31/$M31))</f>
        <v>110</v>
      </c>
      <c r="R31" s="22" t="str">
        <f aca="false">IF(I31="","",IF($C31="USD",I31,I31/$M31))</f>
        <v/>
      </c>
      <c r="S31" s="22" t="str">
        <f aca="false">IF(J31="","",IF($C31="USD",J31,J31/$M31))</f>
        <v/>
      </c>
      <c r="T31" s="22" t="n">
        <f aca="false">IF(K31="","",IF($C31="USD",K31,K31/$M31))</f>
        <v>16373</v>
      </c>
      <c r="U31" s="23" t="n">
        <f aca="false">IF(AND(ISNUMBER(N31),ISNUMBER(O31),ISNUMBER(P31)),(N31+O31)/(N31+O31+P31),IF(AND(ISNUMBER(S31),ISNUMBER(T31)),S31/T31,""))</f>
        <v>0.811915887850467</v>
      </c>
    </row>
    <row r="32" customFormat="false" ht="15" hidden="false" customHeight="false" outlineLevel="0" collapsed="false">
      <c r="A32" s="4" t="s">
        <v>46</v>
      </c>
      <c r="B32" s="4" t="s">
        <v>43</v>
      </c>
      <c r="C32" s="4" t="s">
        <v>187</v>
      </c>
      <c r="D32" s="4" t="s">
        <v>190</v>
      </c>
      <c r="E32" s="19" t="n">
        <v>4027</v>
      </c>
      <c r="F32" s="19" t="n">
        <v>9372</v>
      </c>
      <c r="G32" s="19" t="n">
        <v>3576</v>
      </c>
      <c r="H32" s="19" t="n">
        <v>159</v>
      </c>
      <c r="I32" s="18"/>
      <c r="J32" s="18"/>
      <c r="K32" s="19" t="n">
        <v>17134</v>
      </c>
      <c r="L32" s="20" t="s">
        <v>196</v>
      </c>
      <c r="M32" s="21" t="n">
        <f aca="false">INDEX(FX!$B$5:$B$25,MATCH($A32,FX!$A$5:$A$25,0))</f>
        <v>0.9389</v>
      </c>
      <c r="N32" s="22" t="n">
        <f aca="false">IF(E32="","",IF($C32="USD",E32,E32/$M32))</f>
        <v>4027</v>
      </c>
      <c r="O32" s="22" t="n">
        <f aca="false">IF(F32="","",IF($C32="USD",F32,F32/$M32))</f>
        <v>9372</v>
      </c>
      <c r="P32" s="22" t="n">
        <f aca="false">IF(G32="","",IF($C32="USD",G32,G32/$M32))</f>
        <v>3576</v>
      </c>
      <c r="Q32" s="22" t="n">
        <f aca="false">IF(H32="","",IF($C32="USD",H32,H32/$M32))</f>
        <v>159</v>
      </c>
      <c r="R32" s="22" t="str">
        <f aca="false">IF(I32="","",IF($C32="USD",I32,I32/$M32))</f>
        <v/>
      </c>
      <c r="S32" s="22" t="str">
        <f aca="false">IF(J32="","",IF($C32="USD",J32,J32/$M32))</f>
        <v/>
      </c>
      <c r="T32" s="22" t="n">
        <f aca="false">IF(K32="","",IF($C32="USD",K32,K32/$M32))</f>
        <v>17134</v>
      </c>
      <c r="U32" s="23" t="n">
        <f aca="false">IF(AND(ISNUMBER(N32),ISNUMBER(O32),ISNUMBER(P32)),(N32+O32)/(N32+O32+P32),IF(AND(ISNUMBER(S32),ISNUMBER(T32)),S32/T32,""))</f>
        <v>0.789337260677467</v>
      </c>
    </row>
    <row r="33" customFormat="false" ht="15" hidden="false" customHeight="false" outlineLevel="0" collapsed="false">
      <c r="A33" s="4" t="s">
        <v>47</v>
      </c>
      <c r="B33" s="4" t="s">
        <v>43</v>
      </c>
      <c r="C33" s="4" t="s">
        <v>187</v>
      </c>
      <c r="D33" s="4" t="s">
        <v>190</v>
      </c>
      <c r="E33" s="19" t="n">
        <v>4244</v>
      </c>
      <c r="F33" s="19" t="n">
        <v>11170</v>
      </c>
      <c r="G33" s="19" t="n">
        <v>3836</v>
      </c>
      <c r="H33" s="19" t="n">
        <v>168</v>
      </c>
      <c r="I33" s="18"/>
      <c r="J33" s="18"/>
      <c r="K33" s="19" t="n">
        <v>19419</v>
      </c>
      <c r="L33" s="20" t="s">
        <v>197</v>
      </c>
      <c r="M33" s="21" t="n">
        <f aca="false">INDEX(FX!$B$5:$B$25,MATCH($A33,FX!$A$5:$A$25,0))</f>
        <v>0.9144</v>
      </c>
      <c r="N33" s="22" t="n">
        <f aca="false">IF(E33="","",IF($C33="USD",E33,E33/$M33))</f>
        <v>4244</v>
      </c>
      <c r="O33" s="22" t="n">
        <f aca="false">IF(F33="","",IF($C33="USD",F33,F33/$M33))</f>
        <v>11170</v>
      </c>
      <c r="P33" s="22" t="n">
        <f aca="false">IF(G33="","",IF($C33="USD",G33,G33/$M33))</f>
        <v>3836</v>
      </c>
      <c r="Q33" s="22" t="n">
        <f aca="false">IF(H33="","",IF($C33="USD",H33,H33/$M33))</f>
        <v>168</v>
      </c>
      <c r="R33" s="22" t="str">
        <f aca="false">IF(I33="","",IF($C33="USD",I33,I33/$M33))</f>
        <v/>
      </c>
      <c r="S33" s="22" t="str">
        <f aca="false">IF(J33="","",IF($C33="USD",J33,J33/$M33))</f>
        <v/>
      </c>
      <c r="T33" s="22" t="n">
        <f aca="false">IF(K33="","",IF($C33="USD",K33,K33/$M33))</f>
        <v>19419</v>
      </c>
      <c r="U33" s="23" t="n">
        <f aca="false">IF(AND(ISNUMBER(N33),ISNUMBER(O33),ISNUMBER(P33)),(N33+O33)/(N33+O33+P33),IF(AND(ISNUMBER(S33),ISNUMBER(T33)),S33/T33,""))</f>
        <v>0.800727272727273</v>
      </c>
    </row>
    <row r="34" customFormat="false" ht="15" hidden="false" customHeight="false" outlineLevel="0" collapsed="false">
      <c r="A34" s="4" t="s">
        <v>48</v>
      </c>
      <c r="B34" s="4" t="s">
        <v>43</v>
      </c>
      <c r="C34" s="4" t="s">
        <v>187</v>
      </c>
      <c r="D34" s="4" t="s">
        <v>190</v>
      </c>
      <c r="E34" s="19" t="n">
        <v>5273</v>
      </c>
      <c r="F34" s="19" t="n">
        <v>10282</v>
      </c>
      <c r="G34" s="19" t="n">
        <v>3137</v>
      </c>
      <c r="H34" s="19" t="n">
        <v>275</v>
      </c>
      <c r="I34" s="18"/>
      <c r="J34" s="18"/>
      <c r="K34" s="19" t="n">
        <v>18967</v>
      </c>
      <c r="L34" s="20" t="s">
        <v>197</v>
      </c>
      <c r="M34" s="21" t="n">
        <f aca="false">INDEX(FX!$B$5:$B$25,MATCH($A34,FX!$A$5:$A$25,0))</f>
        <v>0.955</v>
      </c>
      <c r="N34" s="22" t="n">
        <f aca="false">IF(E34="","",IF($C34="USD",E34,E34/$M34))</f>
        <v>5273</v>
      </c>
      <c r="O34" s="22" t="n">
        <f aca="false">IF(F34="","",IF($C34="USD",F34,F34/$M34))</f>
        <v>10282</v>
      </c>
      <c r="P34" s="22" t="n">
        <f aca="false">IF(G34="","",IF($C34="USD",G34,G34/$M34))</f>
        <v>3137</v>
      </c>
      <c r="Q34" s="22" t="n">
        <f aca="false">IF(H34="","",IF($C34="USD",H34,H34/$M34))</f>
        <v>275</v>
      </c>
      <c r="R34" s="22" t="str">
        <f aca="false">IF(I34="","",IF($C34="USD",I34,I34/$M34))</f>
        <v/>
      </c>
      <c r="S34" s="22" t="str">
        <f aca="false">IF(J34="","",IF($C34="USD",J34,J34/$M34))</f>
        <v/>
      </c>
      <c r="T34" s="22" t="n">
        <f aca="false">IF(K34="","",IF($C34="USD",K34,K34/$M34))</f>
        <v>18967</v>
      </c>
      <c r="U34" s="23" t="n">
        <f aca="false">IF(AND(ISNUMBER(N34),ISNUMBER(O34),ISNUMBER(P34)),(N34+O34)/(N34+O34+P34),IF(AND(ISNUMBER(S34),ISNUMBER(T34)),S34/T34,""))</f>
        <v>0.832174192167772</v>
      </c>
    </row>
    <row r="35" customFormat="false" ht="15" hidden="false" customHeight="false" outlineLevel="0" collapsed="false">
      <c r="A35" s="4" t="s">
        <v>49</v>
      </c>
      <c r="B35" s="4" t="s">
        <v>198</v>
      </c>
      <c r="C35" s="4" t="s">
        <v>187</v>
      </c>
      <c r="D35" s="4" t="s">
        <v>190</v>
      </c>
      <c r="E35" s="19" t="n">
        <v>7082</v>
      </c>
      <c r="F35" s="19" t="n">
        <v>10988</v>
      </c>
      <c r="G35" s="19" t="n">
        <v>3623</v>
      </c>
      <c r="H35" s="19" t="n">
        <v>-137</v>
      </c>
      <c r="I35" s="18"/>
      <c r="J35" s="18"/>
      <c r="K35" s="19" t="n">
        <v>21556</v>
      </c>
      <c r="L35" s="20" t="s">
        <v>199</v>
      </c>
      <c r="M35" s="21" t="n">
        <f aca="false">INDEX(FX!$B$5:$B$25,MATCH($A35,FX!$A$5:$A$25,0))</f>
        <v>0.8984</v>
      </c>
      <c r="N35" s="22" t="n">
        <f aca="false">IF(E35="","",IF($C35="USD",E35,E35/$M35))</f>
        <v>7082</v>
      </c>
      <c r="O35" s="22" t="n">
        <f aca="false">IF(F35="","",IF($C35="USD",F35,F35/$M35))</f>
        <v>10988</v>
      </c>
      <c r="P35" s="22" t="n">
        <f aca="false">IF(G35="","",IF($C35="USD",G35,G35/$M35))</f>
        <v>3623</v>
      </c>
      <c r="Q35" s="22" t="n">
        <f aca="false">IF(H35="","",IF($C35="USD",H35,H35/$M35))</f>
        <v>-137</v>
      </c>
      <c r="R35" s="22" t="str">
        <f aca="false">IF(I35="","",IF($C35="USD",I35,I35/$M35))</f>
        <v/>
      </c>
      <c r="S35" s="22" t="str">
        <f aca="false">IF(J35="","",IF($C35="USD",J35,J35/$M35))</f>
        <v/>
      </c>
      <c r="T35" s="22" t="n">
        <f aca="false">IF(K35="","",IF($C35="USD",K35,K35/$M35))</f>
        <v>21556</v>
      </c>
      <c r="U35" s="23" t="n">
        <f aca="false">IF(AND(ISNUMBER(N35),ISNUMBER(O35),ISNUMBER(P35)),(N35+O35)/(N35+O35+P35),IF(AND(ISNUMBER(S35),ISNUMBER(T35)),S35/T35,""))</f>
        <v>0.832987599686535</v>
      </c>
    </row>
    <row r="36" customFormat="false" ht="15" hidden="false" customHeight="false" outlineLevel="0" collapsed="false">
      <c r="A36" s="4" t="s">
        <v>52</v>
      </c>
      <c r="B36" s="4" t="s">
        <v>200</v>
      </c>
      <c r="C36" s="4" t="s">
        <v>187</v>
      </c>
      <c r="D36" s="4" t="s">
        <v>190</v>
      </c>
      <c r="E36" s="19" t="n">
        <v>7358</v>
      </c>
      <c r="F36" s="19" t="n">
        <v>12625</v>
      </c>
      <c r="G36" s="19" t="n">
        <v>4503</v>
      </c>
      <c r="H36" s="19" t="n">
        <v>31</v>
      </c>
      <c r="I36" s="18"/>
      <c r="J36" s="18"/>
      <c r="K36" s="19" t="n">
        <v>24516</v>
      </c>
      <c r="L36" s="20" t="s">
        <v>199</v>
      </c>
      <c r="M36" s="21" t="n">
        <f aca="false">INDEX(FX!$B$5:$B$25,MATCH($A36,FX!$A$5:$A$25,0))</f>
        <v>0.8808</v>
      </c>
      <c r="N36" s="22" t="n">
        <f aca="false">IF(E36="","",IF($C36="USD",E36,E36/$M36))</f>
        <v>7358</v>
      </c>
      <c r="O36" s="22" t="n">
        <f aca="false">IF(F36="","",IF($C36="USD",F36,F36/$M36))</f>
        <v>12625</v>
      </c>
      <c r="P36" s="22" t="n">
        <f aca="false">IF(G36="","",IF($C36="USD",G36,G36/$M36))</f>
        <v>4503</v>
      </c>
      <c r="Q36" s="22" t="n">
        <f aca="false">IF(H36="","",IF($C36="USD",H36,H36/$M36))</f>
        <v>31</v>
      </c>
      <c r="R36" s="22" t="str">
        <f aca="false">IF(I36="","",IF($C36="USD",I36,I36/$M36))</f>
        <v/>
      </c>
      <c r="S36" s="22" t="str">
        <f aca="false">IF(J36="","",IF($C36="USD",J36,J36/$M36))</f>
        <v/>
      </c>
      <c r="T36" s="22" t="n">
        <f aca="false">IF(K36="","",IF($C36="USD",K36,K36/$M36))</f>
        <v>24516</v>
      </c>
      <c r="U36" s="23" t="n">
        <f aca="false">IF(AND(ISNUMBER(N36),ISNUMBER(O36),ISNUMBER(P36)),(N36+O36)/(N36+O36+P36),IF(AND(ISNUMBER(S36),ISNUMBER(T36)),S36/T36,""))</f>
        <v>0.816098995344278</v>
      </c>
    </row>
    <row r="37" customFormat="false" ht="15" hidden="false" customHeight="false" outlineLevel="0" collapsed="false">
      <c r="A37" s="4" t="s">
        <v>54</v>
      </c>
      <c r="B37" s="4" t="s">
        <v>200</v>
      </c>
      <c r="C37" s="4" t="s">
        <v>187</v>
      </c>
      <c r="D37" s="4" t="s">
        <v>190</v>
      </c>
      <c r="E37" s="19" t="n">
        <v>7018</v>
      </c>
      <c r="F37" s="19" t="n">
        <v>13671</v>
      </c>
      <c r="G37" s="19" t="n">
        <v>5208</v>
      </c>
      <c r="H37" s="19" t="n">
        <v>62</v>
      </c>
      <c r="I37" s="18"/>
      <c r="J37" s="18"/>
      <c r="K37" s="19" t="n">
        <v>25960</v>
      </c>
      <c r="L37" s="20" t="s">
        <v>201</v>
      </c>
      <c r="M37" s="21" t="n">
        <f aca="false">INDEX(FX!$B$5:$B$25,MATCH($A37,FX!$A$5:$A$25,0))</f>
        <v>0.8305</v>
      </c>
      <c r="N37" s="22" t="n">
        <f aca="false">IF(E37="","",IF($C37="USD",E37,E37/$M37))</f>
        <v>7018</v>
      </c>
      <c r="O37" s="22" t="n">
        <f aca="false">IF(F37="","",IF($C37="USD",F37,F37/$M37))</f>
        <v>13671</v>
      </c>
      <c r="P37" s="22" t="n">
        <f aca="false">IF(G37="","",IF($C37="USD",G37,G37/$M37))</f>
        <v>5208</v>
      </c>
      <c r="Q37" s="22" t="n">
        <f aca="false">IF(H37="","",IF($C37="USD",H37,H37/$M37))</f>
        <v>62</v>
      </c>
      <c r="R37" s="22" t="str">
        <f aca="false">IF(I37="","",IF($C37="USD",I37,I37/$M37))</f>
        <v/>
      </c>
      <c r="S37" s="22" t="str">
        <f aca="false">IF(J37="","",IF($C37="USD",J37,J37/$M37))</f>
        <v/>
      </c>
      <c r="T37" s="22" t="n">
        <f aca="false">IF(K37="","",IF($C37="USD",K37,K37/$M37))</f>
        <v>25960</v>
      </c>
      <c r="U37" s="23" t="n">
        <f aca="false">IF(AND(ISNUMBER(N37),ISNUMBER(O37),ISNUMBER(P37)),(N37+O37)/(N37+O37+P37),IF(AND(ISNUMBER(S37),ISNUMBER(T37)),S37/T37,""))</f>
        <v>0.798895624975866</v>
      </c>
    </row>
    <row r="39" customFormat="false" ht="15" hidden="false" customHeight="false" outlineLevel="0" collapsed="false">
      <c r="A39" s="2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203</v>
      </c>
    </row>
    <row r="4" customFormat="false" ht="19.5" hidden="false" customHeight="true" outlineLevel="0" collapsed="false">
      <c r="A4" s="3" t="s">
        <v>2</v>
      </c>
      <c r="B4" s="3" t="s">
        <v>204</v>
      </c>
    </row>
    <row r="5" customFormat="false" ht="15" hidden="false" customHeight="false" outlineLevel="0" collapsed="false">
      <c r="A5" s="25" t="s">
        <v>19</v>
      </c>
      <c r="B5" s="26" t="n">
        <v>1.2459</v>
      </c>
    </row>
    <row r="6" customFormat="false" ht="15" hidden="false" customHeight="false" outlineLevel="0" collapsed="false">
      <c r="A6" s="25" t="s">
        <v>23</v>
      </c>
      <c r="B6" s="26" t="n">
        <v>1.2532</v>
      </c>
    </row>
    <row r="7" customFormat="false" ht="15" hidden="false" customHeight="false" outlineLevel="0" collapsed="false">
      <c r="A7" s="25" t="s">
        <v>25</v>
      </c>
      <c r="B7" s="26" t="n">
        <v>1.1999</v>
      </c>
    </row>
    <row r="8" customFormat="false" ht="15" hidden="false" customHeight="false" outlineLevel="0" collapsed="false">
      <c r="A8" s="25" t="s">
        <v>27</v>
      </c>
      <c r="B8" s="26" t="n">
        <v>1.0816</v>
      </c>
    </row>
    <row r="9" customFormat="false" ht="15" hidden="false" customHeight="false" outlineLevel="0" collapsed="false">
      <c r="A9" s="25" t="s">
        <v>30</v>
      </c>
      <c r="B9" s="26" t="n">
        <v>1.086</v>
      </c>
    </row>
    <row r="10" customFormat="false" ht="15" hidden="false" customHeight="false" outlineLevel="0" collapsed="false">
      <c r="A10" s="25" t="s">
        <v>31</v>
      </c>
      <c r="B10" s="26" t="n">
        <v>1.0432</v>
      </c>
    </row>
    <row r="11" customFormat="false" ht="15" hidden="false" customHeight="false" outlineLevel="0" collapsed="false">
      <c r="A11" s="25" t="s">
        <v>32</v>
      </c>
      <c r="B11" s="26" t="n">
        <v>0.8862</v>
      </c>
    </row>
    <row r="12" customFormat="false" ht="15" hidden="false" customHeight="false" outlineLevel="0" collapsed="false">
      <c r="A12" s="25" t="s">
        <v>35</v>
      </c>
      <c r="B12" s="26" t="n">
        <v>0.9377</v>
      </c>
    </row>
    <row r="13" customFormat="false" ht="15" hidden="false" customHeight="false" outlineLevel="0" collapsed="false">
      <c r="A13" s="25" t="s">
        <v>36</v>
      </c>
      <c r="B13" s="26" t="n">
        <v>0.9269</v>
      </c>
    </row>
    <row r="14" customFormat="false" ht="15" hidden="false" customHeight="false" outlineLevel="0" collapsed="false">
      <c r="A14" s="25" t="s">
        <v>39</v>
      </c>
      <c r="B14" s="26" t="n">
        <v>0.9147</v>
      </c>
    </row>
    <row r="15" customFormat="false" ht="15" hidden="false" customHeight="false" outlineLevel="0" collapsed="false">
      <c r="A15" s="25" t="s">
        <v>40</v>
      </c>
      <c r="B15" s="26" t="n">
        <v>0.9628</v>
      </c>
    </row>
    <row r="16" customFormat="false" ht="15" hidden="false" customHeight="false" outlineLevel="0" collapsed="false">
      <c r="A16" s="25" t="s">
        <v>41</v>
      </c>
      <c r="B16" s="26" t="n">
        <v>0.9848</v>
      </c>
    </row>
    <row r="17" customFormat="false" ht="15" hidden="false" customHeight="false" outlineLevel="0" collapsed="false">
      <c r="A17" s="25" t="s">
        <v>42</v>
      </c>
      <c r="B17" s="26" t="n">
        <v>0.9842</v>
      </c>
    </row>
    <row r="18" customFormat="false" ht="15" hidden="false" customHeight="false" outlineLevel="0" collapsed="false">
      <c r="A18" s="25" t="s">
        <v>44</v>
      </c>
      <c r="B18" s="26" t="n">
        <v>0.9784</v>
      </c>
    </row>
    <row r="19" customFormat="false" ht="15" hidden="false" customHeight="false" outlineLevel="0" collapsed="false">
      <c r="A19" s="25" t="s">
        <v>45</v>
      </c>
      <c r="B19" s="26" t="n">
        <v>0.9937</v>
      </c>
    </row>
    <row r="20" customFormat="false" ht="15" hidden="false" customHeight="false" outlineLevel="0" collapsed="false">
      <c r="A20" s="25" t="s">
        <v>46</v>
      </c>
      <c r="B20" s="26" t="n">
        <v>0.9389</v>
      </c>
    </row>
    <row r="21" customFormat="false" ht="15" hidden="false" customHeight="false" outlineLevel="0" collapsed="false">
      <c r="A21" s="25" t="s">
        <v>47</v>
      </c>
      <c r="B21" s="26" t="n">
        <v>0.9144</v>
      </c>
    </row>
    <row r="22" customFormat="false" ht="15" hidden="false" customHeight="false" outlineLevel="0" collapsed="false">
      <c r="A22" s="25" t="s">
        <v>48</v>
      </c>
      <c r="B22" s="26" t="n">
        <v>0.955</v>
      </c>
    </row>
    <row r="23" customFormat="false" ht="15" hidden="false" customHeight="false" outlineLevel="0" collapsed="false">
      <c r="A23" s="25" t="s">
        <v>49</v>
      </c>
      <c r="B23" s="26" t="n">
        <v>0.8984</v>
      </c>
    </row>
    <row r="24" customFormat="false" ht="15" hidden="false" customHeight="false" outlineLevel="0" collapsed="false">
      <c r="A24" s="25" t="s">
        <v>52</v>
      </c>
      <c r="B24" s="26" t="n">
        <v>0.8808</v>
      </c>
    </row>
    <row r="25" customFormat="false" ht="15" hidden="false" customHeight="false" outlineLevel="0" collapsed="false">
      <c r="A25" s="25" t="s">
        <v>54</v>
      </c>
      <c r="B25" s="26" t="n">
        <v>0.8305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27" t="s">
        <v>205</v>
      </c>
    </row>
    <row r="2" customFormat="false" ht="15" hidden="false" customHeight="false" outlineLevel="0" collapsed="false">
      <c r="A2" s="25" t="s">
        <v>206</v>
      </c>
    </row>
    <row r="3" customFormat="false" ht="15" hidden="false" customHeight="false" outlineLevel="0" collapsed="false">
      <c r="A3" s="25" t="s">
        <v>207</v>
      </c>
    </row>
    <row r="4" customFormat="false" ht="15" hidden="false" customHeight="false" outlineLevel="0" collapsed="false">
      <c r="A4" s="25"/>
    </row>
    <row r="5" customFormat="false" ht="15" hidden="false" customHeight="false" outlineLevel="0" collapsed="false">
      <c r="A5" s="27" t="s">
        <v>208</v>
      </c>
    </row>
    <row r="6" customFormat="false" ht="15" hidden="false" customHeight="false" outlineLevel="0" collapsed="false">
      <c r="A6" s="25" t="s">
        <v>209</v>
      </c>
    </row>
    <row r="7" customFormat="false" ht="15" hidden="false" customHeight="false" outlineLevel="0" collapsed="false">
      <c r="A7" s="25" t="s">
        <v>210</v>
      </c>
    </row>
    <row r="8" customFormat="false" ht="15" hidden="false" customHeight="false" outlineLevel="0" collapsed="false">
      <c r="A8" s="25" t="s">
        <v>211</v>
      </c>
    </row>
    <row r="9" customFormat="false" ht="15" hidden="false" customHeight="false" outlineLevel="0" collapsed="false">
      <c r="A9" s="25"/>
    </row>
    <row r="10" customFormat="false" ht="15" hidden="false" customHeight="false" outlineLevel="0" collapsed="false">
      <c r="A10" s="27" t="s">
        <v>212</v>
      </c>
    </row>
    <row r="11" customFormat="false" ht="15" hidden="false" customHeight="false" outlineLevel="0" collapsed="false">
      <c r="A11" s="25" t="s">
        <v>213</v>
      </c>
    </row>
    <row r="12" customFormat="false" ht="15" hidden="false" customHeight="false" outlineLevel="0" collapsed="false">
      <c r="A12" s="25" t="s">
        <v>214</v>
      </c>
    </row>
    <row r="13" customFormat="false" ht="15" hidden="false" customHeight="false" outlineLevel="0" collapsed="false">
      <c r="A13" s="25" t="s">
        <v>215</v>
      </c>
    </row>
    <row r="14" customFormat="false" ht="15" hidden="false" customHeight="false" outlineLevel="0" collapsed="false">
      <c r="A14" s="25"/>
    </row>
    <row r="15" customFormat="false" ht="15" hidden="false" customHeight="false" outlineLevel="0" collapsed="false">
      <c r="A15" s="27" t="s">
        <v>216</v>
      </c>
    </row>
    <row r="16" customFormat="false" ht="15" hidden="false" customHeight="false" outlineLevel="0" collapsed="false">
      <c r="A16" s="25" t="s">
        <v>217</v>
      </c>
    </row>
    <row r="17" customFormat="false" ht="15" hidden="false" customHeight="false" outlineLevel="0" collapsed="false">
      <c r="A17" s="25" t="s">
        <v>218</v>
      </c>
    </row>
    <row r="18" customFormat="false" ht="15" hidden="false" customHeight="false" outlineLevel="0" collapsed="false">
      <c r="A18" s="25" t="s">
        <v>219</v>
      </c>
    </row>
    <row r="19" customFormat="false" ht="15" hidden="false" customHeight="false" outlineLevel="0" collapsed="false">
      <c r="A19" s="25"/>
    </row>
    <row r="20" customFormat="false" ht="15" hidden="false" customHeight="false" outlineLevel="0" collapsed="false">
      <c r="A20" s="27" t="s">
        <v>220</v>
      </c>
    </row>
    <row r="21" customFormat="false" ht="15" hidden="false" customHeight="false" outlineLevel="0" collapsed="false">
      <c r="A21" s="25" t="s">
        <v>221</v>
      </c>
    </row>
    <row r="22" customFormat="false" ht="15" hidden="false" customHeight="false" outlineLevel="0" collapsed="false">
      <c r="A22" s="25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2026-10-14T03:07:27Z</dcterms:created>
  <dc:creator>openpyxl</dc:creator>
  <dc:description/>
  <dc:language>en-US</dc:language>
  <cp:lastModifiedBy/>
  <dcterms:modified xsi:type="dcterms:W3CDTF">2026-10-14T03:07:27Z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