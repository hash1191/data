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 Cash Turnover Mkt Share" sheetId="2" state="visible" r:id="rId2"/>
    <sheet name="Qrtr Eq Cash Turnover Mkt Share" sheetId="3" state="visible" r:id="rId3"/>
    <sheet name="Mth Eq Cash Turnover Mkt Share" sheetId="4" state="visible" r:id="rId4"/>
    <sheet name="Day Eq Cash Turnover Mkt Share" sheetId="5" state="visible" r:id="rId5"/>
    <sheet name="Year NSE Equity Cash" sheetId="6" state="visible" r:id="rId6"/>
    <sheet name="Monthly NSE Equity Cash" sheetId="7" state="visible" r:id="rId7"/>
    <sheet name="Daily NSE Equity Cash" sheetId="8" state="visible" r:id="rId8"/>
    <sheet name="Year BSE Equity Cash" sheetId="9" state="visible" r:id="rId9"/>
    <sheet name="Monthly BSE Equity Cash" sheetId="10" state="visible" r:id="rId10"/>
    <sheet name="Daily BSE Equity Cas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dd-mmm-yyyy"/>
    <numFmt numFmtId="167" formatCode="#,##0.0000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2" customWidth="1" min="5" max="5"/>
    <col width="70" customWidth="1" min="6" max="6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1" t="inlineStr">
        <is>
          <t>Turnover Total (INR Bn)</t>
        </is>
      </c>
    </row>
    <row r="2">
      <c r="A2" s="2" t="inlineStr">
        <is>
          <t>NSE</t>
        </is>
      </c>
      <c r="B2" s="2" t="inlineStr">
        <is>
          <t>Year NSE Equity Cash</t>
        </is>
      </c>
      <c r="C2" s="2">
        <f>'Year NSE Equity Cash'!A2</f>
        <v/>
      </c>
      <c r="D2" s="2">
        <f>LOOKUP(2,1/('Year NSE Equity Cash'!$A$2:$A$100000&lt;&gt;""),'Year NSE Equity Cash'!$A$2:$A$100000)</f>
        <v/>
      </c>
      <c r="E2" s="3">
        <f>COUNTA('Year NSE Equity Cash'!$A:$A)-1</f>
        <v/>
      </c>
      <c r="F2" s="4">
        <f>SUM('Year NSE Equity Cash'!$I:$I)</f>
        <v/>
      </c>
    </row>
    <row r="3">
      <c r="A3" s="2" t="inlineStr">
        <is>
          <t>NSE</t>
        </is>
      </c>
      <c r="B3" s="2" t="inlineStr">
        <is>
          <t>Monthly NSE Equity Cash</t>
        </is>
      </c>
      <c r="C3" s="5">
        <f>'Monthly NSE Equity Cash'!A2</f>
        <v/>
      </c>
      <c r="D3" s="5">
        <f>LOOKUP(2,1/('Monthly NSE Equity Cash'!$A$2:$A$100000&lt;&gt;""),'Monthly NSE Equity Cash'!$A$2:$A$100000)</f>
        <v/>
      </c>
      <c r="E3" s="3">
        <f>COUNTA('Monthly NSE Equity Cash'!$A:$A)-1</f>
        <v/>
      </c>
      <c r="F3" s="4">
        <f>SUM('Monthly NSE Equity Cash'!$K:$K)</f>
        <v/>
      </c>
    </row>
    <row r="4">
      <c r="A4" s="2" t="inlineStr">
        <is>
          <t>NSE</t>
        </is>
      </c>
      <c r="B4" s="2" t="inlineStr">
        <is>
          <t>Daily NSE Equity Cash</t>
        </is>
      </c>
      <c r="C4" s="6">
        <f>'Daily NSE Equity Cash'!A2</f>
        <v/>
      </c>
      <c r="D4" s="6">
        <f>LOOKUP(2,1/('Daily NSE Equity Cash'!$A$2:$A$100000&lt;&gt;""),'Daily NSE Equity Cash'!$A$2:$A$100000)</f>
        <v/>
      </c>
      <c r="E4" s="3">
        <f>COUNTA('Daily NSE Equity Cash'!$A:$A)-1</f>
        <v/>
      </c>
      <c r="F4" s="4">
        <f>SUM('Daily NSE Equity Cash'!$H:$H)</f>
        <v/>
      </c>
    </row>
    <row r="5">
      <c r="A5" s="2" t="inlineStr">
        <is>
          <t>BSE</t>
        </is>
      </c>
      <c r="B5" s="2" t="inlineStr">
        <is>
          <t>Year BSE Equity Cash</t>
        </is>
      </c>
      <c r="C5" s="2">
        <f>'Year BSE Equity Cash'!A2</f>
        <v/>
      </c>
      <c r="D5" s="2">
        <f>LOOKUP(2,1/('Year BSE Equity Cash'!$A$2:$A$100000&lt;&gt;""),'Year BSE Equity Cash'!$A$2:$A$100000)</f>
        <v/>
      </c>
      <c r="E5" s="3">
        <f>COUNTA('Year BSE Equity Cash'!$A:$A)-1</f>
        <v/>
      </c>
      <c r="F5" s="4">
        <f>SUM('Year BSE Equity Cash'!$F:$F)</f>
        <v/>
      </c>
    </row>
    <row r="6">
      <c r="A6" s="2" t="inlineStr">
        <is>
          <t>BSE</t>
        </is>
      </c>
      <c r="B6" s="2" t="inlineStr">
        <is>
          <t>Monthly BSE Equity Cash</t>
        </is>
      </c>
      <c r="C6" s="5">
        <f>'Monthly BSE Equity Cash'!A2</f>
        <v/>
      </c>
      <c r="D6" s="5">
        <f>LOOKUP(2,1/('Monthly BSE Equity Cash'!$A$2:$A$100000&lt;&gt;""),'Monthly BSE Equity Cash'!$A$2:$A$100000)</f>
        <v/>
      </c>
      <c r="E6" s="3">
        <f>COUNTA('Monthly BSE Equity Cash'!$A:$A)-1</f>
        <v/>
      </c>
      <c r="F6" s="4">
        <f>SUM('Monthly BSE Equity Cash'!$G:$G)</f>
        <v/>
      </c>
    </row>
    <row r="7">
      <c r="A7" s="2" t="inlineStr">
        <is>
          <t>BSE</t>
        </is>
      </c>
      <c r="B7" s="2" t="inlineStr">
        <is>
          <t>Daily BSE Equity Cash</t>
        </is>
      </c>
      <c r="C7" s="6">
        <f>'Daily BSE Equity Cash'!A2</f>
        <v/>
      </c>
      <c r="D7" s="6">
        <f>LOOKUP(2,1/('Daily BSE Equity Cash'!$A$2:$A$100000&lt;&gt;""),'Daily BSE Equity Cash'!$A$2:$A$100000)</f>
        <v/>
      </c>
      <c r="E7" s="3">
        <f>COUNTA('Daily BSE Equity Cash'!$A:$A)-1</f>
        <v/>
      </c>
      <c r="F7" s="4">
        <f>SUM('Daily BSE Equity Cash'!$H:$H)</f>
        <v/>
      </c>
    </row>
    <row r="9">
      <c r="A9" s="1" t="inlineStr">
        <is>
          <t>NSE &amp; BSE daily end dates aligned?</t>
        </is>
      </c>
      <c r="C9" s="2">
        <f>IF($D$4=$D$7,"YES","NO")</f>
        <v/>
      </c>
    </row>
    <row r="11">
      <c r="A11" s="1" t="inlineStr">
        <is>
          <t>Turnover Reconciliation</t>
        </is>
      </c>
      <c r="B11" s="1" t="inlineStr">
        <is>
          <t>Aggregate (INR Bn)</t>
        </is>
      </c>
      <c r="C11" s="1" t="inlineStr">
        <is>
          <t>Component Sum (INR Bn)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2" t="inlineStr">
        <is>
          <t>NSE: Monthly vs Daily (Apr-2020 → last completed month)</t>
        </is>
      </c>
      <c r="B12" s="4">
        <f>SUMIFS('Monthly NSE Equity Cash'!$K:$K,'Monthly NSE Equity Cash'!$A:$A,"&gt;="&amp;DATE(2020,4,1))</f>
        <v/>
      </c>
      <c r="C12" s="4">
        <f>SUMIFS('Daily NSE Equity Cash'!$H:$H,'Daily NSE Equity Cash'!$A:$A,"&lt;="&amp;EOMONTH($D$3,0))</f>
        <v/>
      </c>
      <c r="D12" s="4">
        <f>B12-C12</f>
        <v/>
      </c>
      <c r="E12" s="2">
        <f>IF(ABS(D12)&lt;=0.25,"OK","CHECK")</f>
        <v/>
      </c>
      <c r="F12" s="2" t="inlineStr">
        <is>
          <t>NSE source gaps: daily rows missing 22-Nov-2021 &amp; 07/08/09/11/14-Aug-2023</t>
        </is>
      </c>
    </row>
    <row r="13">
      <c r="A13" s="2" t="inlineStr">
        <is>
          <t>NSE: Yearly vs Monthly (FY1999-2000 → last completed FY)</t>
        </is>
      </c>
      <c r="B13" s="4">
        <f>SUMIFS('Year NSE Equity Cash'!$I:$I,'Year NSE Equity Cash'!$A:$A,"&gt;=1999-2000")</f>
        <v/>
      </c>
      <c r="C13" s="4">
        <f>SUMIFS('Monthly NSE Equity Cash'!$K:$K,'Monthly NSE Equity Cash'!$A:$A,"&lt;="&amp;DATE(VALUE(RIGHT($D$2,4)),3,31))</f>
        <v/>
      </c>
      <c r="D13" s="4">
        <f>B13-C13</f>
        <v/>
      </c>
      <c r="E13" s="2">
        <f>IF(ABS(D13)&lt;=0.25,"OK","CHECK")</f>
        <v/>
      </c>
      <c r="F13" s="2" t="inlineStr">
        <is>
          <t>~0.2 INR Bn rounding at NSE (FY2020-21)</t>
        </is>
      </c>
    </row>
    <row r="14">
      <c r="A14" s="2" t="inlineStr">
        <is>
          <t>BSE: Monthly vs Daily (Apr-2020 → last month)</t>
        </is>
      </c>
      <c r="B14" s="4">
        <f>SUMIFS('Monthly BSE Equity Cash'!$G:$G,'Monthly BSE Equity Cash'!$A:$A,"&gt;="&amp;DATE(2020,4,1),'Monthly BSE Equity Cash'!$A:$A,"&lt;="&amp;DATE(YEAR($D$7),MONTH($D$7),1))</f>
        <v/>
      </c>
      <c r="C14" s="4">
        <f>SUMIFS('Daily BSE Equity Cash'!$H:$H,'Daily BSE Equity Cash'!$A:$A,"&lt;="&amp;EOMONTH($D$6,0))</f>
        <v/>
      </c>
      <c r="D14" s="4">
        <f>B14-C14</f>
        <v/>
      </c>
      <c r="E14" s="2">
        <f>IF(ABS(D14)&lt;=0.25,"OK","CHECK")</f>
        <v/>
      </c>
      <c r="F14" s="2" t="inlineStr"/>
    </row>
    <row r="15">
      <c r="A15" s="2" t="inlineStr">
        <is>
          <t>BSE: Yearly vs Monthly (full history)</t>
        </is>
      </c>
      <c r="B15" s="4">
        <f>SUM('Year BSE Equity Cash'!$F:$F)</f>
        <v/>
      </c>
      <c r="C15" s="4">
        <f>SUM('Monthly BSE Equity Cash'!$G:$G)</f>
        <v/>
      </c>
      <c r="D15" s="4">
        <f>B15-C15</f>
        <v/>
      </c>
      <c r="E15" s="2">
        <f>IF(ABS(D15)&lt;=0.25,"OK","CHECK")</f>
        <v/>
      </c>
      <c r="F15" s="2" t="inlineStr"/>
    </row>
    <row r="17">
      <c r="A17" s="1" t="inlineStr">
        <is>
          <t>Notes</t>
        </is>
      </c>
    </row>
    <row r="18">
      <c r="A18" s="2" t="inlineStr">
        <is>
          <t>Units: shares &amp; trades in Crores; all monetary values in INR Bn (1 Bn = 100 Crores); same units for both exchanges.</t>
        </is>
      </c>
    </row>
    <row r="19">
      <c r="A19" s="2" t="inlineStr">
        <is>
      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      </is>
      </c>
    </row>
    <row r="20">
      <c r="A20" s="2" t="inlineStr">
        <is>
          <t>NSE publishes Monthly figures only for completed months; the NSE Year sheet excludes the in-progress fiscal year.</t>
        </is>
      </c>
    </row>
    <row r="21">
      <c r="A21" s="2" t="inlineStr">
        <is>
          <t>Known NSE source gaps (same on nseindia.com): daily rows missing for 22-Nov-2021 and 07/08/09/11/14-Aug-2023; Aug-2023 monthly total is ~1 trading day low; Dec-2021 monthly &amp; FY2020-21 yearly differ by ~0.2 INR Bn (NSE rounding).</t>
        </is>
      </c>
    </row>
    <row r="22">
      <c r="A22" s="2" t="inlineStr">
        <is>
          <t>History starts: NSE yearly FY1994-95, monthly Apr-1999; BSE yearly FY1997-98, monthly Nov-1997; daily sheets per chosen range.</t>
        </is>
      </c>
    </row>
    <row r="23">
      <c r="A23" s="2" t="inlineStr">
        <is>
      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4" customWidth="1" min="7" max="7"/>
    <col hidden="1" outlineLevel="1" width="16" customWidth="1" min="8" max="8"/>
    <col hidden="1" outlineLevel="1" width="16" customWidth="1" min="9" max="9"/>
  </cols>
  <sheetData>
    <row r="1">
      <c r="A1" s="1" t="inlineStr">
        <is>
          <t>Fiscal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YoY Growth</t>
        </is>
      </c>
      <c r="F1" s="1" t="inlineStr">
        <is>
          <t>BSE YoY Growth</t>
        </is>
      </c>
      <c r="G1" s="1" t="inlineStr">
        <is>
          <t>Total Turnover YoY Growth</t>
        </is>
      </c>
      <c r="H1" s="1" t="inlineStr">
        <is>
          <t>NSE Market Share</t>
        </is>
      </c>
      <c r="I1" s="1" t="inlineStr">
        <is>
          <t>BSE Market Share</t>
        </is>
      </c>
    </row>
    <row r="2">
      <c r="A2" s="2" t="inlineStr">
        <is>
          <t>1994-1995</t>
        </is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/>
      </c>
      <c r="C2" s="4">
        <f>IF(SUMIFS('Year BSE Equity Cash'!$F:$F,'Year BSE Equity Cash'!$A:$A,$A2)=0,"",SUMIFS('Year BSE Equity Cash'!$F:$F,'Year BSE Equity Cash'!$A:$A,$A2))</f>
        <v/>
      </c>
      <c r="D2" s="4">
        <f>IF(OR(B2="",C2=""),"",B2+C2)</f>
        <v/>
      </c>
      <c r="E2" s="7" t="n"/>
      <c r="F2" s="7" t="n"/>
      <c r="G2" s="7" t="n"/>
      <c r="H2" s="7">
        <f>IF(D2="","",B2/D2)</f>
        <v/>
      </c>
      <c r="I2" s="7">
        <f>IF(D2="","",C2/D2)</f>
        <v/>
      </c>
    </row>
    <row r="3">
      <c r="A3" s="2" t="inlineStr">
        <is>
          <t>1995-1996</t>
        </is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/>
      </c>
      <c r="C3" s="4">
        <f>IF(SUMIFS('Year BSE Equity Cash'!$F:$F,'Year BSE Equity Cash'!$A:$A,$A3)=0,"",SUMIFS('Year BSE Equity Cash'!$F:$F,'Year BSE Equity Cash'!$A:$A,$A3))</f>
        <v/>
      </c>
      <c r="D3" s="4">
        <f>IF(OR(B3="",C3=""),"",B3+C3)</f>
        <v/>
      </c>
      <c r="E3" s="7">
        <f>IF(OR(B3="",B2=""),"",B3/B2-1)</f>
        <v/>
      </c>
      <c r="F3" s="7">
        <f>IF(OR(C3="",C2=""),"",C3/C2-1)</f>
        <v/>
      </c>
      <c r="G3" s="7">
        <f>IF(OR(D3="",D2=""),"",D3/D2-1)</f>
        <v/>
      </c>
      <c r="H3" s="7">
        <f>IF(D3="","",B3/D3)</f>
        <v/>
      </c>
      <c r="I3" s="7">
        <f>IF(D3="","",C3/D3)</f>
        <v/>
      </c>
    </row>
    <row r="4">
      <c r="A4" s="2" t="inlineStr">
        <is>
          <t>1996-1997</t>
        </is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/>
      </c>
      <c r="C4" s="4">
        <f>IF(SUMIFS('Year BSE Equity Cash'!$F:$F,'Year BSE Equity Cash'!$A:$A,$A4)=0,"",SUMIFS('Year BSE Equity Cash'!$F:$F,'Year BSE Equity Cash'!$A:$A,$A4))</f>
        <v/>
      </c>
      <c r="D4" s="4">
        <f>IF(OR(B4="",C4=""),"",B4+C4)</f>
        <v/>
      </c>
      <c r="E4" s="7">
        <f>IF(OR(B4="",B3=""),"",B4/B3-1)</f>
        <v/>
      </c>
      <c r="F4" s="7">
        <f>IF(OR(C4="",C3=""),"",C4/C3-1)</f>
        <v/>
      </c>
      <c r="G4" s="7">
        <f>IF(OR(D4="",D3=""),"",D4/D3-1)</f>
        <v/>
      </c>
      <c r="H4" s="7">
        <f>IF(D4="","",B4/D4)</f>
        <v/>
      </c>
      <c r="I4" s="7">
        <f>IF(D4="","",C4/D4)</f>
        <v/>
      </c>
    </row>
    <row r="5">
      <c r="A5" s="2" t="inlineStr">
        <is>
          <t>1997-1998</t>
        </is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/>
      </c>
      <c r="C5" s="4">
        <f>IF(SUMIFS('Year BSE Equity Cash'!$F:$F,'Year BSE Equity Cash'!$A:$A,$A5)=0,"",SUMIFS('Year BSE Equity Cash'!$F:$F,'Year BSE Equity Cash'!$A:$A,$A5))</f>
        <v/>
      </c>
      <c r="D5" s="4">
        <f>IF(OR(B5="",C5=""),"",B5+C5)</f>
        <v/>
      </c>
      <c r="E5" s="7">
        <f>IF(OR(B5="",B4=""),"",B5/B4-1)</f>
        <v/>
      </c>
      <c r="F5" s="7">
        <f>IF(OR(C5="",C4=""),"",C5/C4-1)</f>
        <v/>
      </c>
      <c r="G5" s="7">
        <f>IF(OR(D5="",D4=""),"",D5/D4-1)</f>
        <v/>
      </c>
      <c r="H5" s="7">
        <f>IF(D5="","",B5/D5)</f>
        <v/>
      </c>
      <c r="I5" s="7">
        <f>IF(D5="","",C5/D5)</f>
        <v/>
      </c>
    </row>
    <row r="6">
      <c r="A6" s="2" t="inlineStr">
        <is>
          <t>1998-1999</t>
        </is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/>
      </c>
      <c r="C6" s="4">
        <f>IF(SUMIFS('Year BSE Equity Cash'!$F:$F,'Year BSE Equity Cash'!$A:$A,$A6)=0,"",SUMIFS('Year BSE Equity Cash'!$F:$F,'Year BSE Equity Cash'!$A:$A,$A6))</f>
        <v/>
      </c>
      <c r="D6" s="4">
        <f>IF(OR(B6="",C6=""),"",B6+C6)</f>
        <v/>
      </c>
      <c r="E6" s="7">
        <f>IF(OR(B6="",B5=""),"",B6/B5-1)</f>
        <v/>
      </c>
      <c r="F6" s="7">
        <f>IF(OR(C6="",C5=""),"",C6/C5-1)</f>
        <v/>
      </c>
      <c r="G6" s="7">
        <f>IF(OR(D6="",D5=""),"",D6/D5-1)</f>
        <v/>
      </c>
      <c r="H6" s="7">
        <f>IF(D6="","",B6/D6)</f>
        <v/>
      </c>
      <c r="I6" s="7">
        <f>IF(D6="","",C6/D6)</f>
        <v/>
      </c>
    </row>
    <row r="7">
      <c r="A7" s="2" t="inlineStr">
        <is>
          <t>1999-2000</t>
        </is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/>
      </c>
      <c r="C7" s="4">
        <f>IF(SUMIFS('Year BSE Equity Cash'!$F:$F,'Year BSE Equity Cash'!$A:$A,$A7)=0,"",SUMIFS('Year BSE Equity Cash'!$F:$F,'Year BSE Equity Cash'!$A:$A,$A7))</f>
        <v/>
      </c>
      <c r="D7" s="4">
        <f>IF(OR(B7="",C7=""),"",B7+C7)</f>
        <v/>
      </c>
      <c r="E7" s="7">
        <f>IF(OR(B7="",B6=""),"",B7/B6-1)</f>
        <v/>
      </c>
      <c r="F7" s="7">
        <f>IF(OR(C7="",C6=""),"",C7/C6-1)</f>
        <v/>
      </c>
      <c r="G7" s="7">
        <f>IF(OR(D7="",D6=""),"",D7/D6-1)</f>
        <v/>
      </c>
      <c r="H7" s="7">
        <f>IF(D7="","",B7/D7)</f>
        <v/>
      </c>
      <c r="I7" s="7">
        <f>IF(D7="","",C7/D7)</f>
        <v/>
      </c>
    </row>
    <row r="8">
      <c r="A8" s="2" t="inlineStr">
        <is>
          <t>2000-2001</t>
        </is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/>
      </c>
      <c r="C8" s="4">
        <f>IF(SUMIFS('Year BSE Equity Cash'!$F:$F,'Year BSE Equity Cash'!$A:$A,$A8)=0,"",SUMIFS('Year BSE Equity Cash'!$F:$F,'Year BSE Equity Cash'!$A:$A,$A8))</f>
        <v/>
      </c>
      <c r="D8" s="4">
        <f>IF(OR(B8="",C8=""),"",B8+C8)</f>
        <v/>
      </c>
      <c r="E8" s="7">
        <f>IF(OR(B8="",B7=""),"",B8/B7-1)</f>
        <v/>
      </c>
      <c r="F8" s="7">
        <f>IF(OR(C8="",C7=""),"",C8/C7-1)</f>
        <v/>
      </c>
      <c r="G8" s="7">
        <f>IF(OR(D8="",D7=""),"",D8/D7-1)</f>
        <v/>
      </c>
      <c r="H8" s="7">
        <f>IF(D8="","",B8/D8)</f>
        <v/>
      </c>
      <c r="I8" s="7">
        <f>IF(D8="","",C8/D8)</f>
        <v/>
      </c>
    </row>
    <row r="9">
      <c r="A9" s="2" t="inlineStr">
        <is>
          <t>2001-2002</t>
        </is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/>
      </c>
      <c r="C9" s="4">
        <f>IF(SUMIFS('Year BSE Equity Cash'!$F:$F,'Year BSE Equity Cash'!$A:$A,$A9)=0,"",SUMIFS('Year BSE Equity Cash'!$F:$F,'Year BSE Equity Cash'!$A:$A,$A9))</f>
        <v/>
      </c>
      <c r="D9" s="4">
        <f>IF(OR(B9="",C9=""),"",B9+C9)</f>
        <v/>
      </c>
      <c r="E9" s="7">
        <f>IF(OR(B9="",B8=""),"",B9/B8-1)</f>
        <v/>
      </c>
      <c r="F9" s="7">
        <f>IF(OR(C9="",C8=""),"",C9/C8-1)</f>
        <v/>
      </c>
      <c r="G9" s="7">
        <f>IF(OR(D9="",D8=""),"",D9/D8-1)</f>
        <v/>
      </c>
      <c r="H9" s="7">
        <f>IF(D9="","",B9/D9)</f>
        <v/>
      </c>
      <c r="I9" s="7">
        <f>IF(D9="","",C9/D9)</f>
        <v/>
      </c>
    </row>
    <row r="10">
      <c r="A10" s="2" t="inlineStr">
        <is>
          <t>2002-2003</t>
        </is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/>
      </c>
      <c r="C10" s="4">
        <f>IF(SUMIFS('Year BSE Equity Cash'!$F:$F,'Year BSE Equity Cash'!$A:$A,$A10)=0,"",SUMIFS('Year BSE Equity Cash'!$F:$F,'Year BSE Equity Cash'!$A:$A,$A10))</f>
        <v/>
      </c>
      <c r="D10" s="4">
        <f>IF(OR(B10="",C10=""),"",B10+C10)</f>
        <v/>
      </c>
      <c r="E10" s="7">
        <f>IF(OR(B10="",B9=""),"",B10/B9-1)</f>
        <v/>
      </c>
      <c r="F10" s="7">
        <f>IF(OR(C10="",C9=""),"",C10/C9-1)</f>
        <v/>
      </c>
      <c r="G10" s="7">
        <f>IF(OR(D10="",D9=""),"",D10/D9-1)</f>
        <v/>
      </c>
      <c r="H10" s="7">
        <f>IF(D10="","",B10/D10)</f>
        <v/>
      </c>
      <c r="I10" s="7">
        <f>IF(D10="","",C10/D10)</f>
        <v/>
      </c>
    </row>
    <row r="11">
      <c r="A11" s="2" t="inlineStr">
        <is>
          <t>2003-2004</t>
        </is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/>
      </c>
      <c r="C11" s="4">
        <f>IF(SUMIFS('Year BSE Equity Cash'!$F:$F,'Year BSE Equity Cash'!$A:$A,$A11)=0,"",SUMIFS('Year BSE Equity Cash'!$F:$F,'Year BSE Equity Cash'!$A:$A,$A11))</f>
        <v/>
      </c>
      <c r="D11" s="4">
        <f>IF(OR(B11="",C11=""),"",B11+C11)</f>
        <v/>
      </c>
      <c r="E11" s="7">
        <f>IF(OR(B11="",B10=""),"",B11/B10-1)</f>
        <v/>
      </c>
      <c r="F11" s="7">
        <f>IF(OR(C11="",C10=""),"",C11/C10-1)</f>
        <v/>
      </c>
      <c r="G11" s="7">
        <f>IF(OR(D11="",D10=""),"",D11/D10-1)</f>
        <v/>
      </c>
      <c r="H11" s="7">
        <f>IF(D11="","",B11/D11)</f>
        <v/>
      </c>
      <c r="I11" s="7">
        <f>IF(D11="","",C11/D11)</f>
        <v/>
      </c>
    </row>
    <row r="12">
      <c r="A12" s="2" t="inlineStr">
        <is>
          <t>2004-2005</t>
        </is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/>
      </c>
      <c r="C12" s="4">
        <f>IF(SUMIFS('Year BSE Equity Cash'!$F:$F,'Year BSE Equity Cash'!$A:$A,$A12)=0,"",SUMIFS('Year BSE Equity Cash'!$F:$F,'Year BSE Equity Cash'!$A:$A,$A12))</f>
        <v/>
      </c>
      <c r="D12" s="4">
        <f>IF(OR(B12="",C12=""),"",B12+C12)</f>
        <v/>
      </c>
      <c r="E12" s="7">
        <f>IF(OR(B12="",B11=""),"",B12/B11-1)</f>
        <v/>
      </c>
      <c r="F12" s="7">
        <f>IF(OR(C12="",C11=""),"",C12/C11-1)</f>
        <v/>
      </c>
      <c r="G12" s="7">
        <f>IF(OR(D12="",D11=""),"",D12/D11-1)</f>
        <v/>
      </c>
      <c r="H12" s="7">
        <f>IF(D12="","",B12/D12)</f>
        <v/>
      </c>
      <c r="I12" s="7">
        <f>IF(D12="","",C12/D12)</f>
        <v/>
      </c>
    </row>
    <row r="13">
      <c r="A13" s="2" t="inlineStr">
        <is>
          <t>2005-2006</t>
        </is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/>
      </c>
      <c r="C13" s="4">
        <f>IF(SUMIFS('Year BSE Equity Cash'!$F:$F,'Year BSE Equity Cash'!$A:$A,$A13)=0,"",SUMIFS('Year BSE Equity Cash'!$F:$F,'Year BSE Equity Cash'!$A:$A,$A13))</f>
        <v/>
      </c>
      <c r="D13" s="4">
        <f>IF(OR(B13="",C13=""),"",B13+C13)</f>
        <v/>
      </c>
      <c r="E13" s="7">
        <f>IF(OR(B13="",B12=""),"",B13/B12-1)</f>
        <v/>
      </c>
      <c r="F13" s="7">
        <f>IF(OR(C13="",C12=""),"",C13/C12-1)</f>
        <v/>
      </c>
      <c r="G13" s="7">
        <f>IF(OR(D13="",D12=""),"",D13/D12-1)</f>
        <v/>
      </c>
      <c r="H13" s="7">
        <f>IF(D13="","",B13/D13)</f>
        <v/>
      </c>
      <c r="I13" s="7">
        <f>IF(D13="","",C13/D13)</f>
        <v/>
      </c>
    </row>
    <row r="14">
      <c r="A14" s="2" t="inlineStr">
        <is>
          <t>2006-2007</t>
        </is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/>
      </c>
      <c r="C14" s="4">
        <f>IF(SUMIFS('Year BSE Equity Cash'!$F:$F,'Year BSE Equity Cash'!$A:$A,$A14)=0,"",SUMIFS('Year BSE Equity Cash'!$F:$F,'Year BSE Equity Cash'!$A:$A,$A14))</f>
        <v/>
      </c>
      <c r="D14" s="4">
        <f>IF(OR(B14="",C14=""),"",B14+C14)</f>
        <v/>
      </c>
      <c r="E14" s="7">
        <f>IF(OR(B14="",B13=""),"",B14/B13-1)</f>
        <v/>
      </c>
      <c r="F14" s="7">
        <f>IF(OR(C14="",C13=""),"",C14/C13-1)</f>
        <v/>
      </c>
      <c r="G14" s="7">
        <f>IF(OR(D14="",D13=""),"",D14/D13-1)</f>
        <v/>
      </c>
      <c r="H14" s="7">
        <f>IF(D14="","",B14/D14)</f>
        <v/>
      </c>
      <c r="I14" s="7">
        <f>IF(D14="","",C14/D14)</f>
        <v/>
      </c>
    </row>
    <row r="15">
      <c r="A15" s="2" t="inlineStr">
        <is>
          <t>2007-2008</t>
        </is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/>
      </c>
      <c r="C15" s="4">
        <f>IF(SUMIFS('Year BSE Equity Cash'!$F:$F,'Year BSE Equity Cash'!$A:$A,$A15)=0,"",SUMIFS('Year BSE Equity Cash'!$F:$F,'Year BSE Equity Cash'!$A:$A,$A15))</f>
        <v/>
      </c>
      <c r="D15" s="4">
        <f>IF(OR(B15="",C15=""),"",B15+C15)</f>
        <v/>
      </c>
      <c r="E15" s="7">
        <f>IF(OR(B15="",B14=""),"",B15/B14-1)</f>
        <v/>
      </c>
      <c r="F15" s="7">
        <f>IF(OR(C15="",C14=""),"",C15/C14-1)</f>
        <v/>
      </c>
      <c r="G15" s="7">
        <f>IF(OR(D15="",D14=""),"",D15/D14-1)</f>
        <v/>
      </c>
      <c r="H15" s="7">
        <f>IF(D15="","",B15/D15)</f>
        <v/>
      </c>
      <c r="I15" s="7">
        <f>IF(D15="","",C15/D15)</f>
        <v/>
      </c>
    </row>
    <row r="16">
      <c r="A16" s="2" t="inlineStr">
        <is>
          <t>2008-2009</t>
        </is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/>
      </c>
      <c r="C16" s="4">
        <f>IF(SUMIFS('Year BSE Equity Cash'!$F:$F,'Year BSE Equity Cash'!$A:$A,$A16)=0,"",SUMIFS('Year BSE Equity Cash'!$F:$F,'Year BSE Equity Cash'!$A:$A,$A16))</f>
        <v/>
      </c>
      <c r="D16" s="4">
        <f>IF(OR(B16="",C16=""),"",B16+C16)</f>
        <v/>
      </c>
      <c r="E16" s="7">
        <f>IF(OR(B16="",B15=""),"",B16/B15-1)</f>
        <v/>
      </c>
      <c r="F16" s="7">
        <f>IF(OR(C16="",C15=""),"",C16/C15-1)</f>
        <v/>
      </c>
      <c r="G16" s="7">
        <f>IF(OR(D16="",D15=""),"",D16/D15-1)</f>
        <v/>
      </c>
      <c r="H16" s="7">
        <f>IF(D16="","",B16/D16)</f>
        <v/>
      </c>
      <c r="I16" s="7">
        <f>IF(D16="","",C16/D16)</f>
        <v/>
      </c>
    </row>
    <row r="17">
      <c r="A17" s="2" t="inlineStr">
        <is>
          <t>2009-2010</t>
        </is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/>
      </c>
      <c r="C17" s="4">
        <f>IF(SUMIFS('Year BSE Equity Cash'!$F:$F,'Year BSE Equity Cash'!$A:$A,$A17)=0,"",SUMIFS('Year BSE Equity Cash'!$F:$F,'Year BSE Equity Cash'!$A:$A,$A17))</f>
        <v/>
      </c>
      <c r="D17" s="4">
        <f>IF(OR(B17="",C17=""),"",B17+C17)</f>
        <v/>
      </c>
      <c r="E17" s="7">
        <f>IF(OR(B17="",B16=""),"",B17/B16-1)</f>
        <v/>
      </c>
      <c r="F17" s="7">
        <f>IF(OR(C17="",C16=""),"",C17/C16-1)</f>
        <v/>
      </c>
      <c r="G17" s="7">
        <f>IF(OR(D17="",D16=""),"",D17/D16-1)</f>
        <v/>
      </c>
      <c r="H17" s="7">
        <f>IF(D17="","",B17/D17)</f>
        <v/>
      </c>
      <c r="I17" s="7">
        <f>IF(D17="","",C17/D17)</f>
        <v/>
      </c>
    </row>
    <row r="18">
      <c r="A18" s="2" t="inlineStr">
        <is>
          <t>2010-2011</t>
        </is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/>
      </c>
      <c r="C18" s="4">
        <f>IF(SUMIFS('Year BSE Equity Cash'!$F:$F,'Year BSE Equity Cash'!$A:$A,$A18)=0,"",SUMIFS('Year BSE Equity Cash'!$F:$F,'Year BSE Equity Cash'!$A:$A,$A18))</f>
        <v/>
      </c>
      <c r="D18" s="4">
        <f>IF(OR(B18="",C18=""),"",B18+C18)</f>
        <v/>
      </c>
      <c r="E18" s="7">
        <f>IF(OR(B18="",B17=""),"",B18/B17-1)</f>
        <v/>
      </c>
      <c r="F18" s="7">
        <f>IF(OR(C18="",C17=""),"",C18/C17-1)</f>
        <v/>
      </c>
      <c r="G18" s="7">
        <f>IF(OR(D18="",D17=""),"",D18/D17-1)</f>
        <v/>
      </c>
      <c r="H18" s="7">
        <f>IF(D18="","",B18/D18)</f>
        <v/>
      </c>
      <c r="I18" s="7">
        <f>IF(D18="","",C18/D18)</f>
        <v/>
      </c>
    </row>
    <row r="19">
      <c r="A19" s="2" t="inlineStr">
        <is>
          <t>2011-2012</t>
        </is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/>
      </c>
      <c r="C19" s="4">
        <f>IF(SUMIFS('Year BSE Equity Cash'!$F:$F,'Year BSE Equity Cash'!$A:$A,$A19)=0,"",SUMIFS('Year BSE Equity Cash'!$F:$F,'Year BSE Equity Cash'!$A:$A,$A19))</f>
        <v/>
      </c>
      <c r="D19" s="4">
        <f>IF(OR(B19="",C19=""),"",B19+C19)</f>
        <v/>
      </c>
      <c r="E19" s="7">
        <f>IF(OR(B19="",B18=""),"",B19/B18-1)</f>
        <v/>
      </c>
      <c r="F19" s="7">
        <f>IF(OR(C19="",C18=""),"",C19/C18-1)</f>
        <v/>
      </c>
      <c r="G19" s="7">
        <f>IF(OR(D19="",D18=""),"",D19/D18-1)</f>
        <v/>
      </c>
      <c r="H19" s="7">
        <f>IF(D19="","",B19/D19)</f>
        <v/>
      </c>
      <c r="I19" s="7">
        <f>IF(D19="","",C19/D19)</f>
        <v/>
      </c>
    </row>
    <row r="20">
      <c r="A20" s="2" t="inlineStr">
        <is>
          <t>2012-2013</t>
        </is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/>
      </c>
      <c r="C20" s="4">
        <f>IF(SUMIFS('Year BSE Equity Cash'!$F:$F,'Year BSE Equity Cash'!$A:$A,$A20)=0,"",SUMIFS('Year BSE Equity Cash'!$F:$F,'Year BSE Equity Cash'!$A:$A,$A20))</f>
        <v/>
      </c>
      <c r="D20" s="4">
        <f>IF(OR(B20="",C20=""),"",B20+C20)</f>
        <v/>
      </c>
      <c r="E20" s="7">
        <f>IF(OR(B20="",B19=""),"",B20/B19-1)</f>
        <v/>
      </c>
      <c r="F20" s="7">
        <f>IF(OR(C20="",C19=""),"",C20/C19-1)</f>
        <v/>
      </c>
      <c r="G20" s="7">
        <f>IF(OR(D20="",D19=""),"",D20/D19-1)</f>
        <v/>
      </c>
      <c r="H20" s="7">
        <f>IF(D20="","",B20/D20)</f>
        <v/>
      </c>
      <c r="I20" s="7">
        <f>IF(D20="","",C20/D20)</f>
        <v/>
      </c>
    </row>
    <row r="21">
      <c r="A21" s="2" t="inlineStr">
        <is>
          <t>2013-2014</t>
        </is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/>
      </c>
      <c r="C21" s="4">
        <f>IF(SUMIFS('Year BSE Equity Cash'!$F:$F,'Year BSE Equity Cash'!$A:$A,$A21)=0,"",SUMIFS('Year BSE Equity Cash'!$F:$F,'Year BSE Equity Cash'!$A:$A,$A21))</f>
        <v/>
      </c>
      <c r="D21" s="4">
        <f>IF(OR(B21="",C21=""),"",B21+C21)</f>
        <v/>
      </c>
      <c r="E21" s="7">
        <f>IF(OR(B21="",B20=""),"",B21/B20-1)</f>
        <v/>
      </c>
      <c r="F21" s="7">
        <f>IF(OR(C21="",C20=""),"",C21/C20-1)</f>
        <v/>
      </c>
      <c r="G21" s="7">
        <f>IF(OR(D21="",D20=""),"",D21/D20-1)</f>
        <v/>
      </c>
      <c r="H21" s="7">
        <f>IF(D21="","",B21/D21)</f>
        <v/>
      </c>
      <c r="I21" s="7">
        <f>IF(D21="","",C21/D21)</f>
        <v/>
      </c>
    </row>
    <row r="22">
      <c r="A22" s="2" t="inlineStr">
        <is>
          <t>2014-2015</t>
        </is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/>
      </c>
      <c r="C22" s="4">
        <f>IF(SUMIFS('Year BSE Equity Cash'!$F:$F,'Year BSE Equity Cash'!$A:$A,$A22)=0,"",SUMIFS('Year BSE Equity Cash'!$F:$F,'Year BSE Equity Cash'!$A:$A,$A22))</f>
        <v/>
      </c>
      <c r="D22" s="4">
        <f>IF(OR(B22="",C22=""),"",B22+C22)</f>
        <v/>
      </c>
      <c r="E22" s="7">
        <f>IF(OR(B22="",B21=""),"",B22/B21-1)</f>
        <v/>
      </c>
      <c r="F22" s="7">
        <f>IF(OR(C22="",C21=""),"",C22/C21-1)</f>
        <v/>
      </c>
      <c r="G22" s="7">
        <f>IF(OR(D22="",D21=""),"",D22/D21-1)</f>
        <v/>
      </c>
      <c r="H22" s="7">
        <f>IF(D22="","",B22/D22)</f>
        <v/>
      </c>
      <c r="I22" s="7">
        <f>IF(D22="","",C22/D22)</f>
        <v/>
      </c>
    </row>
    <row r="23">
      <c r="A23" s="2" t="inlineStr">
        <is>
          <t>2015-2016</t>
        </is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/>
      </c>
      <c r="C23" s="4">
        <f>IF(SUMIFS('Year BSE Equity Cash'!$F:$F,'Year BSE Equity Cash'!$A:$A,$A23)=0,"",SUMIFS('Year BSE Equity Cash'!$F:$F,'Year BSE Equity Cash'!$A:$A,$A23))</f>
        <v/>
      </c>
      <c r="D23" s="4">
        <f>IF(OR(B23="",C23=""),"",B23+C23)</f>
        <v/>
      </c>
      <c r="E23" s="7">
        <f>IF(OR(B23="",B22=""),"",B23/B22-1)</f>
        <v/>
      </c>
      <c r="F23" s="7">
        <f>IF(OR(C23="",C22=""),"",C23/C22-1)</f>
        <v/>
      </c>
      <c r="G23" s="7">
        <f>IF(OR(D23="",D22=""),"",D23/D22-1)</f>
        <v/>
      </c>
      <c r="H23" s="7">
        <f>IF(D23="","",B23/D23)</f>
        <v/>
      </c>
      <c r="I23" s="7">
        <f>IF(D23="","",C23/D23)</f>
        <v/>
      </c>
    </row>
    <row r="24">
      <c r="A24" s="2" t="inlineStr">
        <is>
          <t>2016-2017</t>
        </is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/>
      </c>
      <c r="C24" s="4">
        <f>IF(SUMIFS('Year BSE Equity Cash'!$F:$F,'Year BSE Equity Cash'!$A:$A,$A24)=0,"",SUMIFS('Year BSE Equity Cash'!$F:$F,'Year BSE Equity Cash'!$A:$A,$A24))</f>
        <v/>
      </c>
      <c r="D24" s="4">
        <f>IF(OR(B24="",C24=""),"",B24+C24)</f>
        <v/>
      </c>
      <c r="E24" s="7">
        <f>IF(OR(B24="",B23=""),"",B24/B23-1)</f>
        <v/>
      </c>
      <c r="F24" s="7">
        <f>IF(OR(C24="",C23=""),"",C24/C23-1)</f>
        <v/>
      </c>
      <c r="G24" s="7">
        <f>IF(OR(D24="",D23=""),"",D24/D23-1)</f>
        <v/>
      </c>
      <c r="H24" s="7">
        <f>IF(D24="","",B24/D24)</f>
        <v/>
      </c>
      <c r="I24" s="7">
        <f>IF(D24="","",C24/D24)</f>
        <v/>
      </c>
    </row>
    <row r="25">
      <c r="A25" s="2" t="inlineStr">
        <is>
          <t>2017-2018</t>
        </is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/>
      </c>
      <c r="C25" s="4">
        <f>IF(SUMIFS('Year BSE Equity Cash'!$F:$F,'Year BSE Equity Cash'!$A:$A,$A25)=0,"",SUMIFS('Year BSE Equity Cash'!$F:$F,'Year BSE Equity Cash'!$A:$A,$A25))</f>
        <v/>
      </c>
      <c r="D25" s="4">
        <f>IF(OR(B25="",C25=""),"",B25+C25)</f>
        <v/>
      </c>
      <c r="E25" s="7">
        <f>IF(OR(B25="",B24=""),"",B25/B24-1)</f>
        <v/>
      </c>
      <c r="F25" s="7">
        <f>IF(OR(C25="",C24=""),"",C25/C24-1)</f>
        <v/>
      </c>
      <c r="G25" s="7">
        <f>IF(OR(D25="",D24=""),"",D25/D24-1)</f>
        <v/>
      </c>
      <c r="H25" s="7">
        <f>IF(D25="","",B25/D25)</f>
        <v/>
      </c>
      <c r="I25" s="7">
        <f>IF(D25="","",C25/D25)</f>
        <v/>
      </c>
    </row>
    <row r="26">
      <c r="A26" s="2" t="inlineStr">
        <is>
          <t>2018-2019</t>
        </is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/>
      </c>
      <c r="C26" s="4">
        <f>IF(SUMIFS('Year BSE Equity Cash'!$F:$F,'Year BSE Equity Cash'!$A:$A,$A26)=0,"",SUMIFS('Year BSE Equity Cash'!$F:$F,'Year BSE Equity Cash'!$A:$A,$A26))</f>
        <v/>
      </c>
      <c r="D26" s="4">
        <f>IF(OR(B26="",C26=""),"",B26+C26)</f>
        <v/>
      </c>
      <c r="E26" s="7">
        <f>IF(OR(B26="",B25=""),"",B26/B25-1)</f>
        <v/>
      </c>
      <c r="F26" s="7">
        <f>IF(OR(C26="",C25=""),"",C26/C25-1)</f>
        <v/>
      </c>
      <c r="G26" s="7">
        <f>IF(OR(D26="",D25=""),"",D26/D25-1)</f>
        <v/>
      </c>
      <c r="H26" s="7">
        <f>IF(D26="","",B26/D26)</f>
        <v/>
      </c>
      <c r="I26" s="7">
        <f>IF(D26="","",C26/D26)</f>
        <v/>
      </c>
    </row>
    <row r="27">
      <c r="A27" s="2" t="inlineStr">
        <is>
          <t>2019-2020</t>
        </is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/>
      </c>
      <c r="C27" s="4">
        <f>IF(SUMIFS('Year BSE Equity Cash'!$F:$F,'Year BSE Equity Cash'!$A:$A,$A27)=0,"",SUMIFS('Year BSE Equity Cash'!$F:$F,'Year BSE Equity Cash'!$A:$A,$A27))</f>
        <v/>
      </c>
      <c r="D27" s="4">
        <f>IF(OR(B27="",C27=""),"",B27+C27)</f>
        <v/>
      </c>
      <c r="E27" s="7">
        <f>IF(OR(B27="",B26=""),"",B27/B26-1)</f>
        <v/>
      </c>
      <c r="F27" s="7">
        <f>IF(OR(C27="",C26=""),"",C27/C26-1)</f>
        <v/>
      </c>
      <c r="G27" s="7">
        <f>IF(OR(D27="",D26=""),"",D27/D26-1)</f>
        <v/>
      </c>
      <c r="H27" s="7">
        <f>IF(D27="","",B27/D27)</f>
        <v/>
      </c>
      <c r="I27" s="7">
        <f>IF(D27="","",C27/D27)</f>
        <v/>
      </c>
    </row>
    <row r="28">
      <c r="A28" s="2" t="inlineStr">
        <is>
          <t>2020-2021</t>
        </is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/>
      </c>
      <c r="C28" s="4">
        <f>IF(SUMIFS('Year BSE Equity Cash'!$F:$F,'Year BSE Equity Cash'!$A:$A,$A28)=0,"",SUMIFS('Year BSE Equity Cash'!$F:$F,'Year BSE Equity Cash'!$A:$A,$A28))</f>
        <v/>
      </c>
      <c r="D28" s="4">
        <f>IF(OR(B28="",C28=""),"",B28+C28)</f>
        <v/>
      </c>
      <c r="E28" s="7">
        <f>IF(OR(B28="",B27=""),"",B28/B27-1)</f>
        <v/>
      </c>
      <c r="F28" s="7">
        <f>IF(OR(C28="",C27=""),"",C28/C27-1)</f>
        <v/>
      </c>
      <c r="G28" s="7">
        <f>IF(OR(D28="",D27=""),"",D28/D27-1)</f>
        <v/>
      </c>
      <c r="H28" s="7">
        <f>IF(D28="","",B28/D28)</f>
        <v/>
      </c>
      <c r="I28" s="7">
        <f>IF(D28="","",C28/D28)</f>
        <v/>
      </c>
    </row>
    <row r="29">
      <c r="A29" s="2" t="inlineStr">
        <is>
          <t>2021-2022</t>
        </is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/>
      </c>
      <c r="C29" s="4">
        <f>IF(SUMIFS('Year BSE Equity Cash'!$F:$F,'Year BSE Equity Cash'!$A:$A,$A29)=0,"",SUMIFS('Year BSE Equity Cash'!$F:$F,'Year BSE Equity Cash'!$A:$A,$A29))</f>
        <v/>
      </c>
      <c r="D29" s="4">
        <f>IF(OR(B29="",C29=""),"",B29+C29)</f>
        <v/>
      </c>
      <c r="E29" s="7">
        <f>IF(OR(B29="",B28=""),"",B29/B28-1)</f>
        <v/>
      </c>
      <c r="F29" s="7">
        <f>IF(OR(C29="",C28=""),"",C29/C28-1)</f>
        <v/>
      </c>
      <c r="G29" s="7">
        <f>IF(OR(D29="",D28=""),"",D29/D28-1)</f>
        <v/>
      </c>
      <c r="H29" s="7">
        <f>IF(D29="","",B29/D29)</f>
        <v/>
      </c>
      <c r="I29" s="7">
        <f>IF(D29="","",C29/D29)</f>
        <v/>
      </c>
    </row>
    <row r="30">
      <c r="A30" s="2" t="inlineStr">
        <is>
          <t>2022-2023</t>
        </is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/>
      </c>
      <c r="C30" s="4">
        <f>IF(SUMIFS('Year BSE Equity Cash'!$F:$F,'Year BSE Equity Cash'!$A:$A,$A30)=0,"",SUMIFS('Year BSE Equity Cash'!$F:$F,'Year BSE Equity Cash'!$A:$A,$A30))</f>
        <v/>
      </c>
      <c r="D30" s="4">
        <f>IF(OR(B30="",C30=""),"",B30+C30)</f>
        <v/>
      </c>
      <c r="E30" s="7">
        <f>IF(OR(B30="",B29=""),"",B30/B29-1)</f>
        <v/>
      </c>
      <c r="F30" s="7">
        <f>IF(OR(C30="",C29=""),"",C30/C29-1)</f>
        <v/>
      </c>
      <c r="G30" s="7">
        <f>IF(OR(D30="",D29=""),"",D30/D29-1)</f>
        <v/>
      </c>
      <c r="H30" s="7">
        <f>IF(D30="","",B30/D30)</f>
        <v/>
      </c>
      <c r="I30" s="7">
        <f>IF(D30="","",C30/D30)</f>
        <v/>
      </c>
    </row>
    <row r="31">
      <c r="A31" s="2" t="inlineStr">
        <is>
          <t>2023-2024</t>
        </is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/>
      </c>
      <c r="C31" s="4">
        <f>IF(SUMIFS('Year BSE Equity Cash'!$F:$F,'Year BSE Equity Cash'!$A:$A,$A31)=0,"",SUMIFS('Year BSE Equity Cash'!$F:$F,'Year BSE Equity Cash'!$A:$A,$A31))</f>
        <v/>
      </c>
      <c r="D31" s="4">
        <f>IF(OR(B31="",C31=""),"",B31+C31)</f>
        <v/>
      </c>
      <c r="E31" s="7">
        <f>IF(OR(B31="",B30=""),"",B31/B30-1)</f>
        <v/>
      </c>
      <c r="F31" s="7">
        <f>IF(OR(C31="",C30=""),"",C31/C30-1)</f>
        <v/>
      </c>
      <c r="G31" s="7">
        <f>IF(OR(D31="",D30=""),"",D31/D30-1)</f>
        <v/>
      </c>
      <c r="H31" s="7">
        <f>IF(D31="","",B31/D31)</f>
        <v/>
      </c>
      <c r="I31" s="7">
        <f>IF(D31="","",C31/D31)</f>
        <v/>
      </c>
    </row>
    <row r="32">
      <c r="A32" s="2" t="inlineStr">
        <is>
          <t>2024-2025</t>
        </is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/>
      </c>
      <c r="C32" s="4">
        <f>IF(SUMIFS('Year BSE Equity Cash'!$F:$F,'Year BSE Equity Cash'!$A:$A,$A32)=0,"",SUMIFS('Year BSE Equity Cash'!$F:$F,'Year BSE Equity Cash'!$A:$A,$A32))</f>
        <v/>
      </c>
      <c r="D32" s="4">
        <f>IF(OR(B32="",C32=""),"",B32+C32)</f>
        <v/>
      </c>
      <c r="E32" s="7">
        <f>IF(OR(B32="",B31=""),"",B32/B31-1)</f>
        <v/>
      </c>
      <c r="F32" s="7">
        <f>IF(OR(C32="",C31=""),"",C32/C31-1)</f>
        <v/>
      </c>
      <c r="G32" s="7">
        <f>IF(OR(D32="",D31=""),"",D32/D31-1)</f>
        <v/>
      </c>
      <c r="H32" s="7">
        <f>IF(D32="","",B32/D32)</f>
        <v/>
      </c>
      <c r="I32" s="7">
        <f>IF(D32="","",C32/D32)</f>
        <v/>
      </c>
    </row>
    <row r="33">
      <c r="A33" s="2" t="inlineStr">
        <is>
          <t>2025-2026</t>
        </is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/>
      </c>
      <c r="C33" s="4">
        <f>IF(SUMIFS('Year BSE Equity Cash'!$F:$F,'Year BSE Equity Cash'!$A:$A,$A33)=0,"",SUMIFS('Year BSE Equity Cash'!$F:$F,'Year BSE Equity Cash'!$A:$A,$A33))</f>
        <v/>
      </c>
      <c r="D33" s="4">
        <f>IF(OR(B33="",C33=""),"",B33+C33)</f>
        <v/>
      </c>
      <c r="E33" s="7">
        <f>IF(OR(B33="",B32=""),"",B33/B32-1)</f>
        <v/>
      </c>
      <c r="F33" s="7">
        <f>IF(OR(C33="",C32=""),"",C33/C32-1)</f>
        <v/>
      </c>
      <c r="G33" s="7">
        <f>IF(OR(D33="",D32=""),"",D33/D32-1)</f>
        <v/>
      </c>
      <c r="H33" s="7">
        <f>IF(D33="","",B33/D33)</f>
        <v/>
      </c>
      <c r="I33" s="7">
        <f>IF(D33="","",C33/D33)</f>
        <v/>
      </c>
    </row>
    <row r="34">
      <c r="A34" s="2" t="inlineStr">
        <is>
          <t>2026-2027</t>
        </is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/>
      </c>
      <c r="C34" s="4">
        <f>IF(SUMIFS('Year BSE Equity Cash'!$F:$F,'Year BSE Equity Cash'!$A:$A,$A34)=0,"",SUMIFS('Year BSE Equity Cash'!$F:$F,'Year BSE Equity Cash'!$A:$A,$A34))</f>
        <v/>
      </c>
      <c r="D34" s="4">
        <f>IF(OR(B34="",C34=""),"",B34+C34)</f>
        <v/>
      </c>
      <c r="E34" s="7">
        <f>IF(OR(B34="",B33=""),"",B34/B33-1)</f>
        <v/>
      </c>
      <c r="F34" s="7">
        <f>IF(OR(C34="",C33=""),"",C34/C33-1)</f>
        <v/>
      </c>
      <c r="G34" s="7">
        <f>IF(OR(D34="",D33=""),"",D34/D33-1)</f>
        <v/>
      </c>
      <c r="H34" s="7">
        <f>IF(D34="","",B34/D34)</f>
        <v/>
      </c>
      <c r="I34" s="7">
        <f>IF(D34="","",C34/D34)</f>
        <v/>
      </c>
    </row>
    <row r="36">
      <c r="A36" s="1" t="inlineStr">
        <is>
          <t>YTD Comparison - FY2026-2027 YTD vs FY2025-2026 YTD (same number of trading days)</t>
        </is>
      </c>
    </row>
    <row r="37">
      <c r="A37" s="2" t="inlineStr">
        <is>
          <t>Trading days elapsed in FY2026-2027 (per NSE daily)</t>
        </is>
      </c>
      <c r="B37" s="3">
        <f>COUNTIF('Daily NSE Equity Cash'!$A:$A,"&gt;="&amp;DATE(2026,4,1))</f>
        <v/>
      </c>
    </row>
    <row r="38">
      <c r="A38" s="2" t="inlineStr">
        <is>
          <t>Matched FY2025-2026 window</t>
        </is>
      </c>
      <c r="B38" s="6">
        <f>DATE(2025,4,1)</f>
        <v/>
      </c>
      <c r="C38" s="6">
        <f>INDEX('Daily NSE Equity Cash'!$A:$A,COUNTIF('Daily NSE Equity Cash'!$A:$A,"&lt;"&amp;DATE(2025,4,1))+1+$B37)</f>
        <v/>
      </c>
    </row>
    <row r="39">
      <c r="B39" s="1" t="inlineStr">
        <is>
          <t>NSE Turnover (INR Bn)</t>
        </is>
      </c>
      <c r="C39" s="1" t="inlineStr">
        <is>
          <t>BSE Turnover (INR Bn)</t>
        </is>
      </c>
      <c r="D39" s="1" t="inlineStr">
        <is>
          <t>Total Turnover (INR Bn)</t>
        </is>
      </c>
      <c r="H39" s="1" t="inlineStr">
        <is>
          <t>NSE Market Share</t>
        </is>
      </c>
      <c r="I39" s="1" t="inlineStr">
        <is>
          <t>BSE Market Share</t>
        </is>
      </c>
    </row>
    <row r="40">
      <c r="A40" s="2" t="inlineStr">
        <is>
          <t>FY2025-2026 YTD (first N trading days)</t>
        </is>
      </c>
      <c r="B40" s="4">
        <f>SUMIFS('Daily NSE Equity Cash'!$H:$H,'Daily NSE Equity Cash'!$A:$A,"&gt;="&amp;$B$38,'Daily NSE Equity Cash'!$A:$A,"&lt;="&amp;$C$38)</f>
        <v/>
      </c>
      <c r="C40" s="4">
        <f>SUMIFS('Daily BSE Equity Cash'!$H:$H,'Daily BSE Equity Cash'!$A:$A,"&gt;="&amp;$B$38,'Daily BSE Equity Cash'!$A:$A,"&lt;="&amp;$C$38)</f>
        <v/>
      </c>
      <c r="D40" s="4">
        <f>B40+C40</f>
        <v/>
      </c>
      <c r="H40" s="7">
        <f>IF(D40=0,"",B40/D40)</f>
        <v/>
      </c>
      <c r="I40" s="7">
        <f>IF(D40=0,"",C40/D40)</f>
        <v/>
      </c>
    </row>
    <row r="41">
      <c r="A41" s="2" t="inlineStr">
        <is>
          <t>FY2026-2027 YTD</t>
        </is>
      </c>
      <c r="B41" s="4">
        <f>SUMIFS('Daily NSE Equity Cash'!$H:$H,'Daily NSE Equity Cash'!$A:$A,"&gt;="&amp;DATE(2026,4,1))</f>
        <v/>
      </c>
      <c r="C41" s="4">
        <f>SUMIFS('Daily BSE Equity Cash'!$H:$H,'Daily BSE Equity Cash'!$A:$A,"&gt;="&amp;DATE(2026,4,1))</f>
        <v/>
      </c>
      <c r="D41" s="4">
        <f>B41+C41</f>
        <v/>
      </c>
      <c r="H41" s="7">
        <f>IF(D41=0,"",B41/D41)</f>
        <v/>
      </c>
      <c r="I41" s="7">
        <f>IF(D41=0,"",C41/D41)</f>
        <v/>
      </c>
    </row>
    <row r="42">
      <c r="A42" s="1" t="inlineStr">
        <is>
          <t>YTD Growth (FY2026-2027 vs FY2025-2026)</t>
        </is>
      </c>
      <c r="B42" s="7">
        <f>IF(OR(B40=0,B40=""),"",B41/B40-1)</f>
        <v/>
      </c>
      <c r="C42" s="7">
        <f>IF(OR(C40=0,C40=""),"",C41/C40-1)</f>
        <v/>
      </c>
      <c r="D42" s="7">
        <f>IF(OR(D40=0,D40=""),"",D41/D40-1)</f>
        <v/>
      </c>
    </row>
  </sheetData>
  <conditionalFormatting sqref="H2:H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24" customWidth="1" min="10" max="10"/>
    <col hidden="1" outlineLevel="1" width="16" customWidth="1" min="11" max="11"/>
    <col hidden="1" outlineLevel="1" width="16" customWidth="1" min="12" max="12"/>
  </cols>
  <sheetData>
    <row r="1">
      <c r="A1" s="1" t="inlineStr">
        <is>
          <t>Qrtr -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YoY Growth</t>
        </is>
      </c>
      <c r="F1" s="1" t="inlineStr">
        <is>
          <t>BSE YoY Growth</t>
        </is>
      </c>
      <c r="G1" s="1" t="inlineStr">
        <is>
          <t>Total Turnover YoY Growth</t>
        </is>
      </c>
      <c r="H1" s="1" t="inlineStr">
        <is>
          <t>NSE QoQ Growth</t>
        </is>
      </c>
      <c r="I1" s="1" t="inlineStr">
        <is>
          <t>BSE QoQ Growth</t>
        </is>
      </c>
      <c r="J1" s="1" t="inlineStr">
        <is>
          <t>Total Turnover QoQ Growth</t>
        </is>
      </c>
      <c r="K1" s="1" t="inlineStr">
        <is>
          <t>NSE Market Share</t>
        </is>
      </c>
      <c r="L1" s="1" t="inlineStr">
        <is>
          <t>BSE Market Share</t>
        </is>
      </c>
    </row>
    <row r="2">
      <c r="A2" s="2" t="inlineStr">
        <is>
          <t>Q3FY98</t>
        </is>
      </c>
      <c r="B2" s="4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/>
      </c>
      <c r="D2" s="4">
        <f>IF(OR(B2="",C2=""),"",B2+C2)</f>
        <v/>
      </c>
      <c r="E2" s="7" t="n"/>
      <c r="F2" s="7" t="n"/>
      <c r="G2" s="7" t="n"/>
      <c r="H2" s="7" t="n"/>
      <c r="I2" s="7" t="n"/>
      <c r="J2" s="7" t="n"/>
      <c r="K2" s="7">
        <f>IF(D2="","",B2/D2)</f>
        <v/>
      </c>
      <c r="L2" s="7">
        <f>IF(D2="","",C2/D2)</f>
        <v/>
      </c>
    </row>
    <row r="3">
      <c r="A3" s="2" t="inlineStr">
        <is>
          <t>Q4FY98</t>
        </is>
      </c>
      <c r="B3" s="4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/>
      </c>
      <c r="D3" s="4">
        <f>IF(OR(B3="",C3=""),"",B3+C3)</f>
        <v/>
      </c>
      <c r="E3" s="7" t="n"/>
      <c r="F3" s="7" t="n"/>
      <c r="G3" s="7" t="n"/>
      <c r="H3" s="7">
        <f>IF(OR(B3="",B2=""),"",B3/B2-1)</f>
        <v/>
      </c>
      <c r="I3" s="7">
        <f>IF(OR(C3="",C2=""),"",C3/C2-1)</f>
        <v/>
      </c>
      <c r="J3" s="7">
        <f>IF(OR(D3="",D2=""),"",D3/D2-1)</f>
        <v/>
      </c>
      <c r="K3" s="7">
        <f>IF(D3="","",B3/D3)</f>
        <v/>
      </c>
      <c r="L3" s="7">
        <f>IF(D3="","",C3/D3)</f>
        <v/>
      </c>
    </row>
    <row r="4">
      <c r="A4" s="2" t="inlineStr">
        <is>
          <t>Q1FY99</t>
        </is>
      </c>
      <c r="B4" s="4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/>
      </c>
      <c r="D4" s="4">
        <f>IF(OR(B4="",C4=""),"",B4+C4)</f>
        <v/>
      </c>
      <c r="E4" s="7" t="n"/>
      <c r="F4" s="7" t="n"/>
      <c r="G4" s="7" t="n"/>
      <c r="H4" s="7">
        <f>IF(OR(B4="",B3=""),"",B4/B3-1)</f>
        <v/>
      </c>
      <c r="I4" s="7">
        <f>IF(OR(C4="",C3=""),"",C4/C3-1)</f>
        <v/>
      </c>
      <c r="J4" s="7">
        <f>IF(OR(D4="",D3=""),"",D4/D3-1)</f>
        <v/>
      </c>
      <c r="K4" s="7">
        <f>IF(D4="","",B4/D4)</f>
        <v/>
      </c>
      <c r="L4" s="7">
        <f>IF(D4="","",C4/D4)</f>
        <v/>
      </c>
    </row>
    <row r="5">
      <c r="A5" s="2" t="inlineStr">
        <is>
          <t>Q2FY99</t>
        </is>
      </c>
      <c r="B5" s="4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/>
      </c>
      <c r="D5" s="4">
        <f>IF(OR(B5="",C5=""),"",B5+C5)</f>
        <v/>
      </c>
      <c r="E5" s="7" t="n"/>
      <c r="F5" s="7" t="n"/>
      <c r="G5" s="7" t="n"/>
      <c r="H5" s="7">
        <f>IF(OR(B5="",B4=""),"",B5/B4-1)</f>
        <v/>
      </c>
      <c r="I5" s="7">
        <f>IF(OR(C5="",C4=""),"",C5/C4-1)</f>
        <v/>
      </c>
      <c r="J5" s="7">
        <f>IF(OR(D5="",D4=""),"",D5/D4-1)</f>
        <v/>
      </c>
      <c r="K5" s="7">
        <f>IF(D5="","",B5/D5)</f>
        <v/>
      </c>
      <c r="L5" s="7">
        <f>IF(D5="","",C5/D5)</f>
        <v/>
      </c>
    </row>
    <row r="6">
      <c r="A6" s="2" t="inlineStr">
        <is>
          <t>Q3FY99</t>
        </is>
      </c>
      <c r="B6" s="4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/>
      </c>
      <c r="D6" s="4">
        <f>IF(OR(B6="",C6=""),"",B6+C6)</f>
        <v/>
      </c>
      <c r="E6" s="7">
        <f>IF(OR(B6="",B2=""),"",B6/B2-1)</f>
        <v/>
      </c>
      <c r="F6" s="7">
        <f>IF(OR(C6="",C2=""),"",C6/C2-1)</f>
        <v/>
      </c>
      <c r="G6" s="7">
        <f>IF(OR(D6="",D2=""),"",D6/D2-1)</f>
        <v/>
      </c>
      <c r="H6" s="7">
        <f>IF(OR(B6="",B5=""),"",B6/B5-1)</f>
        <v/>
      </c>
      <c r="I6" s="7">
        <f>IF(OR(C6="",C5=""),"",C6/C5-1)</f>
        <v/>
      </c>
      <c r="J6" s="7">
        <f>IF(OR(D6="",D5=""),"",D6/D5-1)</f>
        <v/>
      </c>
      <c r="K6" s="7">
        <f>IF(D6="","",B6/D6)</f>
        <v/>
      </c>
      <c r="L6" s="7">
        <f>IF(D6="","",C6/D6)</f>
        <v/>
      </c>
    </row>
    <row r="7">
      <c r="A7" s="2" t="inlineStr">
        <is>
          <t>Q4FY99</t>
        </is>
      </c>
      <c r="B7" s="4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/>
      </c>
      <c r="D7" s="4">
        <f>IF(OR(B7="",C7=""),"",B7+C7)</f>
        <v/>
      </c>
      <c r="E7" s="7">
        <f>IF(OR(B7="",B3=""),"",B7/B3-1)</f>
        <v/>
      </c>
      <c r="F7" s="7">
        <f>IF(OR(C7="",C3=""),"",C7/C3-1)</f>
        <v/>
      </c>
      <c r="G7" s="7">
        <f>IF(OR(D7="",D3=""),"",D7/D3-1)</f>
        <v/>
      </c>
      <c r="H7" s="7">
        <f>IF(OR(B7="",B6=""),"",B7/B6-1)</f>
        <v/>
      </c>
      <c r="I7" s="7">
        <f>IF(OR(C7="",C6=""),"",C7/C6-1)</f>
        <v/>
      </c>
      <c r="J7" s="7">
        <f>IF(OR(D7="",D6=""),"",D7/D6-1)</f>
        <v/>
      </c>
      <c r="K7" s="7">
        <f>IF(D7="","",B7/D7)</f>
        <v/>
      </c>
      <c r="L7" s="7">
        <f>IF(D7="","",C7/D7)</f>
        <v/>
      </c>
    </row>
    <row r="8">
      <c r="A8" s="2" t="inlineStr">
        <is>
          <t>Q1FY00</t>
        </is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/>
      </c>
      <c r="C8" s="4">
        <f>IF(SUMIFS('Monthly BSE Equity Cash'!$G:$G,'Monthly BSE Equity Cash'!$C:$C,$A8)=0,"",SUMIFS('Monthly BSE Equity Cash'!$G:$G,'Monthly BSE Equity Cash'!$C:$C,$A8))</f>
        <v/>
      </c>
      <c r="D8" s="4">
        <f>IF(OR(B8="",C8=""),"",B8+C8)</f>
        <v/>
      </c>
      <c r="E8" s="7">
        <f>IF(OR(B8="",B4=""),"",B8/B4-1)</f>
        <v/>
      </c>
      <c r="F8" s="7">
        <f>IF(OR(C8="",C4=""),"",C8/C4-1)</f>
        <v/>
      </c>
      <c r="G8" s="7">
        <f>IF(OR(D8="",D4=""),"",D8/D4-1)</f>
        <v/>
      </c>
      <c r="H8" s="7">
        <f>IF(OR(B8="",B7=""),"",B8/B7-1)</f>
        <v/>
      </c>
      <c r="I8" s="7">
        <f>IF(OR(C8="",C7=""),"",C8/C7-1)</f>
        <v/>
      </c>
      <c r="J8" s="7">
        <f>IF(OR(D8="",D7=""),"",D8/D7-1)</f>
        <v/>
      </c>
      <c r="K8" s="7">
        <f>IF(D8="","",B8/D8)</f>
        <v/>
      </c>
      <c r="L8" s="7">
        <f>IF(D8="","",C8/D8)</f>
        <v/>
      </c>
    </row>
    <row r="9">
      <c r="A9" s="2" t="inlineStr">
        <is>
          <t>Q2FY00</t>
        </is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/>
      </c>
      <c r="C9" s="4">
        <f>IF(SUMIFS('Monthly BSE Equity Cash'!$G:$G,'Monthly BSE Equity Cash'!$C:$C,$A9)=0,"",SUMIFS('Monthly BSE Equity Cash'!$G:$G,'Monthly BSE Equity Cash'!$C:$C,$A9))</f>
        <v/>
      </c>
      <c r="D9" s="4">
        <f>IF(OR(B9="",C9=""),"",B9+C9)</f>
        <v/>
      </c>
      <c r="E9" s="7">
        <f>IF(OR(B9="",B5=""),"",B9/B5-1)</f>
        <v/>
      </c>
      <c r="F9" s="7">
        <f>IF(OR(C9="",C5=""),"",C9/C5-1)</f>
        <v/>
      </c>
      <c r="G9" s="7">
        <f>IF(OR(D9="",D5=""),"",D9/D5-1)</f>
        <v/>
      </c>
      <c r="H9" s="7">
        <f>IF(OR(B9="",B8=""),"",B9/B8-1)</f>
        <v/>
      </c>
      <c r="I9" s="7">
        <f>IF(OR(C9="",C8=""),"",C9/C8-1)</f>
        <v/>
      </c>
      <c r="J9" s="7">
        <f>IF(OR(D9="",D8=""),"",D9/D8-1)</f>
        <v/>
      </c>
      <c r="K9" s="7">
        <f>IF(D9="","",B9/D9)</f>
        <v/>
      </c>
      <c r="L9" s="7">
        <f>IF(D9="","",C9/D9)</f>
        <v/>
      </c>
    </row>
    <row r="10">
      <c r="A10" s="2" t="inlineStr">
        <is>
          <t>Q3FY00</t>
        </is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/>
      </c>
      <c r="C10" s="4">
        <f>IF(SUMIFS('Monthly BSE Equity Cash'!$G:$G,'Monthly BSE Equity Cash'!$C:$C,$A10)=0,"",SUMIFS('Monthly BSE Equity Cash'!$G:$G,'Monthly BSE Equity Cash'!$C:$C,$A10))</f>
        <v/>
      </c>
      <c r="D10" s="4">
        <f>IF(OR(B10="",C10=""),"",B10+C10)</f>
        <v/>
      </c>
      <c r="E10" s="7">
        <f>IF(OR(B10="",B6=""),"",B10/B6-1)</f>
        <v/>
      </c>
      <c r="F10" s="7">
        <f>IF(OR(C10="",C6=""),"",C10/C6-1)</f>
        <v/>
      </c>
      <c r="G10" s="7">
        <f>IF(OR(D10="",D6=""),"",D10/D6-1)</f>
        <v/>
      </c>
      <c r="H10" s="7">
        <f>IF(OR(B10="",B9=""),"",B10/B9-1)</f>
        <v/>
      </c>
      <c r="I10" s="7">
        <f>IF(OR(C10="",C9=""),"",C10/C9-1)</f>
        <v/>
      </c>
      <c r="J10" s="7">
        <f>IF(OR(D10="",D9=""),"",D10/D9-1)</f>
        <v/>
      </c>
      <c r="K10" s="7">
        <f>IF(D10="","",B10/D10)</f>
        <v/>
      </c>
      <c r="L10" s="7">
        <f>IF(D10="","",C10/D10)</f>
        <v/>
      </c>
    </row>
    <row r="11">
      <c r="A11" s="2" t="inlineStr">
        <is>
          <t>Q4FY00</t>
        </is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/>
      </c>
      <c r="C11" s="4">
        <f>IF(SUMIFS('Monthly BSE Equity Cash'!$G:$G,'Monthly BSE Equity Cash'!$C:$C,$A11)=0,"",SUMIFS('Monthly BSE Equity Cash'!$G:$G,'Monthly BSE Equity Cash'!$C:$C,$A11))</f>
        <v/>
      </c>
      <c r="D11" s="4">
        <f>IF(OR(B11="",C11=""),"",B11+C11)</f>
        <v/>
      </c>
      <c r="E11" s="7">
        <f>IF(OR(B11="",B7=""),"",B11/B7-1)</f>
        <v/>
      </c>
      <c r="F11" s="7">
        <f>IF(OR(C11="",C7=""),"",C11/C7-1)</f>
        <v/>
      </c>
      <c r="G11" s="7">
        <f>IF(OR(D11="",D7=""),"",D11/D7-1)</f>
        <v/>
      </c>
      <c r="H11" s="7">
        <f>IF(OR(B11="",B10=""),"",B11/B10-1)</f>
        <v/>
      </c>
      <c r="I11" s="7">
        <f>IF(OR(C11="",C10=""),"",C11/C10-1)</f>
        <v/>
      </c>
      <c r="J11" s="7">
        <f>IF(OR(D11="",D10=""),"",D11/D10-1)</f>
        <v/>
      </c>
      <c r="K11" s="7">
        <f>IF(D11="","",B11/D11)</f>
        <v/>
      </c>
      <c r="L11" s="7">
        <f>IF(D11="","",C11/D11)</f>
        <v/>
      </c>
    </row>
    <row r="12">
      <c r="A12" s="2" t="inlineStr">
        <is>
          <t>Q1FY01</t>
        </is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/>
      </c>
      <c r="C12" s="4">
        <f>IF(SUMIFS('Monthly BSE Equity Cash'!$G:$G,'Monthly BSE Equity Cash'!$C:$C,$A12)=0,"",SUMIFS('Monthly BSE Equity Cash'!$G:$G,'Monthly BSE Equity Cash'!$C:$C,$A12))</f>
        <v/>
      </c>
      <c r="D12" s="4">
        <f>IF(OR(B12="",C12=""),"",B12+C12)</f>
        <v/>
      </c>
      <c r="E12" s="7">
        <f>IF(OR(B12="",B8=""),"",B12/B8-1)</f>
        <v/>
      </c>
      <c r="F12" s="7">
        <f>IF(OR(C12="",C8=""),"",C12/C8-1)</f>
        <v/>
      </c>
      <c r="G12" s="7">
        <f>IF(OR(D12="",D8=""),"",D12/D8-1)</f>
        <v/>
      </c>
      <c r="H12" s="7">
        <f>IF(OR(B12="",B11=""),"",B12/B11-1)</f>
        <v/>
      </c>
      <c r="I12" s="7">
        <f>IF(OR(C12="",C11=""),"",C12/C11-1)</f>
        <v/>
      </c>
      <c r="J12" s="7">
        <f>IF(OR(D12="",D11=""),"",D12/D11-1)</f>
        <v/>
      </c>
      <c r="K12" s="7">
        <f>IF(D12="","",B12/D12)</f>
        <v/>
      </c>
      <c r="L12" s="7">
        <f>IF(D12="","",C12/D12)</f>
        <v/>
      </c>
    </row>
    <row r="13">
      <c r="A13" s="2" t="inlineStr">
        <is>
          <t>Q2FY01</t>
        </is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/>
      </c>
      <c r="C13" s="4">
        <f>IF(SUMIFS('Monthly BSE Equity Cash'!$G:$G,'Monthly BSE Equity Cash'!$C:$C,$A13)=0,"",SUMIFS('Monthly BSE Equity Cash'!$G:$G,'Monthly BSE Equity Cash'!$C:$C,$A13))</f>
        <v/>
      </c>
      <c r="D13" s="4">
        <f>IF(OR(B13="",C13=""),"",B13+C13)</f>
        <v/>
      </c>
      <c r="E13" s="7">
        <f>IF(OR(B13="",B9=""),"",B13/B9-1)</f>
        <v/>
      </c>
      <c r="F13" s="7">
        <f>IF(OR(C13="",C9=""),"",C13/C9-1)</f>
        <v/>
      </c>
      <c r="G13" s="7">
        <f>IF(OR(D13="",D9=""),"",D13/D9-1)</f>
        <v/>
      </c>
      <c r="H13" s="7">
        <f>IF(OR(B13="",B12=""),"",B13/B12-1)</f>
        <v/>
      </c>
      <c r="I13" s="7">
        <f>IF(OR(C13="",C12=""),"",C13/C12-1)</f>
        <v/>
      </c>
      <c r="J13" s="7">
        <f>IF(OR(D13="",D12=""),"",D13/D12-1)</f>
        <v/>
      </c>
      <c r="K13" s="7">
        <f>IF(D13="","",B13/D13)</f>
        <v/>
      </c>
      <c r="L13" s="7">
        <f>IF(D13="","",C13/D13)</f>
        <v/>
      </c>
    </row>
    <row r="14">
      <c r="A14" s="2" t="inlineStr">
        <is>
          <t>Q3FY01</t>
        </is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/>
      </c>
      <c r="C14" s="4">
        <f>IF(SUMIFS('Monthly BSE Equity Cash'!$G:$G,'Monthly BSE Equity Cash'!$C:$C,$A14)=0,"",SUMIFS('Monthly BSE Equity Cash'!$G:$G,'Monthly BSE Equity Cash'!$C:$C,$A14))</f>
        <v/>
      </c>
      <c r="D14" s="4">
        <f>IF(OR(B14="",C14=""),"",B14+C14)</f>
        <v/>
      </c>
      <c r="E14" s="7">
        <f>IF(OR(B14="",B10=""),"",B14/B10-1)</f>
        <v/>
      </c>
      <c r="F14" s="7">
        <f>IF(OR(C14="",C10=""),"",C14/C10-1)</f>
        <v/>
      </c>
      <c r="G14" s="7">
        <f>IF(OR(D14="",D10=""),"",D14/D10-1)</f>
        <v/>
      </c>
      <c r="H14" s="7">
        <f>IF(OR(B14="",B13=""),"",B14/B13-1)</f>
        <v/>
      </c>
      <c r="I14" s="7">
        <f>IF(OR(C14="",C13=""),"",C14/C13-1)</f>
        <v/>
      </c>
      <c r="J14" s="7">
        <f>IF(OR(D14="",D13=""),"",D14/D13-1)</f>
        <v/>
      </c>
      <c r="K14" s="7">
        <f>IF(D14="","",B14/D14)</f>
        <v/>
      </c>
      <c r="L14" s="7">
        <f>IF(D14="","",C14/D14)</f>
        <v/>
      </c>
    </row>
    <row r="15">
      <c r="A15" s="2" t="inlineStr">
        <is>
          <t>Q4FY01</t>
        </is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/>
      </c>
      <c r="C15" s="4">
        <f>IF(SUMIFS('Monthly BSE Equity Cash'!$G:$G,'Monthly BSE Equity Cash'!$C:$C,$A15)=0,"",SUMIFS('Monthly BSE Equity Cash'!$G:$G,'Monthly BSE Equity Cash'!$C:$C,$A15))</f>
        <v/>
      </c>
      <c r="D15" s="4">
        <f>IF(OR(B15="",C15=""),"",B15+C15)</f>
        <v/>
      </c>
      <c r="E15" s="7">
        <f>IF(OR(B15="",B11=""),"",B15/B11-1)</f>
        <v/>
      </c>
      <c r="F15" s="7">
        <f>IF(OR(C15="",C11=""),"",C15/C11-1)</f>
        <v/>
      </c>
      <c r="G15" s="7">
        <f>IF(OR(D15="",D11=""),"",D15/D11-1)</f>
        <v/>
      </c>
      <c r="H15" s="7">
        <f>IF(OR(B15="",B14=""),"",B15/B14-1)</f>
        <v/>
      </c>
      <c r="I15" s="7">
        <f>IF(OR(C15="",C14=""),"",C15/C14-1)</f>
        <v/>
      </c>
      <c r="J15" s="7">
        <f>IF(OR(D15="",D14=""),"",D15/D14-1)</f>
        <v/>
      </c>
      <c r="K15" s="7">
        <f>IF(D15="","",B15/D15)</f>
        <v/>
      </c>
      <c r="L15" s="7">
        <f>IF(D15="","",C15/D15)</f>
        <v/>
      </c>
    </row>
    <row r="16">
      <c r="A16" s="2" t="inlineStr">
        <is>
          <t>Q1FY02</t>
        </is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/>
      </c>
      <c r="C16" s="4">
        <f>IF(SUMIFS('Monthly BSE Equity Cash'!$G:$G,'Monthly BSE Equity Cash'!$C:$C,$A16)=0,"",SUMIFS('Monthly BSE Equity Cash'!$G:$G,'Monthly BSE Equity Cash'!$C:$C,$A16))</f>
        <v/>
      </c>
      <c r="D16" s="4">
        <f>IF(OR(B16="",C16=""),"",B16+C16)</f>
        <v/>
      </c>
      <c r="E16" s="7">
        <f>IF(OR(B16="",B12=""),"",B16/B12-1)</f>
        <v/>
      </c>
      <c r="F16" s="7">
        <f>IF(OR(C16="",C12=""),"",C16/C12-1)</f>
        <v/>
      </c>
      <c r="G16" s="7">
        <f>IF(OR(D16="",D12=""),"",D16/D12-1)</f>
        <v/>
      </c>
      <c r="H16" s="7">
        <f>IF(OR(B16="",B15=""),"",B16/B15-1)</f>
        <v/>
      </c>
      <c r="I16" s="7">
        <f>IF(OR(C16="",C15=""),"",C16/C15-1)</f>
        <v/>
      </c>
      <c r="J16" s="7">
        <f>IF(OR(D16="",D15=""),"",D16/D15-1)</f>
        <v/>
      </c>
      <c r="K16" s="7">
        <f>IF(D16="","",B16/D16)</f>
        <v/>
      </c>
      <c r="L16" s="7">
        <f>IF(D16="","",C16/D16)</f>
        <v/>
      </c>
    </row>
    <row r="17">
      <c r="A17" s="2" t="inlineStr">
        <is>
          <t>Q2FY02</t>
        </is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/>
      </c>
      <c r="C17" s="4">
        <f>IF(SUMIFS('Monthly BSE Equity Cash'!$G:$G,'Monthly BSE Equity Cash'!$C:$C,$A17)=0,"",SUMIFS('Monthly BSE Equity Cash'!$G:$G,'Monthly BSE Equity Cash'!$C:$C,$A17))</f>
        <v/>
      </c>
      <c r="D17" s="4">
        <f>IF(OR(B17="",C17=""),"",B17+C17)</f>
        <v/>
      </c>
      <c r="E17" s="7">
        <f>IF(OR(B17="",B13=""),"",B17/B13-1)</f>
        <v/>
      </c>
      <c r="F17" s="7">
        <f>IF(OR(C17="",C13=""),"",C17/C13-1)</f>
        <v/>
      </c>
      <c r="G17" s="7">
        <f>IF(OR(D17="",D13=""),"",D17/D13-1)</f>
        <v/>
      </c>
      <c r="H17" s="7">
        <f>IF(OR(B17="",B16=""),"",B17/B16-1)</f>
        <v/>
      </c>
      <c r="I17" s="7">
        <f>IF(OR(C17="",C16=""),"",C17/C16-1)</f>
        <v/>
      </c>
      <c r="J17" s="7">
        <f>IF(OR(D17="",D16=""),"",D17/D16-1)</f>
        <v/>
      </c>
      <c r="K17" s="7">
        <f>IF(D17="","",B17/D17)</f>
        <v/>
      </c>
      <c r="L17" s="7">
        <f>IF(D17="","",C17/D17)</f>
        <v/>
      </c>
    </row>
    <row r="18">
      <c r="A18" s="2" t="inlineStr">
        <is>
          <t>Q3FY02</t>
        </is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/>
      </c>
      <c r="C18" s="4">
        <f>IF(SUMIFS('Monthly BSE Equity Cash'!$G:$G,'Monthly BSE Equity Cash'!$C:$C,$A18)=0,"",SUMIFS('Monthly BSE Equity Cash'!$G:$G,'Monthly BSE Equity Cash'!$C:$C,$A18))</f>
        <v/>
      </c>
      <c r="D18" s="4">
        <f>IF(OR(B18="",C18=""),"",B18+C18)</f>
        <v/>
      </c>
      <c r="E18" s="7">
        <f>IF(OR(B18="",B14=""),"",B18/B14-1)</f>
        <v/>
      </c>
      <c r="F18" s="7">
        <f>IF(OR(C18="",C14=""),"",C18/C14-1)</f>
        <v/>
      </c>
      <c r="G18" s="7">
        <f>IF(OR(D18="",D14=""),"",D18/D14-1)</f>
        <v/>
      </c>
      <c r="H18" s="7">
        <f>IF(OR(B18="",B17=""),"",B18/B17-1)</f>
        <v/>
      </c>
      <c r="I18" s="7">
        <f>IF(OR(C18="",C17=""),"",C18/C17-1)</f>
        <v/>
      </c>
      <c r="J18" s="7">
        <f>IF(OR(D18="",D17=""),"",D18/D17-1)</f>
        <v/>
      </c>
      <c r="K18" s="7">
        <f>IF(D18="","",B18/D18)</f>
        <v/>
      </c>
      <c r="L18" s="7">
        <f>IF(D18="","",C18/D18)</f>
        <v/>
      </c>
    </row>
    <row r="19">
      <c r="A19" s="2" t="inlineStr">
        <is>
          <t>Q4FY02</t>
        </is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/>
      </c>
      <c r="C19" s="4">
        <f>IF(SUMIFS('Monthly BSE Equity Cash'!$G:$G,'Monthly BSE Equity Cash'!$C:$C,$A19)=0,"",SUMIFS('Monthly BSE Equity Cash'!$G:$G,'Monthly BSE Equity Cash'!$C:$C,$A19))</f>
        <v/>
      </c>
      <c r="D19" s="4">
        <f>IF(OR(B19="",C19=""),"",B19+C19)</f>
        <v/>
      </c>
      <c r="E19" s="7">
        <f>IF(OR(B19="",B15=""),"",B19/B15-1)</f>
        <v/>
      </c>
      <c r="F19" s="7">
        <f>IF(OR(C19="",C15=""),"",C19/C15-1)</f>
        <v/>
      </c>
      <c r="G19" s="7">
        <f>IF(OR(D19="",D15=""),"",D19/D15-1)</f>
        <v/>
      </c>
      <c r="H19" s="7">
        <f>IF(OR(B19="",B18=""),"",B19/B18-1)</f>
        <v/>
      </c>
      <c r="I19" s="7">
        <f>IF(OR(C19="",C18=""),"",C19/C18-1)</f>
        <v/>
      </c>
      <c r="J19" s="7">
        <f>IF(OR(D19="",D18=""),"",D19/D18-1)</f>
        <v/>
      </c>
      <c r="K19" s="7">
        <f>IF(D19="","",B19/D19)</f>
        <v/>
      </c>
      <c r="L19" s="7">
        <f>IF(D19="","",C19/D19)</f>
        <v/>
      </c>
    </row>
    <row r="20">
      <c r="A20" s="2" t="inlineStr">
        <is>
          <t>Q1FY03</t>
        </is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/>
      </c>
      <c r="C20" s="4">
        <f>IF(SUMIFS('Monthly BSE Equity Cash'!$G:$G,'Monthly BSE Equity Cash'!$C:$C,$A20)=0,"",SUMIFS('Monthly BSE Equity Cash'!$G:$G,'Monthly BSE Equity Cash'!$C:$C,$A20))</f>
        <v/>
      </c>
      <c r="D20" s="4">
        <f>IF(OR(B20="",C20=""),"",B20+C20)</f>
        <v/>
      </c>
      <c r="E20" s="7">
        <f>IF(OR(B20="",B16=""),"",B20/B16-1)</f>
        <v/>
      </c>
      <c r="F20" s="7">
        <f>IF(OR(C20="",C16=""),"",C20/C16-1)</f>
        <v/>
      </c>
      <c r="G20" s="7">
        <f>IF(OR(D20="",D16=""),"",D20/D16-1)</f>
        <v/>
      </c>
      <c r="H20" s="7">
        <f>IF(OR(B20="",B19=""),"",B20/B19-1)</f>
        <v/>
      </c>
      <c r="I20" s="7">
        <f>IF(OR(C20="",C19=""),"",C20/C19-1)</f>
        <v/>
      </c>
      <c r="J20" s="7">
        <f>IF(OR(D20="",D19=""),"",D20/D19-1)</f>
        <v/>
      </c>
      <c r="K20" s="7">
        <f>IF(D20="","",B20/D20)</f>
        <v/>
      </c>
      <c r="L20" s="7">
        <f>IF(D20="","",C20/D20)</f>
        <v/>
      </c>
    </row>
    <row r="21">
      <c r="A21" s="2" t="inlineStr">
        <is>
          <t>Q2FY03</t>
        </is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/>
      </c>
      <c r="C21" s="4">
        <f>IF(SUMIFS('Monthly BSE Equity Cash'!$G:$G,'Monthly BSE Equity Cash'!$C:$C,$A21)=0,"",SUMIFS('Monthly BSE Equity Cash'!$G:$G,'Monthly BSE Equity Cash'!$C:$C,$A21))</f>
        <v/>
      </c>
      <c r="D21" s="4">
        <f>IF(OR(B21="",C21=""),"",B21+C21)</f>
        <v/>
      </c>
      <c r="E21" s="7">
        <f>IF(OR(B21="",B17=""),"",B21/B17-1)</f>
        <v/>
      </c>
      <c r="F21" s="7">
        <f>IF(OR(C21="",C17=""),"",C21/C17-1)</f>
        <v/>
      </c>
      <c r="G21" s="7">
        <f>IF(OR(D21="",D17=""),"",D21/D17-1)</f>
        <v/>
      </c>
      <c r="H21" s="7">
        <f>IF(OR(B21="",B20=""),"",B21/B20-1)</f>
        <v/>
      </c>
      <c r="I21" s="7">
        <f>IF(OR(C21="",C20=""),"",C21/C20-1)</f>
        <v/>
      </c>
      <c r="J21" s="7">
        <f>IF(OR(D21="",D20=""),"",D21/D20-1)</f>
        <v/>
      </c>
      <c r="K21" s="7">
        <f>IF(D21="","",B21/D21)</f>
        <v/>
      </c>
      <c r="L21" s="7">
        <f>IF(D21="","",C21/D21)</f>
        <v/>
      </c>
    </row>
    <row r="22">
      <c r="A22" s="2" t="inlineStr">
        <is>
          <t>Q3FY03</t>
        </is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/>
      </c>
      <c r="C22" s="4">
        <f>IF(SUMIFS('Monthly BSE Equity Cash'!$G:$G,'Monthly BSE Equity Cash'!$C:$C,$A22)=0,"",SUMIFS('Monthly BSE Equity Cash'!$G:$G,'Monthly BSE Equity Cash'!$C:$C,$A22))</f>
        <v/>
      </c>
      <c r="D22" s="4">
        <f>IF(OR(B22="",C22=""),"",B22+C22)</f>
        <v/>
      </c>
      <c r="E22" s="7">
        <f>IF(OR(B22="",B18=""),"",B22/B18-1)</f>
        <v/>
      </c>
      <c r="F22" s="7">
        <f>IF(OR(C22="",C18=""),"",C22/C18-1)</f>
        <v/>
      </c>
      <c r="G22" s="7">
        <f>IF(OR(D22="",D18=""),"",D22/D18-1)</f>
        <v/>
      </c>
      <c r="H22" s="7">
        <f>IF(OR(B22="",B21=""),"",B22/B21-1)</f>
        <v/>
      </c>
      <c r="I22" s="7">
        <f>IF(OR(C22="",C21=""),"",C22/C21-1)</f>
        <v/>
      </c>
      <c r="J22" s="7">
        <f>IF(OR(D22="",D21=""),"",D22/D21-1)</f>
        <v/>
      </c>
      <c r="K22" s="7">
        <f>IF(D22="","",B22/D22)</f>
        <v/>
      </c>
      <c r="L22" s="7">
        <f>IF(D22="","",C22/D22)</f>
        <v/>
      </c>
    </row>
    <row r="23">
      <c r="A23" s="2" t="inlineStr">
        <is>
          <t>Q4FY03</t>
        </is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/>
      </c>
      <c r="C23" s="4">
        <f>IF(SUMIFS('Monthly BSE Equity Cash'!$G:$G,'Monthly BSE Equity Cash'!$C:$C,$A23)=0,"",SUMIFS('Monthly BSE Equity Cash'!$G:$G,'Monthly BSE Equity Cash'!$C:$C,$A23))</f>
        <v/>
      </c>
      <c r="D23" s="4">
        <f>IF(OR(B23="",C23=""),"",B23+C23)</f>
        <v/>
      </c>
      <c r="E23" s="7">
        <f>IF(OR(B23="",B19=""),"",B23/B19-1)</f>
        <v/>
      </c>
      <c r="F23" s="7">
        <f>IF(OR(C23="",C19=""),"",C23/C19-1)</f>
        <v/>
      </c>
      <c r="G23" s="7">
        <f>IF(OR(D23="",D19=""),"",D23/D19-1)</f>
        <v/>
      </c>
      <c r="H23" s="7">
        <f>IF(OR(B23="",B22=""),"",B23/B22-1)</f>
        <v/>
      </c>
      <c r="I23" s="7">
        <f>IF(OR(C23="",C22=""),"",C23/C22-1)</f>
        <v/>
      </c>
      <c r="J23" s="7">
        <f>IF(OR(D23="",D22=""),"",D23/D22-1)</f>
        <v/>
      </c>
      <c r="K23" s="7">
        <f>IF(D23="","",B23/D23)</f>
        <v/>
      </c>
      <c r="L23" s="7">
        <f>IF(D23="","",C23/D23)</f>
        <v/>
      </c>
    </row>
    <row r="24">
      <c r="A24" s="2" t="inlineStr">
        <is>
          <t>Q1FY04</t>
        </is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/>
      </c>
      <c r="C24" s="4">
        <f>IF(SUMIFS('Monthly BSE Equity Cash'!$G:$G,'Monthly BSE Equity Cash'!$C:$C,$A24)=0,"",SUMIFS('Monthly BSE Equity Cash'!$G:$G,'Monthly BSE Equity Cash'!$C:$C,$A24))</f>
        <v/>
      </c>
      <c r="D24" s="4">
        <f>IF(OR(B24="",C24=""),"",B24+C24)</f>
        <v/>
      </c>
      <c r="E24" s="7">
        <f>IF(OR(B24="",B20=""),"",B24/B20-1)</f>
        <v/>
      </c>
      <c r="F24" s="7">
        <f>IF(OR(C24="",C20=""),"",C24/C20-1)</f>
        <v/>
      </c>
      <c r="G24" s="7">
        <f>IF(OR(D24="",D20=""),"",D24/D20-1)</f>
        <v/>
      </c>
      <c r="H24" s="7">
        <f>IF(OR(B24="",B23=""),"",B24/B23-1)</f>
        <v/>
      </c>
      <c r="I24" s="7">
        <f>IF(OR(C24="",C23=""),"",C24/C23-1)</f>
        <v/>
      </c>
      <c r="J24" s="7">
        <f>IF(OR(D24="",D23=""),"",D24/D23-1)</f>
        <v/>
      </c>
      <c r="K24" s="7">
        <f>IF(D24="","",B24/D24)</f>
        <v/>
      </c>
      <c r="L24" s="7">
        <f>IF(D24="","",C24/D24)</f>
        <v/>
      </c>
    </row>
    <row r="25">
      <c r="A25" s="2" t="inlineStr">
        <is>
          <t>Q2FY04</t>
        </is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/>
      </c>
      <c r="C25" s="4">
        <f>IF(SUMIFS('Monthly BSE Equity Cash'!$G:$G,'Monthly BSE Equity Cash'!$C:$C,$A25)=0,"",SUMIFS('Monthly BSE Equity Cash'!$G:$G,'Monthly BSE Equity Cash'!$C:$C,$A25))</f>
        <v/>
      </c>
      <c r="D25" s="4">
        <f>IF(OR(B25="",C25=""),"",B25+C25)</f>
        <v/>
      </c>
      <c r="E25" s="7">
        <f>IF(OR(B25="",B21=""),"",B25/B21-1)</f>
        <v/>
      </c>
      <c r="F25" s="7">
        <f>IF(OR(C25="",C21=""),"",C25/C21-1)</f>
        <v/>
      </c>
      <c r="G25" s="7">
        <f>IF(OR(D25="",D21=""),"",D25/D21-1)</f>
        <v/>
      </c>
      <c r="H25" s="7">
        <f>IF(OR(B25="",B24=""),"",B25/B24-1)</f>
        <v/>
      </c>
      <c r="I25" s="7">
        <f>IF(OR(C25="",C24=""),"",C25/C24-1)</f>
        <v/>
      </c>
      <c r="J25" s="7">
        <f>IF(OR(D25="",D24=""),"",D25/D24-1)</f>
        <v/>
      </c>
      <c r="K25" s="7">
        <f>IF(D25="","",B25/D25)</f>
        <v/>
      </c>
      <c r="L25" s="7">
        <f>IF(D25="","",C25/D25)</f>
        <v/>
      </c>
    </row>
    <row r="26">
      <c r="A26" s="2" t="inlineStr">
        <is>
          <t>Q3FY04</t>
        </is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/>
      </c>
      <c r="C26" s="4">
        <f>IF(SUMIFS('Monthly BSE Equity Cash'!$G:$G,'Monthly BSE Equity Cash'!$C:$C,$A26)=0,"",SUMIFS('Monthly BSE Equity Cash'!$G:$G,'Monthly BSE Equity Cash'!$C:$C,$A26))</f>
        <v/>
      </c>
      <c r="D26" s="4">
        <f>IF(OR(B26="",C26=""),"",B26+C26)</f>
        <v/>
      </c>
      <c r="E26" s="7">
        <f>IF(OR(B26="",B22=""),"",B26/B22-1)</f>
        <v/>
      </c>
      <c r="F26" s="7">
        <f>IF(OR(C26="",C22=""),"",C26/C22-1)</f>
        <v/>
      </c>
      <c r="G26" s="7">
        <f>IF(OR(D26="",D22=""),"",D26/D22-1)</f>
        <v/>
      </c>
      <c r="H26" s="7">
        <f>IF(OR(B26="",B25=""),"",B26/B25-1)</f>
        <v/>
      </c>
      <c r="I26" s="7">
        <f>IF(OR(C26="",C25=""),"",C26/C25-1)</f>
        <v/>
      </c>
      <c r="J26" s="7">
        <f>IF(OR(D26="",D25=""),"",D26/D25-1)</f>
        <v/>
      </c>
      <c r="K26" s="7">
        <f>IF(D26="","",B26/D26)</f>
        <v/>
      </c>
      <c r="L26" s="7">
        <f>IF(D26="","",C26/D26)</f>
        <v/>
      </c>
    </row>
    <row r="27">
      <c r="A27" s="2" t="inlineStr">
        <is>
          <t>Q4FY04</t>
        </is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/>
      </c>
      <c r="C27" s="4">
        <f>IF(SUMIFS('Monthly BSE Equity Cash'!$G:$G,'Monthly BSE Equity Cash'!$C:$C,$A27)=0,"",SUMIFS('Monthly BSE Equity Cash'!$G:$G,'Monthly BSE Equity Cash'!$C:$C,$A27))</f>
        <v/>
      </c>
      <c r="D27" s="4">
        <f>IF(OR(B27="",C27=""),"",B27+C27)</f>
        <v/>
      </c>
      <c r="E27" s="7">
        <f>IF(OR(B27="",B23=""),"",B27/B23-1)</f>
        <v/>
      </c>
      <c r="F27" s="7">
        <f>IF(OR(C27="",C23=""),"",C27/C23-1)</f>
        <v/>
      </c>
      <c r="G27" s="7">
        <f>IF(OR(D27="",D23=""),"",D27/D23-1)</f>
        <v/>
      </c>
      <c r="H27" s="7">
        <f>IF(OR(B27="",B26=""),"",B27/B26-1)</f>
        <v/>
      </c>
      <c r="I27" s="7">
        <f>IF(OR(C27="",C26=""),"",C27/C26-1)</f>
        <v/>
      </c>
      <c r="J27" s="7">
        <f>IF(OR(D27="",D26=""),"",D27/D26-1)</f>
        <v/>
      </c>
      <c r="K27" s="7">
        <f>IF(D27="","",B27/D27)</f>
        <v/>
      </c>
      <c r="L27" s="7">
        <f>IF(D27="","",C27/D27)</f>
        <v/>
      </c>
    </row>
    <row r="28">
      <c r="A28" s="2" t="inlineStr">
        <is>
          <t>Q1FY05</t>
        </is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/>
      </c>
      <c r="C28" s="4">
        <f>IF(SUMIFS('Monthly BSE Equity Cash'!$G:$G,'Monthly BSE Equity Cash'!$C:$C,$A28)=0,"",SUMIFS('Monthly BSE Equity Cash'!$G:$G,'Monthly BSE Equity Cash'!$C:$C,$A28))</f>
        <v/>
      </c>
      <c r="D28" s="4">
        <f>IF(OR(B28="",C28=""),"",B28+C28)</f>
        <v/>
      </c>
      <c r="E28" s="7">
        <f>IF(OR(B28="",B24=""),"",B28/B24-1)</f>
        <v/>
      </c>
      <c r="F28" s="7">
        <f>IF(OR(C28="",C24=""),"",C28/C24-1)</f>
        <v/>
      </c>
      <c r="G28" s="7">
        <f>IF(OR(D28="",D24=""),"",D28/D24-1)</f>
        <v/>
      </c>
      <c r="H28" s="7">
        <f>IF(OR(B28="",B27=""),"",B28/B27-1)</f>
        <v/>
      </c>
      <c r="I28" s="7">
        <f>IF(OR(C28="",C27=""),"",C28/C27-1)</f>
        <v/>
      </c>
      <c r="J28" s="7">
        <f>IF(OR(D28="",D27=""),"",D28/D27-1)</f>
        <v/>
      </c>
      <c r="K28" s="7">
        <f>IF(D28="","",B28/D28)</f>
        <v/>
      </c>
      <c r="L28" s="7">
        <f>IF(D28="","",C28/D28)</f>
        <v/>
      </c>
    </row>
    <row r="29">
      <c r="A29" s="2" t="inlineStr">
        <is>
          <t>Q2FY05</t>
        </is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/>
      </c>
      <c r="C29" s="4">
        <f>IF(SUMIFS('Monthly BSE Equity Cash'!$G:$G,'Monthly BSE Equity Cash'!$C:$C,$A29)=0,"",SUMIFS('Monthly BSE Equity Cash'!$G:$G,'Monthly BSE Equity Cash'!$C:$C,$A29))</f>
        <v/>
      </c>
      <c r="D29" s="4">
        <f>IF(OR(B29="",C29=""),"",B29+C29)</f>
        <v/>
      </c>
      <c r="E29" s="7">
        <f>IF(OR(B29="",B25=""),"",B29/B25-1)</f>
        <v/>
      </c>
      <c r="F29" s="7">
        <f>IF(OR(C29="",C25=""),"",C29/C25-1)</f>
        <v/>
      </c>
      <c r="G29" s="7">
        <f>IF(OR(D29="",D25=""),"",D29/D25-1)</f>
        <v/>
      </c>
      <c r="H29" s="7">
        <f>IF(OR(B29="",B28=""),"",B29/B28-1)</f>
        <v/>
      </c>
      <c r="I29" s="7">
        <f>IF(OR(C29="",C28=""),"",C29/C28-1)</f>
        <v/>
      </c>
      <c r="J29" s="7">
        <f>IF(OR(D29="",D28=""),"",D29/D28-1)</f>
        <v/>
      </c>
      <c r="K29" s="7">
        <f>IF(D29="","",B29/D29)</f>
        <v/>
      </c>
      <c r="L29" s="7">
        <f>IF(D29="","",C29/D29)</f>
        <v/>
      </c>
    </row>
    <row r="30">
      <c r="A30" s="2" t="inlineStr">
        <is>
          <t>Q3FY05</t>
        </is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/>
      </c>
      <c r="C30" s="4">
        <f>IF(SUMIFS('Monthly BSE Equity Cash'!$G:$G,'Monthly BSE Equity Cash'!$C:$C,$A30)=0,"",SUMIFS('Monthly BSE Equity Cash'!$G:$G,'Monthly BSE Equity Cash'!$C:$C,$A30))</f>
        <v/>
      </c>
      <c r="D30" s="4">
        <f>IF(OR(B30="",C30=""),"",B30+C30)</f>
        <v/>
      </c>
      <c r="E30" s="7">
        <f>IF(OR(B30="",B26=""),"",B30/B26-1)</f>
        <v/>
      </c>
      <c r="F30" s="7">
        <f>IF(OR(C30="",C26=""),"",C30/C26-1)</f>
        <v/>
      </c>
      <c r="G30" s="7">
        <f>IF(OR(D30="",D26=""),"",D30/D26-1)</f>
        <v/>
      </c>
      <c r="H30" s="7">
        <f>IF(OR(B30="",B29=""),"",B30/B29-1)</f>
        <v/>
      </c>
      <c r="I30" s="7">
        <f>IF(OR(C30="",C29=""),"",C30/C29-1)</f>
        <v/>
      </c>
      <c r="J30" s="7">
        <f>IF(OR(D30="",D29=""),"",D30/D29-1)</f>
        <v/>
      </c>
      <c r="K30" s="7">
        <f>IF(D30="","",B30/D30)</f>
        <v/>
      </c>
      <c r="L30" s="7">
        <f>IF(D30="","",C30/D30)</f>
        <v/>
      </c>
    </row>
    <row r="31">
      <c r="A31" s="2" t="inlineStr">
        <is>
          <t>Q4FY05</t>
        </is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/>
      </c>
      <c r="C31" s="4">
        <f>IF(SUMIFS('Monthly BSE Equity Cash'!$G:$G,'Monthly BSE Equity Cash'!$C:$C,$A31)=0,"",SUMIFS('Monthly BSE Equity Cash'!$G:$G,'Monthly BSE Equity Cash'!$C:$C,$A31))</f>
        <v/>
      </c>
      <c r="D31" s="4">
        <f>IF(OR(B31="",C31=""),"",B31+C31)</f>
        <v/>
      </c>
      <c r="E31" s="7">
        <f>IF(OR(B31="",B27=""),"",B31/B27-1)</f>
        <v/>
      </c>
      <c r="F31" s="7">
        <f>IF(OR(C31="",C27=""),"",C31/C27-1)</f>
        <v/>
      </c>
      <c r="G31" s="7">
        <f>IF(OR(D31="",D27=""),"",D31/D27-1)</f>
        <v/>
      </c>
      <c r="H31" s="7">
        <f>IF(OR(B31="",B30=""),"",B31/B30-1)</f>
        <v/>
      </c>
      <c r="I31" s="7">
        <f>IF(OR(C31="",C30=""),"",C31/C30-1)</f>
        <v/>
      </c>
      <c r="J31" s="7">
        <f>IF(OR(D31="",D30=""),"",D31/D30-1)</f>
        <v/>
      </c>
      <c r="K31" s="7">
        <f>IF(D31="","",B31/D31)</f>
        <v/>
      </c>
      <c r="L31" s="7">
        <f>IF(D31="","",C31/D31)</f>
        <v/>
      </c>
    </row>
    <row r="32">
      <c r="A32" s="2" t="inlineStr">
        <is>
          <t>Q1FY06</t>
        </is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/>
      </c>
      <c r="C32" s="4">
        <f>IF(SUMIFS('Monthly BSE Equity Cash'!$G:$G,'Monthly BSE Equity Cash'!$C:$C,$A32)=0,"",SUMIFS('Monthly BSE Equity Cash'!$G:$G,'Monthly BSE Equity Cash'!$C:$C,$A32))</f>
        <v/>
      </c>
      <c r="D32" s="4">
        <f>IF(OR(B32="",C32=""),"",B32+C32)</f>
        <v/>
      </c>
      <c r="E32" s="7">
        <f>IF(OR(B32="",B28=""),"",B32/B28-1)</f>
        <v/>
      </c>
      <c r="F32" s="7">
        <f>IF(OR(C32="",C28=""),"",C32/C28-1)</f>
        <v/>
      </c>
      <c r="G32" s="7">
        <f>IF(OR(D32="",D28=""),"",D32/D28-1)</f>
        <v/>
      </c>
      <c r="H32" s="7">
        <f>IF(OR(B32="",B31=""),"",B32/B31-1)</f>
        <v/>
      </c>
      <c r="I32" s="7">
        <f>IF(OR(C32="",C31=""),"",C32/C31-1)</f>
        <v/>
      </c>
      <c r="J32" s="7">
        <f>IF(OR(D32="",D31=""),"",D32/D31-1)</f>
        <v/>
      </c>
      <c r="K32" s="7">
        <f>IF(D32="","",B32/D32)</f>
        <v/>
      </c>
      <c r="L32" s="7">
        <f>IF(D32="","",C32/D32)</f>
        <v/>
      </c>
    </row>
    <row r="33">
      <c r="A33" s="2" t="inlineStr">
        <is>
          <t>Q2FY06</t>
        </is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/>
      </c>
      <c r="C33" s="4">
        <f>IF(SUMIFS('Monthly BSE Equity Cash'!$G:$G,'Monthly BSE Equity Cash'!$C:$C,$A33)=0,"",SUMIFS('Monthly BSE Equity Cash'!$G:$G,'Monthly BSE Equity Cash'!$C:$C,$A33))</f>
        <v/>
      </c>
      <c r="D33" s="4">
        <f>IF(OR(B33="",C33=""),"",B33+C33)</f>
        <v/>
      </c>
      <c r="E33" s="7">
        <f>IF(OR(B33="",B29=""),"",B33/B29-1)</f>
        <v/>
      </c>
      <c r="F33" s="7">
        <f>IF(OR(C33="",C29=""),"",C33/C29-1)</f>
        <v/>
      </c>
      <c r="G33" s="7">
        <f>IF(OR(D33="",D29=""),"",D33/D29-1)</f>
        <v/>
      </c>
      <c r="H33" s="7">
        <f>IF(OR(B33="",B32=""),"",B33/B32-1)</f>
        <v/>
      </c>
      <c r="I33" s="7">
        <f>IF(OR(C33="",C32=""),"",C33/C32-1)</f>
        <v/>
      </c>
      <c r="J33" s="7">
        <f>IF(OR(D33="",D32=""),"",D33/D32-1)</f>
        <v/>
      </c>
      <c r="K33" s="7">
        <f>IF(D33="","",B33/D33)</f>
        <v/>
      </c>
      <c r="L33" s="7">
        <f>IF(D33="","",C33/D33)</f>
        <v/>
      </c>
    </row>
    <row r="34">
      <c r="A34" s="2" t="inlineStr">
        <is>
          <t>Q3FY06</t>
        </is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/>
      </c>
      <c r="C34" s="4">
        <f>IF(SUMIFS('Monthly BSE Equity Cash'!$G:$G,'Monthly BSE Equity Cash'!$C:$C,$A34)=0,"",SUMIFS('Monthly BSE Equity Cash'!$G:$G,'Monthly BSE Equity Cash'!$C:$C,$A34))</f>
        <v/>
      </c>
      <c r="D34" s="4">
        <f>IF(OR(B34="",C34=""),"",B34+C34)</f>
        <v/>
      </c>
      <c r="E34" s="7">
        <f>IF(OR(B34="",B30=""),"",B34/B30-1)</f>
        <v/>
      </c>
      <c r="F34" s="7">
        <f>IF(OR(C34="",C30=""),"",C34/C30-1)</f>
        <v/>
      </c>
      <c r="G34" s="7">
        <f>IF(OR(D34="",D30=""),"",D34/D30-1)</f>
        <v/>
      </c>
      <c r="H34" s="7">
        <f>IF(OR(B34="",B33=""),"",B34/B33-1)</f>
        <v/>
      </c>
      <c r="I34" s="7">
        <f>IF(OR(C34="",C33=""),"",C34/C33-1)</f>
        <v/>
      </c>
      <c r="J34" s="7">
        <f>IF(OR(D34="",D33=""),"",D34/D33-1)</f>
        <v/>
      </c>
      <c r="K34" s="7">
        <f>IF(D34="","",B34/D34)</f>
        <v/>
      </c>
      <c r="L34" s="7">
        <f>IF(D34="","",C34/D34)</f>
        <v/>
      </c>
    </row>
    <row r="35">
      <c r="A35" s="2" t="inlineStr">
        <is>
          <t>Q4FY06</t>
        </is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/>
      </c>
      <c r="C35" s="4">
        <f>IF(SUMIFS('Monthly BSE Equity Cash'!$G:$G,'Monthly BSE Equity Cash'!$C:$C,$A35)=0,"",SUMIFS('Monthly BSE Equity Cash'!$G:$G,'Monthly BSE Equity Cash'!$C:$C,$A35))</f>
        <v/>
      </c>
      <c r="D35" s="4">
        <f>IF(OR(B35="",C35=""),"",B35+C35)</f>
        <v/>
      </c>
      <c r="E35" s="7">
        <f>IF(OR(B35="",B31=""),"",B35/B31-1)</f>
        <v/>
      </c>
      <c r="F35" s="7">
        <f>IF(OR(C35="",C31=""),"",C35/C31-1)</f>
        <v/>
      </c>
      <c r="G35" s="7">
        <f>IF(OR(D35="",D31=""),"",D35/D31-1)</f>
        <v/>
      </c>
      <c r="H35" s="7">
        <f>IF(OR(B35="",B34=""),"",B35/B34-1)</f>
        <v/>
      </c>
      <c r="I35" s="7">
        <f>IF(OR(C35="",C34=""),"",C35/C34-1)</f>
        <v/>
      </c>
      <c r="J35" s="7">
        <f>IF(OR(D35="",D34=""),"",D35/D34-1)</f>
        <v/>
      </c>
      <c r="K35" s="7">
        <f>IF(D35="","",B35/D35)</f>
        <v/>
      </c>
      <c r="L35" s="7">
        <f>IF(D35="","",C35/D35)</f>
        <v/>
      </c>
    </row>
    <row r="36">
      <c r="A36" s="2" t="inlineStr">
        <is>
          <t>Q1FY07</t>
        </is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/>
      </c>
      <c r="C36" s="4">
        <f>IF(SUMIFS('Monthly BSE Equity Cash'!$G:$G,'Monthly BSE Equity Cash'!$C:$C,$A36)=0,"",SUMIFS('Monthly BSE Equity Cash'!$G:$G,'Monthly BSE Equity Cash'!$C:$C,$A36))</f>
        <v/>
      </c>
      <c r="D36" s="4">
        <f>IF(OR(B36="",C36=""),"",B36+C36)</f>
        <v/>
      </c>
      <c r="E36" s="7">
        <f>IF(OR(B36="",B32=""),"",B36/B32-1)</f>
        <v/>
      </c>
      <c r="F36" s="7">
        <f>IF(OR(C36="",C32=""),"",C36/C32-1)</f>
        <v/>
      </c>
      <c r="G36" s="7">
        <f>IF(OR(D36="",D32=""),"",D36/D32-1)</f>
        <v/>
      </c>
      <c r="H36" s="7">
        <f>IF(OR(B36="",B35=""),"",B36/B35-1)</f>
        <v/>
      </c>
      <c r="I36" s="7">
        <f>IF(OR(C36="",C35=""),"",C36/C35-1)</f>
        <v/>
      </c>
      <c r="J36" s="7">
        <f>IF(OR(D36="",D35=""),"",D36/D35-1)</f>
        <v/>
      </c>
      <c r="K36" s="7">
        <f>IF(D36="","",B36/D36)</f>
        <v/>
      </c>
      <c r="L36" s="7">
        <f>IF(D36="","",C36/D36)</f>
        <v/>
      </c>
    </row>
    <row r="37">
      <c r="A37" s="2" t="inlineStr">
        <is>
          <t>Q2FY07</t>
        </is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/>
      </c>
      <c r="C37" s="4">
        <f>IF(SUMIFS('Monthly BSE Equity Cash'!$G:$G,'Monthly BSE Equity Cash'!$C:$C,$A37)=0,"",SUMIFS('Monthly BSE Equity Cash'!$G:$G,'Monthly BSE Equity Cash'!$C:$C,$A37))</f>
        <v/>
      </c>
      <c r="D37" s="4">
        <f>IF(OR(B37="",C37=""),"",B37+C37)</f>
        <v/>
      </c>
      <c r="E37" s="7">
        <f>IF(OR(B37="",B33=""),"",B37/B33-1)</f>
        <v/>
      </c>
      <c r="F37" s="7">
        <f>IF(OR(C37="",C33=""),"",C37/C33-1)</f>
        <v/>
      </c>
      <c r="G37" s="7">
        <f>IF(OR(D37="",D33=""),"",D37/D33-1)</f>
        <v/>
      </c>
      <c r="H37" s="7">
        <f>IF(OR(B37="",B36=""),"",B37/B36-1)</f>
        <v/>
      </c>
      <c r="I37" s="7">
        <f>IF(OR(C37="",C36=""),"",C37/C36-1)</f>
        <v/>
      </c>
      <c r="J37" s="7">
        <f>IF(OR(D37="",D36=""),"",D37/D36-1)</f>
        <v/>
      </c>
      <c r="K37" s="7">
        <f>IF(D37="","",B37/D37)</f>
        <v/>
      </c>
      <c r="L37" s="7">
        <f>IF(D37="","",C37/D37)</f>
        <v/>
      </c>
    </row>
    <row r="38">
      <c r="A38" s="2" t="inlineStr">
        <is>
          <t>Q3FY07</t>
        </is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/>
      </c>
      <c r="C38" s="4">
        <f>IF(SUMIFS('Monthly BSE Equity Cash'!$G:$G,'Monthly BSE Equity Cash'!$C:$C,$A38)=0,"",SUMIFS('Monthly BSE Equity Cash'!$G:$G,'Monthly BSE Equity Cash'!$C:$C,$A38))</f>
        <v/>
      </c>
      <c r="D38" s="4">
        <f>IF(OR(B38="",C38=""),"",B38+C38)</f>
        <v/>
      </c>
      <c r="E38" s="7">
        <f>IF(OR(B38="",B34=""),"",B38/B34-1)</f>
        <v/>
      </c>
      <c r="F38" s="7">
        <f>IF(OR(C38="",C34=""),"",C38/C34-1)</f>
        <v/>
      </c>
      <c r="G38" s="7">
        <f>IF(OR(D38="",D34=""),"",D38/D34-1)</f>
        <v/>
      </c>
      <c r="H38" s="7">
        <f>IF(OR(B38="",B37=""),"",B38/B37-1)</f>
        <v/>
      </c>
      <c r="I38" s="7">
        <f>IF(OR(C38="",C37=""),"",C38/C37-1)</f>
        <v/>
      </c>
      <c r="J38" s="7">
        <f>IF(OR(D38="",D37=""),"",D38/D37-1)</f>
        <v/>
      </c>
      <c r="K38" s="7">
        <f>IF(D38="","",B38/D38)</f>
        <v/>
      </c>
      <c r="L38" s="7">
        <f>IF(D38="","",C38/D38)</f>
        <v/>
      </c>
    </row>
    <row r="39">
      <c r="A39" s="2" t="inlineStr">
        <is>
          <t>Q4FY07</t>
        </is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/>
      </c>
      <c r="C39" s="4">
        <f>IF(SUMIFS('Monthly BSE Equity Cash'!$G:$G,'Monthly BSE Equity Cash'!$C:$C,$A39)=0,"",SUMIFS('Monthly BSE Equity Cash'!$G:$G,'Monthly BSE Equity Cash'!$C:$C,$A39))</f>
        <v/>
      </c>
      <c r="D39" s="4">
        <f>IF(OR(B39="",C39=""),"",B39+C39)</f>
        <v/>
      </c>
      <c r="E39" s="7">
        <f>IF(OR(B39="",B35=""),"",B39/B35-1)</f>
        <v/>
      </c>
      <c r="F39" s="7">
        <f>IF(OR(C39="",C35=""),"",C39/C35-1)</f>
        <v/>
      </c>
      <c r="G39" s="7">
        <f>IF(OR(D39="",D35=""),"",D39/D35-1)</f>
        <v/>
      </c>
      <c r="H39" s="7">
        <f>IF(OR(B39="",B38=""),"",B39/B38-1)</f>
        <v/>
      </c>
      <c r="I39" s="7">
        <f>IF(OR(C39="",C38=""),"",C39/C38-1)</f>
        <v/>
      </c>
      <c r="J39" s="7">
        <f>IF(OR(D39="",D38=""),"",D39/D38-1)</f>
        <v/>
      </c>
      <c r="K39" s="7">
        <f>IF(D39="","",B39/D39)</f>
        <v/>
      </c>
      <c r="L39" s="7">
        <f>IF(D39="","",C39/D39)</f>
        <v/>
      </c>
    </row>
    <row r="40">
      <c r="A40" s="2" t="inlineStr">
        <is>
          <t>Q1FY08</t>
        </is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/>
      </c>
      <c r="C40" s="4">
        <f>IF(SUMIFS('Monthly BSE Equity Cash'!$G:$G,'Monthly BSE Equity Cash'!$C:$C,$A40)=0,"",SUMIFS('Monthly BSE Equity Cash'!$G:$G,'Monthly BSE Equity Cash'!$C:$C,$A40))</f>
        <v/>
      </c>
      <c r="D40" s="4">
        <f>IF(OR(B40="",C40=""),"",B40+C40)</f>
        <v/>
      </c>
      <c r="E40" s="7">
        <f>IF(OR(B40="",B36=""),"",B40/B36-1)</f>
        <v/>
      </c>
      <c r="F40" s="7">
        <f>IF(OR(C40="",C36=""),"",C40/C36-1)</f>
        <v/>
      </c>
      <c r="G40" s="7">
        <f>IF(OR(D40="",D36=""),"",D40/D36-1)</f>
        <v/>
      </c>
      <c r="H40" s="7">
        <f>IF(OR(B40="",B39=""),"",B40/B39-1)</f>
        <v/>
      </c>
      <c r="I40" s="7">
        <f>IF(OR(C40="",C39=""),"",C40/C39-1)</f>
        <v/>
      </c>
      <c r="J40" s="7">
        <f>IF(OR(D40="",D39=""),"",D40/D39-1)</f>
        <v/>
      </c>
      <c r="K40" s="7">
        <f>IF(D40="","",B40/D40)</f>
        <v/>
      </c>
      <c r="L40" s="7">
        <f>IF(D40="","",C40/D40)</f>
        <v/>
      </c>
    </row>
    <row r="41">
      <c r="A41" s="2" t="inlineStr">
        <is>
          <t>Q2FY08</t>
        </is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/>
      </c>
      <c r="C41" s="4">
        <f>IF(SUMIFS('Monthly BSE Equity Cash'!$G:$G,'Monthly BSE Equity Cash'!$C:$C,$A41)=0,"",SUMIFS('Monthly BSE Equity Cash'!$G:$G,'Monthly BSE Equity Cash'!$C:$C,$A41))</f>
        <v/>
      </c>
      <c r="D41" s="4">
        <f>IF(OR(B41="",C41=""),"",B41+C41)</f>
        <v/>
      </c>
      <c r="E41" s="7">
        <f>IF(OR(B41="",B37=""),"",B41/B37-1)</f>
        <v/>
      </c>
      <c r="F41" s="7">
        <f>IF(OR(C41="",C37=""),"",C41/C37-1)</f>
        <v/>
      </c>
      <c r="G41" s="7">
        <f>IF(OR(D41="",D37=""),"",D41/D37-1)</f>
        <v/>
      </c>
      <c r="H41" s="7">
        <f>IF(OR(B41="",B40=""),"",B41/B40-1)</f>
        <v/>
      </c>
      <c r="I41" s="7">
        <f>IF(OR(C41="",C40=""),"",C41/C40-1)</f>
        <v/>
      </c>
      <c r="J41" s="7">
        <f>IF(OR(D41="",D40=""),"",D41/D40-1)</f>
        <v/>
      </c>
      <c r="K41" s="7">
        <f>IF(D41="","",B41/D41)</f>
        <v/>
      </c>
      <c r="L41" s="7">
        <f>IF(D41="","",C41/D41)</f>
        <v/>
      </c>
    </row>
    <row r="42">
      <c r="A42" s="2" t="inlineStr">
        <is>
          <t>Q3FY08</t>
        </is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/>
      </c>
      <c r="C42" s="4">
        <f>IF(SUMIFS('Monthly BSE Equity Cash'!$G:$G,'Monthly BSE Equity Cash'!$C:$C,$A42)=0,"",SUMIFS('Monthly BSE Equity Cash'!$G:$G,'Monthly BSE Equity Cash'!$C:$C,$A42))</f>
        <v/>
      </c>
      <c r="D42" s="4">
        <f>IF(OR(B42="",C42=""),"",B42+C42)</f>
        <v/>
      </c>
      <c r="E42" s="7">
        <f>IF(OR(B42="",B38=""),"",B42/B38-1)</f>
        <v/>
      </c>
      <c r="F42" s="7">
        <f>IF(OR(C42="",C38=""),"",C42/C38-1)</f>
        <v/>
      </c>
      <c r="G42" s="7">
        <f>IF(OR(D42="",D38=""),"",D42/D38-1)</f>
        <v/>
      </c>
      <c r="H42" s="7">
        <f>IF(OR(B42="",B41=""),"",B42/B41-1)</f>
        <v/>
      </c>
      <c r="I42" s="7">
        <f>IF(OR(C42="",C41=""),"",C42/C41-1)</f>
        <v/>
      </c>
      <c r="J42" s="7">
        <f>IF(OR(D42="",D41=""),"",D42/D41-1)</f>
        <v/>
      </c>
      <c r="K42" s="7">
        <f>IF(D42="","",B42/D42)</f>
        <v/>
      </c>
      <c r="L42" s="7">
        <f>IF(D42="","",C42/D42)</f>
        <v/>
      </c>
    </row>
    <row r="43">
      <c r="A43" s="2" t="inlineStr">
        <is>
          <t>Q4FY08</t>
        </is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/>
      </c>
      <c r="C43" s="4">
        <f>IF(SUMIFS('Monthly BSE Equity Cash'!$G:$G,'Monthly BSE Equity Cash'!$C:$C,$A43)=0,"",SUMIFS('Monthly BSE Equity Cash'!$G:$G,'Monthly BSE Equity Cash'!$C:$C,$A43))</f>
        <v/>
      </c>
      <c r="D43" s="4">
        <f>IF(OR(B43="",C43=""),"",B43+C43)</f>
        <v/>
      </c>
      <c r="E43" s="7">
        <f>IF(OR(B43="",B39=""),"",B43/B39-1)</f>
        <v/>
      </c>
      <c r="F43" s="7">
        <f>IF(OR(C43="",C39=""),"",C43/C39-1)</f>
        <v/>
      </c>
      <c r="G43" s="7">
        <f>IF(OR(D43="",D39=""),"",D43/D39-1)</f>
        <v/>
      </c>
      <c r="H43" s="7">
        <f>IF(OR(B43="",B42=""),"",B43/B42-1)</f>
        <v/>
      </c>
      <c r="I43" s="7">
        <f>IF(OR(C43="",C42=""),"",C43/C42-1)</f>
        <v/>
      </c>
      <c r="J43" s="7">
        <f>IF(OR(D43="",D42=""),"",D43/D42-1)</f>
        <v/>
      </c>
      <c r="K43" s="7">
        <f>IF(D43="","",B43/D43)</f>
        <v/>
      </c>
      <c r="L43" s="7">
        <f>IF(D43="","",C43/D43)</f>
        <v/>
      </c>
    </row>
    <row r="44">
      <c r="A44" s="2" t="inlineStr">
        <is>
          <t>Q1FY09</t>
        </is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/>
      </c>
      <c r="C44" s="4">
        <f>IF(SUMIFS('Monthly BSE Equity Cash'!$G:$G,'Monthly BSE Equity Cash'!$C:$C,$A44)=0,"",SUMIFS('Monthly BSE Equity Cash'!$G:$G,'Monthly BSE Equity Cash'!$C:$C,$A44))</f>
        <v/>
      </c>
      <c r="D44" s="4">
        <f>IF(OR(B44="",C44=""),"",B44+C44)</f>
        <v/>
      </c>
      <c r="E44" s="7">
        <f>IF(OR(B44="",B40=""),"",B44/B40-1)</f>
        <v/>
      </c>
      <c r="F44" s="7">
        <f>IF(OR(C44="",C40=""),"",C44/C40-1)</f>
        <v/>
      </c>
      <c r="G44" s="7">
        <f>IF(OR(D44="",D40=""),"",D44/D40-1)</f>
        <v/>
      </c>
      <c r="H44" s="7">
        <f>IF(OR(B44="",B43=""),"",B44/B43-1)</f>
        <v/>
      </c>
      <c r="I44" s="7">
        <f>IF(OR(C44="",C43=""),"",C44/C43-1)</f>
        <v/>
      </c>
      <c r="J44" s="7">
        <f>IF(OR(D44="",D43=""),"",D44/D43-1)</f>
        <v/>
      </c>
      <c r="K44" s="7">
        <f>IF(D44="","",B44/D44)</f>
        <v/>
      </c>
      <c r="L44" s="7">
        <f>IF(D44="","",C44/D44)</f>
        <v/>
      </c>
    </row>
    <row r="45">
      <c r="A45" s="2" t="inlineStr">
        <is>
          <t>Q2FY09</t>
        </is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/>
      </c>
      <c r="C45" s="4">
        <f>IF(SUMIFS('Monthly BSE Equity Cash'!$G:$G,'Monthly BSE Equity Cash'!$C:$C,$A45)=0,"",SUMIFS('Monthly BSE Equity Cash'!$G:$G,'Monthly BSE Equity Cash'!$C:$C,$A45))</f>
        <v/>
      </c>
      <c r="D45" s="4">
        <f>IF(OR(B45="",C45=""),"",B45+C45)</f>
        <v/>
      </c>
      <c r="E45" s="7">
        <f>IF(OR(B45="",B41=""),"",B45/B41-1)</f>
        <v/>
      </c>
      <c r="F45" s="7">
        <f>IF(OR(C45="",C41=""),"",C45/C41-1)</f>
        <v/>
      </c>
      <c r="G45" s="7">
        <f>IF(OR(D45="",D41=""),"",D45/D41-1)</f>
        <v/>
      </c>
      <c r="H45" s="7">
        <f>IF(OR(B45="",B44=""),"",B45/B44-1)</f>
        <v/>
      </c>
      <c r="I45" s="7">
        <f>IF(OR(C45="",C44=""),"",C45/C44-1)</f>
        <v/>
      </c>
      <c r="J45" s="7">
        <f>IF(OR(D45="",D44=""),"",D45/D44-1)</f>
        <v/>
      </c>
      <c r="K45" s="7">
        <f>IF(D45="","",B45/D45)</f>
        <v/>
      </c>
      <c r="L45" s="7">
        <f>IF(D45="","",C45/D45)</f>
        <v/>
      </c>
    </row>
    <row r="46">
      <c r="A46" s="2" t="inlineStr">
        <is>
          <t>Q3FY09</t>
        </is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/>
      </c>
      <c r="C46" s="4">
        <f>IF(SUMIFS('Monthly BSE Equity Cash'!$G:$G,'Monthly BSE Equity Cash'!$C:$C,$A46)=0,"",SUMIFS('Monthly BSE Equity Cash'!$G:$G,'Monthly BSE Equity Cash'!$C:$C,$A46))</f>
        <v/>
      </c>
      <c r="D46" s="4">
        <f>IF(OR(B46="",C46=""),"",B46+C46)</f>
        <v/>
      </c>
      <c r="E46" s="7">
        <f>IF(OR(B46="",B42=""),"",B46/B42-1)</f>
        <v/>
      </c>
      <c r="F46" s="7">
        <f>IF(OR(C46="",C42=""),"",C46/C42-1)</f>
        <v/>
      </c>
      <c r="G46" s="7">
        <f>IF(OR(D46="",D42=""),"",D46/D42-1)</f>
        <v/>
      </c>
      <c r="H46" s="7">
        <f>IF(OR(B46="",B45=""),"",B46/B45-1)</f>
        <v/>
      </c>
      <c r="I46" s="7">
        <f>IF(OR(C46="",C45=""),"",C46/C45-1)</f>
        <v/>
      </c>
      <c r="J46" s="7">
        <f>IF(OR(D46="",D45=""),"",D46/D45-1)</f>
        <v/>
      </c>
      <c r="K46" s="7">
        <f>IF(D46="","",B46/D46)</f>
        <v/>
      </c>
      <c r="L46" s="7">
        <f>IF(D46="","",C46/D46)</f>
        <v/>
      </c>
    </row>
    <row r="47">
      <c r="A47" s="2" t="inlineStr">
        <is>
          <t>Q4FY09</t>
        </is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/>
      </c>
      <c r="C47" s="4">
        <f>IF(SUMIFS('Monthly BSE Equity Cash'!$G:$G,'Monthly BSE Equity Cash'!$C:$C,$A47)=0,"",SUMIFS('Monthly BSE Equity Cash'!$G:$G,'Monthly BSE Equity Cash'!$C:$C,$A47))</f>
        <v/>
      </c>
      <c r="D47" s="4">
        <f>IF(OR(B47="",C47=""),"",B47+C47)</f>
        <v/>
      </c>
      <c r="E47" s="7">
        <f>IF(OR(B47="",B43=""),"",B47/B43-1)</f>
        <v/>
      </c>
      <c r="F47" s="7">
        <f>IF(OR(C47="",C43=""),"",C47/C43-1)</f>
        <v/>
      </c>
      <c r="G47" s="7">
        <f>IF(OR(D47="",D43=""),"",D47/D43-1)</f>
        <v/>
      </c>
      <c r="H47" s="7">
        <f>IF(OR(B47="",B46=""),"",B47/B46-1)</f>
        <v/>
      </c>
      <c r="I47" s="7">
        <f>IF(OR(C47="",C46=""),"",C47/C46-1)</f>
        <v/>
      </c>
      <c r="J47" s="7">
        <f>IF(OR(D47="",D46=""),"",D47/D46-1)</f>
        <v/>
      </c>
      <c r="K47" s="7">
        <f>IF(D47="","",B47/D47)</f>
        <v/>
      </c>
      <c r="L47" s="7">
        <f>IF(D47="","",C47/D47)</f>
        <v/>
      </c>
    </row>
    <row r="48">
      <c r="A48" s="2" t="inlineStr">
        <is>
          <t>Q1FY10</t>
        </is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/>
      </c>
      <c r="C48" s="4">
        <f>IF(SUMIFS('Monthly BSE Equity Cash'!$G:$G,'Monthly BSE Equity Cash'!$C:$C,$A48)=0,"",SUMIFS('Monthly BSE Equity Cash'!$G:$G,'Monthly BSE Equity Cash'!$C:$C,$A48))</f>
        <v/>
      </c>
      <c r="D48" s="4">
        <f>IF(OR(B48="",C48=""),"",B48+C48)</f>
        <v/>
      </c>
      <c r="E48" s="7">
        <f>IF(OR(B48="",B44=""),"",B48/B44-1)</f>
        <v/>
      </c>
      <c r="F48" s="7">
        <f>IF(OR(C48="",C44=""),"",C48/C44-1)</f>
        <v/>
      </c>
      <c r="G48" s="7">
        <f>IF(OR(D48="",D44=""),"",D48/D44-1)</f>
        <v/>
      </c>
      <c r="H48" s="7">
        <f>IF(OR(B48="",B47=""),"",B48/B47-1)</f>
        <v/>
      </c>
      <c r="I48" s="7">
        <f>IF(OR(C48="",C47=""),"",C48/C47-1)</f>
        <v/>
      </c>
      <c r="J48" s="7">
        <f>IF(OR(D48="",D47=""),"",D48/D47-1)</f>
        <v/>
      </c>
      <c r="K48" s="7">
        <f>IF(D48="","",B48/D48)</f>
        <v/>
      </c>
      <c r="L48" s="7">
        <f>IF(D48="","",C48/D48)</f>
        <v/>
      </c>
    </row>
    <row r="49">
      <c r="A49" s="2" t="inlineStr">
        <is>
          <t>Q2FY10</t>
        </is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/>
      </c>
      <c r="C49" s="4">
        <f>IF(SUMIFS('Monthly BSE Equity Cash'!$G:$G,'Monthly BSE Equity Cash'!$C:$C,$A49)=0,"",SUMIFS('Monthly BSE Equity Cash'!$G:$G,'Monthly BSE Equity Cash'!$C:$C,$A49))</f>
        <v/>
      </c>
      <c r="D49" s="4">
        <f>IF(OR(B49="",C49=""),"",B49+C49)</f>
        <v/>
      </c>
      <c r="E49" s="7">
        <f>IF(OR(B49="",B45=""),"",B49/B45-1)</f>
        <v/>
      </c>
      <c r="F49" s="7">
        <f>IF(OR(C49="",C45=""),"",C49/C45-1)</f>
        <v/>
      </c>
      <c r="G49" s="7">
        <f>IF(OR(D49="",D45=""),"",D49/D45-1)</f>
        <v/>
      </c>
      <c r="H49" s="7">
        <f>IF(OR(B49="",B48=""),"",B49/B48-1)</f>
        <v/>
      </c>
      <c r="I49" s="7">
        <f>IF(OR(C49="",C48=""),"",C49/C48-1)</f>
        <v/>
      </c>
      <c r="J49" s="7">
        <f>IF(OR(D49="",D48=""),"",D49/D48-1)</f>
        <v/>
      </c>
      <c r="K49" s="7">
        <f>IF(D49="","",B49/D49)</f>
        <v/>
      </c>
      <c r="L49" s="7">
        <f>IF(D49="","",C49/D49)</f>
        <v/>
      </c>
    </row>
    <row r="50">
      <c r="A50" s="2" t="inlineStr">
        <is>
          <t>Q3FY10</t>
        </is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/>
      </c>
      <c r="C50" s="4">
        <f>IF(SUMIFS('Monthly BSE Equity Cash'!$G:$G,'Monthly BSE Equity Cash'!$C:$C,$A50)=0,"",SUMIFS('Monthly BSE Equity Cash'!$G:$G,'Monthly BSE Equity Cash'!$C:$C,$A50))</f>
        <v/>
      </c>
      <c r="D50" s="4">
        <f>IF(OR(B50="",C50=""),"",B50+C50)</f>
        <v/>
      </c>
      <c r="E50" s="7">
        <f>IF(OR(B50="",B46=""),"",B50/B46-1)</f>
        <v/>
      </c>
      <c r="F50" s="7">
        <f>IF(OR(C50="",C46=""),"",C50/C46-1)</f>
        <v/>
      </c>
      <c r="G50" s="7">
        <f>IF(OR(D50="",D46=""),"",D50/D46-1)</f>
        <v/>
      </c>
      <c r="H50" s="7">
        <f>IF(OR(B50="",B49=""),"",B50/B49-1)</f>
        <v/>
      </c>
      <c r="I50" s="7">
        <f>IF(OR(C50="",C49=""),"",C50/C49-1)</f>
        <v/>
      </c>
      <c r="J50" s="7">
        <f>IF(OR(D50="",D49=""),"",D50/D49-1)</f>
        <v/>
      </c>
      <c r="K50" s="7">
        <f>IF(D50="","",B50/D50)</f>
        <v/>
      </c>
      <c r="L50" s="7">
        <f>IF(D50="","",C50/D50)</f>
        <v/>
      </c>
    </row>
    <row r="51">
      <c r="A51" s="2" t="inlineStr">
        <is>
          <t>Q4FY10</t>
        </is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/>
      </c>
      <c r="C51" s="4">
        <f>IF(SUMIFS('Monthly BSE Equity Cash'!$G:$G,'Monthly BSE Equity Cash'!$C:$C,$A51)=0,"",SUMIFS('Monthly BSE Equity Cash'!$G:$G,'Monthly BSE Equity Cash'!$C:$C,$A51))</f>
        <v/>
      </c>
      <c r="D51" s="4">
        <f>IF(OR(B51="",C51=""),"",B51+C51)</f>
        <v/>
      </c>
      <c r="E51" s="7">
        <f>IF(OR(B51="",B47=""),"",B51/B47-1)</f>
        <v/>
      </c>
      <c r="F51" s="7">
        <f>IF(OR(C51="",C47=""),"",C51/C47-1)</f>
        <v/>
      </c>
      <c r="G51" s="7">
        <f>IF(OR(D51="",D47=""),"",D51/D47-1)</f>
        <v/>
      </c>
      <c r="H51" s="7">
        <f>IF(OR(B51="",B50=""),"",B51/B50-1)</f>
        <v/>
      </c>
      <c r="I51" s="7">
        <f>IF(OR(C51="",C50=""),"",C51/C50-1)</f>
        <v/>
      </c>
      <c r="J51" s="7">
        <f>IF(OR(D51="",D50=""),"",D51/D50-1)</f>
        <v/>
      </c>
      <c r="K51" s="7">
        <f>IF(D51="","",B51/D51)</f>
        <v/>
      </c>
      <c r="L51" s="7">
        <f>IF(D51="","",C51/D51)</f>
        <v/>
      </c>
    </row>
    <row r="52">
      <c r="A52" s="2" t="inlineStr">
        <is>
          <t>Q1FY11</t>
        </is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/>
      </c>
      <c r="C52" s="4">
        <f>IF(SUMIFS('Monthly BSE Equity Cash'!$G:$G,'Monthly BSE Equity Cash'!$C:$C,$A52)=0,"",SUMIFS('Monthly BSE Equity Cash'!$G:$G,'Monthly BSE Equity Cash'!$C:$C,$A52))</f>
        <v/>
      </c>
      <c r="D52" s="4">
        <f>IF(OR(B52="",C52=""),"",B52+C52)</f>
        <v/>
      </c>
      <c r="E52" s="7">
        <f>IF(OR(B52="",B48=""),"",B52/B48-1)</f>
        <v/>
      </c>
      <c r="F52" s="7">
        <f>IF(OR(C52="",C48=""),"",C52/C48-1)</f>
        <v/>
      </c>
      <c r="G52" s="7">
        <f>IF(OR(D52="",D48=""),"",D52/D48-1)</f>
        <v/>
      </c>
      <c r="H52" s="7">
        <f>IF(OR(B52="",B51=""),"",B52/B51-1)</f>
        <v/>
      </c>
      <c r="I52" s="7">
        <f>IF(OR(C52="",C51=""),"",C52/C51-1)</f>
        <v/>
      </c>
      <c r="J52" s="7">
        <f>IF(OR(D52="",D51=""),"",D52/D51-1)</f>
        <v/>
      </c>
      <c r="K52" s="7">
        <f>IF(D52="","",B52/D52)</f>
        <v/>
      </c>
      <c r="L52" s="7">
        <f>IF(D52="","",C52/D52)</f>
        <v/>
      </c>
    </row>
    <row r="53">
      <c r="A53" s="2" t="inlineStr">
        <is>
          <t>Q2FY11</t>
        </is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/>
      </c>
      <c r="C53" s="4">
        <f>IF(SUMIFS('Monthly BSE Equity Cash'!$G:$G,'Monthly BSE Equity Cash'!$C:$C,$A53)=0,"",SUMIFS('Monthly BSE Equity Cash'!$G:$G,'Monthly BSE Equity Cash'!$C:$C,$A53))</f>
        <v/>
      </c>
      <c r="D53" s="4">
        <f>IF(OR(B53="",C53=""),"",B53+C53)</f>
        <v/>
      </c>
      <c r="E53" s="7">
        <f>IF(OR(B53="",B49=""),"",B53/B49-1)</f>
        <v/>
      </c>
      <c r="F53" s="7">
        <f>IF(OR(C53="",C49=""),"",C53/C49-1)</f>
        <v/>
      </c>
      <c r="G53" s="7">
        <f>IF(OR(D53="",D49=""),"",D53/D49-1)</f>
        <v/>
      </c>
      <c r="H53" s="7">
        <f>IF(OR(B53="",B52=""),"",B53/B52-1)</f>
        <v/>
      </c>
      <c r="I53" s="7">
        <f>IF(OR(C53="",C52=""),"",C53/C52-1)</f>
        <v/>
      </c>
      <c r="J53" s="7">
        <f>IF(OR(D53="",D52=""),"",D53/D52-1)</f>
        <v/>
      </c>
      <c r="K53" s="7">
        <f>IF(D53="","",B53/D53)</f>
        <v/>
      </c>
      <c r="L53" s="7">
        <f>IF(D53="","",C53/D53)</f>
        <v/>
      </c>
    </row>
    <row r="54">
      <c r="A54" s="2" t="inlineStr">
        <is>
          <t>Q3FY11</t>
        </is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/>
      </c>
      <c r="C54" s="4">
        <f>IF(SUMIFS('Monthly BSE Equity Cash'!$G:$G,'Monthly BSE Equity Cash'!$C:$C,$A54)=0,"",SUMIFS('Monthly BSE Equity Cash'!$G:$G,'Monthly BSE Equity Cash'!$C:$C,$A54))</f>
        <v/>
      </c>
      <c r="D54" s="4">
        <f>IF(OR(B54="",C54=""),"",B54+C54)</f>
        <v/>
      </c>
      <c r="E54" s="7">
        <f>IF(OR(B54="",B50=""),"",B54/B50-1)</f>
        <v/>
      </c>
      <c r="F54" s="7">
        <f>IF(OR(C54="",C50=""),"",C54/C50-1)</f>
        <v/>
      </c>
      <c r="G54" s="7">
        <f>IF(OR(D54="",D50=""),"",D54/D50-1)</f>
        <v/>
      </c>
      <c r="H54" s="7">
        <f>IF(OR(B54="",B53=""),"",B54/B53-1)</f>
        <v/>
      </c>
      <c r="I54" s="7">
        <f>IF(OR(C54="",C53=""),"",C54/C53-1)</f>
        <v/>
      </c>
      <c r="J54" s="7">
        <f>IF(OR(D54="",D53=""),"",D54/D53-1)</f>
        <v/>
      </c>
      <c r="K54" s="7">
        <f>IF(D54="","",B54/D54)</f>
        <v/>
      </c>
      <c r="L54" s="7">
        <f>IF(D54="","",C54/D54)</f>
        <v/>
      </c>
    </row>
    <row r="55">
      <c r="A55" s="2" t="inlineStr">
        <is>
          <t>Q4FY11</t>
        </is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/>
      </c>
      <c r="C55" s="4">
        <f>IF(SUMIFS('Monthly BSE Equity Cash'!$G:$G,'Monthly BSE Equity Cash'!$C:$C,$A55)=0,"",SUMIFS('Monthly BSE Equity Cash'!$G:$G,'Monthly BSE Equity Cash'!$C:$C,$A55))</f>
        <v/>
      </c>
      <c r="D55" s="4">
        <f>IF(OR(B55="",C55=""),"",B55+C55)</f>
        <v/>
      </c>
      <c r="E55" s="7">
        <f>IF(OR(B55="",B51=""),"",B55/B51-1)</f>
        <v/>
      </c>
      <c r="F55" s="7">
        <f>IF(OR(C55="",C51=""),"",C55/C51-1)</f>
        <v/>
      </c>
      <c r="G55" s="7">
        <f>IF(OR(D55="",D51=""),"",D55/D51-1)</f>
        <v/>
      </c>
      <c r="H55" s="7">
        <f>IF(OR(B55="",B54=""),"",B55/B54-1)</f>
        <v/>
      </c>
      <c r="I55" s="7">
        <f>IF(OR(C55="",C54=""),"",C55/C54-1)</f>
        <v/>
      </c>
      <c r="J55" s="7">
        <f>IF(OR(D55="",D54=""),"",D55/D54-1)</f>
        <v/>
      </c>
      <c r="K55" s="7">
        <f>IF(D55="","",B55/D55)</f>
        <v/>
      </c>
      <c r="L55" s="7">
        <f>IF(D55="","",C55/D55)</f>
        <v/>
      </c>
    </row>
    <row r="56">
      <c r="A56" s="2" t="inlineStr">
        <is>
          <t>Q1FY12</t>
        </is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/>
      </c>
      <c r="C56" s="4">
        <f>IF(SUMIFS('Monthly BSE Equity Cash'!$G:$G,'Monthly BSE Equity Cash'!$C:$C,$A56)=0,"",SUMIFS('Monthly BSE Equity Cash'!$G:$G,'Monthly BSE Equity Cash'!$C:$C,$A56))</f>
        <v/>
      </c>
      <c r="D56" s="4">
        <f>IF(OR(B56="",C56=""),"",B56+C56)</f>
        <v/>
      </c>
      <c r="E56" s="7">
        <f>IF(OR(B56="",B52=""),"",B56/B52-1)</f>
        <v/>
      </c>
      <c r="F56" s="7">
        <f>IF(OR(C56="",C52=""),"",C56/C52-1)</f>
        <v/>
      </c>
      <c r="G56" s="7">
        <f>IF(OR(D56="",D52=""),"",D56/D52-1)</f>
        <v/>
      </c>
      <c r="H56" s="7">
        <f>IF(OR(B56="",B55=""),"",B56/B55-1)</f>
        <v/>
      </c>
      <c r="I56" s="7">
        <f>IF(OR(C56="",C55=""),"",C56/C55-1)</f>
        <v/>
      </c>
      <c r="J56" s="7">
        <f>IF(OR(D56="",D55=""),"",D56/D55-1)</f>
        <v/>
      </c>
      <c r="K56" s="7">
        <f>IF(D56="","",B56/D56)</f>
        <v/>
      </c>
      <c r="L56" s="7">
        <f>IF(D56="","",C56/D56)</f>
        <v/>
      </c>
    </row>
    <row r="57">
      <c r="A57" s="2" t="inlineStr">
        <is>
          <t>Q2FY12</t>
        </is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/>
      </c>
      <c r="C57" s="4">
        <f>IF(SUMIFS('Monthly BSE Equity Cash'!$G:$G,'Monthly BSE Equity Cash'!$C:$C,$A57)=0,"",SUMIFS('Monthly BSE Equity Cash'!$G:$G,'Monthly BSE Equity Cash'!$C:$C,$A57))</f>
        <v/>
      </c>
      <c r="D57" s="4">
        <f>IF(OR(B57="",C57=""),"",B57+C57)</f>
        <v/>
      </c>
      <c r="E57" s="7">
        <f>IF(OR(B57="",B53=""),"",B57/B53-1)</f>
        <v/>
      </c>
      <c r="F57" s="7">
        <f>IF(OR(C57="",C53=""),"",C57/C53-1)</f>
        <v/>
      </c>
      <c r="G57" s="7">
        <f>IF(OR(D57="",D53=""),"",D57/D53-1)</f>
        <v/>
      </c>
      <c r="H57" s="7">
        <f>IF(OR(B57="",B56=""),"",B57/B56-1)</f>
        <v/>
      </c>
      <c r="I57" s="7">
        <f>IF(OR(C57="",C56=""),"",C57/C56-1)</f>
        <v/>
      </c>
      <c r="J57" s="7">
        <f>IF(OR(D57="",D56=""),"",D57/D56-1)</f>
        <v/>
      </c>
      <c r="K57" s="7">
        <f>IF(D57="","",B57/D57)</f>
        <v/>
      </c>
      <c r="L57" s="7">
        <f>IF(D57="","",C57/D57)</f>
        <v/>
      </c>
    </row>
    <row r="58">
      <c r="A58" s="2" t="inlineStr">
        <is>
          <t>Q3FY12</t>
        </is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/>
      </c>
      <c r="C58" s="4">
        <f>IF(SUMIFS('Monthly BSE Equity Cash'!$G:$G,'Monthly BSE Equity Cash'!$C:$C,$A58)=0,"",SUMIFS('Monthly BSE Equity Cash'!$G:$G,'Monthly BSE Equity Cash'!$C:$C,$A58))</f>
        <v/>
      </c>
      <c r="D58" s="4">
        <f>IF(OR(B58="",C58=""),"",B58+C58)</f>
        <v/>
      </c>
      <c r="E58" s="7">
        <f>IF(OR(B58="",B54=""),"",B58/B54-1)</f>
        <v/>
      </c>
      <c r="F58" s="7">
        <f>IF(OR(C58="",C54=""),"",C58/C54-1)</f>
        <v/>
      </c>
      <c r="G58" s="7">
        <f>IF(OR(D58="",D54=""),"",D58/D54-1)</f>
        <v/>
      </c>
      <c r="H58" s="7">
        <f>IF(OR(B58="",B57=""),"",B58/B57-1)</f>
        <v/>
      </c>
      <c r="I58" s="7">
        <f>IF(OR(C58="",C57=""),"",C58/C57-1)</f>
        <v/>
      </c>
      <c r="J58" s="7">
        <f>IF(OR(D58="",D57=""),"",D58/D57-1)</f>
        <v/>
      </c>
      <c r="K58" s="7">
        <f>IF(D58="","",B58/D58)</f>
        <v/>
      </c>
      <c r="L58" s="7">
        <f>IF(D58="","",C58/D58)</f>
        <v/>
      </c>
    </row>
    <row r="59">
      <c r="A59" s="2" t="inlineStr">
        <is>
          <t>Q4FY12</t>
        </is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/>
      </c>
      <c r="C59" s="4">
        <f>IF(SUMIFS('Monthly BSE Equity Cash'!$G:$G,'Monthly BSE Equity Cash'!$C:$C,$A59)=0,"",SUMIFS('Monthly BSE Equity Cash'!$G:$G,'Monthly BSE Equity Cash'!$C:$C,$A59))</f>
        <v/>
      </c>
      <c r="D59" s="4">
        <f>IF(OR(B59="",C59=""),"",B59+C59)</f>
        <v/>
      </c>
      <c r="E59" s="7">
        <f>IF(OR(B59="",B55=""),"",B59/B55-1)</f>
        <v/>
      </c>
      <c r="F59" s="7">
        <f>IF(OR(C59="",C55=""),"",C59/C55-1)</f>
        <v/>
      </c>
      <c r="G59" s="7">
        <f>IF(OR(D59="",D55=""),"",D59/D55-1)</f>
        <v/>
      </c>
      <c r="H59" s="7">
        <f>IF(OR(B59="",B58=""),"",B59/B58-1)</f>
        <v/>
      </c>
      <c r="I59" s="7">
        <f>IF(OR(C59="",C58=""),"",C59/C58-1)</f>
        <v/>
      </c>
      <c r="J59" s="7">
        <f>IF(OR(D59="",D58=""),"",D59/D58-1)</f>
        <v/>
      </c>
      <c r="K59" s="7">
        <f>IF(D59="","",B59/D59)</f>
        <v/>
      </c>
      <c r="L59" s="7">
        <f>IF(D59="","",C59/D59)</f>
        <v/>
      </c>
    </row>
    <row r="60">
      <c r="A60" s="2" t="inlineStr">
        <is>
          <t>Q1FY13</t>
        </is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/>
      </c>
      <c r="C60" s="4">
        <f>IF(SUMIFS('Monthly BSE Equity Cash'!$G:$G,'Monthly BSE Equity Cash'!$C:$C,$A60)=0,"",SUMIFS('Monthly BSE Equity Cash'!$G:$G,'Monthly BSE Equity Cash'!$C:$C,$A60))</f>
        <v/>
      </c>
      <c r="D60" s="4">
        <f>IF(OR(B60="",C60=""),"",B60+C60)</f>
        <v/>
      </c>
      <c r="E60" s="7">
        <f>IF(OR(B60="",B56=""),"",B60/B56-1)</f>
        <v/>
      </c>
      <c r="F60" s="7">
        <f>IF(OR(C60="",C56=""),"",C60/C56-1)</f>
        <v/>
      </c>
      <c r="G60" s="7">
        <f>IF(OR(D60="",D56=""),"",D60/D56-1)</f>
        <v/>
      </c>
      <c r="H60" s="7">
        <f>IF(OR(B60="",B59=""),"",B60/B59-1)</f>
        <v/>
      </c>
      <c r="I60" s="7">
        <f>IF(OR(C60="",C59=""),"",C60/C59-1)</f>
        <v/>
      </c>
      <c r="J60" s="7">
        <f>IF(OR(D60="",D59=""),"",D60/D59-1)</f>
        <v/>
      </c>
      <c r="K60" s="7">
        <f>IF(D60="","",B60/D60)</f>
        <v/>
      </c>
      <c r="L60" s="7">
        <f>IF(D60="","",C60/D60)</f>
        <v/>
      </c>
    </row>
    <row r="61">
      <c r="A61" s="2" t="inlineStr">
        <is>
          <t>Q2FY13</t>
        </is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/>
      </c>
      <c r="C61" s="4">
        <f>IF(SUMIFS('Monthly BSE Equity Cash'!$G:$G,'Monthly BSE Equity Cash'!$C:$C,$A61)=0,"",SUMIFS('Monthly BSE Equity Cash'!$G:$G,'Monthly BSE Equity Cash'!$C:$C,$A61))</f>
        <v/>
      </c>
      <c r="D61" s="4">
        <f>IF(OR(B61="",C61=""),"",B61+C61)</f>
        <v/>
      </c>
      <c r="E61" s="7">
        <f>IF(OR(B61="",B57=""),"",B61/B57-1)</f>
        <v/>
      </c>
      <c r="F61" s="7">
        <f>IF(OR(C61="",C57=""),"",C61/C57-1)</f>
        <v/>
      </c>
      <c r="G61" s="7">
        <f>IF(OR(D61="",D57=""),"",D61/D57-1)</f>
        <v/>
      </c>
      <c r="H61" s="7">
        <f>IF(OR(B61="",B60=""),"",B61/B60-1)</f>
        <v/>
      </c>
      <c r="I61" s="7">
        <f>IF(OR(C61="",C60=""),"",C61/C60-1)</f>
        <v/>
      </c>
      <c r="J61" s="7">
        <f>IF(OR(D61="",D60=""),"",D61/D60-1)</f>
        <v/>
      </c>
      <c r="K61" s="7">
        <f>IF(D61="","",B61/D61)</f>
        <v/>
      </c>
      <c r="L61" s="7">
        <f>IF(D61="","",C61/D61)</f>
        <v/>
      </c>
    </row>
    <row r="62">
      <c r="A62" s="2" t="inlineStr">
        <is>
          <t>Q3FY13</t>
        </is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/>
      </c>
      <c r="C62" s="4">
        <f>IF(SUMIFS('Monthly BSE Equity Cash'!$G:$G,'Monthly BSE Equity Cash'!$C:$C,$A62)=0,"",SUMIFS('Monthly BSE Equity Cash'!$G:$G,'Monthly BSE Equity Cash'!$C:$C,$A62))</f>
        <v/>
      </c>
      <c r="D62" s="4">
        <f>IF(OR(B62="",C62=""),"",B62+C62)</f>
        <v/>
      </c>
      <c r="E62" s="7">
        <f>IF(OR(B62="",B58=""),"",B62/B58-1)</f>
        <v/>
      </c>
      <c r="F62" s="7">
        <f>IF(OR(C62="",C58=""),"",C62/C58-1)</f>
        <v/>
      </c>
      <c r="G62" s="7">
        <f>IF(OR(D62="",D58=""),"",D62/D58-1)</f>
        <v/>
      </c>
      <c r="H62" s="7">
        <f>IF(OR(B62="",B61=""),"",B62/B61-1)</f>
        <v/>
      </c>
      <c r="I62" s="7">
        <f>IF(OR(C62="",C61=""),"",C62/C61-1)</f>
        <v/>
      </c>
      <c r="J62" s="7">
        <f>IF(OR(D62="",D61=""),"",D62/D61-1)</f>
        <v/>
      </c>
      <c r="K62" s="7">
        <f>IF(D62="","",B62/D62)</f>
        <v/>
      </c>
      <c r="L62" s="7">
        <f>IF(D62="","",C62/D62)</f>
        <v/>
      </c>
    </row>
    <row r="63">
      <c r="A63" s="2" t="inlineStr">
        <is>
          <t>Q4FY13</t>
        </is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/>
      </c>
      <c r="C63" s="4">
        <f>IF(SUMIFS('Monthly BSE Equity Cash'!$G:$G,'Monthly BSE Equity Cash'!$C:$C,$A63)=0,"",SUMIFS('Monthly BSE Equity Cash'!$G:$G,'Monthly BSE Equity Cash'!$C:$C,$A63))</f>
        <v/>
      </c>
      <c r="D63" s="4">
        <f>IF(OR(B63="",C63=""),"",B63+C63)</f>
        <v/>
      </c>
      <c r="E63" s="7">
        <f>IF(OR(B63="",B59=""),"",B63/B59-1)</f>
        <v/>
      </c>
      <c r="F63" s="7">
        <f>IF(OR(C63="",C59=""),"",C63/C59-1)</f>
        <v/>
      </c>
      <c r="G63" s="7">
        <f>IF(OR(D63="",D59=""),"",D63/D59-1)</f>
        <v/>
      </c>
      <c r="H63" s="7">
        <f>IF(OR(B63="",B62=""),"",B63/B62-1)</f>
        <v/>
      </c>
      <c r="I63" s="7">
        <f>IF(OR(C63="",C62=""),"",C63/C62-1)</f>
        <v/>
      </c>
      <c r="J63" s="7">
        <f>IF(OR(D63="",D62=""),"",D63/D62-1)</f>
        <v/>
      </c>
      <c r="K63" s="7">
        <f>IF(D63="","",B63/D63)</f>
        <v/>
      </c>
      <c r="L63" s="7">
        <f>IF(D63="","",C63/D63)</f>
        <v/>
      </c>
    </row>
    <row r="64">
      <c r="A64" s="2" t="inlineStr">
        <is>
          <t>Q1FY14</t>
        </is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/>
      </c>
      <c r="C64" s="4">
        <f>IF(SUMIFS('Monthly BSE Equity Cash'!$G:$G,'Monthly BSE Equity Cash'!$C:$C,$A64)=0,"",SUMIFS('Monthly BSE Equity Cash'!$G:$G,'Monthly BSE Equity Cash'!$C:$C,$A64))</f>
        <v/>
      </c>
      <c r="D64" s="4">
        <f>IF(OR(B64="",C64=""),"",B64+C64)</f>
        <v/>
      </c>
      <c r="E64" s="7">
        <f>IF(OR(B64="",B60=""),"",B64/B60-1)</f>
        <v/>
      </c>
      <c r="F64" s="7">
        <f>IF(OR(C64="",C60=""),"",C64/C60-1)</f>
        <v/>
      </c>
      <c r="G64" s="7">
        <f>IF(OR(D64="",D60=""),"",D64/D60-1)</f>
        <v/>
      </c>
      <c r="H64" s="7">
        <f>IF(OR(B64="",B63=""),"",B64/B63-1)</f>
        <v/>
      </c>
      <c r="I64" s="7">
        <f>IF(OR(C64="",C63=""),"",C64/C63-1)</f>
        <v/>
      </c>
      <c r="J64" s="7">
        <f>IF(OR(D64="",D63=""),"",D64/D63-1)</f>
        <v/>
      </c>
      <c r="K64" s="7">
        <f>IF(D64="","",B64/D64)</f>
        <v/>
      </c>
      <c r="L64" s="7">
        <f>IF(D64="","",C64/D64)</f>
        <v/>
      </c>
    </row>
    <row r="65">
      <c r="A65" s="2" t="inlineStr">
        <is>
          <t>Q2FY14</t>
        </is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/>
      </c>
      <c r="C65" s="4">
        <f>IF(SUMIFS('Monthly BSE Equity Cash'!$G:$G,'Monthly BSE Equity Cash'!$C:$C,$A65)=0,"",SUMIFS('Monthly BSE Equity Cash'!$G:$G,'Monthly BSE Equity Cash'!$C:$C,$A65))</f>
        <v/>
      </c>
      <c r="D65" s="4">
        <f>IF(OR(B65="",C65=""),"",B65+C65)</f>
        <v/>
      </c>
      <c r="E65" s="7">
        <f>IF(OR(B65="",B61=""),"",B65/B61-1)</f>
        <v/>
      </c>
      <c r="F65" s="7">
        <f>IF(OR(C65="",C61=""),"",C65/C61-1)</f>
        <v/>
      </c>
      <c r="G65" s="7">
        <f>IF(OR(D65="",D61=""),"",D65/D61-1)</f>
        <v/>
      </c>
      <c r="H65" s="7">
        <f>IF(OR(B65="",B64=""),"",B65/B64-1)</f>
        <v/>
      </c>
      <c r="I65" s="7">
        <f>IF(OR(C65="",C64=""),"",C65/C64-1)</f>
        <v/>
      </c>
      <c r="J65" s="7">
        <f>IF(OR(D65="",D64=""),"",D65/D64-1)</f>
        <v/>
      </c>
      <c r="K65" s="7">
        <f>IF(D65="","",B65/D65)</f>
        <v/>
      </c>
      <c r="L65" s="7">
        <f>IF(D65="","",C65/D65)</f>
        <v/>
      </c>
    </row>
    <row r="66">
      <c r="A66" s="2" t="inlineStr">
        <is>
          <t>Q3FY14</t>
        </is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/>
      </c>
      <c r="C66" s="4">
        <f>IF(SUMIFS('Monthly BSE Equity Cash'!$G:$G,'Monthly BSE Equity Cash'!$C:$C,$A66)=0,"",SUMIFS('Monthly BSE Equity Cash'!$G:$G,'Monthly BSE Equity Cash'!$C:$C,$A66))</f>
        <v/>
      </c>
      <c r="D66" s="4">
        <f>IF(OR(B66="",C66=""),"",B66+C66)</f>
        <v/>
      </c>
      <c r="E66" s="7">
        <f>IF(OR(B66="",B62=""),"",B66/B62-1)</f>
        <v/>
      </c>
      <c r="F66" s="7">
        <f>IF(OR(C66="",C62=""),"",C66/C62-1)</f>
        <v/>
      </c>
      <c r="G66" s="7">
        <f>IF(OR(D66="",D62=""),"",D66/D62-1)</f>
        <v/>
      </c>
      <c r="H66" s="7">
        <f>IF(OR(B66="",B65=""),"",B66/B65-1)</f>
        <v/>
      </c>
      <c r="I66" s="7">
        <f>IF(OR(C66="",C65=""),"",C66/C65-1)</f>
        <v/>
      </c>
      <c r="J66" s="7">
        <f>IF(OR(D66="",D65=""),"",D66/D65-1)</f>
        <v/>
      </c>
      <c r="K66" s="7">
        <f>IF(D66="","",B66/D66)</f>
        <v/>
      </c>
      <c r="L66" s="7">
        <f>IF(D66="","",C66/D66)</f>
        <v/>
      </c>
    </row>
    <row r="67">
      <c r="A67" s="2" t="inlineStr">
        <is>
          <t>Q4FY14</t>
        </is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/>
      </c>
      <c r="C67" s="4">
        <f>IF(SUMIFS('Monthly BSE Equity Cash'!$G:$G,'Monthly BSE Equity Cash'!$C:$C,$A67)=0,"",SUMIFS('Monthly BSE Equity Cash'!$G:$G,'Monthly BSE Equity Cash'!$C:$C,$A67))</f>
        <v/>
      </c>
      <c r="D67" s="4">
        <f>IF(OR(B67="",C67=""),"",B67+C67)</f>
        <v/>
      </c>
      <c r="E67" s="7">
        <f>IF(OR(B67="",B63=""),"",B67/B63-1)</f>
        <v/>
      </c>
      <c r="F67" s="7">
        <f>IF(OR(C67="",C63=""),"",C67/C63-1)</f>
        <v/>
      </c>
      <c r="G67" s="7">
        <f>IF(OR(D67="",D63=""),"",D67/D63-1)</f>
        <v/>
      </c>
      <c r="H67" s="7">
        <f>IF(OR(B67="",B66=""),"",B67/B66-1)</f>
        <v/>
      </c>
      <c r="I67" s="7">
        <f>IF(OR(C67="",C66=""),"",C67/C66-1)</f>
        <v/>
      </c>
      <c r="J67" s="7">
        <f>IF(OR(D67="",D66=""),"",D67/D66-1)</f>
        <v/>
      </c>
      <c r="K67" s="7">
        <f>IF(D67="","",B67/D67)</f>
        <v/>
      </c>
      <c r="L67" s="7">
        <f>IF(D67="","",C67/D67)</f>
        <v/>
      </c>
    </row>
    <row r="68">
      <c r="A68" s="2" t="inlineStr">
        <is>
          <t>Q1FY15</t>
        </is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/>
      </c>
      <c r="C68" s="4">
        <f>IF(SUMIFS('Monthly BSE Equity Cash'!$G:$G,'Monthly BSE Equity Cash'!$C:$C,$A68)=0,"",SUMIFS('Monthly BSE Equity Cash'!$G:$G,'Monthly BSE Equity Cash'!$C:$C,$A68))</f>
        <v/>
      </c>
      <c r="D68" s="4">
        <f>IF(OR(B68="",C68=""),"",B68+C68)</f>
        <v/>
      </c>
      <c r="E68" s="7">
        <f>IF(OR(B68="",B64=""),"",B68/B64-1)</f>
        <v/>
      </c>
      <c r="F68" s="7">
        <f>IF(OR(C68="",C64=""),"",C68/C64-1)</f>
        <v/>
      </c>
      <c r="G68" s="7">
        <f>IF(OR(D68="",D64=""),"",D68/D64-1)</f>
        <v/>
      </c>
      <c r="H68" s="7">
        <f>IF(OR(B68="",B67=""),"",B68/B67-1)</f>
        <v/>
      </c>
      <c r="I68" s="7">
        <f>IF(OR(C68="",C67=""),"",C68/C67-1)</f>
        <v/>
      </c>
      <c r="J68" s="7">
        <f>IF(OR(D68="",D67=""),"",D68/D67-1)</f>
        <v/>
      </c>
      <c r="K68" s="7">
        <f>IF(D68="","",B68/D68)</f>
        <v/>
      </c>
      <c r="L68" s="7">
        <f>IF(D68="","",C68/D68)</f>
        <v/>
      </c>
    </row>
    <row r="69">
      <c r="A69" s="2" t="inlineStr">
        <is>
          <t>Q2FY15</t>
        </is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/>
      </c>
      <c r="C69" s="4">
        <f>IF(SUMIFS('Monthly BSE Equity Cash'!$G:$G,'Monthly BSE Equity Cash'!$C:$C,$A69)=0,"",SUMIFS('Monthly BSE Equity Cash'!$G:$G,'Monthly BSE Equity Cash'!$C:$C,$A69))</f>
        <v/>
      </c>
      <c r="D69" s="4">
        <f>IF(OR(B69="",C69=""),"",B69+C69)</f>
        <v/>
      </c>
      <c r="E69" s="7">
        <f>IF(OR(B69="",B65=""),"",B69/B65-1)</f>
        <v/>
      </c>
      <c r="F69" s="7">
        <f>IF(OR(C69="",C65=""),"",C69/C65-1)</f>
        <v/>
      </c>
      <c r="G69" s="7">
        <f>IF(OR(D69="",D65=""),"",D69/D65-1)</f>
        <v/>
      </c>
      <c r="H69" s="7">
        <f>IF(OR(B69="",B68=""),"",B69/B68-1)</f>
        <v/>
      </c>
      <c r="I69" s="7">
        <f>IF(OR(C69="",C68=""),"",C69/C68-1)</f>
        <v/>
      </c>
      <c r="J69" s="7">
        <f>IF(OR(D69="",D68=""),"",D69/D68-1)</f>
        <v/>
      </c>
      <c r="K69" s="7">
        <f>IF(D69="","",B69/D69)</f>
        <v/>
      </c>
      <c r="L69" s="7">
        <f>IF(D69="","",C69/D69)</f>
        <v/>
      </c>
    </row>
    <row r="70">
      <c r="A70" s="2" t="inlineStr">
        <is>
          <t>Q3FY15</t>
        </is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/>
      </c>
      <c r="C70" s="4">
        <f>IF(SUMIFS('Monthly BSE Equity Cash'!$G:$G,'Monthly BSE Equity Cash'!$C:$C,$A70)=0,"",SUMIFS('Monthly BSE Equity Cash'!$G:$G,'Monthly BSE Equity Cash'!$C:$C,$A70))</f>
        <v/>
      </c>
      <c r="D70" s="4">
        <f>IF(OR(B70="",C70=""),"",B70+C70)</f>
        <v/>
      </c>
      <c r="E70" s="7">
        <f>IF(OR(B70="",B66=""),"",B70/B66-1)</f>
        <v/>
      </c>
      <c r="F70" s="7">
        <f>IF(OR(C70="",C66=""),"",C70/C66-1)</f>
        <v/>
      </c>
      <c r="G70" s="7">
        <f>IF(OR(D70="",D66=""),"",D70/D66-1)</f>
        <v/>
      </c>
      <c r="H70" s="7">
        <f>IF(OR(B70="",B69=""),"",B70/B69-1)</f>
        <v/>
      </c>
      <c r="I70" s="7">
        <f>IF(OR(C70="",C69=""),"",C70/C69-1)</f>
        <v/>
      </c>
      <c r="J70" s="7">
        <f>IF(OR(D70="",D69=""),"",D70/D69-1)</f>
        <v/>
      </c>
      <c r="K70" s="7">
        <f>IF(D70="","",B70/D70)</f>
        <v/>
      </c>
      <c r="L70" s="7">
        <f>IF(D70="","",C70/D70)</f>
        <v/>
      </c>
    </row>
    <row r="71">
      <c r="A71" s="2" t="inlineStr">
        <is>
          <t>Q4FY15</t>
        </is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/>
      </c>
      <c r="C71" s="4">
        <f>IF(SUMIFS('Monthly BSE Equity Cash'!$G:$G,'Monthly BSE Equity Cash'!$C:$C,$A71)=0,"",SUMIFS('Monthly BSE Equity Cash'!$G:$G,'Monthly BSE Equity Cash'!$C:$C,$A71))</f>
        <v/>
      </c>
      <c r="D71" s="4">
        <f>IF(OR(B71="",C71=""),"",B71+C71)</f>
        <v/>
      </c>
      <c r="E71" s="7">
        <f>IF(OR(B71="",B67=""),"",B71/B67-1)</f>
        <v/>
      </c>
      <c r="F71" s="7">
        <f>IF(OR(C71="",C67=""),"",C71/C67-1)</f>
        <v/>
      </c>
      <c r="G71" s="7">
        <f>IF(OR(D71="",D67=""),"",D71/D67-1)</f>
        <v/>
      </c>
      <c r="H71" s="7">
        <f>IF(OR(B71="",B70=""),"",B71/B70-1)</f>
        <v/>
      </c>
      <c r="I71" s="7">
        <f>IF(OR(C71="",C70=""),"",C71/C70-1)</f>
        <v/>
      </c>
      <c r="J71" s="7">
        <f>IF(OR(D71="",D70=""),"",D71/D70-1)</f>
        <v/>
      </c>
      <c r="K71" s="7">
        <f>IF(D71="","",B71/D71)</f>
        <v/>
      </c>
      <c r="L71" s="7">
        <f>IF(D71="","",C71/D71)</f>
        <v/>
      </c>
    </row>
    <row r="72">
      <c r="A72" s="2" t="inlineStr">
        <is>
          <t>Q1FY16</t>
        </is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/>
      </c>
      <c r="C72" s="4">
        <f>IF(SUMIFS('Monthly BSE Equity Cash'!$G:$G,'Monthly BSE Equity Cash'!$C:$C,$A72)=0,"",SUMIFS('Monthly BSE Equity Cash'!$G:$G,'Monthly BSE Equity Cash'!$C:$C,$A72))</f>
        <v/>
      </c>
      <c r="D72" s="4">
        <f>IF(OR(B72="",C72=""),"",B72+C72)</f>
        <v/>
      </c>
      <c r="E72" s="7">
        <f>IF(OR(B72="",B68=""),"",B72/B68-1)</f>
        <v/>
      </c>
      <c r="F72" s="7">
        <f>IF(OR(C72="",C68=""),"",C72/C68-1)</f>
        <v/>
      </c>
      <c r="G72" s="7">
        <f>IF(OR(D72="",D68=""),"",D72/D68-1)</f>
        <v/>
      </c>
      <c r="H72" s="7">
        <f>IF(OR(B72="",B71=""),"",B72/B71-1)</f>
        <v/>
      </c>
      <c r="I72" s="7">
        <f>IF(OR(C72="",C71=""),"",C72/C71-1)</f>
        <v/>
      </c>
      <c r="J72" s="7">
        <f>IF(OR(D72="",D71=""),"",D72/D71-1)</f>
        <v/>
      </c>
      <c r="K72" s="7">
        <f>IF(D72="","",B72/D72)</f>
        <v/>
      </c>
      <c r="L72" s="7">
        <f>IF(D72="","",C72/D72)</f>
        <v/>
      </c>
    </row>
    <row r="73">
      <c r="A73" s="2" t="inlineStr">
        <is>
          <t>Q2FY16</t>
        </is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/>
      </c>
      <c r="C73" s="4">
        <f>IF(SUMIFS('Monthly BSE Equity Cash'!$G:$G,'Monthly BSE Equity Cash'!$C:$C,$A73)=0,"",SUMIFS('Monthly BSE Equity Cash'!$G:$G,'Monthly BSE Equity Cash'!$C:$C,$A73))</f>
        <v/>
      </c>
      <c r="D73" s="4">
        <f>IF(OR(B73="",C73=""),"",B73+C73)</f>
        <v/>
      </c>
      <c r="E73" s="7">
        <f>IF(OR(B73="",B69=""),"",B73/B69-1)</f>
        <v/>
      </c>
      <c r="F73" s="7">
        <f>IF(OR(C73="",C69=""),"",C73/C69-1)</f>
        <v/>
      </c>
      <c r="G73" s="7">
        <f>IF(OR(D73="",D69=""),"",D73/D69-1)</f>
        <v/>
      </c>
      <c r="H73" s="7">
        <f>IF(OR(B73="",B72=""),"",B73/B72-1)</f>
        <v/>
      </c>
      <c r="I73" s="7">
        <f>IF(OR(C73="",C72=""),"",C73/C72-1)</f>
        <v/>
      </c>
      <c r="J73" s="7">
        <f>IF(OR(D73="",D72=""),"",D73/D72-1)</f>
        <v/>
      </c>
      <c r="K73" s="7">
        <f>IF(D73="","",B73/D73)</f>
        <v/>
      </c>
      <c r="L73" s="7">
        <f>IF(D73="","",C73/D73)</f>
        <v/>
      </c>
    </row>
    <row r="74">
      <c r="A74" s="2" t="inlineStr">
        <is>
          <t>Q3FY16</t>
        </is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/>
      </c>
      <c r="C74" s="4">
        <f>IF(SUMIFS('Monthly BSE Equity Cash'!$G:$G,'Monthly BSE Equity Cash'!$C:$C,$A74)=0,"",SUMIFS('Monthly BSE Equity Cash'!$G:$G,'Monthly BSE Equity Cash'!$C:$C,$A74))</f>
        <v/>
      </c>
      <c r="D74" s="4">
        <f>IF(OR(B74="",C74=""),"",B74+C74)</f>
        <v/>
      </c>
      <c r="E74" s="7">
        <f>IF(OR(B74="",B70=""),"",B74/B70-1)</f>
        <v/>
      </c>
      <c r="F74" s="7">
        <f>IF(OR(C74="",C70=""),"",C74/C70-1)</f>
        <v/>
      </c>
      <c r="G74" s="7">
        <f>IF(OR(D74="",D70=""),"",D74/D70-1)</f>
        <v/>
      </c>
      <c r="H74" s="7">
        <f>IF(OR(B74="",B73=""),"",B74/B73-1)</f>
        <v/>
      </c>
      <c r="I74" s="7">
        <f>IF(OR(C74="",C73=""),"",C74/C73-1)</f>
        <v/>
      </c>
      <c r="J74" s="7">
        <f>IF(OR(D74="",D73=""),"",D74/D73-1)</f>
        <v/>
      </c>
      <c r="K74" s="7">
        <f>IF(D74="","",B74/D74)</f>
        <v/>
      </c>
      <c r="L74" s="7">
        <f>IF(D74="","",C74/D74)</f>
        <v/>
      </c>
    </row>
    <row r="75">
      <c r="A75" s="2" t="inlineStr">
        <is>
          <t>Q4FY16</t>
        </is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/>
      </c>
      <c r="C75" s="4">
        <f>IF(SUMIFS('Monthly BSE Equity Cash'!$G:$G,'Monthly BSE Equity Cash'!$C:$C,$A75)=0,"",SUMIFS('Monthly BSE Equity Cash'!$G:$G,'Monthly BSE Equity Cash'!$C:$C,$A75))</f>
        <v/>
      </c>
      <c r="D75" s="4">
        <f>IF(OR(B75="",C75=""),"",B75+C75)</f>
        <v/>
      </c>
      <c r="E75" s="7">
        <f>IF(OR(B75="",B71=""),"",B75/B71-1)</f>
        <v/>
      </c>
      <c r="F75" s="7">
        <f>IF(OR(C75="",C71=""),"",C75/C71-1)</f>
        <v/>
      </c>
      <c r="G75" s="7">
        <f>IF(OR(D75="",D71=""),"",D75/D71-1)</f>
        <v/>
      </c>
      <c r="H75" s="7">
        <f>IF(OR(B75="",B74=""),"",B75/B74-1)</f>
        <v/>
      </c>
      <c r="I75" s="7">
        <f>IF(OR(C75="",C74=""),"",C75/C74-1)</f>
        <v/>
      </c>
      <c r="J75" s="7">
        <f>IF(OR(D75="",D74=""),"",D75/D74-1)</f>
        <v/>
      </c>
      <c r="K75" s="7">
        <f>IF(D75="","",B75/D75)</f>
        <v/>
      </c>
      <c r="L75" s="7">
        <f>IF(D75="","",C75/D75)</f>
        <v/>
      </c>
    </row>
    <row r="76">
      <c r="A76" s="2" t="inlineStr">
        <is>
          <t>Q1FY17</t>
        </is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/>
      </c>
      <c r="C76" s="4">
        <f>IF(SUMIFS('Monthly BSE Equity Cash'!$G:$G,'Monthly BSE Equity Cash'!$C:$C,$A76)=0,"",SUMIFS('Monthly BSE Equity Cash'!$G:$G,'Monthly BSE Equity Cash'!$C:$C,$A76))</f>
        <v/>
      </c>
      <c r="D76" s="4">
        <f>IF(OR(B76="",C76=""),"",B76+C76)</f>
        <v/>
      </c>
      <c r="E76" s="7">
        <f>IF(OR(B76="",B72=""),"",B76/B72-1)</f>
        <v/>
      </c>
      <c r="F76" s="7">
        <f>IF(OR(C76="",C72=""),"",C76/C72-1)</f>
        <v/>
      </c>
      <c r="G76" s="7">
        <f>IF(OR(D76="",D72=""),"",D76/D72-1)</f>
        <v/>
      </c>
      <c r="H76" s="7">
        <f>IF(OR(B76="",B75=""),"",B76/B75-1)</f>
        <v/>
      </c>
      <c r="I76" s="7">
        <f>IF(OR(C76="",C75=""),"",C76/C75-1)</f>
        <v/>
      </c>
      <c r="J76" s="7">
        <f>IF(OR(D76="",D75=""),"",D76/D75-1)</f>
        <v/>
      </c>
      <c r="K76" s="7">
        <f>IF(D76="","",B76/D76)</f>
        <v/>
      </c>
      <c r="L76" s="7">
        <f>IF(D76="","",C76/D76)</f>
        <v/>
      </c>
    </row>
    <row r="77">
      <c r="A77" s="2" t="inlineStr">
        <is>
          <t>Q2FY17</t>
        </is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/>
      </c>
      <c r="C77" s="4">
        <f>IF(SUMIFS('Monthly BSE Equity Cash'!$G:$G,'Monthly BSE Equity Cash'!$C:$C,$A77)=0,"",SUMIFS('Monthly BSE Equity Cash'!$G:$G,'Monthly BSE Equity Cash'!$C:$C,$A77))</f>
        <v/>
      </c>
      <c r="D77" s="4">
        <f>IF(OR(B77="",C77=""),"",B77+C77)</f>
        <v/>
      </c>
      <c r="E77" s="7">
        <f>IF(OR(B77="",B73=""),"",B77/B73-1)</f>
        <v/>
      </c>
      <c r="F77" s="7">
        <f>IF(OR(C77="",C73=""),"",C77/C73-1)</f>
        <v/>
      </c>
      <c r="G77" s="7">
        <f>IF(OR(D77="",D73=""),"",D77/D73-1)</f>
        <v/>
      </c>
      <c r="H77" s="7">
        <f>IF(OR(B77="",B76=""),"",B77/B76-1)</f>
        <v/>
      </c>
      <c r="I77" s="7">
        <f>IF(OR(C77="",C76=""),"",C77/C76-1)</f>
        <v/>
      </c>
      <c r="J77" s="7">
        <f>IF(OR(D77="",D76=""),"",D77/D76-1)</f>
        <v/>
      </c>
      <c r="K77" s="7">
        <f>IF(D77="","",B77/D77)</f>
        <v/>
      </c>
      <c r="L77" s="7">
        <f>IF(D77="","",C77/D77)</f>
        <v/>
      </c>
    </row>
    <row r="78">
      <c r="A78" s="2" t="inlineStr">
        <is>
          <t>Q3FY17</t>
        </is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/>
      </c>
      <c r="C78" s="4">
        <f>IF(SUMIFS('Monthly BSE Equity Cash'!$G:$G,'Monthly BSE Equity Cash'!$C:$C,$A78)=0,"",SUMIFS('Monthly BSE Equity Cash'!$G:$G,'Monthly BSE Equity Cash'!$C:$C,$A78))</f>
        <v/>
      </c>
      <c r="D78" s="4">
        <f>IF(OR(B78="",C78=""),"",B78+C78)</f>
        <v/>
      </c>
      <c r="E78" s="7">
        <f>IF(OR(B78="",B74=""),"",B78/B74-1)</f>
        <v/>
      </c>
      <c r="F78" s="7">
        <f>IF(OR(C78="",C74=""),"",C78/C74-1)</f>
        <v/>
      </c>
      <c r="G78" s="7">
        <f>IF(OR(D78="",D74=""),"",D78/D74-1)</f>
        <v/>
      </c>
      <c r="H78" s="7">
        <f>IF(OR(B78="",B77=""),"",B78/B77-1)</f>
        <v/>
      </c>
      <c r="I78" s="7">
        <f>IF(OR(C78="",C77=""),"",C78/C77-1)</f>
        <v/>
      </c>
      <c r="J78" s="7">
        <f>IF(OR(D78="",D77=""),"",D78/D77-1)</f>
        <v/>
      </c>
      <c r="K78" s="7">
        <f>IF(D78="","",B78/D78)</f>
        <v/>
      </c>
      <c r="L78" s="7">
        <f>IF(D78="","",C78/D78)</f>
        <v/>
      </c>
    </row>
    <row r="79">
      <c r="A79" s="2" t="inlineStr">
        <is>
          <t>Q4FY17</t>
        </is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/>
      </c>
      <c r="C79" s="4">
        <f>IF(SUMIFS('Monthly BSE Equity Cash'!$G:$G,'Monthly BSE Equity Cash'!$C:$C,$A79)=0,"",SUMIFS('Monthly BSE Equity Cash'!$G:$G,'Monthly BSE Equity Cash'!$C:$C,$A79))</f>
        <v/>
      </c>
      <c r="D79" s="4">
        <f>IF(OR(B79="",C79=""),"",B79+C79)</f>
        <v/>
      </c>
      <c r="E79" s="7">
        <f>IF(OR(B79="",B75=""),"",B79/B75-1)</f>
        <v/>
      </c>
      <c r="F79" s="7">
        <f>IF(OR(C79="",C75=""),"",C79/C75-1)</f>
        <v/>
      </c>
      <c r="G79" s="7">
        <f>IF(OR(D79="",D75=""),"",D79/D75-1)</f>
        <v/>
      </c>
      <c r="H79" s="7">
        <f>IF(OR(B79="",B78=""),"",B79/B78-1)</f>
        <v/>
      </c>
      <c r="I79" s="7">
        <f>IF(OR(C79="",C78=""),"",C79/C78-1)</f>
        <v/>
      </c>
      <c r="J79" s="7">
        <f>IF(OR(D79="",D78=""),"",D79/D78-1)</f>
        <v/>
      </c>
      <c r="K79" s="7">
        <f>IF(D79="","",B79/D79)</f>
        <v/>
      </c>
      <c r="L79" s="7">
        <f>IF(D79="","",C79/D79)</f>
        <v/>
      </c>
    </row>
    <row r="80">
      <c r="A80" s="2" t="inlineStr">
        <is>
          <t>Q1FY18</t>
        </is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/>
      </c>
      <c r="C80" s="4">
        <f>IF(SUMIFS('Monthly BSE Equity Cash'!$G:$G,'Monthly BSE Equity Cash'!$C:$C,$A80)=0,"",SUMIFS('Monthly BSE Equity Cash'!$G:$G,'Monthly BSE Equity Cash'!$C:$C,$A80))</f>
        <v/>
      </c>
      <c r="D80" s="4">
        <f>IF(OR(B80="",C80=""),"",B80+C80)</f>
        <v/>
      </c>
      <c r="E80" s="7">
        <f>IF(OR(B80="",B76=""),"",B80/B76-1)</f>
        <v/>
      </c>
      <c r="F80" s="7">
        <f>IF(OR(C80="",C76=""),"",C80/C76-1)</f>
        <v/>
      </c>
      <c r="G80" s="7">
        <f>IF(OR(D80="",D76=""),"",D80/D76-1)</f>
        <v/>
      </c>
      <c r="H80" s="7">
        <f>IF(OR(B80="",B79=""),"",B80/B79-1)</f>
        <v/>
      </c>
      <c r="I80" s="7">
        <f>IF(OR(C80="",C79=""),"",C80/C79-1)</f>
        <v/>
      </c>
      <c r="J80" s="7">
        <f>IF(OR(D80="",D79=""),"",D80/D79-1)</f>
        <v/>
      </c>
      <c r="K80" s="7">
        <f>IF(D80="","",B80/D80)</f>
        <v/>
      </c>
      <c r="L80" s="7">
        <f>IF(D80="","",C80/D80)</f>
        <v/>
      </c>
    </row>
    <row r="81">
      <c r="A81" s="2" t="inlineStr">
        <is>
          <t>Q2FY18</t>
        </is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/>
      </c>
      <c r="C81" s="4">
        <f>IF(SUMIFS('Monthly BSE Equity Cash'!$G:$G,'Monthly BSE Equity Cash'!$C:$C,$A81)=0,"",SUMIFS('Monthly BSE Equity Cash'!$G:$G,'Monthly BSE Equity Cash'!$C:$C,$A81))</f>
        <v/>
      </c>
      <c r="D81" s="4">
        <f>IF(OR(B81="",C81=""),"",B81+C81)</f>
        <v/>
      </c>
      <c r="E81" s="7">
        <f>IF(OR(B81="",B77=""),"",B81/B77-1)</f>
        <v/>
      </c>
      <c r="F81" s="7">
        <f>IF(OR(C81="",C77=""),"",C81/C77-1)</f>
        <v/>
      </c>
      <c r="G81" s="7">
        <f>IF(OR(D81="",D77=""),"",D81/D77-1)</f>
        <v/>
      </c>
      <c r="H81" s="7">
        <f>IF(OR(B81="",B80=""),"",B81/B80-1)</f>
        <v/>
      </c>
      <c r="I81" s="7">
        <f>IF(OR(C81="",C80=""),"",C81/C80-1)</f>
        <v/>
      </c>
      <c r="J81" s="7">
        <f>IF(OR(D81="",D80=""),"",D81/D80-1)</f>
        <v/>
      </c>
      <c r="K81" s="7">
        <f>IF(D81="","",B81/D81)</f>
        <v/>
      </c>
      <c r="L81" s="7">
        <f>IF(D81="","",C81/D81)</f>
        <v/>
      </c>
    </row>
    <row r="82">
      <c r="A82" s="2" t="inlineStr">
        <is>
          <t>Q3FY18</t>
        </is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/>
      </c>
      <c r="C82" s="4">
        <f>IF(SUMIFS('Monthly BSE Equity Cash'!$G:$G,'Monthly BSE Equity Cash'!$C:$C,$A82)=0,"",SUMIFS('Monthly BSE Equity Cash'!$G:$G,'Monthly BSE Equity Cash'!$C:$C,$A82))</f>
        <v/>
      </c>
      <c r="D82" s="4">
        <f>IF(OR(B82="",C82=""),"",B82+C82)</f>
        <v/>
      </c>
      <c r="E82" s="7">
        <f>IF(OR(B82="",B78=""),"",B82/B78-1)</f>
        <v/>
      </c>
      <c r="F82" s="7">
        <f>IF(OR(C82="",C78=""),"",C82/C78-1)</f>
        <v/>
      </c>
      <c r="G82" s="7">
        <f>IF(OR(D82="",D78=""),"",D82/D78-1)</f>
        <v/>
      </c>
      <c r="H82" s="7">
        <f>IF(OR(B82="",B81=""),"",B82/B81-1)</f>
        <v/>
      </c>
      <c r="I82" s="7">
        <f>IF(OR(C82="",C81=""),"",C82/C81-1)</f>
        <v/>
      </c>
      <c r="J82" s="7">
        <f>IF(OR(D82="",D81=""),"",D82/D81-1)</f>
        <v/>
      </c>
      <c r="K82" s="7">
        <f>IF(D82="","",B82/D82)</f>
        <v/>
      </c>
      <c r="L82" s="7">
        <f>IF(D82="","",C82/D82)</f>
        <v/>
      </c>
    </row>
    <row r="83">
      <c r="A83" s="2" t="inlineStr">
        <is>
          <t>Q4FY18</t>
        </is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/>
      </c>
      <c r="C83" s="4">
        <f>IF(SUMIFS('Monthly BSE Equity Cash'!$G:$G,'Monthly BSE Equity Cash'!$C:$C,$A83)=0,"",SUMIFS('Monthly BSE Equity Cash'!$G:$G,'Monthly BSE Equity Cash'!$C:$C,$A83))</f>
        <v/>
      </c>
      <c r="D83" s="4">
        <f>IF(OR(B83="",C83=""),"",B83+C83)</f>
        <v/>
      </c>
      <c r="E83" s="7">
        <f>IF(OR(B83="",B79=""),"",B83/B79-1)</f>
        <v/>
      </c>
      <c r="F83" s="7">
        <f>IF(OR(C83="",C79=""),"",C83/C79-1)</f>
        <v/>
      </c>
      <c r="G83" s="7">
        <f>IF(OR(D83="",D79=""),"",D83/D79-1)</f>
        <v/>
      </c>
      <c r="H83" s="7">
        <f>IF(OR(B83="",B82=""),"",B83/B82-1)</f>
        <v/>
      </c>
      <c r="I83" s="7">
        <f>IF(OR(C83="",C82=""),"",C83/C82-1)</f>
        <v/>
      </c>
      <c r="J83" s="7">
        <f>IF(OR(D83="",D82=""),"",D83/D82-1)</f>
        <v/>
      </c>
      <c r="K83" s="7">
        <f>IF(D83="","",B83/D83)</f>
        <v/>
      </c>
      <c r="L83" s="7">
        <f>IF(D83="","",C83/D83)</f>
        <v/>
      </c>
    </row>
    <row r="84">
      <c r="A84" s="2" t="inlineStr">
        <is>
          <t>Q1FY19</t>
        </is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/>
      </c>
      <c r="C84" s="4">
        <f>IF(SUMIFS('Monthly BSE Equity Cash'!$G:$G,'Monthly BSE Equity Cash'!$C:$C,$A84)=0,"",SUMIFS('Monthly BSE Equity Cash'!$G:$G,'Monthly BSE Equity Cash'!$C:$C,$A84))</f>
        <v/>
      </c>
      <c r="D84" s="4">
        <f>IF(OR(B84="",C84=""),"",B84+C84)</f>
        <v/>
      </c>
      <c r="E84" s="7">
        <f>IF(OR(B84="",B80=""),"",B84/B80-1)</f>
        <v/>
      </c>
      <c r="F84" s="7">
        <f>IF(OR(C84="",C80=""),"",C84/C80-1)</f>
        <v/>
      </c>
      <c r="G84" s="7">
        <f>IF(OR(D84="",D80=""),"",D84/D80-1)</f>
        <v/>
      </c>
      <c r="H84" s="7">
        <f>IF(OR(B84="",B83=""),"",B84/B83-1)</f>
        <v/>
      </c>
      <c r="I84" s="7">
        <f>IF(OR(C84="",C83=""),"",C84/C83-1)</f>
        <v/>
      </c>
      <c r="J84" s="7">
        <f>IF(OR(D84="",D83=""),"",D84/D83-1)</f>
        <v/>
      </c>
      <c r="K84" s="7">
        <f>IF(D84="","",B84/D84)</f>
        <v/>
      </c>
      <c r="L84" s="7">
        <f>IF(D84="","",C84/D84)</f>
        <v/>
      </c>
    </row>
    <row r="85">
      <c r="A85" s="2" t="inlineStr">
        <is>
          <t>Q2FY19</t>
        </is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/>
      </c>
      <c r="C85" s="4">
        <f>IF(SUMIFS('Monthly BSE Equity Cash'!$G:$G,'Monthly BSE Equity Cash'!$C:$C,$A85)=0,"",SUMIFS('Monthly BSE Equity Cash'!$G:$G,'Monthly BSE Equity Cash'!$C:$C,$A85))</f>
        <v/>
      </c>
      <c r="D85" s="4">
        <f>IF(OR(B85="",C85=""),"",B85+C85)</f>
        <v/>
      </c>
      <c r="E85" s="7">
        <f>IF(OR(B85="",B81=""),"",B85/B81-1)</f>
        <v/>
      </c>
      <c r="F85" s="7">
        <f>IF(OR(C85="",C81=""),"",C85/C81-1)</f>
        <v/>
      </c>
      <c r="G85" s="7">
        <f>IF(OR(D85="",D81=""),"",D85/D81-1)</f>
        <v/>
      </c>
      <c r="H85" s="7">
        <f>IF(OR(B85="",B84=""),"",B85/B84-1)</f>
        <v/>
      </c>
      <c r="I85" s="7">
        <f>IF(OR(C85="",C84=""),"",C85/C84-1)</f>
        <v/>
      </c>
      <c r="J85" s="7">
        <f>IF(OR(D85="",D84=""),"",D85/D84-1)</f>
        <v/>
      </c>
      <c r="K85" s="7">
        <f>IF(D85="","",B85/D85)</f>
        <v/>
      </c>
      <c r="L85" s="7">
        <f>IF(D85="","",C85/D85)</f>
        <v/>
      </c>
    </row>
    <row r="86">
      <c r="A86" s="2" t="inlineStr">
        <is>
          <t>Q3FY19</t>
        </is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/>
      </c>
      <c r="C86" s="4">
        <f>IF(SUMIFS('Monthly BSE Equity Cash'!$G:$G,'Monthly BSE Equity Cash'!$C:$C,$A86)=0,"",SUMIFS('Monthly BSE Equity Cash'!$G:$G,'Monthly BSE Equity Cash'!$C:$C,$A86))</f>
        <v/>
      </c>
      <c r="D86" s="4">
        <f>IF(OR(B86="",C86=""),"",B86+C86)</f>
        <v/>
      </c>
      <c r="E86" s="7">
        <f>IF(OR(B86="",B82=""),"",B86/B82-1)</f>
        <v/>
      </c>
      <c r="F86" s="7">
        <f>IF(OR(C86="",C82=""),"",C86/C82-1)</f>
        <v/>
      </c>
      <c r="G86" s="7">
        <f>IF(OR(D86="",D82=""),"",D86/D82-1)</f>
        <v/>
      </c>
      <c r="H86" s="7">
        <f>IF(OR(B86="",B85=""),"",B86/B85-1)</f>
        <v/>
      </c>
      <c r="I86" s="7">
        <f>IF(OR(C86="",C85=""),"",C86/C85-1)</f>
        <v/>
      </c>
      <c r="J86" s="7">
        <f>IF(OR(D86="",D85=""),"",D86/D85-1)</f>
        <v/>
      </c>
      <c r="K86" s="7">
        <f>IF(D86="","",B86/D86)</f>
        <v/>
      </c>
      <c r="L86" s="7">
        <f>IF(D86="","",C86/D86)</f>
        <v/>
      </c>
    </row>
    <row r="87">
      <c r="A87" s="2" t="inlineStr">
        <is>
          <t>Q4FY19</t>
        </is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/>
      </c>
      <c r="C87" s="4">
        <f>IF(SUMIFS('Monthly BSE Equity Cash'!$G:$G,'Monthly BSE Equity Cash'!$C:$C,$A87)=0,"",SUMIFS('Monthly BSE Equity Cash'!$G:$G,'Monthly BSE Equity Cash'!$C:$C,$A87))</f>
        <v/>
      </c>
      <c r="D87" s="4">
        <f>IF(OR(B87="",C87=""),"",B87+C87)</f>
        <v/>
      </c>
      <c r="E87" s="7">
        <f>IF(OR(B87="",B83=""),"",B87/B83-1)</f>
        <v/>
      </c>
      <c r="F87" s="7">
        <f>IF(OR(C87="",C83=""),"",C87/C83-1)</f>
        <v/>
      </c>
      <c r="G87" s="7">
        <f>IF(OR(D87="",D83=""),"",D87/D83-1)</f>
        <v/>
      </c>
      <c r="H87" s="7">
        <f>IF(OR(B87="",B86=""),"",B87/B86-1)</f>
        <v/>
      </c>
      <c r="I87" s="7">
        <f>IF(OR(C87="",C86=""),"",C87/C86-1)</f>
        <v/>
      </c>
      <c r="J87" s="7">
        <f>IF(OR(D87="",D86=""),"",D87/D86-1)</f>
        <v/>
      </c>
      <c r="K87" s="7">
        <f>IF(D87="","",B87/D87)</f>
        <v/>
      </c>
      <c r="L87" s="7">
        <f>IF(D87="","",C87/D87)</f>
        <v/>
      </c>
    </row>
    <row r="88">
      <c r="A88" s="2" t="inlineStr">
        <is>
          <t>Q1FY20</t>
        </is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/>
      </c>
      <c r="C88" s="4">
        <f>IF(SUMIFS('Monthly BSE Equity Cash'!$G:$G,'Monthly BSE Equity Cash'!$C:$C,$A88)=0,"",SUMIFS('Monthly BSE Equity Cash'!$G:$G,'Monthly BSE Equity Cash'!$C:$C,$A88))</f>
        <v/>
      </c>
      <c r="D88" s="4">
        <f>IF(OR(B88="",C88=""),"",B88+C88)</f>
        <v/>
      </c>
      <c r="E88" s="7">
        <f>IF(OR(B88="",B84=""),"",B88/B84-1)</f>
        <v/>
      </c>
      <c r="F88" s="7">
        <f>IF(OR(C88="",C84=""),"",C88/C84-1)</f>
        <v/>
      </c>
      <c r="G88" s="7">
        <f>IF(OR(D88="",D84=""),"",D88/D84-1)</f>
        <v/>
      </c>
      <c r="H88" s="7">
        <f>IF(OR(B88="",B87=""),"",B88/B87-1)</f>
        <v/>
      </c>
      <c r="I88" s="7">
        <f>IF(OR(C88="",C87=""),"",C88/C87-1)</f>
        <v/>
      </c>
      <c r="J88" s="7">
        <f>IF(OR(D88="",D87=""),"",D88/D87-1)</f>
        <v/>
      </c>
      <c r="K88" s="7">
        <f>IF(D88="","",B88/D88)</f>
        <v/>
      </c>
      <c r="L88" s="7">
        <f>IF(D88="","",C88/D88)</f>
        <v/>
      </c>
    </row>
    <row r="89">
      <c r="A89" s="2" t="inlineStr">
        <is>
          <t>Q2FY20</t>
        </is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/>
      </c>
      <c r="C89" s="4">
        <f>IF(SUMIFS('Monthly BSE Equity Cash'!$G:$G,'Monthly BSE Equity Cash'!$C:$C,$A89)=0,"",SUMIFS('Monthly BSE Equity Cash'!$G:$G,'Monthly BSE Equity Cash'!$C:$C,$A89))</f>
        <v/>
      </c>
      <c r="D89" s="4">
        <f>IF(OR(B89="",C89=""),"",B89+C89)</f>
        <v/>
      </c>
      <c r="E89" s="7">
        <f>IF(OR(B89="",B85=""),"",B89/B85-1)</f>
        <v/>
      </c>
      <c r="F89" s="7">
        <f>IF(OR(C89="",C85=""),"",C89/C85-1)</f>
        <v/>
      </c>
      <c r="G89" s="7">
        <f>IF(OR(D89="",D85=""),"",D89/D85-1)</f>
        <v/>
      </c>
      <c r="H89" s="7">
        <f>IF(OR(B89="",B88=""),"",B89/B88-1)</f>
        <v/>
      </c>
      <c r="I89" s="7">
        <f>IF(OR(C89="",C88=""),"",C89/C88-1)</f>
        <v/>
      </c>
      <c r="J89" s="7">
        <f>IF(OR(D89="",D88=""),"",D89/D88-1)</f>
        <v/>
      </c>
      <c r="K89" s="7">
        <f>IF(D89="","",B89/D89)</f>
        <v/>
      </c>
      <c r="L89" s="7">
        <f>IF(D89="","",C89/D89)</f>
        <v/>
      </c>
    </row>
    <row r="90">
      <c r="A90" s="2" t="inlineStr">
        <is>
          <t>Q3FY20</t>
        </is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/>
      </c>
      <c r="C90" s="4">
        <f>IF(SUMIFS('Monthly BSE Equity Cash'!$G:$G,'Monthly BSE Equity Cash'!$C:$C,$A90)=0,"",SUMIFS('Monthly BSE Equity Cash'!$G:$G,'Monthly BSE Equity Cash'!$C:$C,$A90))</f>
        <v/>
      </c>
      <c r="D90" s="4">
        <f>IF(OR(B90="",C90=""),"",B90+C90)</f>
        <v/>
      </c>
      <c r="E90" s="7">
        <f>IF(OR(B90="",B86=""),"",B90/B86-1)</f>
        <v/>
      </c>
      <c r="F90" s="7">
        <f>IF(OR(C90="",C86=""),"",C90/C86-1)</f>
        <v/>
      </c>
      <c r="G90" s="7">
        <f>IF(OR(D90="",D86=""),"",D90/D86-1)</f>
        <v/>
      </c>
      <c r="H90" s="7">
        <f>IF(OR(B90="",B89=""),"",B90/B89-1)</f>
        <v/>
      </c>
      <c r="I90" s="7">
        <f>IF(OR(C90="",C89=""),"",C90/C89-1)</f>
        <v/>
      </c>
      <c r="J90" s="7">
        <f>IF(OR(D90="",D89=""),"",D90/D89-1)</f>
        <v/>
      </c>
      <c r="K90" s="7">
        <f>IF(D90="","",B90/D90)</f>
        <v/>
      </c>
      <c r="L90" s="7">
        <f>IF(D90="","",C90/D90)</f>
        <v/>
      </c>
    </row>
    <row r="91">
      <c r="A91" s="2" t="inlineStr">
        <is>
          <t>Q4FY20</t>
        </is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/>
      </c>
      <c r="C91" s="4">
        <f>IF(SUMIFS('Monthly BSE Equity Cash'!$G:$G,'Monthly BSE Equity Cash'!$C:$C,$A91)=0,"",SUMIFS('Monthly BSE Equity Cash'!$G:$G,'Monthly BSE Equity Cash'!$C:$C,$A91))</f>
        <v/>
      </c>
      <c r="D91" s="4">
        <f>IF(OR(B91="",C91=""),"",B91+C91)</f>
        <v/>
      </c>
      <c r="E91" s="7">
        <f>IF(OR(B91="",B87=""),"",B91/B87-1)</f>
        <v/>
      </c>
      <c r="F91" s="7">
        <f>IF(OR(C91="",C87=""),"",C91/C87-1)</f>
        <v/>
      </c>
      <c r="G91" s="7">
        <f>IF(OR(D91="",D87=""),"",D91/D87-1)</f>
        <v/>
      </c>
      <c r="H91" s="7">
        <f>IF(OR(B91="",B90=""),"",B91/B90-1)</f>
        <v/>
      </c>
      <c r="I91" s="7">
        <f>IF(OR(C91="",C90=""),"",C91/C90-1)</f>
        <v/>
      </c>
      <c r="J91" s="7">
        <f>IF(OR(D91="",D90=""),"",D91/D90-1)</f>
        <v/>
      </c>
      <c r="K91" s="7">
        <f>IF(D91="","",B91/D91)</f>
        <v/>
      </c>
      <c r="L91" s="7">
        <f>IF(D91="","",C91/D91)</f>
        <v/>
      </c>
    </row>
    <row r="92">
      <c r="A92" s="2" t="inlineStr">
        <is>
          <t>Q1FY21</t>
        </is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/>
      </c>
      <c r="C92" s="4">
        <f>IF(SUMIFS('Monthly BSE Equity Cash'!$G:$G,'Monthly BSE Equity Cash'!$C:$C,$A92)=0,"",SUMIFS('Monthly BSE Equity Cash'!$G:$G,'Monthly BSE Equity Cash'!$C:$C,$A92))</f>
        <v/>
      </c>
      <c r="D92" s="4">
        <f>IF(OR(B92="",C92=""),"",B92+C92)</f>
        <v/>
      </c>
      <c r="E92" s="7">
        <f>IF(OR(B92="",B88=""),"",B92/B88-1)</f>
        <v/>
      </c>
      <c r="F92" s="7">
        <f>IF(OR(C92="",C88=""),"",C92/C88-1)</f>
        <v/>
      </c>
      <c r="G92" s="7">
        <f>IF(OR(D92="",D88=""),"",D92/D88-1)</f>
        <v/>
      </c>
      <c r="H92" s="7">
        <f>IF(OR(B92="",B91=""),"",B92/B91-1)</f>
        <v/>
      </c>
      <c r="I92" s="7">
        <f>IF(OR(C92="",C91=""),"",C92/C91-1)</f>
        <v/>
      </c>
      <c r="J92" s="7">
        <f>IF(OR(D92="",D91=""),"",D92/D91-1)</f>
        <v/>
      </c>
      <c r="K92" s="7">
        <f>IF(D92="","",B92/D92)</f>
        <v/>
      </c>
      <c r="L92" s="7">
        <f>IF(D92="","",C92/D92)</f>
        <v/>
      </c>
    </row>
    <row r="93">
      <c r="A93" s="2" t="inlineStr">
        <is>
          <t>Q2FY21</t>
        </is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/>
      </c>
      <c r="C93" s="4">
        <f>IF(SUMIFS('Monthly BSE Equity Cash'!$G:$G,'Monthly BSE Equity Cash'!$C:$C,$A93)=0,"",SUMIFS('Monthly BSE Equity Cash'!$G:$G,'Monthly BSE Equity Cash'!$C:$C,$A93))</f>
        <v/>
      </c>
      <c r="D93" s="4">
        <f>IF(OR(B93="",C93=""),"",B93+C93)</f>
        <v/>
      </c>
      <c r="E93" s="7">
        <f>IF(OR(B93="",B89=""),"",B93/B89-1)</f>
        <v/>
      </c>
      <c r="F93" s="7">
        <f>IF(OR(C93="",C89=""),"",C93/C89-1)</f>
        <v/>
      </c>
      <c r="G93" s="7">
        <f>IF(OR(D93="",D89=""),"",D93/D89-1)</f>
        <v/>
      </c>
      <c r="H93" s="7">
        <f>IF(OR(B93="",B92=""),"",B93/B92-1)</f>
        <v/>
      </c>
      <c r="I93" s="7">
        <f>IF(OR(C93="",C92=""),"",C93/C92-1)</f>
        <v/>
      </c>
      <c r="J93" s="7">
        <f>IF(OR(D93="",D92=""),"",D93/D92-1)</f>
        <v/>
      </c>
      <c r="K93" s="7">
        <f>IF(D93="","",B93/D93)</f>
        <v/>
      </c>
      <c r="L93" s="7">
        <f>IF(D93="","",C93/D93)</f>
        <v/>
      </c>
    </row>
    <row r="94">
      <c r="A94" s="2" t="inlineStr">
        <is>
          <t>Q3FY21</t>
        </is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/>
      </c>
      <c r="C94" s="4">
        <f>IF(SUMIFS('Monthly BSE Equity Cash'!$G:$G,'Monthly BSE Equity Cash'!$C:$C,$A94)=0,"",SUMIFS('Monthly BSE Equity Cash'!$G:$G,'Monthly BSE Equity Cash'!$C:$C,$A94))</f>
        <v/>
      </c>
      <c r="D94" s="4">
        <f>IF(OR(B94="",C94=""),"",B94+C94)</f>
        <v/>
      </c>
      <c r="E94" s="7">
        <f>IF(OR(B94="",B90=""),"",B94/B90-1)</f>
        <v/>
      </c>
      <c r="F94" s="7">
        <f>IF(OR(C94="",C90=""),"",C94/C90-1)</f>
        <v/>
      </c>
      <c r="G94" s="7">
        <f>IF(OR(D94="",D90=""),"",D94/D90-1)</f>
        <v/>
      </c>
      <c r="H94" s="7">
        <f>IF(OR(B94="",B93=""),"",B94/B93-1)</f>
        <v/>
      </c>
      <c r="I94" s="7">
        <f>IF(OR(C94="",C93=""),"",C94/C93-1)</f>
        <v/>
      </c>
      <c r="J94" s="7">
        <f>IF(OR(D94="",D93=""),"",D94/D93-1)</f>
        <v/>
      </c>
      <c r="K94" s="7">
        <f>IF(D94="","",B94/D94)</f>
        <v/>
      </c>
      <c r="L94" s="7">
        <f>IF(D94="","",C94/D94)</f>
        <v/>
      </c>
    </row>
    <row r="95">
      <c r="A95" s="2" t="inlineStr">
        <is>
          <t>Q4FY21</t>
        </is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/>
      </c>
      <c r="C95" s="4">
        <f>IF(SUMIFS('Monthly BSE Equity Cash'!$G:$G,'Monthly BSE Equity Cash'!$C:$C,$A95)=0,"",SUMIFS('Monthly BSE Equity Cash'!$G:$G,'Monthly BSE Equity Cash'!$C:$C,$A95))</f>
        <v/>
      </c>
      <c r="D95" s="4">
        <f>IF(OR(B95="",C95=""),"",B95+C95)</f>
        <v/>
      </c>
      <c r="E95" s="7">
        <f>IF(OR(B95="",B91=""),"",B95/B91-1)</f>
        <v/>
      </c>
      <c r="F95" s="7">
        <f>IF(OR(C95="",C91=""),"",C95/C91-1)</f>
        <v/>
      </c>
      <c r="G95" s="7">
        <f>IF(OR(D95="",D91=""),"",D95/D91-1)</f>
        <v/>
      </c>
      <c r="H95" s="7">
        <f>IF(OR(B95="",B94=""),"",B95/B94-1)</f>
        <v/>
      </c>
      <c r="I95" s="7">
        <f>IF(OR(C95="",C94=""),"",C95/C94-1)</f>
        <v/>
      </c>
      <c r="J95" s="7">
        <f>IF(OR(D95="",D94=""),"",D95/D94-1)</f>
        <v/>
      </c>
      <c r="K95" s="7">
        <f>IF(D95="","",B95/D95)</f>
        <v/>
      </c>
      <c r="L95" s="7">
        <f>IF(D95="","",C95/D95)</f>
        <v/>
      </c>
    </row>
    <row r="96">
      <c r="A96" s="2" t="inlineStr">
        <is>
          <t>Q1FY22</t>
        </is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/>
      </c>
      <c r="C96" s="4">
        <f>IF(SUMIFS('Monthly BSE Equity Cash'!$G:$G,'Monthly BSE Equity Cash'!$C:$C,$A96)=0,"",SUMIFS('Monthly BSE Equity Cash'!$G:$G,'Monthly BSE Equity Cash'!$C:$C,$A96))</f>
        <v/>
      </c>
      <c r="D96" s="4">
        <f>IF(OR(B96="",C96=""),"",B96+C96)</f>
        <v/>
      </c>
      <c r="E96" s="7">
        <f>IF(OR(B96="",B92=""),"",B96/B92-1)</f>
        <v/>
      </c>
      <c r="F96" s="7">
        <f>IF(OR(C96="",C92=""),"",C96/C92-1)</f>
        <v/>
      </c>
      <c r="G96" s="7">
        <f>IF(OR(D96="",D92=""),"",D96/D92-1)</f>
        <v/>
      </c>
      <c r="H96" s="7">
        <f>IF(OR(B96="",B95=""),"",B96/B95-1)</f>
        <v/>
      </c>
      <c r="I96" s="7">
        <f>IF(OR(C96="",C95=""),"",C96/C95-1)</f>
        <v/>
      </c>
      <c r="J96" s="7">
        <f>IF(OR(D96="",D95=""),"",D96/D95-1)</f>
        <v/>
      </c>
      <c r="K96" s="7">
        <f>IF(D96="","",B96/D96)</f>
        <v/>
      </c>
      <c r="L96" s="7">
        <f>IF(D96="","",C96/D96)</f>
        <v/>
      </c>
    </row>
    <row r="97">
      <c r="A97" s="2" t="inlineStr">
        <is>
          <t>Q2FY22</t>
        </is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/>
      </c>
      <c r="C97" s="4">
        <f>IF(SUMIFS('Monthly BSE Equity Cash'!$G:$G,'Monthly BSE Equity Cash'!$C:$C,$A97)=0,"",SUMIFS('Monthly BSE Equity Cash'!$G:$G,'Monthly BSE Equity Cash'!$C:$C,$A97))</f>
        <v/>
      </c>
      <c r="D97" s="4">
        <f>IF(OR(B97="",C97=""),"",B97+C97)</f>
        <v/>
      </c>
      <c r="E97" s="7">
        <f>IF(OR(B97="",B93=""),"",B97/B93-1)</f>
        <v/>
      </c>
      <c r="F97" s="7">
        <f>IF(OR(C97="",C93=""),"",C97/C93-1)</f>
        <v/>
      </c>
      <c r="G97" s="7">
        <f>IF(OR(D97="",D93=""),"",D97/D93-1)</f>
        <v/>
      </c>
      <c r="H97" s="7">
        <f>IF(OR(B97="",B96=""),"",B97/B96-1)</f>
        <v/>
      </c>
      <c r="I97" s="7">
        <f>IF(OR(C97="",C96=""),"",C97/C96-1)</f>
        <v/>
      </c>
      <c r="J97" s="7">
        <f>IF(OR(D97="",D96=""),"",D97/D96-1)</f>
        <v/>
      </c>
      <c r="K97" s="7">
        <f>IF(D97="","",B97/D97)</f>
        <v/>
      </c>
      <c r="L97" s="7">
        <f>IF(D97="","",C97/D97)</f>
        <v/>
      </c>
    </row>
    <row r="98">
      <c r="A98" s="2" t="inlineStr">
        <is>
          <t>Q3FY22</t>
        </is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/>
      </c>
      <c r="C98" s="4">
        <f>IF(SUMIFS('Monthly BSE Equity Cash'!$G:$G,'Monthly BSE Equity Cash'!$C:$C,$A98)=0,"",SUMIFS('Monthly BSE Equity Cash'!$G:$G,'Monthly BSE Equity Cash'!$C:$C,$A98))</f>
        <v/>
      </c>
      <c r="D98" s="4">
        <f>IF(OR(B98="",C98=""),"",B98+C98)</f>
        <v/>
      </c>
      <c r="E98" s="7">
        <f>IF(OR(B98="",B94=""),"",B98/B94-1)</f>
        <v/>
      </c>
      <c r="F98" s="7">
        <f>IF(OR(C98="",C94=""),"",C98/C94-1)</f>
        <v/>
      </c>
      <c r="G98" s="7">
        <f>IF(OR(D98="",D94=""),"",D98/D94-1)</f>
        <v/>
      </c>
      <c r="H98" s="7">
        <f>IF(OR(B98="",B97=""),"",B98/B97-1)</f>
        <v/>
      </c>
      <c r="I98" s="7">
        <f>IF(OR(C98="",C97=""),"",C98/C97-1)</f>
        <v/>
      </c>
      <c r="J98" s="7">
        <f>IF(OR(D98="",D97=""),"",D98/D97-1)</f>
        <v/>
      </c>
      <c r="K98" s="7">
        <f>IF(D98="","",B98/D98)</f>
        <v/>
      </c>
      <c r="L98" s="7">
        <f>IF(D98="","",C98/D98)</f>
        <v/>
      </c>
    </row>
    <row r="99">
      <c r="A99" s="2" t="inlineStr">
        <is>
          <t>Q4FY22</t>
        </is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/>
      </c>
      <c r="C99" s="4">
        <f>IF(SUMIFS('Monthly BSE Equity Cash'!$G:$G,'Monthly BSE Equity Cash'!$C:$C,$A99)=0,"",SUMIFS('Monthly BSE Equity Cash'!$G:$G,'Monthly BSE Equity Cash'!$C:$C,$A99))</f>
        <v/>
      </c>
      <c r="D99" s="4">
        <f>IF(OR(B99="",C99=""),"",B99+C99)</f>
        <v/>
      </c>
      <c r="E99" s="7">
        <f>IF(OR(B99="",B95=""),"",B99/B95-1)</f>
        <v/>
      </c>
      <c r="F99" s="7">
        <f>IF(OR(C99="",C95=""),"",C99/C95-1)</f>
        <v/>
      </c>
      <c r="G99" s="7">
        <f>IF(OR(D99="",D95=""),"",D99/D95-1)</f>
        <v/>
      </c>
      <c r="H99" s="7">
        <f>IF(OR(B99="",B98=""),"",B99/B98-1)</f>
        <v/>
      </c>
      <c r="I99" s="7">
        <f>IF(OR(C99="",C98=""),"",C99/C98-1)</f>
        <v/>
      </c>
      <c r="J99" s="7">
        <f>IF(OR(D99="",D98=""),"",D99/D98-1)</f>
        <v/>
      </c>
      <c r="K99" s="7">
        <f>IF(D99="","",B99/D99)</f>
        <v/>
      </c>
      <c r="L99" s="7">
        <f>IF(D99="","",C99/D99)</f>
        <v/>
      </c>
    </row>
    <row r="100">
      <c r="A100" s="2" t="inlineStr">
        <is>
          <t>Q1FY23</t>
        </is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/>
      </c>
      <c r="C100" s="4">
        <f>IF(SUMIFS('Monthly BSE Equity Cash'!$G:$G,'Monthly BSE Equity Cash'!$C:$C,$A100)=0,"",SUMIFS('Monthly BSE Equity Cash'!$G:$G,'Monthly BSE Equity Cash'!$C:$C,$A100))</f>
        <v/>
      </c>
      <c r="D100" s="4">
        <f>IF(OR(B100="",C100=""),"",B100+C100)</f>
        <v/>
      </c>
      <c r="E100" s="7">
        <f>IF(OR(B100="",B96=""),"",B100/B96-1)</f>
        <v/>
      </c>
      <c r="F100" s="7">
        <f>IF(OR(C100="",C96=""),"",C100/C96-1)</f>
        <v/>
      </c>
      <c r="G100" s="7">
        <f>IF(OR(D100="",D96=""),"",D100/D96-1)</f>
        <v/>
      </c>
      <c r="H100" s="7">
        <f>IF(OR(B100="",B99=""),"",B100/B99-1)</f>
        <v/>
      </c>
      <c r="I100" s="7">
        <f>IF(OR(C100="",C99=""),"",C100/C99-1)</f>
        <v/>
      </c>
      <c r="J100" s="7">
        <f>IF(OR(D100="",D99=""),"",D100/D99-1)</f>
        <v/>
      </c>
      <c r="K100" s="7">
        <f>IF(D100="","",B100/D100)</f>
        <v/>
      </c>
      <c r="L100" s="7">
        <f>IF(D100="","",C100/D100)</f>
        <v/>
      </c>
    </row>
    <row r="101">
      <c r="A101" s="2" t="inlineStr">
        <is>
          <t>Q2FY23</t>
        </is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/>
      </c>
      <c r="C101" s="4">
        <f>IF(SUMIFS('Monthly BSE Equity Cash'!$G:$G,'Monthly BSE Equity Cash'!$C:$C,$A101)=0,"",SUMIFS('Monthly BSE Equity Cash'!$G:$G,'Monthly BSE Equity Cash'!$C:$C,$A101))</f>
        <v/>
      </c>
      <c r="D101" s="4">
        <f>IF(OR(B101="",C101=""),"",B101+C101)</f>
        <v/>
      </c>
      <c r="E101" s="7">
        <f>IF(OR(B101="",B97=""),"",B101/B97-1)</f>
        <v/>
      </c>
      <c r="F101" s="7">
        <f>IF(OR(C101="",C97=""),"",C101/C97-1)</f>
        <v/>
      </c>
      <c r="G101" s="7">
        <f>IF(OR(D101="",D97=""),"",D101/D97-1)</f>
        <v/>
      </c>
      <c r="H101" s="7">
        <f>IF(OR(B101="",B100=""),"",B101/B100-1)</f>
        <v/>
      </c>
      <c r="I101" s="7">
        <f>IF(OR(C101="",C100=""),"",C101/C100-1)</f>
        <v/>
      </c>
      <c r="J101" s="7">
        <f>IF(OR(D101="",D100=""),"",D101/D100-1)</f>
        <v/>
      </c>
      <c r="K101" s="7">
        <f>IF(D101="","",B101/D101)</f>
        <v/>
      </c>
      <c r="L101" s="7">
        <f>IF(D101="","",C101/D101)</f>
        <v/>
      </c>
    </row>
    <row r="102">
      <c r="A102" s="2" t="inlineStr">
        <is>
          <t>Q3FY23</t>
        </is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/>
      </c>
      <c r="C102" s="4">
        <f>IF(SUMIFS('Monthly BSE Equity Cash'!$G:$G,'Monthly BSE Equity Cash'!$C:$C,$A102)=0,"",SUMIFS('Monthly BSE Equity Cash'!$G:$G,'Monthly BSE Equity Cash'!$C:$C,$A102))</f>
        <v/>
      </c>
      <c r="D102" s="4">
        <f>IF(OR(B102="",C102=""),"",B102+C102)</f>
        <v/>
      </c>
      <c r="E102" s="7">
        <f>IF(OR(B102="",B98=""),"",B102/B98-1)</f>
        <v/>
      </c>
      <c r="F102" s="7">
        <f>IF(OR(C102="",C98=""),"",C102/C98-1)</f>
        <v/>
      </c>
      <c r="G102" s="7">
        <f>IF(OR(D102="",D98=""),"",D102/D98-1)</f>
        <v/>
      </c>
      <c r="H102" s="7">
        <f>IF(OR(B102="",B101=""),"",B102/B101-1)</f>
        <v/>
      </c>
      <c r="I102" s="7">
        <f>IF(OR(C102="",C101=""),"",C102/C101-1)</f>
        <v/>
      </c>
      <c r="J102" s="7">
        <f>IF(OR(D102="",D101=""),"",D102/D101-1)</f>
        <v/>
      </c>
      <c r="K102" s="7">
        <f>IF(D102="","",B102/D102)</f>
        <v/>
      </c>
      <c r="L102" s="7">
        <f>IF(D102="","",C102/D102)</f>
        <v/>
      </c>
    </row>
    <row r="103">
      <c r="A103" s="2" t="inlineStr">
        <is>
          <t>Q4FY23</t>
        </is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/>
      </c>
      <c r="C103" s="4">
        <f>IF(SUMIFS('Monthly BSE Equity Cash'!$G:$G,'Monthly BSE Equity Cash'!$C:$C,$A103)=0,"",SUMIFS('Monthly BSE Equity Cash'!$G:$G,'Monthly BSE Equity Cash'!$C:$C,$A103))</f>
        <v/>
      </c>
      <c r="D103" s="4">
        <f>IF(OR(B103="",C103=""),"",B103+C103)</f>
        <v/>
      </c>
      <c r="E103" s="7">
        <f>IF(OR(B103="",B99=""),"",B103/B99-1)</f>
        <v/>
      </c>
      <c r="F103" s="7">
        <f>IF(OR(C103="",C99=""),"",C103/C99-1)</f>
        <v/>
      </c>
      <c r="G103" s="7">
        <f>IF(OR(D103="",D99=""),"",D103/D99-1)</f>
        <v/>
      </c>
      <c r="H103" s="7">
        <f>IF(OR(B103="",B102=""),"",B103/B102-1)</f>
        <v/>
      </c>
      <c r="I103" s="7">
        <f>IF(OR(C103="",C102=""),"",C103/C102-1)</f>
        <v/>
      </c>
      <c r="J103" s="7">
        <f>IF(OR(D103="",D102=""),"",D103/D102-1)</f>
        <v/>
      </c>
      <c r="K103" s="7">
        <f>IF(D103="","",B103/D103)</f>
        <v/>
      </c>
      <c r="L103" s="7">
        <f>IF(D103="","",C103/D103)</f>
        <v/>
      </c>
    </row>
    <row r="104">
      <c r="A104" s="2" t="inlineStr">
        <is>
          <t>Q1FY24</t>
        </is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/>
      </c>
      <c r="C104" s="4">
        <f>IF(SUMIFS('Monthly BSE Equity Cash'!$G:$G,'Monthly BSE Equity Cash'!$C:$C,$A104)=0,"",SUMIFS('Monthly BSE Equity Cash'!$G:$G,'Monthly BSE Equity Cash'!$C:$C,$A104))</f>
        <v/>
      </c>
      <c r="D104" s="4">
        <f>IF(OR(B104="",C104=""),"",B104+C104)</f>
        <v/>
      </c>
      <c r="E104" s="7">
        <f>IF(OR(B104="",B100=""),"",B104/B100-1)</f>
        <v/>
      </c>
      <c r="F104" s="7">
        <f>IF(OR(C104="",C100=""),"",C104/C100-1)</f>
        <v/>
      </c>
      <c r="G104" s="7">
        <f>IF(OR(D104="",D100=""),"",D104/D100-1)</f>
        <v/>
      </c>
      <c r="H104" s="7">
        <f>IF(OR(B104="",B103=""),"",B104/B103-1)</f>
        <v/>
      </c>
      <c r="I104" s="7">
        <f>IF(OR(C104="",C103=""),"",C104/C103-1)</f>
        <v/>
      </c>
      <c r="J104" s="7">
        <f>IF(OR(D104="",D103=""),"",D104/D103-1)</f>
        <v/>
      </c>
      <c r="K104" s="7">
        <f>IF(D104="","",B104/D104)</f>
        <v/>
      </c>
      <c r="L104" s="7">
        <f>IF(D104="","",C104/D104)</f>
        <v/>
      </c>
    </row>
    <row r="105">
      <c r="A105" s="2" t="inlineStr">
        <is>
          <t>Q2FY24</t>
        </is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/>
      </c>
      <c r="C105" s="4">
        <f>IF(SUMIFS('Monthly BSE Equity Cash'!$G:$G,'Monthly BSE Equity Cash'!$C:$C,$A105)=0,"",SUMIFS('Monthly BSE Equity Cash'!$G:$G,'Monthly BSE Equity Cash'!$C:$C,$A105))</f>
        <v/>
      </c>
      <c r="D105" s="4">
        <f>IF(OR(B105="",C105=""),"",B105+C105)</f>
        <v/>
      </c>
      <c r="E105" s="7">
        <f>IF(OR(B105="",B101=""),"",B105/B101-1)</f>
        <v/>
      </c>
      <c r="F105" s="7">
        <f>IF(OR(C105="",C101=""),"",C105/C101-1)</f>
        <v/>
      </c>
      <c r="G105" s="7">
        <f>IF(OR(D105="",D101=""),"",D105/D101-1)</f>
        <v/>
      </c>
      <c r="H105" s="7">
        <f>IF(OR(B105="",B104=""),"",B105/B104-1)</f>
        <v/>
      </c>
      <c r="I105" s="7">
        <f>IF(OR(C105="",C104=""),"",C105/C104-1)</f>
        <v/>
      </c>
      <c r="J105" s="7">
        <f>IF(OR(D105="",D104=""),"",D105/D104-1)</f>
        <v/>
      </c>
      <c r="K105" s="7">
        <f>IF(D105="","",B105/D105)</f>
        <v/>
      </c>
      <c r="L105" s="7">
        <f>IF(D105="","",C105/D105)</f>
        <v/>
      </c>
    </row>
    <row r="106">
      <c r="A106" s="2" t="inlineStr">
        <is>
          <t>Q3FY24</t>
        </is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/>
      </c>
      <c r="C106" s="4">
        <f>IF(SUMIFS('Monthly BSE Equity Cash'!$G:$G,'Monthly BSE Equity Cash'!$C:$C,$A106)=0,"",SUMIFS('Monthly BSE Equity Cash'!$G:$G,'Monthly BSE Equity Cash'!$C:$C,$A106))</f>
        <v/>
      </c>
      <c r="D106" s="4">
        <f>IF(OR(B106="",C106=""),"",B106+C106)</f>
        <v/>
      </c>
      <c r="E106" s="7">
        <f>IF(OR(B106="",B102=""),"",B106/B102-1)</f>
        <v/>
      </c>
      <c r="F106" s="7">
        <f>IF(OR(C106="",C102=""),"",C106/C102-1)</f>
        <v/>
      </c>
      <c r="G106" s="7">
        <f>IF(OR(D106="",D102=""),"",D106/D102-1)</f>
        <v/>
      </c>
      <c r="H106" s="7">
        <f>IF(OR(B106="",B105=""),"",B106/B105-1)</f>
        <v/>
      </c>
      <c r="I106" s="7">
        <f>IF(OR(C106="",C105=""),"",C106/C105-1)</f>
        <v/>
      </c>
      <c r="J106" s="7">
        <f>IF(OR(D106="",D105=""),"",D106/D105-1)</f>
        <v/>
      </c>
      <c r="K106" s="7">
        <f>IF(D106="","",B106/D106)</f>
        <v/>
      </c>
      <c r="L106" s="7">
        <f>IF(D106="","",C106/D106)</f>
        <v/>
      </c>
    </row>
    <row r="107">
      <c r="A107" s="2" t="inlineStr">
        <is>
          <t>Q4FY24</t>
        </is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/>
      </c>
      <c r="C107" s="4">
        <f>IF(SUMIFS('Monthly BSE Equity Cash'!$G:$G,'Monthly BSE Equity Cash'!$C:$C,$A107)=0,"",SUMIFS('Monthly BSE Equity Cash'!$G:$G,'Monthly BSE Equity Cash'!$C:$C,$A107))</f>
        <v/>
      </c>
      <c r="D107" s="4">
        <f>IF(OR(B107="",C107=""),"",B107+C107)</f>
        <v/>
      </c>
      <c r="E107" s="7">
        <f>IF(OR(B107="",B103=""),"",B107/B103-1)</f>
        <v/>
      </c>
      <c r="F107" s="7">
        <f>IF(OR(C107="",C103=""),"",C107/C103-1)</f>
        <v/>
      </c>
      <c r="G107" s="7">
        <f>IF(OR(D107="",D103=""),"",D107/D103-1)</f>
        <v/>
      </c>
      <c r="H107" s="7">
        <f>IF(OR(B107="",B106=""),"",B107/B106-1)</f>
        <v/>
      </c>
      <c r="I107" s="7">
        <f>IF(OR(C107="",C106=""),"",C107/C106-1)</f>
        <v/>
      </c>
      <c r="J107" s="7">
        <f>IF(OR(D107="",D106=""),"",D107/D106-1)</f>
        <v/>
      </c>
      <c r="K107" s="7">
        <f>IF(D107="","",B107/D107)</f>
        <v/>
      </c>
      <c r="L107" s="7">
        <f>IF(D107="","",C107/D107)</f>
        <v/>
      </c>
    </row>
    <row r="108">
      <c r="A108" s="2" t="inlineStr">
        <is>
          <t>Q1FY25</t>
        </is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/>
      </c>
      <c r="C108" s="4">
        <f>IF(SUMIFS('Monthly BSE Equity Cash'!$G:$G,'Monthly BSE Equity Cash'!$C:$C,$A108)=0,"",SUMIFS('Monthly BSE Equity Cash'!$G:$G,'Monthly BSE Equity Cash'!$C:$C,$A108))</f>
        <v/>
      </c>
      <c r="D108" s="4">
        <f>IF(OR(B108="",C108=""),"",B108+C108)</f>
        <v/>
      </c>
      <c r="E108" s="7">
        <f>IF(OR(B108="",B104=""),"",B108/B104-1)</f>
        <v/>
      </c>
      <c r="F108" s="7">
        <f>IF(OR(C108="",C104=""),"",C108/C104-1)</f>
        <v/>
      </c>
      <c r="G108" s="7">
        <f>IF(OR(D108="",D104=""),"",D108/D104-1)</f>
        <v/>
      </c>
      <c r="H108" s="7">
        <f>IF(OR(B108="",B107=""),"",B108/B107-1)</f>
        <v/>
      </c>
      <c r="I108" s="7">
        <f>IF(OR(C108="",C107=""),"",C108/C107-1)</f>
        <v/>
      </c>
      <c r="J108" s="7">
        <f>IF(OR(D108="",D107=""),"",D108/D107-1)</f>
        <v/>
      </c>
      <c r="K108" s="7">
        <f>IF(D108="","",B108/D108)</f>
        <v/>
      </c>
      <c r="L108" s="7">
        <f>IF(D108="","",C108/D108)</f>
        <v/>
      </c>
    </row>
    <row r="109">
      <c r="A109" s="2" t="inlineStr">
        <is>
          <t>Q2FY25</t>
        </is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/>
      </c>
      <c r="C109" s="4">
        <f>IF(SUMIFS('Monthly BSE Equity Cash'!$G:$G,'Monthly BSE Equity Cash'!$C:$C,$A109)=0,"",SUMIFS('Monthly BSE Equity Cash'!$G:$G,'Monthly BSE Equity Cash'!$C:$C,$A109))</f>
        <v/>
      </c>
      <c r="D109" s="4">
        <f>IF(OR(B109="",C109=""),"",B109+C109)</f>
        <v/>
      </c>
      <c r="E109" s="7">
        <f>IF(OR(B109="",B105=""),"",B109/B105-1)</f>
        <v/>
      </c>
      <c r="F109" s="7">
        <f>IF(OR(C109="",C105=""),"",C109/C105-1)</f>
        <v/>
      </c>
      <c r="G109" s="7">
        <f>IF(OR(D109="",D105=""),"",D109/D105-1)</f>
        <v/>
      </c>
      <c r="H109" s="7">
        <f>IF(OR(B109="",B108=""),"",B109/B108-1)</f>
        <v/>
      </c>
      <c r="I109" s="7">
        <f>IF(OR(C109="",C108=""),"",C109/C108-1)</f>
        <v/>
      </c>
      <c r="J109" s="7">
        <f>IF(OR(D109="",D108=""),"",D109/D108-1)</f>
        <v/>
      </c>
      <c r="K109" s="7">
        <f>IF(D109="","",B109/D109)</f>
        <v/>
      </c>
      <c r="L109" s="7">
        <f>IF(D109="","",C109/D109)</f>
        <v/>
      </c>
    </row>
    <row r="110">
      <c r="A110" s="2" t="inlineStr">
        <is>
          <t>Q3FY25</t>
        </is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/>
      </c>
      <c r="C110" s="4">
        <f>IF(SUMIFS('Monthly BSE Equity Cash'!$G:$G,'Monthly BSE Equity Cash'!$C:$C,$A110)=0,"",SUMIFS('Monthly BSE Equity Cash'!$G:$G,'Monthly BSE Equity Cash'!$C:$C,$A110))</f>
        <v/>
      </c>
      <c r="D110" s="4">
        <f>IF(OR(B110="",C110=""),"",B110+C110)</f>
        <v/>
      </c>
      <c r="E110" s="7">
        <f>IF(OR(B110="",B106=""),"",B110/B106-1)</f>
        <v/>
      </c>
      <c r="F110" s="7">
        <f>IF(OR(C110="",C106=""),"",C110/C106-1)</f>
        <v/>
      </c>
      <c r="G110" s="7">
        <f>IF(OR(D110="",D106=""),"",D110/D106-1)</f>
        <v/>
      </c>
      <c r="H110" s="7">
        <f>IF(OR(B110="",B109=""),"",B110/B109-1)</f>
        <v/>
      </c>
      <c r="I110" s="7">
        <f>IF(OR(C110="",C109=""),"",C110/C109-1)</f>
        <v/>
      </c>
      <c r="J110" s="7">
        <f>IF(OR(D110="",D109=""),"",D110/D109-1)</f>
        <v/>
      </c>
      <c r="K110" s="7">
        <f>IF(D110="","",B110/D110)</f>
        <v/>
      </c>
      <c r="L110" s="7">
        <f>IF(D110="","",C110/D110)</f>
        <v/>
      </c>
    </row>
    <row r="111">
      <c r="A111" s="2" t="inlineStr">
        <is>
          <t>Q4FY25</t>
        </is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/>
      </c>
      <c r="C111" s="4">
        <f>IF(SUMIFS('Monthly BSE Equity Cash'!$G:$G,'Monthly BSE Equity Cash'!$C:$C,$A111)=0,"",SUMIFS('Monthly BSE Equity Cash'!$G:$G,'Monthly BSE Equity Cash'!$C:$C,$A111))</f>
        <v/>
      </c>
      <c r="D111" s="4">
        <f>IF(OR(B111="",C111=""),"",B111+C111)</f>
        <v/>
      </c>
      <c r="E111" s="7">
        <f>IF(OR(B111="",B107=""),"",B111/B107-1)</f>
        <v/>
      </c>
      <c r="F111" s="7">
        <f>IF(OR(C111="",C107=""),"",C111/C107-1)</f>
        <v/>
      </c>
      <c r="G111" s="7">
        <f>IF(OR(D111="",D107=""),"",D111/D107-1)</f>
        <v/>
      </c>
      <c r="H111" s="7">
        <f>IF(OR(B111="",B110=""),"",B111/B110-1)</f>
        <v/>
      </c>
      <c r="I111" s="7">
        <f>IF(OR(C111="",C110=""),"",C111/C110-1)</f>
        <v/>
      </c>
      <c r="J111" s="7">
        <f>IF(OR(D111="",D110=""),"",D111/D110-1)</f>
        <v/>
      </c>
      <c r="K111" s="7">
        <f>IF(D111="","",B111/D111)</f>
        <v/>
      </c>
      <c r="L111" s="7">
        <f>IF(D111="","",C111/D111)</f>
        <v/>
      </c>
    </row>
    <row r="112">
      <c r="A112" s="2" t="inlineStr">
        <is>
          <t>Q1FY26</t>
        </is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/>
      </c>
      <c r="C112" s="4">
        <f>IF(SUMIFS('Monthly BSE Equity Cash'!$G:$G,'Monthly BSE Equity Cash'!$C:$C,$A112)=0,"",SUMIFS('Monthly BSE Equity Cash'!$G:$G,'Monthly BSE Equity Cash'!$C:$C,$A112))</f>
        <v/>
      </c>
      <c r="D112" s="4">
        <f>IF(OR(B112="",C112=""),"",B112+C112)</f>
        <v/>
      </c>
      <c r="E112" s="7">
        <f>IF(OR(B112="",B108=""),"",B112/B108-1)</f>
        <v/>
      </c>
      <c r="F112" s="7">
        <f>IF(OR(C112="",C108=""),"",C112/C108-1)</f>
        <v/>
      </c>
      <c r="G112" s="7">
        <f>IF(OR(D112="",D108=""),"",D112/D108-1)</f>
        <v/>
      </c>
      <c r="H112" s="7">
        <f>IF(OR(B112="",B111=""),"",B112/B111-1)</f>
        <v/>
      </c>
      <c r="I112" s="7">
        <f>IF(OR(C112="",C111=""),"",C112/C111-1)</f>
        <v/>
      </c>
      <c r="J112" s="7">
        <f>IF(OR(D112="",D111=""),"",D112/D111-1)</f>
        <v/>
      </c>
      <c r="K112" s="7">
        <f>IF(D112="","",B112/D112)</f>
        <v/>
      </c>
      <c r="L112" s="7">
        <f>IF(D112="","",C112/D112)</f>
        <v/>
      </c>
    </row>
    <row r="113">
      <c r="A113" s="2" t="inlineStr">
        <is>
          <t>Q2FY26</t>
        </is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/>
      </c>
      <c r="C113" s="4">
        <f>IF(SUMIFS('Monthly BSE Equity Cash'!$G:$G,'Monthly BSE Equity Cash'!$C:$C,$A113)=0,"",SUMIFS('Monthly BSE Equity Cash'!$G:$G,'Monthly BSE Equity Cash'!$C:$C,$A113))</f>
        <v/>
      </c>
      <c r="D113" s="4">
        <f>IF(OR(B113="",C113=""),"",B113+C113)</f>
        <v/>
      </c>
      <c r="E113" s="7">
        <f>IF(OR(B113="",B109=""),"",B113/B109-1)</f>
        <v/>
      </c>
      <c r="F113" s="7">
        <f>IF(OR(C113="",C109=""),"",C113/C109-1)</f>
        <v/>
      </c>
      <c r="G113" s="7">
        <f>IF(OR(D113="",D109=""),"",D113/D109-1)</f>
        <v/>
      </c>
      <c r="H113" s="7">
        <f>IF(OR(B113="",B112=""),"",B113/B112-1)</f>
        <v/>
      </c>
      <c r="I113" s="7">
        <f>IF(OR(C113="",C112=""),"",C113/C112-1)</f>
        <v/>
      </c>
      <c r="J113" s="7">
        <f>IF(OR(D113="",D112=""),"",D113/D112-1)</f>
        <v/>
      </c>
      <c r="K113" s="7">
        <f>IF(D113="","",B113/D113)</f>
        <v/>
      </c>
      <c r="L113" s="7">
        <f>IF(D113="","",C113/D113)</f>
        <v/>
      </c>
    </row>
    <row r="114">
      <c r="A114" s="2" t="inlineStr">
        <is>
          <t>Q3FY26</t>
        </is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/>
      </c>
      <c r="C114" s="4">
        <f>IF(SUMIFS('Monthly BSE Equity Cash'!$G:$G,'Monthly BSE Equity Cash'!$C:$C,$A114)=0,"",SUMIFS('Monthly BSE Equity Cash'!$G:$G,'Monthly BSE Equity Cash'!$C:$C,$A114))</f>
        <v/>
      </c>
      <c r="D114" s="4">
        <f>IF(OR(B114="",C114=""),"",B114+C114)</f>
        <v/>
      </c>
      <c r="E114" s="7">
        <f>IF(OR(B114="",B110=""),"",B114/B110-1)</f>
        <v/>
      </c>
      <c r="F114" s="7">
        <f>IF(OR(C114="",C110=""),"",C114/C110-1)</f>
        <v/>
      </c>
      <c r="G114" s="7">
        <f>IF(OR(D114="",D110=""),"",D114/D110-1)</f>
        <v/>
      </c>
      <c r="H114" s="7">
        <f>IF(OR(B114="",B113=""),"",B114/B113-1)</f>
        <v/>
      </c>
      <c r="I114" s="7">
        <f>IF(OR(C114="",C113=""),"",C114/C113-1)</f>
        <v/>
      </c>
      <c r="J114" s="7">
        <f>IF(OR(D114="",D113=""),"",D114/D113-1)</f>
        <v/>
      </c>
      <c r="K114" s="7">
        <f>IF(D114="","",B114/D114)</f>
        <v/>
      </c>
      <c r="L114" s="7">
        <f>IF(D114="","",C114/D114)</f>
        <v/>
      </c>
    </row>
    <row r="115">
      <c r="A115" s="2" t="inlineStr">
        <is>
          <t>Q4FY26</t>
        </is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/>
      </c>
      <c r="C115" s="4">
        <f>IF(SUMIFS('Monthly BSE Equity Cash'!$G:$G,'Monthly BSE Equity Cash'!$C:$C,$A115)=0,"",SUMIFS('Monthly BSE Equity Cash'!$G:$G,'Monthly BSE Equity Cash'!$C:$C,$A115))</f>
        <v/>
      </c>
      <c r="D115" s="4">
        <f>IF(OR(B115="",C115=""),"",B115+C115)</f>
        <v/>
      </c>
      <c r="E115" s="7">
        <f>IF(OR(B115="",B111=""),"",B115/B111-1)</f>
        <v/>
      </c>
      <c r="F115" s="7">
        <f>IF(OR(C115="",C111=""),"",C115/C111-1)</f>
        <v/>
      </c>
      <c r="G115" s="7">
        <f>IF(OR(D115="",D111=""),"",D115/D111-1)</f>
        <v/>
      </c>
      <c r="H115" s="7">
        <f>IF(OR(B115="",B114=""),"",B115/B114-1)</f>
        <v/>
      </c>
      <c r="I115" s="7">
        <f>IF(OR(C115="",C114=""),"",C115/C114-1)</f>
        <v/>
      </c>
      <c r="J115" s="7">
        <f>IF(OR(D115="",D114=""),"",D115/D114-1)</f>
        <v/>
      </c>
      <c r="K115" s="7">
        <f>IF(D115="","",B115/D115)</f>
        <v/>
      </c>
      <c r="L115" s="7">
        <f>IF(D115="","",C115/D115)</f>
        <v/>
      </c>
    </row>
    <row r="116">
      <c r="A116" s="2" t="inlineStr">
        <is>
          <t>Q1FY27</t>
        </is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/>
      </c>
      <c r="C116" s="4">
        <f>IF(SUMIFS('Monthly BSE Equity Cash'!$G:$G,'Monthly BSE Equity Cash'!$C:$C,$A116)=0,"",SUMIFS('Monthly BSE Equity Cash'!$G:$G,'Monthly BSE Equity Cash'!$C:$C,$A116))</f>
        <v/>
      </c>
      <c r="D116" s="4">
        <f>IF(OR(B116="",C116=""),"",B116+C116)</f>
        <v/>
      </c>
      <c r="E116" s="7">
        <f>IF(OR(B116="",B112=""),"",B116/B112-1)</f>
        <v/>
      </c>
      <c r="F116" s="7">
        <f>IF(OR(C116="",C112=""),"",C116/C112-1)</f>
        <v/>
      </c>
      <c r="G116" s="7">
        <f>IF(OR(D116="",D112=""),"",D116/D112-1)</f>
        <v/>
      </c>
      <c r="H116" s="7">
        <f>IF(OR(B116="",B115=""),"",B116/B115-1)</f>
        <v/>
      </c>
      <c r="I116" s="7">
        <f>IF(OR(C116="",C115=""),"",C116/C115-1)</f>
        <v/>
      </c>
      <c r="J116" s="7">
        <f>IF(OR(D116="",D115=""),"",D116/D115-1)</f>
        <v/>
      </c>
      <c r="K116" s="7">
        <f>IF(D116="","",B116/D116)</f>
        <v/>
      </c>
      <c r="L116" s="7">
        <f>IF(D116="","",C116/D116)</f>
        <v/>
      </c>
    </row>
    <row r="117">
      <c r="A117" s="2" t="inlineStr">
        <is>
          <t>Q2FY27</t>
        </is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/>
      </c>
      <c r="C117" s="4">
        <f>IF(SUMIFS('Monthly BSE Equity Cash'!$G:$G,'Monthly BSE Equity Cash'!$C:$C,$A117)=0,"",SUMIFS('Monthly BSE Equity Cash'!$G:$G,'Monthly BSE Equity Cash'!$C:$C,$A117))</f>
        <v/>
      </c>
      <c r="D117" s="4">
        <f>IF(OR(B117="",C117=""),"",B117+C117)</f>
        <v/>
      </c>
      <c r="E117" s="7">
        <f>IF(OR(B117="",B113=""),"",B117/B113-1)</f>
        <v/>
      </c>
      <c r="F117" s="7">
        <f>IF(OR(C117="",C113=""),"",C117/C113-1)</f>
        <v/>
      </c>
      <c r="G117" s="7">
        <f>IF(OR(D117="",D113=""),"",D117/D113-1)</f>
        <v/>
      </c>
      <c r="H117" s="7">
        <f>IF(OR(B117="",B116=""),"",B117/B116-1)</f>
        <v/>
      </c>
      <c r="I117" s="7">
        <f>IF(OR(C117="",C116=""),"",C117/C116-1)</f>
        <v/>
      </c>
      <c r="J117" s="7">
        <f>IF(OR(D117="",D116=""),"",D117/D116-1)</f>
        <v/>
      </c>
      <c r="K117" s="7">
        <f>IF(D117="","",B117/D117)</f>
        <v/>
      </c>
      <c r="L117" s="7">
        <f>IF(D117="","",C117/D117)</f>
        <v/>
      </c>
    </row>
    <row r="119">
      <c r="A119" s="1" t="inlineStr">
        <is>
          <t>QTD Comparison - Q2FY27 QTD vs Q2FY26 QTD (same number of trading days)</t>
        </is>
      </c>
    </row>
    <row r="120">
      <c r="A120" s="2" t="inlineStr">
        <is>
          <t>Trading days elapsed in Q2FY27 (per NSE daily)</t>
        </is>
      </c>
      <c r="B120" s="3">
        <f>COUNTIF('Daily NSE Equity Cash'!$A:$A,"&gt;="&amp;DATE(2026,7,1))</f>
        <v/>
      </c>
    </row>
    <row r="121">
      <c r="A121" s="2" t="inlineStr">
        <is>
          <t>Matched Q2FY26 window</t>
        </is>
      </c>
      <c r="B121" s="6">
        <f>DATE(2025,7,1)</f>
        <v/>
      </c>
      <c r="C121" s="6">
        <f>INDEX('Daily NSE Equity Cash'!$A:$A,COUNTIF('Daily NSE Equity Cash'!$A:$A,"&lt;"&amp;DATE(2025,7,1))+1+$B120)</f>
        <v/>
      </c>
    </row>
    <row r="122">
      <c r="B122" s="1" t="inlineStr">
        <is>
          <t>NSE Turnover (INR Bn)</t>
        </is>
      </c>
      <c r="C122" s="1" t="inlineStr">
        <is>
          <t>BSE Turnover (INR Bn)</t>
        </is>
      </c>
      <c r="D122" s="1" t="inlineStr">
        <is>
          <t>Total Turnover (INR Bn)</t>
        </is>
      </c>
      <c r="K122" s="1" t="inlineStr">
        <is>
          <t>NSE Market Share</t>
        </is>
      </c>
      <c r="L122" s="1" t="inlineStr">
        <is>
          <t>BSE Market Share</t>
        </is>
      </c>
    </row>
    <row r="123">
      <c r="A123" s="2" t="inlineStr">
        <is>
          <t>Q2FY26 QTD (first N trading days)</t>
        </is>
      </c>
      <c r="B123" s="4">
        <f>SUMIFS('Daily NSE Equity Cash'!$H:$H,'Daily NSE Equity Cash'!$A:$A,"&gt;="&amp;$B$121,'Daily NSE Equity Cash'!$A:$A,"&lt;="&amp;$C$121)</f>
        <v/>
      </c>
      <c r="C123" s="4">
        <f>SUMIFS('Daily BSE Equity Cash'!$H:$H,'Daily BSE Equity Cash'!$A:$A,"&gt;="&amp;$B$121,'Daily BSE Equity Cash'!$A:$A,"&lt;="&amp;$C$121)</f>
        <v/>
      </c>
      <c r="D123" s="4">
        <f>B123+C123</f>
        <v/>
      </c>
      <c r="K123" s="7">
        <f>IF(D123=0,"",B123/D123)</f>
        <v/>
      </c>
      <c r="L123" s="7">
        <f>IF(D123=0,"",C123/D123)</f>
        <v/>
      </c>
    </row>
    <row r="124">
      <c r="A124" s="2" t="inlineStr">
        <is>
          <t>Q2FY27 QTD</t>
        </is>
      </c>
      <c r="B124" s="4">
        <f>SUMIFS('Daily NSE Equity Cash'!$H:$H,'Daily NSE Equity Cash'!$A:$A,"&gt;="&amp;DATE(2026,7,1))</f>
        <v/>
      </c>
      <c r="C124" s="4">
        <f>SUMIFS('Daily BSE Equity Cash'!$H:$H,'Daily BSE Equity Cash'!$A:$A,"&gt;="&amp;DATE(2026,7,1))</f>
        <v/>
      </c>
      <c r="D124" s="4">
        <f>B124+C124</f>
        <v/>
      </c>
      <c r="K124" s="7">
        <f>IF(D124=0,"",B124/D124)</f>
        <v/>
      </c>
      <c r="L124" s="7">
        <f>IF(D124=0,"",C124/D124)</f>
        <v/>
      </c>
    </row>
    <row r="125">
      <c r="A125" s="1" t="inlineStr">
        <is>
          <t>QTD Growth (Q2FY27 vs Q2FY26)</t>
        </is>
      </c>
      <c r="B125" s="7">
        <f>IF(OR(B123=0,B123=""),"",B124/B123-1)</f>
        <v/>
      </c>
      <c r="C125" s="7">
        <f>IF(OR(C123=0,C123=""),"",C124/C123-1)</f>
        <v/>
      </c>
      <c r="D125" s="7">
        <f>IF(OR(D123=0,D123=""),"",D124/D123-1)</f>
        <v/>
      </c>
    </row>
  </sheetData>
  <conditionalFormatting sqref="K2:K1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24" customWidth="1" min="12" max="12"/>
    <col hidden="1" outlineLevel="1" width="16" customWidth="1" min="13" max="13"/>
    <col hidden="1" outlineLevel="1" width="16" customWidth="1" min="14" max="1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NSE Turnover (INR Bn)</t>
        </is>
      </c>
      <c r="E1" s="1" t="inlineStr">
        <is>
          <t>BSE Turnover (INR Bn)</t>
        </is>
      </c>
      <c r="F1" s="1" t="inlineStr">
        <is>
          <t>Total Turnover (INR Bn)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  <c r="J1" s="1" t="inlineStr">
        <is>
          <t>NSE MoM Growth</t>
        </is>
      </c>
      <c r="K1" s="1" t="inlineStr">
        <is>
          <t>BSE MoM Growth</t>
        </is>
      </c>
      <c r="L1" s="1" t="inlineStr">
        <is>
          <t>Total Turnover MoM Growth</t>
        </is>
      </c>
      <c r="M1" s="1" t="inlineStr">
        <is>
          <t>NSE Market Share</t>
        </is>
      </c>
      <c r="N1" s="1" t="inlineStr">
        <is>
          <t>BSE Market Share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4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/>
      </c>
      <c r="F2" s="4">
        <f>IF(OR(D2="",E2=""),"",D2+E2)</f>
        <v/>
      </c>
      <c r="G2" s="7" t="n"/>
      <c r="H2" s="7" t="n"/>
      <c r="I2" s="7" t="n"/>
      <c r="J2" s="7" t="n"/>
      <c r="K2" s="7" t="n"/>
      <c r="L2" s="7" t="n"/>
      <c r="M2" s="7">
        <f>IF(F2="","",D2/F2)</f>
        <v/>
      </c>
      <c r="N2" s="7">
        <f>IF(F2="","",E2/F2)</f>
        <v/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4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/>
      </c>
      <c r="F3" s="4">
        <f>IF(OR(D3="",E3=""),"",D3+E3)</f>
        <v/>
      </c>
      <c r="G3" s="7" t="n"/>
      <c r="H3" s="7" t="n"/>
      <c r="I3" s="7" t="n"/>
      <c r="J3" s="7">
        <f>IF(OR(D3="",D2=""),"",D3/D2-1)</f>
        <v/>
      </c>
      <c r="K3" s="7">
        <f>IF(OR(E3="",E2=""),"",E3/E2-1)</f>
        <v/>
      </c>
      <c r="L3" s="7">
        <f>IF(OR(F3="",F2=""),"",F3/F2-1)</f>
        <v/>
      </c>
      <c r="M3" s="7">
        <f>IF(F3="","",D3/F3)</f>
        <v/>
      </c>
      <c r="N3" s="7">
        <f>IF(F3="","",E3/F3)</f>
        <v/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4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/>
      </c>
      <c r="F4" s="4">
        <f>IF(OR(D4="",E4=""),"",D4+E4)</f>
        <v/>
      </c>
      <c r="G4" s="7" t="n"/>
      <c r="H4" s="7" t="n"/>
      <c r="I4" s="7" t="n"/>
      <c r="J4" s="7">
        <f>IF(OR(D4="",D3=""),"",D4/D3-1)</f>
        <v/>
      </c>
      <c r="K4" s="7">
        <f>IF(OR(E4="",E3=""),"",E4/E3-1)</f>
        <v/>
      </c>
      <c r="L4" s="7">
        <f>IF(OR(F4="",F3=""),"",F4/F3-1)</f>
        <v/>
      </c>
      <c r="M4" s="7">
        <f>IF(F4="","",D4/F4)</f>
        <v/>
      </c>
      <c r="N4" s="7">
        <f>IF(F4="","",E4/F4)</f>
        <v/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4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/>
      </c>
      <c r="F5" s="4">
        <f>IF(OR(D5="",E5=""),"",D5+E5)</f>
        <v/>
      </c>
      <c r="G5" s="7" t="n"/>
      <c r="H5" s="7" t="n"/>
      <c r="I5" s="7" t="n"/>
      <c r="J5" s="7">
        <f>IF(OR(D5="",D4=""),"",D5/D4-1)</f>
        <v/>
      </c>
      <c r="K5" s="7">
        <f>IF(OR(E5="",E4=""),"",E5/E4-1)</f>
        <v/>
      </c>
      <c r="L5" s="7">
        <f>IF(OR(F5="",F4=""),"",F5/F4-1)</f>
        <v/>
      </c>
      <c r="M5" s="7">
        <f>IF(F5="","",D5/F5)</f>
        <v/>
      </c>
      <c r="N5" s="7">
        <f>IF(F5="","",E5/F5)</f>
        <v/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4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/>
      </c>
      <c r="F6" s="4">
        <f>IF(OR(D6="",E6=""),"",D6+E6)</f>
        <v/>
      </c>
      <c r="G6" s="7" t="n"/>
      <c r="H6" s="7" t="n"/>
      <c r="I6" s="7" t="n"/>
      <c r="J6" s="7">
        <f>IF(OR(D6="",D5=""),"",D6/D5-1)</f>
        <v/>
      </c>
      <c r="K6" s="7">
        <f>IF(OR(E6="",E5=""),"",E6/E5-1)</f>
        <v/>
      </c>
      <c r="L6" s="7">
        <f>IF(OR(F6="",F5=""),"",F6/F5-1)</f>
        <v/>
      </c>
      <c r="M6" s="7">
        <f>IF(F6="","",D6/F6)</f>
        <v/>
      </c>
      <c r="N6" s="7">
        <f>IF(F6="","",E6/F6)</f>
        <v/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4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/>
      </c>
      <c r="F7" s="4">
        <f>IF(OR(D7="",E7=""),"",D7+E7)</f>
        <v/>
      </c>
      <c r="G7" s="7" t="n"/>
      <c r="H7" s="7" t="n"/>
      <c r="I7" s="7" t="n"/>
      <c r="J7" s="7">
        <f>IF(OR(D7="",D6=""),"",D7/D6-1)</f>
        <v/>
      </c>
      <c r="K7" s="7">
        <f>IF(OR(E7="",E6=""),"",E7/E6-1)</f>
        <v/>
      </c>
      <c r="L7" s="7">
        <f>IF(OR(F7="",F6=""),"",F7/F6-1)</f>
        <v/>
      </c>
      <c r="M7" s="7">
        <f>IF(F7="","",D7/F7)</f>
        <v/>
      </c>
      <c r="N7" s="7">
        <f>IF(F7="","",E7/F7)</f>
        <v/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4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/>
      </c>
      <c r="F8" s="4">
        <f>IF(OR(D8="",E8=""),"",D8+E8)</f>
        <v/>
      </c>
      <c r="G8" s="7" t="n"/>
      <c r="H8" s="7" t="n"/>
      <c r="I8" s="7" t="n"/>
      <c r="J8" s="7">
        <f>IF(OR(D8="",D7=""),"",D8/D7-1)</f>
        <v/>
      </c>
      <c r="K8" s="7">
        <f>IF(OR(E8="",E7=""),"",E8/E7-1)</f>
        <v/>
      </c>
      <c r="L8" s="7">
        <f>IF(OR(F8="",F7=""),"",F8/F7-1)</f>
        <v/>
      </c>
      <c r="M8" s="7">
        <f>IF(F8="","",D8/F8)</f>
        <v/>
      </c>
      <c r="N8" s="7">
        <f>IF(F8="","",E8/F8)</f>
        <v/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4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/>
      </c>
      <c r="F9" s="4">
        <f>IF(OR(D9="",E9=""),"",D9+E9)</f>
        <v/>
      </c>
      <c r="G9" s="7" t="n"/>
      <c r="H9" s="7" t="n"/>
      <c r="I9" s="7" t="n"/>
      <c r="J9" s="7">
        <f>IF(OR(D9="",D8=""),"",D9/D8-1)</f>
        <v/>
      </c>
      <c r="K9" s="7">
        <f>IF(OR(E9="",E8=""),"",E9/E8-1)</f>
        <v/>
      </c>
      <c r="L9" s="7">
        <f>IF(OR(F9="",F8=""),"",F9/F8-1)</f>
        <v/>
      </c>
      <c r="M9" s="7">
        <f>IF(F9="","",D9/F9)</f>
        <v/>
      </c>
      <c r="N9" s="7">
        <f>IF(F9="","",E9/F9)</f>
        <v/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4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/>
      </c>
      <c r="F10" s="4">
        <f>IF(OR(D10="",E10=""),"",D10+E10)</f>
        <v/>
      </c>
      <c r="G10" s="7" t="n"/>
      <c r="H10" s="7" t="n"/>
      <c r="I10" s="7" t="n"/>
      <c r="J10" s="7">
        <f>IF(OR(D10="",D9=""),"",D10/D9-1)</f>
        <v/>
      </c>
      <c r="K10" s="7">
        <f>IF(OR(E10="",E9=""),"",E10/E9-1)</f>
        <v/>
      </c>
      <c r="L10" s="7">
        <f>IF(OR(F10="",F9=""),"",F10/F9-1)</f>
        <v/>
      </c>
      <c r="M10" s="7">
        <f>IF(F10="","",D10/F10)</f>
        <v/>
      </c>
      <c r="N10" s="7">
        <f>IF(F10="","",E10/F10)</f>
        <v/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4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/>
      </c>
      <c r="F11" s="4">
        <f>IF(OR(D11="",E11=""),"",D11+E11)</f>
        <v/>
      </c>
      <c r="G11" s="7" t="n"/>
      <c r="H11" s="7" t="n"/>
      <c r="I11" s="7" t="n"/>
      <c r="J11" s="7">
        <f>IF(OR(D11="",D10=""),"",D11/D10-1)</f>
        <v/>
      </c>
      <c r="K11" s="7">
        <f>IF(OR(E11="",E10=""),"",E11/E10-1)</f>
        <v/>
      </c>
      <c r="L11" s="7">
        <f>IF(OR(F11="",F10=""),"",F11/F10-1)</f>
        <v/>
      </c>
      <c r="M11" s="7">
        <f>IF(F11="","",D11/F11)</f>
        <v/>
      </c>
      <c r="N11" s="7">
        <f>IF(F11="","",E11/F11)</f>
        <v/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4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/>
      </c>
      <c r="F12" s="4">
        <f>IF(OR(D12="",E12=""),"",D12+E12)</f>
        <v/>
      </c>
      <c r="G12" s="7" t="n"/>
      <c r="H12" s="7" t="n"/>
      <c r="I12" s="7" t="n"/>
      <c r="J12" s="7">
        <f>IF(OR(D12="",D11=""),"",D12/D11-1)</f>
        <v/>
      </c>
      <c r="K12" s="7">
        <f>IF(OR(E12="",E11=""),"",E12/E11-1)</f>
        <v/>
      </c>
      <c r="L12" s="7">
        <f>IF(OR(F12="",F11=""),"",F12/F11-1)</f>
        <v/>
      </c>
      <c r="M12" s="7">
        <f>IF(F12="","",D12/F12)</f>
        <v/>
      </c>
      <c r="N12" s="7">
        <f>IF(F12="","",E12/F12)</f>
        <v/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4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/>
      </c>
      <c r="F13" s="4">
        <f>IF(OR(D13="",E13=""),"",D13+E13)</f>
        <v/>
      </c>
      <c r="G13" s="7" t="n"/>
      <c r="H13" s="7" t="n"/>
      <c r="I13" s="7" t="n"/>
      <c r="J13" s="7">
        <f>IF(OR(D13="",D12=""),"",D13/D12-1)</f>
        <v/>
      </c>
      <c r="K13" s="7">
        <f>IF(OR(E13="",E12=""),"",E13/E12-1)</f>
        <v/>
      </c>
      <c r="L13" s="7">
        <f>IF(OR(F13="",F12=""),"",F13/F12-1)</f>
        <v/>
      </c>
      <c r="M13" s="7">
        <f>IF(F13="","",D13/F13)</f>
        <v/>
      </c>
      <c r="N13" s="7">
        <f>IF(F13="","",E13/F13)</f>
        <v/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4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/>
      </c>
      <c r="F14" s="4">
        <f>IF(OR(D14="",E14=""),"",D14+E14)</f>
        <v/>
      </c>
      <c r="G14" s="7">
        <f>IF(OR(D14="",D2=""),"",D14/D2-1)</f>
        <v/>
      </c>
      <c r="H14" s="7">
        <f>IF(OR(E14="",E2=""),"",E14/E2-1)</f>
        <v/>
      </c>
      <c r="I14" s="7">
        <f>IF(OR(F14="",F2=""),"",F14/F2-1)</f>
        <v/>
      </c>
      <c r="J14" s="7">
        <f>IF(OR(D14="",D13=""),"",D14/D13-1)</f>
        <v/>
      </c>
      <c r="K14" s="7">
        <f>IF(OR(E14="",E13=""),"",E14/E13-1)</f>
        <v/>
      </c>
      <c r="L14" s="7">
        <f>IF(OR(F14="",F13=""),"",F14/F13-1)</f>
        <v/>
      </c>
      <c r="M14" s="7">
        <f>IF(F14="","",D14/F14)</f>
        <v/>
      </c>
      <c r="N14" s="7">
        <f>IF(F14="","",E14/F14)</f>
        <v/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4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/>
      </c>
      <c r="F15" s="4">
        <f>IF(OR(D15="",E15=""),"",D15+E15)</f>
        <v/>
      </c>
      <c r="G15" s="7">
        <f>IF(OR(D15="",D3=""),"",D15/D3-1)</f>
        <v/>
      </c>
      <c r="H15" s="7">
        <f>IF(OR(E15="",E3=""),"",E15/E3-1)</f>
        <v/>
      </c>
      <c r="I15" s="7">
        <f>IF(OR(F15="",F3=""),"",F15/F3-1)</f>
        <v/>
      </c>
      <c r="J15" s="7">
        <f>IF(OR(D15="",D14=""),"",D15/D14-1)</f>
        <v/>
      </c>
      <c r="K15" s="7">
        <f>IF(OR(E15="",E14=""),"",E15/E14-1)</f>
        <v/>
      </c>
      <c r="L15" s="7">
        <f>IF(OR(F15="",F14=""),"",F15/F14-1)</f>
        <v/>
      </c>
      <c r="M15" s="7">
        <f>IF(F15="","",D15/F15)</f>
        <v/>
      </c>
      <c r="N15" s="7">
        <f>IF(F15="","",E15/F15)</f>
        <v/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4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/>
      </c>
      <c r="F16" s="4">
        <f>IF(OR(D16="",E16=""),"",D16+E16)</f>
        <v/>
      </c>
      <c r="G16" s="7">
        <f>IF(OR(D16="",D4=""),"",D16/D4-1)</f>
        <v/>
      </c>
      <c r="H16" s="7">
        <f>IF(OR(E16="",E4=""),"",E16/E4-1)</f>
        <v/>
      </c>
      <c r="I16" s="7">
        <f>IF(OR(F16="",F4=""),"",F16/F4-1)</f>
        <v/>
      </c>
      <c r="J16" s="7">
        <f>IF(OR(D16="",D15=""),"",D16/D15-1)</f>
        <v/>
      </c>
      <c r="K16" s="7">
        <f>IF(OR(E16="",E15=""),"",E16/E15-1)</f>
        <v/>
      </c>
      <c r="L16" s="7">
        <f>IF(OR(F16="",F15=""),"",F16/F15-1)</f>
        <v/>
      </c>
      <c r="M16" s="7">
        <f>IF(F16="","",D16/F16)</f>
        <v/>
      </c>
      <c r="N16" s="7">
        <f>IF(F16="","",E16/F16)</f>
        <v/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4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/>
      </c>
      <c r="F17" s="4">
        <f>IF(OR(D17="",E17=""),"",D17+E17)</f>
        <v/>
      </c>
      <c r="G17" s="7">
        <f>IF(OR(D17="",D5=""),"",D17/D5-1)</f>
        <v/>
      </c>
      <c r="H17" s="7">
        <f>IF(OR(E17="",E5=""),"",E17/E5-1)</f>
        <v/>
      </c>
      <c r="I17" s="7">
        <f>IF(OR(F17="",F5=""),"",F17/F5-1)</f>
        <v/>
      </c>
      <c r="J17" s="7">
        <f>IF(OR(D17="",D16=""),"",D17/D16-1)</f>
        <v/>
      </c>
      <c r="K17" s="7">
        <f>IF(OR(E17="",E16=""),"",E17/E16-1)</f>
        <v/>
      </c>
      <c r="L17" s="7">
        <f>IF(OR(F17="",F16=""),"",F17/F16-1)</f>
        <v/>
      </c>
      <c r="M17" s="7">
        <f>IF(F17="","",D17/F17)</f>
        <v/>
      </c>
      <c r="N17" s="7">
        <f>IF(F17="","",E17/F17)</f>
        <v/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4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/>
      </c>
      <c r="F18" s="4">
        <f>IF(OR(D18="",E18=""),"",D18+E18)</f>
        <v/>
      </c>
      <c r="G18" s="7">
        <f>IF(OR(D18="",D6=""),"",D18/D6-1)</f>
        <v/>
      </c>
      <c r="H18" s="7">
        <f>IF(OR(E18="",E6=""),"",E18/E6-1)</f>
        <v/>
      </c>
      <c r="I18" s="7">
        <f>IF(OR(F18="",F6=""),"",F18/F6-1)</f>
        <v/>
      </c>
      <c r="J18" s="7">
        <f>IF(OR(D18="",D17=""),"",D18/D17-1)</f>
        <v/>
      </c>
      <c r="K18" s="7">
        <f>IF(OR(E18="",E17=""),"",E18/E17-1)</f>
        <v/>
      </c>
      <c r="L18" s="7">
        <f>IF(OR(F18="",F17=""),"",F18/F17-1)</f>
        <v/>
      </c>
      <c r="M18" s="7">
        <f>IF(F18="","",D18/F18)</f>
        <v/>
      </c>
      <c r="N18" s="7">
        <f>IF(F18="","",E18/F18)</f>
        <v/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/>
      </c>
      <c r="E19" s="4">
        <f>IF(SUMIFS('Monthly BSE Equity Cash'!$G:$G,'Monthly BSE Equity Cash'!$A:$A,$A19)=0,"",SUMIFS('Monthly BSE Equity Cash'!$G:$G,'Monthly BSE Equity Cash'!$A:$A,$A19))</f>
        <v/>
      </c>
      <c r="F19" s="4">
        <f>IF(OR(D19="",E19=""),"",D19+E19)</f>
        <v/>
      </c>
      <c r="G19" s="7">
        <f>IF(OR(D19="",D7=""),"",D19/D7-1)</f>
        <v/>
      </c>
      <c r="H19" s="7">
        <f>IF(OR(E19="",E7=""),"",E19/E7-1)</f>
        <v/>
      </c>
      <c r="I19" s="7">
        <f>IF(OR(F19="",F7=""),"",F19/F7-1)</f>
        <v/>
      </c>
      <c r="J19" s="7">
        <f>IF(OR(D19="",D18=""),"",D19/D18-1)</f>
        <v/>
      </c>
      <c r="K19" s="7">
        <f>IF(OR(E19="",E18=""),"",E19/E18-1)</f>
        <v/>
      </c>
      <c r="L19" s="7">
        <f>IF(OR(F19="",F18=""),"",F19/F18-1)</f>
        <v/>
      </c>
      <c r="M19" s="7">
        <f>IF(F19="","",D19/F19)</f>
        <v/>
      </c>
      <c r="N19" s="7">
        <f>IF(F19="","",E19/F19)</f>
        <v/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/>
      </c>
      <c r="E20" s="4">
        <f>IF(SUMIFS('Monthly BSE Equity Cash'!$G:$G,'Monthly BSE Equity Cash'!$A:$A,$A20)=0,"",SUMIFS('Monthly BSE Equity Cash'!$G:$G,'Monthly BSE Equity Cash'!$A:$A,$A20))</f>
        <v/>
      </c>
      <c r="F20" s="4">
        <f>IF(OR(D20="",E20=""),"",D20+E20)</f>
        <v/>
      </c>
      <c r="G20" s="7">
        <f>IF(OR(D20="",D8=""),"",D20/D8-1)</f>
        <v/>
      </c>
      <c r="H20" s="7">
        <f>IF(OR(E20="",E8=""),"",E20/E8-1)</f>
        <v/>
      </c>
      <c r="I20" s="7">
        <f>IF(OR(F20="",F8=""),"",F20/F8-1)</f>
        <v/>
      </c>
      <c r="J20" s="7">
        <f>IF(OR(D20="",D19=""),"",D20/D19-1)</f>
        <v/>
      </c>
      <c r="K20" s="7">
        <f>IF(OR(E20="",E19=""),"",E20/E19-1)</f>
        <v/>
      </c>
      <c r="L20" s="7">
        <f>IF(OR(F20="",F19=""),"",F20/F19-1)</f>
        <v/>
      </c>
      <c r="M20" s="7">
        <f>IF(F20="","",D20/F20)</f>
        <v/>
      </c>
      <c r="N20" s="7">
        <f>IF(F20="","",E20/F20)</f>
        <v/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/>
      </c>
      <c r="E21" s="4">
        <f>IF(SUMIFS('Monthly BSE Equity Cash'!$G:$G,'Monthly BSE Equity Cash'!$A:$A,$A21)=0,"",SUMIFS('Monthly BSE Equity Cash'!$G:$G,'Monthly BSE Equity Cash'!$A:$A,$A21))</f>
        <v/>
      </c>
      <c r="F21" s="4">
        <f>IF(OR(D21="",E21=""),"",D21+E21)</f>
        <v/>
      </c>
      <c r="G21" s="7">
        <f>IF(OR(D21="",D9=""),"",D21/D9-1)</f>
        <v/>
      </c>
      <c r="H21" s="7">
        <f>IF(OR(E21="",E9=""),"",E21/E9-1)</f>
        <v/>
      </c>
      <c r="I21" s="7">
        <f>IF(OR(F21="",F9=""),"",F21/F9-1)</f>
        <v/>
      </c>
      <c r="J21" s="7">
        <f>IF(OR(D21="",D20=""),"",D21/D20-1)</f>
        <v/>
      </c>
      <c r="K21" s="7">
        <f>IF(OR(E21="",E20=""),"",E21/E20-1)</f>
        <v/>
      </c>
      <c r="L21" s="7">
        <f>IF(OR(F21="",F20=""),"",F21/F20-1)</f>
        <v/>
      </c>
      <c r="M21" s="7">
        <f>IF(F21="","",D21/F21)</f>
        <v/>
      </c>
      <c r="N21" s="7">
        <f>IF(F21="","",E21/F21)</f>
        <v/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/>
      </c>
      <c r="E22" s="4">
        <f>IF(SUMIFS('Monthly BSE Equity Cash'!$G:$G,'Monthly BSE Equity Cash'!$A:$A,$A22)=0,"",SUMIFS('Monthly BSE Equity Cash'!$G:$G,'Monthly BSE Equity Cash'!$A:$A,$A22))</f>
        <v/>
      </c>
      <c r="F22" s="4">
        <f>IF(OR(D22="",E22=""),"",D22+E22)</f>
        <v/>
      </c>
      <c r="G22" s="7">
        <f>IF(OR(D22="",D10=""),"",D22/D10-1)</f>
        <v/>
      </c>
      <c r="H22" s="7">
        <f>IF(OR(E22="",E10=""),"",E22/E10-1)</f>
        <v/>
      </c>
      <c r="I22" s="7">
        <f>IF(OR(F22="",F10=""),"",F22/F10-1)</f>
        <v/>
      </c>
      <c r="J22" s="7">
        <f>IF(OR(D22="",D21=""),"",D22/D21-1)</f>
        <v/>
      </c>
      <c r="K22" s="7">
        <f>IF(OR(E22="",E21=""),"",E22/E21-1)</f>
        <v/>
      </c>
      <c r="L22" s="7">
        <f>IF(OR(F22="",F21=""),"",F22/F21-1)</f>
        <v/>
      </c>
      <c r="M22" s="7">
        <f>IF(F22="","",D22/F22)</f>
        <v/>
      </c>
      <c r="N22" s="7">
        <f>IF(F22="","",E22/F22)</f>
        <v/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/>
      </c>
      <c r="E23" s="4">
        <f>IF(SUMIFS('Monthly BSE Equity Cash'!$G:$G,'Monthly BSE Equity Cash'!$A:$A,$A23)=0,"",SUMIFS('Monthly BSE Equity Cash'!$G:$G,'Monthly BSE Equity Cash'!$A:$A,$A23))</f>
        <v/>
      </c>
      <c r="F23" s="4">
        <f>IF(OR(D23="",E23=""),"",D23+E23)</f>
        <v/>
      </c>
      <c r="G23" s="7">
        <f>IF(OR(D23="",D11=""),"",D23/D11-1)</f>
        <v/>
      </c>
      <c r="H23" s="7">
        <f>IF(OR(E23="",E11=""),"",E23/E11-1)</f>
        <v/>
      </c>
      <c r="I23" s="7">
        <f>IF(OR(F23="",F11=""),"",F23/F11-1)</f>
        <v/>
      </c>
      <c r="J23" s="7">
        <f>IF(OR(D23="",D22=""),"",D23/D22-1)</f>
        <v/>
      </c>
      <c r="K23" s="7">
        <f>IF(OR(E23="",E22=""),"",E23/E22-1)</f>
        <v/>
      </c>
      <c r="L23" s="7">
        <f>IF(OR(F23="",F22=""),"",F23/F22-1)</f>
        <v/>
      </c>
      <c r="M23" s="7">
        <f>IF(F23="","",D23/F23)</f>
        <v/>
      </c>
      <c r="N23" s="7">
        <f>IF(F23="","",E23/F23)</f>
        <v/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/>
      </c>
      <c r="E24" s="4">
        <f>IF(SUMIFS('Monthly BSE Equity Cash'!$G:$G,'Monthly BSE Equity Cash'!$A:$A,$A24)=0,"",SUMIFS('Monthly BSE Equity Cash'!$G:$G,'Monthly BSE Equity Cash'!$A:$A,$A24))</f>
        <v/>
      </c>
      <c r="F24" s="4">
        <f>IF(OR(D24="",E24=""),"",D24+E24)</f>
        <v/>
      </c>
      <c r="G24" s="7">
        <f>IF(OR(D24="",D12=""),"",D24/D12-1)</f>
        <v/>
      </c>
      <c r="H24" s="7">
        <f>IF(OR(E24="",E12=""),"",E24/E12-1)</f>
        <v/>
      </c>
      <c r="I24" s="7">
        <f>IF(OR(F24="",F12=""),"",F24/F12-1)</f>
        <v/>
      </c>
      <c r="J24" s="7">
        <f>IF(OR(D24="",D23=""),"",D24/D23-1)</f>
        <v/>
      </c>
      <c r="K24" s="7">
        <f>IF(OR(E24="",E23=""),"",E24/E23-1)</f>
        <v/>
      </c>
      <c r="L24" s="7">
        <f>IF(OR(F24="",F23=""),"",F24/F23-1)</f>
        <v/>
      </c>
      <c r="M24" s="7">
        <f>IF(F24="","",D24/F24)</f>
        <v/>
      </c>
      <c r="N24" s="7">
        <f>IF(F24="","",E24/F24)</f>
        <v/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/>
      </c>
      <c r="E25" s="4">
        <f>IF(SUMIFS('Monthly BSE Equity Cash'!$G:$G,'Monthly BSE Equity Cash'!$A:$A,$A25)=0,"",SUMIFS('Monthly BSE Equity Cash'!$G:$G,'Monthly BSE Equity Cash'!$A:$A,$A25))</f>
        <v/>
      </c>
      <c r="F25" s="4">
        <f>IF(OR(D25="",E25=""),"",D25+E25)</f>
        <v/>
      </c>
      <c r="G25" s="7">
        <f>IF(OR(D25="",D13=""),"",D25/D13-1)</f>
        <v/>
      </c>
      <c r="H25" s="7">
        <f>IF(OR(E25="",E13=""),"",E25/E13-1)</f>
        <v/>
      </c>
      <c r="I25" s="7">
        <f>IF(OR(F25="",F13=""),"",F25/F13-1)</f>
        <v/>
      </c>
      <c r="J25" s="7">
        <f>IF(OR(D25="",D24=""),"",D25/D24-1)</f>
        <v/>
      </c>
      <c r="K25" s="7">
        <f>IF(OR(E25="",E24=""),"",E25/E24-1)</f>
        <v/>
      </c>
      <c r="L25" s="7">
        <f>IF(OR(F25="",F24=""),"",F25/F24-1)</f>
        <v/>
      </c>
      <c r="M25" s="7">
        <f>IF(F25="","",D25/F25)</f>
        <v/>
      </c>
      <c r="N25" s="7">
        <f>IF(F25="","",E25/F25)</f>
        <v/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/>
      </c>
      <c r="E26" s="4">
        <f>IF(SUMIFS('Monthly BSE Equity Cash'!$G:$G,'Monthly BSE Equity Cash'!$A:$A,$A26)=0,"",SUMIFS('Monthly BSE Equity Cash'!$G:$G,'Monthly BSE Equity Cash'!$A:$A,$A26))</f>
        <v/>
      </c>
      <c r="F26" s="4">
        <f>IF(OR(D26="",E26=""),"",D26+E26)</f>
        <v/>
      </c>
      <c r="G26" s="7">
        <f>IF(OR(D26="",D14=""),"",D26/D14-1)</f>
        <v/>
      </c>
      <c r="H26" s="7">
        <f>IF(OR(E26="",E14=""),"",E26/E14-1)</f>
        <v/>
      </c>
      <c r="I26" s="7">
        <f>IF(OR(F26="",F14=""),"",F26/F14-1)</f>
        <v/>
      </c>
      <c r="J26" s="7">
        <f>IF(OR(D26="",D25=""),"",D26/D25-1)</f>
        <v/>
      </c>
      <c r="K26" s="7">
        <f>IF(OR(E26="",E25=""),"",E26/E25-1)</f>
        <v/>
      </c>
      <c r="L26" s="7">
        <f>IF(OR(F26="",F25=""),"",F26/F25-1)</f>
        <v/>
      </c>
      <c r="M26" s="7">
        <f>IF(F26="","",D26/F26)</f>
        <v/>
      </c>
      <c r="N26" s="7">
        <f>IF(F26="","",E26/F26)</f>
        <v/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/>
      </c>
      <c r="E27" s="4">
        <f>IF(SUMIFS('Monthly BSE Equity Cash'!$G:$G,'Monthly BSE Equity Cash'!$A:$A,$A27)=0,"",SUMIFS('Monthly BSE Equity Cash'!$G:$G,'Monthly BSE Equity Cash'!$A:$A,$A27))</f>
        <v/>
      </c>
      <c r="F27" s="4">
        <f>IF(OR(D27="",E27=""),"",D27+E27)</f>
        <v/>
      </c>
      <c r="G27" s="7">
        <f>IF(OR(D27="",D15=""),"",D27/D15-1)</f>
        <v/>
      </c>
      <c r="H27" s="7">
        <f>IF(OR(E27="",E15=""),"",E27/E15-1)</f>
        <v/>
      </c>
      <c r="I27" s="7">
        <f>IF(OR(F27="",F15=""),"",F27/F15-1)</f>
        <v/>
      </c>
      <c r="J27" s="7">
        <f>IF(OR(D27="",D26=""),"",D27/D26-1)</f>
        <v/>
      </c>
      <c r="K27" s="7">
        <f>IF(OR(E27="",E26=""),"",E27/E26-1)</f>
        <v/>
      </c>
      <c r="L27" s="7">
        <f>IF(OR(F27="",F26=""),"",F27/F26-1)</f>
        <v/>
      </c>
      <c r="M27" s="7">
        <f>IF(F27="","",D27/F27)</f>
        <v/>
      </c>
      <c r="N27" s="7">
        <f>IF(F27="","",E27/F27)</f>
        <v/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/>
      </c>
      <c r="E28" s="4">
        <f>IF(SUMIFS('Monthly BSE Equity Cash'!$G:$G,'Monthly BSE Equity Cash'!$A:$A,$A28)=0,"",SUMIFS('Monthly BSE Equity Cash'!$G:$G,'Monthly BSE Equity Cash'!$A:$A,$A28))</f>
        <v/>
      </c>
      <c r="F28" s="4">
        <f>IF(OR(D28="",E28=""),"",D28+E28)</f>
        <v/>
      </c>
      <c r="G28" s="7">
        <f>IF(OR(D28="",D16=""),"",D28/D16-1)</f>
        <v/>
      </c>
      <c r="H28" s="7">
        <f>IF(OR(E28="",E16=""),"",E28/E16-1)</f>
        <v/>
      </c>
      <c r="I28" s="7">
        <f>IF(OR(F28="",F16=""),"",F28/F16-1)</f>
        <v/>
      </c>
      <c r="J28" s="7">
        <f>IF(OR(D28="",D27=""),"",D28/D27-1)</f>
        <v/>
      </c>
      <c r="K28" s="7">
        <f>IF(OR(E28="",E27=""),"",E28/E27-1)</f>
        <v/>
      </c>
      <c r="L28" s="7">
        <f>IF(OR(F28="",F27=""),"",F28/F27-1)</f>
        <v/>
      </c>
      <c r="M28" s="7">
        <f>IF(F28="","",D28/F28)</f>
        <v/>
      </c>
      <c r="N28" s="7">
        <f>IF(F28="","",E28/F28)</f>
        <v/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/>
      </c>
      <c r="E29" s="4">
        <f>IF(SUMIFS('Monthly BSE Equity Cash'!$G:$G,'Monthly BSE Equity Cash'!$A:$A,$A29)=0,"",SUMIFS('Monthly BSE Equity Cash'!$G:$G,'Monthly BSE Equity Cash'!$A:$A,$A29))</f>
        <v/>
      </c>
      <c r="F29" s="4">
        <f>IF(OR(D29="",E29=""),"",D29+E29)</f>
        <v/>
      </c>
      <c r="G29" s="7">
        <f>IF(OR(D29="",D17=""),"",D29/D17-1)</f>
        <v/>
      </c>
      <c r="H29" s="7">
        <f>IF(OR(E29="",E17=""),"",E29/E17-1)</f>
        <v/>
      </c>
      <c r="I29" s="7">
        <f>IF(OR(F29="",F17=""),"",F29/F17-1)</f>
        <v/>
      </c>
      <c r="J29" s="7">
        <f>IF(OR(D29="",D28=""),"",D29/D28-1)</f>
        <v/>
      </c>
      <c r="K29" s="7">
        <f>IF(OR(E29="",E28=""),"",E29/E28-1)</f>
        <v/>
      </c>
      <c r="L29" s="7">
        <f>IF(OR(F29="",F28=""),"",F29/F28-1)</f>
        <v/>
      </c>
      <c r="M29" s="7">
        <f>IF(F29="","",D29/F29)</f>
        <v/>
      </c>
      <c r="N29" s="7">
        <f>IF(F29="","",E29/F29)</f>
        <v/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/>
      </c>
      <c r="E30" s="4">
        <f>IF(SUMIFS('Monthly BSE Equity Cash'!$G:$G,'Monthly BSE Equity Cash'!$A:$A,$A30)=0,"",SUMIFS('Monthly BSE Equity Cash'!$G:$G,'Monthly BSE Equity Cash'!$A:$A,$A30))</f>
        <v/>
      </c>
      <c r="F30" s="4">
        <f>IF(OR(D30="",E30=""),"",D30+E30)</f>
        <v/>
      </c>
      <c r="G30" s="7">
        <f>IF(OR(D30="",D18=""),"",D30/D18-1)</f>
        <v/>
      </c>
      <c r="H30" s="7">
        <f>IF(OR(E30="",E18=""),"",E30/E18-1)</f>
        <v/>
      </c>
      <c r="I30" s="7">
        <f>IF(OR(F30="",F18=""),"",F30/F18-1)</f>
        <v/>
      </c>
      <c r="J30" s="7">
        <f>IF(OR(D30="",D29=""),"",D30/D29-1)</f>
        <v/>
      </c>
      <c r="K30" s="7">
        <f>IF(OR(E30="",E29=""),"",E30/E29-1)</f>
        <v/>
      </c>
      <c r="L30" s="7">
        <f>IF(OR(F30="",F29=""),"",F30/F29-1)</f>
        <v/>
      </c>
      <c r="M30" s="7">
        <f>IF(F30="","",D30/F30)</f>
        <v/>
      </c>
      <c r="N30" s="7">
        <f>IF(F30="","",E30/F30)</f>
        <v/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/>
      </c>
      <c r="E31" s="4">
        <f>IF(SUMIFS('Monthly BSE Equity Cash'!$G:$G,'Monthly BSE Equity Cash'!$A:$A,$A31)=0,"",SUMIFS('Monthly BSE Equity Cash'!$G:$G,'Monthly BSE Equity Cash'!$A:$A,$A31))</f>
        <v/>
      </c>
      <c r="F31" s="4">
        <f>IF(OR(D31="",E31=""),"",D31+E31)</f>
        <v/>
      </c>
      <c r="G31" s="7">
        <f>IF(OR(D31="",D19=""),"",D31/D19-1)</f>
        <v/>
      </c>
      <c r="H31" s="7">
        <f>IF(OR(E31="",E19=""),"",E31/E19-1)</f>
        <v/>
      </c>
      <c r="I31" s="7">
        <f>IF(OR(F31="",F19=""),"",F31/F19-1)</f>
        <v/>
      </c>
      <c r="J31" s="7">
        <f>IF(OR(D31="",D30=""),"",D31/D30-1)</f>
        <v/>
      </c>
      <c r="K31" s="7">
        <f>IF(OR(E31="",E30=""),"",E31/E30-1)</f>
        <v/>
      </c>
      <c r="L31" s="7">
        <f>IF(OR(F31="",F30=""),"",F31/F30-1)</f>
        <v/>
      </c>
      <c r="M31" s="7">
        <f>IF(F31="","",D31/F31)</f>
        <v/>
      </c>
      <c r="N31" s="7">
        <f>IF(F31="","",E31/F31)</f>
        <v/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/>
      </c>
      <c r="E32" s="4">
        <f>IF(SUMIFS('Monthly BSE Equity Cash'!$G:$G,'Monthly BSE Equity Cash'!$A:$A,$A32)=0,"",SUMIFS('Monthly BSE Equity Cash'!$G:$G,'Monthly BSE Equity Cash'!$A:$A,$A32))</f>
        <v/>
      </c>
      <c r="F32" s="4">
        <f>IF(OR(D32="",E32=""),"",D32+E32)</f>
        <v/>
      </c>
      <c r="G32" s="7">
        <f>IF(OR(D32="",D20=""),"",D32/D20-1)</f>
        <v/>
      </c>
      <c r="H32" s="7">
        <f>IF(OR(E32="",E20=""),"",E32/E20-1)</f>
        <v/>
      </c>
      <c r="I32" s="7">
        <f>IF(OR(F32="",F20=""),"",F32/F20-1)</f>
        <v/>
      </c>
      <c r="J32" s="7">
        <f>IF(OR(D32="",D31=""),"",D32/D31-1)</f>
        <v/>
      </c>
      <c r="K32" s="7">
        <f>IF(OR(E32="",E31=""),"",E32/E31-1)</f>
        <v/>
      </c>
      <c r="L32" s="7">
        <f>IF(OR(F32="",F31=""),"",F32/F31-1)</f>
        <v/>
      </c>
      <c r="M32" s="7">
        <f>IF(F32="","",D32/F32)</f>
        <v/>
      </c>
      <c r="N32" s="7">
        <f>IF(F32="","",E32/F32)</f>
        <v/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/>
      </c>
      <c r="E33" s="4">
        <f>IF(SUMIFS('Monthly BSE Equity Cash'!$G:$G,'Monthly BSE Equity Cash'!$A:$A,$A33)=0,"",SUMIFS('Monthly BSE Equity Cash'!$G:$G,'Monthly BSE Equity Cash'!$A:$A,$A33))</f>
        <v/>
      </c>
      <c r="F33" s="4">
        <f>IF(OR(D33="",E33=""),"",D33+E33)</f>
        <v/>
      </c>
      <c r="G33" s="7">
        <f>IF(OR(D33="",D21=""),"",D33/D21-1)</f>
        <v/>
      </c>
      <c r="H33" s="7">
        <f>IF(OR(E33="",E21=""),"",E33/E21-1)</f>
        <v/>
      </c>
      <c r="I33" s="7">
        <f>IF(OR(F33="",F21=""),"",F33/F21-1)</f>
        <v/>
      </c>
      <c r="J33" s="7">
        <f>IF(OR(D33="",D32=""),"",D33/D32-1)</f>
        <v/>
      </c>
      <c r="K33" s="7">
        <f>IF(OR(E33="",E32=""),"",E33/E32-1)</f>
        <v/>
      </c>
      <c r="L33" s="7">
        <f>IF(OR(F33="",F32=""),"",F33/F32-1)</f>
        <v/>
      </c>
      <c r="M33" s="7">
        <f>IF(F33="","",D33/F33)</f>
        <v/>
      </c>
      <c r="N33" s="7">
        <f>IF(F33="","",E33/F33)</f>
        <v/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/>
      </c>
      <c r="E34" s="4">
        <f>IF(SUMIFS('Monthly BSE Equity Cash'!$G:$G,'Monthly BSE Equity Cash'!$A:$A,$A34)=0,"",SUMIFS('Monthly BSE Equity Cash'!$G:$G,'Monthly BSE Equity Cash'!$A:$A,$A34))</f>
        <v/>
      </c>
      <c r="F34" s="4">
        <f>IF(OR(D34="",E34=""),"",D34+E34)</f>
        <v/>
      </c>
      <c r="G34" s="7">
        <f>IF(OR(D34="",D22=""),"",D34/D22-1)</f>
        <v/>
      </c>
      <c r="H34" s="7">
        <f>IF(OR(E34="",E22=""),"",E34/E22-1)</f>
        <v/>
      </c>
      <c r="I34" s="7">
        <f>IF(OR(F34="",F22=""),"",F34/F22-1)</f>
        <v/>
      </c>
      <c r="J34" s="7">
        <f>IF(OR(D34="",D33=""),"",D34/D33-1)</f>
        <v/>
      </c>
      <c r="K34" s="7">
        <f>IF(OR(E34="",E33=""),"",E34/E33-1)</f>
        <v/>
      </c>
      <c r="L34" s="7">
        <f>IF(OR(F34="",F33=""),"",F34/F33-1)</f>
        <v/>
      </c>
      <c r="M34" s="7">
        <f>IF(F34="","",D34/F34)</f>
        <v/>
      </c>
      <c r="N34" s="7">
        <f>IF(F34="","",E34/F34)</f>
        <v/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/>
      </c>
      <c r="E35" s="4">
        <f>IF(SUMIFS('Monthly BSE Equity Cash'!$G:$G,'Monthly BSE Equity Cash'!$A:$A,$A35)=0,"",SUMIFS('Monthly BSE Equity Cash'!$G:$G,'Monthly BSE Equity Cash'!$A:$A,$A35))</f>
        <v/>
      </c>
      <c r="F35" s="4">
        <f>IF(OR(D35="",E35=""),"",D35+E35)</f>
        <v/>
      </c>
      <c r="G35" s="7">
        <f>IF(OR(D35="",D23=""),"",D35/D23-1)</f>
        <v/>
      </c>
      <c r="H35" s="7">
        <f>IF(OR(E35="",E23=""),"",E35/E23-1)</f>
        <v/>
      </c>
      <c r="I35" s="7">
        <f>IF(OR(F35="",F23=""),"",F35/F23-1)</f>
        <v/>
      </c>
      <c r="J35" s="7">
        <f>IF(OR(D35="",D34=""),"",D35/D34-1)</f>
        <v/>
      </c>
      <c r="K35" s="7">
        <f>IF(OR(E35="",E34=""),"",E35/E34-1)</f>
        <v/>
      </c>
      <c r="L35" s="7">
        <f>IF(OR(F35="",F34=""),"",F35/F34-1)</f>
        <v/>
      </c>
      <c r="M35" s="7">
        <f>IF(F35="","",D35/F35)</f>
        <v/>
      </c>
      <c r="N35" s="7">
        <f>IF(F35="","",E35/F35)</f>
        <v/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/>
      </c>
      <c r="E36" s="4">
        <f>IF(SUMIFS('Monthly BSE Equity Cash'!$G:$G,'Monthly BSE Equity Cash'!$A:$A,$A36)=0,"",SUMIFS('Monthly BSE Equity Cash'!$G:$G,'Monthly BSE Equity Cash'!$A:$A,$A36))</f>
        <v/>
      </c>
      <c r="F36" s="4">
        <f>IF(OR(D36="",E36=""),"",D36+E36)</f>
        <v/>
      </c>
      <c r="G36" s="7">
        <f>IF(OR(D36="",D24=""),"",D36/D24-1)</f>
        <v/>
      </c>
      <c r="H36" s="7">
        <f>IF(OR(E36="",E24=""),"",E36/E24-1)</f>
        <v/>
      </c>
      <c r="I36" s="7">
        <f>IF(OR(F36="",F24=""),"",F36/F24-1)</f>
        <v/>
      </c>
      <c r="J36" s="7">
        <f>IF(OR(D36="",D35=""),"",D36/D35-1)</f>
        <v/>
      </c>
      <c r="K36" s="7">
        <f>IF(OR(E36="",E35=""),"",E36/E35-1)</f>
        <v/>
      </c>
      <c r="L36" s="7">
        <f>IF(OR(F36="",F35=""),"",F36/F35-1)</f>
        <v/>
      </c>
      <c r="M36" s="7">
        <f>IF(F36="","",D36/F36)</f>
        <v/>
      </c>
      <c r="N36" s="7">
        <f>IF(F36="","",E36/F36)</f>
        <v/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/>
      </c>
      <c r="E37" s="4">
        <f>IF(SUMIFS('Monthly BSE Equity Cash'!$G:$G,'Monthly BSE Equity Cash'!$A:$A,$A37)=0,"",SUMIFS('Monthly BSE Equity Cash'!$G:$G,'Monthly BSE Equity Cash'!$A:$A,$A37))</f>
        <v/>
      </c>
      <c r="F37" s="4">
        <f>IF(OR(D37="",E37=""),"",D37+E37)</f>
        <v/>
      </c>
      <c r="G37" s="7">
        <f>IF(OR(D37="",D25=""),"",D37/D25-1)</f>
        <v/>
      </c>
      <c r="H37" s="7">
        <f>IF(OR(E37="",E25=""),"",E37/E25-1)</f>
        <v/>
      </c>
      <c r="I37" s="7">
        <f>IF(OR(F37="",F25=""),"",F37/F25-1)</f>
        <v/>
      </c>
      <c r="J37" s="7">
        <f>IF(OR(D37="",D36=""),"",D37/D36-1)</f>
        <v/>
      </c>
      <c r="K37" s="7">
        <f>IF(OR(E37="",E36=""),"",E37/E36-1)</f>
        <v/>
      </c>
      <c r="L37" s="7">
        <f>IF(OR(F37="",F36=""),"",F37/F36-1)</f>
        <v/>
      </c>
      <c r="M37" s="7">
        <f>IF(F37="","",D37/F37)</f>
        <v/>
      </c>
      <c r="N37" s="7">
        <f>IF(F37="","",E37/F37)</f>
        <v/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/>
      </c>
      <c r="E38" s="4">
        <f>IF(SUMIFS('Monthly BSE Equity Cash'!$G:$G,'Monthly BSE Equity Cash'!$A:$A,$A38)=0,"",SUMIFS('Monthly BSE Equity Cash'!$G:$G,'Monthly BSE Equity Cash'!$A:$A,$A38))</f>
        <v/>
      </c>
      <c r="F38" s="4">
        <f>IF(OR(D38="",E38=""),"",D38+E38)</f>
        <v/>
      </c>
      <c r="G38" s="7">
        <f>IF(OR(D38="",D26=""),"",D38/D26-1)</f>
        <v/>
      </c>
      <c r="H38" s="7">
        <f>IF(OR(E38="",E26=""),"",E38/E26-1)</f>
        <v/>
      </c>
      <c r="I38" s="7">
        <f>IF(OR(F38="",F26=""),"",F38/F26-1)</f>
        <v/>
      </c>
      <c r="J38" s="7">
        <f>IF(OR(D38="",D37=""),"",D38/D37-1)</f>
        <v/>
      </c>
      <c r="K38" s="7">
        <f>IF(OR(E38="",E37=""),"",E38/E37-1)</f>
        <v/>
      </c>
      <c r="L38" s="7">
        <f>IF(OR(F38="",F37=""),"",F38/F37-1)</f>
        <v/>
      </c>
      <c r="M38" s="7">
        <f>IF(F38="","",D38/F38)</f>
        <v/>
      </c>
      <c r="N38" s="7">
        <f>IF(F38="","",E38/F38)</f>
        <v/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/>
      </c>
      <c r="E39" s="4">
        <f>IF(SUMIFS('Monthly BSE Equity Cash'!$G:$G,'Monthly BSE Equity Cash'!$A:$A,$A39)=0,"",SUMIFS('Monthly BSE Equity Cash'!$G:$G,'Monthly BSE Equity Cash'!$A:$A,$A39))</f>
        <v/>
      </c>
      <c r="F39" s="4">
        <f>IF(OR(D39="",E39=""),"",D39+E39)</f>
        <v/>
      </c>
      <c r="G39" s="7">
        <f>IF(OR(D39="",D27=""),"",D39/D27-1)</f>
        <v/>
      </c>
      <c r="H39" s="7">
        <f>IF(OR(E39="",E27=""),"",E39/E27-1)</f>
        <v/>
      </c>
      <c r="I39" s="7">
        <f>IF(OR(F39="",F27=""),"",F39/F27-1)</f>
        <v/>
      </c>
      <c r="J39" s="7">
        <f>IF(OR(D39="",D38=""),"",D39/D38-1)</f>
        <v/>
      </c>
      <c r="K39" s="7">
        <f>IF(OR(E39="",E38=""),"",E39/E38-1)</f>
        <v/>
      </c>
      <c r="L39" s="7">
        <f>IF(OR(F39="",F38=""),"",F39/F38-1)</f>
        <v/>
      </c>
      <c r="M39" s="7">
        <f>IF(F39="","",D39/F39)</f>
        <v/>
      </c>
      <c r="N39" s="7">
        <f>IF(F39="","",E39/F39)</f>
        <v/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/>
      </c>
      <c r="E40" s="4">
        <f>IF(SUMIFS('Monthly BSE Equity Cash'!$G:$G,'Monthly BSE Equity Cash'!$A:$A,$A40)=0,"",SUMIFS('Monthly BSE Equity Cash'!$G:$G,'Monthly BSE Equity Cash'!$A:$A,$A40))</f>
        <v/>
      </c>
      <c r="F40" s="4">
        <f>IF(OR(D40="",E40=""),"",D40+E40)</f>
        <v/>
      </c>
      <c r="G40" s="7">
        <f>IF(OR(D40="",D28=""),"",D40/D28-1)</f>
        <v/>
      </c>
      <c r="H40" s="7">
        <f>IF(OR(E40="",E28=""),"",E40/E28-1)</f>
        <v/>
      </c>
      <c r="I40" s="7">
        <f>IF(OR(F40="",F28=""),"",F40/F28-1)</f>
        <v/>
      </c>
      <c r="J40" s="7">
        <f>IF(OR(D40="",D39=""),"",D40/D39-1)</f>
        <v/>
      </c>
      <c r="K40" s="7">
        <f>IF(OR(E40="",E39=""),"",E40/E39-1)</f>
        <v/>
      </c>
      <c r="L40" s="7">
        <f>IF(OR(F40="",F39=""),"",F40/F39-1)</f>
        <v/>
      </c>
      <c r="M40" s="7">
        <f>IF(F40="","",D40/F40)</f>
        <v/>
      </c>
      <c r="N40" s="7">
        <f>IF(F40="","",E40/F40)</f>
        <v/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/>
      </c>
      <c r="E41" s="4">
        <f>IF(SUMIFS('Monthly BSE Equity Cash'!$G:$G,'Monthly BSE Equity Cash'!$A:$A,$A41)=0,"",SUMIFS('Monthly BSE Equity Cash'!$G:$G,'Monthly BSE Equity Cash'!$A:$A,$A41))</f>
        <v/>
      </c>
      <c r="F41" s="4">
        <f>IF(OR(D41="",E41=""),"",D41+E41)</f>
        <v/>
      </c>
      <c r="G41" s="7">
        <f>IF(OR(D41="",D29=""),"",D41/D29-1)</f>
        <v/>
      </c>
      <c r="H41" s="7">
        <f>IF(OR(E41="",E29=""),"",E41/E29-1)</f>
        <v/>
      </c>
      <c r="I41" s="7">
        <f>IF(OR(F41="",F29=""),"",F41/F29-1)</f>
        <v/>
      </c>
      <c r="J41" s="7">
        <f>IF(OR(D41="",D40=""),"",D41/D40-1)</f>
        <v/>
      </c>
      <c r="K41" s="7">
        <f>IF(OR(E41="",E40=""),"",E41/E40-1)</f>
        <v/>
      </c>
      <c r="L41" s="7">
        <f>IF(OR(F41="",F40=""),"",F41/F40-1)</f>
        <v/>
      </c>
      <c r="M41" s="7">
        <f>IF(F41="","",D41/F41)</f>
        <v/>
      </c>
      <c r="N41" s="7">
        <f>IF(F41="","",E41/F41)</f>
        <v/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/>
      </c>
      <c r="E42" s="4">
        <f>IF(SUMIFS('Monthly BSE Equity Cash'!$G:$G,'Monthly BSE Equity Cash'!$A:$A,$A42)=0,"",SUMIFS('Monthly BSE Equity Cash'!$G:$G,'Monthly BSE Equity Cash'!$A:$A,$A42))</f>
        <v/>
      </c>
      <c r="F42" s="4">
        <f>IF(OR(D42="",E42=""),"",D42+E42)</f>
        <v/>
      </c>
      <c r="G42" s="7">
        <f>IF(OR(D42="",D30=""),"",D42/D30-1)</f>
        <v/>
      </c>
      <c r="H42" s="7">
        <f>IF(OR(E42="",E30=""),"",E42/E30-1)</f>
        <v/>
      </c>
      <c r="I42" s="7">
        <f>IF(OR(F42="",F30=""),"",F42/F30-1)</f>
        <v/>
      </c>
      <c r="J42" s="7">
        <f>IF(OR(D42="",D41=""),"",D42/D41-1)</f>
        <v/>
      </c>
      <c r="K42" s="7">
        <f>IF(OR(E42="",E41=""),"",E42/E41-1)</f>
        <v/>
      </c>
      <c r="L42" s="7">
        <f>IF(OR(F42="",F41=""),"",F42/F41-1)</f>
        <v/>
      </c>
      <c r="M42" s="7">
        <f>IF(F42="","",D42/F42)</f>
        <v/>
      </c>
      <c r="N42" s="7">
        <f>IF(F42="","",E42/F42)</f>
        <v/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/>
      </c>
      <c r="E43" s="4">
        <f>IF(SUMIFS('Monthly BSE Equity Cash'!$G:$G,'Monthly BSE Equity Cash'!$A:$A,$A43)=0,"",SUMIFS('Monthly BSE Equity Cash'!$G:$G,'Monthly BSE Equity Cash'!$A:$A,$A43))</f>
        <v/>
      </c>
      <c r="F43" s="4">
        <f>IF(OR(D43="",E43=""),"",D43+E43)</f>
        <v/>
      </c>
      <c r="G43" s="7">
        <f>IF(OR(D43="",D31=""),"",D43/D31-1)</f>
        <v/>
      </c>
      <c r="H43" s="7">
        <f>IF(OR(E43="",E31=""),"",E43/E31-1)</f>
        <v/>
      </c>
      <c r="I43" s="7">
        <f>IF(OR(F43="",F31=""),"",F43/F31-1)</f>
        <v/>
      </c>
      <c r="J43" s="7">
        <f>IF(OR(D43="",D42=""),"",D43/D42-1)</f>
        <v/>
      </c>
      <c r="K43" s="7">
        <f>IF(OR(E43="",E42=""),"",E43/E42-1)</f>
        <v/>
      </c>
      <c r="L43" s="7">
        <f>IF(OR(F43="",F42=""),"",F43/F42-1)</f>
        <v/>
      </c>
      <c r="M43" s="7">
        <f>IF(F43="","",D43/F43)</f>
        <v/>
      </c>
      <c r="N43" s="7">
        <f>IF(F43="","",E43/F43)</f>
        <v/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/>
      </c>
      <c r="E44" s="4">
        <f>IF(SUMIFS('Monthly BSE Equity Cash'!$G:$G,'Monthly BSE Equity Cash'!$A:$A,$A44)=0,"",SUMIFS('Monthly BSE Equity Cash'!$G:$G,'Monthly BSE Equity Cash'!$A:$A,$A44))</f>
        <v/>
      </c>
      <c r="F44" s="4">
        <f>IF(OR(D44="",E44=""),"",D44+E44)</f>
        <v/>
      </c>
      <c r="G44" s="7">
        <f>IF(OR(D44="",D32=""),"",D44/D32-1)</f>
        <v/>
      </c>
      <c r="H44" s="7">
        <f>IF(OR(E44="",E32=""),"",E44/E32-1)</f>
        <v/>
      </c>
      <c r="I44" s="7">
        <f>IF(OR(F44="",F32=""),"",F44/F32-1)</f>
        <v/>
      </c>
      <c r="J44" s="7">
        <f>IF(OR(D44="",D43=""),"",D44/D43-1)</f>
        <v/>
      </c>
      <c r="K44" s="7">
        <f>IF(OR(E44="",E43=""),"",E44/E43-1)</f>
        <v/>
      </c>
      <c r="L44" s="7">
        <f>IF(OR(F44="",F43=""),"",F44/F43-1)</f>
        <v/>
      </c>
      <c r="M44" s="7">
        <f>IF(F44="","",D44/F44)</f>
        <v/>
      </c>
      <c r="N44" s="7">
        <f>IF(F44="","",E44/F44)</f>
        <v/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/>
      </c>
      <c r="E45" s="4">
        <f>IF(SUMIFS('Monthly BSE Equity Cash'!$G:$G,'Monthly BSE Equity Cash'!$A:$A,$A45)=0,"",SUMIFS('Monthly BSE Equity Cash'!$G:$G,'Monthly BSE Equity Cash'!$A:$A,$A45))</f>
        <v/>
      </c>
      <c r="F45" s="4">
        <f>IF(OR(D45="",E45=""),"",D45+E45)</f>
        <v/>
      </c>
      <c r="G45" s="7">
        <f>IF(OR(D45="",D33=""),"",D45/D33-1)</f>
        <v/>
      </c>
      <c r="H45" s="7">
        <f>IF(OR(E45="",E33=""),"",E45/E33-1)</f>
        <v/>
      </c>
      <c r="I45" s="7">
        <f>IF(OR(F45="",F33=""),"",F45/F33-1)</f>
        <v/>
      </c>
      <c r="J45" s="7">
        <f>IF(OR(D45="",D44=""),"",D45/D44-1)</f>
        <v/>
      </c>
      <c r="K45" s="7">
        <f>IF(OR(E45="",E44=""),"",E45/E44-1)</f>
        <v/>
      </c>
      <c r="L45" s="7">
        <f>IF(OR(F45="",F44=""),"",F45/F44-1)</f>
        <v/>
      </c>
      <c r="M45" s="7">
        <f>IF(F45="","",D45/F45)</f>
        <v/>
      </c>
      <c r="N45" s="7">
        <f>IF(F45="","",E45/F45)</f>
        <v/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/>
      </c>
      <c r="E46" s="4">
        <f>IF(SUMIFS('Monthly BSE Equity Cash'!$G:$G,'Monthly BSE Equity Cash'!$A:$A,$A46)=0,"",SUMIFS('Monthly BSE Equity Cash'!$G:$G,'Monthly BSE Equity Cash'!$A:$A,$A46))</f>
        <v/>
      </c>
      <c r="F46" s="4">
        <f>IF(OR(D46="",E46=""),"",D46+E46)</f>
        <v/>
      </c>
      <c r="G46" s="7">
        <f>IF(OR(D46="",D34=""),"",D46/D34-1)</f>
        <v/>
      </c>
      <c r="H46" s="7">
        <f>IF(OR(E46="",E34=""),"",E46/E34-1)</f>
        <v/>
      </c>
      <c r="I46" s="7">
        <f>IF(OR(F46="",F34=""),"",F46/F34-1)</f>
        <v/>
      </c>
      <c r="J46" s="7">
        <f>IF(OR(D46="",D45=""),"",D46/D45-1)</f>
        <v/>
      </c>
      <c r="K46" s="7">
        <f>IF(OR(E46="",E45=""),"",E46/E45-1)</f>
        <v/>
      </c>
      <c r="L46" s="7">
        <f>IF(OR(F46="",F45=""),"",F46/F45-1)</f>
        <v/>
      </c>
      <c r="M46" s="7">
        <f>IF(F46="","",D46/F46)</f>
        <v/>
      </c>
      <c r="N46" s="7">
        <f>IF(F46="","",E46/F46)</f>
        <v/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/>
      </c>
      <c r="E47" s="4">
        <f>IF(SUMIFS('Monthly BSE Equity Cash'!$G:$G,'Monthly BSE Equity Cash'!$A:$A,$A47)=0,"",SUMIFS('Monthly BSE Equity Cash'!$G:$G,'Monthly BSE Equity Cash'!$A:$A,$A47))</f>
        <v/>
      </c>
      <c r="F47" s="4">
        <f>IF(OR(D47="",E47=""),"",D47+E47)</f>
        <v/>
      </c>
      <c r="G47" s="7">
        <f>IF(OR(D47="",D35=""),"",D47/D35-1)</f>
        <v/>
      </c>
      <c r="H47" s="7">
        <f>IF(OR(E47="",E35=""),"",E47/E35-1)</f>
        <v/>
      </c>
      <c r="I47" s="7">
        <f>IF(OR(F47="",F35=""),"",F47/F35-1)</f>
        <v/>
      </c>
      <c r="J47" s="7">
        <f>IF(OR(D47="",D46=""),"",D47/D46-1)</f>
        <v/>
      </c>
      <c r="K47" s="7">
        <f>IF(OR(E47="",E46=""),"",E47/E46-1)</f>
        <v/>
      </c>
      <c r="L47" s="7">
        <f>IF(OR(F47="",F46=""),"",F47/F46-1)</f>
        <v/>
      </c>
      <c r="M47" s="7">
        <f>IF(F47="","",D47/F47)</f>
        <v/>
      </c>
      <c r="N47" s="7">
        <f>IF(F47="","",E47/F47)</f>
        <v/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/>
      </c>
      <c r="E48" s="4">
        <f>IF(SUMIFS('Monthly BSE Equity Cash'!$G:$G,'Monthly BSE Equity Cash'!$A:$A,$A48)=0,"",SUMIFS('Monthly BSE Equity Cash'!$G:$G,'Monthly BSE Equity Cash'!$A:$A,$A48))</f>
        <v/>
      </c>
      <c r="F48" s="4">
        <f>IF(OR(D48="",E48=""),"",D48+E48)</f>
        <v/>
      </c>
      <c r="G48" s="7">
        <f>IF(OR(D48="",D36=""),"",D48/D36-1)</f>
        <v/>
      </c>
      <c r="H48" s="7">
        <f>IF(OR(E48="",E36=""),"",E48/E36-1)</f>
        <v/>
      </c>
      <c r="I48" s="7">
        <f>IF(OR(F48="",F36=""),"",F48/F36-1)</f>
        <v/>
      </c>
      <c r="J48" s="7">
        <f>IF(OR(D48="",D47=""),"",D48/D47-1)</f>
        <v/>
      </c>
      <c r="K48" s="7">
        <f>IF(OR(E48="",E47=""),"",E48/E47-1)</f>
        <v/>
      </c>
      <c r="L48" s="7">
        <f>IF(OR(F48="",F47=""),"",F48/F47-1)</f>
        <v/>
      </c>
      <c r="M48" s="7">
        <f>IF(F48="","",D48/F48)</f>
        <v/>
      </c>
      <c r="N48" s="7">
        <f>IF(F48="","",E48/F48)</f>
        <v/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/>
      </c>
      <c r="E49" s="4">
        <f>IF(SUMIFS('Monthly BSE Equity Cash'!$G:$G,'Monthly BSE Equity Cash'!$A:$A,$A49)=0,"",SUMIFS('Monthly BSE Equity Cash'!$G:$G,'Monthly BSE Equity Cash'!$A:$A,$A49))</f>
        <v/>
      </c>
      <c r="F49" s="4">
        <f>IF(OR(D49="",E49=""),"",D49+E49)</f>
        <v/>
      </c>
      <c r="G49" s="7">
        <f>IF(OR(D49="",D37=""),"",D49/D37-1)</f>
        <v/>
      </c>
      <c r="H49" s="7">
        <f>IF(OR(E49="",E37=""),"",E49/E37-1)</f>
        <v/>
      </c>
      <c r="I49" s="7">
        <f>IF(OR(F49="",F37=""),"",F49/F37-1)</f>
        <v/>
      </c>
      <c r="J49" s="7">
        <f>IF(OR(D49="",D48=""),"",D49/D48-1)</f>
        <v/>
      </c>
      <c r="K49" s="7">
        <f>IF(OR(E49="",E48=""),"",E49/E48-1)</f>
        <v/>
      </c>
      <c r="L49" s="7">
        <f>IF(OR(F49="",F48=""),"",F49/F48-1)</f>
        <v/>
      </c>
      <c r="M49" s="7">
        <f>IF(F49="","",D49/F49)</f>
        <v/>
      </c>
      <c r="N49" s="7">
        <f>IF(F49="","",E49/F49)</f>
        <v/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/>
      </c>
      <c r="E50" s="4">
        <f>IF(SUMIFS('Monthly BSE Equity Cash'!$G:$G,'Monthly BSE Equity Cash'!$A:$A,$A50)=0,"",SUMIFS('Monthly BSE Equity Cash'!$G:$G,'Monthly BSE Equity Cash'!$A:$A,$A50))</f>
        <v/>
      </c>
      <c r="F50" s="4">
        <f>IF(OR(D50="",E50=""),"",D50+E50)</f>
        <v/>
      </c>
      <c r="G50" s="7">
        <f>IF(OR(D50="",D38=""),"",D50/D38-1)</f>
        <v/>
      </c>
      <c r="H50" s="7">
        <f>IF(OR(E50="",E38=""),"",E50/E38-1)</f>
        <v/>
      </c>
      <c r="I50" s="7">
        <f>IF(OR(F50="",F38=""),"",F50/F38-1)</f>
        <v/>
      </c>
      <c r="J50" s="7">
        <f>IF(OR(D50="",D49=""),"",D50/D49-1)</f>
        <v/>
      </c>
      <c r="K50" s="7">
        <f>IF(OR(E50="",E49=""),"",E50/E49-1)</f>
        <v/>
      </c>
      <c r="L50" s="7">
        <f>IF(OR(F50="",F49=""),"",F50/F49-1)</f>
        <v/>
      </c>
      <c r="M50" s="7">
        <f>IF(F50="","",D50/F50)</f>
        <v/>
      </c>
      <c r="N50" s="7">
        <f>IF(F50="","",E50/F50)</f>
        <v/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/>
      </c>
      <c r="E51" s="4">
        <f>IF(SUMIFS('Monthly BSE Equity Cash'!$G:$G,'Monthly BSE Equity Cash'!$A:$A,$A51)=0,"",SUMIFS('Monthly BSE Equity Cash'!$G:$G,'Monthly BSE Equity Cash'!$A:$A,$A51))</f>
        <v/>
      </c>
      <c r="F51" s="4">
        <f>IF(OR(D51="",E51=""),"",D51+E51)</f>
        <v/>
      </c>
      <c r="G51" s="7">
        <f>IF(OR(D51="",D39=""),"",D51/D39-1)</f>
        <v/>
      </c>
      <c r="H51" s="7">
        <f>IF(OR(E51="",E39=""),"",E51/E39-1)</f>
        <v/>
      </c>
      <c r="I51" s="7">
        <f>IF(OR(F51="",F39=""),"",F51/F39-1)</f>
        <v/>
      </c>
      <c r="J51" s="7">
        <f>IF(OR(D51="",D50=""),"",D51/D50-1)</f>
        <v/>
      </c>
      <c r="K51" s="7">
        <f>IF(OR(E51="",E50=""),"",E51/E50-1)</f>
        <v/>
      </c>
      <c r="L51" s="7">
        <f>IF(OR(F51="",F50=""),"",F51/F50-1)</f>
        <v/>
      </c>
      <c r="M51" s="7">
        <f>IF(F51="","",D51/F51)</f>
        <v/>
      </c>
      <c r="N51" s="7">
        <f>IF(F51="","",E51/F51)</f>
        <v/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/>
      </c>
      <c r="E52" s="4">
        <f>IF(SUMIFS('Monthly BSE Equity Cash'!$G:$G,'Monthly BSE Equity Cash'!$A:$A,$A52)=0,"",SUMIFS('Monthly BSE Equity Cash'!$G:$G,'Monthly BSE Equity Cash'!$A:$A,$A52))</f>
        <v/>
      </c>
      <c r="F52" s="4">
        <f>IF(OR(D52="",E52=""),"",D52+E52)</f>
        <v/>
      </c>
      <c r="G52" s="7">
        <f>IF(OR(D52="",D40=""),"",D52/D40-1)</f>
        <v/>
      </c>
      <c r="H52" s="7">
        <f>IF(OR(E52="",E40=""),"",E52/E40-1)</f>
        <v/>
      </c>
      <c r="I52" s="7">
        <f>IF(OR(F52="",F40=""),"",F52/F40-1)</f>
        <v/>
      </c>
      <c r="J52" s="7">
        <f>IF(OR(D52="",D51=""),"",D52/D51-1)</f>
        <v/>
      </c>
      <c r="K52" s="7">
        <f>IF(OR(E52="",E51=""),"",E52/E51-1)</f>
        <v/>
      </c>
      <c r="L52" s="7">
        <f>IF(OR(F52="",F51=""),"",F52/F51-1)</f>
        <v/>
      </c>
      <c r="M52" s="7">
        <f>IF(F52="","",D52/F52)</f>
        <v/>
      </c>
      <c r="N52" s="7">
        <f>IF(F52="","",E52/F52)</f>
        <v/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/>
      </c>
      <c r="E53" s="4">
        <f>IF(SUMIFS('Monthly BSE Equity Cash'!$G:$G,'Monthly BSE Equity Cash'!$A:$A,$A53)=0,"",SUMIFS('Monthly BSE Equity Cash'!$G:$G,'Monthly BSE Equity Cash'!$A:$A,$A53))</f>
        <v/>
      </c>
      <c r="F53" s="4">
        <f>IF(OR(D53="",E53=""),"",D53+E53)</f>
        <v/>
      </c>
      <c r="G53" s="7">
        <f>IF(OR(D53="",D41=""),"",D53/D41-1)</f>
        <v/>
      </c>
      <c r="H53" s="7">
        <f>IF(OR(E53="",E41=""),"",E53/E41-1)</f>
        <v/>
      </c>
      <c r="I53" s="7">
        <f>IF(OR(F53="",F41=""),"",F53/F41-1)</f>
        <v/>
      </c>
      <c r="J53" s="7">
        <f>IF(OR(D53="",D52=""),"",D53/D52-1)</f>
        <v/>
      </c>
      <c r="K53" s="7">
        <f>IF(OR(E53="",E52=""),"",E53/E52-1)</f>
        <v/>
      </c>
      <c r="L53" s="7">
        <f>IF(OR(F53="",F52=""),"",F53/F52-1)</f>
        <v/>
      </c>
      <c r="M53" s="7">
        <f>IF(F53="","",D53/F53)</f>
        <v/>
      </c>
      <c r="N53" s="7">
        <f>IF(F53="","",E53/F53)</f>
        <v/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/>
      </c>
      <c r="E54" s="4">
        <f>IF(SUMIFS('Monthly BSE Equity Cash'!$G:$G,'Monthly BSE Equity Cash'!$A:$A,$A54)=0,"",SUMIFS('Monthly BSE Equity Cash'!$G:$G,'Monthly BSE Equity Cash'!$A:$A,$A54))</f>
        <v/>
      </c>
      <c r="F54" s="4">
        <f>IF(OR(D54="",E54=""),"",D54+E54)</f>
        <v/>
      </c>
      <c r="G54" s="7">
        <f>IF(OR(D54="",D42=""),"",D54/D42-1)</f>
        <v/>
      </c>
      <c r="H54" s="7">
        <f>IF(OR(E54="",E42=""),"",E54/E42-1)</f>
        <v/>
      </c>
      <c r="I54" s="7">
        <f>IF(OR(F54="",F42=""),"",F54/F42-1)</f>
        <v/>
      </c>
      <c r="J54" s="7">
        <f>IF(OR(D54="",D53=""),"",D54/D53-1)</f>
        <v/>
      </c>
      <c r="K54" s="7">
        <f>IF(OR(E54="",E53=""),"",E54/E53-1)</f>
        <v/>
      </c>
      <c r="L54" s="7">
        <f>IF(OR(F54="",F53=""),"",F54/F53-1)</f>
        <v/>
      </c>
      <c r="M54" s="7">
        <f>IF(F54="","",D54/F54)</f>
        <v/>
      </c>
      <c r="N54" s="7">
        <f>IF(F54="","",E54/F54)</f>
        <v/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/>
      </c>
      <c r="E55" s="4">
        <f>IF(SUMIFS('Monthly BSE Equity Cash'!$G:$G,'Monthly BSE Equity Cash'!$A:$A,$A55)=0,"",SUMIFS('Monthly BSE Equity Cash'!$G:$G,'Monthly BSE Equity Cash'!$A:$A,$A55))</f>
        <v/>
      </c>
      <c r="F55" s="4">
        <f>IF(OR(D55="",E55=""),"",D55+E55)</f>
        <v/>
      </c>
      <c r="G55" s="7">
        <f>IF(OR(D55="",D43=""),"",D55/D43-1)</f>
        <v/>
      </c>
      <c r="H55" s="7">
        <f>IF(OR(E55="",E43=""),"",E55/E43-1)</f>
        <v/>
      </c>
      <c r="I55" s="7">
        <f>IF(OR(F55="",F43=""),"",F55/F43-1)</f>
        <v/>
      </c>
      <c r="J55" s="7">
        <f>IF(OR(D55="",D54=""),"",D55/D54-1)</f>
        <v/>
      </c>
      <c r="K55" s="7">
        <f>IF(OR(E55="",E54=""),"",E55/E54-1)</f>
        <v/>
      </c>
      <c r="L55" s="7">
        <f>IF(OR(F55="",F54=""),"",F55/F54-1)</f>
        <v/>
      </c>
      <c r="M55" s="7">
        <f>IF(F55="","",D55/F55)</f>
        <v/>
      </c>
      <c r="N55" s="7">
        <f>IF(F55="","",E55/F55)</f>
        <v/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/>
      </c>
      <c r="E56" s="4">
        <f>IF(SUMIFS('Monthly BSE Equity Cash'!$G:$G,'Monthly BSE Equity Cash'!$A:$A,$A56)=0,"",SUMIFS('Monthly BSE Equity Cash'!$G:$G,'Monthly BSE Equity Cash'!$A:$A,$A56))</f>
        <v/>
      </c>
      <c r="F56" s="4">
        <f>IF(OR(D56="",E56=""),"",D56+E56)</f>
        <v/>
      </c>
      <c r="G56" s="7">
        <f>IF(OR(D56="",D44=""),"",D56/D44-1)</f>
        <v/>
      </c>
      <c r="H56" s="7">
        <f>IF(OR(E56="",E44=""),"",E56/E44-1)</f>
        <v/>
      </c>
      <c r="I56" s="7">
        <f>IF(OR(F56="",F44=""),"",F56/F44-1)</f>
        <v/>
      </c>
      <c r="J56" s="7">
        <f>IF(OR(D56="",D55=""),"",D56/D55-1)</f>
        <v/>
      </c>
      <c r="K56" s="7">
        <f>IF(OR(E56="",E55=""),"",E56/E55-1)</f>
        <v/>
      </c>
      <c r="L56" s="7">
        <f>IF(OR(F56="",F55=""),"",F56/F55-1)</f>
        <v/>
      </c>
      <c r="M56" s="7">
        <f>IF(F56="","",D56/F56)</f>
        <v/>
      </c>
      <c r="N56" s="7">
        <f>IF(F56="","",E56/F56)</f>
        <v/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/>
      </c>
      <c r="E57" s="4">
        <f>IF(SUMIFS('Monthly BSE Equity Cash'!$G:$G,'Monthly BSE Equity Cash'!$A:$A,$A57)=0,"",SUMIFS('Monthly BSE Equity Cash'!$G:$G,'Monthly BSE Equity Cash'!$A:$A,$A57))</f>
        <v/>
      </c>
      <c r="F57" s="4">
        <f>IF(OR(D57="",E57=""),"",D57+E57)</f>
        <v/>
      </c>
      <c r="G57" s="7">
        <f>IF(OR(D57="",D45=""),"",D57/D45-1)</f>
        <v/>
      </c>
      <c r="H57" s="7">
        <f>IF(OR(E57="",E45=""),"",E57/E45-1)</f>
        <v/>
      </c>
      <c r="I57" s="7">
        <f>IF(OR(F57="",F45=""),"",F57/F45-1)</f>
        <v/>
      </c>
      <c r="J57" s="7">
        <f>IF(OR(D57="",D56=""),"",D57/D56-1)</f>
        <v/>
      </c>
      <c r="K57" s="7">
        <f>IF(OR(E57="",E56=""),"",E57/E56-1)</f>
        <v/>
      </c>
      <c r="L57" s="7">
        <f>IF(OR(F57="",F56=""),"",F57/F56-1)</f>
        <v/>
      </c>
      <c r="M57" s="7">
        <f>IF(F57="","",D57/F57)</f>
        <v/>
      </c>
      <c r="N57" s="7">
        <f>IF(F57="","",E57/F57)</f>
        <v/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/>
      </c>
      <c r="E58" s="4">
        <f>IF(SUMIFS('Monthly BSE Equity Cash'!$G:$G,'Monthly BSE Equity Cash'!$A:$A,$A58)=0,"",SUMIFS('Monthly BSE Equity Cash'!$G:$G,'Monthly BSE Equity Cash'!$A:$A,$A58))</f>
        <v/>
      </c>
      <c r="F58" s="4">
        <f>IF(OR(D58="",E58=""),"",D58+E58)</f>
        <v/>
      </c>
      <c r="G58" s="7">
        <f>IF(OR(D58="",D46=""),"",D58/D46-1)</f>
        <v/>
      </c>
      <c r="H58" s="7">
        <f>IF(OR(E58="",E46=""),"",E58/E46-1)</f>
        <v/>
      </c>
      <c r="I58" s="7">
        <f>IF(OR(F58="",F46=""),"",F58/F46-1)</f>
        <v/>
      </c>
      <c r="J58" s="7">
        <f>IF(OR(D58="",D57=""),"",D58/D57-1)</f>
        <v/>
      </c>
      <c r="K58" s="7">
        <f>IF(OR(E58="",E57=""),"",E58/E57-1)</f>
        <v/>
      </c>
      <c r="L58" s="7">
        <f>IF(OR(F58="",F57=""),"",F58/F57-1)</f>
        <v/>
      </c>
      <c r="M58" s="7">
        <f>IF(F58="","",D58/F58)</f>
        <v/>
      </c>
      <c r="N58" s="7">
        <f>IF(F58="","",E58/F58)</f>
        <v/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/>
      </c>
      <c r="E59" s="4">
        <f>IF(SUMIFS('Monthly BSE Equity Cash'!$G:$G,'Monthly BSE Equity Cash'!$A:$A,$A59)=0,"",SUMIFS('Monthly BSE Equity Cash'!$G:$G,'Monthly BSE Equity Cash'!$A:$A,$A59))</f>
        <v/>
      </c>
      <c r="F59" s="4">
        <f>IF(OR(D59="",E59=""),"",D59+E59)</f>
        <v/>
      </c>
      <c r="G59" s="7">
        <f>IF(OR(D59="",D47=""),"",D59/D47-1)</f>
        <v/>
      </c>
      <c r="H59" s="7">
        <f>IF(OR(E59="",E47=""),"",E59/E47-1)</f>
        <v/>
      </c>
      <c r="I59" s="7">
        <f>IF(OR(F59="",F47=""),"",F59/F47-1)</f>
        <v/>
      </c>
      <c r="J59" s="7">
        <f>IF(OR(D59="",D58=""),"",D59/D58-1)</f>
        <v/>
      </c>
      <c r="K59" s="7">
        <f>IF(OR(E59="",E58=""),"",E59/E58-1)</f>
        <v/>
      </c>
      <c r="L59" s="7">
        <f>IF(OR(F59="",F58=""),"",F59/F58-1)</f>
        <v/>
      </c>
      <c r="M59" s="7">
        <f>IF(F59="","",D59/F59)</f>
        <v/>
      </c>
      <c r="N59" s="7">
        <f>IF(F59="","",E59/F59)</f>
        <v/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/>
      </c>
      <c r="E60" s="4">
        <f>IF(SUMIFS('Monthly BSE Equity Cash'!$G:$G,'Monthly BSE Equity Cash'!$A:$A,$A60)=0,"",SUMIFS('Monthly BSE Equity Cash'!$G:$G,'Monthly BSE Equity Cash'!$A:$A,$A60))</f>
        <v/>
      </c>
      <c r="F60" s="4">
        <f>IF(OR(D60="",E60=""),"",D60+E60)</f>
        <v/>
      </c>
      <c r="G60" s="7">
        <f>IF(OR(D60="",D48=""),"",D60/D48-1)</f>
        <v/>
      </c>
      <c r="H60" s="7">
        <f>IF(OR(E60="",E48=""),"",E60/E48-1)</f>
        <v/>
      </c>
      <c r="I60" s="7">
        <f>IF(OR(F60="",F48=""),"",F60/F48-1)</f>
        <v/>
      </c>
      <c r="J60" s="7">
        <f>IF(OR(D60="",D59=""),"",D60/D59-1)</f>
        <v/>
      </c>
      <c r="K60" s="7">
        <f>IF(OR(E60="",E59=""),"",E60/E59-1)</f>
        <v/>
      </c>
      <c r="L60" s="7">
        <f>IF(OR(F60="",F59=""),"",F60/F59-1)</f>
        <v/>
      </c>
      <c r="M60" s="7">
        <f>IF(F60="","",D60/F60)</f>
        <v/>
      </c>
      <c r="N60" s="7">
        <f>IF(F60="","",E60/F60)</f>
        <v/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/>
      </c>
      <c r="E61" s="4">
        <f>IF(SUMIFS('Monthly BSE Equity Cash'!$G:$G,'Monthly BSE Equity Cash'!$A:$A,$A61)=0,"",SUMIFS('Monthly BSE Equity Cash'!$G:$G,'Monthly BSE Equity Cash'!$A:$A,$A61))</f>
        <v/>
      </c>
      <c r="F61" s="4">
        <f>IF(OR(D61="",E61=""),"",D61+E61)</f>
        <v/>
      </c>
      <c r="G61" s="7">
        <f>IF(OR(D61="",D49=""),"",D61/D49-1)</f>
        <v/>
      </c>
      <c r="H61" s="7">
        <f>IF(OR(E61="",E49=""),"",E61/E49-1)</f>
        <v/>
      </c>
      <c r="I61" s="7">
        <f>IF(OR(F61="",F49=""),"",F61/F49-1)</f>
        <v/>
      </c>
      <c r="J61" s="7">
        <f>IF(OR(D61="",D60=""),"",D61/D60-1)</f>
        <v/>
      </c>
      <c r="K61" s="7">
        <f>IF(OR(E61="",E60=""),"",E61/E60-1)</f>
        <v/>
      </c>
      <c r="L61" s="7">
        <f>IF(OR(F61="",F60=""),"",F61/F60-1)</f>
        <v/>
      </c>
      <c r="M61" s="7">
        <f>IF(F61="","",D61/F61)</f>
        <v/>
      </c>
      <c r="N61" s="7">
        <f>IF(F61="","",E61/F61)</f>
        <v/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/>
      </c>
      <c r="E62" s="4">
        <f>IF(SUMIFS('Monthly BSE Equity Cash'!$G:$G,'Monthly BSE Equity Cash'!$A:$A,$A62)=0,"",SUMIFS('Monthly BSE Equity Cash'!$G:$G,'Monthly BSE Equity Cash'!$A:$A,$A62))</f>
        <v/>
      </c>
      <c r="F62" s="4">
        <f>IF(OR(D62="",E62=""),"",D62+E62)</f>
        <v/>
      </c>
      <c r="G62" s="7">
        <f>IF(OR(D62="",D50=""),"",D62/D50-1)</f>
        <v/>
      </c>
      <c r="H62" s="7">
        <f>IF(OR(E62="",E50=""),"",E62/E50-1)</f>
        <v/>
      </c>
      <c r="I62" s="7">
        <f>IF(OR(F62="",F50=""),"",F62/F50-1)</f>
        <v/>
      </c>
      <c r="J62" s="7">
        <f>IF(OR(D62="",D61=""),"",D62/D61-1)</f>
        <v/>
      </c>
      <c r="K62" s="7">
        <f>IF(OR(E62="",E61=""),"",E62/E61-1)</f>
        <v/>
      </c>
      <c r="L62" s="7">
        <f>IF(OR(F62="",F61=""),"",F62/F61-1)</f>
        <v/>
      </c>
      <c r="M62" s="7">
        <f>IF(F62="","",D62/F62)</f>
        <v/>
      </c>
      <c r="N62" s="7">
        <f>IF(F62="","",E62/F62)</f>
        <v/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/>
      </c>
      <c r="E63" s="4">
        <f>IF(SUMIFS('Monthly BSE Equity Cash'!$G:$G,'Monthly BSE Equity Cash'!$A:$A,$A63)=0,"",SUMIFS('Monthly BSE Equity Cash'!$G:$G,'Monthly BSE Equity Cash'!$A:$A,$A63))</f>
        <v/>
      </c>
      <c r="F63" s="4">
        <f>IF(OR(D63="",E63=""),"",D63+E63)</f>
        <v/>
      </c>
      <c r="G63" s="7">
        <f>IF(OR(D63="",D51=""),"",D63/D51-1)</f>
        <v/>
      </c>
      <c r="H63" s="7">
        <f>IF(OR(E63="",E51=""),"",E63/E51-1)</f>
        <v/>
      </c>
      <c r="I63" s="7">
        <f>IF(OR(F63="",F51=""),"",F63/F51-1)</f>
        <v/>
      </c>
      <c r="J63" s="7">
        <f>IF(OR(D63="",D62=""),"",D63/D62-1)</f>
        <v/>
      </c>
      <c r="K63" s="7">
        <f>IF(OR(E63="",E62=""),"",E63/E62-1)</f>
        <v/>
      </c>
      <c r="L63" s="7">
        <f>IF(OR(F63="",F62=""),"",F63/F62-1)</f>
        <v/>
      </c>
      <c r="M63" s="7">
        <f>IF(F63="","",D63/F63)</f>
        <v/>
      </c>
      <c r="N63" s="7">
        <f>IF(F63="","",E63/F63)</f>
        <v/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/>
      </c>
      <c r="E64" s="4">
        <f>IF(SUMIFS('Monthly BSE Equity Cash'!$G:$G,'Monthly BSE Equity Cash'!$A:$A,$A64)=0,"",SUMIFS('Monthly BSE Equity Cash'!$G:$G,'Monthly BSE Equity Cash'!$A:$A,$A64))</f>
        <v/>
      </c>
      <c r="F64" s="4">
        <f>IF(OR(D64="",E64=""),"",D64+E64)</f>
        <v/>
      </c>
      <c r="G64" s="7">
        <f>IF(OR(D64="",D52=""),"",D64/D52-1)</f>
        <v/>
      </c>
      <c r="H64" s="7">
        <f>IF(OR(E64="",E52=""),"",E64/E52-1)</f>
        <v/>
      </c>
      <c r="I64" s="7">
        <f>IF(OR(F64="",F52=""),"",F64/F52-1)</f>
        <v/>
      </c>
      <c r="J64" s="7">
        <f>IF(OR(D64="",D63=""),"",D64/D63-1)</f>
        <v/>
      </c>
      <c r="K64" s="7">
        <f>IF(OR(E64="",E63=""),"",E64/E63-1)</f>
        <v/>
      </c>
      <c r="L64" s="7">
        <f>IF(OR(F64="",F63=""),"",F64/F63-1)</f>
        <v/>
      </c>
      <c r="M64" s="7">
        <f>IF(F64="","",D64/F64)</f>
        <v/>
      </c>
      <c r="N64" s="7">
        <f>IF(F64="","",E64/F64)</f>
        <v/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/>
      </c>
      <c r="E65" s="4">
        <f>IF(SUMIFS('Monthly BSE Equity Cash'!$G:$G,'Monthly BSE Equity Cash'!$A:$A,$A65)=0,"",SUMIFS('Monthly BSE Equity Cash'!$G:$G,'Monthly BSE Equity Cash'!$A:$A,$A65))</f>
        <v/>
      </c>
      <c r="F65" s="4">
        <f>IF(OR(D65="",E65=""),"",D65+E65)</f>
        <v/>
      </c>
      <c r="G65" s="7">
        <f>IF(OR(D65="",D53=""),"",D65/D53-1)</f>
        <v/>
      </c>
      <c r="H65" s="7">
        <f>IF(OR(E65="",E53=""),"",E65/E53-1)</f>
        <v/>
      </c>
      <c r="I65" s="7">
        <f>IF(OR(F65="",F53=""),"",F65/F53-1)</f>
        <v/>
      </c>
      <c r="J65" s="7">
        <f>IF(OR(D65="",D64=""),"",D65/D64-1)</f>
        <v/>
      </c>
      <c r="K65" s="7">
        <f>IF(OR(E65="",E64=""),"",E65/E64-1)</f>
        <v/>
      </c>
      <c r="L65" s="7">
        <f>IF(OR(F65="",F64=""),"",F65/F64-1)</f>
        <v/>
      </c>
      <c r="M65" s="7">
        <f>IF(F65="","",D65/F65)</f>
        <v/>
      </c>
      <c r="N65" s="7">
        <f>IF(F65="","",E65/F65)</f>
        <v/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/>
      </c>
      <c r="E66" s="4">
        <f>IF(SUMIFS('Monthly BSE Equity Cash'!$G:$G,'Monthly BSE Equity Cash'!$A:$A,$A66)=0,"",SUMIFS('Monthly BSE Equity Cash'!$G:$G,'Monthly BSE Equity Cash'!$A:$A,$A66))</f>
        <v/>
      </c>
      <c r="F66" s="4">
        <f>IF(OR(D66="",E66=""),"",D66+E66)</f>
        <v/>
      </c>
      <c r="G66" s="7">
        <f>IF(OR(D66="",D54=""),"",D66/D54-1)</f>
        <v/>
      </c>
      <c r="H66" s="7">
        <f>IF(OR(E66="",E54=""),"",E66/E54-1)</f>
        <v/>
      </c>
      <c r="I66" s="7">
        <f>IF(OR(F66="",F54=""),"",F66/F54-1)</f>
        <v/>
      </c>
      <c r="J66" s="7">
        <f>IF(OR(D66="",D65=""),"",D66/D65-1)</f>
        <v/>
      </c>
      <c r="K66" s="7">
        <f>IF(OR(E66="",E65=""),"",E66/E65-1)</f>
        <v/>
      </c>
      <c r="L66" s="7">
        <f>IF(OR(F66="",F65=""),"",F66/F65-1)</f>
        <v/>
      </c>
      <c r="M66" s="7">
        <f>IF(F66="","",D66/F66)</f>
        <v/>
      </c>
      <c r="N66" s="7">
        <f>IF(F66="","",E66/F66)</f>
        <v/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/>
      </c>
      <c r="E67" s="4">
        <f>IF(SUMIFS('Monthly BSE Equity Cash'!$G:$G,'Monthly BSE Equity Cash'!$A:$A,$A67)=0,"",SUMIFS('Monthly BSE Equity Cash'!$G:$G,'Monthly BSE Equity Cash'!$A:$A,$A67))</f>
        <v/>
      </c>
      <c r="F67" s="4">
        <f>IF(OR(D67="",E67=""),"",D67+E67)</f>
        <v/>
      </c>
      <c r="G67" s="7">
        <f>IF(OR(D67="",D55=""),"",D67/D55-1)</f>
        <v/>
      </c>
      <c r="H67" s="7">
        <f>IF(OR(E67="",E55=""),"",E67/E55-1)</f>
        <v/>
      </c>
      <c r="I67" s="7">
        <f>IF(OR(F67="",F55=""),"",F67/F55-1)</f>
        <v/>
      </c>
      <c r="J67" s="7">
        <f>IF(OR(D67="",D66=""),"",D67/D66-1)</f>
        <v/>
      </c>
      <c r="K67" s="7">
        <f>IF(OR(E67="",E66=""),"",E67/E66-1)</f>
        <v/>
      </c>
      <c r="L67" s="7">
        <f>IF(OR(F67="",F66=""),"",F67/F66-1)</f>
        <v/>
      </c>
      <c r="M67" s="7">
        <f>IF(F67="","",D67/F67)</f>
        <v/>
      </c>
      <c r="N67" s="7">
        <f>IF(F67="","",E67/F67)</f>
        <v/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/>
      </c>
      <c r="E68" s="4">
        <f>IF(SUMIFS('Monthly BSE Equity Cash'!$G:$G,'Monthly BSE Equity Cash'!$A:$A,$A68)=0,"",SUMIFS('Monthly BSE Equity Cash'!$G:$G,'Monthly BSE Equity Cash'!$A:$A,$A68))</f>
        <v/>
      </c>
      <c r="F68" s="4">
        <f>IF(OR(D68="",E68=""),"",D68+E68)</f>
        <v/>
      </c>
      <c r="G68" s="7">
        <f>IF(OR(D68="",D56=""),"",D68/D56-1)</f>
        <v/>
      </c>
      <c r="H68" s="7">
        <f>IF(OR(E68="",E56=""),"",E68/E56-1)</f>
        <v/>
      </c>
      <c r="I68" s="7">
        <f>IF(OR(F68="",F56=""),"",F68/F56-1)</f>
        <v/>
      </c>
      <c r="J68" s="7">
        <f>IF(OR(D68="",D67=""),"",D68/D67-1)</f>
        <v/>
      </c>
      <c r="K68" s="7">
        <f>IF(OR(E68="",E67=""),"",E68/E67-1)</f>
        <v/>
      </c>
      <c r="L68" s="7">
        <f>IF(OR(F68="",F67=""),"",F68/F67-1)</f>
        <v/>
      </c>
      <c r="M68" s="7">
        <f>IF(F68="","",D68/F68)</f>
        <v/>
      </c>
      <c r="N68" s="7">
        <f>IF(F68="","",E68/F68)</f>
        <v/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/>
      </c>
      <c r="E69" s="4">
        <f>IF(SUMIFS('Monthly BSE Equity Cash'!$G:$G,'Monthly BSE Equity Cash'!$A:$A,$A69)=0,"",SUMIFS('Monthly BSE Equity Cash'!$G:$G,'Monthly BSE Equity Cash'!$A:$A,$A69))</f>
        <v/>
      </c>
      <c r="F69" s="4">
        <f>IF(OR(D69="",E69=""),"",D69+E69)</f>
        <v/>
      </c>
      <c r="G69" s="7">
        <f>IF(OR(D69="",D57=""),"",D69/D57-1)</f>
        <v/>
      </c>
      <c r="H69" s="7">
        <f>IF(OR(E69="",E57=""),"",E69/E57-1)</f>
        <v/>
      </c>
      <c r="I69" s="7">
        <f>IF(OR(F69="",F57=""),"",F69/F57-1)</f>
        <v/>
      </c>
      <c r="J69" s="7">
        <f>IF(OR(D69="",D68=""),"",D69/D68-1)</f>
        <v/>
      </c>
      <c r="K69" s="7">
        <f>IF(OR(E69="",E68=""),"",E69/E68-1)</f>
        <v/>
      </c>
      <c r="L69" s="7">
        <f>IF(OR(F69="",F68=""),"",F69/F68-1)</f>
        <v/>
      </c>
      <c r="M69" s="7">
        <f>IF(F69="","",D69/F69)</f>
        <v/>
      </c>
      <c r="N69" s="7">
        <f>IF(F69="","",E69/F69)</f>
        <v/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/>
      </c>
      <c r="E70" s="4">
        <f>IF(SUMIFS('Monthly BSE Equity Cash'!$G:$G,'Monthly BSE Equity Cash'!$A:$A,$A70)=0,"",SUMIFS('Monthly BSE Equity Cash'!$G:$G,'Monthly BSE Equity Cash'!$A:$A,$A70))</f>
        <v/>
      </c>
      <c r="F70" s="4">
        <f>IF(OR(D70="",E70=""),"",D70+E70)</f>
        <v/>
      </c>
      <c r="G70" s="7">
        <f>IF(OR(D70="",D58=""),"",D70/D58-1)</f>
        <v/>
      </c>
      <c r="H70" s="7">
        <f>IF(OR(E70="",E58=""),"",E70/E58-1)</f>
        <v/>
      </c>
      <c r="I70" s="7">
        <f>IF(OR(F70="",F58=""),"",F70/F58-1)</f>
        <v/>
      </c>
      <c r="J70" s="7">
        <f>IF(OR(D70="",D69=""),"",D70/D69-1)</f>
        <v/>
      </c>
      <c r="K70" s="7">
        <f>IF(OR(E70="",E69=""),"",E70/E69-1)</f>
        <v/>
      </c>
      <c r="L70" s="7">
        <f>IF(OR(F70="",F69=""),"",F70/F69-1)</f>
        <v/>
      </c>
      <c r="M70" s="7">
        <f>IF(F70="","",D70/F70)</f>
        <v/>
      </c>
      <c r="N70" s="7">
        <f>IF(F70="","",E70/F70)</f>
        <v/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/>
      </c>
      <c r="E71" s="4">
        <f>IF(SUMIFS('Monthly BSE Equity Cash'!$G:$G,'Monthly BSE Equity Cash'!$A:$A,$A71)=0,"",SUMIFS('Monthly BSE Equity Cash'!$G:$G,'Monthly BSE Equity Cash'!$A:$A,$A71))</f>
        <v/>
      </c>
      <c r="F71" s="4">
        <f>IF(OR(D71="",E71=""),"",D71+E71)</f>
        <v/>
      </c>
      <c r="G71" s="7">
        <f>IF(OR(D71="",D59=""),"",D71/D59-1)</f>
        <v/>
      </c>
      <c r="H71" s="7">
        <f>IF(OR(E71="",E59=""),"",E71/E59-1)</f>
        <v/>
      </c>
      <c r="I71" s="7">
        <f>IF(OR(F71="",F59=""),"",F71/F59-1)</f>
        <v/>
      </c>
      <c r="J71" s="7">
        <f>IF(OR(D71="",D70=""),"",D71/D70-1)</f>
        <v/>
      </c>
      <c r="K71" s="7">
        <f>IF(OR(E71="",E70=""),"",E71/E70-1)</f>
        <v/>
      </c>
      <c r="L71" s="7">
        <f>IF(OR(F71="",F70=""),"",F71/F70-1)</f>
        <v/>
      </c>
      <c r="M71" s="7">
        <f>IF(F71="","",D71/F71)</f>
        <v/>
      </c>
      <c r="N71" s="7">
        <f>IF(F71="","",E71/F71)</f>
        <v/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/>
      </c>
      <c r="E72" s="4">
        <f>IF(SUMIFS('Monthly BSE Equity Cash'!$G:$G,'Monthly BSE Equity Cash'!$A:$A,$A72)=0,"",SUMIFS('Monthly BSE Equity Cash'!$G:$G,'Monthly BSE Equity Cash'!$A:$A,$A72))</f>
        <v/>
      </c>
      <c r="F72" s="4">
        <f>IF(OR(D72="",E72=""),"",D72+E72)</f>
        <v/>
      </c>
      <c r="G72" s="7">
        <f>IF(OR(D72="",D60=""),"",D72/D60-1)</f>
        <v/>
      </c>
      <c r="H72" s="7">
        <f>IF(OR(E72="",E60=""),"",E72/E60-1)</f>
        <v/>
      </c>
      <c r="I72" s="7">
        <f>IF(OR(F72="",F60=""),"",F72/F60-1)</f>
        <v/>
      </c>
      <c r="J72" s="7">
        <f>IF(OR(D72="",D71=""),"",D72/D71-1)</f>
        <v/>
      </c>
      <c r="K72" s="7">
        <f>IF(OR(E72="",E71=""),"",E72/E71-1)</f>
        <v/>
      </c>
      <c r="L72" s="7">
        <f>IF(OR(F72="",F71=""),"",F72/F71-1)</f>
        <v/>
      </c>
      <c r="M72" s="7">
        <f>IF(F72="","",D72/F72)</f>
        <v/>
      </c>
      <c r="N72" s="7">
        <f>IF(F72="","",E72/F72)</f>
        <v/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/>
      </c>
      <c r="E73" s="4">
        <f>IF(SUMIFS('Monthly BSE Equity Cash'!$G:$G,'Monthly BSE Equity Cash'!$A:$A,$A73)=0,"",SUMIFS('Monthly BSE Equity Cash'!$G:$G,'Monthly BSE Equity Cash'!$A:$A,$A73))</f>
        <v/>
      </c>
      <c r="F73" s="4">
        <f>IF(OR(D73="",E73=""),"",D73+E73)</f>
        <v/>
      </c>
      <c r="G73" s="7">
        <f>IF(OR(D73="",D61=""),"",D73/D61-1)</f>
        <v/>
      </c>
      <c r="H73" s="7">
        <f>IF(OR(E73="",E61=""),"",E73/E61-1)</f>
        <v/>
      </c>
      <c r="I73" s="7">
        <f>IF(OR(F73="",F61=""),"",F73/F61-1)</f>
        <v/>
      </c>
      <c r="J73" s="7">
        <f>IF(OR(D73="",D72=""),"",D73/D72-1)</f>
        <v/>
      </c>
      <c r="K73" s="7">
        <f>IF(OR(E73="",E72=""),"",E73/E72-1)</f>
        <v/>
      </c>
      <c r="L73" s="7">
        <f>IF(OR(F73="",F72=""),"",F73/F72-1)</f>
        <v/>
      </c>
      <c r="M73" s="7">
        <f>IF(F73="","",D73/F73)</f>
        <v/>
      </c>
      <c r="N73" s="7">
        <f>IF(F73="","",E73/F73)</f>
        <v/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/>
      </c>
      <c r="E74" s="4">
        <f>IF(SUMIFS('Monthly BSE Equity Cash'!$G:$G,'Monthly BSE Equity Cash'!$A:$A,$A74)=0,"",SUMIFS('Monthly BSE Equity Cash'!$G:$G,'Monthly BSE Equity Cash'!$A:$A,$A74))</f>
        <v/>
      </c>
      <c r="F74" s="4">
        <f>IF(OR(D74="",E74=""),"",D74+E74)</f>
        <v/>
      </c>
      <c r="G74" s="7">
        <f>IF(OR(D74="",D62=""),"",D74/D62-1)</f>
        <v/>
      </c>
      <c r="H74" s="7">
        <f>IF(OR(E74="",E62=""),"",E74/E62-1)</f>
        <v/>
      </c>
      <c r="I74" s="7">
        <f>IF(OR(F74="",F62=""),"",F74/F62-1)</f>
        <v/>
      </c>
      <c r="J74" s="7">
        <f>IF(OR(D74="",D73=""),"",D74/D73-1)</f>
        <v/>
      </c>
      <c r="K74" s="7">
        <f>IF(OR(E74="",E73=""),"",E74/E73-1)</f>
        <v/>
      </c>
      <c r="L74" s="7">
        <f>IF(OR(F74="",F73=""),"",F74/F73-1)</f>
        <v/>
      </c>
      <c r="M74" s="7">
        <f>IF(F74="","",D74/F74)</f>
        <v/>
      </c>
      <c r="N74" s="7">
        <f>IF(F74="","",E74/F74)</f>
        <v/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/>
      </c>
      <c r="E75" s="4">
        <f>IF(SUMIFS('Monthly BSE Equity Cash'!$G:$G,'Monthly BSE Equity Cash'!$A:$A,$A75)=0,"",SUMIFS('Monthly BSE Equity Cash'!$G:$G,'Monthly BSE Equity Cash'!$A:$A,$A75))</f>
        <v/>
      </c>
      <c r="F75" s="4">
        <f>IF(OR(D75="",E75=""),"",D75+E75)</f>
        <v/>
      </c>
      <c r="G75" s="7">
        <f>IF(OR(D75="",D63=""),"",D75/D63-1)</f>
        <v/>
      </c>
      <c r="H75" s="7">
        <f>IF(OR(E75="",E63=""),"",E75/E63-1)</f>
        <v/>
      </c>
      <c r="I75" s="7">
        <f>IF(OR(F75="",F63=""),"",F75/F63-1)</f>
        <v/>
      </c>
      <c r="J75" s="7">
        <f>IF(OR(D75="",D74=""),"",D75/D74-1)</f>
        <v/>
      </c>
      <c r="K75" s="7">
        <f>IF(OR(E75="",E74=""),"",E75/E74-1)</f>
        <v/>
      </c>
      <c r="L75" s="7">
        <f>IF(OR(F75="",F74=""),"",F75/F74-1)</f>
        <v/>
      </c>
      <c r="M75" s="7">
        <f>IF(F75="","",D75/F75)</f>
        <v/>
      </c>
      <c r="N75" s="7">
        <f>IF(F75="","",E75/F75)</f>
        <v/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/>
      </c>
      <c r="E76" s="4">
        <f>IF(SUMIFS('Monthly BSE Equity Cash'!$G:$G,'Monthly BSE Equity Cash'!$A:$A,$A76)=0,"",SUMIFS('Monthly BSE Equity Cash'!$G:$G,'Monthly BSE Equity Cash'!$A:$A,$A76))</f>
        <v/>
      </c>
      <c r="F76" s="4">
        <f>IF(OR(D76="",E76=""),"",D76+E76)</f>
        <v/>
      </c>
      <c r="G76" s="7">
        <f>IF(OR(D76="",D64=""),"",D76/D64-1)</f>
        <v/>
      </c>
      <c r="H76" s="7">
        <f>IF(OR(E76="",E64=""),"",E76/E64-1)</f>
        <v/>
      </c>
      <c r="I76" s="7">
        <f>IF(OR(F76="",F64=""),"",F76/F64-1)</f>
        <v/>
      </c>
      <c r="J76" s="7">
        <f>IF(OR(D76="",D75=""),"",D76/D75-1)</f>
        <v/>
      </c>
      <c r="K76" s="7">
        <f>IF(OR(E76="",E75=""),"",E76/E75-1)</f>
        <v/>
      </c>
      <c r="L76" s="7">
        <f>IF(OR(F76="",F75=""),"",F76/F75-1)</f>
        <v/>
      </c>
      <c r="M76" s="7">
        <f>IF(F76="","",D76/F76)</f>
        <v/>
      </c>
      <c r="N76" s="7">
        <f>IF(F76="","",E76/F76)</f>
        <v/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/>
      </c>
      <c r="E77" s="4">
        <f>IF(SUMIFS('Monthly BSE Equity Cash'!$G:$G,'Monthly BSE Equity Cash'!$A:$A,$A77)=0,"",SUMIFS('Monthly BSE Equity Cash'!$G:$G,'Monthly BSE Equity Cash'!$A:$A,$A77))</f>
        <v/>
      </c>
      <c r="F77" s="4">
        <f>IF(OR(D77="",E77=""),"",D77+E77)</f>
        <v/>
      </c>
      <c r="G77" s="7">
        <f>IF(OR(D77="",D65=""),"",D77/D65-1)</f>
        <v/>
      </c>
      <c r="H77" s="7">
        <f>IF(OR(E77="",E65=""),"",E77/E65-1)</f>
        <v/>
      </c>
      <c r="I77" s="7">
        <f>IF(OR(F77="",F65=""),"",F77/F65-1)</f>
        <v/>
      </c>
      <c r="J77" s="7">
        <f>IF(OR(D77="",D76=""),"",D77/D76-1)</f>
        <v/>
      </c>
      <c r="K77" s="7">
        <f>IF(OR(E77="",E76=""),"",E77/E76-1)</f>
        <v/>
      </c>
      <c r="L77" s="7">
        <f>IF(OR(F77="",F76=""),"",F77/F76-1)</f>
        <v/>
      </c>
      <c r="M77" s="7">
        <f>IF(F77="","",D77/F77)</f>
        <v/>
      </c>
      <c r="N77" s="7">
        <f>IF(F77="","",E77/F77)</f>
        <v/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/>
      </c>
      <c r="E78" s="4">
        <f>IF(SUMIFS('Monthly BSE Equity Cash'!$G:$G,'Monthly BSE Equity Cash'!$A:$A,$A78)=0,"",SUMIFS('Monthly BSE Equity Cash'!$G:$G,'Monthly BSE Equity Cash'!$A:$A,$A78))</f>
        <v/>
      </c>
      <c r="F78" s="4">
        <f>IF(OR(D78="",E78=""),"",D78+E78)</f>
        <v/>
      </c>
      <c r="G78" s="7">
        <f>IF(OR(D78="",D66=""),"",D78/D66-1)</f>
        <v/>
      </c>
      <c r="H78" s="7">
        <f>IF(OR(E78="",E66=""),"",E78/E66-1)</f>
        <v/>
      </c>
      <c r="I78" s="7">
        <f>IF(OR(F78="",F66=""),"",F78/F66-1)</f>
        <v/>
      </c>
      <c r="J78" s="7">
        <f>IF(OR(D78="",D77=""),"",D78/D77-1)</f>
        <v/>
      </c>
      <c r="K78" s="7">
        <f>IF(OR(E78="",E77=""),"",E78/E77-1)</f>
        <v/>
      </c>
      <c r="L78" s="7">
        <f>IF(OR(F78="",F77=""),"",F78/F77-1)</f>
        <v/>
      </c>
      <c r="M78" s="7">
        <f>IF(F78="","",D78/F78)</f>
        <v/>
      </c>
      <c r="N78" s="7">
        <f>IF(F78="","",E78/F78)</f>
        <v/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/>
      </c>
      <c r="E79" s="4">
        <f>IF(SUMIFS('Monthly BSE Equity Cash'!$G:$G,'Monthly BSE Equity Cash'!$A:$A,$A79)=0,"",SUMIFS('Monthly BSE Equity Cash'!$G:$G,'Monthly BSE Equity Cash'!$A:$A,$A79))</f>
        <v/>
      </c>
      <c r="F79" s="4">
        <f>IF(OR(D79="",E79=""),"",D79+E79)</f>
        <v/>
      </c>
      <c r="G79" s="7">
        <f>IF(OR(D79="",D67=""),"",D79/D67-1)</f>
        <v/>
      </c>
      <c r="H79" s="7">
        <f>IF(OR(E79="",E67=""),"",E79/E67-1)</f>
        <v/>
      </c>
      <c r="I79" s="7">
        <f>IF(OR(F79="",F67=""),"",F79/F67-1)</f>
        <v/>
      </c>
      <c r="J79" s="7">
        <f>IF(OR(D79="",D78=""),"",D79/D78-1)</f>
        <v/>
      </c>
      <c r="K79" s="7">
        <f>IF(OR(E79="",E78=""),"",E79/E78-1)</f>
        <v/>
      </c>
      <c r="L79" s="7">
        <f>IF(OR(F79="",F78=""),"",F79/F78-1)</f>
        <v/>
      </c>
      <c r="M79" s="7">
        <f>IF(F79="","",D79/F79)</f>
        <v/>
      </c>
      <c r="N79" s="7">
        <f>IF(F79="","",E79/F79)</f>
        <v/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/>
      </c>
      <c r="E80" s="4">
        <f>IF(SUMIFS('Monthly BSE Equity Cash'!$G:$G,'Monthly BSE Equity Cash'!$A:$A,$A80)=0,"",SUMIFS('Monthly BSE Equity Cash'!$G:$G,'Monthly BSE Equity Cash'!$A:$A,$A80))</f>
        <v/>
      </c>
      <c r="F80" s="4">
        <f>IF(OR(D80="",E80=""),"",D80+E80)</f>
        <v/>
      </c>
      <c r="G80" s="7">
        <f>IF(OR(D80="",D68=""),"",D80/D68-1)</f>
        <v/>
      </c>
      <c r="H80" s="7">
        <f>IF(OR(E80="",E68=""),"",E80/E68-1)</f>
        <v/>
      </c>
      <c r="I80" s="7">
        <f>IF(OR(F80="",F68=""),"",F80/F68-1)</f>
        <v/>
      </c>
      <c r="J80" s="7">
        <f>IF(OR(D80="",D79=""),"",D80/D79-1)</f>
        <v/>
      </c>
      <c r="K80" s="7">
        <f>IF(OR(E80="",E79=""),"",E80/E79-1)</f>
        <v/>
      </c>
      <c r="L80" s="7">
        <f>IF(OR(F80="",F79=""),"",F80/F79-1)</f>
        <v/>
      </c>
      <c r="M80" s="7">
        <f>IF(F80="","",D80/F80)</f>
        <v/>
      </c>
      <c r="N80" s="7">
        <f>IF(F80="","",E80/F80)</f>
        <v/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/>
      </c>
      <c r="E81" s="4">
        <f>IF(SUMIFS('Monthly BSE Equity Cash'!$G:$G,'Monthly BSE Equity Cash'!$A:$A,$A81)=0,"",SUMIFS('Monthly BSE Equity Cash'!$G:$G,'Monthly BSE Equity Cash'!$A:$A,$A81))</f>
        <v/>
      </c>
      <c r="F81" s="4">
        <f>IF(OR(D81="",E81=""),"",D81+E81)</f>
        <v/>
      </c>
      <c r="G81" s="7">
        <f>IF(OR(D81="",D69=""),"",D81/D69-1)</f>
        <v/>
      </c>
      <c r="H81" s="7">
        <f>IF(OR(E81="",E69=""),"",E81/E69-1)</f>
        <v/>
      </c>
      <c r="I81" s="7">
        <f>IF(OR(F81="",F69=""),"",F81/F69-1)</f>
        <v/>
      </c>
      <c r="J81" s="7">
        <f>IF(OR(D81="",D80=""),"",D81/D80-1)</f>
        <v/>
      </c>
      <c r="K81" s="7">
        <f>IF(OR(E81="",E80=""),"",E81/E80-1)</f>
        <v/>
      </c>
      <c r="L81" s="7">
        <f>IF(OR(F81="",F80=""),"",F81/F80-1)</f>
        <v/>
      </c>
      <c r="M81" s="7">
        <f>IF(F81="","",D81/F81)</f>
        <v/>
      </c>
      <c r="N81" s="7">
        <f>IF(F81="","",E81/F81)</f>
        <v/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/>
      </c>
      <c r="E82" s="4">
        <f>IF(SUMIFS('Monthly BSE Equity Cash'!$G:$G,'Monthly BSE Equity Cash'!$A:$A,$A82)=0,"",SUMIFS('Monthly BSE Equity Cash'!$G:$G,'Monthly BSE Equity Cash'!$A:$A,$A82))</f>
        <v/>
      </c>
      <c r="F82" s="4">
        <f>IF(OR(D82="",E82=""),"",D82+E82)</f>
        <v/>
      </c>
      <c r="G82" s="7">
        <f>IF(OR(D82="",D70=""),"",D82/D70-1)</f>
        <v/>
      </c>
      <c r="H82" s="7">
        <f>IF(OR(E82="",E70=""),"",E82/E70-1)</f>
        <v/>
      </c>
      <c r="I82" s="7">
        <f>IF(OR(F82="",F70=""),"",F82/F70-1)</f>
        <v/>
      </c>
      <c r="J82" s="7">
        <f>IF(OR(D82="",D81=""),"",D82/D81-1)</f>
        <v/>
      </c>
      <c r="K82" s="7">
        <f>IF(OR(E82="",E81=""),"",E82/E81-1)</f>
        <v/>
      </c>
      <c r="L82" s="7">
        <f>IF(OR(F82="",F81=""),"",F82/F81-1)</f>
        <v/>
      </c>
      <c r="M82" s="7">
        <f>IF(F82="","",D82/F82)</f>
        <v/>
      </c>
      <c r="N82" s="7">
        <f>IF(F82="","",E82/F82)</f>
        <v/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/>
      </c>
      <c r="E83" s="4">
        <f>IF(SUMIFS('Monthly BSE Equity Cash'!$G:$G,'Monthly BSE Equity Cash'!$A:$A,$A83)=0,"",SUMIFS('Monthly BSE Equity Cash'!$G:$G,'Monthly BSE Equity Cash'!$A:$A,$A83))</f>
        <v/>
      </c>
      <c r="F83" s="4">
        <f>IF(OR(D83="",E83=""),"",D83+E83)</f>
        <v/>
      </c>
      <c r="G83" s="7">
        <f>IF(OR(D83="",D71=""),"",D83/D71-1)</f>
        <v/>
      </c>
      <c r="H83" s="7">
        <f>IF(OR(E83="",E71=""),"",E83/E71-1)</f>
        <v/>
      </c>
      <c r="I83" s="7">
        <f>IF(OR(F83="",F71=""),"",F83/F71-1)</f>
        <v/>
      </c>
      <c r="J83" s="7">
        <f>IF(OR(D83="",D82=""),"",D83/D82-1)</f>
        <v/>
      </c>
      <c r="K83" s="7">
        <f>IF(OR(E83="",E82=""),"",E83/E82-1)</f>
        <v/>
      </c>
      <c r="L83" s="7">
        <f>IF(OR(F83="",F82=""),"",F83/F82-1)</f>
        <v/>
      </c>
      <c r="M83" s="7">
        <f>IF(F83="","",D83/F83)</f>
        <v/>
      </c>
      <c r="N83" s="7">
        <f>IF(F83="","",E83/F83)</f>
        <v/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/>
      </c>
      <c r="E84" s="4">
        <f>IF(SUMIFS('Monthly BSE Equity Cash'!$G:$G,'Monthly BSE Equity Cash'!$A:$A,$A84)=0,"",SUMIFS('Monthly BSE Equity Cash'!$G:$G,'Monthly BSE Equity Cash'!$A:$A,$A84))</f>
        <v/>
      </c>
      <c r="F84" s="4">
        <f>IF(OR(D84="",E84=""),"",D84+E84)</f>
        <v/>
      </c>
      <c r="G84" s="7">
        <f>IF(OR(D84="",D72=""),"",D84/D72-1)</f>
        <v/>
      </c>
      <c r="H84" s="7">
        <f>IF(OR(E84="",E72=""),"",E84/E72-1)</f>
        <v/>
      </c>
      <c r="I84" s="7">
        <f>IF(OR(F84="",F72=""),"",F84/F72-1)</f>
        <v/>
      </c>
      <c r="J84" s="7">
        <f>IF(OR(D84="",D83=""),"",D84/D83-1)</f>
        <v/>
      </c>
      <c r="K84" s="7">
        <f>IF(OR(E84="",E83=""),"",E84/E83-1)</f>
        <v/>
      </c>
      <c r="L84" s="7">
        <f>IF(OR(F84="",F83=""),"",F84/F83-1)</f>
        <v/>
      </c>
      <c r="M84" s="7">
        <f>IF(F84="","",D84/F84)</f>
        <v/>
      </c>
      <c r="N84" s="7">
        <f>IF(F84="","",E84/F84)</f>
        <v/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/>
      </c>
      <c r="E85" s="4">
        <f>IF(SUMIFS('Monthly BSE Equity Cash'!$G:$G,'Monthly BSE Equity Cash'!$A:$A,$A85)=0,"",SUMIFS('Monthly BSE Equity Cash'!$G:$G,'Monthly BSE Equity Cash'!$A:$A,$A85))</f>
        <v/>
      </c>
      <c r="F85" s="4">
        <f>IF(OR(D85="",E85=""),"",D85+E85)</f>
        <v/>
      </c>
      <c r="G85" s="7">
        <f>IF(OR(D85="",D73=""),"",D85/D73-1)</f>
        <v/>
      </c>
      <c r="H85" s="7">
        <f>IF(OR(E85="",E73=""),"",E85/E73-1)</f>
        <v/>
      </c>
      <c r="I85" s="7">
        <f>IF(OR(F85="",F73=""),"",F85/F73-1)</f>
        <v/>
      </c>
      <c r="J85" s="7">
        <f>IF(OR(D85="",D84=""),"",D85/D84-1)</f>
        <v/>
      </c>
      <c r="K85" s="7">
        <f>IF(OR(E85="",E84=""),"",E85/E84-1)</f>
        <v/>
      </c>
      <c r="L85" s="7">
        <f>IF(OR(F85="",F84=""),"",F85/F84-1)</f>
        <v/>
      </c>
      <c r="M85" s="7">
        <f>IF(F85="","",D85/F85)</f>
        <v/>
      </c>
      <c r="N85" s="7">
        <f>IF(F85="","",E85/F85)</f>
        <v/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/>
      </c>
      <c r="E86" s="4">
        <f>IF(SUMIFS('Monthly BSE Equity Cash'!$G:$G,'Monthly BSE Equity Cash'!$A:$A,$A86)=0,"",SUMIFS('Monthly BSE Equity Cash'!$G:$G,'Monthly BSE Equity Cash'!$A:$A,$A86))</f>
        <v/>
      </c>
      <c r="F86" s="4">
        <f>IF(OR(D86="",E86=""),"",D86+E86)</f>
        <v/>
      </c>
      <c r="G86" s="7">
        <f>IF(OR(D86="",D74=""),"",D86/D74-1)</f>
        <v/>
      </c>
      <c r="H86" s="7">
        <f>IF(OR(E86="",E74=""),"",E86/E74-1)</f>
        <v/>
      </c>
      <c r="I86" s="7">
        <f>IF(OR(F86="",F74=""),"",F86/F74-1)</f>
        <v/>
      </c>
      <c r="J86" s="7">
        <f>IF(OR(D86="",D85=""),"",D86/D85-1)</f>
        <v/>
      </c>
      <c r="K86" s="7">
        <f>IF(OR(E86="",E85=""),"",E86/E85-1)</f>
        <v/>
      </c>
      <c r="L86" s="7">
        <f>IF(OR(F86="",F85=""),"",F86/F85-1)</f>
        <v/>
      </c>
      <c r="M86" s="7">
        <f>IF(F86="","",D86/F86)</f>
        <v/>
      </c>
      <c r="N86" s="7">
        <f>IF(F86="","",E86/F86)</f>
        <v/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/>
      </c>
      <c r="E87" s="4">
        <f>IF(SUMIFS('Monthly BSE Equity Cash'!$G:$G,'Monthly BSE Equity Cash'!$A:$A,$A87)=0,"",SUMIFS('Monthly BSE Equity Cash'!$G:$G,'Monthly BSE Equity Cash'!$A:$A,$A87))</f>
        <v/>
      </c>
      <c r="F87" s="4">
        <f>IF(OR(D87="",E87=""),"",D87+E87)</f>
        <v/>
      </c>
      <c r="G87" s="7">
        <f>IF(OR(D87="",D75=""),"",D87/D75-1)</f>
        <v/>
      </c>
      <c r="H87" s="7">
        <f>IF(OR(E87="",E75=""),"",E87/E75-1)</f>
        <v/>
      </c>
      <c r="I87" s="7">
        <f>IF(OR(F87="",F75=""),"",F87/F75-1)</f>
        <v/>
      </c>
      <c r="J87" s="7">
        <f>IF(OR(D87="",D86=""),"",D87/D86-1)</f>
        <v/>
      </c>
      <c r="K87" s="7">
        <f>IF(OR(E87="",E86=""),"",E87/E86-1)</f>
        <v/>
      </c>
      <c r="L87" s="7">
        <f>IF(OR(F87="",F86=""),"",F87/F86-1)</f>
        <v/>
      </c>
      <c r="M87" s="7">
        <f>IF(F87="","",D87/F87)</f>
        <v/>
      </c>
      <c r="N87" s="7">
        <f>IF(F87="","",E87/F87)</f>
        <v/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/>
      </c>
      <c r="E88" s="4">
        <f>IF(SUMIFS('Monthly BSE Equity Cash'!$G:$G,'Monthly BSE Equity Cash'!$A:$A,$A88)=0,"",SUMIFS('Monthly BSE Equity Cash'!$G:$G,'Monthly BSE Equity Cash'!$A:$A,$A88))</f>
        <v/>
      </c>
      <c r="F88" s="4">
        <f>IF(OR(D88="",E88=""),"",D88+E88)</f>
        <v/>
      </c>
      <c r="G88" s="7">
        <f>IF(OR(D88="",D76=""),"",D88/D76-1)</f>
        <v/>
      </c>
      <c r="H88" s="7">
        <f>IF(OR(E88="",E76=""),"",E88/E76-1)</f>
        <v/>
      </c>
      <c r="I88" s="7">
        <f>IF(OR(F88="",F76=""),"",F88/F76-1)</f>
        <v/>
      </c>
      <c r="J88" s="7">
        <f>IF(OR(D88="",D87=""),"",D88/D87-1)</f>
        <v/>
      </c>
      <c r="K88" s="7">
        <f>IF(OR(E88="",E87=""),"",E88/E87-1)</f>
        <v/>
      </c>
      <c r="L88" s="7">
        <f>IF(OR(F88="",F87=""),"",F88/F87-1)</f>
        <v/>
      </c>
      <c r="M88" s="7">
        <f>IF(F88="","",D88/F88)</f>
        <v/>
      </c>
      <c r="N88" s="7">
        <f>IF(F88="","",E88/F88)</f>
        <v/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/>
      </c>
      <c r="E89" s="4">
        <f>IF(SUMIFS('Monthly BSE Equity Cash'!$G:$G,'Monthly BSE Equity Cash'!$A:$A,$A89)=0,"",SUMIFS('Monthly BSE Equity Cash'!$G:$G,'Monthly BSE Equity Cash'!$A:$A,$A89))</f>
        <v/>
      </c>
      <c r="F89" s="4">
        <f>IF(OR(D89="",E89=""),"",D89+E89)</f>
        <v/>
      </c>
      <c r="G89" s="7">
        <f>IF(OR(D89="",D77=""),"",D89/D77-1)</f>
        <v/>
      </c>
      <c r="H89" s="7">
        <f>IF(OR(E89="",E77=""),"",E89/E77-1)</f>
        <v/>
      </c>
      <c r="I89" s="7">
        <f>IF(OR(F89="",F77=""),"",F89/F77-1)</f>
        <v/>
      </c>
      <c r="J89" s="7">
        <f>IF(OR(D89="",D88=""),"",D89/D88-1)</f>
        <v/>
      </c>
      <c r="K89" s="7">
        <f>IF(OR(E89="",E88=""),"",E89/E88-1)</f>
        <v/>
      </c>
      <c r="L89" s="7">
        <f>IF(OR(F89="",F88=""),"",F89/F88-1)</f>
        <v/>
      </c>
      <c r="M89" s="7">
        <f>IF(F89="","",D89/F89)</f>
        <v/>
      </c>
      <c r="N89" s="7">
        <f>IF(F89="","",E89/F89)</f>
        <v/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/>
      </c>
      <c r="E90" s="4">
        <f>IF(SUMIFS('Monthly BSE Equity Cash'!$G:$G,'Monthly BSE Equity Cash'!$A:$A,$A90)=0,"",SUMIFS('Monthly BSE Equity Cash'!$G:$G,'Monthly BSE Equity Cash'!$A:$A,$A90))</f>
        <v/>
      </c>
      <c r="F90" s="4">
        <f>IF(OR(D90="",E90=""),"",D90+E90)</f>
        <v/>
      </c>
      <c r="G90" s="7">
        <f>IF(OR(D90="",D78=""),"",D90/D78-1)</f>
        <v/>
      </c>
      <c r="H90" s="7">
        <f>IF(OR(E90="",E78=""),"",E90/E78-1)</f>
        <v/>
      </c>
      <c r="I90" s="7">
        <f>IF(OR(F90="",F78=""),"",F90/F78-1)</f>
        <v/>
      </c>
      <c r="J90" s="7">
        <f>IF(OR(D90="",D89=""),"",D90/D89-1)</f>
        <v/>
      </c>
      <c r="K90" s="7">
        <f>IF(OR(E90="",E89=""),"",E90/E89-1)</f>
        <v/>
      </c>
      <c r="L90" s="7">
        <f>IF(OR(F90="",F89=""),"",F90/F89-1)</f>
        <v/>
      </c>
      <c r="M90" s="7">
        <f>IF(F90="","",D90/F90)</f>
        <v/>
      </c>
      <c r="N90" s="7">
        <f>IF(F90="","",E90/F90)</f>
        <v/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/>
      </c>
      <c r="E91" s="4">
        <f>IF(SUMIFS('Monthly BSE Equity Cash'!$G:$G,'Monthly BSE Equity Cash'!$A:$A,$A91)=0,"",SUMIFS('Monthly BSE Equity Cash'!$G:$G,'Monthly BSE Equity Cash'!$A:$A,$A91))</f>
        <v/>
      </c>
      <c r="F91" s="4">
        <f>IF(OR(D91="",E91=""),"",D91+E91)</f>
        <v/>
      </c>
      <c r="G91" s="7">
        <f>IF(OR(D91="",D79=""),"",D91/D79-1)</f>
        <v/>
      </c>
      <c r="H91" s="7">
        <f>IF(OR(E91="",E79=""),"",E91/E79-1)</f>
        <v/>
      </c>
      <c r="I91" s="7">
        <f>IF(OR(F91="",F79=""),"",F91/F79-1)</f>
        <v/>
      </c>
      <c r="J91" s="7">
        <f>IF(OR(D91="",D90=""),"",D91/D90-1)</f>
        <v/>
      </c>
      <c r="K91" s="7">
        <f>IF(OR(E91="",E90=""),"",E91/E90-1)</f>
        <v/>
      </c>
      <c r="L91" s="7">
        <f>IF(OR(F91="",F90=""),"",F91/F90-1)</f>
        <v/>
      </c>
      <c r="M91" s="7">
        <f>IF(F91="","",D91/F91)</f>
        <v/>
      </c>
      <c r="N91" s="7">
        <f>IF(F91="","",E91/F91)</f>
        <v/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/>
      </c>
      <c r="E92" s="4">
        <f>IF(SUMIFS('Monthly BSE Equity Cash'!$G:$G,'Monthly BSE Equity Cash'!$A:$A,$A92)=0,"",SUMIFS('Monthly BSE Equity Cash'!$G:$G,'Monthly BSE Equity Cash'!$A:$A,$A92))</f>
        <v/>
      </c>
      <c r="F92" s="4">
        <f>IF(OR(D92="",E92=""),"",D92+E92)</f>
        <v/>
      </c>
      <c r="G92" s="7">
        <f>IF(OR(D92="",D80=""),"",D92/D80-1)</f>
        <v/>
      </c>
      <c r="H92" s="7">
        <f>IF(OR(E92="",E80=""),"",E92/E80-1)</f>
        <v/>
      </c>
      <c r="I92" s="7">
        <f>IF(OR(F92="",F80=""),"",F92/F80-1)</f>
        <v/>
      </c>
      <c r="J92" s="7">
        <f>IF(OR(D92="",D91=""),"",D92/D91-1)</f>
        <v/>
      </c>
      <c r="K92" s="7">
        <f>IF(OR(E92="",E91=""),"",E92/E91-1)</f>
        <v/>
      </c>
      <c r="L92" s="7">
        <f>IF(OR(F92="",F91=""),"",F92/F91-1)</f>
        <v/>
      </c>
      <c r="M92" s="7">
        <f>IF(F92="","",D92/F92)</f>
        <v/>
      </c>
      <c r="N92" s="7">
        <f>IF(F92="","",E92/F92)</f>
        <v/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/>
      </c>
      <c r="E93" s="4">
        <f>IF(SUMIFS('Monthly BSE Equity Cash'!$G:$G,'Monthly BSE Equity Cash'!$A:$A,$A93)=0,"",SUMIFS('Monthly BSE Equity Cash'!$G:$G,'Monthly BSE Equity Cash'!$A:$A,$A93))</f>
        <v/>
      </c>
      <c r="F93" s="4">
        <f>IF(OR(D93="",E93=""),"",D93+E93)</f>
        <v/>
      </c>
      <c r="G93" s="7">
        <f>IF(OR(D93="",D81=""),"",D93/D81-1)</f>
        <v/>
      </c>
      <c r="H93" s="7">
        <f>IF(OR(E93="",E81=""),"",E93/E81-1)</f>
        <v/>
      </c>
      <c r="I93" s="7">
        <f>IF(OR(F93="",F81=""),"",F93/F81-1)</f>
        <v/>
      </c>
      <c r="J93" s="7">
        <f>IF(OR(D93="",D92=""),"",D93/D92-1)</f>
        <v/>
      </c>
      <c r="K93" s="7">
        <f>IF(OR(E93="",E92=""),"",E93/E92-1)</f>
        <v/>
      </c>
      <c r="L93" s="7">
        <f>IF(OR(F93="",F92=""),"",F93/F92-1)</f>
        <v/>
      </c>
      <c r="M93" s="7">
        <f>IF(F93="","",D93/F93)</f>
        <v/>
      </c>
      <c r="N93" s="7">
        <f>IF(F93="","",E93/F93)</f>
        <v/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/>
      </c>
      <c r="E94" s="4">
        <f>IF(SUMIFS('Monthly BSE Equity Cash'!$G:$G,'Monthly BSE Equity Cash'!$A:$A,$A94)=0,"",SUMIFS('Monthly BSE Equity Cash'!$G:$G,'Monthly BSE Equity Cash'!$A:$A,$A94))</f>
        <v/>
      </c>
      <c r="F94" s="4">
        <f>IF(OR(D94="",E94=""),"",D94+E94)</f>
        <v/>
      </c>
      <c r="G94" s="7">
        <f>IF(OR(D94="",D82=""),"",D94/D82-1)</f>
        <v/>
      </c>
      <c r="H94" s="7">
        <f>IF(OR(E94="",E82=""),"",E94/E82-1)</f>
        <v/>
      </c>
      <c r="I94" s="7">
        <f>IF(OR(F94="",F82=""),"",F94/F82-1)</f>
        <v/>
      </c>
      <c r="J94" s="7">
        <f>IF(OR(D94="",D93=""),"",D94/D93-1)</f>
        <v/>
      </c>
      <c r="K94" s="7">
        <f>IF(OR(E94="",E93=""),"",E94/E93-1)</f>
        <v/>
      </c>
      <c r="L94" s="7">
        <f>IF(OR(F94="",F93=""),"",F94/F93-1)</f>
        <v/>
      </c>
      <c r="M94" s="7">
        <f>IF(F94="","",D94/F94)</f>
        <v/>
      </c>
      <c r="N94" s="7">
        <f>IF(F94="","",E94/F94)</f>
        <v/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/>
      </c>
      <c r="E95" s="4">
        <f>IF(SUMIFS('Monthly BSE Equity Cash'!$G:$G,'Monthly BSE Equity Cash'!$A:$A,$A95)=0,"",SUMIFS('Monthly BSE Equity Cash'!$G:$G,'Monthly BSE Equity Cash'!$A:$A,$A95))</f>
        <v/>
      </c>
      <c r="F95" s="4">
        <f>IF(OR(D95="",E95=""),"",D95+E95)</f>
        <v/>
      </c>
      <c r="G95" s="7">
        <f>IF(OR(D95="",D83=""),"",D95/D83-1)</f>
        <v/>
      </c>
      <c r="H95" s="7">
        <f>IF(OR(E95="",E83=""),"",E95/E83-1)</f>
        <v/>
      </c>
      <c r="I95" s="7">
        <f>IF(OR(F95="",F83=""),"",F95/F83-1)</f>
        <v/>
      </c>
      <c r="J95" s="7">
        <f>IF(OR(D95="",D94=""),"",D95/D94-1)</f>
        <v/>
      </c>
      <c r="K95" s="7">
        <f>IF(OR(E95="",E94=""),"",E95/E94-1)</f>
        <v/>
      </c>
      <c r="L95" s="7">
        <f>IF(OR(F95="",F94=""),"",F95/F94-1)</f>
        <v/>
      </c>
      <c r="M95" s="7">
        <f>IF(F95="","",D95/F95)</f>
        <v/>
      </c>
      <c r="N95" s="7">
        <f>IF(F95="","",E95/F95)</f>
        <v/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/>
      </c>
      <c r="E96" s="4">
        <f>IF(SUMIFS('Monthly BSE Equity Cash'!$G:$G,'Monthly BSE Equity Cash'!$A:$A,$A96)=0,"",SUMIFS('Monthly BSE Equity Cash'!$G:$G,'Monthly BSE Equity Cash'!$A:$A,$A96))</f>
        <v/>
      </c>
      <c r="F96" s="4">
        <f>IF(OR(D96="",E96=""),"",D96+E96)</f>
        <v/>
      </c>
      <c r="G96" s="7">
        <f>IF(OR(D96="",D84=""),"",D96/D84-1)</f>
        <v/>
      </c>
      <c r="H96" s="7">
        <f>IF(OR(E96="",E84=""),"",E96/E84-1)</f>
        <v/>
      </c>
      <c r="I96" s="7">
        <f>IF(OR(F96="",F84=""),"",F96/F84-1)</f>
        <v/>
      </c>
      <c r="J96" s="7">
        <f>IF(OR(D96="",D95=""),"",D96/D95-1)</f>
        <v/>
      </c>
      <c r="K96" s="7">
        <f>IF(OR(E96="",E95=""),"",E96/E95-1)</f>
        <v/>
      </c>
      <c r="L96" s="7">
        <f>IF(OR(F96="",F95=""),"",F96/F95-1)</f>
        <v/>
      </c>
      <c r="M96" s="7">
        <f>IF(F96="","",D96/F96)</f>
        <v/>
      </c>
      <c r="N96" s="7">
        <f>IF(F96="","",E96/F96)</f>
        <v/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/>
      </c>
      <c r="E97" s="4">
        <f>IF(SUMIFS('Monthly BSE Equity Cash'!$G:$G,'Monthly BSE Equity Cash'!$A:$A,$A97)=0,"",SUMIFS('Monthly BSE Equity Cash'!$G:$G,'Monthly BSE Equity Cash'!$A:$A,$A97))</f>
        <v/>
      </c>
      <c r="F97" s="4">
        <f>IF(OR(D97="",E97=""),"",D97+E97)</f>
        <v/>
      </c>
      <c r="G97" s="7">
        <f>IF(OR(D97="",D85=""),"",D97/D85-1)</f>
        <v/>
      </c>
      <c r="H97" s="7">
        <f>IF(OR(E97="",E85=""),"",E97/E85-1)</f>
        <v/>
      </c>
      <c r="I97" s="7">
        <f>IF(OR(F97="",F85=""),"",F97/F85-1)</f>
        <v/>
      </c>
      <c r="J97" s="7">
        <f>IF(OR(D97="",D96=""),"",D97/D96-1)</f>
        <v/>
      </c>
      <c r="K97" s="7">
        <f>IF(OR(E97="",E96=""),"",E97/E96-1)</f>
        <v/>
      </c>
      <c r="L97" s="7">
        <f>IF(OR(F97="",F96=""),"",F97/F96-1)</f>
        <v/>
      </c>
      <c r="M97" s="7">
        <f>IF(F97="","",D97/F97)</f>
        <v/>
      </c>
      <c r="N97" s="7">
        <f>IF(F97="","",E97/F97)</f>
        <v/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/>
      </c>
      <c r="E98" s="4">
        <f>IF(SUMIFS('Monthly BSE Equity Cash'!$G:$G,'Monthly BSE Equity Cash'!$A:$A,$A98)=0,"",SUMIFS('Monthly BSE Equity Cash'!$G:$G,'Monthly BSE Equity Cash'!$A:$A,$A98))</f>
        <v/>
      </c>
      <c r="F98" s="4">
        <f>IF(OR(D98="",E98=""),"",D98+E98)</f>
        <v/>
      </c>
      <c r="G98" s="7">
        <f>IF(OR(D98="",D86=""),"",D98/D86-1)</f>
        <v/>
      </c>
      <c r="H98" s="7">
        <f>IF(OR(E98="",E86=""),"",E98/E86-1)</f>
        <v/>
      </c>
      <c r="I98" s="7">
        <f>IF(OR(F98="",F86=""),"",F98/F86-1)</f>
        <v/>
      </c>
      <c r="J98" s="7">
        <f>IF(OR(D98="",D97=""),"",D98/D97-1)</f>
        <v/>
      </c>
      <c r="K98" s="7">
        <f>IF(OR(E98="",E97=""),"",E98/E97-1)</f>
        <v/>
      </c>
      <c r="L98" s="7">
        <f>IF(OR(F98="",F97=""),"",F98/F97-1)</f>
        <v/>
      </c>
      <c r="M98" s="7">
        <f>IF(F98="","",D98/F98)</f>
        <v/>
      </c>
      <c r="N98" s="7">
        <f>IF(F98="","",E98/F98)</f>
        <v/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/>
      </c>
      <c r="E99" s="4">
        <f>IF(SUMIFS('Monthly BSE Equity Cash'!$G:$G,'Monthly BSE Equity Cash'!$A:$A,$A99)=0,"",SUMIFS('Monthly BSE Equity Cash'!$G:$G,'Monthly BSE Equity Cash'!$A:$A,$A99))</f>
        <v/>
      </c>
      <c r="F99" s="4">
        <f>IF(OR(D99="",E99=""),"",D99+E99)</f>
        <v/>
      </c>
      <c r="G99" s="7">
        <f>IF(OR(D99="",D87=""),"",D99/D87-1)</f>
        <v/>
      </c>
      <c r="H99" s="7">
        <f>IF(OR(E99="",E87=""),"",E99/E87-1)</f>
        <v/>
      </c>
      <c r="I99" s="7">
        <f>IF(OR(F99="",F87=""),"",F99/F87-1)</f>
        <v/>
      </c>
      <c r="J99" s="7">
        <f>IF(OR(D99="",D98=""),"",D99/D98-1)</f>
        <v/>
      </c>
      <c r="K99" s="7">
        <f>IF(OR(E99="",E98=""),"",E99/E98-1)</f>
        <v/>
      </c>
      <c r="L99" s="7">
        <f>IF(OR(F99="",F98=""),"",F99/F98-1)</f>
        <v/>
      </c>
      <c r="M99" s="7">
        <f>IF(F99="","",D99/F99)</f>
        <v/>
      </c>
      <c r="N99" s="7">
        <f>IF(F99="","",E99/F99)</f>
        <v/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/>
      </c>
      <c r="E100" s="4">
        <f>IF(SUMIFS('Monthly BSE Equity Cash'!$G:$G,'Monthly BSE Equity Cash'!$A:$A,$A100)=0,"",SUMIFS('Monthly BSE Equity Cash'!$G:$G,'Monthly BSE Equity Cash'!$A:$A,$A100))</f>
        <v/>
      </c>
      <c r="F100" s="4">
        <f>IF(OR(D100="",E100=""),"",D100+E100)</f>
        <v/>
      </c>
      <c r="G100" s="7">
        <f>IF(OR(D100="",D88=""),"",D100/D88-1)</f>
        <v/>
      </c>
      <c r="H100" s="7">
        <f>IF(OR(E100="",E88=""),"",E100/E88-1)</f>
        <v/>
      </c>
      <c r="I100" s="7">
        <f>IF(OR(F100="",F88=""),"",F100/F88-1)</f>
        <v/>
      </c>
      <c r="J100" s="7">
        <f>IF(OR(D100="",D99=""),"",D100/D99-1)</f>
        <v/>
      </c>
      <c r="K100" s="7">
        <f>IF(OR(E100="",E99=""),"",E100/E99-1)</f>
        <v/>
      </c>
      <c r="L100" s="7">
        <f>IF(OR(F100="",F99=""),"",F100/F99-1)</f>
        <v/>
      </c>
      <c r="M100" s="7">
        <f>IF(F100="","",D100/F100)</f>
        <v/>
      </c>
      <c r="N100" s="7">
        <f>IF(F100="","",E100/F100)</f>
        <v/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/>
      </c>
      <c r="E101" s="4">
        <f>IF(SUMIFS('Monthly BSE Equity Cash'!$G:$G,'Monthly BSE Equity Cash'!$A:$A,$A101)=0,"",SUMIFS('Monthly BSE Equity Cash'!$G:$G,'Monthly BSE Equity Cash'!$A:$A,$A101))</f>
        <v/>
      </c>
      <c r="F101" s="4">
        <f>IF(OR(D101="",E101=""),"",D101+E101)</f>
        <v/>
      </c>
      <c r="G101" s="7">
        <f>IF(OR(D101="",D89=""),"",D101/D89-1)</f>
        <v/>
      </c>
      <c r="H101" s="7">
        <f>IF(OR(E101="",E89=""),"",E101/E89-1)</f>
        <v/>
      </c>
      <c r="I101" s="7">
        <f>IF(OR(F101="",F89=""),"",F101/F89-1)</f>
        <v/>
      </c>
      <c r="J101" s="7">
        <f>IF(OR(D101="",D100=""),"",D101/D100-1)</f>
        <v/>
      </c>
      <c r="K101" s="7">
        <f>IF(OR(E101="",E100=""),"",E101/E100-1)</f>
        <v/>
      </c>
      <c r="L101" s="7">
        <f>IF(OR(F101="",F100=""),"",F101/F100-1)</f>
        <v/>
      </c>
      <c r="M101" s="7">
        <f>IF(F101="","",D101/F101)</f>
        <v/>
      </c>
      <c r="N101" s="7">
        <f>IF(F101="","",E101/F101)</f>
        <v/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/>
      </c>
      <c r="E102" s="4">
        <f>IF(SUMIFS('Monthly BSE Equity Cash'!$G:$G,'Monthly BSE Equity Cash'!$A:$A,$A102)=0,"",SUMIFS('Monthly BSE Equity Cash'!$G:$G,'Monthly BSE Equity Cash'!$A:$A,$A102))</f>
        <v/>
      </c>
      <c r="F102" s="4">
        <f>IF(OR(D102="",E102=""),"",D102+E102)</f>
        <v/>
      </c>
      <c r="G102" s="7">
        <f>IF(OR(D102="",D90=""),"",D102/D90-1)</f>
        <v/>
      </c>
      <c r="H102" s="7">
        <f>IF(OR(E102="",E90=""),"",E102/E90-1)</f>
        <v/>
      </c>
      <c r="I102" s="7">
        <f>IF(OR(F102="",F90=""),"",F102/F90-1)</f>
        <v/>
      </c>
      <c r="J102" s="7">
        <f>IF(OR(D102="",D101=""),"",D102/D101-1)</f>
        <v/>
      </c>
      <c r="K102" s="7">
        <f>IF(OR(E102="",E101=""),"",E102/E101-1)</f>
        <v/>
      </c>
      <c r="L102" s="7">
        <f>IF(OR(F102="",F101=""),"",F102/F101-1)</f>
        <v/>
      </c>
      <c r="M102" s="7">
        <f>IF(F102="","",D102/F102)</f>
        <v/>
      </c>
      <c r="N102" s="7">
        <f>IF(F102="","",E102/F102)</f>
        <v/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/>
      </c>
      <c r="E103" s="4">
        <f>IF(SUMIFS('Monthly BSE Equity Cash'!$G:$G,'Monthly BSE Equity Cash'!$A:$A,$A103)=0,"",SUMIFS('Monthly BSE Equity Cash'!$G:$G,'Monthly BSE Equity Cash'!$A:$A,$A103))</f>
        <v/>
      </c>
      <c r="F103" s="4">
        <f>IF(OR(D103="",E103=""),"",D103+E103)</f>
        <v/>
      </c>
      <c r="G103" s="7">
        <f>IF(OR(D103="",D91=""),"",D103/D91-1)</f>
        <v/>
      </c>
      <c r="H103" s="7">
        <f>IF(OR(E103="",E91=""),"",E103/E91-1)</f>
        <v/>
      </c>
      <c r="I103" s="7">
        <f>IF(OR(F103="",F91=""),"",F103/F91-1)</f>
        <v/>
      </c>
      <c r="J103" s="7">
        <f>IF(OR(D103="",D102=""),"",D103/D102-1)</f>
        <v/>
      </c>
      <c r="K103" s="7">
        <f>IF(OR(E103="",E102=""),"",E103/E102-1)</f>
        <v/>
      </c>
      <c r="L103" s="7">
        <f>IF(OR(F103="",F102=""),"",F103/F102-1)</f>
        <v/>
      </c>
      <c r="M103" s="7">
        <f>IF(F103="","",D103/F103)</f>
        <v/>
      </c>
      <c r="N103" s="7">
        <f>IF(F103="","",E103/F103)</f>
        <v/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/>
      </c>
      <c r="E104" s="4">
        <f>IF(SUMIFS('Monthly BSE Equity Cash'!$G:$G,'Monthly BSE Equity Cash'!$A:$A,$A104)=0,"",SUMIFS('Monthly BSE Equity Cash'!$G:$G,'Monthly BSE Equity Cash'!$A:$A,$A104))</f>
        <v/>
      </c>
      <c r="F104" s="4">
        <f>IF(OR(D104="",E104=""),"",D104+E104)</f>
        <v/>
      </c>
      <c r="G104" s="7">
        <f>IF(OR(D104="",D92=""),"",D104/D92-1)</f>
        <v/>
      </c>
      <c r="H104" s="7">
        <f>IF(OR(E104="",E92=""),"",E104/E92-1)</f>
        <v/>
      </c>
      <c r="I104" s="7">
        <f>IF(OR(F104="",F92=""),"",F104/F92-1)</f>
        <v/>
      </c>
      <c r="J104" s="7">
        <f>IF(OR(D104="",D103=""),"",D104/D103-1)</f>
        <v/>
      </c>
      <c r="K104" s="7">
        <f>IF(OR(E104="",E103=""),"",E104/E103-1)</f>
        <v/>
      </c>
      <c r="L104" s="7">
        <f>IF(OR(F104="",F103=""),"",F104/F103-1)</f>
        <v/>
      </c>
      <c r="M104" s="7">
        <f>IF(F104="","",D104/F104)</f>
        <v/>
      </c>
      <c r="N104" s="7">
        <f>IF(F104="","",E104/F104)</f>
        <v/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/>
      </c>
      <c r="E105" s="4">
        <f>IF(SUMIFS('Monthly BSE Equity Cash'!$G:$G,'Monthly BSE Equity Cash'!$A:$A,$A105)=0,"",SUMIFS('Monthly BSE Equity Cash'!$G:$G,'Monthly BSE Equity Cash'!$A:$A,$A105))</f>
        <v/>
      </c>
      <c r="F105" s="4">
        <f>IF(OR(D105="",E105=""),"",D105+E105)</f>
        <v/>
      </c>
      <c r="G105" s="7">
        <f>IF(OR(D105="",D93=""),"",D105/D93-1)</f>
        <v/>
      </c>
      <c r="H105" s="7">
        <f>IF(OR(E105="",E93=""),"",E105/E93-1)</f>
        <v/>
      </c>
      <c r="I105" s="7">
        <f>IF(OR(F105="",F93=""),"",F105/F93-1)</f>
        <v/>
      </c>
      <c r="J105" s="7">
        <f>IF(OR(D105="",D104=""),"",D105/D104-1)</f>
        <v/>
      </c>
      <c r="K105" s="7">
        <f>IF(OR(E105="",E104=""),"",E105/E104-1)</f>
        <v/>
      </c>
      <c r="L105" s="7">
        <f>IF(OR(F105="",F104=""),"",F105/F104-1)</f>
        <v/>
      </c>
      <c r="M105" s="7">
        <f>IF(F105="","",D105/F105)</f>
        <v/>
      </c>
      <c r="N105" s="7">
        <f>IF(F105="","",E105/F105)</f>
        <v/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/>
      </c>
      <c r="E106" s="4">
        <f>IF(SUMIFS('Monthly BSE Equity Cash'!$G:$G,'Monthly BSE Equity Cash'!$A:$A,$A106)=0,"",SUMIFS('Monthly BSE Equity Cash'!$G:$G,'Monthly BSE Equity Cash'!$A:$A,$A106))</f>
        <v/>
      </c>
      <c r="F106" s="4">
        <f>IF(OR(D106="",E106=""),"",D106+E106)</f>
        <v/>
      </c>
      <c r="G106" s="7">
        <f>IF(OR(D106="",D94=""),"",D106/D94-1)</f>
        <v/>
      </c>
      <c r="H106" s="7">
        <f>IF(OR(E106="",E94=""),"",E106/E94-1)</f>
        <v/>
      </c>
      <c r="I106" s="7">
        <f>IF(OR(F106="",F94=""),"",F106/F94-1)</f>
        <v/>
      </c>
      <c r="J106" s="7">
        <f>IF(OR(D106="",D105=""),"",D106/D105-1)</f>
        <v/>
      </c>
      <c r="K106" s="7">
        <f>IF(OR(E106="",E105=""),"",E106/E105-1)</f>
        <v/>
      </c>
      <c r="L106" s="7">
        <f>IF(OR(F106="",F105=""),"",F106/F105-1)</f>
        <v/>
      </c>
      <c r="M106" s="7">
        <f>IF(F106="","",D106/F106)</f>
        <v/>
      </c>
      <c r="N106" s="7">
        <f>IF(F106="","",E106/F106)</f>
        <v/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/>
      </c>
      <c r="E107" s="4">
        <f>IF(SUMIFS('Monthly BSE Equity Cash'!$G:$G,'Monthly BSE Equity Cash'!$A:$A,$A107)=0,"",SUMIFS('Monthly BSE Equity Cash'!$G:$G,'Monthly BSE Equity Cash'!$A:$A,$A107))</f>
        <v/>
      </c>
      <c r="F107" s="4">
        <f>IF(OR(D107="",E107=""),"",D107+E107)</f>
        <v/>
      </c>
      <c r="G107" s="7">
        <f>IF(OR(D107="",D95=""),"",D107/D95-1)</f>
        <v/>
      </c>
      <c r="H107" s="7">
        <f>IF(OR(E107="",E95=""),"",E107/E95-1)</f>
        <v/>
      </c>
      <c r="I107" s="7">
        <f>IF(OR(F107="",F95=""),"",F107/F95-1)</f>
        <v/>
      </c>
      <c r="J107" s="7">
        <f>IF(OR(D107="",D106=""),"",D107/D106-1)</f>
        <v/>
      </c>
      <c r="K107" s="7">
        <f>IF(OR(E107="",E106=""),"",E107/E106-1)</f>
        <v/>
      </c>
      <c r="L107" s="7">
        <f>IF(OR(F107="",F106=""),"",F107/F106-1)</f>
        <v/>
      </c>
      <c r="M107" s="7">
        <f>IF(F107="","",D107/F107)</f>
        <v/>
      </c>
      <c r="N107" s="7">
        <f>IF(F107="","",E107/F107)</f>
        <v/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/>
      </c>
      <c r="E108" s="4">
        <f>IF(SUMIFS('Monthly BSE Equity Cash'!$G:$G,'Monthly BSE Equity Cash'!$A:$A,$A108)=0,"",SUMIFS('Monthly BSE Equity Cash'!$G:$G,'Monthly BSE Equity Cash'!$A:$A,$A108))</f>
        <v/>
      </c>
      <c r="F108" s="4">
        <f>IF(OR(D108="",E108=""),"",D108+E108)</f>
        <v/>
      </c>
      <c r="G108" s="7">
        <f>IF(OR(D108="",D96=""),"",D108/D96-1)</f>
        <v/>
      </c>
      <c r="H108" s="7">
        <f>IF(OR(E108="",E96=""),"",E108/E96-1)</f>
        <v/>
      </c>
      <c r="I108" s="7">
        <f>IF(OR(F108="",F96=""),"",F108/F96-1)</f>
        <v/>
      </c>
      <c r="J108" s="7">
        <f>IF(OR(D108="",D107=""),"",D108/D107-1)</f>
        <v/>
      </c>
      <c r="K108" s="7">
        <f>IF(OR(E108="",E107=""),"",E108/E107-1)</f>
        <v/>
      </c>
      <c r="L108" s="7">
        <f>IF(OR(F108="",F107=""),"",F108/F107-1)</f>
        <v/>
      </c>
      <c r="M108" s="7">
        <f>IF(F108="","",D108/F108)</f>
        <v/>
      </c>
      <c r="N108" s="7">
        <f>IF(F108="","",E108/F108)</f>
        <v/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/>
      </c>
      <c r="E109" s="4">
        <f>IF(SUMIFS('Monthly BSE Equity Cash'!$G:$G,'Monthly BSE Equity Cash'!$A:$A,$A109)=0,"",SUMIFS('Monthly BSE Equity Cash'!$G:$G,'Monthly BSE Equity Cash'!$A:$A,$A109))</f>
        <v/>
      </c>
      <c r="F109" s="4">
        <f>IF(OR(D109="",E109=""),"",D109+E109)</f>
        <v/>
      </c>
      <c r="G109" s="7">
        <f>IF(OR(D109="",D97=""),"",D109/D97-1)</f>
        <v/>
      </c>
      <c r="H109" s="7">
        <f>IF(OR(E109="",E97=""),"",E109/E97-1)</f>
        <v/>
      </c>
      <c r="I109" s="7">
        <f>IF(OR(F109="",F97=""),"",F109/F97-1)</f>
        <v/>
      </c>
      <c r="J109" s="7">
        <f>IF(OR(D109="",D108=""),"",D109/D108-1)</f>
        <v/>
      </c>
      <c r="K109" s="7">
        <f>IF(OR(E109="",E108=""),"",E109/E108-1)</f>
        <v/>
      </c>
      <c r="L109" s="7">
        <f>IF(OR(F109="",F108=""),"",F109/F108-1)</f>
        <v/>
      </c>
      <c r="M109" s="7">
        <f>IF(F109="","",D109/F109)</f>
        <v/>
      </c>
      <c r="N109" s="7">
        <f>IF(F109="","",E109/F109)</f>
        <v/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/>
      </c>
      <c r="E110" s="4">
        <f>IF(SUMIFS('Monthly BSE Equity Cash'!$G:$G,'Monthly BSE Equity Cash'!$A:$A,$A110)=0,"",SUMIFS('Monthly BSE Equity Cash'!$G:$G,'Monthly BSE Equity Cash'!$A:$A,$A110))</f>
        <v/>
      </c>
      <c r="F110" s="4">
        <f>IF(OR(D110="",E110=""),"",D110+E110)</f>
        <v/>
      </c>
      <c r="G110" s="7">
        <f>IF(OR(D110="",D98=""),"",D110/D98-1)</f>
        <v/>
      </c>
      <c r="H110" s="7">
        <f>IF(OR(E110="",E98=""),"",E110/E98-1)</f>
        <v/>
      </c>
      <c r="I110" s="7">
        <f>IF(OR(F110="",F98=""),"",F110/F98-1)</f>
        <v/>
      </c>
      <c r="J110" s="7">
        <f>IF(OR(D110="",D109=""),"",D110/D109-1)</f>
        <v/>
      </c>
      <c r="K110" s="7">
        <f>IF(OR(E110="",E109=""),"",E110/E109-1)</f>
        <v/>
      </c>
      <c r="L110" s="7">
        <f>IF(OR(F110="",F109=""),"",F110/F109-1)</f>
        <v/>
      </c>
      <c r="M110" s="7">
        <f>IF(F110="","",D110/F110)</f>
        <v/>
      </c>
      <c r="N110" s="7">
        <f>IF(F110="","",E110/F110)</f>
        <v/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/>
      </c>
      <c r="E111" s="4">
        <f>IF(SUMIFS('Monthly BSE Equity Cash'!$G:$G,'Monthly BSE Equity Cash'!$A:$A,$A111)=0,"",SUMIFS('Monthly BSE Equity Cash'!$G:$G,'Monthly BSE Equity Cash'!$A:$A,$A111))</f>
        <v/>
      </c>
      <c r="F111" s="4">
        <f>IF(OR(D111="",E111=""),"",D111+E111)</f>
        <v/>
      </c>
      <c r="G111" s="7">
        <f>IF(OR(D111="",D99=""),"",D111/D99-1)</f>
        <v/>
      </c>
      <c r="H111" s="7">
        <f>IF(OR(E111="",E99=""),"",E111/E99-1)</f>
        <v/>
      </c>
      <c r="I111" s="7">
        <f>IF(OR(F111="",F99=""),"",F111/F99-1)</f>
        <v/>
      </c>
      <c r="J111" s="7">
        <f>IF(OR(D111="",D110=""),"",D111/D110-1)</f>
        <v/>
      </c>
      <c r="K111" s="7">
        <f>IF(OR(E111="",E110=""),"",E111/E110-1)</f>
        <v/>
      </c>
      <c r="L111" s="7">
        <f>IF(OR(F111="",F110=""),"",F111/F110-1)</f>
        <v/>
      </c>
      <c r="M111" s="7">
        <f>IF(F111="","",D111/F111)</f>
        <v/>
      </c>
      <c r="N111" s="7">
        <f>IF(F111="","",E111/F111)</f>
        <v/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/>
      </c>
      <c r="E112" s="4">
        <f>IF(SUMIFS('Monthly BSE Equity Cash'!$G:$G,'Monthly BSE Equity Cash'!$A:$A,$A112)=0,"",SUMIFS('Monthly BSE Equity Cash'!$G:$G,'Monthly BSE Equity Cash'!$A:$A,$A112))</f>
        <v/>
      </c>
      <c r="F112" s="4">
        <f>IF(OR(D112="",E112=""),"",D112+E112)</f>
        <v/>
      </c>
      <c r="G112" s="7">
        <f>IF(OR(D112="",D100=""),"",D112/D100-1)</f>
        <v/>
      </c>
      <c r="H112" s="7">
        <f>IF(OR(E112="",E100=""),"",E112/E100-1)</f>
        <v/>
      </c>
      <c r="I112" s="7">
        <f>IF(OR(F112="",F100=""),"",F112/F100-1)</f>
        <v/>
      </c>
      <c r="J112" s="7">
        <f>IF(OR(D112="",D111=""),"",D112/D111-1)</f>
        <v/>
      </c>
      <c r="K112" s="7">
        <f>IF(OR(E112="",E111=""),"",E112/E111-1)</f>
        <v/>
      </c>
      <c r="L112" s="7">
        <f>IF(OR(F112="",F111=""),"",F112/F111-1)</f>
        <v/>
      </c>
      <c r="M112" s="7">
        <f>IF(F112="","",D112/F112)</f>
        <v/>
      </c>
      <c r="N112" s="7">
        <f>IF(F112="","",E112/F112)</f>
        <v/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/>
      </c>
      <c r="E113" s="4">
        <f>IF(SUMIFS('Monthly BSE Equity Cash'!$G:$G,'Monthly BSE Equity Cash'!$A:$A,$A113)=0,"",SUMIFS('Monthly BSE Equity Cash'!$G:$G,'Monthly BSE Equity Cash'!$A:$A,$A113))</f>
        <v/>
      </c>
      <c r="F113" s="4">
        <f>IF(OR(D113="",E113=""),"",D113+E113)</f>
        <v/>
      </c>
      <c r="G113" s="7">
        <f>IF(OR(D113="",D101=""),"",D113/D101-1)</f>
        <v/>
      </c>
      <c r="H113" s="7">
        <f>IF(OR(E113="",E101=""),"",E113/E101-1)</f>
        <v/>
      </c>
      <c r="I113" s="7">
        <f>IF(OR(F113="",F101=""),"",F113/F101-1)</f>
        <v/>
      </c>
      <c r="J113" s="7">
        <f>IF(OR(D113="",D112=""),"",D113/D112-1)</f>
        <v/>
      </c>
      <c r="K113" s="7">
        <f>IF(OR(E113="",E112=""),"",E113/E112-1)</f>
        <v/>
      </c>
      <c r="L113" s="7">
        <f>IF(OR(F113="",F112=""),"",F113/F112-1)</f>
        <v/>
      </c>
      <c r="M113" s="7">
        <f>IF(F113="","",D113/F113)</f>
        <v/>
      </c>
      <c r="N113" s="7">
        <f>IF(F113="","",E113/F113)</f>
        <v/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/>
      </c>
      <c r="E114" s="4">
        <f>IF(SUMIFS('Monthly BSE Equity Cash'!$G:$G,'Monthly BSE Equity Cash'!$A:$A,$A114)=0,"",SUMIFS('Monthly BSE Equity Cash'!$G:$G,'Monthly BSE Equity Cash'!$A:$A,$A114))</f>
        <v/>
      </c>
      <c r="F114" s="4">
        <f>IF(OR(D114="",E114=""),"",D114+E114)</f>
        <v/>
      </c>
      <c r="G114" s="7">
        <f>IF(OR(D114="",D102=""),"",D114/D102-1)</f>
        <v/>
      </c>
      <c r="H114" s="7">
        <f>IF(OR(E114="",E102=""),"",E114/E102-1)</f>
        <v/>
      </c>
      <c r="I114" s="7">
        <f>IF(OR(F114="",F102=""),"",F114/F102-1)</f>
        <v/>
      </c>
      <c r="J114" s="7">
        <f>IF(OR(D114="",D113=""),"",D114/D113-1)</f>
        <v/>
      </c>
      <c r="K114" s="7">
        <f>IF(OR(E114="",E113=""),"",E114/E113-1)</f>
        <v/>
      </c>
      <c r="L114" s="7">
        <f>IF(OR(F114="",F113=""),"",F114/F113-1)</f>
        <v/>
      </c>
      <c r="M114" s="7">
        <f>IF(F114="","",D114/F114)</f>
        <v/>
      </c>
      <c r="N114" s="7">
        <f>IF(F114="","",E114/F114)</f>
        <v/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/>
      </c>
      <c r="E115" s="4">
        <f>IF(SUMIFS('Monthly BSE Equity Cash'!$G:$G,'Monthly BSE Equity Cash'!$A:$A,$A115)=0,"",SUMIFS('Monthly BSE Equity Cash'!$G:$G,'Monthly BSE Equity Cash'!$A:$A,$A115))</f>
        <v/>
      </c>
      <c r="F115" s="4">
        <f>IF(OR(D115="",E115=""),"",D115+E115)</f>
        <v/>
      </c>
      <c r="G115" s="7">
        <f>IF(OR(D115="",D103=""),"",D115/D103-1)</f>
        <v/>
      </c>
      <c r="H115" s="7">
        <f>IF(OR(E115="",E103=""),"",E115/E103-1)</f>
        <v/>
      </c>
      <c r="I115" s="7">
        <f>IF(OR(F115="",F103=""),"",F115/F103-1)</f>
        <v/>
      </c>
      <c r="J115" s="7">
        <f>IF(OR(D115="",D114=""),"",D115/D114-1)</f>
        <v/>
      </c>
      <c r="K115" s="7">
        <f>IF(OR(E115="",E114=""),"",E115/E114-1)</f>
        <v/>
      </c>
      <c r="L115" s="7">
        <f>IF(OR(F115="",F114=""),"",F115/F114-1)</f>
        <v/>
      </c>
      <c r="M115" s="7">
        <f>IF(F115="","",D115/F115)</f>
        <v/>
      </c>
      <c r="N115" s="7">
        <f>IF(F115="","",E115/F115)</f>
        <v/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/>
      </c>
      <c r="E116" s="4">
        <f>IF(SUMIFS('Monthly BSE Equity Cash'!$G:$G,'Monthly BSE Equity Cash'!$A:$A,$A116)=0,"",SUMIFS('Monthly BSE Equity Cash'!$G:$G,'Monthly BSE Equity Cash'!$A:$A,$A116))</f>
        <v/>
      </c>
      <c r="F116" s="4">
        <f>IF(OR(D116="",E116=""),"",D116+E116)</f>
        <v/>
      </c>
      <c r="G116" s="7">
        <f>IF(OR(D116="",D104=""),"",D116/D104-1)</f>
        <v/>
      </c>
      <c r="H116" s="7">
        <f>IF(OR(E116="",E104=""),"",E116/E104-1)</f>
        <v/>
      </c>
      <c r="I116" s="7">
        <f>IF(OR(F116="",F104=""),"",F116/F104-1)</f>
        <v/>
      </c>
      <c r="J116" s="7">
        <f>IF(OR(D116="",D115=""),"",D116/D115-1)</f>
        <v/>
      </c>
      <c r="K116" s="7">
        <f>IF(OR(E116="",E115=""),"",E116/E115-1)</f>
        <v/>
      </c>
      <c r="L116" s="7">
        <f>IF(OR(F116="",F115=""),"",F116/F115-1)</f>
        <v/>
      </c>
      <c r="M116" s="7">
        <f>IF(F116="","",D116/F116)</f>
        <v/>
      </c>
      <c r="N116" s="7">
        <f>IF(F116="","",E116/F116)</f>
        <v/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/>
      </c>
      <c r="E117" s="4">
        <f>IF(SUMIFS('Monthly BSE Equity Cash'!$G:$G,'Monthly BSE Equity Cash'!$A:$A,$A117)=0,"",SUMIFS('Monthly BSE Equity Cash'!$G:$G,'Monthly BSE Equity Cash'!$A:$A,$A117))</f>
        <v/>
      </c>
      <c r="F117" s="4">
        <f>IF(OR(D117="",E117=""),"",D117+E117)</f>
        <v/>
      </c>
      <c r="G117" s="7">
        <f>IF(OR(D117="",D105=""),"",D117/D105-1)</f>
        <v/>
      </c>
      <c r="H117" s="7">
        <f>IF(OR(E117="",E105=""),"",E117/E105-1)</f>
        <v/>
      </c>
      <c r="I117" s="7">
        <f>IF(OR(F117="",F105=""),"",F117/F105-1)</f>
        <v/>
      </c>
      <c r="J117" s="7">
        <f>IF(OR(D117="",D116=""),"",D117/D116-1)</f>
        <v/>
      </c>
      <c r="K117" s="7">
        <f>IF(OR(E117="",E116=""),"",E117/E116-1)</f>
        <v/>
      </c>
      <c r="L117" s="7">
        <f>IF(OR(F117="",F116=""),"",F117/F116-1)</f>
        <v/>
      </c>
      <c r="M117" s="7">
        <f>IF(F117="","",D117/F117)</f>
        <v/>
      </c>
      <c r="N117" s="7">
        <f>IF(F117="","",E117/F117)</f>
        <v/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/>
      </c>
      <c r="E118" s="4">
        <f>IF(SUMIFS('Monthly BSE Equity Cash'!$G:$G,'Monthly BSE Equity Cash'!$A:$A,$A118)=0,"",SUMIFS('Monthly BSE Equity Cash'!$G:$G,'Monthly BSE Equity Cash'!$A:$A,$A118))</f>
        <v/>
      </c>
      <c r="F118" s="4">
        <f>IF(OR(D118="",E118=""),"",D118+E118)</f>
        <v/>
      </c>
      <c r="G118" s="7">
        <f>IF(OR(D118="",D106=""),"",D118/D106-1)</f>
        <v/>
      </c>
      <c r="H118" s="7">
        <f>IF(OR(E118="",E106=""),"",E118/E106-1)</f>
        <v/>
      </c>
      <c r="I118" s="7">
        <f>IF(OR(F118="",F106=""),"",F118/F106-1)</f>
        <v/>
      </c>
      <c r="J118" s="7">
        <f>IF(OR(D118="",D117=""),"",D118/D117-1)</f>
        <v/>
      </c>
      <c r="K118" s="7">
        <f>IF(OR(E118="",E117=""),"",E118/E117-1)</f>
        <v/>
      </c>
      <c r="L118" s="7">
        <f>IF(OR(F118="",F117=""),"",F118/F117-1)</f>
        <v/>
      </c>
      <c r="M118" s="7">
        <f>IF(F118="","",D118/F118)</f>
        <v/>
      </c>
      <c r="N118" s="7">
        <f>IF(F118="","",E118/F118)</f>
        <v/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/>
      </c>
      <c r="E119" s="4">
        <f>IF(SUMIFS('Monthly BSE Equity Cash'!$G:$G,'Monthly BSE Equity Cash'!$A:$A,$A119)=0,"",SUMIFS('Monthly BSE Equity Cash'!$G:$G,'Monthly BSE Equity Cash'!$A:$A,$A119))</f>
        <v/>
      </c>
      <c r="F119" s="4">
        <f>IF(OR(D119="",E119=""),"",D119+E119)</f>
        <v/>
      </c>
      <c r="G119" s="7">
        <f>IF(OR(D119="",D107=""),"",D119/D107-1)</f>
        <v/>
      </c>
      <c r="H119" s="7">
        <f>IF(OR(E119="",E107=""),"",E119/E107-1)</f>
        <v/>
      </c>
      <c r="I119" s="7">
        <f>IF(OR(F119="",F107=""),"",F119/F107-1)</f>
        <v/>
      </c>
      <c r="J119" s="7">
        <f>IF(OR(D119="",D118=""),"",D119/D118-1)</f>
        <v/>
      </c>
      <c r="K119" s="7">
        <f>IF(OR(E119="",E118=""),"",E119/E118-1)</f>
        <v/>
      </c>
      <c r="L119" s="7">
        <f>IF(OR(F119="",F118=""),"",F119/F118-1)</f>
        <v/>
      </c>
      <c r="M119" s="7">
        <f>IF(F119="","",D119/F119)</f>
        <v/>
      </c>
      <c r="N119" s="7">
        <f>IF(F119="","",E119/F119)</f>
        <v/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/>
      </c>
      <c r="E120" s="4">
        <f>IF(SUMIFS('Monthly BSE Equity Cash'!$G:$G,'Monthly BSE Equity Cash'!$A:$A,$A120)=0,"",SUMIFS('Monthly BSE Equity Cash'!$G:$G,'Monthly BSE Equity Cash'!$A:$A,$A120))</f>
        <v/>
      </c>
      <c r="F120" s="4">
        <f>IF(OR(D120="",E120=""),"",D120+E120)</f>
        <v/>
      </c>
      <c r="G120" s="7">
        <f>IF(OR(D120="",D108=""),"",D120/D108-1)</f>
        <v/>
      </c>
      <c r="H120" s="7">
        <f>IF(OR(E120="",E108=""),"",E120/E108-1)</f>
        <v/>
      </c>
      <c r="I120" s="7">
        <f>IF(OR(F120="",F108=""),"",F120/F108-1)</f>
        <v/>
      </c>
      <c r="J120" s="7">
        <f>IF(OR(D120="",D119=""),"",D120/D119-1)</f>
        <v/>
      </c>
      <c r="K120" s="7">
        <f>IF(OR(E120="",E119=""),"",E120/E119-1)</f>
        <v/>
      </c>
      <c r="L120" s="7">
        <f>IF(OR(F120="",F119=""),"",F120/F119-1)</f>
        <v/>
      </c>
      <c r="M120" s="7">
        <f>IF(F120="","",D120/F120)</f>
        <v/>
      </c>
      <c r="N120" s="7">
        <f>IF(F120="","",E120/F120)</f>
        <v/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/>
      </c>
      <c r="E121" s="4">
        <f>IF(SUMIFS('Monthly BSE Equity Cash'!$G:$G,'Monthly BSE Equity Cash'!$A:$A,$A121)=0,"",SUMIFS('Monthly BSE Equity Cash'!$G:$G,'Monthly BSE Equity Cash'!$A:$A,$A121))</f>
        <v/>
      </c>
      <c r="F121" s="4">
        <f>IF(OR(D121="",E121=""),"",D121+E121)</f>
        <v/>
      </c>
      <c r="G121" s="7">
        <f>IF(OR(D121="",D109=""),"",D121/D109-1)</f>
        <v/>
      </c>
      <c r="H121" s="7">
        <f>IF(OR(E121="",E109=""),"",E121/E109-1)</f>
        <v/>
      </c>
      <c r="I121" s="7">
        <f>IF(OR(F121="",F109=""),"",F121/F109-1)</f>
        <v/>
      </c>
      <c r="J121" s="7">
        <f>IF(OR(D121="",D120=""),"",D121/D120-1)</f>
        <v/>
      </c>
      <c r="K121" s="7">
        <f>IF(OR(E121="",E120=""),"",E121/E120-1)</f>
        <v/>
      </c>
      <c r="L121" s="7">
        <f>IF(OR(F121="",F120=""),"",F121/F120-1)</f>
        <v/>
      </c>
      <c r="M121" s="7">
        <f>IF(F121="","",D121/F121)</f>
        <v/>
      </c>
      <c r="N121" s="7">
        <f>IF(F121="","",E121/F121)</f>
        <v/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/>
      </c>
      <c r="E122" s="4">
        <f>IF(SUMIFS('Monthly BSE Equity Cash'!$G:$G,'Monthly BSE Equity Cash'!$A:$A,$A122)=0,"",SUMIFS('Monthly BSE Equity Cash'!$G:$G,'Monthly BSE Equity Cash'!$A:$A,$A122))</f>
        <v/>
      </c>
      <c r="F122" s="4">
        <f>IF(OR(D122="",E122=""),"",D122+E122)</f>
        <v/>
      </c>
      <c r="G122" s="7">
        <f>IF(OR(D122="",D110=""),"",D122/D110-1)</f>
        <v/>
      </c>
      <c r="H122" s="7">
        <f>IF(OR(E122="",E110=""),"",E122/E110-1)</f>
        <v/>
      </c>
      <c r="I122" s="7">
        <f>IF(OR(F122="",F110=""),"",F122/F110-1)</f>
        <v/>
      </c>
      <c r="J122" s="7">
        <f>IF(OR(D122="",D121=""),"",D122/D121-1)</f>
        <v/>
      </c>
      <c r="K122" s="7">
        <f>IF(OR(E122="",E121=""),"",E122/E121-1)</f>
        <v/>
      </c>
      <c r="L122" s="7">
        <f>IF(OR(F122="",F121=""),"",F122/F121-1)</f>
        <v/>
      </c>
      <c r="M122" s="7">
        <f>IF(F122="","",D122/F122)</f>
        <v/>
      </c>
      <c r="N122" s="7">
        <f>IF(F122="","",E122/F122)</f>
        <v/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/>
      </c>
      <c r="E123" s="4">
        <f>IF(SUMIFS('Monthly BSE Equity Cash'!$G:$G,'Monthly BSE Equity Cash'!$A:$A,$A123)=0,"",SUMIFS('Monthly BSE Equity Cash'!$G:$G,'Monthly BSE Equity Cash'!$A:$A,$A123))</f>
        <v/>
      </c>
      <c r="F123" s="4">
        <f>IF(OR(D123="",E123=""),"",D123+E123)</f>
        <v/>
      </c>
      <c r="G123" s="7">
        <f>IF(OR(D123="",D111=""),"",D123/D111-1)</f>
        <v/>
      </c>
      <c r="H123" s="7">
        <f>IF(OR(E123="",E111=""),"",E123/E111-1)</f>
        <v/>
      </c>
      <c r="I123" s="7">
        <f>IF(OR(F123="",F111=""),"",F123/F111-1)</f>
        <v/>
      </c>
      <c r="J123" s="7">
        <f>IF(OR(D123="",D122=""),"",D123/D122-1)</f>
        <v/>
      </c>
      <c r="K123" s="7">
        <f>IF(OR(E123="",E122=""),"",E123/E122-1)</f>
        <v/>
      </c>
      <c r="L123" s="7">
        <f>IF(OR(F123="",F122=""),"",F123/F122-1)</f>
        <v/>
      </c>
      <c r="M123" s="7">
        <f>IF(F123="","",D123/F123)</f>
        <v/>
      </c>
      <c r="N123" s="7">
        <f>IF(F123="","",E123/F123)</f>
        <v/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/>
      </c>
      <c r="E124" s="4">
        <f>IF(SUMIFS('Monthly BSE Equity Cash'!$G:$G,'Monthly BSE Equity Cash'!$A:$A,$A124)=0,"",SUMIFS('Monthly BSE Equity Cash'!$G:$G,'Monthly BSE Equity Cash'!$A:$A,$A124))</f>
        <v/>
      </c>
      <c r="F124" s="4">
        <f>IF(OR(D124="",E124=""),"",D124+E124)</f>
        <v/>
      </c>
      <c r="G124" s="7">
        <f>IF(OR(D124="",D112=""),"",D124/D112-1)</f>
        <v/>
      </c>
      <c r="H124" s="7">
        <f>IF(OR(E124="",E112=""),"",E124/E112-1)</f>
        <v/>
      </c>
      <c r="I124" s="7">
        <f>IF(OR(F124="",F112=""),"",F124/F112-1)</f>
        <v/>
      </c>
      <c r="J124" s="7">
        <f>IF(OR(D124="",D123=""),"",D124/D123-1)</f>
        <v/>
      </c>
      <c r="K124" s="7">
        <f>IF(OR(E124="",E123=""),"",E124/E123-1)</f>
        <v/>
      </c>
      <c r="L124" s="7">
        <f>IF(OR(F124="",F123=""),"",F124/F123-1)</f>
        <v/>
      </c>
      <c r="M124" s="7">
        <f>IF(F124="","",D124/F124)</f>
        <v/>
      </c>
      <c r="N124" s="7">
        <f>IF(F124="","",E124/F124)</f>
        <v/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/>
      </c>
      <c r="E125" s="4">
        <f>IF(SUMIFS('Monthly BSE Equity Cash'!$G:$G,'Monthly BSE Equity Cash'!$A:$A,$A125)=0,"",SUMIFS('Monthly BSE Equity Cash'!$G:$G,'Monthly BSE Equity Cash'!$A:$A,$A125))</f>
        <v/>
      </c>
      <c r="F125" s="4">
        <f>IF(OR(D125="",E125=""),"",D125+E125)</f>
        <v/>
      </c>
      <c r="G125" s="7">
        <f>IF(OR(D125="",D113=""),"",D125/D113-1)</f>
        <v/>
      </c>
      <c r="H125" s="7">
        <f>IF(OR(E125="",E113=""),"",E125/E113-1)</f>
        <v/>
      </c>
      <c r="I125" s="7">
        <f>IF(OR(F125="",F113=""),"",F125/F113-1)</f>
        <v/>
      </c>
      <c r="J125" s="7">
        <f>IF(OR(D125="",D124=""),"",D125/D124-1)</f>
        <v/>
      </c>
      <c r="K125" s="7">
        <f>IF(OR(E125="",E124=""),"",E125/E124-1)</f>
        <v/>
      </c>
      <c r="L125" s="7">
        <f>IF(OR(F125="",F124=""),"",F125/F124-1)</f>
        <v/>
      </c>
      <c r="M125" s="7">
        <f>IF(F125="","",D125/F125)</f>
        <v/>
      </c>
      <c r="N125" s="7">
        <f>IF(F125="","",E125/F125)</f>
        <v/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/>
      </c>
      <c r="E126" s="4">
        <f>IF(SUMIFS('Monthly BSE Equity Cash'!$G:$G,'Monthly BSE Equity Cash'!$A:$A,$A126)=0,"",SUMIFS('Monthly BSE Equity Cash'!$G:$G,'Monthly BSE Equity Cash'!$A:$A,$A126))</f>
        <v/>
      </c>
      <c r="F126" s="4">
        <f>IF(OR(D126="",E126=""),"",D126+E126)</f>
        <v/>
      </c>
      <c r="G126" s="7">
        <f>IF(OR(D126="",D114=""),"",D126/D114-1)</f>
        <v/>
      </c>
      <c r="H126" s="7">
        <f>IF(OR(E126="",E114=""),"",E126/E114-1)</f>
        <v/>
      </c>
      <c r="I126" s="7">
        <f>IF(OR(F126="",F114=""),"",F126/F114-1)</f>
        <v/>
      </c>
      <c r="J126" s="7">
        <f>IF(OR(D126="",D125=""),"",D126/D125-1)</f>
        <v/>
      </c>
      <c r="K126" s="7">
        <f>IF(OR(E126="",E125=""),"",E126/E125-1)</f>
        <v/>
      </c>
      <c r="L126" s="7">
        <f>IF(OR(F126="",F125=""),"",F126/F125-1)</f>
        <v/>
      </c>
      <c r="M126" s="7">
        <f>IF(F126="","",D126/F126)</f>
        <v/>
      </c>
      <c r="N126" s="7">
        <f>IF(F126="","",E126/F126)</f>
        <v/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/>
      </c>
      <c r="E127" s="4">
        <f>IF(SUMIFS('Monthly BSE Equity Cash'!$G:$G,'Monthly BSE Equity Cash'!$A:$A,$A127)=0,"",SUMIFS('Monthly BSE Equity Cash'!$G:$G,'Monthly BSE Equity Cash'!$A:$A,$A127))</f>
        <v/>
      </c>
      <c r="F127" s="4">
        <f>IF(OR(D127="",E127=""),"",D127+E127)</f>
        <v/>
      </c>
      <c r="G127" s="7">
        <f>IF(OR(D127="",D115=""),"",D127/D115-1)</f>
        <v/>
      </c>
      <c r="H127" s="7">
        <f>IF(OR(E127="",E115=""),"",E127/E115-1)</f>
        <v/>
      </c>
      <c r="I127" s="7">
        <f>IF(OR(F127="",F115=""),"",F127/F115-1)</f>
        <v/>
      </c>
      <c r="J127" s="7">
        <f>IF(OR(D127="",D126=""),"",D127/D126-1)</f>
        <v/>
      </c>
      <c r="K127" s="7">
        <f>IF(OR(E127="",E126=""),"",E127/E126-1)</f>
        <v/>
      </c>
      <c r="L127" s="7">
        <f>IF(OR(F127="",F126=""),"",F127/F126-1)</f>
        <v/>
      </c>
      <c r="M127" s="7">
        <f>IF(F127="","",D127/F127)</f>
        <v/>
      </c>
      <c r="N127" s="7">
        <f>IF(F127="","",E127/F127)</f>
        <v/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/>
      </c>
      <c r="E128" s="4">
        <f>IF(SUMIFS('Monthly BSE Equity Cash'!$G:$G,'Monthly BSE Equity Cash'!$A:$A,$A128)=0,"",SUMIFS('Monthly BSE Equity Cash'!$G:$G,'Monthly BSE Equity Cash'!$A:$A,$A128))</f>
        <v/>
      </c>
      <c r="F128" s="4">
        <f>IF(OR(D128="",E128=""),"",D128+E128)</f>
        <v/>
      </c>
      <c r="G128" s="7">
        <f>IF(OR(D128="",D116=""),"",D128/D116-1)</f>
        <v/>
      </c>
      <c r="H128" s="7">
        <f>IF(OR(E128="",E116=""),"",E128/E116-1)</f>
        <v/>
      </c>
      <c r="I128" s="7">
        <f>IF(OR(F128="",F116=""),"",F128/F116-1)</f>
        <v/>
      </c>
      <c r="J128" s="7">
        <f>IF(OR(D128="",D127=""),"",D128/D127-1)</f>
        <v/>
      </c>
      <c r="K128" s="7">
        <f>IF(OR(E128="",E127=""),"",E128/E127-1)</f>
        <v/>
      </c>
      <c r="L128" s="7">
        <f>IF(OR(F128="",F127=""),"",F128/F127-1)</f>
        <v/>
      </c>
      <c r="M128" s="7">
        <f>IF(F128="","",D128/F128)</f>
        <v/>
      </c>
      <c r="N128" s="7">
        <f>IF(F128="","",E128/F128)</f>
        <v/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/>
      </c>
      <c r="E129" s="4">
        <f>IF(SUMIFS('Monthly BSE Equity Cash'!$G:$G,'Monthly BSE Equity Cash'!$A:$A,$A129)=0,"",SUMIFS('Monthly BSE Equity Cash'!$G:$G,'Monthly BSE Equity Cash'!$A:$A,$A129))</f>
        <v/>
      </c>
      <c r="F129" s="4">
        <f>IF(OR(D129="",E129=""),"",D129+E129)</f>
        <v/>
      </c>
      <c r="G129" s="7">
        <f>IF(OR(D129="",D117=""),"",D129/D117-1)</f>
        <v/>
      </c>
      <c r="H129" s="7">
        <f>IF(OR(E129="",E117=""),"",E129/E117-1)</f>
        <v/>
      </c>
      <c r="I129" s="7">
        <f>IF(OR(F129="",F117=""),"",F129/F117-1)</f>
        <v/>
      </c>
      <c r="J129" s="7">
        <f>IF(OR(D129="",D128=""),"",D129/D128-1)</f>
        <v/>
      </c>
      <c r="K129" s="7">
        <f>IF(OR(E129="",E128=""),"",E129/E128-1)</f>
        <v/>
      </c>
      <c r="L129" s="7">
        <f>IF(OR(F129="",F128=""),"",F129/F128-1)</f>
        <v/>
      </c>
      <c r="M129" s="7">
        <f>IF(F129="","",D129/F129)</f>
        <v/>
      </c>
      <c r="N129" s="7">
        <f>IF(F129="","",E129/F129)</f>
        <v/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/>
      </c>
      <c r="E130" s="4">
        <f>IF(SUMIFS('Monthly BSE Equity Cash'!$G:$G,'Monthly BSE Equity Cash'!$A:$A,$A130)=0,"",SUMIFS('Monthly BSE Equity Cash'!$G:$G,'Monthly BSE Equity Cash'!$A:$A,$A130))</f>
        <v/>
      </c>
      <c r="F130" s="4">
        <f>IF(OR(D130="",E130=""),"",D130+E130)</f>
        <v/>
      </c>
      <c r="G130" s="7">
        <f>IF(OR(D130="",D118=""),"",D130/D118-1)</f>
        <v/>
      </c>
      <c r="H130" s="7">
        <f>IF(OR(E130="",E118=""),"",E130/E118-1)</f>
        <v/>
      </c>
      <c r="I130" s="7">
        <f>IF(OR(F130="",F118=""),"",F130/F118-1)</f>
        <v/>
      </c>
      <c r="J130" s="7">
        <f>IF(OR(D130="",D129=""),"",D130/D129-1)</f>
        <v/>
      </c>
      <c r="K130" s="7">
        <f>IF(OR(E130="",E129=""),"",E130/E129-1)</f>
        <v/>
      </c>
      <c r="L130" s="7">
        <f>IF(OR(F130="",F129=""),"",F130/F129-1)</f>
        <v/>
      </c>
      <c r="M130" s="7">
        <f>IF(F130="","",D130/F130)</f>
        <v/>
      </c>
      <c r="N130" s="7">
        <f>IF(F130="","",E130/F130)</f>
        <v/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/>
      </c>
      <c r="E131" s="4">
        <f>IF(SUMIFS('Monthly BSE Equity Cash'!$G:$G,'Monthly BSE Equity Cash'!$A:$A,$A131)=0,"",SUMIFS('Monthly BSE Equity Cash'!$G:$G,'Monthly BSE Equity Cash'!$A:$A,$A131))</f>
        <v/>
      </c>
      <c r="F131" s="4">
        <f>IF(OR(D131="",E131=""),"",D131+E131)</f>
        <v/>
      </c>
      <c r="G131" s="7">
        <f>IF(OR(D131="",D119=""),"",D131/D119-1)</f>
        <v/>
      </c>
      <c r="H131" s="7">
        <f>IF(OR(E131="",E119=""),"",E131/E119-1)</f>
        <v/>
      </c>
      <c r="I131" s="7">
        <f>IF(OR(F131="",F119=""),"",F131/F119-1)</f>
        <v/>
      </c>
      <c r="J131" s="7">
        <f>IF(OR(D131="",D130=""),"",D131/D130-1)</f>
        <v/>
      </c>
      <c r="K131" s="7">
        <f>IF(OR(E131="",E130=""),"",E131/E130-1)</f>
        <v/>
      </c>
      <c r="L131" s="7">
        <f>IF(OR(F131="",F130=""),"",F131/F130-1)</f>
        <v/>
      </c>
      <c r="M131" s="7">
        <f>IF(F131="","",D131/F131)</f>
        <v/>
      </c>
      <c r="N131" s="7">
        <f>IF(F131="","",E131/F131)</f>
        <v/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/>
      </c>
      <c r="E132" s="4">
        <f>IF(SUMIFS('Monthly BSE Equity Cash'!$G:$G,'Monthly BSE Equity Cash'!$A:$A,$A132)=0,"",SUMIFS('Monthly BSE Equity Cash'!$G:$G,'Monthly BSE Equity Cash'!$A:$A,$A132))</f>
        <v/>
      </c>
      <c r="F132" s="4">
        <f>IF(OR(D132="",E132=""),"",D132+E132)</f>
        <v/>
      </c>
      <c r="G132" s="7">
        <f>IF(OR(D132="",D120=""),"",D132/D120-1)</f>
        <v/>
      </c>
      <c r="H132" s="7">
        <f>IF(OR(E132="",E120=""),"",E132/E120-1)</f>
        <v/>
      </c>
      <c r="I132" s="7">
        <f>IF(OR(F132="",F120=""),"",F132/F120-1)</f>
        <v/>
      </c>
      <c r="J132" s="7">
        <f>IF(OR(D132="",D131=""),"",D132/D131-1)</f>
        <v/>
      </c>
      <c r="K132" s="7">
        <f>IF(OR(E132="",E131=""),"",E132/E131-1)</f>
        <v/>
      </c>
      <c r="L132" s="7">
        <f>IF(OR(F132="",F131=""),"",F132/F131-1)</f>
        <v/>
      </c>
      <c r="M132" s="7">
        <f>IF(F132="","",D132/F132)</f>
        <v/>
      </c>
      <c r="N132" s="7">
        <f>IF(F132="","",E132/F132)</f>
        <v/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/>
      </c>
      <c r="E133" s="4">
        <f>IF(SUMIFS('Monthly BSE Equity Cash'!$G:$G,'Monthly BSE Equity Cash'!$A:$A,$A133)=0,"",SUMIFS('Monthly BSE Equity Cash'!$G:$G,'Monthly BSE Equity Cash'!$A:$A,$A133))</f>
        <v/>
      </c>
      <c r="F133" s="4">
        <f>IF(OR(D133="",E133=""),"",D133+E133)</f>
        <v/>
      </c>
      <c r="G133" s="7">
        <f>IF(OR(D133="",D121=""),"",D133/D121-1)</f>
        <v/>
      </c>
      <c r="H133" s="7">
        <f>IF(OR(E133="",E121=""),"",E133/E121-1)</f>
        <v/>
      </c>
      <c r="I133" s="7">
        <f>IF(OR(F133="",F121=""),"",F133/F121-1)</f>
        <v/>
      </c>
      <c r="J133" s="7">
        <f>IF(OR(D133="",D132=""),"",D133/D132-1)</f>
        <v/>
      </c>
      <c r="K133" s="7">
        <f>IF(OR(E133="",E132=""),"",E133/E132-1)</f>
        <v/>
      </c>
      <c r="L133" s="7">
        <f>IF(OR(F133="",F132=""),"",F133/F132-1)</f>
        <v/>
      </c>
      <c r="M133" s="7">
        <f>IF(F133="","",D133/F133)</f>
        <v/>
      </c>
      <c r="N133" s="7">
        <f>IF(F133="","",E133/F133)</f>
        <v/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/>
      </c>
      <c r="E134" s="4">
        <f>IF(SUMIFS('Monthly BSE Equity Cash'!$G:$G,'Monthly BSE Equity Cash'!$A:$A,$A134)=0,"",SUMIFS('Monthly BSE Equity Cash'!$G:$G,'Monthly BSE Equity Cash'!$A:$A,$A134))</f>
        <v/>
      </c>
      <c r="F134" s="4">
        <f>IF(OR(D134="",E134=""),"",D134+E134)</f>
        <v/>
      </c>
      <c r="G134" s="7">
        <f>IF(OR(D134="",D122=""),"",D134/D122-1)</f>
        <v/>
      </c>
      <c r="H134" s="7">
        <f>IF(OR(E134="",E122=""),"",E134/E122-1)</f>
        <v/>
      </c>
      <c r="I134" s="7">
        <f>IF(OR(F134="",F122=""),"",F134/F122-1)</f>
        <v/>
      </c>
      <c r="J134" s="7">
        <f>IF(OR(D134="",D133=""),"",D134/D133-1)</f>
        <v/>
      </c>
      <c r="K134" s="7">
        <f>IF(OR(E134="",E133=""),"",E134/E133-1)</f>
        <v/>
      </c>
      <c r="L134" s="7">
        <f>IF(OR(F134="",F133=""),"",F134/F133-1)</f>
        <v/>
      </c>
      <c r="M134" s="7">
        <f>IF(F134="","",D134/F134)</f>
        <v/>
      </c>
      <c r="N134" s="7">
        <f>IF(F134="","",E134/F134)</f>
        <v/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/>
      </c>
      <c r="E135" s="4">
        <f>IF(SUMIFS('Monthly BSE Equity Cash'!$G:$G,'Monthly BSE Equity Cash'!$A:$A,$A135)=0,"",SUMIFS('Monthly BSE Equity Cash'!$G:$G,'Monthly BSE Equity Cash'!$A:$A,$A135))</f>
        <v/>
      </c>
      <c r="F135" s="4">
        <f>IF(OR(D135="",E135=""),"",D135+E135)</f>
        <v/>
      </c>
      <c r="G135" s="7">
        <f>IF(OR(D135="",D123=""),"",D135/D123-1)</f>
        <v/>
      </c>
      <c r="H135" s="7">
        <f>IF(OR(E135="",E123=""),"",E135/E123-1)</f>
        <v/>
      </c>
      <c r="I135" s="7">
        <f>IF(OR(F135="",F123=""),"",F135/F123-1)</f>
        <v/>
      </c>
      <c r="J135" s="7">
        <f>IF(OR(D135="",D134=""),"",D135/D134-1)</f>
        <v/>
      </c>
      <c r="K135" s="7">
        <f>IF(OR(E135="",E134=""),"",E135/E134-1)</f>
        <v/>
      </c>
      <c r="L135" s="7">
        <f>IF(OR(F135="",F134=""),"",F135/F134-1)</f>
        <v/>
      </c>
      <c r="M135" s="7">
        <f>IF(F135="","",D135/F135)</f>
        <v/>
      </c>
      <c r="N135" s="7">
        <f>IF(F135="","",E135/F135)</f>
        <v/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/>
      </c>
      <c r="E136" s="4">
        <f>IF(SUMIFS('Monthly BSE Equity Cash'!$G:$G,'Monthly BSE Equity Cash'!$A:$A,$A136)=0,"",SUMIFS('Monthly BSE Equity Cash'!$G:$G,'Monthly BSE Equity Cash'!$A:$A,$A136))</f>
        <v/>
      </c>
      <c r="F136" s="4">
        <f>IF(OR(D136="",E136=""),"",D136+E136)</f>
        <v/>
      </c>
      <c r="G136" s="7">
        <f>IF(OR(D136="",D124=""),"",D136/D124-1)</f>
        <v/>
      </c>
      <c r="H136" s="7">
        <f>IF(OR(E136="",E124=""),"",E136/E124-1)</f>
        <v/>
      </c>
      <c r="I136" s="7">
        <f>IF(OR(F136="",F124=""),"",F136/F124-1)</f>
        <v/>
      </c>
      <c r="J136" s="7">
        <f>IF(OR(D136="",D135=""),"",D136/D135-1)</f>
        <v/>
      </c>
      <c r="K136" s="7">
        <f>IF(OR(E136="",E135=""),"",E136/E135-1)</f>
        <v/>
      </c>
      <c r="L136" s="7">
        <f>IF(OR(F136="",F135=""),"",F136/F135-1)</f>
        <v/>
      </c>
      <c r="M136" s="7">
        <f>IF(F136="","",D136/F136)</f>
        <v/>
      </c>
      <c r="N136" s="7">
        <f>IF(F136="","",E136/F136)</f>
        <v/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/>
      </c>
      <c r="E137" s="4">
        <f>IF(SUMIFS('Monthly BSE Equity Cash'!$G:$G,'Monthly BSE Equity Cash'!$A:$A,$A137)=0,"",SUMIFS('Monthly BSE Equity Cash'!$G:$G,'Monthly BSE Equity Cash'!$A:$A,$A137))</f>
        <v/>
      </c>
      <c r="F137" s="4">
        <f>IF(OR(D137="",E137=""),"",D137+E137)</f>
        <v/>
      </c>
      <c r="G137" s="7">
        <f>IF(OR(D137="",D125=""),"",D137/D125-1)</f>
        <v/>
      </c>
      <c r="H137" s="7">
        <f>IF(OR(E137="",E125=""),"",E137/E125-1)</f>
        <v/>
      </c>
      <c r="I137" s="7">
        <f>IF(OR(F137="",F125=""),"",F137/F125-1)</f>
        <v/>
      </c>
      <c r="J137" s="7">
        <f>IF(OR(D137="",D136=""),"",D137/D136-1)</f>
        <v/>
      </c>
      <c r="K137" s="7">
        <f>IF(OR(E137="",E136=""),"",E137/E136-1)</f>
        <v/>
      </c>
      <c r="L137" s="7">
        <f>IF(OR(F137="",F136=""),"",F137/F136-1)</f>
        <v/>
      </c>
      <c r="M137" s="7">
        <f>IF(F137="","",D137/F137)</f>
        <v/>
      </c>
      <c r="N137" s="7">
        <f>IF(F137="","",E137/F137)</f>
        <v/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/>
      </c>
      <c r="E138" s="4">
        <f>IF(SUMIFS('Monthly BSE Equity Cash'!$G:$G,'Monthly BSE Equity Cash'!$A:$A,$A138)=0,"",SUMIFS('Monthly BSE Equity Cash'!$G:$G,'Monthly BSE Equity Cash'!$A:$A,$A138))</f>
        <v/>
      </c>
      <c r="F138" s="4">
        <f>IF(OR(D138="",E138=""),"",D138+E138)</f>
        <v/>
      </c>
      <c r="G138" s="7">
        <f>IF(OR(D138="",D126=""),"",D138/D126-1)</f>
        <v/>
      </c>
      <c r="H138" s="7">
        <f>IF(OR(E138="",E126=""),"",E138/E126-1)</f>
        <v/>
      </c>
      <c r="I138" s="7">
        <f>IF(OR(F138="",F126=""),"",F138/F126-1)</f>
        <v/>
      </c>
      <c r="J138" s="7">
        <f>IF(OR(D138="",D137=""),"",D138/D137-1)</f>
        <v/>
      </c>
      <c r="K138" s="7">
        <f>IF(OR(E138="",E137=""),"",E138/E137-1)</f>
        <v/>
      </c>
      <c r="L138" s="7">
        <f>IF(OR(F138="",F137=""),"",F138/F137-1)</f>
        <v/>
      </c>
      <c r="M138" s="7">
        <f>IF(F138="","",D138/F138)</f>
        <v/>
      </c>
      <c r="N138" s="7">
        <f>IF(F138="","",E138/F138)</f>
        <v/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/>
      </c>
      <c r="E139" s="4">
        <f>IF(SUMIFS('Monthly BSE Equity Cash'!$G:$G,'Monthly BSE Equity Cash'!$A:$A,$A139)=0,"",SUMIFS('Monthly BSE Equity Cash'!$G:$G,'Monthly BSE Equity Cash'!$A:$A,$A139))</f>
        <v/>
      </c>
      <c r="F139" s="4">
        <f>IF(OR(D139="",E139=""),"",D139+E139)</f>
        <v/>
      </c>
      <c r="G139" s="7">
        <f>IF(OR(D139="",D127=""),"",D139/D127-1)</f>
        <v/>
      </c>
      <c r="H139" s="7">
        <f>IF(OR(E139="",E127=""),"",E139/E127-1)</f>
        <v/>
      </c>
      <c r="I139" s="7">
        <f>IF(OR(F139="",F127=""),"",F139/F127-1)</f>
        <v/>
      </c>
      <c r="J139" s="7">
        <f>IF(OR(D139="",D138=""),"",D139/D138-1)</f>
        <v/>
      </c>
      <c r="K139" s="7">
        <f>IF(OR(E139="",E138=""),"",E139/E138-1)</f>
        <v/>
      </c>
      <c r="L139" s="7">
        <f>IF(OR(F139="",F138=""),"",F139/F138-1)</f>
        <v/>
      </c>
      <c r="M139" s="7">
        <f>IF(F139="","",D139/F139)</f>
        <v/>
      </c>
      <c r="N139" s="7">
        <f>IF(F139="","",E139/F139)</f>
        <v/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/>
      </c>
      <c r="E140" s="4">
        <f>IF(SUMIFS('Monthly BSE Equity Cash'!$G:$G,'Monthly BSE Equity Cash'!$A:$A,$A140)=0,"",SUMIFS('Monthly BSE Equity Cash'!$G:$G,'Monthly BSE Equity Cash'!$A:$A,$A140))</f>
        <v/>
      </c>
      <c r="F140" s="4">
        <f>IF(OR(D140="",E140=""),"",D140+E140)</f>
        <v/>
      </c>
      <c r="G140" s="7">
        <f>IF(OR(D140="",D128=""),"",D140/D128-1)</f>
        <v/>
      </c>
      <c r="H140" s="7">
        <f>IF(OR(E140="",E128=""),"",E140/E128-1)</f>
        <v/>
      </c>
      <c r="I140" s="7">
        <f>IF(OR(F140="",F128=""),"",F140/F128-1)</f>
        <v/>
      </c>
      <c r="J140" s="7">
        <f>IF(OR(D140="",D139=""),"",D140/D139-1)</f>
        <v/>
      </c>
      <c r="K140" s="7">
        <f>IF(OR(E140="",E139=""),"",E140/E139-1)</f>
        <v/>
      </c>
      <c r="L140" s="7">
        <f>IF(OR(F140="",F139=""),"",F140/F139-1)</f>
        <v/>
      </c>
      <c r="M140" s="7">
        <f>IF(F140="","",D140/F140)</f>
        <v/>
      </c>
      <c r="N140" s="7">
        <f>IF(F140="","",E140/F140)</f>
        <v/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/>
      </c>
      <c r="E141" s="4">
        <f>IF(SUMIFS('Monthly BSE Equity Cash'!$G:$G,'Monthly BSE Equity Cash'!$A:$A,$A141)=0,"",SUMIFS('Monthly BSE Equity Cash'!$G:$G,'Monthly BSE Equity Cash'!$A:$A,$A141))</f>
        <v/>
      </c>
      <c r="F141" s="4">
        <f>IF(OR(D141="",E141=""),"",D141+E141)</f>
        <v/>
      </c>
      <c r="G141" s="7">
        <f>IF(OR(D141="",D129=""),"",D141/D129-1)</f>
        <v/>
      </c>
      <c r="H141" s="7">
        <f>IF(OR(E141="",E129=""),"",E141/E129-1)</f>
        <v/>
      </c>
      <c r="I141" s="7">
        <f>IF(OR(F141="",F129=""),"",F141/F129-1)</f>
        <v/>
      </c>
      <c r="J141" s="7">
        <f>IF(OR(D141="",D140=""),"",D141/D140-1)</f>
        <v/>
      </c>
      <c r="K141" s="7">
        <f>IF(OR(E141="",E140=""),"",E141/E140-1)</f>
        <v/>
      </c>
      <c r="L141" s="7">
        <f>IF(OR(F141="",F140=""),"",F141/F140-1)</f>
        <v/>
      </c>
      <c r="M141" s="7">
        <f>IF(F141="","",D141/F141)</f>
        <v/>
      </c>
      <c r="N141" s="7">
        <f>IF(F141="","",E141/F141)</f>
        <v/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/>
      </c>
      <c r="E142" s="4">
        <f>IF(SUMIFS('Monthly BSE Equity Cash'!$G:$G,'Monthly BSE Equity Cash'!$A:$A,$A142)=0,"",SUMIFS('Monthly BSE Equity Cash'!$G:$G,'Monthly BSE Equity Cash'!$A:$A,$A142))</f>
        <v/>
      </c>
      <c r="F142" s="4">
        <f>IF(OR(D142="",E142=""),"",D142+E142)</f>
        <v/>
      </c>
      <c r="G142" s="7">
        <f>IF(OR(D142="",D130=""),"",D142/D130-1)</f>
        <v/>
      </c>
      <c r="H142" s="7">
        <f>IF(OR(E142="",E130=""),"",E142/E130-1)</f>
        <v/>
      </c>
      <c r="I142" s="7">
        <f>IF(OR(F142="",F130=""),"",F142/F130-1)</f>
        <v/>
      </c>
      <c r="J142" s="7">
        <f>IF(OR(D142="",D141=""),"",D142/D141-1)</f>
        <v/>
      </c>
      <c r="K142" s="7">
        <f>IF(OR(E142="",E141=""),"",E142/E141-1)</f>
        <v/>
      </c>
      <c r="L142" s="7">
        <f>IF(OR(F142="",F141=""),"",F142/F141-1)</f>
        <v/>
      </c>
      <c r="M142" s="7">
        <f>IF(F142="","",D142/F142)</f>
        <v/>
      </c>
      <c r="N142" s="7">
        <f>IF(F142="","",E142/F142)</f>
        <v/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/>
      </c>
      <c r="E143" s="4">
        <f>IF(SUMIFS('Monthly BSE Equity Cash'!$G:$G,'Monthly BSE Equity Cash'!$A:$A,$A143)=0,"",SUMIFS('Monthly BSE Equity Cash'!$G:$G,'Monthly BSE Equity Cash'!$A:$A,$A143))</f>
        <v/>
      </c>
      <c r="F143" s="4">
        <f>IF(OR(D143="",E143=""),"",D143+E143)</f>
        <v/>
      </c>
      <c r="G143" s="7">
        <f>IF(OR(D143="",D131=""),"",D143/D131-1)</f>
        <v/>
      </c>
      <c r="H143" s="7">
        <f>IF(OR(E143="",E131=""),"",E143/E131-1)</f>
        <v/>
      </c>
      <c r="I143" s="7">
        <f>IF(OR(F143="",F131=""),"",F143/F131-1)</f>
        <v/>
      </c>
      <c r="J143" s="7">
        <f>IF(OR(D143="",D142=""),"",D143/D142-1)</f>
        <v/>
      </c>
      <c r="K143" s="7">
        <f>IF(OR(E143="",E142=""),"",E143/E142-1)</f>
        <v/>
      </c>
      <c r="L143" s="7">
        <f>IF(OR(F143="",F142=""),"",F143/F142-1)</f>
        <v/>
      </c>
      <c r="M143" s="7">
        <f>IF(F143="","",D143/F143)</f>
        <v/>
      </c>
      <c r="N143" s="7">
        <f>IF(F143="","",E143/F143)</f>
        <v/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/>
      </c>
      <c r="E144" s="4">
        <f>IF(SUMIFS('Monthly BSE Equity Cash'!$G:$G,'Monthly BSE Equity Cash'!$A:$A,$A144)=0,"",SUMIFS('Monthly BSE Equity Cash'!$G:$G,'Monthly BSE Equity Cash'!$A:$A,$A144))</f>
        <v/>
      </c>
      <c r="F144" s="4">
        <f>IF(OR(D144="",E144=""),"",D144+E144)</f>
        <v/>
      </c>
      <c r="G144" s="7">
        <f>IF(OR(D144="",D132=""),"",D144/D132-1)</f>
        <v/>
      </c>
      <c r="H144" s="7">
        <f>IF(OR(E144="",E132=""),"",E144/E132-1)</f>
        <v/>
      </c>
      <c r="I144" s="7">
        <f>IF(OR(F144="",F132=""),"",F144/F132-1)</f>
        <v/>
      </c>
      <c r="J144" s="7">
        <f>IF(OR(D144="",D143=""),"",D144/D143-1)</f>
        <v/>
      </c>
      <c r="K144" s="7">
        <f>IF(OR(E144="",E143=""),"",E144/E143-1)</f>
        <v/>
      </c>
      <c r="L144" s="7">
        <f>IF(OR(F144="",F143=""),"",F144/F143-1)</f>
        <v/>
      </c>
      <c r="M144" s="7">
        <f>IF(F144="","",D144/F144)</f>
        <v/>
      </c>
      <c r="N144" s="7">
        <f>IF(F144="","",E144/F144)</f>
        <v/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/>
      </c>
      <c r="E145" s="4">
        <f>IF(SUMIFS('Monthly BSE Equity Cash'!$G:$G,'Monthly BSE Equity Cash'!$A:$A,$A145)=0,"",SUMIFS('Monthly BSE Equity Cash'!$G:$G,'Monthly BSE Equity Cash'!$A:$A,$A145))</f>
        <v/>
      </c>
      <c r="F145" s="4">
        <f>IF(OR(D145="",E145=""),"",D145+E145)</f>
        <v/>
      </c>
      <c r="G145" s="7">
        <f>IF(OR(D145="",D133=""),"",D145/D133-1)</f>
        <v/>
      </c>
      <c r="H145" s="7">
        <f>IF(OR(E145="",E133=""),"",E145/E133-1)</f>
        <v/>
      </c>
      <c r="I145" s="7">
        <f>IF(OR(F145="",F133=""),"",F145/F133-1)</f>
        <v/>
      </c>
      <c r="J145" s="7">
        <f>IF(OR(D145="",D144=""),"",D145/D144-1)</f>
        <v/>
      </c>
      <c r="K145" s="7">
        <f>IF(OR(E145="",E144=""),"",E145/E144-1)</f>
        <v/>
      </c>
      <c r="L145" s="7">
        <f>IF(OR(F145="",F144=""),"",F145/F144-1)</f>
        <v/>
      </c>
      <c r="M145" s="7">
        <f>IF(F145="","",D145/F145)</f>
        <v/>
      </c>
      <c r="N145" s="7">
        <f>IF(F145="","",E145/F145)</f>
        <v/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/>
      </c>
      <c r="E146" s="4">
        <f>IF(SUMIFS('Monthly BSE Equity Cash'!$G:$G,'Monthly BSE Equity Cash'!$A:$A,$A146)=0,"",SUMIFS('Monthly BSE Equity Cash'!$G:$G,'Monthly BSE Equity Cash'!$A:$A,$A146))</f>
        <v/>
      </c>
      <c r="F146" s="4">
        <f>IF(OR(D146="",E146=""),"",D146+E146)</f>
        <v/>
      </c>
      <c r="G146" s="7">
        <f>IF(OR(D146="",D134=""),"",D146/D134-1)</f>
        <v/>
      </c>
      <c r="H146" s="7">
        <f>IF(OR(E146="",E134=""),"",E146/E134-1)</f>
        <v/>
      </c>
      <c r="I146" s="7">
        <f>IF(OR(F146="",F134=""),"",F146/F134-1)</f>
        <v/>
      </c>
      <c r="J146" s="7">
        <f>IF(OR(D146="",D145=""),"",D146/D145-1)</f>
        <v/>
      </c>
      <c r="K146" s="7">
        <f>IF(OR(E146="",E145=""),"",E146/E145-1)</f>
        <v/>
      </c>
      <c r="L146" s="7">
        <f>IF(OR(F146="",F145=""),"",F146/F145-1)</f>
        <v/>
      </c>
      <c r="M146" s="7">
        <f>IF(F146="","",D146/F146)</f>
        <v/>
      </c>
      <c r="N146" s="7">
        <f>IF(F146="","",E146/F146)</f>
        <v/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/>
      </c>
      <c r="E147" s="4">
        <f>IF(SUMIFS('Monthly BSE Equity Cash'!$G:$G,'Monthly BSE Equity Cash'!$A:$A,$A147)=0,"",SUMIFS('Monthly BSE Equity Cash'!$G:$G,'Monthly BSE Equity Cash'!$A:$A,$A147))</f>
        <v/>
      </c>
      <c r="F147" s="4">
        <f>IF(OR(D147="",E147=""),"",D147+E147)</f>
        <v/>
      </c>
      <c r="G147" s="7">
        <f>IF(OR(D147="",D135=""),"",D147/D135-1)</f>
        <v/>
      </c>
      <c r="H147" s="7">
        <f>IF(OR(E147="",E135=""),"",E147/E135-1)</f>
        <v/>
      </c>
      <c r="I147" s="7">
        <f>IF(OR(F147="",F135=""),"",F147/F135-1)</f>
        <v/>
      </c>
      <c r="J147" s="7">
        <f>IF(OR(D147="",D146=""),"",D147/D146-1)</f>
        <v/>
      </c>
      <c r="K147" s="7">
        <f>IF(OR(E147="",E146=""),"",E147/E146-1)</f>
        <v/>
      </c>
      <c r="L147" s="7">
        <f>IF(OR(F147="",F146=""),"",F147/F146-1)</f>
        <v/>
      </c>
      <c r="M147" s="7">
        <f>IF(F147="","",D147/F147)</f>
        <v/>
      </c>
      <c r="N147" s="7">
        <f>IF(F147="","",E147/F147)</f>
        <v/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/>
      </c>
      <c r="E148" s="4">
        <f>IF(SUMIFS('Monthly BSE Equity Cash'!$G:$G,'Monthly BSE Equity Cash'!$A:$A,$A148)=0,"",SUMIFS('Monthly BSE Equity Cash'!$G:$G,'Monthly BSE Equity Cash'!$A:$A,$A148))</f>
        <v/>
      </c>
      <c r="F148" s="4">
        <f>IF(OR(D148="",E148=""),"",D148+E148)</f>
        <v/>
      </c>
      <c r="G148" s="7">
        <f>IF(OR(D148="",D136=""),"",D148/D136-1)</f>
        <v/>
      </c>
      <c r="H148" s="7">
        <f>IF(OR(E148="",E136=""),"",E148/E136-1)</f>
        <v/>
      </c>
      <c r="I148" s="7">
        <f>IF(OR(F148="",F136=""),"",F148/F136-1)</f>
        <v/>
      </c>
      <c r="J148" s="7">
        <f>IF(OR(D148="",D147=""),"",D148/D147-1)</f>
        <v/>
      </c>
      <c r="K148" s="7">
        <f>IF(OR(E148="",E147=""),"",E148/E147-1)</f>
        <v/>
      </c>
      <c r="L148" s="7">
        <f>IF(OR(F148="",F147=""),"",F148/F147-1)</f>
        <v/>
      </c>
      <c r="M148" s="7">
        <f>IF(F148="","",D148/F148)</f>
        <v/>
      </c>
      <c r="N148" s="7">
        <f>IF(F148="","",E148/F148)</f>
        <v/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/>
      </c>
      <c r="E149" s="4">
        <f>IF(SUMIFS('Monthly BSE Equity Cash'!$G:$G,'Monthly BSE Equity Cash'!$A:$A,$A149)=0,"",SUMIFS('Monthly BSE Equity Cash'!$G:$G,'Monthly BSE Equity Cash'!$A:$A,$A149))</f>
        <v/>
      </c>
      <c r="F149" s="4">
        <f>IF(OR(D149="",E149=""),"",D149+E149)</f>
        <v/>
      </c>
      <c r="G149" s="7">
        <f>IF(OR(D149="",D137=""),"",D149/D137-1)</f>
        <v/>
      </c>
      <c r="H149" s="7">
        <f>IF(OR(E149="",E137=""),"",E149/E137-1)</f>
        <v/>
      </c>
      <c r="I149" s="7">
        <f>IF(OR(F149="",F137=""),"",F149/F137-1)</f>
        <v/>
      </c>
      <c r="J149" s="7">
        <f>IF(OR(D149="",D148=""),"",D149/D148-1)</f>
        <v/>
      </c>
      <c r="K149" s="7">
        <f>IF(OR(E149="",E148=""),"",E149/E148-1)</f>
        <v/>
      </c>
      <c r="L149" s="7">
        <f>IF(OR(F149="",F148=""),"",F149/F148-1)</f>
        <v/>
      </c>
      <c r="M149" s="7">
        <f>IF(F149="","",D149/F149)</f>
        <v/>
      </c>
      <c r="N149" s="7">
        <f>IF(F149="","",E149/F149)</f>
        <v/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/>
      </c>
      <c r="E150" s="4">
        <f>IF(SUMIFS('Monthly BSE Equity Cash'!$G:$G,'Monthly BSE Equity Cash'!$A:$A,$A150)=0,"",SUMIFS('Monthly BSE Equity Cash'!$G:$G,'Monthly BSE Equity Cash'!$A:$A,$A150))</f>
        <v/>
      </c>
      <c r="F150" s="4">
        <f>IF(OR(D150="",E150=""),"",D150+E150)</f>
        <v/>
      </c>
      <c r="G150" s="7">
        <f>IF(OR(D150="",D138=""),"",D150/D138-1)</f>
        <v/>
      </c>
      <c r="H150" s="7">
        <f>IF(OR(E150="",E138=""),"",E150/E138-1)</f>
        <v/>
      </c>
      <c r="I150" s="7">
        <f>IF(OR(F150="",F138=""),"",F150/F138-1)</f>
        <v/>
      </c>
      <c r="J150" s="7">
        <f>IF(OR(D150="",D149=""),"",D150/D149-1)</f>
        <v/>
      </c>
      <c r="K150" s="7">
        <f>IF(OR(E150="",E149=""),"",E150/E149-1)</f>
        <v/>
      </c>
      <c r="L150" s="7">
        <f>IF(OR(F150="",F149=""),"",F150/F149-1)</f>
        <v/>
      </c>
      <c r="M150" s="7">
        <f>IF(F150="","",D150/F150)</f>
        <v/>
      </c>
      <c r="N150" s="7">
        <f>IF(F150="","",E150/F150)</f>
        <v/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/>
      </c>
      <c r="E151" s="4">
        <f>IF(SUMIFS('Monthly BSE Equity Cash'!$G:$G,'Monthly BSE Equity Cash'!$A:$A,$A151)=0,"",SUMIFS('Monthly BSE Equity Cash'!$G:$G,'Monthly BSE Equity Cash'!$A:$A,$A151))</f>
        <v/>
      </c>
      <c r="F151" s="4">
        <f>IF(OR(D151="",E151=""),"",D151+E151)</f>
        <v/>
      </c>
      <c r="G151" s="7">
        <f>IF(OR(D151="",D139=""),"",D151/D139-1)</f>
        <v/>
      </c>
      <c r="H151" s="7">
        <f>IF(OR(E151="",E139=""),"",E151/E139-1)</f>
        <v/>
      </c>
      <c r="I151" s="7">
        <f>IF(OR(F151="",F139=""),"",F151/F139-1)</f>
        <v/>
      </c>
      <c r="J151" s="7">
        <f>IF(OR(D151="",D150=""),"",D151/D150-1)</f>
        <v/>
      </c>
      <c r="K151" s="7">
        <f>IF(OR(E151="",E150=""),"",E151/E150-1)</f>
        <v/>
      </c>
      <c r="L151" s="7">
        <f>IF(OR(F151="",F150=""),"",F151/F150-1)</f>
        <v/>
      </c>
      <c r="M151" s="7">
        <f>IF(F151="","",D151/F151)</f>
        <v/>
      </c>
      <c r="N151" s="7">
        <f>IF(F151="","",E151/F151)</f>
        <v/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/>
      </c>
      <c r="E152" s="4">
        <f>IF(SUMIFS('Monthly BSE Equity Cash'!$G:$G,'Monthly BSE Equity Cash'!$A:$A,$A152)=0,"",SUMIFS('Monthly BSE Equity Cash'!$G:$G,'Monthly BSE Equity Cash'!$A:$A,$A152))</f>
        <v/>
      </c>
      <c r="F152" s="4">
        <f>IF(OR(D152="",E152=""),"",D152+E152)</f>
        <v/>
      </c>
      <c r="G152" s="7">
        <f>IF(OR(D152="",D140=""),"",D152/D140-1)</f>
        <v/>
      </c>
      <c r="H152" s="7">
        <f>IF(OR(E152="",E140=""),"",E152/E140-1)</f>
        <v/>
      </c>
      <c r="I152" s="7">
        <f>IF(OR(F152="",F140=""),"",F152/F140-1)</f>
        <v/>
      </c>
      <c r="J152" s="7">
        <f>IF(OR(D152="",D151=""),"",D152/D151-1)</f>
        <v/>
      </c>
      <c r="K152" s="7">
        <f>IF(OR(E152="",E151=""),"",E152/E151-1)</f>
        <v/>
      </c>
      <c r="L152" s="7">
        <f>IF(OR(F152="",F151=""),"",F152/F151-1)</f>
        <v/>
      </c>
      <c r="M152" s="7">
        <f>IF(F152="","",D152/F152)</f>
        <v/>
      </c>
      <c r="N152" s="7">
        <f>IF(F152="","",E152/F152)</f>
        <v/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/>
      </c>
      <c r="E153" s="4">
        <f>IF(SUMIFS('Monthly BSE Equity Cash'!$G:$G,'Monthly BSE Equity Cash'!$A:$A,$A153)=0,"",SUMIFS('Monthly BSE Equity Cash'!$G:$G,'Monthly BSE Equity Cash'!$A:$A,$A153))</f>
        <v/>
      </c>
      <c r="F153" s="4">
        <f>IF(OR(D153="",E153=""),"",D153+E153)</f>
        <v/>
      </c>
      <c r="G153" s="7">
        <f>IF(OR(D153="",D141=""),"",D153/D141-1)</f>
        <v/>
      </c>
      <c r="H153" s="7">
        <f>IF(OR(E153="",E141=""),"",E153/E141-1)</f>
        <v/>
      </c>
      <c r="I153" s="7">
        <f>IF(OR(F153="",F141=""),"",F153/F141-1)</f>
        <v/>
      </c>
      <c r="J153" s="7">
        <f>IF(OR(D153="",D152=""),"",D153/D152-1)</f>
        <v/>
      </c>
      <c r="K153" s="7">
        <f>IF(OR(E153="",E152=""),"",E153/E152-1)</f>
        <v/>
      </c>
      <c r="L153" s="7">
        <f>IF(OR(F153="",F152=""),"",F153/F152-1)</f>
        <v/>
      </c>
      <c r="M153" s="7">
        <f>IF(F153="","",D153/F153)</f>
        <v/>
      </c>
      <c r="N153" s="7">
        <f>IF(F153="","",E153/F153)</f>
        <v/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/>
      </c>
      <c r="E154" s="4">
        <f>IF(SUMIFS('Monthly BSE Equity Cash'!$G:$G,'Monthly BSE Equity Cash'!$A:$A,$A154)=0,"",SUMIFS('Monthly BSE Equity Cash'!$G:$G,'Monthly BSE Equity Cash'!$A:$A,$A154))</f>
        <v/>
      </c>
      <c r="F154" s="4">
        <f>IF(OR(D154="",E154=""),"",D154+E154)</f>
        <v/>
      </c>
      <c r="G154" s="7">
        <f>IF(OR(D154="",D142=""),"",D154/D142-1)</f>
        <v/>
      </c>
      <c r="H154" s="7">
        <f>IF(OR(E154="",E142=""),"",E154/E142-1)</f>
        <v/>
      </c>
      <c r="I154" s="7">
        <f>IF(OR(F154="",F142=""),"",F154/F142-1)</f>
        <v/>
      </c>
      <c r="J154" s="7">
        <f>IF(OR(D154="",D153=""),"",D154/D153-1)</f>
        <v/>
      </c>
      <c r="K154" s="7">
        <f>IF(OR(E154="",E153=""),"",E154/E153-1)</f>
        <v/>
      </c>
      <c r="L154" s="7">
        <f>IF(OR(F154="",F153=""),"",F154/F153-1)</f>
        <v/>
      </c>
      <c r="M154" s="7">
        <f>IF(F154="","",D154/F154)</f>
        <v/>
      </c>
      <c r="N154" s="7">
        <f>IF(F154="","",E154/F154)</f>
        <v/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/>
      </c>
      <c r="E155" s="4">
        <f>IF(SUMIFS('Monthly BSE Equity Cash'!$G:$G,'Monthly BSE Equity Cash'!$A:$A,$A155)=0,"",SUMIFS('Monthly BSE Equity Cash'!$G:$G,'Monthly BSE Equity Cash'!$A:$A,$A155))</f>
        <v/>
      </c>
      <c r="F155" s="4">
        <f>IF(OR(D155="",E155=""),"",D155+E155)</f>
        <v/>
      </c>
      <c r="G155" s="7">
        <f>IF(OR(D155="",D143=""),"",D155/D143-1)</f>
        <v/>
      </c>
      <c r="H155" s="7">
        <f>IF(OR(E155="",E143=""),"",E155/E143-1)</f>
        <v/>
      </c>
      <c r="I155" s="7">
        <f>IF(OR(F155="",F143=""),"",F155/F143-1)</f>
        <v/>
      </c>
      <c r="J155" s="7">
        <f>IF(OR(D155="",D154=""),"",D155/D154-1)</f>
        <v/>
      </c>
      <c r="K155" s="7">
        <f>IF(OR(E155="",E154=""),"",E155/E154-1)</f>
        <v/>
      </c>
      <c r="L155" s="7">
        <f>IF(OR(F155="",F154=""),"",F155/F154-1)</f>
        <v/>
      </c>
      <c r="M155" s="7">
        <f>IF(F155="","",D155/F155)</f>
        <v/>
      </c>
      <c r="N155" s="7">
        <f>IF(F155="","",E155/F155)</f>
        <v/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/>
      </c>
      <c r="E156" s="4">
        <f>IF(SUMIFS('Monthly BSE Equity Cash'!$G:$G,'Monthly BSE Equity Cash'!$A:$A,$A156)=0,"",SUMIFS('Monthly BSE Equity Cash'!$G:$G,'Monthly BSE Equity Cash'!$A:$A,$A156))</f>
        <v/>
      </c>
      <c r="F156" s="4">
        <f>IF(OR(D156="",E156=""),"",D156+E156)</f>
        <v/>
      </c>
      <c r="G156" s="7">
        <f>IF(OR(D156="",D144=""),"",D156/D144-1)</f>
        <v/>
      </c>
      <c r="H156" s="7">
        <f>IF(OR(E156="",E144=""),"",E156/E144-1)</f>
        <v/>
      </c>
      <c r="I156" s="7">
        <f>IF(OR(F156="",F144=""),"",F156/F144-1)</f>
        <v/>
      </c>
      <c r="J156" s="7">
        <f>IF(OR(D156="",D155=""),"",D156/D155-1)</f>
        <v/>
      </c>
      <c r="K156" s="7">
        <f>IF(OR(E156="",E155=""),"",E156/E155-1)</f>
        <v/>
      </c>
      <c r="L156" s="7">
        <f>IF(OR(F156="",F155=""),"",F156/F155-1)</f>
        <v/>
      </c>
      <c r="M156" s="7">
        <f>IF(F156="","",D156/F156)</f>
        <v/>
      </c>
      <c r="N156" s="7">
        <f>IF(F156="","",E156/F156)</f>
        <v/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/>
      </c>
      <c r="E157" s="4">
        <f>IF(SUMIFS('Monthly BSE Equity Cash'!$G:$G,'Monthly BSE Equity Cash'!$A:$A,$A157)=0,"",SUMIFS('Monthly BSE Equity Cash'!$G:$G,'Monthly BSE Equity Cash'!$A:$A,$A157))</f>
        <v/>
      </c>
      <c r="F157" s="4">
        <f>IF(OR(D157="",E157=""),"",D157+E157)</f>
        <v/>
      </c>
      <c r="G157" s="7">
        <f>IF(OR(D157="",D145=""),"",D157/D145-1)</f>
        <v/>
      </c>
      <c r="H157" s="7">
        <f>IF(OR(E157="",E145=""),"",E157/E145-1)</f>
        <v/>
      </c>
      <c r="I157" s="7">
        <f>IF(OR(F157="",F145=""),"",F157/F145-1)</f>
        <v/>
      </c>
      <c r="J157" s="7">
        <f>IF(OR(D157="",D156=""),"",D157/D156-1)</f>
        <v/>
      </c>
      <c r="K157" s="7">
        <f>IF(OR(E157="",E156=""),"",E157/E156-1)</f>
        <v/>
      </c>
      <c r="L157" s="7">
        <f>IF(OR(F157="",F156=""),"",F157/F156-1)</f>
        <v/>
      </c>
      <c r="M157" s="7">
        <f>IF(F157="","",D157/F157)</f>
        <v/>
      </c>
      <c r="N157" s="7">
        <f>IF(F157="","",E157/F157)</f>
        <v/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/>
      </c>
      <c r="E158" s="4">
        <f>IF(SUMIFS('Monthly BSE Equity Cash'!$G:$G,'Monthly BSE Equity Cash'!$A:$A,$A158)=0,"",SUMIFS('Monthly BSE Equity Cash'!$G:$G,'Monthly BSE Equity Cash'!$A:$A,$A158))</f>
        <v/>
      </c>
      <c r="F158" s="4">
        <f>IF(OR(D158="",E158=""),"",D158+E158)</f>
        <v/>
      </c>
      <c r="G158" s="7">
        <f>IF(OR(D158="",D146=""),"",D158/D146-1)</f>
        <v/>
      </c>
      <c r="H158" s="7">
        <f>IF(OR(E158="",E146=""),"",E158/E146-1)</f>
        <v/>
      </c>
      <c r="I158" s="7">
        <f>IF(OR(F158="",F146=""),"",F158/F146-1)</f>
        <v/>
      </c>
      <c r="J158" s="7">
        <f>IF(OR(D158="",D157=""),"",D158/D157-1)</f>
        <v/>
      </c>
      <c r="K158" s="7">
        <f>IF(OR(E158="",E157=""),"",E158/E157-1)</f>
        <v/>
      </c>
      <c r="L158" s="7">
        <f>IF(OR(F158="",F157=""),"",F158/F157-1)</f>
        <v/>
      </c>
      <c r="M158" s="7">
        <f>IF(F158="","",D158/F158)</f>
        <v/>
      </c>
      <c r="N158" s="7">
        <f>IF(F158="","",E158/F158)</f>
        <v/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/>
      </c>
      <c r="E159" s="4">
        <f>IF(SUMIFS('Monthly BSE Equity Cash'!$G:$G,'Monthly BSE Equity Cash'!$A:$A,$A159)=0,"",SUMIFS('Monthly BSE Equity Cash'!$G:$G,'Monthly BSE Equity Cash'!$A:$A,$A159))</f>
        <v/>
      </c>
      <c r="F159" s="4">
        <f>IF(OR(D159="",E159=""),"",D159+E159)</f>
        <v/>
      </c>
      <c r="G159" s="7">
        <f>IF(OR(D159="",D147=""),"",D159/D147-1)</f>
        <v/>
      </c>
      <c r="H159" s="7">
        <f>IF(OR(E159="",E147=""),"",E159/E147-1)</f>
        <v/>
      </c>
      <c r="I159" s="7">
        <f>IF(OR(F159="",F147=""),"",F159/F147-1)</f>
        <v/>
      </c>
      <c r="J159" s="7">
        <f>IF(OR(D159="",D158=""),"",D159/D158-1)</f>
        <v/>
      </c>
      <c r="K159" s="7">
        <f>IF(OR(E159="",E158=""),"",E159/E158-1)</f>
        <v/>
      </c>
      <c r="L159" s="7">
        <f>IF(OR(F159="",F158=""),"",F159/F158-1)</f>
        <v/>
      </c>
      <c r="M159" s="7">
        <f>IF(F159="","",D159/F159)</f>
        <v/>
      </c>
      <c r="N159" s="7">
        <f>IF(F159="","",E159/F159)</f>
        <v/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/>
      </c>
      <c r="E160" s="4">
        <f>IF(SUMIFS('Monthly BSE Equity Cash'!$G:$G,'Monthly BSE Equity Cash'!$A:$A,$A160)=0,"",SUMIFS('Monthly BSE Equity Cash'!$G:$G,'Monthly BSE Equity Cash'!$A:$A,$A160))</f>
        <v/>
      </c>
      <c r="F160" s="4">
        <f>IF(OR(D160="",E160=""),"",D160+E160)</f>
        <v/>
      </c>
      <c r="G160" s="7">
        <f>IF(OR(D160="",D148=""),"",D160/D148-1)</f>
        <v/>
      </c>
      <c r="H160" s="7">
        <f>IF(OR(E160="",E148=""),"",E160/E148-1)</f>
        <v/>
      </c>
      <c r="I160" s="7">
        <f>IF(OR(F160="",F148=""),"",F160/F148-1)</f>
        <v/>
      </c>
      <c r="J160" s="7">
        <f>IF(OR(D160="",D159=""),"",D160/D159-1)</f>
        <v/>
      </c>
      <c r="K160" s="7">
        <f>IF(OR(E160="",E159=""),"",E160/E159-1)</f>
        <v/>
      </c>
      <c r="L160" s="7">
        <f>IF(OR(F160="",F159=""),"",F160/F159-1)</f>
        <v/>
      </c>
      <c r="M160" s="7">
        <f>IF(F160="","",D160/F160)</f>
        <v/>
      </c>
      <c r="N160" s="7">
        <f>IF(F160="","",E160/F160)</f>
        <v/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/>
      </c>
      <c r="E161" s="4">
        <f>IF(SUMIFS('Monthly BSE Equity Cash'!$G:$G,'Monthly BSE Equity Cash'!$A:$A,$A161)=0,"",SUMIFS('Monthly BSE Equity Cash'!$G:$G,'Monthly BSE Equity Cash'!$A:$A,$A161))</f>
        <v/>
      </c>
      <c r="F161" s="4">
        <f>IF(OR(D161="",E161=""),"",D161+E161)</f>
        <v/>
      </c>
      <c r="G161" s="7">
        <f>IF(OR(D161="",D149=""),"",D161/D149-1)</f>
        <v/>
      </c>
      <c r="H161" s="7">
        <f>IF(OR(E161="",E149=""),"",E161/E149-1)</f>
        <v/>
      </c>
      <c r="I161" s="7">
        <f>IF(OR(F161="",F149=""),"",F161/F149-1)</f>
        <v/>
      </c>
      <c r="J161" s="7">
        <f>IF(OR(D161="",D160=""),"",D161/D160-1)</f>
        <v/>
      </c>
      <c r="K161" s="7">
        <f>IF(OR(E161="",E160=""),"",E161/E160-1)</f>
        <v/>
      </c>
      <c r="L161" s="7">
        <f>IF(OR(F161="",F160=""),"",F161/F160-1)</f>
        <v/>
      </c>
      <c r="M161" s="7">
        <f>IF(F161="","",D161/F161)</f>
        <v/>
      </c>
      <c r="N161" s="7">
        <f>IF(F161="","",E161/F161)</f>
        <v/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/>
      </c>
      <c r="E162" s="4">
        <f>IF(SUMIFS('Monthly BSE Equity Cash'!$G:$G,'Monthly BSE Equity Cash'!$A:$A,$A162)=0,"",SUMIFS('Monthly BSE Equity Cash'!$G:$G,'Monthly BSE Equity Cash'!$A:$A,$A162))</f>
        <v/>
      </c>
      <c r="F162" s="4">
        <f>IF(OR(D162="",E162=""),"",D162+E162)</f>
        <v/>
      </c>
      <c r="G162" s="7">
        <f>IF(OR(D162="",D150=""),"",D162/D150-1)</f>
        <v/>
      </c>
      <c r="H162" s="7">
        <f>IF(OR(E162="",E150=""),"",E162/E150-1)</f>
        <v/>
      </c>
      <c r="I162" s="7">
        <f>IF(OR(F162="",F150=""),"",F162/F150-1)</f>
        <v/>
      </c>
      <c r="J162" s="7">
        <f>IF(OR(D162="",D161=""),"",D162/D161-1)</f>
        <v/>
      </c>
      <c r="K162" s="7">
        <f>IF(OR(E162="",E161=""),"",E162/E161-1)</f>
        <v/>
      </c>
      <c r="L162" s="7">
        <f>IF(OR(F162="",F161=""),"",F162/F161-1)</f>
        <v/>
      </c>
      <c r="M162" s="7">
        <f>IF(F162="","",D162/F162)</f>
        <v/>
      </c>
      <c r="N162" s="7">
        <f>IF(F162="","",E162/F162)</f>
        <v/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/>
      </c>
      <c r="E163" s="4">
        <f>IF(SUMIFS('Monthly BSE Equity Cash'!$G:$G,'Monthly BSE Equity Cash'!$A:$A,$A163)=0,"",SUMIFS('Monthly BSE Equity Cash'!$G:$G,'Monthly BSE Equity Cash'!$A:$A,$A163))</f>
        <v/>
      </c>
      <c r="F163" s="4">
        <f>IF(OR(D163="",E163=""),"",D163+E163)</f>
        <v/>
      </c>
      <c r="G163" s="7">
        <f>IF(OR(D163="",D151=""),"",D163/D151-1)</f>
        <v/>
      </c>
      <c r="H163" s="7">
        <f>IF(OR(E163="",E151=""),"",E163/E151-1)</f>
        <v/>
      </c>
      <c r="I163" s="7">
        <f>IF(OR(F163="",F151=""),"",F163/F151-1)</f>
        <v/>
      </c>
      <c r="J163" s="7">
        <f>IF(OR(D163="",D162=""),"",D163/D162-1)</f>
        <v/>
      </c>
      <c r="K163" s="7">
        <f>IF(OR(E163="",E162=""),"",E163/E162-1)</f>
        <v/>
      </c>
      <c r="L163" s="7">
        <f>IF(OR(F163="",F162=""),"",F163/F162-1)</f>
        <v/>
      </c>
      <c r="M163" s="7">
        <f>IF(F163="","",D163/F163)</f>
        <v/>
      </c>
      <c r="N163" s="7">
        <f>IF(F163="","",E163/F163)</f>
        <v/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/>
      </c>
      <c r="E164" s="4">
        <f>IF(SUMIFS('Monthly BSE Equity Cash'!$G:$G,'Monthly BSE Equity Cash'!$A:$A,$A164)=0,"",SUMIFS('Monthly BSE Equity Cash'!$G:$G,'Monthly BSE Equity Cash'!$A:$A,$A164))</f>
        <v/>
      </c>
      <c r="F164" s="4">
        <f>IF(OR(D164="",E164=""),"",D164+E164)</f>
        <v/>
      </c>
      <c r="G164" s="7">
        <f>IF(OR(D164="",D152=""),"",D164/D152-1)</f>
        <v/>
      </c>
      <c r="H164" s="7">
        <f>IF(OR(E164="",E152=""),"",E164/E152-1)</f>
        <v/>
      </c>
      <c r="I164" s="7">
        <f>IF(OR(F164="",F152=""),"",F164/F152-1)</f>
        <v/>
      </c>
      <c r="J164" s="7">
        <f>IF(OR(D164="",D163=""),"",D164/D163-1)</f>
        <v/>
      </c>
      <c r="K164" s="7">
        <f>IF(OR(E164="",E163=""),"",E164/E163-1)</f>
        <v/>
      </c>
      <c r="L164" s="7">
        <f>IF(OR(F164="",F163=""),"",F164/F163-1)</f>
        <v/>
      </c>
      <c r="M164" s="7">
        <f>IF(F164="","",D164/F164)</f>
        <v/>
      </c>
      <c r="N164" s="7">
        <f>IF(F164="","",E164/F164)</f>
        <v/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/>
      </c>
      <c r="E165" s="4">
        <f>IF(SUMIFS('Monthly BSE Equity Cash'!$G:$G,'Monthly BSE Equity Cash'!$A:$A,$A165)=0,"",SUMIFS('Monthly BSE Equity Cash'!$G:$G,'Monthly BSE Equity Cash'!$A:$A,$A165))</f>
        <v/>
      </c>
      <c r="F165" s="4">
        <f>IF(OR(D165="",E165=""),"",D165+E165)</f>
        <v/>
      </c>
      <c r="G165" s="7">
        <f>IF(OR(D165="",D153=""),"",D165/D153-1)</f>
        <v/>
      </c>
      <c r="H165" s="7">
        <f>IF(OR(E165="",E153=""),"",E165/E153-1)</f>
        <v/>
      </c>
      <c r="I165" s="7">
        <f>IF(OR(F165="",F153=""),"",F165/F153-1)</f>
        <v/>
      </c>
      <c r="J165" s="7">
        <f>IF(OR(D165="",D164=""),"",D165/D164-1)</f>
        <v/>
      </c>
      <c r="K165" s="7">
        <f>IF(OR(E165="",E164=""),"",E165/E164-1)</f>
        <v/>
      </c>
      <c r="L165" s="7">
        <f>IF(OR(F165="",F164=""),"",F165/F164-1)</f>
        <v/>
      </c>
      <c r="M165" s="7">
        <f>IF(F165="","",D165/F165)</f>
        <v/>
      </c>
      <c r="N165" s="7">
        <f>IF(F165="","",E165/F165)</f>
        <v/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/>
      </c>
      <c r="E166" s="4">
        <f>IF(SUMIFS('Monthly BSE Equity Cash'!$G:$G,'Monthly BSE Equity Cash'!$A:$A,$A166)=0,"",SUMIFS('Monthly BSE Equity Cash'!$G:$G,'Monthly BSE Equity Cash'!$A:$A,$A166))</f>
        <v/>
      </c>
      <c r="F166" s="4">
        <f>IF(OR(D166="",E166=""),"",D166+E166)</f>
        <v/>
      </c>
      <c r="G166" s="7">
        <f>IF(OR(D166="",D154=""),"",D166/D154-1)</f>
        <v/>
      </c>
      <c r="H166" s="7">
        <f>IF(OR(E166="",E154=""),"",E166/E154-1)</f>
        <v/>
      </c>
      <c r="I166" s="7">
        <f>IF(OR(F166="",F154=""),"",F166/F154-1)</f>
        <v/>
      </c>
      <c r="J166" s="7">
        <f>IF(OR(D166="",D165=""),"",D166/D165-1)</f>
        <v/>
      </c>
      <c r="K166" s="7">
        <f>IF(OR(E166="",E165=""),"",E166/E165-1)</f>
        <v/>
      </c>
      <c r="L166" s="7">
        <f>IF(OR(F166="",F165=""),"",F166/F165-1)</f>
        <v/>
      </c>
      <c r="M166" s="7">
        <f>IF(F166="","",D166/F166)</f>
        <v/>
      </c>
      <c r="N166" s="7">
        <f>IF(F166="","",E166/F166)</f>
        <v/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/>
      </c>
      <c r="E167" s="4">
        <f>IF(SUMIFS('Monthly BSE Equity Cash'!$G:$G,'Monthly BSE Equity Cash'!$A:$A,$A167)=0,"",SUMIFS('Monthly BSE Equity Cash'!$G:$G,'Monthly BSE Equity Cash'!$A:$A,$A167))</f>
        <v/>
      </c>
      <c r="F167" s="4">
        <f>IF(OR(D167="",E167=""),"",D167+E167)</f>
        <v/>
      </c>
      <c r="G167" s="7">
        <f>IF(OR(D167="",D155=""),"",D167/D155-1)</f>
        <v/>
      </c>
      <c r="H167" s="7">
        <f>IF(OR(E167="",E155=""),"",E167/E155-1)</f>
        <v/>
      </c>
      <c r="I167" s="7">
        <f>IF(OR(F167="",F155=""),"",F167/F155-1)</f>
        <v/>
      </c>
      <c r="J167" s="7">
        <f>IF(OR(D167="",D166=""),"",D167/D166-1)</f>
        <v/>
      </c>
      <c r="K167" s="7">
        <f>IF(OR(E167="",E166=""),"",E167/E166-1)</f>
        <v/>
      </c>
      <c r="L167" s="7">
        <f>IF(OR(F167="",F166=""),"",F167/F166-1)</f>
        <v/>
      </c>
      <c r="M167" s="7">
        <f>IF(F167="","",D167/F167)</f>
        <v/>
      </c>
      <c r="N167" s="7">
        <f>IF(F167="","",E167/F167)</f>
        <v/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/>
      </c>
      <c r="E168" s="4">
        <f>IF(SUMIFS('Monthly BSE Equity Cash'!$G:$G,'Monthly BSE Equity Cash'!$A:$A,$A168)=0,"",SUMIFS('Monthly BSE Equity Cash'!$G:$G,'Monthly BSE Equity Cash'!$A:$A,$A168))</f>
        <v/>
      </c>
      <c r="F168" s="4">
        <f>IF(OR(D168="",E168=""),"",D168+E168)</f>
        <v/>
      </c>
      <c r="G168" s="7">
        <f>IF(OR(D168="",D156=""),"",D168/D156-1)</f>
        <v/>
      </c>
      <c r="H168" s="7">
        <f>IF(OR(E168="",E156=""),"",E168/E156-1)</f>
        <v/>
      </c>
      <c r="I168" s="7">
        <f>IF(OR(F168="",F156=""),"",F168/F156-1)</f>
        <v/>
      </c>
      <c r="J168" s="7">
        <f>IF(OR(D168="",D167=""),"",D168/D167-1)</f>
        <v/>
      </c>
      <c r="K168" s="7">
        <f>IF(OR(E168="",E167=""),"",E168/E167-1)</f>
        <v/>
      </c>
      <c r="L168" s="7">
        <f>IF(OR(F168="",F167=""),"",F168/F167-1)</f>
        <v/>
      </c>
      <c r="M168" s="7">
        <f>IF(F168="","",D168/F168)</f>
        <v/>
      </c>
      <c r="N168" s="7">
        <f>IF(F168="","",E168/F168)</f>
        <v/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/>
      </c>
      <c r="E169" s="4">
        <f>IF(SUMIFS('Monthly BSE Equity Cash'!$G:$G,'Monthly BSE Equity Cash'!$A:$A,$A169)=0,"",SUMIFS('Monthly BSE Equity Cash'!$G:$G,'Monthly BSE Equity Cash'!$A:$A,$A169))</f>
        <v/>
      </c>
      <c r="F169" s="4">
        <f>IF(OR(D169="",E169=""),"",D169+E169)</f>
        <v/>
      </c>
      <c r="G169" s="7">
        <f>IF(OR(D169="",D157=""),"",D169/D157-1)</f>
        <v/>
      </c>
      <c r="H169" s="7">
        <f>IF(OR(E169="",E157=""),"",E169/E157-1)</f>
        <v/>
      </c>
      <c r="I169" s="7">
        <f>IF(OR(F169="",F157=""),"",F169/F157-1)</f>
        <v/>
      </c>
      <c r="J169" s="7">
        <f>IF(OR(D169="",D168=""),"",D169/D168-1)</f>
        <v/>
      </c>
      <c r="K169" s="7">
        <f>IF(OR(E169="",E168=""),"",E169/E168-1)</f>
        <v/>
      </c>
      <c r="L169" s="7">
        <f>IF(OR(F169="",F168=""),"",F169/F168-1)</f>
        <v/>
      </c>
      <c r="M169" s="7">
        <f>IF(F169="","",D169/F169)</f>
        <v/>
      </c>
      <c r="N169" s="7">
        <f>IF(F169="","",E169/F169)</f>
        <v/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/>
      </c>
      <c r="E170" s="4">
        <f>IF(SUMIFS('Monthly BSE Equity Cash'!$G:$G,'Monthly BSE Equity Cash'!$A:$A,$A170)=0,"",SUMIFS('Monthly BSE Equity Cash'!$G:$G,'Monthly BSE Equity Cash'!$A:$A,$A170))</f>
        <v/>
      </c>
      <c r="F170" s="4">
        <f>IF(OR(D170="",E170=""),"",D170+E170)</f>
        <v/>
      </c>
      <c r="G170" s="7">
        <f>IF(OR(D170="",D158=""),"",D170/D158-1)</f>
        <v/>
      </c>
      <c r="H170" s="7">
        <f>IF(OR(E170="",E158=""),"",E170/E158-1)</f>
        <v/>
      </c>
      <c r="I170" s="7">
        <f>IF(OR(F170="",F158=""),"",F170/F158-1)</f>
        <v/>
      </c>
      <c r="J170" s="7">
        <f>IF(OR(D170="",D169=""),"",D170/D169-1)</f>
        <v/>
      </c>
      <c r="K170" s="7">
        <f>IF(OR(E170="",E169=""),"",E170/E169-1)</f>
        <v/>
      </c>
      <c r="L170" s="7">
        <f>IF(OR(F170="",F169=""),"",F170/F169-1)</f>
        <v/>
      </c>
      <c r="M170" s="7">
        <f>IF(F170="","",D170/F170)</f>
        <v/>
      </c>
      <c r="N170" s="7">
        <f>IF(F170="","",E170/F170)</f>
        <v/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/>
      </c>
      <c r="E171" s="4">
        <f>IF(SUMIFS('Monthly BSE Equity Cash'!$G:$G,'Monthly BSE Equity Cash'!$A:$A,$A171)=0,"",SUMIFS('Monthly BSE Equity Cash'!$G:$G,'Monthly BSE Equity Cash'!$A:$A,$A171))</f>
        <v/>
      </c>
      <c r="F171" s="4">
        <f>IF(OR(D171="",E171=""),"",D171+E171)</f>
        <v/>
      </c>
      <c r="G171" s="7">
        <f>IF(OR(D171="",D159=""),"",D171/D159-1)</f>
        <v/>
      </c>
      <c r="H171" s="7">
        <f>IF(OR(E171="",E159=""),"",E171/E159-1)</f>
        <v/>
      </c>
      <c r="I171" s="7">
        <f>IF(OR(F171="",F159=""),"",F171/F159-1)</f>
        <v/>
      </c>
      <c r="J171" s="7">
        <f>IF(OR(D171="",D170=""),"",D171/D170-1)</f>
        <v/>
      </c>
      <c r="K171" s="7">
        <f>IF(OR(E171="",E170=""),"",E171/E170-1)</f>
        <v/>
      </c>
      <c r="L171" s="7">
        <f>IF(OR(F171="",F170=""),"",F171/F170-1)</f>
        <v/>
      </c>
      <c r="M171" s="7">
        <f>IF(F171="","",D171/F171)</f>
        <v/>
      </c>
      <c r="N171" s="7">
        <f>IF(F171="","",E171/F171)</f>
        <v/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/>
      </c>
      <c r="E172" s="4">
        <f>IF(SUMIFS('Monthly BSE Equity Cash'!$G:$G,'Monthly BSE Equity Cash'!$A:$A,$A172)=0,"",SUMIFS('Monthly BSE Equity Cash'!$G:$G,'Monthly BSE Equity Cash'!$A:$A,$A172))</f>
        <v/>
      </c>
      <c r="F172" s="4">
        <f>IF(OR(D172="",E172=""),"",D172+E172)</f>
        <v/>
      </c>
      <c r="G172" s="7">
        <f>IF(OR(D172="",D160=""),"",D172/D160-1)</f>
        <v/>
      </c>
      <c r="H172" s="7">
        <f>IF(OR(E172="",E160=""),"",E172/E160-1)</f>
        <v/>
      </c>
      <c r="I172" s="7">
        <f>IF(OR(F172="",F160=""),"",F172/F160-1)</f>
        <v/>
      </c>
      <c r="J172" s="7">
        <f>IF(OR(D172="",D171=""),"",D172/D171-1)</f>
        <v/>
      </c>
      <c r="K172" s="7">
        <f>IF(OR(E172="",E171=""),"",E172/E171-1)</f>
        <v/>
      </c>
      <c r="L172" s="7">
        <f>IF(OR(F172="",F171=""),"",F172/F171-1)</f>
        <v/>
      </c>
      <c r="M172" s="7">
        <f>IF(F172="","",D172/F172)</f>
        <v/>
      </c>
      <c r="N172" s="7">
        <f>IF(F172="","",E172/F172)</f>
        <v/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/>
      </c>
      <c r="E173" s="4">
        <f>IF(SUMIFS('Monthly BSE Equity Cash'!$G:$G,'Monthly BSE Equity Cash'!$A:$A,$A173)=0,"",SUMIFS('Monthly BSE Equity Cash'!$G:$G,'Monthly BSE Equity Cash'!$A:$A,$A173))</f>
        <v/>
      </c>
      <c r="F173" s="4">
        <f>IF(OR(D173="",E173=""),"",D173+E173)</f>
        <v/>
      </c>
      <c r="G173" s="7">
        <f>IF(OR(D173="",D161=""),"",D173/D161-1)</f>
        <v/>
      </c>
      <c r="H173" s="7">
        <f>IF(OR(E173="",E161=""),"",E173/E161-1)</f>
        <v/>
      </c>
      <c r="I173" s="7">
        <f>IF(OR(F173="",F161=""),"",F173/F161-1)</f>
        <v/>
      </c>
      <c r="J173" s="7">
        <f>IF(OR(D173="",D172=""),"",D173/D172-1)</f>
        <v/>
      </c>
      <c r="K173" s="7">
        <f>IF(OR(E173="",E172=""),"",E173/E172-1)</f>
        <v/>
      </c>
      <c r="L173" s="7">
        <f>IF(OR(F173="",F172=""),"",F173/F172-1)</f>
        <v/>
      </c>
      <c r="M173" s="7">
        <f>IF(F173="","",D173/F173)</f>
        <v/>
      </c>
      <c r="N173" s="7">
        <f>IF(F173="","",E173/F173)</f>
        <v/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/>
      </c>
      <c r="E174" s="4">
        <f>IF(SUMIFS('Monthly BSE Equity Cash'!$G:$G,'Monthly BSE Equity Cash'!$A:$A,$A174)=0,"",SUMIFS('Monthly BSE Equity Cash'!$G:$G,'Monthly BSE Equity Cash'!$A:$A,$A174))</f>
        <v/>
      </c>
      <c r="F174" s="4">
        <f>IF(OR(D174="",E174=""),"",D174+E174)</f>
        <v/>
      </c>
      <c r="G174" s="7">
        <f>IF(OR(D174="",D162=""),"",D174/D162-1)</f>
        <v/>
      </c>
      <c r="H174" s="7">
        <f>IF(OR(E174="",E162=""),"",E174/E162-1)</f>
        <v/>
      </c>
      <c r="I174" s="7">
        <f>IF(OR(F174="",F162=""),"",F174/F162-1)</f>
        <v/>
      </c>
      <c r="J174" s="7">
        <f>IF(OR(D174="",D173=""),"",D174/D173-1)</f>
        <v/>
      </c>
      <c r="K174" s="7">
        <f>IF(OR(E174="",E173=""),"",E174/E173-1)</f>
        <v/>
      </c>
      <c r="L174" s="7">
        <f>IF(OR(F174="",F173=""),"",F174/F173-1)</f>
        <v/>
      </c>
      <c r="M174" s="7">
        <f>IF(F174="","",D174/F174)</f>
        <v/>
      </c>
      <c r="N174" s="7">
        <f>IF(F174="","",E174/F174)</f>
        <v/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/>
      </c>
      <c r="E175" s="4">
        <f>IF(SUMIFS('Monthly BSE Equity Cash'!$G:$G,'Monthly BSE Equity Cash'!$A:$A,$A175)=0,"",SUMIFS('Monthly BSE Equity Cash'!$G:$G,'Monthly BSE Equity Cash'!$A:$A,$A175))</f>
        <v/>
      </c>
      <c r="F175" s="4">
        <f>IF(OR(D175="",E175=""),"",D175+E175)</f>
        <v/>
      </c>
      <c r="G175" s="7">
        <f>IF(OR(D175="",D163=""),"",D175/D163-1)</f>
        <v/>
      </c>
      <c r="H175" s="7">
        <f>IF(OR(E175="",E163=""),"",E175/E163-1)</f>
        <v/>
      </c>
      <c r="I175" s="7">
        <f>IF(OR(F175="",F163=""),"",F175/F163-1)</f>
        <v/>
      </c>
      <c r="J175" s="7">
        <f>IF(OR(D175="",D174=""),"",D175/D174-1)</f>
        <v/>
      </c>
      <c r="K175" s="7">
        <f>IF(OR(E175="",E174=""),"",E175/E174-1)</f>
        <v/>
      </c>
      <c r="L175" s="7">
        <f>IF(OR(F175="",F174=""),"",F175/F174-1)</f>
        <v/>
      </c>
      <c r="M175" s="7">
        <f>IF(F175="","",D175/F175)</f>
        <v/>
      </c>
      <c r="N175" s="7">
        <f>IF(F175="","",E175/F175)</f>
        <v/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/>
      </c>
      <c r="E176" s="4">
        <f>IF(SUMIFS('Monthly BSE Equity Cash'!$G:$G,'Monthly BSE Equity Cash'!$A:$A,$A176)=0,"",SUMIFS('Monthly BSE Equity Cash'!$G:$G,'Monthly BSE Equity Cash'!$A:$A,$A176))</f>
        <v/>
      </c>
      <c r="F176" s="4">
        <f>IF(OR(D176="",E176=""),"",D176+E176)</f>
        <v/>
      </c>
      <c r="G176" s="7">
        <f>IF(OR(D176="",D164=""),"",D176/D164-1)</f>
        <v/>
      </c>
      <c r="H176" s="7">
        <f>IF(OR(E176="",E164=""),"",E176/E164-1)</f>
        <v/>
      </c>
      <c r="I176" s="7">
        <f>IF(OR(F176="",F164=""),"",F176/F164-1)</f>
        <v/>
      </c>
      <c r="J176" s="7">
        <f>IF(OR(D176="",D175=""),"",D176/D175-1)</f>
        <v/>
      </c>
      <c r="K176" s="7">
        <f>IF(OR(E176="",E175=""),"",E176/E175-1)</f>
        <v/>
      </c>
      <c r="L176" s="7">
        <f>IF(OR(F176="",F175=""),"",F176/F175-1)</f>
        <v/>
      </c>
      <c r="M176" s="7">
        <f>IF(F176="","",D176/F176)</f>
        <v/>
      </c>
      <c r="N176" s="7">
        <f>IF(F176="","",E176/F176)</f>
        <v/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/>
      </c>
      <c r="E177" s="4">
        <f>IF(SUMIFS('Monthly BSE Equity Cash'!$G:$G,'Monthly BSE Equity Cash'!$A:$A,$A177)=0,"",SUMIFS('Monthly BSE Equity Cash'!$G:$G,'Monthly BSE Equity Cash'!$A:$A,$A177))</f>
        <v/>
      </c>
      <c r="F177" s="4">
        <f>IF(OR(D177="",E177=""),"",D177+E177)</f>
        <v/>
      </c>
      <c r="G177" s="7">
        <f>IF(OR(D177="",D165=""),"",D177/D165-1)</f>
        <v/>
      </c>
      <c r="H177" s="7">
        <f>IF(OR(E177="",E165=""),"",E177/E165-1)</f>
        <v/>
      </c>
      <c r="I177" s="7">
        <f>IF(OR(F177="",F165=""),"",F177/F165-1)</f>
        <v/>
      </c>
      <c r="J177" s="7">
        <f>IF(OR(D177="",D176=""),"",D177/D176-1)</f>
        <v/>
      </c>
      <c r="K177" s="7">
        <f>IF(OR(E177="",E176=""),"",E177/E176-1)</f>
        <v/>
      </c>
      <c r="L177" s="7">
        <f>IF(OR(F177="",F176=""),"",F177/F176-1)</f>
        <v/>
      </c>
      <c r="M177" s="7">
        <f>IF(F177="","",D177/F177)</f>
        <v/>
      </c>
      <c r="N177" s="7">
        <f>IF(F177="","",E177/F177)</f>
        <v/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/>
      </c>
      <c r="E178" s="4">
        <f>IF(SUMIFS('Monthly BSE Equity Cash'!$G:$G,'Monthly BSE Equity Cash'!$A:$A,$A178)=0,"",SUMIFS('Monthly BSE Equity Cash'!$G:$G,'Monthly BSE Equity Cash'!$A:$A,$A178))</f>
        <v/>
      </c>
      <c r="F178" s="4">
        <f>IF(OR(D178="",E178=""),"",D178+E178)</f>
        <v/>
      </c>
      <c r="G178" s="7">
        <f>IF(OR(D178="",D166=""),"",D178/D166-1)</f>
        <v/>
      </c>
      <c r="H178" s="7">
        <f>IF(OR(E178="",E166=""),"",E178/E166-1)</f>
        <v/>
      </c>
      <c r="I178" s="7">
        <f>IF(OR(F178="",F166=""),"",F178/F166-1)</f>
        <v/>
      </c>
      <c r="J178" s="7">
        <f>IF(OR(D178="",D177=""),"",D178/D177-1)</f>
        <v/>
      </c>
      <c r="K178" s="7">
        <f>IF(OR(E178="",E177=""),"",E178/E177-1)</f>
        <v/>
      </c>
      <c r="L178" s="7">
        <f>IF(OR(F178="",F177=""),"",F178/F177-1)</f>
        <v/>
      </c>
      <c r="M178" s="7">
        <f>IF(F178="","",D178/F178)</f>
        <v/>
      </c>
      <c r="N178" s="7">
        <f>IF(F178="","",E178/F178)</f>
        <v/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/>
      </c>
      <c r="E179" s="4">
        <f>IF(SUMIFS('Monthly BSE Equity Cash'!$G:$G,'Monthly BSE Equity Cash'!$A:$A,$A179)=0,"",SUMIFS('Monthly BSE Equity Cash'!$G:$G,'Monthly BSE Equity Cash'!$A:$A,$A179))</f>
        <v/>
      </c>
      <c r="F179" s="4">
        <f>IF(OR(D179="",E179=""),"",D179+E179)</f>
        <v/>
      </c>
      <c r="G179" s="7">
        <f>IF(OR(D179="",D167=""),"",D179/D167-1)</f>
        <v/>
      </c>
      <c r="H179" s="7">
        <f>IF(OR(E179="",E167=""),"",E179/E167-1)</f>
        <v/>
      </c>
      <c r="I179" s="7">
        <f>IF(OR(F179="",F167=""),"",F179/F167-1)</f>
        <v/>
      </c>
      <c r="J179" s="7">
        <f>IF(OR(D179="",D178=""),"",D179/D178-1)</f>
        <v/>
      </c>
      <c r="K179" s="7">
        <f>IF(OR(E179="",E178=""),"",E179/E178-1)</f>
        <v/>
      </c>
      <c r="L179" s="7">
        <f>IF(OR(F179="",F178=""),"",F179/F178-1)</f>
        <v/>
      </c>
      <c r="M179" s="7">
        <f>IF(F179="","",D179/F179)</f>
        <v/>
      </c>
      <c r="N179" s="7">
        <f>IF(F179="","",E179/F179)</f>
        <v/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/>
      </c>
      <c r="E180" s="4">
        <f>IF(SUMIFS('Monthly BSE Equity Cash'!$G:$G,'Monthly BSE Equity Cash'!$A:$A,$A180)=0,"",SUMIFS('Monthly BSE Equity Cash'!$G:$G,'Monthly BSE Equity Cash'!$A:$A,$A180))</f>
        <v/>
      </c>
      <c r="F180" s="4">
        <f>IF(OR(D180="",E180=""),"",D180+E180)</f>
        <v/>
      </c>
      <c r="G180" s="7">
        <f>IF(OR(D180="",D168=""),"",D180/D168-1)</f>
        <v/>
      </c>
      <c r="H180" s="7">
        <f>IF(OR(E180="",E168=""),"",E180/E168-1)</f>
        <v/>
      </c>
      <c r="I180" s="7">
        <f>IF(OR(F180="",F168=""),"",F180/F168-1)</f>
        <v/>
      </c>
      <c r="J180" s="7">
        <f>IF(OR(D180="",D179=""),"",D180/D179-1)</f>
        <v/>
      </c>
      <c r="K180" s="7">
        <f>IF(OR(E180="",E179=""),"",E180/E179-1)</f>
        <v/>
      </c>
      <c r="L180" s="7">
        <f>IF(OR(F180="",F179=""),"",F180/F179-1)</f>
        <v/>
      </c>
      <c r="M180" s="7">
        <f>IF(F180="","",D180/F180)</f>
        <v/>
      </c>
      <c r="N180" s="7">
        <f>IF(F180="","",E180/F180)</f>
        <v/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/>
      </c>
      <c r="E181" s="4">
        <f>IF(SUMIFS('Monthly BSE Equity Cash'!$G:$G,'Monthly BSE Equity Cash'!$A:$A,$A181)=0,"",SUMIFS('Monthly BSE Equity Cash'!$G:$G,'Monthly BSE Equity Cash'!$A:$A,$A181))</f>
        <v/>
      </c>
      <c r="F181" s="4">
        <f>IF(OR(D181="",E181=""),"",D181+E181)</f>
        <v/>
      </c>
      <c r="G181" s="7">
        <f>IF(OR(D181="",D169=""),"",D181/D169-1)</f>
        <v/>
      </c>
      <c r="H181" s="7">
        <f>IF(OR(E181="",E169=""),"",E181/E169-1)</f>
        <v/>
      </c>
      <c r="I181" s="7">
        <f>IF(OR(F181="",F169=""),"",F181/F169-1)</f>
        <v/>
      </c>
      <c r="J181" s="7">
        <f>IF(OR(D181="",D180=""),"",D181/D180-1)</f>
        <v/>
      </c>
      <c r="K181" s="7">
        <f>IF(OR(E181="",E180=""),"",E181/E180-1)</f>
        <v/>
      </c>
      <c r="L181" s="7">
        <f>IF(OR(F181="",F180=""),"",F181/F180-1)</f>
        <v/>
      </c>
      <c r="M181" s="7">
        <f>IF(F181="","",D181/F181)</f>
        <v/>
      </c>
      <c r="N181" s="7">
        <f>IF(F181="","",E181/F181)</f>
        <v/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/>
      </c>
      <c r="E182" s="4">
        <f>IF(SUMIFS('Monthly BSE Equity Cash'!$G:$G,'Monthly BSE Equity Cash'!$A:$A,$A182)=0,"",SUMIFS('Monthly BSE Equity Cash'!$G:$G,'Monthly BSE Equity Cash'!$A:$A,$A182))</f>
        <v/>
      </c>
      <c r="F182" s="4">
        <f>IF(OR(D182="",E182=""),"",D182+E182)</f>
        <v/>
      </c>
      <c r="G182" s="7">
        <f>IF(OR(D182="",D170=""),"",D182/D170-1)</f>
        <v/>
      </c>
      <c r="H182" s="7">
        <f>IF(OR(E182="",E170=""),"",E182/E170-1)</f>
        <v/>
      </c>
      <c r="I182" s="7">
        <f>IF(OR(F182="",F170=""),"",F182/F170-1)</f>
        <v/>
      </c>
      <c r="J182" s="7">
        <f>IF(OR(D182="",D181=""),"",D182/D181-1)</f>
        <v/>
      </c>
      <c r="K182" s="7">
        <f>IF(OR(E182="",E181=""),"",E182/E181-1)</f>
        <v/>
      </c>
      <c r="L182" s="7">
        <f>IF(OR(F182="",F181=""),"",F182/F181-1)</f>
        <v/>
      </c>
      <c r="M182" s="7">
        <f>IF(F182="","",D182/F182)</f>
        <v/>
      </c>
      <c r="N182" s="7">
        <f>IF(F182="","",E182/F182)</f>
        <v/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/>
      </c>
      <c r="E183" s="4">
        <f>IF(SUMIFS('Monthly BSE Equity Cash'!$G:$G,'Monthly BSE Equity Cash'!$A:$A,$A183)=0,"",SUMIFS('Monthly BSE Equity Cash'!$G:$G,'Monthly BSE Equity Cash'!$A:$A,$A183))</f>
        <v/>
      </c>
      <c r="F183" s="4">
        <f>IF(OR(D183="",E183=""),"",D183+E183)</f>
        <v/>
      </c>
      <c r="G183" s="7">
        <f>IF(OR(D183="",D171=""),"",D183/D171-1)</f>
        <v/>
      </c>
      <c r="H183" s="7">
        <f>IF(OR(E183="",E171=""),"",E183/E171-1)</f>
        <v/>
      </c>
      <c r="I183" s="7">
        <f>IF(OR(F183="",F171=""),"",F183/F171-1)</f>
        <v/>
      </c>
      <c r="J183" s="7">
        <f>IF(OR(D183="",D182=""),"",D183/D182-1)</f>
        <v/>
      </c>
      <c r="K183" s="7">
        <f>IF(OR(E183="",E182=""),"",E183/E182-1)</f>
        <v/>
      </c>
      <c r="L183" s="7">
        <f>IF(OR(F183="",F182=""),"",F183/F182-1)</f>
        <v/>
      </c>
      <c r="M183" s="7">
        <f>IF(F183="","",D183/F183)</f>
        <v/>
      </c>
      <c r="N183" s="7">
        <f>IF(F183="","",E183/F183)</f>
        <v/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/>
      </c>
      <c r="E184" s="4">
        <f>IF(SUMIFS('Monthly BSE Equity Cash'!$G:$G,'Monthly BSE Equity Cash'!$A:$A,$A184)=0,"",SUMIFS('Monthly BSE Equity Cash'!$G:$G,'Monthly BSE Equity Cash'!$A:$A,$A184))</f>
        <v/>
      </c>
      <c r="F184" s="4">
        <f>IF(OR(D184="",E184=""),"",D184+E184)</f>
        <v/>
      </c>
      <c r="G184" s="7">
        <f>IF(OR(D184="",D172=""),"",D184/D172-1)</f>
        <v/>
      </c>
      <c r="H184" s="7">
        <f>IF(OR(E184="",E172=""),"",E184/E172-1)</f>
        <v/>
      </c>
      <c r="I184" s="7">
        <f>IF(OR(F184="",F172=""),"",F184/F172-1)</f>
        <v/>
      </c>
      <c r="J184" s="7">
        <f>IF(OR(D184="",D183=""),"",D184/D183-1)</f>
        <v/>
      </c>
      <c r="K184" s="7">
        <f>IF(OR(E184="",E183=""),"",E184/E183-1)</f>
        <v/>
      </c>
      <c r="L184" s="7">
        <f>IF(OR(F184="",F183=""),"",F184/F183-1)</f>
        <v/>
      </c>
      <c r="M184" s="7">
        <f>IF(F184="","",D184/F184)</f>
        <v/>
      </c>
      <c r="N184" s="7">
        <f>IF(F184="","",E184/F184)</f>
        <v/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/>
      </c>
      <c r="E185" s="4">
        <f>IF(SUMIFS('Monthly BSE Equity Cash'!$G:$G,'Monthly BSE Equity Cash'!$A:$A,$A185)=0,"",SUMIFS('Monthly BSE Equity Cash'!$G:$G,'Monthly BSE Equity Cash'!$A:$A,$A185))</f>
        <v/>
      </c>
      <c r="F185" s="4">
        <f>IF(OR(D185="",E185=""),"",D185+E185)</f>
        <v/>
      </c>
      <c r="G185" s="7">
        <f>IF(OR(D185="",D173=""),"",D185/D173-1)</f>
        <v/>
      </c>
      <c r="H185" s="7">
        <f>IF(OR(E185="",E173=""),"",E185/E173-1)</f>
        <v/>
      </c>
      <c r="I185" s="7">
        <f>IF(OR(F185="",F173=""),"",F185/F173-1)</f>
        <v/>
      </c>
      <c r="J185" s="7">
        <f>IF(OR(D185="",D184=""),"",D185/D184-1)</f>
        <v/>
      </c>
      <c r="K185" s="7">
        <f>IF(OR(E185="",E184=""),"",E185/E184-1)</f>
        <v/>
      </c>
      <c r="L185" s="7">
        <f>IF(OR(F185="",F184=""),"",F185/F184-1)</f>
        <v/>
      </c>
      <c r="M185" s="7">
        <f>IF(F185="","",D185/F185)</f>
        <v/>
      </c>
      <c r="N185" s="7">
        <f>IF(F185="","",E185/F185)</f>
        <v/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/>
      </c>
      <c r="E186" s="4">
        <f>IF(SUMIFS('Monthly BSE Equity Cash'!$G:$G,'Monthly BSE Equity Cash'!$A:$A,$A186)=0,"",SUMIFS('Monthly BSE Equity Cash'!$G:$G,'Monthly BSE Equity Cash'!$A:$A,$A186))</f>
        <v/>
      </c>
      <c r="F186" s="4">
        <f>IF(OR(D186="",E186=""),"",D186+E186)</f>
        <v/>
      </c>
      <c r="G186" s="7">
        <f>IF(OR(D186="",D174=""),"",D186/D174-1)</f>
        <v/>
      </c>
      <c r="H186" s="7">
        <f>IF(OR(E186="",E174=""),"",E186/E174-1)</f>
        <v/>
      </c>
      <c r="I186" s="7">
        <f>IF(OR(F186="",F174=""),"",F186/F174-1)</f>
        <v/>
      </c>
      <c r="J186" s="7">
        <f>IF(OR(D186="",D185=""),"",D186/D185-1)</f>
        <v/>
      </c>
      <c r="K186" s="7">
        <f>IF(OR(E186="",E185=""),"",E186/E185-1)</f>
        <v/>
      </c>
      <c r="L186" s="7">
        <f>IF(OR(F186="",F185=""),"",F186/F185-1)</f>
        <v/>
      </c>
      <c r="M186" s="7">
        <f>IF(F186="","",D186/F186)</f>
        <v/>
      </c>
      <c r="N186" s="7">
        <f>IF(F186="","",E186/F186)</f>
        <v/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/>
      </c>
      <c r="E187" s="4">
        <f>IF(SUMIFS('Monthly BSE Equity Cash'!$G:$G,'Monthly BSE Equity Cash'!$A:$A,$A187)=0,"",SUMIFS('Monthly BSE Equity Cash'!$G:$G,'Monthly BSE Equity Cash'!$A:$A,$A187))</f>
        <v/>
      </c>
      <c r="F187" s="4">
        <f>IF(OR(D187="",E187=""),"",D187+E187)</f>
        <v/>
      </c>
      <c r="G187" s="7">
        <f>IF(OR(D187="",D175=""),"",D187/D175-1)</f>
        <v/>
      </c>
      <c r="H187" s="7">
        <f>IF(OR(E187="",E175=""),"",E187/E175-1)</f>
        <v/>
      </c>
      <c r="I187" s="7">
        <f>IF(OR(F187="",F175=""),"",F187/F175-1)</f>
        <v/>
      </c>
      <c r="J187" s="7">
        <f>IF(OR(D187="",D186=""),"",D187/D186-1)</f>
        <v/>
      </c>
      <c r="K187" s="7">
        <f>IF(OR(E187="",E186=""),"",E187/E186-1)</f>
        <v/>
      </c>
      <c r="L187" s="7">
        <f>IF(OR(F187="",F186=""),"",F187/F186-1)</f>
        <v/>
      </c>
      <c r="M187" s="7">
        <f>IF(F187="","",D187/F187)</f>
        <v/>
      </c>
      <c r="N187" s="7">
        <f>IF(F187="","",E187/F187)</f>
        <v/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/>
      </c>
      <c r="E188" s="4">
        <f>IF(SUMIFS('Monthly BSE Equity Cash'!$G:$G,'Monthly BSE Equity Cash'!$A:$A,$A188)=0,"",SUMIFS('Monthly BSE Equity Cash'!$G:$G,'Monthly BSE Equity Cash'!$A:$A,$A188))</f>
        <v/>
      </c>
      <c r="F188" s="4">
        <f>IF(OR(D188="",E188=""),"",D188+E188)</f>
        <v/>
      </c>
      <c r="G188" s="7">
        <f>IF(OR(D188="",D176=""),"",D188/D176-1)</f>
        <v/>
      </c>
      <c r="H188" s="7">
        <f>IF(OR(E188="",E176=""),"",E188/E176-1)</f>
        <v/>
      </c>
      <c r="I188" s="7">
        <f>IF(OR(F188="",F176=""),"",F188/F176-1)</f>
        <v/>
      </c>
      <c r="J188" s="7">
        <f>IF(OR(D188="",D187=""),"",D188/D187-1)</f>
        <v/>
      </c>
      <c r="K188" s="7">
        <f>IF(OR(E188="",E187=""),"",E188/E187-1)</f>
        <v/>
      </c>
      <c r="L188" s="7">
        <f>IF(OR(F188="",F187=""),"",F188/F187-1)</f>
        <v/>
      </c>
      <c r="M188" s="7">
        <f>IF(F188="","",D188/F188)</f>
        <v/>
      </c>
      <c r="N188" s="7">
        <f>IF(F188="","",E188/F188)</f>
        <v/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/>
      </c>
      <c r="E189" s="4">
        <f>IF(SUMIFS('Monthly BSE Equity Cash'!$G:$G,'Monthly BSE Equity Cash'!$A:$A,$A189)=0,"",SUMIFS('Monthly BSE Equity Cash'!$G:$G,'Monthly BSE Equity Cash'!$A:$A,$A189))</f>
        <v/>
      </c>
      <c r="F189" s="4">
        <f>IF(OR(D189="",E189=""),"",D189+E189)</f>
        <v/>
      </c>
      <c r="G189" s="7">
        <f>IF(OR(D189="",D177=""),"",D189/D177-1)</f>
        <v/>
      </c>
      <c r="H189" s="7">
        <f>IF(OR(E189="",E177=""),"",E189/E177-1)</f>
        <v/>
      </c>
      <c r="I189" s="7">
        <f>IF(OR(F189="",F177=""),"",F189/F177-1)</f>
        <v/>
      </c>
      <c r="J189" s="7">
        <f>IF(OR(D189="",D188=""),"",D189/D188-1)</f>
        <v/>
      </c>
      <c r="K189" s="7">
        <f>IF(OR(E189="",E188=""),"",E189/E188-1)</f>
        <v/>
      </c>
      <c r="L189" s="7">
        <f>IF(OR(F189="",F188=""),"",F189/F188-1)</f>
        <v/>
      </c>
      <c r="M189" s="7">
        <f>IF(F189="","",D189/F189)</f>
        <v/>
      </c>
      <c r="N189" s="7">
        <f>IF(F189="","",E189/F189)</f>
        <v/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/>
      </c>
      <c r="E190" s="4">
        <f>IF(SUMIFS('Monthly BSE Equity Cash'!$G:$G,'Monthly BSE Equity Cash'!$A:$A,$A190)=0,"",SUMIFS('Monthly BSE Equity Cash'!$G:$G,'Monthly BSE Equity Cash'!$A:$A,$A190))</f>
        <v/>
      </c>
      <c r="F190" s="4">
        <f>IF(OR(D190="",E190=""),"",D190+E190)</f>
        <v/>
      </c>
      <c r="G190" s="7">
        <f>IF(OR(D190="",D178=""),"",D190/D178-1)</f>
        <v/>
      </c>
      <c r="H190" s="7">
        <f>IF(OR(E190="",E178=""),"",E190/E178-1)</f>
        <v/>
      </c>
      <c r="I190" s="7">
        <f>IF(OR(F190="",F178=""),"",F190/F178-1)</f>
        <v/>
      </c>
      <c r="J190" s="7">
        <f>IF(OR(D190="",D189=""),"",D190/D189-1)</f>
        <v/>
      </c>
      <c r="K190" s="7">
        <f>IF(OR(E190="",E189=""),"",E190/E189-1)</f>
        <v/>
      </c>
      <c r="L190" s="7">
        <f>IF(OR(F190="",F189=""),"",F190/F189-1)</f>
        <v/>
      </c>
      <c r="M190" s="7">
        <f>IF(F190="","",D190/F190)</f>
        <v/>
      </c>
      <c r="N190" s="7">
        <f>IF(F190="","",E190/F190)</f>
        <v/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/>
      </c>
      <c r="E191" s="4">
        <f>IF(SUMIFS('Monthly BSE Equity Cash'!$G:$G,'Monthly BSE Equity Cash'!$A:$A,$A191)=0,"",SUMIFS('Monthly BSE Equity Cash'!$G:$G,'Monthly BSE Equity Cash'!$A:$A,$A191))</f>
        <v/>
      </c>
      <c r="F191" s="4">
        <f>IF(OR(D191="",E191=""),"",D191+E191)</f>
        <v/>
      </c>
      <c r="G191" s="7">
        <f>IF(OR(D191="",D179=""),"",D191/D179-1)</f>
        <v/>
      </c>
      <c r="H191" s="7">
        <f>IF(OR(E191="",E179=""),"",E191/E179-1)</f>
        <v/>
      </c>
      <c r="I191" s="7">
        <f>IF(OR(F191="",F179=""),"",F191/F179-1)</f>
        <v/>
      </c>
      <c r="J191" s="7">
        <f>IF(OR(D191="",D190=""),"",D191/D190-1)</f>
        <v/>
      </c>
      <c r="K191" s="7">
        <f>IF(OR(E191="",E190=""),"",E191/E190-1)</f>
        <v/>
      </c>
      <c r="L191" s="7">
        <f>IF(OR(F191="",F190=""),"",F191/F190-1)</f>
        <v/>
      </c>
      <c r="M191" s="7">
        <f>IF(F191="","",D191/F191)</f>
        <v/>
      </c>
      <c r="N191" s="7">
        <f>IF(F191="","",E191/F191)</f>
        <v/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/>
      </c>
      <c r="E192" s="4">
        <f>IF(SUMIFS('Monthly BSE Equity Cash'!$G:$G,'Monthly BSE Equity Cash'!$A:$A,$A192)=0,"",SUMIFS('Monthly BSE Equity Cash'!$G:$G,'Monthly BSE Equity Cash'!$A:$A,$A192))</f>
        <v/>
      </c>
      <c r="F192" s="4">
        <f>IF(OR(D192="",E192=""),"",D192+E192)</f>
        <v/>
      </c>
      <c r="G192" s="7">
        <f>IF(OR(D192="",D180=""),"",D192/D180-1)</f>
        <v/>
      </c>
      <c r="H192" s="7">
        <f>IF(OR(E192="",E180=""),"",E192/E180-1)</f>
        <v/>
      </c>
      <c r="I192" s="7">
        <f>IF(OR(F192="",F180=""),"",F192/F180-1)</f>
        <v/>
      </c>
      <c r="J192" s="7">
        <f>IF(OR(D192="",D191=""),"",D192/D191-1)</f>
        <v/>
      </c>
      <c r="K192" s="7">
        <f>IF(OR(E192="",E191=""),"",E192/E191-1)</f>
        <v/>
      </c>
      <c r="L192" s="7">
        <f>IF(OR(F192="",F191=""),"",F192/F191-1)</f>
        <v/>
      </c>
      <c r="M192" s="7">
        <f>IF(F192="","",D192/F192)</f>
        <v/>
      </c>
      <c r="N192" s="7">
        <f>IF(F192="","",E192/F192)</f>
        <v/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/>
      </c>
      <c r="E193" s="4">
        <f>IF(SUMIFS('Monthly BSE Equity Cash'!$G:$G,'Monthly BSE Equity Cash'!$A:$A,$A193)=0,"",SUMIFS('Monthly BSE Equity Cash'!$G:$G,'Monthly BSE Equity Cash'!$A:$A,$A193))</f>
        <v/>
      </c>
      <c r="F193" s="4">
        <f>IF(OR(D193="",E193=""),"",D193+E193)</f>
        <v/>
      </c>
      <c r="G193" s="7">
        <f>IF(OR(D193="",D181=""),"",D193/D181-1)</f>
        <v/>
      </c>
      <c r="H193" s="7">
        <f>IF(OR(E193="",E181=""),"",E193/E181-1)</f>
        <v/>
      </c>
      <c r="I193" s="7">
        <f>IF(OR(F193="",F181=""),"",F193/F181-1)</f>
        <v/>
      </c>
      <c r="J193" s="7">
        <f>IF(OR(D193="",D192=""),"",D193/D192-1)</f>
        <v/>
      </c>
      <c r="K193" s="7">
        <f>IF(OR(E193="",E192=""),"",E193/E192-1)</f>
        <v/>
      </c>
      <c r="L193" s="7">
        <f>IF(OR(F193="",F192=""),"",F193/F192-1)</f>
        <v/>
      </c>
      <c r="M193" s="7">
        <f>IF(F193="","",D193/F193)</f>
        <v/>
      </c>
      <c r="N193" s="7">
        <f>IF(F193="","",E193/F193)</f>
        <v/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/>
      </c>
      <c r="E194" s="4">
        <f>IF(SUMIFS('Monthly BSE Equity Cash'!$G:$G,'Monthly BSE Equity Cash'!$A:$A,$A194)=0,"",SUMIFS('Monthly BSE Equity Cash'!$G:$G,'Monthly BSE Equity Cash'!$A:$A,$A194))</f>
        <v/>
      </c>
      <c r="F194" s="4">
        <f>IF(OR(D194="",E194=""),"",D194+E194)</f>
        <v/>
      </c>
      <c r="G194" s="7">
        <f>IF(OR(D194="",D182=""),"",D194/D182-1)</f>
        <v/>
      </c>
      <c r="H194" s="7">
        <f>IF(OR(E194="",E182=""),"",E194/E182-1)</f>
        <v/>
      </c>
      <c r="I194" s="7">
        <f>IF(OR(F194="",F182=""),"",F194/F182-1)</f>
        <v/>
      </c>
      <c r="J194" s="7">
        <f>IF(OR(D194="",D193=""),"",D194/D193-1)</f>
        <v/>
      </c>
      <c r="K194" s="7">
        <f>IF(OR(E194="",E193=""),"",E194/E193-1)</f>
        <v/>
      </c>
      <c r="L194" s="7">
        <f>IF(OR(F194="",F193=""),"",F194/F193-1)</f>
        <v/>
      </c>
      <c r="M194" s="7">
        <f>IF(F194="","",D194/F194)</f>
        <v/>
      </c>
      <c r="N194" s="7">
        <f>IF(F194="","",E194/F194)</f>
        <v/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/>
      </c>
      <c r="E195" s="4">
        <f>IF(SUMIFS('Monthly BSE Equity Cash'!$G:$G,'Monthly BSE Equity Cash'!$A:$A,$A195)=0,"",SUMIFS('Monthly BSE Equity Cash'!$G:$G,'Monthly BSE Equity Cash'!$A:$A,$A195))</f>
        <v/>
      </c>
      <c r="F195" s="4">
        <f>IF(OR(D195="",E195=""),"",D195+E195)</f>
        <v/>
      </c>
      <c r="G195" s="7">
        <f>IF(OR(D195="",D183=""),"",D195/D183-1)</f>
        <v/>
      </c>
      <c r="H195" s="7">
        <f>IF(OR(E195="",E183=""),"",E195/E183-1)</f>
        <v/>
      </c>
      <c r="I195" s="7">
        <f>IF(OR(F195="",F183=""),"",F195/F183-1)</f>
        <v/>
      </c>
      <c r="J195" s="7">
        <f>IF(OR(D195="",D194=""),"",D195/D194-1)</f>
        <v/>
      </c>
      <c r="K195" s="7">
        <f>IF(OR(E195="",E194=""),"",E195/E194-1)</f>
        <v/>
      </c>
      <c r="L195" s="7">
        <f>IF(OR(F195="",F194=""),"",F195/F194-1)</f>
        <v/>
      </c>
      <c r="M195" s="7">
        <f>IF(F195="","",D195/F195)</f>
        <v/>
      </c>
      <c r="N195" s="7">
        <f>IF(F195="","",E195/F195)</f>
        <v/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/>
      </c>
      <c r="E196" s="4">
        <f>IF(SUMIFS('Monthly BSE Equity Cash'!$G:$G,'Monthly BSE Equity Cash'!$A:$A,$A196)=0,"",SUMIFS('Monthly BSE Equity Cash'!$G:$G,'Monthly BSE Equity Cash'!$A:$A,$A196))</f>
        <v/>
      </c>
      <c r="F196" s="4">
        <f>IF(OR(D196="",E196=""),"",D196+E196)</f>
        <v/>
      </c>
      <c r="G196" s="7">
        <f>IF(OR(D196="",D184=""),"",D196/D184-1)</f>
        <v/>
      </c>
      <c r="H196" s="7">
        <f>IF(OR(E196="",E184=""),"",E196/E184-1)</f>
        <v/>
      </c>
      <c r="I196" s="7">
        <f>IF(OR(F196="",F184=""),"",F196/F184-1)</f>
        <v/>
      </c>
      <c r="J196" s="7">
        <f>IF(OR(D196="",D195=""),"",D196/D195-1)</f>
        <v/>
      </c>
      <c r="K196" s="7">
        <f>IF(OR(E196="",E195=""),"",E196/E195-1)</f>
        <v/>
      </c>
      <c r="L196" s="7">
        <f>IF(OR(F196="",F195=""),"",F196/F195-1)</f>
        <v/>
      </c>
      <c r="M196" s="7">
        <f>IF(F196="","",D196/F196)</f>
        <v/>
      </c>
      <c r="N196" s="7">
        <f>IF(F196="","",E196/F196)</f>
        <v/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/>
      </c>
      <c r="E197" s="4">
        <f>IF(SUMIFS('Monthly BSE Equity Cash'!$G:$G,'Monthly BSE Equity Cash'!$A:$A,$A197)=0,"",SUMIFS('Monthly BSE Equity Cash'!$G:$G,'Monthly BSE Equity Cash'!$A:$A,$A197))</f>
        <v/>
      </c>
      <c r="F197" s="4">
        <f>IF(OR(D197="",E197=""),"",D197+E197)</f>
        <v/>
      </c>
      <c r="G197" s="7">
        <f>IF(OR(D197="",D185=""),"",D197/D185-1)</f>
        <v/>
      </c>
      <c r="H197" s="7">
        <f>IF(OR(E197="",E185=""),"",E197/E185-1)</f>
        <v/>
      </c>
      <c r="I197" s="7">
        <f>IF(OR(F197="",F185=""),"",F197/F185-1)</f>
        <v/>
      </c>
      <c r="J197" s="7">
        <f>IF(OR(D197="",D196=""),"",D197/D196-1)</f>
        <v/>
      </c>
      <c r="K197" s="7">
        <f>IF(OR(E197="",E196=""),"",E197/E196-1)</f>
        <v/>
      </c>
      <c r="L197" s="7">
        <f>IF(OR(F197="",F196=""),"",F197/F196-1)</f>
        <v/>
      </c>
      <c r="M197" s="7">
        <f>IF(F197="","",D197/F197)</f>
        <v/>
      </c>
      <c r="N197" s="7">
        <f>IF(F197="","",E197/F197)</f>
        <v/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/>
      </c>
      <c r="E198" s="4">
        <f>IF(SUMIFS('Monthly BSE Equity Cash'!$G:$G,'Monthly BSE Equity Cash'!$A:$A,$A198)=0,"",SUMIFS('Monthly BSE Equity Cash'!$G:$G,'Monthly BSE Equity Cash'!$A:$A,$A198))</f>
        <v/>
      </c>
      <c r="F198" s="4">
        <f>IF(OR(D198="",E198=""),"",D198+E198)</f>
        <v/>
      </c>
      <c r="G198" s="7">
        <f>IF(OR(D198="",D186=""),"",D198/D186-1)</f>
        <v/>
      </c>
      <c r="H198" s="7">
        <f>IF(OR(E198="",E186=""),"",E198/E186-1)</f>
        <v/>
      </c>
      <c r="I198" s="7">
        <f>IF(OR(F198="",F186=""),"",F198/F186-1)</f>
        <v/>
      </c>
      <c r="J198" s="7">
        <f>IF(OR(D198="",D197=""),"",D198/D197-1)</f>
        <v/>
      </c>
      <c r="K198" s="7">
        <f>IF(OR(E198="",E197=""),"",E198/E197-1)</f>
        <v/>
      </c>
      <c r="L198" s="7">
        <f>IF(OR(F198="",F197=""),"",F198/F197-1)</f>
        <v/>
      </c>
      <c r="M198" s="7">
        <f>IF(F198="","",D198/F198)</f>
        <v/>
      </c>
      <c r="N198" s="7">
        <f>IF(F198="","",E198/F198)</f>
        <v/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/>
      </c>
      <c r="E199" s="4">
        <f>IF(SUMIFS('Monthly BSE Equity Cash'!$G:$G,'Monthly BSE Equity Cash'!$A:$A,$A199)=0,"",SUMIFS('Monthly BSE Equity Cash'!$G:$G,'Monthly BSE Equity Cash'!$A:$A,$A199))</f>
        <v/>
      </c>
      <c r="F199" s="4">
        <f>IF(OR(D199="",E199=""),"",D199+E199)</f>
        <v/>
      </c>
      <c r="G199" s="7">
        <f>IF(OR(D199="",D187=""),"",D199/D187-1)</f>
        <v/>
      </c>
      <c r="H199" s="7">
        <f>IF(OR(E199="",E187=""),"",E199/E187-1)</f>
        <v/>
      </c>
      <c r="I199" s="7">
        <f>IF(OR(F199="",F187=""),"",F199/F187-1)</f>
        <v/>
      </c>
      <c r="J199" s="7">
        <f>IF(OR(D199="",D198=""),"",D199/D198-1)</f>
        <v/>
      </c>
      <c r="K199" s="7">
        <f>IF(OR(E199="",E198=""),"",E199/E198-1)</f>
        <v/>
      </c>
      <c r="L199" s="7">
        <f>IF(OR(F199="",F198=""),"",F199/F198-1)</f>
        <v/>
      </c>
      <c r="M199" s="7">
        <f>IF(F199="","",D199/F199)</f>
        <v/>
      </c>
      <c r="N199" s="7">
        <f>IF(F199="","",E199/F199)</f>
        <v/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/>
      </c>
      <c r="E200" s="4">
        <f>IF(SUMIFS('Monthly BSE Equity Cash'!$G:$G,'Monthly BSE Equity Cash'!$A:$A,$A200)=0,"",SUMIFS('Monthly BSE Equity Cash'!$G:$G,'Monthly BSE Equity Cash'!$A:$A,$A200))</f>
        <v/>
      </c>
      <c r="F200" s="4">
        <f>IF(OR(D200="",E200=""),"",D200+E200)</f>
        <v/>
      </c>
      <c r="G200" s="7">
        <f>IF(OR(D200="",D188=""),"",D200/D188-1)</f>
        <v/>
      </c>
      <c r="H200" s="7">
        <f>IF(OR(E200="",E188=""),"",E200/E188-1)</f>
        <v/>
      </c>
      <c r="I200" s="7">
        <f>IF(OR(F200="",F188=""),"",F200/F188-1)</f>
        <v/>
      </c>
      <c r="J200" s="7">
        <f>IF(OR(D200="",D199=""),"",D200/D199-1)</f>
        <v/>
      </c>
      <c r="K200" s="7">
        <f>IF(OR(E200="",E199=""),"",E200/E199-1)</f>
        <v/>
      </c>
      <c r="L200" s="7">
        <f>IF(OR(F200="",F199=""),"",F200/F199-1)</f>
        <v/>
      </c>
      <c r="M200" s="7">
        <f>IF(F200="","",D200/F200)</f>
        <v/>
      </c>
      <c r="N200" s="7">
        <f>IF(F200="","",E200/F200)</f>
        <v/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/>
      </c>
      <c r="E201" s="4">
        <f>IF(SUMIFS('Monthly BSE Equity Cash'!$G:$G,'Monthly BSE Equity Cash'!$A:$A,$A201)=0,"",SUMIFS('Monthly BSE Equity Cash'!$G:$G,'Monthly BSE Equity Cash'!$A:$A,$A201))</f>
        <v/>
      </c>
      <c r="F201" s="4">
        <f>IF(OR(D201="",E201=""),"",D201+E201)</f>
        <v/>
      </c>
      <c r="G201" s="7">
        <f>IF(OR(D201="",D189=""),"",D201/D189-1)</f>
        <v/>
      </c>
      <c r="H201" s="7">
        <f>IF(OR(E201="",E189=""),"",E201/E189-1)</f>
        <v/>
      </c>
      <c r="I201" s="7">
        <f>IF(OR(F201="",F189=""),"",F201/F189-1)</f>
        <v/>
      </c>
      <c r="J201" s="7">
        <f>IF(OR(D201="",D200=""),"",D201/D200-1)</f>
        <v/>
      </c>
      <c r="K201" s="7">
        <f>IF(OR(E201="",E200=""),"",E201/E200-1)</f>
        <v/>
      </c>
      <c r="L201" s="7">
        <f>IF(OR(F201="",F200=""),"",F201/F200-1)</f>
        <v/>
      </c>
      <c r="M201" s="7">
        <f>IF(F201="","",D201/F201)</f>
        <v/>
      </c>
      <c r="N201" s="7">
        <f>IF(F201="","",E201/F201)</f>
        <v/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/>
      </c>
      <c r="E202" s="4">
        <f>IF(SUMIFS('Monthly BSE Equity Cash'!$G:$G,'Monthly BSE Equity Cash'!$A:$A,$A202)=0,"",SUMIFS('Monthly BSE Equity Cash'!$G:$G,'Monthly BSE Equity Cash'!$A:$A,$A202))</f>
        <v/>
      </c>
      <c r="F202" s="4">
        <f>IF(OR(D202="",E202=""),"",D202+E202)</f>
        <v/>
      </c>
      <c r="G202" s="7">
        <f>IF(OR(D202="",D190=""),"",D202/D190-1)</f>
        <v/>
      </c>
      <c r="H202" s="7">
        <f>IF(OR(E202="",E190=""),"",E202/E190-1)</f>
        <v/>
      </c>
      <c r="I202" s="7">
        <f>IF(OR(F202="",F190=""),"",F202/F190-1)</f>
        <v/>
      </c>
      <c r="J202" s="7">
        <f>IF(OR(D202="",D201=""),"",D202/D201-1)</f>
        <v/>
      </c>
      <c r="K202" s="7">
        <f>IF(OR(E202="",E201=""),"",E202/E201-1)</f>
        <v/>
      </c>
      <c r="L202" s="7">
        <f>IF(OR(F202="",F201=""),"",F202/F201-1)</f>
        <v/>
      </c>
      <c r="M202" s="7">
        <f>IF(F202="","",D202/F202)</f>
        <v/>
      </c>
      <c r="N202" s="7">
        <f>IF(F202="","",E202/F202)</f>
        <v/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/>
      </c>
      <c r="E203" s="4">
        <f>IF(SUMIFS('Monthly BSE Equity Cash'!$G:$G,'Monthly BSE Equity Cash'!$A:$A,$A203)=0,"",SUMIFS('Monthly BSE Equity Cash'!$G:$G,'Monthly BSE Equity Cash'!$A:$A,$A203))</f>
        <v/>
      </c>
      <c r="F203" s="4">
        <f>IF(OR(D203="",E203=""),"",D203+E203)</f>
        <v/>
      </c>
      <c r="G203" s="7">
        <f>IF(OR(D203="",D191=""),"",D203/D191-1)</f>
        <v/>
      </c>
      <c r="H203" s="7">
        <f>IF(OR(E203="",E191=""),"",E203/E191-1)</f>
        <v/>
      </c>
      <c r="I203" s="7">
        <f>IF(OR(F203="",F191=""),"",F203/F191-1)</f>
        <v/>
      </c>
      <c r="J203" s="7">
        <f>IF(OR(D203="",D202=""),"",D203/D202-1)</f>
        <v/>
      </c>
      <c r="K203" s="7">
        <f>IF(OR(E203="",E202=""),"",E203/E202-1)</f>
        <v/>
      </c>
      <c r="L203" s="7">
        <f>IF(OR(F203="",F202=""),"",F203/F202-1)</f>
        <v/>
      </c>
      <c r="M203" s="7">
        <f>IF(F203="","",D203/F203)</f>
        <v/>
      </c>
      <c r="N203" s="7">
        <f>IF(F203="","",E203/F203)</f>
        <v/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/>
      </c>
      <c r="E204" s="4">
        <f>IF(SUMIFS('Monthly BSE Equity Cash'!$G:$G,'Monthly BSE Equity Cash'!$A:$A,$A204)=0,"",SUMIFS('Monthly BSE Equity Cash'!$G:$G,'Monthly BSE Equity Cash'!$A:$A,$A204))</f>
        <v/>
      </c>
      <c r="F204" s="4">
        <f>IF(OR(D204="",E204=""),"",D204+E204)</f>
        <v/>
      </c>
      <c r="G204" s="7">
        <f>IF(OR(D204="",D192=""),"",D204/D192-1)</f>
        <v/>
      </c>
      <c r="H204" s="7">
        <f>IF(OR(E204="",E192=""),"",E204/E192-1)</f>
        <v/>
      </c>
      <c r="I204" s="7">
        <f>IF(OR(F204="",F192=""),"",F204/F192-1)</f>
        <v/>
      </c>
      <c r="J204" s="7">
        <f>IF(OR(D204="",D203=""),"",D204/D203-1)</f>
        <v/>
      </c>
      <c r="K204" s="7">
        <f>IF(OR(E204="",E203=""),"",E204/E203-1)</f>
        <v/>
      </c>
      <c r="L204" s="7">
        <f>IF(OR(F204="",F203=""),"",F204/F203-1)</f>
        <v/>
      </c>
      <c r="M204" s="7">
        <f>IF(F204="","",D204/F204)</f>
        <v/>
      </c>
      <c r="N204" s="7">
        <f>IF(F204="","",E204/F204)</f>
        <v/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/>
      </c>
      <c r="E205" s="4">
        <f>IF(SUMIFS('Monthly BSE Equity Cash'!$G:$G,'Monthly BSE Equity Cash'!$A:$A,$A205)=0,"",SUMIFS('Monthly BSE Equity Cash'!$G:$G,'Monthly BSE Equity Cash'!$A:$A,$A205))</f>
        <v/>
      </c>
      <c r="F205" s="4">
        <f>IF(OR(D205="",E205=""),"",D205+E205)</f>
        <v/>
      </c>
      <c r="G205" s="7">
        <f>IF(OR(D205="",D193=""),"",D205/D193-1)</f>
        <v/>
      </c>
      <c r="H205" s="7">
        <f>IF(OR(E205="",E193=""),"",E205/E193-1)</f>
        <v/>
      </c>
      <c r="I205" s="7">
        <f>IF(OR(F205="",F193=""),"",F205/F193-1)</f>
        <v/>
      </c>
      <c r="J205" s="7">
        <f>IF(OR(D205="",D204=""),"",D205/D204-1)</f>
        <v/>
      </c>
      <c r="K205" s="7">
        <f>IF(OR(E205="",E204=""),"",E205/E204-1)</f>
        <v/>
      </c>
      <c r="L205" s="7">
        <f>IF(OR(F205="",F204=""),"",F205/F204-1)</f>
        <v/>
      </c>
      <c r="M205" s="7">
        <f>IF(F205="","",D205/F205)</f>
        <v/>
      </c>
      <c r="N205" s="7">
        <f>IF(F205="","",E205/F205)</f>
        <v/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/>
      </c>
      <c r="E206" s="4">
        <f>IF(SUMIFS('Monthly BSE Equity Cash'!$G:$G,'Monthly BSE Equity Cash'!$A:$A,$A206)=0,"",SUMIFS('Monthly BSE Equity Cash'!$G:$G,'Monthly BSE Equity Cash'!$A:$A,$A206))</f>
        <v/>
      </c>
      <c r="F206" s="4">
        <f>IF(OR(D206="",E206=""),"",D206+E206)</f>
        <v/>
      </c>
      <c r="G206" s="7">
        <f>IF(OR(D206="",D194=""),"",D206/D194-1)</f>
        <v/>
      </c>
      <c r="H206" s="7">
        <f>IF(OR(E206="",E194=""),"",E206/E194-1)</f>
        <v/>
      </c>
      <c r="I206" s="7">
        <f>IF(OR(F206="",F194=""),"",F206/F194-1)</f>
        <v/>
      </c>
      <c r="J206" s="7">
        <f>IF(OR(D206="",D205=""),"",D206/D205-1)</f>
        <v/>
      </c>
      <c r="K206" s="7">
        <f>IF(OR(E206="",E205=""),"",E206/E205-1)</f>
        <v/>
      </c>
      <c r="L206" s="7">
        <f>IF(OR(F206="",F205=""),"",F206/F205-1)</f>
        <v/>
      </c>
      <c r="M206" s="7">
        <f>IF(F206="","",D206/F206)</f>
        <v/>
      </c>
      <c r="N206" s="7">
        <f>IF(F206="","",E206/F206)</f>
        <v/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/>
      </c>
      <c r="E207" s="4">
        <f>IF(SUMIFS('Monthly BSE Equity Cash'!$G:$G,'Monthly BSE Equity Cash'!$A:$A,$A207)=0,"",SUMIFS('Monthly BSE Equity Cash'!$G:$G,'Monthly BSE Equity Cash'!$A:$A,$A207))</f>
        <v/>
      </c>
      <c r="F207" s="4">
        <f>IF(OR(D207="",E207=""),"",D207+E207)</f>
        <v/>
      </c>
      <c r="G207" s="7">
        <f>IF(OR(D207="",D195=""),"",D207/D195-1)</f>
        <v/>
      </c>
      <c r="H207" s="7">
        <f>IF(OR(E207="",E195=""),"",E207/E195-1)</f>
        <v/>
      </c>
      <c r="I207" s="7">
        <f>IF(OR(F207="",F195=""),"",F207/F195-1)</f>
        <v/>
      </c>
      <c r="J207" s="7">
        <f>IF(OR(D207="",D206=""),"",D207/D206-1)</f>
        <v/>
      </c>
      <c r="K207" s="7">
        <f>IF(OR(E207="",E206=""),"",E207/E206-1)</f>
        <v/>
      </c>
      <c r="L207" s="7">
        <f>IF(OR(F207="",F206=""),"",F207/F206-1)</f>
        <v/>
      </c>
      <c r="M207" s="7">
        <f>IF(F207="","",D207/F207)</f>
        <v/>
      </c>
      <c r="N207" s="7">
        <f>IF(F207="","",E207/F207)</f>
        <v/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/>
      </c>
      <c r="E208" s="4">
        <f>IF(SUMIFS('Monthly BSE Equity Cash'!$G:$G,'Monthly BSE Equity Cash'!$A:$A,$A208)=0,"",SUMIFS('Monthly BSE Equity Cash'!$G:$G,'Monthly BSE Equity Cash'!$A:$A,$A208))</f>
        <v/>
      </c>
      <c r="F208" s="4">
        <f>IF(OR(D208="",E208=""),"",D208+E208)</f>
        <v/>
      </c>
      <c r="G208" s="7">
        <f>IF(OR(D208="",D196=""),"",D208/D196-1)</f>
        <v/>
      </c>
      <c r="H208" s="7">
        <f>IF(OR(E208="",E196=""),"",E208/E196-1)</f>
        <v/>
      </c>
      <c r="I208" s="7">
        <f>IF(OR(F208="",F196=""),"",F208/F196-1)</f>
        <v/>
      </c>
      <c r="J208" s="7">
        <f>IF(OR(D208="",D207=""),"",D208/D207-1)</f>
        <v/>
      </c>
      <c r="K208" s="7">
        <f>IF(OR(E208="",E207=""),"",E208/E207-1)</f>
        <v/>
      </c>
      <c r="L208" s="7">
        <f>IF(OR(F208="",F207=""),"",F208/F207-1)</f>
        <v/>
      </c>
      <c r="M208" s="7">
        <f>IF(F208="","",D208/F208)</f>
        <v/>
      </c>
      <c r="N208" s="7">
        <f>IF(F208="","",E208/F208)</f>
        <v/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/>
      </c>
      <c r="E209" s="4">
        <f>IF(SUMIFS('Monthly BSE Equity Cash'!$G:$G,'Monthly BSE Equity Cash'!$A:$A,$A209)=0,"",SUMIFS('Monthly BSE Equity Cash'!$G:$G,'Monthly BSE Equity Cash'!$A:$A,$A209))</f>
        <v/>
      </c>
      <c r="F209" s="4">
        <f>IF(OR(D209="",E209=""),"",D209+E209)</f>
        <v/>
      </c>
      <c r="G209" s="7">
        <f>IF(OR(D209="",D197=""),"",D209/D197-1)</f>
        <v/>
      </c>
      <c r="H209" s="7">
        <f>IF(OR(E209="",E197=""),"",E209/E197-1)</f>
        <v/>
      </c>
      <c r="I209" s="7">
        <f>IF(OR(F209="",F197=""),"",F209/F197-1)</f>
        <v/>
      </c>
      <c r="J209" s="7">
        <f>IF(OR(D209="",D208=""),"",D209/D208-1)</f>
        <v/>
      </c>
      <c r="K209" s="7">
        <f>IF(OR(E209="",E208=""),"",E209/E208-1)</f>
        <v/>
      </c>
      <c r="L209" s="7">
        <f>IF(OR(F209="",F208=""),"",F209/F208-1)</f>
        <v/>
      </c>
      <c r="M209" s="7">
        <f>IF(F209="","",D209/F209)</f>
        <v/>
      </c>
      <c r="N209" s="7">
        <f>IF(F209="","",E209/F209)</f>
        <v/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/>
      </c>
      <c r="E210" s="4">
        <f>IF(SUMIFS('Monthly BSE Equity Cash'!$G:$G,'Monthly BSE Equity Cash'!$A:$A,$A210)=0,"",SUMIFS('Monthly BSE Equity Cash'!$G:$G,'Monthly BSE Equity Cash'!$A:$A,$A210))</f>
        <v/>
      </c>
      <c r="F210" s="4">
        <f>IF(OR(D210="",E210=""),"",D210+E210)</f>
        <v/>
      </c>
      <c r="G210" s="7">
        <f>IF(OR(D210="",D198=""),"",D210/D198-1)</f>
        <v/>
      </c>
      <c r="H210" s="7">
        <f>IF(OR(E210="",E198=""),"",E210/E198-1)</f>
        <v/>
      </c>
      <c r="I210" s="7">
        <f>IF(OR(F210="",F198=""),"",F210/F198-1)</f>
        <v/>
      </c>
      <c r="J210" s="7">
        <f>IF(OR(D210="",D209=""),"",D210/D209-1)</f>
        <v/>
      </c>
      <c r="K210" s="7">
        <f>IF(OR(E210="",E209=""),"",E210/E209-1)</f>
        <v/>
      </c>
      <c r="L210" s="7">
        <f>IF(OR(F210="",F209=""),"",F210/F209-1)</f>
        <v/>
      </c>
      <c r="M210" s="7">
        <f>IF(F210="","",D210/F210)</f>
        <v/>
      </c>
      <c r="N210" s="7">
        <f>IF(F210="","",E210/F210)</f>
        <v/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/>
      </c>
      <c r="E211" s="4">
        <f>IF(SUMIFS('Monthly BSE Equity Cash'!$G:$G,'Monthly BSE Equity Cash'!$A:$A,$A211)=0,"",SUMIFS('Monthly BSE Equity Cash'!$G:$G,'Monthly BSE Equity Cash'!$A:$A,$A211))</f>
        <v/>
      </c>
      <c r="F211" s="4">
        <f>IF(OR(D211="",E211=""),"",D211+E211)</f>
        <v/>
      </c>
      <c r="G211" s="7">
        <f>IF(OR(D211="",D199=""),"",D211/D199-1)</f>
        <v/>
      </c>
      <c r="H211" s="7">
        <f>IF(OR(E211="",E199=""),"",E211/E199-1)</f>
        <v/>
      </c>
      <c r="I211" s="7">
        <f>IF(OR(F211="",F199=""),"",F211/F199-1)</f>
        <v/>
      </c>
      <c r="J211" s="7">
        <f>IF(OR(D211="",D210=""),"",D211/D210-1)</f>
        <v/>
      </c>
      <c r="K211" s="7">
        <f>IF(OR(E211="",E210=""),"",E211/E210-1)</f>
        <v/>
      </c>
      <c r="L211" s="7">
        <f>IF(OR(F211="",F210=""),"",F211/F210-1)</f>
        <v/>
      </c>
      <c r="M211" s="7">
        <f>IF(F211="","",D211/F211)</f>
        <v/>
      </c>
      <c r="N211" s="7">
        <f>IF(F211="","",E211/F211)</f>
        <v/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/>
      </c>
      <c r="E212" s="4">
        <f>IF(SUMIFS('Monthly BSE Equity Cash'!$G:$G,'Monthly BSE Equity Cash'!$A:$A,$A212)=0,"",SUMIFS('Monthly BSE Equity Cash'!$G:$G,'Monthly BSE Equity Cash'!$A:$A,$A212))</f>
        <v/>
      </c>
      <c r="F212" s="4">
        <f>IF(OR(D212="",E212=""),"",D212+E212)</f>
        <v/>
      </c>
      <c r="G212" s="7">
        <f>IF(OR(D212="",D200=""),"",D212/D200-1)</f>
        <v/>
      </c>
      <c r="H212" s="7">
        <f>IF(OR(E212="",E200=""),"",E212/E200-1)</f>
        <v/>
      </c>
      <c r="I212" s="7">
        <f>IF(OR(F212="",F200=""),"",F212/F200-1)</f>
        <v/>
      </c>
      <c r="J212" s="7">
        <f>IF(OR(D212="",D211=""),"",D212/D211-1)</f>
        <v/>
      </c>
      <c r="K212" s="7">
        <f>IF(OR(E212="",E211=""),"",E212/E211-1)</f>
        <v/>
      </c>
      <c r="L212" s="7">
        <f>IF(OR(F212="",F211=""),"",F212/F211-1)</f>
        <v/>
      </c>
      <c r="M212" s="7">
        <f>IF(F212="","",D212/F212)</f>
        <v/>
      </c>
      <c r="N212" s="7">
        <f>IF(F212="","",E212/F212)</f>
        <v/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/>
      </c>
      <c r="E213" s="4">
        <f>IF(SUMIFS('Monthly BSE Equity Cash'!$G:$G,'Monthly BSE Equity Cash'!$A:$A,$A213)=0,"",SUMIFS('Monthly BSE Equity Cash'!$G:$G,'Monthly BSE Equity Cash'!$A:$A,$A213))</f>
        <v/>
      </c>
      <c r="F213" s="4">
        <f>IF(OR(D213="",E213=""),"",D213+E213)</f>
        <v/>
      </c>
      <c r="G213" s="7">
        <f>IF(OR(D213="",D201=""),"",D213/D201-1)</f>
        <v/>
      </c>
      <c r="H213" s="7">
        <f>IF(OR(E213="",E201=""),"",E213/E201-1)</f>
        <v/>
      </c>
      <c r="I213" s="7">
        <f>IF(OR(F213="",F201=""),"",F213/F201-1)</f>
        <v/>
      </c>
      <c r="J213" s="7">
        <f>IF(OR(D213="",D212=""),"",D213/D212-1)</f>
        <v/>
      </c>
      <c r="K213" s="7">
        <f>IF(OR(E213="",E212=""),"",E213/E212-1)</f>
        <v/>
      </c>
      <c r="L213" s="7">
        <f>IF(OR(F213="",F212=""),"",F213/F212-1)</f>
        <v/>
      </c>
      <c r="M213" s="7">
        <f>IF(F213="","",D213/F213)</f>
        <v/>
      </c>
      <c r="N213" s="7">
        <f>IF(F213="","",E213/F213)</f>
        <v/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/>
      </c>
      <c r="E214" s="4">
        <f>IF(SUMIFS('Monthly BSE Equity Cash'!$G:$G,'Monthly BSE Equity Cash'!$A:$A,$A214)=0,"",SUMIFS('Monthly BSE Equity Cash'!$G:$G,'Monthly BSE Equity Cash'!$A:$A,$A214))</f>
        <v/>
      </c>
      <c r="F214" s="4">
        <f>IF(OR(D214="",E214=""),"",D214+E214)</f>
        <v/>
      </c>
      <c r="G214" s="7">
        <f>IF(OR(D214="",D202=""),"",D214/D202-1)</f>
        <v/>
      </c>
      <c r="H214" s="7">
        <f>IF(OR(E214="",E202=""),"",E214/E202-1)</f>
        <v/>
      </c>
      <c r="I214" s="7">
        <f>IF(OR(F214="",F202=""),"",F214/F202-1)</f>
        <v/>
      </c>
      <c r="J214" s="7">
        <f>IF(OR(D214="",D213=""),"",D214/D213-1)</f>
        <v/>
      </c>
      <c r="K214" s="7">
        <f>IF(OR(E214="",E213=""),"",E214/E213-1)</f>
        <v/>
      </c>
      <c r="L214" s="7">
        <f>IF(OR(F214="",F213=""),"",F214/F213-1)</f>
        <v/>
      </c>
      <c r="M214" s="7">
        <f>IF(F214="","",D214/F214)</f>
        <v/>
      </c>
      <c r="N214" s="7">
        <f>IF(F214="","",E214/F214)</f>
        <v/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/>
      </c>
      <c r="E215" s="4">
        <f>IF(SUMIFS('Monthly BSE Equity Cash'!$G:$G,'Monthly BSE Equity Cash'!$A:$A,$A215)=0,"",SUMIFS('Monthly BSE Equity Cash'!$G:$G,'Monthly BSE Equity Cash'!$A:$A,$A215))</f>
        <v/>
      </c>
      <c r="F215" s="4">
        <f>IF(OR(D215="",E215=""),"",D215+E215)</f>
        <v/>
      </c>
      <c r="G215" s="7">
        <f>IF(OR(D215="",D203=""),"",D215/D203-1)</f>
        <v/>
      </c>
      <c r="H215" s="7">
        <f>IF(OR(E215="",E203=""),"",E215/E203-1)</f>
        <v/>
      </c>
      <c r="I215" s="7">
        <f>IF(OR(F215="",F203=""),"",F215/F203-1)</f>
        <v/>
      </c>
      <c r="J215" s="7">
        <f>IF(OR(D215="",D214=""),"",D215/D214-1)</f>
        <v/>
      </c>
      <c r="K215" s="7">
        <f>IF(OR(E215="",E214=""),"",E215/E214-1)</f>
        <v/>
      </c>
      <c r="L215" s="7">
        <f>IF(OR(F215="",F214=""),"",F215/F214-1)</f>
        <v/>
      </c>
      <c r="M215" s="7">
        <f>IF(F215="","",D215/F215)</f>
        <v/>
      </c>
      <c r="N215" s="7">
        <f>IF(F215="","",E215/F215)</f>
        <v/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/>
      </c>
      <c r="E216" s="4">
        <f>IF(SUMIFS('Monthly BSE Equity Cash'!$G:$G,'Monthly BSE Equity Cash'!$A:$A,$A216)=0,"",SUMIFS('Monthly BSE Equity Cash'!$G:$G,'Monthly BSE Equity Cash'!$A:$A,$A216))</f>
        <v/>
      </c>
      <c r="F216" s="4">
        <f>IF(OR(D216="",E216=""),"",D216+E216)</f>
        <v/>
      </c>
      <c r="G216" s="7">
        <f>IF(OR(D216="",D204=""),"",D216/D204-1)</f>
        <v/>
      </c>
      <c r="H216" s="7">
        <f>IF(OR(E216="",E204=""),"",E216/E204-1)</f>
        <v/>
      </c>
      <c r="I216" s="7">
        <f>IF(OR(F216="",F204=""),"",F216/F204-1)</f>
        <v/>
      </c>
      <c r="J216" s="7">
        <f>IF(OR(D216="",D215=""),"",D216/D215-1)</f>
        <v/>
      </c>
      <c r="K216" s="7">
        <f>IF(OR(E216="",E215=""),"",E216/E215-1)</f>
        <v/>
      </c>
      <c r="L216" s="7">
        <f>IF(OR(F216="",F215=""),"",F216/F215-1)</f>
        <v/>
      </c>
      <c r="M216" s="7">
        <f>IF(F216="","",D216/F216)</f>
        <v/>
      </c>
      <c r="N216" s="7">
        <f>IF(F216="","",E216/F216)</f>
        <v/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/>
      </c>
      <c r="E217" s="4">
        <f>IF(SUMIFS('Monthly BSE Equity Cash'!$G:$G,'Monthly BSE Equity Cash'!$A:$A,$A217)=0,"",SUMIFS('Monthly BSE Equity Cash'!$G:$G,'Monthly BSE Equity Cash'!$A:$A,$A217))</f>
        <v/>
      </c>
      <c r="F217" s="4">
        <f>IF(OR(D217="",E217=""),"",D217+E217)</f>
        <v/>
      </c>
      <c r="G217" s="7">
        <f>IF(OR(D217="",D205=""),"",D217/D205-1)</f>
        <v/>
      </c>
      <c r="H217" s="7">
        <f>IF(OR(E217="",E205=""),"",E217/E205-1)</f>
        <v/>
      </c>
      <c r="I217" s="7">
        <f>IF(OR(F217="",F205=""),"",F217/F205-1)</f>
        <v/>
      </c>
      <c r="J217" s="7">
        <f>IF(OR(D217="",D216=""),"",D217/D216-1)</f>
        <v/>
      </c>
      <c r="K217" s="7">
        <f>IF(OR(E217="",E216=""),"",E217/E216-1)</f>
        <v/>
      </c>
      <c r="L217" s="7">
        <f>IF(OR(F217="",F216=""),"",F217/F216-1)</f>
        <v/>
      </c>
      <c r="M217" s="7">
        <f>IF(F217="","",D217/F217)</f>
        <v/>
      </c>
      <c r="N217" s="7">
        <f>IF(F217="","",E217/F217)</f>
        <v/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/>
      </c>
      <c r="E218" s="4">
        <f>IF(SUMIFS('Monthly BSE Equity Cash'!$G:$G,'Monthly BSE Equity Cash'!$A:$A,$A218)=0,"",SUMIFS('Monthly BSE Equity Cash'!$G:$G,'Monthly BSE Equity Cash'!$A:$A,$A218))</f>
        <v/>
      </c>
      <c r="F218" s="4">
        <f>IF(OR(D218="",E218=""),"",D218+E218)</f>
        <v/>
      </c>
      <c r="G218" s="7">
        <f>IF(OR(D218="",D206=""),"",D218/D206-1)</f>
        <v/>
      </c>
      <c r="H218" s="7">
        <f>IF(OR(E218="",E206=""),"",E218/E206-1)</f>
        <v/>
      </c>
      <c r="I218" s="7">
        <f>IF(OR(F218="",F206=""),"",F218/F206-1)</f>
        <v/>
      </c>
      <c r="J218" s="7">
        <f>IF(OR(D218="",D217=""),"",D218/D217-1)</f>
        <v/>
      </c>
      <c r="K218" s="7">
        <f>IF(OR(E218="",E217=""),"",E218/E217-1)</f>
        <v/>
      </c>
      <c r="L218" s="7">
        <f>IF(OR(F218="",F217=""),"",F218/F217-1)</f>
        <v/>
      </c>
      <c r="M218" s="7">
        <f>IF(F218="","",D218/F218)</f>
        <v/>
      </c>
      <c r="N218" s="7">
        <f>IF(F218="","",E218/F218)</f>
        <v/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/>
      </c>
      <c r="E219" s="4">
        <f>IF(SUMIFS('Monthly BSE Equity Cash'!$G:$G,'Monthly BSE Equity Cash'!$A:$A,$A219)=0,"",SUMIFS('Monthly BSE Equity Cash'!$G:$G,'Monthly BSE Equity Cash'!$A:$A,$A219))</f>
        <v/>
      </c>
      <c r="F219" s="4">
        <f>IF(OR(D219="",E219=""),"",D219+E219)</f>
        <v/>
      </c>
      <c r="G219" s="7">
        <f>IF(OR(D219="",D207=""),"",D219/D207-1)</f>
        <v/>
      </c>
      <c r="H219" s="7">
        <f>IF(OR(E219="",E207=""),"",E219/E207-1)</f>
        <v/>
      </c>
      <c r="I219" s="7">
        <f>IF(OR(F219="",F207=""),"",F219/F207-1)</f>
        <v/>
      </c>
      <c r="J219" s="7">
        <f>IF(OR(D219="",D218=""),"",D219/D218-1)</f>
        <v/>
      </c>
      <c r="K219" s="7">
        <f>IF(OR(E219="",E218=""),"",E219/E218-1)</f>
        <v/>
      </c>
      <c r="L219" s="7">
        <f>IF(OR(F219="",F218=""),"",F219/F218-1)</f>
        <v/>
      </c>
      <c r="M219" s="7">
        <f>IF(F219="","",D219/F219)</f>
        <v/>
      </c>
      <c r="N219" s="7">
        <f>IF(F219="","",E219/F219)</f>
        <v/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/>
      </c>
      <c r="E220" s="4">
        <f>IF(SUMIFS('Monthly BSE Equity Cash'!$G:$G,'Monthly BSE Equity Cash'!$A:$A,$A220)=0,"",SUMIFS('Monthly BSE Equity Cash'!$G:$G,'Monthly BSE Equity Cash'!$A:$A,$A220))</f>
        <v/>
      </c>
      <c r="F220" s="4">
        <f>IF(OR(D220="",E220=""),"",D220+E220)</f>
        <v/>
      </c>
      <c r="G220" s="7">
        <f>IF(OR(D220="",D208=""),"",D220/D208-1)</f>
        <v/>
      </c>
      <c r="H220" s="7">
        <f>IF(OR(E220="",E208=""),"",E220/E208-1)</f>
        <v/>
      </c>
      <c r="I220" s="7">
        <f>IF(OR(F220="",F208=""),"",F220/F208-1)</f>
        <v/>
      </c>
      <c r="J220" s="7">
        <f>IF(OR(D220="",D219=""),"",D220/D219-1)</f>
        <v/>
      </c>
      <c r="K220" s="7">
        <f>IF(OR(E220="",E219=""),"",E220/E219-1)</f>
        <v/>
      </c>
      <c r="L220" s="7">
        <f>IF(OR(F220="",F219=""),"",F220/F219-1)</f>
        <v/>
      </c>
      <c r="M220" s="7">
        <f>IF(F220="","",D220/F220)</f>
        <v/>
      </c>
      <c r="N220" s="7">
        <f>IF(F220="","",E220/F220)</f>
        <v/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/>
      </c>
      <c r="E221" s="4">
        <f>IF(SUMIFS('Monthly BSE Equity Cash'!$G:$G,'Monthly BSE Equity Cash'!$A:$A,$A221)=0,"",SUMIFS('Monthly BSE Equity Cash'!$G:$G,'Monthly BSE Equity Cash'!$A:$A,$A221))</f>
        <v/>
      </c>
      <c r="F221" s="4">
        <f>IF(OR(D221="",E221=""),"",D221+E221)</f>
        <v/>
      </c>
      <c r="G221" s="7">
        <f>IF(OR(D221="",D209=""),"",D221/D209-1)</f>
        <v/>
      </c>
      <c r="H221" s="7">
        <f>IF(OR(E221="",E209=""),"",E221/E209-1)</f>
        <v/>
      </c>
      <c r="I221" s="7">
        <f>IF(OR(F221="",F209=""),"",F221/F209-1)</f>
        <v/>
      </c>
      <c r="J221" s="7">
        <f>IF(OR(D221="",D220=""),"",D221/D220-1)</f>
        <v/>
      </c>
      <c r="K221" s="7">
        <f>IF(OR(E221="",E220=""),"",E221/E220-1)</f>
        <v/>
      </c>
      <c r="L221" s="7">
        <f>IF(OR(F221="",F220=""),"",F221/F220-1)</f>
        <v/>
      </c>
      <c r="M221" s="7">
        <f>IF(F221="","",D221/F221)</f>
        <v/>
      </c>
      <c r="N221" s="7">
        <f>IF(F221="","",E221/F221)</f>
        <v/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/>
      </c>
      <c r="E222" s="4">
        <f>IF(SUMIFS('Monthly BSE Equity Cash'!$G:$G,'Monthly BSE Equity Cash'!$A:$A,$A222)=0,"",SUMIFS('Monthly BSE Equity Cash'!$G:$G,'Monthly BSE Equity Cash'!$A:$A,$A222))</f>
        <v/>
      </c>
      <c r="F222" s="4">
        <f>IF(OR(D222="",E222=""),"",D222+E222)</f>
        <v/>
      </c>
      <c r="G222" s="7">
        <f>IF(OR(D222="",D210=""),"",D222/D210-1)</f>
        <v/>
      </c>
      <c r="H222" s="7">
        <f>IF(OR(E222="",E210=""),"",E222/E210-1)</f>
        <v/>
      </c>
      <c r="I222" s="7">
        <f>IF(OR(F222="",F210=""),"",F222/F210-1)</f>
        <v/>
      </c>
      <c r="J222" s="7">
        <f>IF(OR(D222="",D221=""),"",D222/D221-1)</f>
        <v/>
      </c>
      <c r="K222" s="7">
        <f>IF(OR(E222="",E221=""),"",E222/E221-1)</f>
        <v/>
      </c>
      <c r="L222" s="7">
        <f>IF(OR(F222="",F221=""),"",F222/F221-1)</f>
        <v/>
      </c>
      <c r="M222" s="7">
        <f>IF(F222="","",D222/F222)</f>
        <v/>
      </c>
      <c r="N222" s="7">
        <f>IF(F222="","",E222/F222)</f>
        <v/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/>
      </c>
      <c r="E223" s="4">
        <f>IF(SUMIFS('Monthly BSE Equity Cash'!$G:$G,'Monthly BSE Equity Cash'!$A:$A,$A223)=0,"",SUMIFS('Monthly BSE Equity Cash'!$G:$G,'Monthly BSE Equity Cash'!$A:$A,$A223))</f>
        <v/>
      </c>
      <c r="F223" s="4">
        <f>IF(OR(D223="",E223=""),"",D223+E223)</f>
        <v/>
      </c>
      <c r="G223" s="7">
        <f>IF(OR(D223="",D211=""),"",D223/D211-1)</f>
        <v/>
      </c>
      <c r="H223" s="7">
        <f>IF(OR(E223="",E211=""),"",E223/E211-1)</f>
        <v/>
      </c>
      <c r="I223" s="7">
        <f>IF(OR(F223="",F211=""),"",F223/F211-1)</f>
        <v/>
      </c>
      <c r="J223" s="7">
        <f>IF(OR(D223="",D222=""),"",D223/D222-1)</f>
        <v/>
      </c>
      <c r="K223" s="7">
        <f>IF(OR(E223="",E222=""),"",E223/E222-1)</f>
        <v/>
      </c>
      <c r="L223" s="7">
        <f>IF(OR(F223="",F222=""),"",F223/F222-1)</f>
        <v/>
      </c>
      <c r="M223" s="7">
        <f>IF(F223="","",D223/F223)</f>
        <v/>
      </c>
      <c r="N223" s="7">
        <f>IF(F223="","",E223/F223)</f>
        <v/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/>
      </c>
      <c r="E224" s="4">
        <f>IF(SUMIFS('Monthly BSE Equity Cash'!$G:$G,'Monthly BSE Equity Cash'!$A:$A,$A224)=0,"",SUMIFS('Monthly BSE Equity Cash'!$G:$G,'Monthly BSE Equity Cash'!$A:$A,$A224))</f>
        <v/>
      </c>
      <c r="F224" s="4">
        <f>IF(OR(D224="",E224=""),"",D224+E224)</f>
        <v/>
      </c>
      <c r="G224" s="7">
        <f>IF(OR(D224="",D212=""),"",D224/D212-1)</f>
        <v/>
      </c>
      <c r="H224" s="7">
        <f>IF(OR(E224="",E212=""),"",E224/E212-1)</f>
        <v/>
      </c>
      <c r="I224" s="7">
        <f>IF(OR(F224="",F212=""),"",F224/F212-1)</f>
        <v/>
      </c>
      <c r="J224" s="7">
        <f>IF(OR(D224="",D223=""),"",D224/D223-1)</f>
        <v/>
      </c>
      <c r="K224" s="7">
        <f>IF(OR(E224="",E223=""),"",E224/E223-1)</f>
        <v/>
      </c>
      <c r="L224" s="7">
        <f>IF(OR(F224="",F223=""),"",F224/F223-1)</f>
        <v/>
      </c>
      <c r="M224" s="7">
        <f>IF(F224="","",D224/F224)</f>
        <v/>
      </c>
      <c r="N224" s="7">
        <f>IF(F224="","",E224/F224)</f>
        <v/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/>
      </c>
      <c r="E225" s="4">
        <f>IF(SUMIFS('Monthly BSE Equity Cash'!$G:$G,'Monthly BSE Equity Cash'!$A:$A,$A225)=0,"",SUMIFS('Monthly BSE Equity Cash'!$G:$G,'Monthly BSE Equity Cash'!$A:$A,$A225))</f>
        <v/>
      </c>
      <c r="F225" s="4">
        <f>IF(OR(D225="",E225=""),"",D225+E225)</f>
        <v/>
      </c>
      <c r="G225" s="7">
        <f>IF(OR(D225="",D213=""),"",D225/D213-1)</f>
        <v/>
      </c>
      <c r="H225" s="7">
        <f>IF(OR(E225="",E213=""),"",E225/E213-1)</f>
        <v/>
      </c>
      <c r="I225" s="7">
        <f>IF(OR(F225="",F213=""),"",F225/F213-1)</f>
        <v/>
      </c>
      <c r="J225" s="7">
        <f>IF(OR(D225="",D224=""),"",D225/D224-1)</f>
        <v/>
      </c>
      <c r="K225" s="7">
        <f>IF(OR(E225="",E224=""),"",E225/E224-1)</f>
        <v/>
      </c>
      <c r="L225" s="7">
        <f>IF(OR(F225="",F224=""),"",F225/F224-1)</f>
        <v/>
      </c>
      <c r="M225" s="7">
        <f>IF(F225="","",D225/F225)</f>
        <v/>
      </c>
      <c r="N225" s="7">
        <f>IF(F225="","",E225/F225)</f>
        <v/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/>
      </c>
      <c r="E226" s="4">
        <f>IF(SUMIFS('Monthly BSE Equity Cash'!$G:$G,'Monthly BSE Equity Cash'!$A:$A,$A226)=0,"",SUMIFS('Monthly BSE Equity Cash'!$G:$G,'Monthly BSE Equity Cash'!$A:$A,$A226))</f>
        <v/>
      </c>
      <c r="F226" s="4">
        <f>IF(OR(D226="",E226=""),"",D226+E226)</f>
        <v/>
      </c>
      <c r="G226" s="7">
        <f>IF(OR(D226="",D214=""),"",D226/D214-1)</f>
        <v/>
      </c>
      <c r="H226" s="7">
        <f>IF(OR(E226="",E214=""),"",E226/E214-1)</f>
        <v/>
      </c>
      <c r="I226" s="7">
        <f>IF(OR(F226="",F214=""),"",F226/F214-1)</f>
        <v/>
      </c>
      <c r="J226" s="7">
        <f>IF(OR(D226="",D225=""),"",D226/D225-1)</f>
        <v/>
      </c>
      <c r="K226" s="7">
        <f>IF(OR(E226="",E225=""),"",E226/E225-1)</f>
        <v/>
      </c>
      <c r="L226" s="7">
        <f>IF(OR(F226="",F225=""),"",F226/F225-1)</f>
        <v/>
      </c>
      <c r="M226" s="7">
        <f>IF(F226="","",D226/F226)</f>
        <v/>
      </c>
      <c r="N226" s="7">
        <f>IF(F226="","",E226/F226)</f>
        <v/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/>
      </c>
      <c r="E227" s="4">
        <f>IF(SUMIFS('Monthly BSE Equity Cash'!$G:$G,'Monthly BSE Equity Cash'!$A:$A,$A227)=0,"",SUMIFS('Monthly BSE Equity Cash'!$G:$G,'Monthly BSE Equity Cash'!$A:$A,$A227))</f>
        <v/>
      </c>
      <c r="F227" s="4">
        <f>IF(OR(D227="",E227=""),"",D227+E227)</f>
        <v/>
      </c>
      <c r="G227" s="7">
        <f>IF(OR(D227="",D215=""),"",D227/D215-1)</f>
        <v/>
      </c>
      <c r="H227" s="7">
        <f>IF(OR(E227="",E215=""),"",E227/E215-1)</f>
        <v/>
      </c>
      <c r="I227" s="7">
        <f>IF(OR(F227="",F215=""),"",F227/F215-1)</f>
        <v/>
      </c>
      <c r="J227" s="7">
        <f>IF(OR(D227="",D226=""),"",D227/D226-1)</f>
        <v/>
      </c>
      <c r="K227" s="7">
        <f>IF(OR(E227="",E226=""),"",E227/E226-1)</f>
        <v/>
      </c>
      <c r="L227" s="7">
        <f>IF(OR(F227="",F226=""),"",F227/F226-1)</f>
        <v/>
      </c>
      <c r="M227" s="7">
        <f>IF(F227="","",D227/F227)</f>
        <v/>
      </c>
      <c r="N227" s="7">
        <f>IF(F227="","",E227/F227)</f>
        <v/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/>
      </c>
      <c r="E228" s="4">
        <f>IF(SUMIFS('Monthly BSE Equity Cash'!$G:$G,'Monthly BSE Equity Cash'!$A:$A,$A228)=0,"",SUMIFS('Monthly BSE Equity Cash'!$G:$G,'Monthly BSE Equity Cash'!$A:$A,$A228))</f>
        <v/>
      </c>
      <c r="F228" s="4">
        <f>IF(OR(D228="",E228=""),"",D228+E228)</f>
        <v/>
      </c>
      <c r="G228" s="7">
        <f>IF(OR(D228="",D216=""),"",D228/D216-1)</f>
        <v/>
      </c>
      <c r="H228" s="7">
        <f>IF(OR(E228="",E216=""),"",E228/E216-1)</f>
        <v/>
      </c>
      <c r="I228" s="7">
        <f>IF(OR(F228="",F216=""),"",F228/F216-1)</f>
        <v/>
      </c>
      <c r="J228" s="7">
        <f>IF(OR(D228="",D227=""),"",D228/D227-1)</f>
        <v/>
      </c>
      <c r="K228" s="7">
        <f>IF(OR(E228="",E227=""),"",E228/E227-1)</f>
        <v/>
      </c>
      <c r="L228" s="7">
        <f>IF(OR(F228="",F227=""),"",F228/F227-1)</f>
        <v/>
      </c>
      <c r="M228" s="7">
        <f>IF(F228="","",D228/F228)</f>
        <v/>
      </c>
      <c r="N228" s="7">
        <f>IF(F228="","",E228/F228)</f>
        <v/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/>
      </c>
      <c r="E229" s="4">
        <f>IF(SUMIFS('Monthly BSE Equity Cash'!$G:$G,'Monthly BSE Equity Cash'!$A:$A,$A229)=0,"",SUMIFS('Monthly BSE Equity Cash'!$G:$G,'Monthly BSE Equity Cash'!$A:$A,$A229))</f>
        <v/>
      </c>
      <c r="F229" s="4">
        <f>IF(OR(D229="",E229=""),"",D229+E229)</f>
        <v/>
      </c>
      <c r="G229" s="7">
        <f>IF(OR(D229="",D217=""),"",D229/D217-1)</f>
        <v/>
      </c>
      <c r="H229" s="7">
        <f>IF(OR(E229="",E217=""),"",E229/E217-1)</f>
        <v/>
      </c>
      <c r="I229" s="7">
        <f>IF(OR(F229="",F217=""),"",F229/F217-1)</f>
        <v/>
      </c>
      <c r="J229" s="7">
        <f>IF(OR(D229="",D228=""),"",D229/D228-1)</f>
        <v/>
      </c>
      <c r="K229" s="7">
        <f>IF(OR(E229="",E228=""),"",E229/E228-1)</f>
        <v/>
      </c>
      <c r="L229" s="7">
        <f>IF(OR(F229="",F228=""),"",F229/F228-1)</f>
        <v/>
      </c>
      <c r="M229" s="7">
        <f>IF(F229="","",D229/F229)</f>
        <v/>
      </c>
      <c r="N229" s="7">
        <f>IF(F229="","",E229/F229)</f>
        <v/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/>
      </c>
      <c r="E230" s="4">
        <f>IF(SUMIFS('Monthly BSE Equity Cash'!$G:$G,'Monthly BSE Equity Cash'!$A:$A,$A230)=0,"",SUMIFS('Monthly BSE Equity Cash'!$G:$G,'Monthly BSE Equity Cash'!$A:$A,$A230))</f>
        <v/>
      </c>
      <c r="F230" s="4">
        <f>IF(OR(D230="",E230=""),"",D230+E230)</f>
        <v/>
      </c>
      <c r="G230" s="7">
        <f>IF(OR(D230="",D218=""),"",D230/D218-1)</f>
        <v/>
      </c>
      <c r="H230" s="7">
        <f>IF(OR(E230="",E218=""),"",E230/E218-1)</f>
        <v/>
      </c>
      <c r="I230" s="7">
        <f>IF(OR(F230="",F218=""),"",F230/F218-1)</f>
        <v/>
      </c>
      <c r="J230" s="7">
        <f>IF(OR(D230="",D229=""),"",D230/D229-1)</f>
        <v/>
      </c>
      <c r="K230" s="7">
        <f>IF(OR(E230="",E229=""),"",E230/E229-1)</f>
        <v/>
      </c>
      <c r="L230" s="7">
        <f>IF(OR(F230="",F229=""),"",F230/F229-1)</f>
        <v/>
      </c>
      <c r="M230" s="7">
        <f>IF(F230="","",D230/F230)</f>
        <v/>
      </c>
      <c r="N230" s="7">
        <f>IF(F230="","",E230/F230)</f>
        <v/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/>
      </c>
      <c r="E231" s="4">
        <f>IF(SUMIFS('Monthly BSE Equity Cash'!$G:$G,'Monthly BSE Equity Cash'!$A:$A,$A231)=0,"",SUMIFS('Monthly BSE Equity Cash'!$G:$G,'Monthly BSE Equity Cash'!$A:$A,$A231))</f>
        <v/>
      </c>
      <c r="F231" s="4">
        <f>IF(OR(D231="",E231=""),"",D231+E231)</f>
        <v/>
      </c>
      <c r="G231" s="7">
        <f>IF(OR(D231="",D219=""),"",D231/D219-1)</f>
        <v/>
      </c>
      <c r="H231" s="7">
        <f>IF(OR(E231="",E219=""),"",E231/E219-1)</f>
        <v/>
      </c>
      <c r="I231" s="7">
        <f>IF(OR(F231="",F219=""),"",F231/F219-1)</f>
        <v/>
      </c>
      <c r="J231" s="7">
        <f>IF(OR(D231="",D230=""),"",D231/D230-1)</f>
        <v/>
      </c>
      <c r="K231" s="7">
        <f>IF(OR(E231="",E230=""),"",E231/E230-1)</f>
        <v/>
      </c>
      <c r="L231" s="7">
        <f>IF(OR(F231="",F230=""),"",F231/F230-1)</f>
        <v/>
      </c>
      <c r="M231" s="7">
        <f>IF(F231="","",D231/F231)</f>
        <v/>
      </c>
      <c r="N231" s="7">
        <f>IF(F231="","",E231/F231)</f>
        <v/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/>
      </c>
      <c r="E232" s="4">
        <f>IF(SUMIFS('Monthly BSE Equity Cash'!$G:$G,'Monthly BSE Equity Cash'!$A:$A,$A232)=0,"",SUMIFS('Monthly BSE Equity Cash'!$G:$G,'Monthly BSE Equity Cash'!$A:$A,$A232))</f>
        <v/>
      </c>
      <c r="F232" s="4">
        <f>IF(OR(D232="",E232=""),"",D232+E232)</f>
        <v/>
      </c>
      <c r="G232" s="7">
        <f>IF(OR(D232="",D220=""),"",D232/D220-1)</f>
        <v/>
      </c>
      <c r="H232" s="7">
        <f>IF(OR(E232="",E220=""),"",E232/E220-1)</f>
        <v/>
      </c>
      <c r="I232" s="7">
        <f>IF(OR(F232="",F220=""),"",F232/F220-1)</f>
        <v/>
      </c>
      <c r="J232" s="7">
        <f>IF(OR(D232="",D231=""),"",D232/D231-1)</f>
        <v/>
      </c>
      <c r="K232" s="7">
        <f>IF(OR(E232="",E231=""),"",E232/E231-1)</f>
        <v/>
      </c>
      <c r="L232" s="7">
        <f>IF(OR(F232="",F231=""),"",F232/F231-1)</f>
        <v/>
      </c>
      <c r="M232" s="7">
        <f>IF(F232="","",D232/F232)</f>
        <v/>
      </c>
      <c r="N232" s="7">
        <f>IF(F232="","",E232/F232)</f>
        <v/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/>
      </c>
      <c r="E233" s="4">
        <f>IF(SUMIFS('Monthly BSE Equity Cash'!$G:$G,'Monthly BSE Equity Cash'!$A:$A,$A233)=0,"",SUMIFS('Monthly BSE Equity Cash'!$G:$G,'Monthly BSE Equity Cash'!$A:$A,$A233))</f>
        <v/>
      </c>
      <c r="F233" s="4">
        <f>IF(OR(D233="",E233=""),"",D233+E233)</f>
        <v/>
      </c>
      <c r="G233" s="7">
        <f>IF(OR(D233="",D221=""),"",D233/D221-1)</f>
        <v/>
      </c>
      <c r="H233" s="7">
        <f>IF(OR(E233="",E221=""),"",E233/E221-1)</f>
        <v/>
      </c>
      <c r="I233" s="7">
        <f>IF(OR(F233="",F221=""),"",F233/F221-1)</f>
        <v/>
      </c>
      <c r="J233" s="7">
        <f>IF(OR(D233="",D232=""),"",D233/D232-1)</f>
        <v/>
      </c>
      <c r="K233" s="7">
        <f>IF(OR(E233="",E232=""),"",E233/E232-1)</f>
        <v/>
      </c>
      <c r="L233" s="7">
        <f>IF(OR(F233="",F232=""),"",F233/F232-1)</f>
        <v/>
      </c>
      <c r="M233" s="7">
        <f>IF(F233="","",D233/F233)</f>
        <v/>
      </c>
      <c r="N233" s="7">
        <f>IF(F233="","",E233/F233)</f>
        <v/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/>
      </c>
      <c r="E234" s="4">
        <f>IF(SUMIFS('Monthly BSE Equity Cash'!$G:$G,'Monthly BSE Equity Cash'!$A:$A,$A234)=0,"",SUMIFS('Monthly BSE Equity Cash'!$G:$G,'Monthly BSE Equity Cash'!$A:$A,$A234))</f>
        <v/>
      </c>
      <c r="F234" s="4">
        <f>IF(OR(D234="",E234=""),"",D234+E234)</f>
        <v/>
      </c>
      <c r="G234" s="7">
        <f>IF(OR(D234="",D222=""),"",D234/D222-1)</f>
        <v/>
      </c>
      <c r="H234" s="7">
        <f>IF(OR(E234="",E222=""),"",E234/E222-1)</f>
        <v/>
      </c>
      <c r="I234" s="7">
        <f>IF(OR(F234="",F222=""),"",F234/F222-1)</f>
        <v/>
      </c>
      <c r="J234" s="7">
        <f>IF(OR(D234="",D233=""),"",D234/D233-1)</f>
        <v/>
      </c>
      <c r="K234" s="7">
        <f>IF(OR(E234="",E233=""),"",E234/E233-1)</f>
        <v/>
      </c>
      <c r="L234" s="7">
        <f>IF(OR(F234="",F233=""),"",F234/F233-1)</f>
        <v/>
      </c>
      <c r="M234" s="7">
        <f>IF(F234="","",D234/F234)</f>
        <v/>
      </c>
      <c r="N234" s="7">
        <f>IF(F234="","",E234/F234)</f>
        <v/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/>
      </c>
      <c r="E235" s="4">
        <f>IF(SUMIFS('Monthly BSE Equity Cash'!$G:$G,'Monthly BSE Equity Cash'!$A:$A,$A235)=0,"",SUMIFS('Monthly BSE Equity Cash'!$G:$G,'Monthly BSE Equity Cash'!$A:$A,$A235))</f>
        <v/>
      </c>
      <c r="F235" s="4">
        <f>IF(OR(D235="",E235=""),"",D235+E235)</f>
        <v/>
      </c>
      <c r="G235" s="7">
        <f>IF(OR(D235="",D223=""),"",D235/D223-1)</f>
        <v/>
      </c>
      <c r="H235" s="7">
        <f>IF(OR(E235="",E223=""),"",E235/E223-1)</f>
        <v/>
      </c>
      <c r="I235" s="7">
        <f>IF(OR(F235="",F223=""),"",F235/F223-1)</f>
        <v/>
      </c>
      <c r="J235" s="7">
        <f>IF(OR(D235="",D234=""),"",D235/D234-1)</f>
        <v/>
      </c>
      <c r="K235" s="7">
        <f>IF(OR(E235="",E234=""),"",E235/E234-1)</f>
        <v/>
      </c>
      <c r="L235" s="7">
        <f>IF(OR(F235="",F234=""),"",F235/F234-1)</f>
        <v/>
      </c>
      <c r="M235" s="7">
        <f>IF(F235="","",D235/F235)</f>
        <v/>
      </c>
      <c r="N235" s="7">
        <f>IF(F235="","",E235/F235)</f>
        <v/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/>
      </c>
      <c r="E236" s="4">
        <f>IF(SUMIFS('Monthly BSE Equity Cash'!$G:$G,'Monthly BSE Equity Cash'!$A:$A,$A236)=0,"",SUMIFS('Monthly BSE Equity Cash'!$G:$G,'Monthly BSE Equity Cash'!$A:$A,$A236))</f>
        <v/>
      </c>
      <c r="F236" s="4">
        <f>IF(OR(D236="",E236=""),"",D236+E236)</f>
        <v/>
      </c>
      <c r="G236" s="7">
        <f>IF(OR(D236="",D224=""),"",D236/D224-1)</f>
        <v/>
      </c>
      <c r="H236" s="7">
        <f>IF(OR(E236="",E224=""),"",E236/E224-1)</f>
        <v/>
      </c>
      <c r="I236" s="7">
        <f>IF(OR(F236="",F224=""),"",F236/F224-1)</f>
        <v/>
      </c>
      <c r="J236" s="7">
        <f>IF(OR(D236="",D235=""),"",D236/D235-1)</f>
        <v/>
      </c>
      <c r="K236" s="7">
        <f>IF(OR(E236="",E235=""),"",E236/E235-1)</f>
        <v/>
      </c>
      <c r="L236" s="7">
        <f>IF(OR(F236="",F235=""),"",F236/F235-1)</f>
        <v/>
      </c>
      <c r="M236" s="7">
        <f>IF(F236="","",D236/F236)</f>
        <v/>
      </c>
      <c r="N236" s="7">
        <f>IF(F236="","",E236/F236)</f>
        <v/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/>
      </c>
      <c r="E237" s="4">
        <f>IF(SUMIFS('Monthly BSE Equity Cash'!$G:$G,'Monthly BSE Equity Cash'!$A:$A,$A237)=0,"",SUMIFS('Monthly BSE Equity Cash'!$G:$G,'Monthly BSE Equity Cash'!$A:$A,$A237))</f>
        <v/>
      </c>
      <c r="F237" s="4">
        <f>IF(OR(D237="",E237=""),"",D237+E237)</f>
        <v/>
      </c>
      <c r="G237" s="7">
        <f>IF(OR(D237="",D225=""),"",D237/D225-1)</f>
        <v/>
      </c>
      <c r="H237" s="7">
        <f>IF(OR(E237="",E225=""),"",E237/E225-1)</f>
        <v/>
      </c>
      <c r="I237" s="7">
        <f>IF(OR(F237="",F225=""),"",F237/F225-1)</f>
        <v/>
      </c>
      <c r="J237" s="7">
        <f>IF(OR(D237="",D236=""),"",D237/D236-1)</f>
        <v/>
      </c>
      <c r="K237" s="7">
        <f>IF(OR(E237="",E236=""),"",E237/E236-1)</f>
        <v/>
      </c>
      <c r="L237" s="7">
        <f>IF(OR(F237="",F236=""),"",F237/F236-1)</f>
        <v/>
      </c>
      <c r="M237" s="7">
        <f>IF(F237="","",D237/F237)</f>
        <v/>
      </c>
      <c r="N237" s="7">
        <f>IF(F237="","",E237/F237)</f>
        <v/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/>
      </c>
      <c r="E238" s="4">
        <f>IF(SUMIFS('Monthly BSE Equity Cash'!$G:$G,'Monthly BSE Equity Cash'!$A:$A,$A238)=0,"",SUMIFS('Monthly BSE Equity Cash'!$G:$G,'Monthly BSE Equity Cash'!$A:$A,$A238))</f>
        <v/>
      </c>
      <c r="F238" s="4">
        <f>IF(OR(D238="",E238=""),"",D238+E238)</f>
        <v/>
      </c>
      <c r="G238" s="7">
        <f>IF(OR(D238="",D226=""),"",D238/D226-1)</f>
        <v/>
      </c>
      <c r="H238" s="7">
        <f>IF(OR(E238="",E226=""),"",E238/E226-1)</f>
        <v/>
      </c>
      <c r="I238" s="7">
        <f>IF(OR(F238="",F226=""),"",F238/F226-1)</f>
        <v/>
      </c>
      <c r="J238" s="7">
        <f>IF(OR(D238="",D237=""),"",D238/D237-1)</f>
        <v/>
      </c>
      <c r="K238" s="7">
        <f>IF(OR(E238="",E237=""),"",E238/E237-1)</f>
        <v/>
      </c>
      <c r="L238" s="7">
        <f>IF(OR(F238="",F237=""),"",F238/F237-1)</f>
        <v/>
      </c>
      <c r="M238" s="7">
        <f>IF(F238="","",D238/F238)</f>
        <v/>
      </c>
      <c r="N238" s="7">
        <f>IF(F238="","",E238/F238)</f>
        <v/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/>
      </c>
      <c r="E239" s="4">
        <f>IF(SUMIFS('Monthly BSE Equity Cash'!$G:$G,'Monthly BSE Equity Cash'!$A:$A,$A239)=0,"",SUMIFS('Monthly BSE Equity Cash'!$G:$G,'Monthly BSE Equity Cash'!$A:$A,$A239))</f>
        <v/>
      </c>
      <c r="F239" s="4">
        <f>IF(OR(D239="",E239=""),"",D239+E239)</f>
        <v/>
      </c>
      <c r="G239" s="7">
        <f>IF(OR(D239="",D227=""),"",D239/D227-1)</f>
        <v/>
      </c>
      <c r="H239" s="7">
        <f>IF(OR(E239="",E227=""),"",E239/E227-1)</f>
        <v/>
      </c>
      <c r="I239" s="7">
        <f>IF(OR(F239="",F227=""),"",F239/F227-1)</f>
        <v/>
      </c>
      <c r="J239" s="7">
        <f>IF(OR(D239="",D238=""),"",D239/D238-1)</f>
        <v/>
      </c>
      <c r="K239" s="7">
        <f>IF(OR(E239="",E238=""),"",E239/E238-1)</f>
        <v/>
      </c>
      <c r="L239" s="7">
        <f>IF(OR(F239="",F238=""),"",F239/F238-1)</f>
        <v/>
      </c>
      <c r="M239" s="7">
        <f>IF(F239="","",D239/F239)</f>
        <v/>
      </c>
      <c r="N239" s="7">
        <f>IF(F239="","",E239/F239)</f>
        <v/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/>
      </c>
      <c r="E240" s="4">
        <f>IF(SUMIFS('Monthly BSE Equity Cash'!$G:$G,'Monthly BSE Equity Cash'!$A:$A,$A240)=0,"",SUMIFS('Monthly BSE Equity Cash'!$G:$G,'Monthly BSE Equity Cash'!$A:$A,$A240))</f>
        <v/>
      </c>
      <c r="F240" s="4">
        <f>IF(OR(D240="",E240=""),"",D240+E240)</f>
        <v/>
      </c>
      <c r="G240" s="7">
        <f>IF(OR(D240="",D228=""),"",D240/D228-1)</f>
        <v/>
      </c>
      <c r="H240" s="7">
        <f>IF(OR(E240="",E228=""),"",E240/E228-1)</f>
        <v/>
      </c>
      <c r="I240" s="7">
        <f>IF(OR(F240="",F228=""),"",F240/F228-1)</f>
        <v/>
      </c>
      <c r="J240" s="7">
        <f>IF(OR(D240="",D239=""),"",D240/D239-1)</f>
        <v/>
      </c>
      <c r="K240" s="7">
        <f>IF(OR(E240="",E239=""),"",E240/E239-1)</f>
        <v/>
      </c>
      <c r="L240" s="7">
        <f>IF(OR(F240="",F239=""),"",F240/F239-1)</f>
        <v/>
      </c>
      <c r="M240" s="7">
        <f>IF(F240="","",D240/F240)</f>
        <v/>
      </c>
      <c r="N240" s="7">
        <f>IF(F240="","",E240/F240)</f>
        <v/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/>
      </c>
      <c r="E241" s="4">
        <f>IF(SUMIFS('Monthly BSE Equity Cash'!$G:$G,'Monthly BSE Equity Cash'!$A:$A,$A241)=0,"",SUMIFS('Monthly BSE Equity Cash'!$G:$G,'Monthly BSE Equity Cash'!$A:$A,$A241))</f>
        <v/>
      </c>
      <c r="F241" s="4">
        <f>IF(OR(D241="",E241=""),"",D241+E241)</f>
        <v/>
      </c>
      <c r="G241" s="7">
        <f>IF(OR(D241="",D229=""),"",D241/D229-1)</f>
        <v/>
      </c>
      <c r="H241" s="7">
        <f>IF(OR(E241="",E229=""),"",E241/E229-1)</f>
        <v/>
      </c>
      <c r="I241" s="7">
        <f>IF(OR(F241="",F229=""),"",F241/F229-1)</f>
        <v/>
      </c>
      <c r="J241" s="7">
        <f>IF(OR(D241="",D240=""),"",D241/D240-1)</f>
        <v/>
      </c>
      <c r="K241" s="7">
        <f>IF(OR(E241="",E240=""),"",E241/E240-1)</f>
        <v/>
      </c>
      <c r="L241" s="7">
        <f>IF(OR(F241="",F240=""),"",F241/F240-1)</f>
        <v/>
      </c>
      <c r="M241" s="7">
        <f>IF(F241="","",D241/F241)</f>
        <v/>
      </c>
      <c r="N241" s="7">
        <f>IF(F241="","",E241/F241)</f>
        <v/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/>
      </c>
      <c r="E242" s="4">
        <f>IF(SUMIFS('Monthly BSE Equity Cash'!$G:$G,'Monthly BSE Equity Cash'!$A:$A,$A242)=0,"",SUMIFS('Monthly BSE Equity Cash'!$G:$G,'Monthly BSE Equity Cash'!$A:$A,$A242))</f>
        <v/>
      </c>
      <c r="F242" s="4">
        <f>IF(OR(D242="",E242=""),"",D242+E242)</f>
        <v/>
      </c>
      <c r="G242" s="7">
        <f>IF(OR(D242="",D230=""),"",D242/D230-1)</f>
        <v/>
      </c>
      <c r="H242" s="7">
        <f>IF(OR(E242="",E230=""),"",E242/E230-1)</f>
        <v/>
      </c>
      <c r="I242" s="7">
        <f>IF(OR(F242="",F230=""),"",F242/F230-1)</f>
        <v/>
      </c>
      <c r="J242" s="7">
        <f>IF(OR(D242="",D241=""),"",D242/D241-1)</f>
        <v/>
      </c>
      <c r="K242" s="7">
        <f>IF(OR(E242="",E241=""),"",E242/E241-1)</f>
        <v/>
      </c>
      <c r="L242" s="7">
        <f>IF(OR(F242="",F241=""),"",F242/F241-1)</f>
        <v/>
      </c>
      <c r="M242" s="7">
        <f>IF(F242="","",D242/F242)</f>
        <v/>
      </c>
      <c r="N242" s="7">
        <f>IF(F242="","",E242/F242)</f>
        <v/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/>
      </c>
      <c r="E243" s="4">
        <f>IF(SUMIFS('Monthly BSE Equity Cash'!$G:$G,'Monthly BSE Equity Cash'!$A:$A,$A243)=0,"",SUMIFS('Monthly BSE Equity Cash'!$G:$G,'Monthly BSE Equity Cash'!$A:$A,$A243))</f>
        <v/>
      </c>
      <c r="F243" s="4">
        <f>IF(OR(D243="",E243=""),"",D243+E243)</f>
        <v/>
      </c>
      <c r="G243" s="7">
        <f>IF(OR(D243="",D231=""),"",D243/D231-1)</f>
        <v/>
      </c>
      <c r="H243" s="7">
        <f>IF(OR(E243="",E231=""),"",E243/E231-1)</f>
        <v/>
      </c>
      <c r="I243" s="7">
        <f>IF(OR(F243="",F231=""),"",F243/F231-1)</f>
        <v/>
      </c>
      <c r="J243" s="7">
        <f>IF(OR(D243="",D242=""),"",D243/D242-1)</f>
        <v/>
      </c>
      <c r="K243" s="7">
        <f>IF(OR(E243="",E242=""),"",E243/E242-1)</f>
        <v/>
      </c>
      <c r="L243" s="7">
        <f>IF(OR(F243="",F242=""),"",F243/F242-1)</f>
        <v/>
      </c>
      <c r="M243" s="7">
        <f>IF(F243="","",D243/F243)</f>
        <v/>
      </c>
      <c r="N243" s="7">
        <f>IF(F243="","",E243/F243)</f>
        <v/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/>
      </c>
      <c r="E244" s="4">
        <f>IF(SUMIFS('Monthly BSE Equity Cash'!$G:$G,'Monthly BSE Equity Cash'!$A:$A,$A244)=0,"",SUMIFS('Monthly BSE Equity Cash'!$G:$G,'Monthly BSE Equity Cash'!$A:$A,$A244))</f>
        <v/>
      </c>
      <c r="F244" s="4">
        <f>IF(OR(D244="",E244=""),"",D244+E244)</f>
        <v/>
      </c>
      <c r="G244" s="7">
        <f>IF(OR(D244="",D232=""),"",D244/D232-1)</f>
        <v/>
      </c>
      <c r="H244" s="7">
        <f>IF(OR(E244="",E232=""),"",E244/E232-1)</f>
        <v/>
      </c>
      <c r="I244" s="7">
        <f>IF(OR(F244="",F232=""),"",F244/F232-1)</f>
        <v/>
      </c>
      <c r="J244" s="7">
        <f>IF(OR(D244="",D243=""),"",D244/D243-1)</f>
        <v/>
      </c>
      <c r="K244" s="7">
        <f>IF(OR(E244="",E243=""),"",E244/E243-1)</f>
        <v/>
      </c>
      <c r="L244" s="7">
        <f>IF(OR(F244="",F243=""),"",F244/F243-1)</f>
        <v/>
      </c>
      <c r="M244" s="7">
        <f>IF(F244="","",D244/F244)</f>
        <v/>
      </c>
      <c r="N244" s="7">
        <f>IF(F244="","",E244/F244)</f>
        <v/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/>
      </c>
      <c r="E245" s="4">
        <f>IF(SUMIFS('Monthly BSE Equity Cash'!$G:$G,'Monthly BSE Equity Cash'!$A:$A,$A245)=0,"",SUMIFS('Monthly BSE Equity Cash'!$G:$G,'Monthly BSE Equity Cash'!$A:$A,$A245))</f>
        <v/>
      </c>
      <c r="F245" s="4">
        <f>IF(OR(D245="",E245=""),"",D245+E245)</f>
        <v/>
      </c>
      <c r="G245" s="7">
        <f>IF(OR(D245="",D233=""),"",D245/D233-1)</f>
        <v/>
      </c>
      <c r="H245" s="7">
        <f>IF(OR(E245="",E233=""),"",E245/E233-1)</f>
        <v/>
      </c>
      <c r="I245" s="7">
        <f>IF(OR(F245="",F233=""),"",F245/F233-1)</f>
        <v/>
      </c>
      <c r="J245" s="7">
        <f>IF(OR(D245="",D244=""),"",D245/D244-1)</f>
        <v/>
      </c>
      <c r="K245" s="7">
        <f>IF(OR(E245="",E244=""),"",E245/E244-1)</f>
        <v/>
      </c>
      <c r="L245" s="7">
        <f>IF(OR(F245="",F244=""),"",F245/F244-1)</f>
        <v/>
      </c>
      <c r="M245" s="7">
        <f>IF(F245="","",D245/F245)</f>
        <v/>
      </c>
      <c r="N245" s="7">
        <f>IF(F245="","",E245/F245)</f>
        <v/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/>
      </c>
      <c r="E246" s="4">
        <f>IF(SUMIFS('Monthly BSE Equity Cash'!$G:$G,'Monthly BSE Equity Cash'!$A:$A,$A246)=0,"",SUMIFS('Monthly BSE Equity Cash'!$G:$G,'Monthly BSE Equity Cash'!$A:$A,$A246))</f>
        <v/>
      </c>
      <c r="F246" s="4">
        <f>IF(OR(D246="",E246=""),"",D246+E246)</f>
        <v/>
      </c>
      <c r="G246" s="7">
        <f>IF(OR(D246="",D234=""),"",D246/D234-1)</f>
        <v/>
      </c>
      <c r="H246" s="7">
        <f>IF(OR(E246="",E234=""),"",E246/E234-1)</f>
        <v/>
      </c>
      <c r="I246" s="7">
        <f>IF(OR(F246="",F234=""),"",F246/F234-1)</f>
        <v/>
      </c>
      <c r="J246" s="7">
        <f>IF(OR(D246="",D245=""),"",D246/D245-1)</f>
        <v/>
      </c>
      <c r="K246" s="7">
        <f>IF(OR(E246="",E245=""),"",E246/E245-1)</f>
        <v/>
      </c>
      <c r="L246" s="7">
        <f>IF(OR(F246="",F245=""),"",F246/F245-1)</f>
        <v/>
      </c>
      <c r="M246" s="7">
        <f>IF(F246="","",D246/F246)</f>
        <v/>
      </c>
      <c r="N246" s="7">
        <f>IF(F246="","",E246/F246)</f>
        <v/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/>
      </c>
      <c r="E247" s="4">
        <f>IF(SUMIFS('Monthly BSE Equity Cash'!$G:$G,'Monthly BSE Equity Cash'!$A:$A,$A247)=0,"",SUMIFS('Monthly BSE Equity Cash'!$G:$G,'Monthly BSE Equity Cash'!$A:$A,$A247))</f>
        <v/>
      </c>
      <c r="F247" s="4">
        <f>IF(OR(D247="",E247=""),"",D247+E247)</f>
        <v/>
      </c>
      <c r="G247" s="7">
        <f>IF(OR(D247="",D235=""),"",D247/D235-1)</f>
        <v/>
      </c>
      <c r="H247" s="7">
        <f>IF(OR(E247="",E235=""),"",E247/E235-1)</f>
        <v/>
      </c>
      <c r="I247" s="7">
        <f>IF(OR(F247="",F235=""),"",F247/F235-1)</f>
        <v/>
      </c>
      <c r="J247" s="7">
        <f>IF(OR(D247="",D246=""),"",D247/D246-1)</f>
        <v/>
      </c>
      <c r="K247" s="7">
        <f>IF(OR(E247="",E246=""),"",E247/E246-1)</f>
        <v/>
      </c>
      <c r="L247" s="7">
        <f>IF(OR(F247="",F246=""),"",F247/F246-1)</f>
        <v/>
      </c>
      <c r="M247" s="7">
        <f>IF(F247="","",D247/F247)</f>
        <v/>
      </c>
      <c r="N247" s="7">
        <f>IF(F247="","",E247/F247)</f>
        <v/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/>
      </c>
      <c r="E248" s="4">
        <f>IF(SUMIFS('Monthly BSE Equity Cash'!$G:$G,'Monthly BSE Equity Cash'!$A:$A,$A248)=0,"",SUMIFS('Monthly BSE Equity Cash'!$G:$G,'Monthly BSE Equity Cash'!$A:$A,$A248))</f>
        <v/>
      </c>
      <c r="F248" s="4">
        <f>IF(OR(D248="",E248=""),"",D248+E248)</f>
        <v/>
      </c>
      <c r="G248" s="7">
        <f>IF(OR(D248="",D236=""),"",D248/D236-1)</f>
        <v/>
      </c>
      <c r="H248" s="7">
        <f>IF(OR(E248="",E236=""),"",E248/E236-1)</f>
        <v/>
      </c>
      <c r="I248" s="7">
        <f>IF(OR(F248="",F236=""),"",F248/F236-1)</f>
        <v/>
      </c>
      <c r="J248" s="7">
        <f>IF(OR(D248="",D247=""),"",D248/D247-1)</f>
        <v/>
      </c>
      <c r="K248" s="7">
        <f>IF(OR(E248="",E247=""),"",E248/E247-1)</f>
        <v/>
      </c>
      <c r="L248" s="7">
        <f>IF(OR(F248="",F247=""),"",F248/F247-1)</f>
        <v/>
      </c>
      <c r="M248" s="7">
        <f>IF(F248="","",D248/F248)</f>
        <v/>
      </c>
      <c r="N248" s="7">
        <f>IF(F248="","",E248/F248)</f>
        <v/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/>
      </c>
      <c r="E249" s="4">
        <f>IF(SUMIFS('Monthly BSE Equity Cash'!$G:$G,'Monthly BSE Equity Cash'!$A:$A,$A249)=0,"",SUMIFS('Monthly BSE Equity Cash'!$G:$G,'Monthly BSE Equity Cash'!$A:$A,$A249))</f>
        <v/>
      </c>
      <c r="F249" s="4">
        <f>IF(OR(D249="",E249=""),"",D249+E249)</f>
        <v/>
      </c>
      <c r="G249" s="7">
        <f>IF(OR(D249="",D237=""),"",D249/D237-1)</f>
        <v/>
      </c>
      <c r="H249" s="7">
        <f>IF(OR(E249="",E237=""),"",E249/E237-1)</f>
        <v/>
      </c>
      <c r="I249" s="7">
        <f>IF(OR(F249="",F237=""),"",F249/F237-1)</f>
        <v/>
      </c>
      <c r="J249" s="7">
        <f>IF(OR(D249="",D248=""),"",D249/D248-1)</f>
        <v/>
      </c>
      <c r="K249" s="7">
        <f>IF(OR(E249="",E248=""),"",E249/E248-1)</f>
        <v/>
      </c>
      <c r="L249" s="7">
        <f>IF(OR(F249="",F248=""),"",F249/F248-1)</f>
        <v/>
      </c>
      <c r="M249" s="7">
        <f>IF(F249="","",D249/F249)</f>
        <v/>
      </c>
      <c r="N249" s="7">
        <f>IF(F249="","",E249/F249)</f>
        <v/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/>
      </c>
      <c r="E250" s="4">
        <f>IF(SUMIFS('Monthly BSE Equity Cash'!$G:$G,'Monthly BSE Equity Cash'!$A:$A,$A250)=0,"",SUMIFS('Monthly BSE Equity Cash'!$G:$G,'Monthly BSE Equity Cash'!$A:$A,$A250))</f>
        <v/>
      </c>
      <c r="F250" s="4">
        <f>IF(OR(D250="",E250=""),"",D250+E250)</f>
        <v/>
      </c>
      <c r="G250" s="7">
        <f>IF(OR(D250="",D238=""),"",D250/D238-1)</f>
        <v/>
      </c>
      <c r="H250" s="7">
        <f>IF(OR(E250="",E238=""),"",E250/E238-1)</f>
        <v/>
      </c>
      <c r="I250" s="7">
        <f>IF(OR(F250="",F238=""),"",F250/F238-1)</f>
        <v/>
      </c>
      <c r="J250" s="7">
        <f>IF(OR(D250="",D249=""),"",D250/D249-1)</f>
        <v/>
      </c>
      <c r="K250" s="7">
        <f>IF(OR(E250="",E249=""),"",E250/E249-1)</f>
        <v/>
      </c>
      <c r="L250" s="7">
        <f>IF(OR(F250="",F249=""),"",F250/F249-1)</f>
        <v/>
      </c>
      <c r="M250" s="7">
        <f>IF(F250="","",D250/F250)</f>
        <v/>
      </c>
      <c r="N250" s="7">
        <f>IF(F250="","",E250/F250)</f>
        <v/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/>
      </c>
      <c r="E251" s="4">
        <f>IF(SUMIFS('Monthly BSE Equity Cash'!$G:$G,'Monthly BSE Equity Cash'!$A:$A,$A251)=0,"",SUMIFS('Monthly BSE Equity Cash'!$G:$G,'Monthly BSE Equity Cash'!$A:$A,$A251))</f>
        <v/>
      </c>
      <c r="F251" s="4">
        <f>IF(OR(D251="",E251=""),"",D251+E251)</f>
        <v/>
      </c>
      <c r="G251" s="7">
        <f>IF(OR(D251="",D239=""),"",D251/D239-1)</f>
        <v/>
      </c>
      <c r="H251" s="7">
        <f>IF(OR(E251="",E239=""),"",E251/E239-1)</f>
        <v/>
      </c>
      <c r="I251" s="7">
        <f>IF(OR(F251="",F239=""),"",F251/F239-1)</f>
        <v/>
      </c>
      <c r="J251" s="7">
        <f>IF(OR(D251="",D250=""),"",D251/D250-1)</f>
        <v/>
      </c>
      <c r="K251" s="7">
        <f>IF(OR(E251="",E250=""),"",E251/E250-1)</f>
        <v/>
      </c>
      <c r="L251" s="7">
        <f>IF(OR(F251="",F250=""),"",F251/F250-1)</f>
        <v/>
      </c>
      <c r="M251" s="7">
        <f>IF(F251="","",D251/F251)</f>
        <v/>
      </c>
      <c r="N251" s="7">
        <f>IF(F251="","",E251/F251)</f>
        <v/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/>
      </c>
      <c r="E252" s="4">
        <f>IF(SUMIFS('Monthly BSE Equity Cash'!$G:$G,'Monthly BSE Equity Cash'!$A:$A,$A252)=0,"",SUMIFS('Monthly BSE Equity Cash'!$G:$G,'Monthly BSE Equity Cash'!$A:$A,$A252))</f>
        <v/>
      </c>
      <c r="F252" s="4">
        <f>IF(OR(D252="",E252=""),"",D252+E252)</f>
        <v/>
      </c>
      <c r="G252" s="7">
        <f>IF(OR(D252="",D240=""),"",D252/D240-1)</f>
        <v/>
      </c>
      <c r="H252" s="7">
        <f>IF(OR(E252="",E240=""),"",E252/E240-1)</f>
        <v/>
      </c>
      <c r="I252" s="7">
        <f>IF(OR(F252="",F240=""),"",F252/F240-1)</f>
        <v/>
      </c>
      <c r="J252" s="7">
        <f>IF(OR(D252="",D251=""),"",D252/D251-1)</f>
        <v/>
      </c>
      <c r="K252" s="7">
        <f>IF(OR(E252="",E251=""),"",E252/E251-1)</f>
        <v/>
      </c>
      <c r="L252" s="7">
        <f>IF(OR(F252="",F251=""),"",F252/F251-1)</f>
        <v/>
      </c>
      <c r="M252" s="7">
        <f>IF(F252="","",D252/F252)</f>
        <v/>
      </c>
      <c r="N252" s="7">
        <f>IF(F252="","",E252/F252)</f>
        <v/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/>
      </c>
      <c r="E253" s="4">
        <f>IF(SUMIFS('Monthly BSE Equity Cash'!$G:$G,'Monthly BSE Equity Cash'!$A:$A,$A253)=0,"",SUMIFS('Monthly BSE Equity Cash'!$G:$G,'Monthly BSE Equity Cash'!$A:$A,$A253))</f>
        <v/>
      </c>
      <c r="F253" s="4">
        <f>IF(OR(D253="",E253=""),"",D253+E253)</f>
        <v/>
      </c>
      <c r="G253" s="7">
        <f>IF(OR(D253="",D241=""),"",D253/D241-1)</f>
        <v/>
      </c>
      <c r="H253" s="7">
        <f>IF(OR(E253="",E241=""),"",E253/E241-1)</f>
        <v/>
      </c>
      <c r="I253" s="7">
        <f>IF(OR(F253="",F241=""),"",F253/F241-1)</f>
        <v/>
      </c>
      <c r="J253" s="7">
        <f>IF(OR(D253="",D252=""),"",D253/D252-1)</f>
        <v/>
      </c>
      <c r="K253" s="7">
        <f>IF(OR(E253="",E252=""),"",E253/E252-1)</f>
        <v/>
      </c>
      <c r="L253" s="7">
        <f>IF(OR(F253="",F252=""),"",F253/F252-1)</f>
        <v/>
      </c>
      <c r="M253" s="7">
        <f>IF(F253="","",D253/F253)</f>
        <v/>
      </c>
      <c r="N253" s="7">
        <f>IF(F253="","",E253/F253)</f>
        <v/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/>
      </c>
      <c r="E254" s="4">
        <f>IF(SUMIFS('Monthly BSE Equity Cash'!$G:$G,'Monthly BSE Equity Cash'!$A:$A,$A254)=0,"",SUMIFS('Monthly BSE Equity Cash'!$G:$G,'Monthly BSE Equity Cash'!$A:$A,$A254))</f>
        <v/>
      </c>
      <c r="F254" s="4">
        <f>IF(OR(D254="",E254=""),"",D254+E254)</f>
        <v/>
      </c>
      <c r="G254" s="7">
        <f>IF(OR(D254="",D242=""),"",D254/D242-1)</f>
        <v/>
      </c>
      <c r="H254" s="7">
        <f>IF(OR(E254="",E242=""),"",E254/E242-1)</f>
        <v/>
      </c>
      <c r="I254" s="7">
        <f>IF(OR(F254="",F242=""),"",F254/F242-1)</f>
        <v/>
      </c>
      <c r="J254" s="7">
        <f>IF(OR(D254="",D253=""),"",D254/D253-1)</f>
        <v/>
      </c>
      <c r="K254" s="7">
        <f>IF(OR(E254="",E253=""),"",E254/E253-1)</f>
        <v/>
      </c>
      <c r="L254" s="7">
        <f>IF(OR(F254="",F253=""),"",F254/F253-1)</f>
        <v/>
      </c>
      <c r="M254" s="7">
        <f>IF(F254="","",D254/F254)</f>
        <v/>
      </c>
      <c r="N254" s="7">
        <f>IF(F254="","",E254/F254)</f>
        <v/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/>
      </c>
      <c r="E255" s="4">
        <f>IF(SUMIFS('Monthly BSE Equity Cash'!$G:$G,'Monthly BSE Equity Cash'!$A:$A,$A255)=0,"",SUMIFS('Monthly BSE Equity Cash'!$G:$G,'Monthly BSE Equity Cash'!$A:$A,$A255))</f>
        <v/>
      </c>
      <c r="F255" s="4">
        <f>IF(OR(D255="",E255=""),"",D255+E255)</f>
        <v/>
      </c>
      <c r="G255" s="7">
        <f>IF(OR(D255="",D243=""),"",D255/D243-1)</f>
        <v/>
      </c>
      <c r="H255" s="7">
        <f>IF(OR(E255="",E243=""),"",E255/E243-1)</f>
        <v/>
      </c>
      <c r="I255" s="7">
        <f>IF(OR(F255="",F243=""),"",F255/F243-1)</f>
        <v/>
      </c>
      <c r="J255" s="7">
        <f>IF(OR(D255="",D254=""),"",D255/D254-1)</f>
        <v/>
      </c>
      <c r="K255" s="7">
        <f>IF(OR(E255="",E254=""),"",E255/E254-1)</f>
        <v/>
      </c>
      <c r="L255" s="7">
        <f>IF(OR(F255="",F254=""),"",F255/F254-1)</f>
        <v/>
      </c>
      <c r="M255" s="7">
        <f>IF(F255="","",D255/F255)</f>
        <v/>
      </c>
      <c r="N255" s="7">
        <f>IF(F255="","",E255/F255)</f>
        <v/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/>
      </c>
      <c r="E256" s="4">
        <f>IF(SUMIFS('Monthly BSE Equity Cash'!$G:$G,'Monthly BSE Equity Cash'!$A:$A,$A256)=0,"",SUMIFS('Monthly BSE Equity Cash'!$G:$G,'Monthly BSE Equity Cash'!$A:$A,$A256))</f>
        <v/>
      </c>
      <c r="F256" s="4">
        <f>IF(OR(D256="",E256=""),"",D256+E256)</f>
        <v/>
      </c>
      <c r="G256" s="7">
        <f>IF(OR(D256="",D244=""),"",D256/D244-1)</f>
        <v/>
      </c>
      <c r="H256" s="7">
        <f>IF(OR(E256="",E244=""),"",E256/E244-1)</f>
        <v/>
      </c>
      <c r="I256" s="7">
        <f>IF(OR(F256="",F244=""),"",F256/F244-1)</f>
        <v/>
      </c>
      <c r="J256" s="7">
        <f>IF(OR(D256="",D255=""),"",D256/D255-1)</f>
        <v/>
      </c>
      <c r="K256" s="7">
        <f>IF(OR(E256="",E255=""),"",E256/E255-1)</f>
        <v/>
      </c>
      <c r="L256" s="7">
        <f>IF(OR(F256="",F255=""),"",F256/F255-1)</f>
        <v/>
      </c>
      <c r="M256" s="7">
        <f>IF(F256="","",D256/F256)</f>
        <v/>
      </c>
      <c r="N256" s="7">
        <f>IF(F256="","",E256/F256)</f>
        <v/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/>
      </c>
      <c r="E257" s="4">
        <f>IF(SUMIFS('Monthly BSE Equity Cash'!$G:$G,'Monthly BSE Equity Cash'!$A:$A,$A257)=0,"",SUMIFS('Monthly BSE Equity Cash'!$G:$G,'Monthly BSE Equity Cash'!$A:$A,$A257))</f>
        <v/>
      </c>
      <c r="F257" s="4">
        <f>IF(OR(D257="",E257=""),"",D257+E257)</f>
        <v/>
      </c>
      <c r="G257" s="7">
        <f>IF(OR(D257="",D245=""),"",D257/D245-1)</f>
        <v/>
      </c>
      <c r="H257" s="7">
        <f>IF(OR(E257="",E245=""),"",E257/E245-1)</f>
        <v/>
      </c>
      <c r="I257" s="7">
        <f>IF(OR(F257="",F245=""),"",F257/F245-1)</f>
        <v/>
      </c>
      <c r="J257" s="7">
        <f>IF(OR(D257="",D256=""),"",D257/D256-1)</f>
        <v/>
      </c>
      <c r="K257" s="7">
        <f>IF(OR(E257="",E256=""),"",E257/E256-1)</f>
        <v/>
      </c>
      <c r="L257" s="7">
        <f>IF(OR(F257="",F256=""),"",F257/F256-1)</f>
        <v/>
      </c>
      <c r="M257" s="7">
        <f>IF(F257="","",D257/F257)</f>
        <v/>
      </c>
      <c r="N257" s="7">
        <f>IF(F257="","",E257/F257)</f>
        <v/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/>
      </c>
      <c r="E258" s="4">
        <f>IF(SUMIFS('Monthly BSE Equity Cash'!$G:$G,'Monthly BSE Equity Cash'!$A:$A,$A258)=0,"",SUMIFS('Monthly BSE Equity Cash'!$G:$G,'Monthly BSE Equity Cash'!$A:$A,$A258))</f>
        <v/>
      </c>
      <c r="F258" s="4">
        <f>IF(OR(D258="",E258=""),"",D258+E258)</f>
        <v/>
      </c>
      <c r="G258" s="7">
        <f>IF(OR(D258="",D246=""),"",D258/D246-1)</f>
        <v/>
      </c>
      <c r="H258" s="7">
        <f>IF(OR(E258="",E246=""),"",E258/E246-1)</f>
        <v/>
      </c>
      <c r="I258" s="7">
        <f>IF(OR(F258="",F246=""),"",F258/F246-1)</f>
        <v/>
      </c>
      <c r="J258" s="7">
        <f>IF(OR(D258="",D257=""),"",D258/D257-1)</f>
        <v/>
      </c>
      <c r="K258" s="7">
        <f>IF(OR(E258="",E257=""),"",E258/E257-1)</f>
        <v/>
      </c>
      <c r="L258" s="7">
        <f>IF(OR(F258="",F257=""),"",F258/F257-1)</f>
        <v/>
      </c>
      <c r="M258" s="7">
        <f>IF(F258="","",D258/F258)</f>
        <v/>
      </c>
      <c r="N258" s="7">
        <f>IF(F258="","",E258/F258)</f>
        <v/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/>
      </c>
      <c r="E259" s="4">
        <f>IF(SUMIFS('Monthly BSE Equity Cash'!$G:$G,'Monthly BSE Equity Cash'!$A:$A,$A259)=0,"",SUMIFS('Monthly BSE Equity Cash'!$G:$G,'Monthly BSE Equity Cash'!$A:$A,$A259))</f>
        <v/>
      </c>
      <c r="F259" s="4">
        <f>IF(OR(D259="",E259=""),"",D259+E259)</f>
        <v/>
      </c>
      <c r="G259" s="7">
        <f>IF(OR(D259="",D247=""),"",D259/D247-1)</f>
        <v/>
      </c>
      <c r="H259" s="7">
        <f>IF(OR(E259="",E247=""),"",E259/E247-1)</f>
        <v/>
      </c>
      <c r="I259" s="7">
        <f>IF(OR(F259="",F247=""),"",F259/F247-1)</f>
        <v/>
      </c>
      <c r="J259" s="7">
        <f>IF(OR(D259="",D258=""),"",D259/D258-1)</f>
        <v/>
      </c>
      <c r="K259" s="7">
        <f>IF(OR(E259="",E258=""),"",E259/E258-1)</f>
        <v/>
      </c>
      <c r="L259" s="7">
        <f>IF(OR(F259="",F258=""),"",F259/F258-1)</f>
        <v/>
      </c>
      <c r="M259" s="7">
        <f>IF(F259="","",D259/F259)</f>
        <v/>
      </c>
      <c r="N259" s="7">
        <f>IF(F259="","",E259/F259)</f>
        <v/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/>
      </c>
      <c r="E260" s="4">
        <f>IF(SUMIFS('Monthly BSE Equity Cash'!$G:$G,'Monthly BSE Equity Cash'!$A:$A,$A260)=0,"",SUMIFS('Monthly BSE Equity Cash'!$G:$G,'Monthly BSE Equity Cash'!$A:$A,$A260))</f>
        <v/>
      </c>
      <c r="F260" s="4">
        <f>IF(OR(D260="",E260=""),"",D260+E260)</f>
        <v/>
      </c>
      <c r="G260" s="7">
        <f>IF(OR(D260="",D248=""),"",D260/D248-1)</f>
        <v/>
      </c>
      <c r="H260" s="7">
        <f>IF(OR(E260="",E248=""),"",E260/E248-1)</f>
        <v/>
      </c>
      <c r="I260" s="7">
        <f>IF(OR(F260="",F248=""),"",F260/F248-1)</f>
        <v/>
      </c>
      <c r="J260" s="7">
        <f>IF(OR(D260="",D259=""),"",D260/D259-1)</f>
        <v/>
      </c>
      <c r="K260" s="7">
        <f>IF(OR(E260="",E259=""),"",E260/E259-1)</f>
        <v/>
      </c>
      <c r="L260" s="7">
        <f>IF(OR(F260="",F259=""),"",F260/F259-1)</f>
        <v/>
      </c>
      <c r="M260" s="7">
        <f>IF(F260="","",D260/F260)</f>
        <v/>
      </c>
      <c r="N260" s="7">
        <f>IF(F260="","",E260/F260)</f>
        <v/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/>
      </c>
      <c r="E261" s="4">
        <f>IF(SUMIFS('Monthly BSE Equity Cash'!$G:$G,'Monthly BSE Equity Cash'!$A:$A,$A261)=0,"",SUMIFS('Monthly BSE Equity Cash'!$G:$G,'Monthly BSE Equity Cash'!$A:$A,$A261))</f>
        <v/>
      </c>
      <c r="F261" s="4">
        <f>IF(OR(D261="",E261=""),"",D261+E261)</f>
        <v/>
      </c>
      <c r="G261" s="7">
        <f>IF(OR(D261="",D249=""),"",D261/D249-1)</f>
        <v/>
      </c>
      <c r="H261" s="7">
        <f>IF(OR(E261="",E249=""),"",E261/E249-1)</f>
        <v/>
      </c>
      <c r="I261" s="7">
        <f>IF(OR(F261="",F249=""),"",F261/F249-1)</f>
        <v/>
      </c>
      <c r="J261" s="7">
        <f>IF(OR(D261="",D260=""),"",D261/D260-1)</f>
        <v/>
      </c>
      <c r="K261" s="7">
        <f>IF(OR(E261="",E260=""),"",E261/E260-1)</f>
        <v/>
      </c>
      <c r="L261" s="7">
        <f>IF(OR(F261="",F260=""),"",F261/F260-1)</f>
        <v/>
      </c>
      <c r="M261" s="7">
        <f>IF(F261="","",D261/F261)</f>
        <v/>
      </c>
      <c r="N261" s="7">
        <f>IF(F261="","",E261/F261)</f>
        <v/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/>
      </c>
      <c r="E262" s="4">
        <f>IF(SUMIFS('Monthly BSE Equity Cash'!$G:$G,'Monthly BSE Equity Cash'!$A:$A,$A262)=0,"",SUMIFS('Monthly BSE Equity Cash'!$G:$G,'Monthly BSE Equity Cash'!$A:$A,$A262))</f>
        <v/>
      </c>
      <c r="F262" s="4">
        <f>IF(OR(D262="",E262=""),"",D262+E262)</f>
        <v/>
      </c>
      <c r="G262" s="7">
        <f>IF(OR(D262="",D250=""),"",D262/D250-1)</f>
        <v/>
      </c>
      <c r="H262" s="7">
        <f>IF(OR(E262="",E250=""),"",E262/E250-1)</f>
        <v/>
      </c>
      <c r="I262" s="7">
        <f>IF(OR(F262="",F250=""),"",F262/F250-1)</f>
        <v/>
      </c>
      <c r="J262" s="7">
        <f>IF(OR(D262="",D261=""),"",D262/D261-1)</f>
        <v/>
      </c>
      <c r="K262" s="7">
        <f>IF(OR(E262="",E261=""),"",E262/E261-1)</f>
        <v/>
      </c>
      <c r="L262" s="7">
        <f>IF(OR(F262="",F261=""),"",F262/F261-1)</f>
        <v/>
      </c>
      <c r="M262" s="7">
        <f>IF(F262="","",D262/F262)</f>
        <v/>
      </c>
      <c r="N262" s="7">
        <f>IF(F262="","",E262/F262)</f>
        <v/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/>
      </c>
      <c r="E263" s="4">
        <f>IF(SUMIFS('Monthly BSE Equity Cash'!$G:$G,'Monthly BSE Equity Cash'!$A:$A,$A263)=0,"",SUMIFS('Monthly BSE Equity Cash'!$G:$G,'Monthly BSE Equity Cash'!$A:$A,$A263))</f>
        <v/>
      </c>
      <c r="F263" s="4">
        <f>IF(OR(D263="",E263=""),"",D263+E263)</f>
        <v/>
      </c>
      <c r="G263" s="7">
        <f>IF(OR(D263="",D251=""),"",D263/D251-1)</f>
        <v/>
      </c>
      <c r="H263" s="7">
        <f>IF(OR(E263="",E251=""),"",E263/E251-1)</f>
        <v/>
      </c>
      <c r="I263" s="7">
        <f>IF(OR(F263="",F251=""),"",F263/F251-1)</f>
        <v/>
      </c>
      <c r="J263" s="7">
        <f>IF(OR(D263="",D262=""),"",D263/D262-1)</f>
        <v/>
      </c>
      <c r="K263" s="7">
        <f>IF(OR(E263="",E262=""),"",E263/E262-1)</f>
        <v/>
      </c>
      <c r="L263" s="7">
        <f>IF(OR(F263="",F262=""),"",F263/F262-1)</f>
        <v/>
      </c>
      <c r="M263" s="7">
        <f>IF(F263="","",D263/F263)</f>
        <v/>
      </c>
      <c r="N263" s="7">
        <f>IF(F263="","",E263/F263)</f>
        <v/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/>
      </c>
      <c r="E264" s="4">
        <f>IF(SUMIFS('Monthly BSE Equity Cash'!$G:$G,'Monthly BSE Equity Cash'!$A:$A,$A264)=0,"",SUMIFS('Monthly BSE Equity Cash'!$G:$G,'Monthly BSE Equity Cash'!$A:$A,$A264))</f>
        <v/>
      </c>
      <c r="F264" s="4">
        <f>IF(OR(D264="",E264=""),"",D264+E264)</f>
        <v/>
      </c>
      <c r="G264" s="7">
        <f>IF(OR(D264="",D252=""),"",D264/D252-1)</f>
        <v/>
      </c>
      <c r="H264" s="7">
        <f>IF(OR(E264="",E252=""),"",E264/E252-1)</f>
        <v/>
      </c>
      <c r="I264" s="7">
        <f>IF(OR(F264="",F252=""),"",F264/F252-1)</f>
        <v/>
      </c>
      <c r="J264" s="7">
        <f>IF(OR(D264="",D263=""),"",D264/D263-1)</f>
        <v/>
      </c>
      <c r="K264" s="7">
        <f>IF(OR(E264="",E263=""),"",E264/E263-1)</f>
        <v/>
      </c>
      <c r="L264" s="7">
        <f>IF(OR(F264="",F263=""),"",F264/F263-1)</f>
        <v/>
      </c>
      <c r="M264" s="7">
        <f>IF(F264="","",D264/F264)</f>
        <v/>
      </c>
      <c r="N264" s="7">
        <f>IF(F264="","",E264/F264)</f>
        <v/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/>
      </c>
      <c r="E265" s="4">
        <f>IF(SUMIFS('Monthly BSE Equity Cash'!$G:$G,'Monthly BSE Equity Cash'!$A:$A,$A265)=0,"",SUMIFS('Monthly BSE Equity Cash'!$G:$G,'Monthly BSE Equity Cash'!$A:$A,$A265))</f>
        <v/>
      </c>
      <c r="F265" s="4">
        <f>IF(OR(D265="",E265=""),"",D265+E265)</f>
        <v/>
      </c>
      <c r="G265" s="7">
        <f>IF(OR(D265="",D253=""),"",D265/D253-1)</f>
        <v/>
      </c>
      <c r="H265" s="7">
        <f>IF(OR(E265="",E253=""),"",E265/E253-1)</f>
        <v/>
      </c>
      <c r="I265" s="7">
        <f>IF(OR(F265="",F253=""),"",F265/F253-1)</f>
        <v/>
      </c>
      <c r="J265" s="7">
        <f>IF(OR(D265="",D264=""),"",D265/D264-1)</f>
        <v/>
      </c>
      <c r="K265" s="7">
        <f>IF(OR(E265="",E264=""),"",E265/E264-1)</f>
        <v/>
      </c>
      <c r="L265" s="7">
        <f>IF(OR(F265="",F264=""),"",F265/F264-1)</f>
        <v/>
      </c>
      <c r="M265" s="7">
        <f>IF(F265="","",D265/F265)</f>
        <v/>
      </c>
      <c r="N265" s="7">
        <f>IF(F265="","",E265/F265)</f>
        <v/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/>
      </c>
      <c r="E266" s="4">
        <f>IF(SUMIFS('Monthly BSE Equity Cash'!$G:$G,'Monthly BSE Equity Cash'!$A:$A,$A266)=0,"",SUMIFS('Monthly BSE Equity Cash'!$G:$G,'Monthly BSE Equity Cash'!$A:$A,$A266))</f>
        <v/>
      </c>
      <c r="F266" s="4">
        <f>IF(OR(D266="",E266=""),"",D266+E266)</f>
        <v/>
      </c>
      <c r="G266" s="7">
        <f>IF(OR(D266="",D254=""),"",D266/D254-1)</f>
        <v/>
      </c>
      <c r="H266" s="7">
        <f>IF(OR(E266="",E254=""),"",E266/E254-1)</f>
        <v/>
      </c>
      <c r="I266" s="7">
        <f>IF(OR(F266="",F254=""),"",F266/F254-1)</f>
        <v/>
      </c>
      <c r="J266" s="7">
        <f>IF(OR(D266="",D265=""),"",D266/D265-1)</f>
        <v/>
      </c>
      <c r="K266" s="7">
        <f>IF(OR(E266="",E265=""),"",E266/E265-1)</f>
        <v/>
      </c>
      <c r="L266" s="7">
        <f>IF(OR(F266="",F265=""),"",F266/F265-1)</f>
        <v/>
      </c>
      <c r="M266" s="7">
        <f>IF(F266="","",D266/F266)</f>
        <v/>
      </c>
      <c r="N266" s="7">
        <f>IF(F266="","",E266/F266)</f>
        <v/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/>
      </c>
      <c r="E267" s="4">
        <f>IF(SUMIFS('Monthly BSE Equity Cash'!$G:$G,'Monthly BSE Equity Cash'!$A:$A,$A267)=0,"",SUMIFS('Monthly BSE Equity Cash'!$G:$G,'Monthly BSE Equity Cash'!$A:$A,$A267))</f>
        <v/>
      </c>
      <c r="F267" s="4">
        <f>IF(OR(D267="",E267=""),"",D267+E267)</f>
        <v/>
      </c>
      <c r="G267" s="7">
        <f>IF(OR(D267="",D255=""),"",D267/D255-1)</f>
        <v/>
      </c>
      <c r="H267" s="7">
        <f>IF(OR(E267="",E255=""),"",E267/E255-1)</f>
        <v/>
      </c>
      <c r="I267" s="7">
        <f>IF(OR(F267="",F255=""),"",F267/F255-1)</f>
        <v/>
      </c>
      <c r="J267" s="7">
        <f>IF(OR(D267="",D266=""),"",D267/D266-1)</f>
        <v/>
      </c>
      <c r="K267" s="7">
        <f>IF(OR(E267="",E266=""),"",E267/E266-1)</f>
        <v/>
      </c>
      <c r="L267" s="7">
        <f>IF(OR(F267="",F266=""),"",F267/F266-1)</f>
        <v/>
      </c>
      <c r="M267" s="7">
        <f>IF(F267="","",D267/F267)</f>
        <v/>
      </c>
      <c r="N267" s="7">
        <f>IF(F267="","",E267/F267)</f>
        <v/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/>
      </c>
      <c r="E268" s="4">
        <f>IF(SUMIFS('Monthly BSE Equity Cash'!$G:$G,'Monthly BSE Equity Cash'!$A:$A,$A268)=0,"",SUMIFS('Monthly BSE Equity Cash'!$G:$G,'Monthly BSE Equity Cash'!$A:$A,$A268))</f>
        <v/>
      </c>
      <c r="F268" s="4">
        <f>IF(OR(D268="",E268=""),"",D268+E268)</f>
        <v/>
      </c>
      <c r="G268" s="7">
        <f>IF(OR(D268="",D256=""),"",D268/D256-1)</f>
        <v/>
      </c>
      <c r="H268" s="7">
        <f>IF(OR(E268="",E256=""),"",E268/E256-1)</f>
        <v/>
      </c>
      <c r="I268" s="7">
        <f>IF(OR(F268="",F256=""),"",F268/F256-1)</f>
        <v/>
      </c>
      <c r="J268" s="7">
        <f>IF(OR(D268="",D267=""),"",D268/D267-1)</f>
        <v/>
      </c>
      <c r="K268" s="7">
        <f>IF(OR(E268="",E267=""),"",E268/E267-1)</f>
        <v/>
      </c>
      <c r="L268" s="7">
        <f>IF(OR(F268="",F267=""),"",F268/F267-1)</f>
        <v/>
      </c>
      <c r="M268" s="7">
        <f>IF(F268="","",D268/F268)</f>
        <v/>
      </c>
      <c r="N268" s="7">
        <f>IF(F268="","",E268/F268)</f>
        <v/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/>
      </c>
      <c r="E269" s="4">
        <f>IF(SUMIFS('Monthly BSE Equity Cash'!$G:$G,'Monthly BSE Equity Cash'!$A:$A,$A269)=0,"",SUMIFS('Monthly BSE Equity Cash'!$G:$G,'Monthly BSE Equity Cash'!$A:$A,$A269))</f>
        <v/>
      </c>
      <c r="F269" s="4">
        <f>IF(OR(D269="",E269=""),"",D269+E269)</f>
        <v/>
      </c>
      <c r="G269" s="7">
        <f>IF(OR(D269="",D257=""),"",D269/D257-1)</f>
        <v/>
      </c>
      <c r="H269" s="7">
        <f>IF(OR(E269="",E257=""),"",E269/E257-1)</f>
        <v/>
      </c>
      <c r="I269" s="7">
        <f>IF(OR(F269="",F257=""),"",F269/F257-1)</f>
        <v/>
      </c>
      <c r="J269" s="7">
        <f>IF(OR(D269="",D268=""),"",D269/D268-1)</f>
        <v/>
      </c>
      <c r="K269" s="7">
        <f>IF(OR(E269="",E268=""),"",E269/E268-1)</f>
        <v/>
      </c>
      <c r="L269" s="7">
        <f>IF(OR(F269="",F268=""),"",F269/F268-1)</f>
        <v/>
      </c>
      <c r="M269" s="7">
        <f>IF(F269="","",D269/F269)</f>
        <v/>
      </c>
      <c r="N269" s="7">
        <f>IF(F269="","",E269/F269)</f>
        <v/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/>
      </c>
      <c r="E270" s="4">
        <f>IF(SUMIFS('Monthly BSE Equity Cash'!$G:$G,'Monthly BSE Equity Cash'!$A:$A,$A270)=0,"",SUMIFS('Monthly BSE Equity Cash'!$G:$G,'Monthly BSE Equity Cash'!$A:$A,$A270))</f>
        <v/>
      </c>
      <c r="F270" s="4">
        <f>IF(OR(D270="",E270=""),"",D270+E270)</f>
        <v/>
      </c>
      <c r="G270" s="7">
        <f>IF(OR(D270="",D258=""),"",D270/D258-1)</f>
        <v/>
      </c>
      <c r="H270" s="7">
        <f>IF(OR(E270="",E258=""),"",E270/E258-1)</f>
        <v/>
      </c>
      <c r="I270" s="7">
        <f>IF(OR(F270="",F258=""),"",F270/F258-1)</f>
        <v/>
      </c>
      <c r="J270" s="7">
        <f>IF(OR(D270="",D269=""),"",D270/D269-1)</f>
        <v/>
      </c>
      <c r="K270" s="7">
        <f>IF(OR(E270="",E269=""),"",E270/E269-1)</f>
        <v/>
      </c>
      <c r="L270" s="7">
        <f>IF(OR(F270="",F269=""),"",F270/F269-1)</f>
        <v/>
      </c>
      <c r="M270" s="7">
        <f>IF(F270="","",D270/F270)</f>
        <v/>
      </c>
      <c r="N270" s="7">
        <f>IF(F270="","",E270/F270)</f>
        <v/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/>
      </c>
      <c r="E271" s="4">
        <f>IF(SUMIFS('Monthly BSE Equity Cash'!$G:$G,'Monthly BSE Equity Cash'!$A:$A,$A271)=0,"",SUMIFS('Monthly BSE Equity Cash'!$G:$G,'Monthly BSE Equity Cash'!$A:$A,$A271))</f>
        <v/>
      </c>
      <c r="F271" s="4">
        <f>IF(OR(D271="",E271=""),"",D271+E271)</f>
        <v/>
      </c>
      <c r="G271" s="7">
        <f>IF(OR(D271="",D259=""),"",D271/D259-1)</f>
        <v/>
      </c>
      <c r="H271" s="7">
        <f>IF(OR(E271="",E259=""),"",E271/E259-1)</f>
        <v/>
      </c>
      <c r="I271" s="7">
        <f>IF(OR(F271="",F259=""),"",F271/F259-1)</f>
        <v/>
      </c>
      <c r="J271" s="7">
        <f>IF(OR(D271="",D270=""),"",D271/D270-1)</f>
        <v/>
      </c>
      <c r="K271" s="7">
        <f>IF(OR(E271="",E270=""),"",E271/E270-1)</f>
        <v/>
      </c>
      <c r="L271" s="7">
        <f>IF(OR(F271="",F270=""),"",F271/F270-1)</f>
        <v/>
      </c>
      <c r="M271" s="7">
        <f>IF(F271="","",D271/F271)</f>
        <v/>
      </c>
      <c r="N271" s="7">
        <f>IF(F271="","",E271/F271)</f>
        <v/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/>
      </c>
      <c r="E272" s="4">
        <f>IF(SUMIFS('Monthly BSE Equity Cash'!$G:$G,'Monthly BSE Equity Cash'!$A:$A,$A272)=0,"",SUMIFS('Monthly BSE Equity Cash'!$G:$G,'Monthly BSE Equity Cash'!$A:$A,$A272))</f>
        <v/>
      </c>
      <c r="F272" s="4">
        <f>IF(OR(D272="",E272=""),"",D272+E272)</f>
        <v/>
      </c>
      <c r="G272" s="7">
        <f>IF(OR(D272="",D260=""),"",D272/D260-1)</f>
        <v/>
      </c>
      <c r="H272" s="7">
        <f>IF(OR(E272="",E260=""),"",E272/E260-1)</f>
        <v/>
      </c>
      <c r="I272" s="7">
        <f>IF(OR(F272="",F260=""),"",F272/F260-1)</f>
        <v/>
      </c>
      <c r="J272" s="7">
        <f>IF(OR(D272="",D271=""),"",D272/D271-1)</f>
        <v/>
      </c>
      <c r="K272" s="7">
        <f>IF(OR(E272="",E271=""),"",E272/E271-1)</f>
        <v/>
      </c>
      <c r="L272" s="7">
        <f>IF(OR(F272="",F271=""),"",F272/F271-1)</f>
        <v/>
      </c>
      <c r="M272" s="7">
        <f>IF(F272="","",D272/F272)</f>
        <v/>
      </c>
      <c r="N272" s="7">
        <f>IF(F272="","",E272/F272)</f>
        <v/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/>
      </c>
      <c r="E273" s="4">
        <f>IF(SUMIFS('Monthly BSE Equity Cash'!$G:$G,'Monthly BSE Equity Cash'!$A:$A,$A273)=0,"",SUMIFS('Monthly BSE Equity Cash'!$G:$G,'Monthly BSE Equity Cash'!$A:$A,$A273))</f>
        <v/>
      </c>
      <c r="F273" s="4">
        <f>IF(OR(D273="",E273=""),"",D273+E273)</f>
        <v/>
      </c>
      <c r="G273" s="7">
        <f>IF(OR(D273="",D261=""),"",D273/D261-1)</f>
        <v/>
      </c>
      <c r="H273" s="7">
        <f>IF(OR(E273="",E261=""),"",E273/E261-1)</f>
        <v/>
      </c>
      <c r="I273" s="7">
        <f>IF(OR(F273="",F261=""),"",F273/F261-1)</f>
        <v/>
      </c>
      <c r="J273" s="7">
        <f>IF(OR(D273="",D272=""),"",D273/D272-1)</f>
        <v/>
      </c>
      <c r="K273" s="7">
        <f>IF(OR(E273="",E272=""),"",E273/E272-1)</f>
        <v/>
      </c>
      <c r="L273" s="7">
        <f>IF(OR(F273="",F272=""),"",F273/F272-1)</f>
        <v/>
      </c>
      <c r="M273" s="7">
        <f>IF(F273="","",D273/F273)</f>
        <v/>
      </c>
      <c r="N273" s="7">
        <f>IF(F273="","",E273/F273)</f>
        <v/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/>
      </c>
      <c r="E274" s="4">
        <f>IF(SUMIFS('Monthly BSE Equity Cash'!$G:$G,'Monthly BSE Equity Cash'!$A:$A,$A274)=0,"",SUMIFS('Monthly BSE Equity Cash'!$G:$G,'Monthly BSE Equity Cash'!$A:$A,$A274))</f>
        <v/>
      </c>
      <c r="F274" s="4">
        <f>IF(OR(D274="",E274=""),"",D274+E274)</f>
        <v/>
      </c>
      <c r="G274" s="7">
        <f>IF(OR(D274="",D262=""),"",D274/D262-1)</f>
        <v/>
      </c>
      <c r="H274" s="7">
        <f>IF(OR(E274="",E262=""),"",E274/E262-1)</f>
        <v/>
      </c>
      <c r="I274" s="7">
        <f>IF(OR(F274="",F262=""),"",F274/F262-1)</f>
        <v/>
      </c>
      <c r="J274" s="7">
        <f>IF(OR(D274="",D273=""),"",D274/D273-1)</f>
        <v/>
      </c>
      <c r="K274" s="7">
        <f>IF(OR(E274="",E273=""),"",E274/E273-1)</f>
        <v/>
      </c>
      <c r="L274" s="7">
        <f>IF(OR(F274="",F273=""),"",F274/F273-1)</f>
        <v/>
      </c>
      <c r="M274" s="7">
        <f>IF(F274="","",D274/F274)</f>
        <v/>
      </c>
      <c r="N274" s="7">
        <f>IF(F274="","",E274/F274)</f>
        <v/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/>
      </c>
      <c r="E275" s="4">
        <f>IF(SUMIFS('Monthly BSE Equity Cash'!$G:$G,'Monthly BSE Equity Cash'!$A:$A,$A275)=0,"",SUMIFS('Monthly BSE Equity Cash'!$G:$G,'Monthly BSE Equity Cash'!$A:$A,$A275))</f>
        <v/>
      </c>
      <c r="F275" s="4">
        <f>IF(OR(D275="",E275=""),"",D275+E275)</f>
        <v/>
      </c>
      <c r="G275" s="7">
        <f>IF(OR(D275="",D263=""),"",D275/D263-1)</f>
        <v/>
      </c>
      <c r="H275" s="7">
        <f>IF(OR(E275="",E263=""),"",E275/E263-1)</f>
        <v/>
      </c>
      <c r="I275" s="7">
        <f>IF(OR(F275="",F263=""),"",F275/F263-1)</f>
        <v/>
      </c>
      <c r="J275" s="7">
        <f>IF(OR(D275="",D274=""),"",D275/D274-1)</f>
        <v/>
      </c>
      <c r="K275" s="7">
        <f>IF(OR(E275="",E274=""),"",E275/E274-1)</f>
        <v/>
      </c>
      <c r="L275" s="7">
        <f>IF(OR(F275="",F274=""),"",F275/F274-1)</f>
        <v/>
      </c>
      <c r="M275" s="7">
        <f>IF(F275="","",D275/F275)</f>
        <v/>
      </c>
      <c r="N275" s="7">
        <f>IF(F275="","",E275/F275)</f>
        <v/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/>
      </c>
      <c r="E276" s="4">
        <f>IF(SUMIFS('Monthly BSE Equity Cash'!$G:$G,'Monthly BSE Equity Cash'!$A:$A,$A276)=0,"",SUMIFS('Monthly BSE Equity Cash'!$G:$G,'Monthly BSE Equity Cash'!$A:$A,$A276))</f>
        <v/>
      </c>
      <c r="F276" s="4">
        <f>IF(OR(D276="",E276=""),"",D276+E276)</f>
        <v/>
      </c>
      <c r="G276" s="7">
        <f>IF(OR(D276="",D264=""),"",D276/D264-1)</f>
        <v/>
      </c>
      <c r="H276" s="7">
        <f>IF(OR(E276="",E264=""),"",E276/E264-1)</f>
        <v/>
      </c>
      <c r="I276" s="7">
        <f>IF(OR(F276="",F264=""),"",F276/F264-1)</f>
        <v/>
      </c>
      <c r="J276" s="7">
        <f>IF(OR(D276="",D275=""),"",D276/D275-1)</f>
        <v/>
      </c>
      <c r="K276" s="7">
        <f>IF(OR(E276="",E275=""),"",E276/E275-1)</f>
        <v/>
      </c>
      <c r="L276" s="7">
        <f>IF(OR(F276="",F275=""),"",F276/F275-1)</f>
        <v/>
      </c>
      <c r="M276" s="7">
        <f>IF(F276="","",D276/F276)</f>
        <v/>
      </c>
      <c r="N276" s="7">
        <f>IF(F276="","",E276/F276)</f>
        <v/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/>
      </c>
      <c r="E277" s="4">
        <f>IF(SUMIFS('Monthly BSE Equity Cash'!$G:$G,'Monthly BSE Equity Cash'!$A:$A,$A277)=0,"",SUMIFS('Monthly BSE Equity Cash'!$G:$G,'Monthly BSE Equity Cash'!$A:$A,$A277))</f>
        <v/>
      </c>
      <c r="F277" s="4">
        <f>IF(OR(D277="",E277=""),"",D277+E277)</f>
        <v/>
      </c>
      <c r="G277" s="7">
        <f>IF(OR(D277="",D265=""),"",D277/D265-1)</f>
        <v/>
      </c>
      <c r="H277" s="7">
        <f>IF(OR(E277="",E265=""),"",E277/E265-1)</f>
        <v/>
      </c>
      <c r="I277" s="7">
        <f>IF(OR(F277="",F265=""),"",F277/F265-1)</f>
        <v/>
      </c>
      <c r="J277" s="7">
        <f>IF(OR(D277="",D276=""),"",D277/D276-1)</f>
        <v/>
      </c>
      <c r="K277" s="7">
        <f>IF(OR(E277="",E276=""),"",E277/E276-1)</f>
        <v/>
      </c>
      <c r="L277" s="7">
        <f>IF(OR(F277="",F276=""),"",F277/F276-1)</f>
        <v/>
      </c>
      <c r="M277" s="7">
        <f>IF(F277="","",D277/F277)</f>
        <v/>
      </c>
      <c r="N277" s="7">
        <f>IF(F277="","",E277/F277)</f>
        <v/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/>
      </c>
      <c r="E278" s="4">
        <f>IF(SUMIFS('Monthly BSE Equity Cash'!$G:$G,'Monthly BSE Equity Cash'!$A:$A,$A278)=0,"",SUMIFS('Monthly BSE Equity Cash'!$G:$G,'Monthly BSE Equity Cash'!$A:$A,$A278))</f>
        <v/>
      </c>
      <c r="F278" s="4">
        <f>IF(OR(D278="",E278=""),"",D278+E278)</f>
        <v/>
      </c>
      <c r="G278" s="7">
        <f>IF(OR(D278="",D266=""),"",D278/D266-1)</f>
        <v/>
      </c>
      <c r="H278" s="7">
        <f>IF(OR(E278="",E266=""),"",E278/E266-1)</f>
        <v/>
      </c>
      <c r="I278" s="7">
        <f>IF(OR(F278="",F266=""),"",F278/F266-1)</f>
        <v/>
      </c>
      <c r="J278" s="7">
        <f>IF(OR(D278="",D277=""),"",D278/D277-1)</f>
        <v/>
      </c>
      <c r="K278" s="7">
        <f>IF(OR(E278="",E277=""),"",E278/E277-1)</f>
        <v/>
      </c>
      <c r="L278" s="7">
        <f>IF(OR(F278="",F277=""),"",F278/F277-1)</f>
        <v/>
      </c>
      <c r="M278" s="7">
        <f>IF(F278="","",D278/F278)</f>
        <v/>
      </c>
      <c r="N278" s="7">
        <f>IF(F278="","",E278/F278)</f>
        <v/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/>
      </c>
      <c r="E279" s="4">
        <f>IF(SUMIFS('Monthly BSE Equity Cash'!$G:$G,'Monthly BSE Equity Cash'!$A:$A,$A279)=0,"",SUMIFS('Monthly BSE Equity Cash'!$G:$G,'Monthly BSE Equity Cash'!$A:$A,$A279))</f>
        <v/>
      </c>
      <c r="F279" s="4">
        <f>IF(OR(D279="",E279=""),"",D279+E279)</f>
        <v/>
      </c>
      <c r="G279" s="7">
        <f>IF(OR(D279="",D267=""),"",D279/D267-1)</f>
        <v/>
      </c>
      <c r="H279" s="7">
        <f>IF(OR(E279="",E267=""),"",E279/E267-1)</f>
        <v/>
      </c>
      <c r="I279" s="7">
        <f>IF(OR(F279="",F267=""),"",F279/F267-1)</f>
        <v/>
      </c>
      <c r="J279" s="7">
        <f>IF(OR(D279="",D278=""),"",D279/D278-1)</f>
        <v/>
      </c>
      <c r="K279" s="7">
        <f>IF(OR(E279="",E278=""),"",E279/E278-1)</f>
        <v/>
      </c>
      <c r="L279" s="7">
        <f>IF(OR(F279="",F278=""),"",F279/F278-1)</f>
        <v/>
      </c>
      <c r="M279" s="7">
        <f>IF(F279="","",D279/F279)</f>
        <v/>
      </c>
      <c r="N279" s="7">
        <f>IF(F279="","",E279/F279)</f>
        <v/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/>
      </c>
      <c r="E280" s="4">
        <f>IF(SUMIFS('Monthly BSE Equity Cash'!$G:$G,'Monthly BSE Equity Cash'!$A:$A,$A280)=0,"",SUMIFS('Monthly BSE Equity Cash'!$G:$G,'Monthly BSE Equity Cash'!$A:$A,$A280))</f>
        <v/>
      </c>
      <c r="F280" s="4">
        <f>IF(OR(D280="",E280=""),"",D280+E280)</f>
        <v/>
      </c>
      <c r="G280" s="7">
        <f>IF(OR(D280="",D268=""),"",D280/D268-1)</f>
        <v/>
      </c>
      <c r="H280" s="7">
        <f>IF(OR(E280="",E268=""),"",E280/E268-1)</f>
        <v/>
      </c>
      <c r="I280" s="7">
        <f>IF(OR(F280="",F268=""),"",F280/F268-1)</f>
        <v/>
      </c>
      <c r="J280" s="7">
        <f>IF(OR(D280="",D279=""),"",D280/D279-1)</f>
        <v/>
      </c>
      <c r="K280" s="7">
        <f>IF(OR(E280="",E279=""),"",E280/E279-1)</f>
        <v/>
      </c>
      <c r="L280" s="7">
        <f>IF(OR(F280="",F279=""),"",F280/F279-1)</f>
        <v/>
      </c>
      <c r="M280" s="7">
        <f>IF(F280="","",D280/F280)</f>
        <v/>
      </c>
      <c r="N280" s="7">
        <f>IF(F280="","",E280/F280)</f>
        <v/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/>
      </c>
      <c r="E281" s="4">
        <f>IF(SUMIFS('Monthly BSE Equity Cash'!$G:$G,'Monthly BSE Equity Cash'!$A:$A,$A281)=0,"",SUMIFS('Monthly BSE Equity Cash'!$G:$G,'Monthly BSE Equity Cash'!$A:$A,$A281))</f>
        <v/>
      </c>
      <c r="F281" s="4">
        <f>IF(OR(D281="",E281=""),"",D281+E281)</f>
        <v/>
      </c>
      <c r="G281" s="7">
        <f>IF(OR(D281="",D269=""),"",D281/D269-1)</f>
        <v/>
      </c>
      <c r="H281" s="7">
        <f>IF(OR(E281="",E269=""),"",E281/E269-1)</f>
        <v/>
      </c>
      <c r="I281" s="7">
        <f>IF(OR(F281="",F269=""),"",F281/F269-1)</f>
        <v/>
      </c>
      <c r="J281" s="7">
        <f>IF(OR(D281="",D280=""),"",D281/D280-1)</f>
        <v/>
      </c>
      <c r="K281" s="7">
        <f>IF(OR(E281="",E280=""),"",E281/E280-1)</f>
        <v/>
      </c>
      <c r="L281" s="7">
        <f>IF(OR(F281="",F280=""),"",F281/F280-1)</f>
        <v/>
      </c>
      <c r="M281" s="7">
        <f>IF(F281="","",D281/F281)</f>
        <v/>
      </c>
      <c r="N281" s="7">
        <f>IF(F281="","",E281/F281)</f>
        <v/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/>
      </c>
      <c r="E282" s="4">
        <f>IF(SUMIFS('Monthly BSE Equity Cash'!$G:$G,'Monthly BSE Equity Cash'!$A:$A,$A282)=0,"",SUMIFS('Monthly BSE Equity Cash'!$G:$G,'Monthly BSE Equity Cash'!$A:$A,$A282))</f>
        <v/>
      </c>
      <c r="F282" s="4">
        <f>IF(OR(D282="",E282=""),"",D282+E282)</f>
        <v/>
      </c>
      <c r="G282" s="7">
        <f>IF(OR(D282="",D270=""),"",D282/D270-1)</f>
        <v/>
      </c>
      <c r="H282" s="7">
        <f>IF(OR(E282="",E270=""),"",E282/E270-1)</f>
        <v/>
      </c>
      <c r="I282" s="7">
        <f>IF(OR(F282="",F270=""),"",F282/F270-1)</f>
        <v/>
      </c>
      <c r="J282" s="7">
        <f>IF(OR(D282="",D281=""),"",D282/D281-1)</f>
        <v/>
      </c>
      <c r="K282" s="7">
        <f>IF(OR(E282="",E281=""),"",E282/E281-1)</f>
        <v/>
      </c>
      <c r="L282" s="7">
        <f>IF(OR(F282="",F281=""),"",F282/F281-1)</f>
        <v/>
      </c>
      <c r="M282" s="7">
        <f>IF(F282="","",D282/F282)</f>
        <v/>
      </c>
      <c r="N282" s="7">
        <f>IF(F282="","",E282/F282)</f>
        <v/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/>
      </c>
      <c r="E283" s="4">
        <f>IF(SUMIFS('Monthly BSE Equity Cash'!$G:$G,'Monthly BSE Equity Cash'!$A:$A,$A283)=0,"",SUMIFS('Monthly BSE Equity Cash'!$G:$G,'Monthly BSE Equity Cash'!$A:$A,$A283))</f>
        <v/>
      </c>
      <c r="F283" s="4">
        <f>IF(OR(D283="",E283=""),"",D283+E283)</f>
        <v/>
      </c>
      <c r="G283" s="7">
        <f>IF(OR(D283="",D271=""),"",D283/D271-1)</f>
        <v/>
      </c>
      <c r="H283" s="7">
        <f>IF(OR(E283="",E271=""),"",E283/E271-1)</f>
        <v/>
      </c>
      <c r="I283" s="7">
        <f>IF(OR(F283="",F271=""),"",F283/F271-1)</f>
        <v/>
      </c>
      <c r="J283" s="7">
        <f>IF(OR(D283="",D282=""),"",D283/D282-1)</f>
        <v/>
      </c>
      <c r="K283" s="7">
        <f>IF(OR(E283="",E282=""),"",E283/E282-1)</f>
        <v/>
      </c>
      <c r="L283" s="7">
        <f>IF(OR(F283="",F282=""),"",F283/F282-1)</f>
        <v/>
      </c>
      <c r="M283" s="7">
        <f>IF(F283="","",D283/F283)</f>
        <v/>
      </c>
      <c r="N283" s="7">
        <f>IF(F283="","",E283/F283)</f>
        <v/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/>
      </c>
      <c r="E284" s="4">
        <f>IF(SUMIFS('Monthly BSE Equity Cash'!$G:$G,'Monthly BSE Equity Cash'!$A:$A,$A284)=0,"",SUMIFS('Monthly BSE Equity Cash'!$G:$G,'Monthly BSE Equity Cash'!$A:$A,$A284))</f>
        <v/>
      </c>
      <c r="F284" s="4">
        <f>IF(OR(D284="",E284=""),"",D284+E284)</f>
        <v/>
      </c>
      <c r="G284" s="7">
        <f>IF(OR(D284="",D272=""),"",D284/D272-1)</f>
        <v/>
      </c>
      <c r="H284" s="7">
        <f>IF(OR(E284="",E272=""),"",E284/E272-1)</f>
        <v/>
      </c>
      <c r="I284" s="7">
        <f>IF(OR(F284="",F272=""),"",F284/F272-1)</f>
        <v/>
      </c>
      <c r="J284" s="7">
        <f>IF(OR(D284="",D283=""),"",D284/D283-1)</f>
        <v/>
      </c>
      <c r="K284" s="7">
        <f>IF(OR(E284="",E283=""),"",E284/E283-1)</f>
        <v/>
      </c>
      <c r="L284" s="7">
        <f>IF(OR(F284="",F283=""),"",F284/F283-1)</f>
        <v/>
      </c>
      <c r="M284" s="7">
        <f>IF(F284="","",D284/F284)</f>
        <v/>
      </c>
      <c r="N284" s="7">
        <f>IF(F284="","",E284/F284)</f>
        <v/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/>
      </c>
      <c r="E285" s="4">
        <f>IF(SUMIFS('Monthly BSE Equity Cash'!$G:$G,'Monthly BSE Equity Cash'!$A:$A,$A285)=0,"",SUMIFS('Monthly BSE Equity Cash'!$G:$G,'Monthly BSE Equity Cash'!$A:$A,$A285))</f>
        <v/>
      </c>
      <c r="F285" s="4">
        <f>IF(OR(D285="",E285=""),"",D285+E285)</f>
        <v/>
      </c>
      <c r="G285" s="7">
        <f>IF(OR(D285="",D273=""),"",D285/D273-1)</f>
        <v/>
      </c>
      <c r="H285" s="7">
        <f>IF(OR(E285="",E273=""),"",E285/E273-1)</f>
        <v/>
      </c>
      <c r="I285" s="7">
        <f>IF(OR(F285="",F273=""),"",F285/F273-1)</f>
        <v/>
      </c>
      <c r="J285" s="7">
        <f>IF(OR(D285="",D284=""),"",D285/D284-1)</f>
        <v/>
      </c>
      <c r="K285" s="7">
        <f>IF(OR(E285="",E284=""),"",E285/E284-1)</f>
        <v/>
      </c>
      <c r="L285" s="7">
        <f>IF(OR(F285="",F284=""),"",F285/F284-1)</f>
        <v/>
      </c>
      <c r="M285" s="7">
        <f>IF(F285="","",D285/F285)</f>
        <v/>
      </c>
      <c r="N285" s="7">
        <f>IF(F285="","",E285/F285)</f>
        <v/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/>
      </c>
      <c r="E286" s="4">
        <f>IF(SUMIFS('Monthly BSE Equity Cash'!$G:$G,'Monthly BSE Equity Cash'!$A:$A,$A286)=0,"",SUMIFS('Monthly BSE Equity Cash'!$G:$G,'Monthly BSE Equity Cash'!$A:$A,$A286))</f>
        <v/>
      </c>
      <c r="F286" s="4">
        <f>IF(OR(D286="",E286=""),"",D286+E286)</f>
        <v/>
      </c>
      <c r="G286" s="7">
        <f>IF(OR(D286="",D274=""),"",D286/D274-1)</f>
        <v/>
      </c>
      <c r="H286" s="7">
        <f>IF(OR(E286="",E274=""),"",E286/E274-1)</f>
        <v/>
      </c>
      <c r="I286" s="7">
        <f>IF(OR(F286="",F274=""),"",F286/F274-1)</f>
        <v/>
      </c>
      <c r="J286" s="7">
        <f>IF(OR(D286="",D285=""),"",D286/D285-1)</f>
        <v/>
      </c>
      <c r="K286" s="7">
        <f>IF(OR(E286="",E285=""),"",E286/E285-1)</f>
        <v/>
      </c>
      <c r="L286" s="7">
        <f>IF(OR(F286="",F285=""),"",F286/F285-1)</f>
        <v/>
      </c>
      <c r="M286" s="7">
        <f>IF(F286="","",D286/F286)</f>
        <v/>
      </c>
      <c r="N286" s="7">
        <f>IF(F286="","",E286/F286)</f>
        <v/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/>
      </c>
      <c r="E287" s="4">
        <f>IF(SUMIFS('Monthly BSE Equity Cash'!$G:$G,'Monthly BSE Equity Cash'!$A:$A,$A287)=0,"",SUMIFS('Monthly BSE Equity Cash'!$G:$G,'Monthly BSE Equity Cash'!$A:$A,$A287))</f>
        <v/>
      </c>
      <c r="F287" s="4">
        <f>IF(OR(D287="",E287=""),"",D287+E287)</f>
        <v/>
      </c>
      <c r="G287" s="7">
        <f>IF(OR(D287="",D275=""),"",D287/D275-1)</f>
        <v/>
      </c>
      <c r="H287" s="7">
        <f>IF(OR(E287="",E275=""),"",E287/E275-1)</f>
        <v/>
      </c>
      <c r="I287" s="7">
        <f>IF(OR(F287="",F275=""),"",F287/F275-1)</f>
        <v/>
      </c>
      <c r="J287" s="7">
        <f>IF(OR(D287="",D286=""),"",D287/D286-1)</f>
        <v/>
      </c>
      <c r="K287" s="7">
        <f>IF(OR(E287="",E286=""),"",E287/E286-1)</f>
        <v/>
      </c>
      <c r="L287" s="7">
        <f>IF(OR(F287="",F286=""),"",F287/F286-1)</f>
        <v/>
      </c>
      <c r="M287" s="7">
        <f>IF(F287="","",D287/F287)</f>
        <v/>
      </c>
      <c r="N287" s="7">
        <f>IF(F287="","",E287/F287)</f>
        <v/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/>
      </c>
      <c r="E288" s="4">
        <f>IF(SUMIFS('Monthly BSE Equity Cash'!$G:$G,'Monthly BSE Equity Cash'!$A:$A,$A288)=0,"",SUMIFS('Monthly BSE Equity Cash'!$G:$G,'Monthly BSE Equity Cash'!$A:$A,$A288))</f>
        <v/>
      </c>
      <c r="F288" s="4">
        <f>IF(OR(D288="",E288=""),"",D288+E288)</f>
        <v/>
      </c>
      <c r="G288" s="7">
        <f>IF(OR(D288="",D276=""),"",D288/D276-1)</f>
        <v/>
      </c>
      <c r="H288" s="7">
        <f>IF(OR(E288="",E276=""),"",E288/E276-1)</f>
        <v/>
      </c>
      <c r="I288" s="7">
        <f>IF(OR(F288="",F276=""),"",F288/F276-1)</f>
        <v/>
      </c>
      <c r="J288" s="7">
        <f>IF(OR(D288="",D287=""),"",D288/D287-1)</f>
        <v/>
      </c>
      <c r="K288" s="7">
        <f>IF(OR(E288="",E287=""),"",E288/E287-1)</f>
        <v/>
      </c>
      <c r="L288" s="7">
        <f>IF(OR(F288="",F287=""),"",F288/F287-1)</f>
        <v/>
      </c>
      <c r="M288" s="7">
        <f>IF(F288="","",D288/F288)</f>
        <v/>
      </c>
      <c r="N288" s="7">
        <f>IF(F288="","",E288/F288)</f>
        <v/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/>
      </c>
      <c r="E289" s="4">
        <f>IF(SUMIFS('Monthly BSE Equity Cash'!$G:$G,'Monthly BSE Equity Cash'!$A:$A,$A289)=0,"",SUMIFS('Monthly BSE Equity Cash'!$G:$G,'Monthly BSE Equity Cash'!$A:$A,$A289))</f>
        <v/>
      </c>
      <c r="F289" s="4">
        <f>IF(OR(D289="",E289=""),"",D289+E289)</f>
        <v/>
      </c>
      <c r="G289" s="7">
        <f>IF(OR(D289="",D277=""),"",D289/D277-1)</f>
        <v/>
      </c>
      <c r="H289" s="7">
        <f>IF(OR(E289="",E277=""),"",E289/E277-1)</f>
        <v/>
      </c>
      <c r="I289" s="7">
        <f>IF(OR(F289="",F277=""),"",F289/F277-1)</f>
        <v/>
      </c>
      <c r="J289" s="7">
        <f>IF(OR(D289="",D288=""),"",D289/D288-1)</f>
        <v/>
      </c>
      <c r="K289" s="7">
        <f>IF(OR(E289="",E288=""),"",E289/E288-1)</f>
        <v/>
      </c>
      <c r="L289" s="7">
        <f>IF(OR(F289="",F288=""),"",F289/F288-1)</f>
        <v/>
      </c>
      <c r="M289" s="7">
        <f>IF(F289="","",D289/F289)</f>
        <v/>
      </c>
      <c r="N289" s="7">
        <f>IF(F289="","",E289/F289)</f>
        <v/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/>
      </c>
      <c r="E290" s="4">
        <f>IF(SUMIFS('Monthly BSE Equity Cash'!$G:$G,'Monthly BSE Equity Cash'!$A:$A,$A290)=0,"",SUMIFS('Monthly BSE Equity Cash'!$G:$G,'Monthly BSE Equity Cash'!$A:$A,$A290))</f>
        <v/>
      </c>
      <c r="F290" s="4">
        <f>IF(OR(D290="",E290=""),"",D290+E290)</f>
        <v/>
      </c>
      <c r="G290" s="7">
        <f>IF(OR(D290="",D278=""),"",D290/D278-1)</f>
        <v/>
      </c>
      <c r="H290" s="7">
        <f>IF(OR(E290="",E278=""),"",E290/E278-1)</f>
        <v/>
      </c>
      <c r="I290" s="7">
        <f>IF(OR(F290="",F278=""),"",F290/F278-1)</f>
        <v/>
      </c>
      <c r="J290" s="7">
        <f>IF(OR(D290="",D289=""),"",D290/D289-1)</f>
        <v/>
      </c>
      <c r="K290" s="7">
        <f>IF(OR(E290="",E289=""),"",E290/E289-1)</f>
        <v/>
      </c>
      <c r="L290" s="7">
        <f>IF(OR(F290="",F289=""),"",F290/F289-1)</f>
        <v/>
      </c>
      <c r="M290" s="7">
        <f>IF(F290="","",D290/F290)</f>
        <v/>
      </c>
      <c r="N290" s="7">
        <f>IF(F290="","",E290/F290)</f>
        <v/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/>
      </c>
      <c r="E291" s="4">
        <f>IF(SUMIFS('Monthly BSE Equity Cash'!$G:$G,'Monthly BSE Equity Cash'!$A:$A,$A291)=0,"",SUMIFS('Monthly BSE Equity Cash'!$G:$G,'Monthly BSE Equity Cash'!$A:$A,$A291))</f>
        <v/>
      </c>
      <c r="F291" s="4">
        <f>IF(OR(D291="",E291=""),"",D291+E291)</f>
        <v/>
      </c>
      <c r="G291" s="7">
        <f>IF(OR(D291="",D279=""),"",D291/D279-1)</f>
        <v/>
      </c>
      <c r="H291" s="7">
        <f>IF(OR(E291="",E279=""),"",E291/E279-1)</f>
        <v/>
      </c>
      <c r="I291" s="7">
        <f>IF(OR(F291="",F279=""),"",F291/F279-1)</f>
        <v/>
      </c>
      <c r="J291" s="7">
        <f>IF(OR(D291="",D290=""),"",D291/D290-1)</f>
        <v/>
      </c>
      <c r="K291" s="7">
        <f>IF(OR(E291="",E290=""),"",E291/E290-1)</f>
        <v/>
      </c>
      <c r="L291" s="7">
        <f>IF(OR(F291="",F290=""),"",F291/F290-1)</f>
        <v/>
      </c>
      <c r="M291" s="7">
        <f>IF(F291="","",D291/F291)</f>
        <v/>
      </c>
      <c r="N291" s="7">
        <f>IF(F291="","",E291/F291)</f>
        <v/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/>
      </c>
      <c r="E292" s="4">
        <f>IF(SUMIFS('Monthly BSE Equity Cash'!$G:$G,'Monthly BSE Equity Cash'!$A:$A,$A292)=0,"",SUMIFS('Monthly BSE Equity Cash'!$G:$G,'Monthly BSE Equity Cash'!$A:$A,$A292))</f>
        <v/>
      </c>
      <c r="F292" s="4">
        <f>IF(OR(D292="",E292=""),"",D292+E292)</f>
        <v/>
      </c>
      <c r="G292" s="7">
        <f>IF(OR(D292="",D280=""),"",D292/D280-1)</f>
        <v/>
      </c>
      <c r="H292" s="7">
        <f>IF(OR(E292="",E280=""),"",E292/E280-1)</f>
        <v/>
      </c>
      <c r="I292" s="7">
        <f>IF(OR(F292="",F280=""),"",F292/F280-1)</f>
        <v/>
      </c>
      <c r="J292" s="7">
        <f>IF(OR(D292="",D291=""),"",D292/D291-1)</f>
        <v/>
      </c>
      <c r="K292" s="7">
        <f>IF(OR(E292="",E291=""),"",E292/E291-1)</f>
        <v/>
      </c>
      <c r="L292" s="7">
        <f>IF(OR(F292="",F291=""),"",F292/F291-1)</f>
        <v/>
      </c>
      <c r="M292" s="7">
        <f>IF(F292="","",D292/F292)</f>
        <v/>
      </c>
      <c r="N292" s="7">
        <f>IF(F292="","",E292/F292)</f>
        <v/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/>
      </c>
      <c r="E293" s="4">
        <f>IF(SUMIFS('Monthly BSE Equity Cash'!$G:$G,'Monthly BSE Equity Cash'!$A:$A,$A293)=0,"",SUMIFS('Monthly BSE Equity Cash'!$G:$G,'Monthly BSE Equity Cash'!$A:$A,$A293))</f>
        <v/>
      </c>
      <c r="F293" s="4">
        <f>IF(OR(D293="",E293=""),"",D293+E293)</f>
        <v/>
      </c>
      <c r="G293" s="7">
        <f>IF(OR(D293="",D281=""),"",D293/D281-1)</f>
        <v/>
      </c>
      <c r="H293" s="7">
        <f>IF(OR(E293="",E281=""),"",E293/E281-1)</f>
        <v/>
      </c>
      <c r="I293" s="7">
        <f>IF(OR(F293="",F281=""),"",F293/F281-1)</f>
        <v/>
      </c>
      <c r="J293" s="7">
        <f>IF(OR(D293="",D292=""),"",D293/D292-1)</f>
        <v/>
      </c>
      <c r="K293" s="7">
        <f>IF(OR(E293="",E292=""),"",E293/E292-1)</f>
        <v/>
      </c>
      <c r="L293" s="7">
        <f>IF(OR(F293="",F292=""),"",F293/F292-1)</f>
        <v/>
      </c>
      <c r="M293" s="7">
        <f>IF(F293="","",D293/F293)</f>
        <v/>
      </c>
      <c r="N293" s="7">
        <f>IF(F293="","",E293/F293)</f>
        <v/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/>
      </c>
      <c r="E294" s="4">
        <f>IF(SUMIFS('Monthly BSE Equity Cash'!$G:$G,'Monthly BSE Equity Cash'!$A:$A,$A294)=0,"",SUMIFS('Monthly BSE Equity Cash'!$G:$G,'Monthly BSE Equity Cash'!$A:$A,$A294))</f>
        <v/>
      </c>
      <c r="F294" s="4">
        <f>IF(OR(D294="",E294=""),"",D294+E294)</f>
        <v/>
      </c>
      <c r="G294" s="7">
        <f>IF(OR(D294="",D282=""),"",D294/D282-1)</f>
        <v/>
      </c>
      <c r="H294" s="7">
        <f>IF(OR(E294="",E282=""),"",E294/E282-1)</f>
        <v/>
      </c>
      <c r="I294" s="7">
        <f>IF(OR(F294="",F282=""),"",F294/F282-1)</f>
        <v/>
      </c>
      <c r="J294" s="7">
        <f>IF(OR(D294="",D293=""),"",D294/D293-1)</f>
        <v/>
      </c>
      <c r="K294" s="7">
        <f>IF(OR(E294="",E293=""),"",E294/E293-1)</f>
        <v/>
      </c>
      <c r="L294" s="7">
        <f>IF(OR(F294="",F293=""),"",F294/F293-1)</f>
        <v/>
      </c>
      <c r="M294" s="7">
        <f>IF(F294="","",D294/F294)</f>
        <v/>
      </c>
      <c r="N294" s="7">
        <f>IF(F294="","",E294/F294)</f>
        <v/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/>
      </c>
      <c r="E295" s="4">
        <f>IF(SUMIFS('Monthly BSE Equity Cash'!$G:$G,'Monthly BSE Equity Cash'!$A:$A,$A295)=0,"",SUMIFS('Monthly BSE Equity Cash'!$G:$G,'Monthly BSE Equity Cash'!$A:$A,$A295))</f>
        <v/>
      </c>
      <c r="F295" s="4">
        <f>IF(OR(D295="",E295=""),"",D295+E295)</f>
        <v/>
      </c>
      <c r="G295" s="7">
        <f>IF(OR(D295="",D283=""),"",D295/D283-1)</f>
        <v/>
      </c>
      <c r="H295" s="7">
        <f>IF(OR(E295="",E283=""),"",E295/E283-1)</f>
        <v/>
      </c>
      <c r="I295" s="7">
        <f>IF(OR(F295="",F283=""),"",F295/F283-1)</f>
        <v/>
      </c>
      <c r="J295" s="7">
        <f>IF(OR(D295="",D294=""),"",D295/D294-1)</f>
        <v/>
      </c>
      <c r="K295" s="7">
        <f>IF(OR(E295="",E294=""),"",E295/E294-1)</f>
        <v/>
      </c>
      <c r="L295" s="7">
        <f>IF(OR(F295="",F294=""),"",F295/F294-1)</f>
        <v/>
      </c>
      <c r="M295" s="7">
        <f>IF(F295="","",D295/F295)</f>
        <v/>
      </c>
      <c r="N295" s="7">
        <f>IF(F295="","",E295/F295)</f>
        <v/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/>
      </c>
      <c r="E296" s="4">
        <f>IF(SUMIFS('Monthly BSE Equity Cash'!$G:$G,'Monthly BSE Equity Cash'!$A:$A,$A296)=0,"",SUMIFS('Monthly BSE Equity Cash'!$G:$G,'Monthly BSE Equity Cash'!$A:$A,$A296))</f>
        <v/>
      </c>
      <c r="F296" s="4">
        <f>IF(OR(D296="",E296=""),"",D296+E296)</f>
        <v/>
      </c>
      <c r="G296" s="7">
        <f>IF(OR(D296="",D284=""),"",D296/D284-1)</f>
        <v/>
      </c>
      <c r="H296" s="7">
        <f>IF(OR(E296="",E284=""),"",E296/E284-1)</f>
        <v/>
      </c>
      <c r="I296" s="7">
        <f>IF(OR(F296="",F284=""),"",F296/F284-1)</f>
        <v/>
      </c>
      <c r="J296" s="7">
        <f>IF(OR(D296="",D295=""),"",D296/D295-1)</f>
        <v/>
      </c>
      <c r="K296" s="7">
        <f>IF(OR(E296="",E295=""),"",E296/E295-1)</f>
        <v/>
      </c>
      <c r="L296" s="7">
        <f>IF(OR(F296="",F295=""),"",F296/F295-1)</f>
        <v/>
      </c>
      <c r="M296" s="7">
        <f>IF(F296="","",D296/F296)</f>
        <v/>
      </c>
      <c r="N296" s="7">
        <f>IF(F296="","",E296/F296)</f>
        <v/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/>
      </c>
      <c r="E297" s="4">
        <f>IF(SUMIFS('Monthly BSE Equity Cash'!$G:$G,'Monthly BSE Equity Cash'!$A:$A,$A297)=0,"",SUMIFS('Monthly BSE Equity Cash'!$G:$G,'Monthly BSE Equity Cash'!$A:$A,$A297))</f>
        <v/>
      </c>
      <c r="F297" s="4">
        <f>IF(OR(D297="",E297=""),"",D297+E297)</f>
        <v/>
      </c>
      <c r="G297" s="7">
        <f>IF(OR(D297="",D285=""),"",D297/D285-1)</f>
        <v/>
      </c>
      <c r="H297" s="7">
        <f>IF(OR(E297="",E285=""),"",E297/E285-1)</f>
        <v/>
      </c>
      <c r="I297" s="7">
        <f>IF(OR(F297="",F285=""),"",F297/F285-1)</f>
        <v/>
      </c>
      <c r="J297" s="7">
        <f>IF(OR(D297="",D296=""),"",D297/D296-1)</f>
        <v/>
      </c>
      <c r="K297" s="7">
        <f>IF(OR(E297="",E296=""),"",E297/E296-1)</f>
        <v/>
      </c>
      <c r="L297" s="7">
        <f>IF(OR(F297="",F296=""),"",F297/F296-1)</f>
        <v/>
      </c>
      <c r="M297" s="7">
        <f>IF(F297="","",D297/F297)</f>
        <v/>
      </c>
      <c r="N297" s="7">
        <f>IF(F297="","",E297/F297)</f>
        <v/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/>
      </c>
      <c r="E298" s="4">
        <f>IF(SUMIFS('Monthly BSE Equity Cash'!$G:$G,'Monthly BSE Equity Cash'!$A:$A,$A298)=0,"",SUMIFS('Monthly BSE Equity Cash'!$G:$G,'Monthly BSE Equity Cash'!$A:$A,$A298))</f>
        <v/>
      </c>
      <c r="F298" s="4">
        <f>IF(OR(D298="",E298=""),"",D298+E298)</f>
        <v/>
      </c>
      <c r="G298" s="7">
        <f>IF(OR(D298="",D286=""),"",D298/D286-1)</f>
        <v/>
      </c>
      <c r="H298" s="7">
        <f>IF(OR(E298="",E286=""),"",E298/E286-1)</f>
        <v/>
      </c>
      <c r="I298" s="7">
        <f>IF(OR(F298="",F286=""),"",F298/F286-1)</f>
        <v/>
      </c>
      <c r="J298" s="7">
        <f>IF(OR(D298="",D297=""),"",D298/D297-1)</f>
        <v/>
      </c>
      <c r="K298" s="7">
        <f>IF(OR(E298="",E297=""),"",E298/E297-1)</f>
        <v/>
      </c>
      <c r="L298" s="7">
        <f>IF(OR(F298="",F297=""),"",F298/F297-1)</f>
        <v/>
      </c>
      <c r="M298" s="7">
        <f>IF(F298="","",D298/F298)</f>
        <v/>
      </c>
      <c r="N298" s="7">
        <f>IF(F298="","",E298/F298)</f>
        <v/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/>
      </c>
      <c r="E299" s="4">
        <f>IF(SUMIFS('Monthly BSE Equity Cash'!$G:$G,'Monthly BSE Equity Cash'!$A:$A,$A299)=0,"",SUMIFS('Monthly BSE Equity Cash'!$G:$G,'Monthly BSE Equity Cash'!$A:$A,$A299))</f>
        <v/>
      </c>
      <c r="F299" s="4">
        <f>IF(OR(D299="",E299=""),"",D299+E299)</f>
        <v/>
      </c>
      <c r="G299" s="7">
        <f>IF(OR(D299="",D287=""),"",D299/D287-1)</f>
        <v/>
      </c>
      <c r="H299" s="7">
        <f>IF(OR(E299="",E287=""),"",E299/E287-1)</f>
        <v/>
      </c>
      <c r="I299" s="7">
        <f>IF(OR(F299="",F287=""),"",F299/F287-1)</f>
        <v/>
      </c>
      <c r="J299" s="7">
        <f>IF(OR(D299="",D298=""),"",D299/D298-1)</f>
        <v/>
      </c>
      <c r="K299" s="7">
        <f>IF(OR(E299="",E298=""),"",E299/E298-1)</f>
        <v/>
      </c>
      <c r="L299" s="7">
        <f>IF(OR(F299="",F298=""),"",F299/F298-1)</f>
        <v/>
      </c>
      <c r="M299" s="7">
        <f>IF(F299="","",D299/F299)</f>
        <v/>
      </c>
      <c r="N299" s="7">
        <f>IF(F299="","",E299/F299)</f>
        <v/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/>
      </c>
      <c r="E300" s="4">
        <f>IF(SUMIFS('Monthly BSE Equity Cash'!$G:$G,'Monthly BSE Equity Cash'!$A:$A,$A300)=0,"",SUMIFS('Monthly BSE Equity Cash'!$G:$G,'Monthly BSE Equity Cash'!$A:$A,$A300))</f>
        <v/>
      </c>
      <c r="F300" s="4">
        <f>IF(OR(D300="",E300=""),"",D300+E300)</f>
        <v/>
      </c>
      <c r="G300" s="7">
        <f>IF(OR(D300="",D288=""),"",D300/D288-1)</f>
        <v/>
      </c>
      <c r="H300" s="7">
        <f>IF(OR(E300="",E288=""),"",E300/E288-1)</f>
        <v/>
      </c>
      <c r="I300" s="7">
        <f>IF(OR(F300="",F288=""),"",F300/F288-1)</f>
        <v/>
      </c>
      <c r="J300" s="7">
        <f>IF(OR(D300="",D299=""),"",D300/D299-1)</f>
        <v/>
      </c>
      <c r="K300" s="7">
        <f>IF(OR(E300="",E299=""),"",E300/E299-1)</f>
        <v/>
      </c>
      <c r="L300" s="7">
        <f>IF(OR(F300="",F299=""),"",F300/F299-1)</f>
        <v/>
      </c>
      <c r="M300" s="7">
        <f>IF(F300="","",D300/F300)</f>
        <v/>
      </c>
      <c r="N300" s="7">
        <f>IF(F300="","",E300/F300)</f>
        <v/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/>
      </c>
      <c r="E301" s="4">
        <f>IF(SUMIFS('Monthly BSE Equity Cash'!$G:$G,'Monthly BSE Equity Cash'!$A:$A,$A301)=0,"",SUMIFS('Monthly BSE Equity Cash'!$G:$G,'Monthly BSE Equity Cash'!$A:$A,$A301))</f>
        <v/>
      </c>
      <c r="F301" s="4">
        <f>IF(OR(D301="",E301=""),"",D301+E301)</f>
        <v/>
      </c>
      <c r="G301" s="7">
        <f>IF(OR(D301="",D289=""),"",D301/D289-1)</f>
        <v/>
      </c>
      <c r="H301" s="7">
        <f>IF(OR(E301="",E289=""),"",E301/E289-1)</f>
        <v/>
      </c>
      <c r="I301" s="7">
        <f>IF(OR(F301="",F289=""),"",F301/F289-1)</f>
        <v/>
      </c>
      <c r="J301" s="7">
        <f>IF(OR(D301="",D300=""),"",D301/D300-1)</f>
        <v/>
      </c>
      <c r="K301" s="7">
        <f>IF(OR(E301="",E300=""),"",E301/E300-1)</f>
        <v/>
      </c>
      <c r="L301" s="7">
        <f>IF(OR(F301="",F300=""),"",F301/F300-1)</f>
        <v/>
      </c>
      <c r="M301" s="7">
        <f>IF(F301="","",D301/F301)</f>
        <v/>
      </c>
      <c r="N301" s="7">
        <f>IF(F301="","",E301/F301)</f>
        <v/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/>
      </c>
      <c r="E302" s="4">
        <f>IF(SUMIFS('Monthly BSE Equity Cash'!$G:$G,'Monthly BSE Equity Cash'!$A:$A,$A302)=0,"",SUMIFS('Monthly BSE Equity Cash'!$G:$G,'Monthly BSE Equity Cash'!$A:$A,$A302))</f>
        <v/>
      </c>
      <c r="F302" s="4">
        <f>IF(OR(D302="",E302=""),"",D302+E302)</f>
        <v/>
      </c>
      <c r="G302" s="7">
        <f>IF(OR(D302="",D290=""),"",D302/D290-1)</f>
        <v/>
      </c>
      <c r="H302" s="7">
        <f>IF(OR(E302="",E290=""),"",E302/E290-1)</f>
        <v/>
      </c>
      <c r="I302" s="7">
        <f>IF(OR(F302="",F290=""),"",F302/F290-1)</f>
        <v/>
      </c>
      <c r="J302" s="7">
        <f>IF(OR(D302="",D301=""),"",D302/D301-1)</f>
        <v/>
      </c>
      <c r="K302" s="7">
        <f>IF(OR(E302="",E301=""),"",E302/E301-1)</f>
        <v/>
      </c>
      <c r="L302" s="7">
        <f>IF(OR(F302="",F301=""),"",F302/F301-1)</f>
        <v/>
      </c>
      <c r="M302" s="7">
        <f>IF(F302="","",D302/F302)</f>
        <v/>
      </c>
      <c r="N302" s="7">
        <f>IF(F302="","",E302/F302)</f>
        <v/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/>
      </c>
      <c r="E303" s="4">
        <f>IF(SUMIFS('Monthly BSE Equity Cash'!$G:$G,'Monthly BSE Equity Cash'!$A:$A,$A303)=0,"",SUMIFS('Monthly BSE Equity Cash'!$G:$G,'Monthly BSE Equity Cash'!$A:$A,$A303))</f>
        <v/>
      </c>
      <c r="F303" s="4">
        <f>IF(OR(D303="",E303=""),"",D303+E303)</f>
        <v/>
      </c>
      <c r="G303" s="7">
        <f>IF(OR(D303="",D291=""),"",D303/D291-1)</f>
        <v/>
      </c>
      <c r="H303" s="7">
        <f>IF(OR(E303="",E291=""),"",E303/E291-1)</f>
        <v/>
      </c>
      <c r="I303" s="7">
        <f>IF(OR(F303="",F291=""),"",F303/F291-1)</f>
        <v/>
      </c>
      <c r="J303" s="7">
        <f>IF(OR(D303="",D302=""),"",D303/D302-1)</f>
        <v/>
      </c>
      <c r="K303" s="7">
        <f>IF(OR(E303="",E302=""),"",E303/E302-1)</f>
        <v/>
      </c>
      <c r="L303" s="7">
        <f>IF(OR(F303="",F302=""),"",F303/F302-1)</f>
        <v/>
      </c>
      <c r="M303" s="7">
        <f>IF(F303="","",D303/F303)</f>
        <v/>
      </c>
      <c r="N303" s="7">
        <f>IF(F303="","",E303/F303)</f>
        <v/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/>
      </c>
      <c r="E304" s="4">
        <f>IF(SUMIFS('Monthly BSE Equity Cash'!$G:$G,'Monthly BSE Equity Cash'!$A:$A,$A304)=0,"",SUMIFS('Monthly BSE Equity Cash'!$G:$G,'Monthly BSE Equity Cash'!$A:$A,$A304))</f>
        <v/>
      </c>
      <c r="F304" s="4">
        <f>IF(OR(D304="",E304=""),"",D304+E304)</f>
        <v/>
      </c>
      <c r="G304" s="7">
        <f>IF(OR(D304="",D292=""),"",D304/D292-1)</f>
        <v/>
      </c>
      <c r="H304" s="7">
        <f>IF(OR(E304="",E292=""),"",E304/E292-1)</f>
        <v/>
      </c>
      <c r="I304" s="7">
        <f>IF(OR(F304="",F292=""),"",F304/F292-1)</f>
        <v/>
      </c>
      <c r="J304" s="7">
        <f>IF(OR(D304="",D303=""),"",D304/D303-1)</f>
        <v/>
      </c>
      <c r="K304" s="7">
        <f>IF(OR(E304="",E303=""),"",E304/E303-1)</f>
        <v/>
      </c>
      <c r="L304" s="7">
        <f>IF(OR(F304="",F303=""),"",F304/F303-1)</f>
        <v/>
      </c>
      <c r="M304" s="7">
        <f>IF(F304="","",D304/F304)</f>
        <v/>
      </c>
      <c r="N304" s="7">
        <f>IF(F304="","",E304/F304)</f>
        <v/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/>
      </c>
      <c r="E305" s="4">
        <f>IF(SUMIFS('Monthly BSE Equity Cash'!$G:$G,'Monthly BSE Equity Cash'!$A:$A,$A305)=0,"",SUMIFS('Monthly BSE Equity Cash'!$G:$G,'Monthly BSE Equity Cash'!$A:$A,$A305))</f>
        <v/>
      </c>
      <c r="F305" s="4">
        <f>IF(OR(D305="",E305=""),"",D305+E305)</f>
        <v/>
      </c>
      <c r="G305" s="7">
        <f>IF(OR(D305="",D293=""),"",D305/D293-1)</f>
        <v/>
      </c>
      <c r="H305" s="7">
        <f>IF(OR(E305="",E293=""),"",E305/E293-1)</f>
        <v/>
      </c>
      <c r="I305" s="7">
        <f>IF(OR(F305="",F293=""),"",F305/F293-1)</f>
        <v/>
      </c>
      <c r="J305" s="7">
        <f>IF(OR(D305="",D304=""),"",D305/D304-1)</f>
        <v/>
      </c>
      <c r="K305" s="7">
        <f>IF(OR(E305="",E304=""),"",E305/E304-1)</f>
        <v/>
      </c>
      <c r="L305" s="7">
        <f>IF(OR(F305="",F304=""),"",F305/F304-1)</f>
        <v/>
      </c>
      <c r="M305" s="7">
        <f>IF(F305="","",D305/F305)</f>
        <v/>
      </c>
      <c r="N305" s="7">
        <f>IF(F305="","",E305/F305)</f>
        <v/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/>
      </c>
      <c r="E306" s="4">
        <f>IF(SUMIFS('Monthly BSE Equity Cash'!$G:$G,'Monthly BSE Equity Cash'!$A:$A,$A306)=0,"",SUMIFS('Monthly BSE Equity Cash'!$G:$G,'Monthly BSE Equity Cash'!$A:$A,$A306))</f>
        <v/>
      </c>
      <c r="F306" s="4">
        <f>IF(OR(D306="",E306=""),"",D306+E306)</f>
        <v/>
      </c>
      <c r="G306" s="7">
        <f>IF(OR(D306="",D294=""),"",D306/D294-1)</f>
        <v/>
      </c>
      <c r="H306" s="7">
        <f>IF(OR(E306="",E294=""),"",E306/E294-1)</f>
        <v/>
      </c>
      <c r="I306" s="7">
        <f>IF(OR(F306="",F294=""),"",F306/F294-1)</f>
        <v/>
      </c>
      <c r="J306" s="7">
        <f>IF(OR(D306="",D305=""),"",D306/D305-1)</f>
        <v/>
      </c>
      <c r="K306" s="7">
        <f>IF(OR(E306="",E305=""),"",E306/E305-1)</f>
        <v/>
      </c>
      <c r="L306" s="7">
        <f>IF(OR(F306="",F305=""),"",F306/F305-1)</f>
        <v/>
      </c>
      <c r="M306" s="7">
        <f>IF(F306="","",D306/F306)</f>
        <v/>
      </c>
      <c r="N306" s="7">
        <f>IF(F306="","",E306/F306)</f>
        <v/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/>
      </c>
      <c r="E307" s="4">
        <f>IF(SUMIFS('Monthly BSE Equity Cash'!$G:$G,'Monthly BSE Equity Cash'!$A:$A,$A307)=0,"",SUMIFS('Monthly BSE Equity Cash'!$G:$G,'Monthly BSE Equity Cash'!$A:$A,$A307))</f>
        <v/>
      </c>
      <c r="F307" s="4">
        <f>IF(OR(D307="",E307=""),"",D307+E307)</f>
        <v/>
      </c>
      <c r="G307" s="7">
        <f>IF(OR(D307="",D295=""),"",D307/D295-1)</f>
        <v/>
      </c>
      <c r="H307" s="7">
        <f>IF(OR(E307="",E295=""),"",E307/E295-1)</f>
        <v/>
      </c>
      <c r="I307" s="7">
        <f>IF(OR(F307="",F295=""),"",F307/F295-1)</f>
        <v/>
      </c>
      <c r="J307" s="7">
        <f>IF(OR(D307="",D306=""),"",D307/D306-1)</f>
        <v/>
      </c>
      <c r="K307" s="7">
        <f>IF(OR(E307="",E306=""),"",E307/E306-1)</f>
        <v/>
      </c>
      <c r="L307" s="7">
        <f>IF(OR(F307="",F306=""),"",F307/F306-1)</f>
        <v/>
      </c>
      <c r="M307" s="7">
        <f>IF(F307="","",D307/F307)</f>
        <v/>
      </c>
      <c r="N307" s="7">
        <f>IF(F307="","",E307/F307)</f>
        <v/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/>
      </c>
      <c r="E308" s="4">
        <f>IF(SUMIFS('Monthly BSE Equity Cash'!$G:$G,'Monthly BSE Equity Cash'!$A:$A,$A308)=0,"",SUMIFS('Monthly BSE Equity Cash'!$G:$G,'Monthly BSE Equity Cash'!$A:$A,$A308))</f>
        <v/>
      </c>
      <c r="F308" s="4">
        <f>IF(OR(D308="",E308=""),"",D308+E308)</f>
        <v/>
      </c>
      <c r="G308" s="7">
        <f>IF(OR(D308="",D296=""),"",D308/D296-1)</f>
        <v/>
      </c>
      <c r="H308" s="7">
        <f>IF(OR(E308="",E296=""),"",E308/E296-1)</f>
        <v/>
      </c>
      <c r="I308" s="7">
        <f>IF(OR(F308="",F296=""),"",F308/F296-1)</f>
        <v/>
      </c>
      <c r="J308" s="7">
        <f>IF(OR(D308="",D307=""),"",D308/D307-1)</f>
        <v/>
      </c>
      <c r="K308" s="7">
        <f>IF(OR(E308="",E307=""),"",E308/E307-1)</f>
        <v/>
      </c>
      <c r="L308" s="7">
        <f>IF(OR(F308="",F307=""),"",F308/F307-1)</f>
        <v/>
      </c>
      <c r="M308" s="7">
        <f>IF(F308="","",D308/F308)</f>
        <v/>
      </c>
      <c r="N308" s="7">
        <f>IF(F308="","",E308/F308)</f>
        <v/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/>
      </c>
      <c r="E309" s="4">
        <f>IF(SUMIFS('Monthly BSE Equity Cash'!$G:$G,'Monthly BSE Equity Cash'!$A:$A,$A309)=0,"",SUMIFS('Monthly BSE Equity Cash'!$G:$G,'Monthly BSE Equity Cash'!$A:$A,$A309))</f>
        <v/>
      </c>
      <c r="F309" s="4">
        <f>IF(OR(D309="",E309=""),"",D309+E309)</f>
        <v/>
      </c>
      <c r="G309" s="7">
        <f>IF(OR(D309="",D297=""),"",D309/D297-1)</f>
        <v/>
      </c>
      <c r="H309" s="7">
        <f>IF(OR(E309="",E297=""),"",E309/E297-1)</f>
        <v/>
      </c>
      <c r="I309" s="7">
        <f>IF(OR(F309="",F297=""),"",F309/F297-1)</f>
        <v/>
      </c>
      <c r="J309" s="7">
        <f>IF(OR(D309="",D308=""),"",D309/D308-1)</f>
        <v/>
      </c>
      <c r="K309" s="7">
        <f>IF(OR(E309="",E308=""),"",E309/E308-1)</f>
        <v/>
      </c>
      <c r="L309" s="7">
        <f>IF(OR(F309="",F308=""),"",F309/F308-1)</f>
        <v/>
      </c>
      <c r="M309" s="7">
        <f>IF(F309="","",D309/F309)</f>
        <v/>
      </c>
      <c r="N309" s="7">
        <f>IF(F309="","",E309/F309)</f>
        <v/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/>
      </c>
      <c r="E310" s="4">
        <f>IF(SUMIFS('Monthly BSE Equity Cash'!$G:$G,'Monthly BSE Equity Cash'!$A:$A,$A310)=0,"",SUMIFS('Monthly BSE Equity Cash'!$G:$G,'Monthly BSE Equity Cash'!$A:$A,$A310))</f>
        <v/>
      </c>
      <c r="F310" s="4">
        <f>IF(OR(D310="",E310=""),"",D310+E310)</f>
        <v/>
      </c>
      <c r="G310" s="7">
        <f>IF(OR(D310="",D298=""),"",D310/D298-1)</f>
        <v/>
      </c>
      <c r="H310" s="7">
        <f>IF(OR(E310="",E298=""),"",E310/E298-1)</f>
        <v/>
      </c>
      <c r="I310" s="7">
        <f>IF(OR(F310="",F298=""),"",F310/F298-1)</f>
        <v/>
      </c>
      <c r="J310" s="7">
        <f>IF(OR(D310="",D309=""),"",D310/D309-1)</f>
        <v/>
      </c>
      <c r="K310" s="7">
        <f>IF(OR(E310="",E309=""),"",E310/E309-1)</f>
        <v/>
      </c>
      <c r="L310" s="7">
        <f>IF(OR(F310="",F309=""),"",F310/F309-1)</f>
        <v/>
      </c>
      <c r="M310" s="7">
        <f>IF(F310="","",D310/F310)</f>
        <v/>
      </c>
      <c r="N310" s="7">
        <f>IF(F310="","",E310/F310)</f>
        <v/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/>
      </c>
      <c r="E311" s="4">
        <f>IF(SUMIFS('Monthly BSE Equity Cash'!$G:$G,'Monthly BSE Equity Cash'!$A:$A,$A311)=0,"",SUMIFS('Monthly BSE Equity Cash'!$G:$G,'Monthly BSE Equity Cash'!$A:$A,$A311))</f>
        <v/>
      </c>
      <c r="F311" s="4">
        <f>IF(OR(D311="",E311=""),"",D311+E311)</f>
        <v/>
      </c>
      <c r="G311" s="7">
        <f>IF(OR(D311="",D299=""),"",D311/D299-1)</f>
        <v/>
      </c>
      <c r="H311" s="7">
        <f>IF(OR(E311="",E299=""),"",E311/E299-1)</f>
        <v/>
      </c>
      <c r="I311" s="7">
        <f>IF(OR(F311="",F299=""),"",F311/F299-1)</f>
        <v/>
      </c>
      <c r="J311" s="7">
        <f>IF(OR(D311="",D310=""),"",D311/D310-1)</f>
        <v/>
      </c>
      <c r="K311" s="7">
        <f>IF(OR(E311="",E310=""),"",E311/E310-1)</f>
        <v/>
      </c>
      <c r="L311" s="7">
        <f>IF(OR(F311="",F310=""),"",F311/F310-1)</f>
        <v/>
      </c>
      <c r="M311" s="7">
        <f>IF(F311="","",D311/F311)</f>
        <v/>
      </c>
      <c r="N311" s="7">
        <f>IF(F311="","",E311/F311)</f>
        <v/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/>
      </c>
      <c r="E312" s="4">
        <f>IF(SUMIFS('Monthly BSE Equity Cash'!$G:$G,'Monthly BSE Equity Cash'!$A:$A,$A312)=0,"",SUMIFS('Monthly BSE Equity Cash'!$G:$G,'Monthly BSE Equity Cash'!$A:$A,$A312))</f>
        <v/>
      </c>
      <c r="F312" s="4">
        <f>IF(OR(D312="",E312=""),"",D312+E312)</f>
        <v/>
      </c>
      <c r="G312" s="7">
        <f>IF(OR(D312="",D300=""),"",D312/D300-1)</f>
        <v/>
      </c>
      <c r="H312" s="7">
        <f>IF(OR(E312="",E300=""),"",E312/E300-1)</f>
        <v/>
      </c>
      <c r="I312" s="7">
        <f>IF(OR(F312="",F300=""),"",F312/F300-1)</f>
        <v/>
      </c>
      <c r="J312" s="7">
        <f>IF(OR(D312="",D311=""),"",D312/D311-1)</f>
        <v/>
      </c>
      <c r="K312" s="7">
        <f>IF(OR(E312="",E311=""),"",E312/E311-1)</f>
        <v/>
      </c>
      <c r="L312" s="7">
        <f>IF(OR(F312="",F311=""),"",F312/F311-1)</f>
        <v/>
      </c>
      <c r="M312" s="7">
        <f>IF(F312="","",D312/F312)</f>
        <v/>
      </c>
      <c r="N312" s="7">
        <f>IF(F312="","",E312/F312)</f>
        <v/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/>
      </c>
      <c r="E313" s="4">
        <f>IF(SUMIFS('Monthly BSE Equity Cash'!$G:$G,'Monthly BSE Equity Cash'!$A:$A,$A313)=0,"",SUMIFS('Monthly BSE Equity Cash'!$G:$G,'Monthly BSE Equity Cash'!$A:$A,$A313))</f>
        <v/>
      </c>
      <c r="F313" s="4">
        <f>IF(OR(D313="",E313=""),"",D313+E313)</f>
        <v/>
      </c>
      <c r="G313" s="7">
        <f>IF(OR(D313="",D301=""),"",D313/D301-1)</f>
        <v/>
      </c>
      <c r="H313" s="7">
        <f>IF(OR(E313="",E301=""),"",E313/E301-1)</f>
        <v/>
      </c>
      <c r="I313" s="7">
        <f>IF(OR(F313="",F301=""),"",F313/F301-1)</f>
        <v/>
      </c>
      <c r="J313" s="7">
        <f>IF(OR(D313="",D312=""),"",D313/D312-1)</f>
        <v/>
      </c>
      <c r="K313" s="7">
        <f>IF(OR(E313="",E312=""),"",E313/E312-1)</f>
        <v/>
      </c>
      <c r="L313" s="7">
        <f>IF(OR(F313="",F312=""),"",F313/F312-1)</f>
        <v/>
      </c>
      <c r="M313" s="7">
        <f>IF(F313="","",D313/F313)</f>
        <v/>
      </c>
      <c r="N313" s="7">
        <f>IF(F313="","",E313/F313)</f>
        <v/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/>
      </c>
      <c r="E314" s="4">
        <f>IF(SUMIFS('Monthly BSE Equity Cash'!$G:$G,'Monthly BSE Equity Cash'!$A:$A,$A314)=0,"",SUMIFS('Monthly BSE Equity Cash'!$G:$G,'Monthly BSE Equity Cash'!$A:$A,$A314))</f>
        <v/>
      </c>
      <c r="F314" s="4">
        <f>IF(OR(D314="",E314=""),"",D314+E314)</f>
        <v/>
      </c>
      <c r="G314" s="7">
        <f>IF(OR(D314="",D302=""),"",D314/D302-1)</f>
        <v/>
      </c>
      <c r="H314" s="7">
        <f>IF(OR(E314="",E302=""),"",E314/E302-1)</f>
        <v/>
      </c>
      <c r="I314" s="7">
        <f>IF(OR(F314="",F302=""),"",F314/F302-1)</f>
        <v/>
      </c>
      <c r="J314" s="7">
        <f>IF(OR(D314="",D313=""),"",D314/D313-1)</f>
        <v/>
      </c>
      <c r="K314" s="7">
        <f>IF(OR(E314="",E313=""),"",E314/E313-1)</f>
        <v/>
      </c>
      <c r="L314" s="7">
        <f>IF(OR(F314="",F313=""),"",F314/F313-1)</f>
        <v/>
      </c>
      <c r="M314" s="7">
        <f>IF(F314="","",D314/F314)</f>
        <v/>
      </c>
      <c r="N314" s="7">
        <f>IF(F314="","",E314/F314)</f>
        <v/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/>
      </c>
      <c r="E315" s="4">
        <f>IF(SUMIFS('Monthly BSE Equity Cash'!$G:$G,'Monthly BSE Equity Cash'!$A:$A,$A315)=0,"",SUMIFS('Monthly BSE Equity Cash'!$G:$G,'Monthly BSE Equity Cash'!$A:$A,$A315))</f>
        <v/>
      </c>
      <c r="F315" s="4">
        <f>IF(OR(D315="",E315=""),"",D315+E315)</f>
        <v/>
      </c>
      <c r="G315" s="7">
        <f>IF(OR(D315="",D303=""),"",D315/D303-1)</f>
        <v/>
      </c>
      <c r="H315" s="7">
        <f>IF(OR(E315="",E303=""),"",E315/E303-1)</f>
        <v/>
      </c>
      <c r="I315" s="7">
        <f>IF(OR(F315="",F303=""),"",F315/F303-1)</f>
        <v/>
      </c>
      <c r="J315" s="7">
        <f>IF(OR(D315="",D314=""),"",D315/D314-1)</f>
        <v/>
      </c>
      <c r="K315" s="7">
        <f>IF(OR(E315="",E314=""),"",E315/E314-1)</f>
        <v/>
      </c>
      <c r="L315" s="7">
        <f>IF(OR(F315="",F314=""),"",F315/F314-1)</f>
        <v/>
      </c>
      <c r="M315" s="7">
        <f>IF(F315="","",D315/F315)</f>
        <v/>
      </c>
      <c r="N315" s="7">
        <f>IF(F315="","",E315/F315)</f>
        <v/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/>
      </c>
      <c r="E316" s="4">
        <f>IF(SUMIFS('Monthly BSE Equity Cash'!$G:$G,'Monthly BSE Equity Cash'!$A:$A,$A316)=0,"",SUMIFS('Monthly BSE Equity Cash'!$G:$G,'Monthly BSE Equity Cash'!$A:$A,$A316))</f>
        <v/>
      </c>
      <c r="F316" s="4">
        <f>IF(OR(D316="",E316=""),"",D316+E316)</f>
        <v/>
      </c>
      <c r="G316" s="7">
        <f>IF(OR(D316="",D304=""),"",D316/D304-1)</f>
        <v/>
      </c>
      <c r="H316" s="7">
        <f>IF(OR(E316="",E304=""),"",E316/E304-1)</f>
        <v/>
      </c>
      <c r="I316" s="7">
        <f>IF(OR(F316="",F304=""),"",F316/F304-1)</f>
        <v/>
      </c>
      <c r="J316" s="7">
        <f>IF(OR(D316="",D315=""),"",D316/D315-1)</f>
        <v/>
      </c>
      <c r="K316" s="7">
        <f>IF(OR(E316="",E315=""),"",E316/E315-1)</f>
        <v/>
      </c>
      <c r="L316" s="7">
        <f>IF(OR(F316="",F315=""),"",F316/F315-1)</f>
        <v/>
      </c>
      <c r="M316" s="7">
        <f>IF(F316="","",D316/F316)</f>
        <v/>
      </c>
      <c r="N316" s="7">
        <f>IF(F316="","",E316/F316)</f>
        <v/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/>
      </c>
      <c r="E317" s="4">
        <f>IF(SUMIFS('Monthly BSE Equity Cash'!$G:$G,'Monthly BSE Equity Cash'!$A:$A,$A317)=0,"",SUMIFS('Monthly BSE Equity Cash'!$G:$G,'Monthly BSE Equity Cash'!$A:$A,$A317))</f>
        <v/>
      </c>
      <c r="F317" s="4">
        <f>IF(OR(D317="",E317=""),"",D317+E317)</f>
        <v/>
      </c>
      <c r="G317" s="7">
        <f>IF(OR(D317="",D305=""),"",D317/D305-1)</f>
        <v/>
      </c>
      <c r="H317" s="7">
        <f>IF(OR(E317="",E305=""),"",E317/E305-1)</f>
        <v/>
      </c>
      <c r="I317" s="7">
        <f>IF(OR(F317="",F305=""),"",F317/F305-1)</f>
        <v/>
      </c>
      <c r="J317" s="7">
        <f>IF(OR(D317="",D316=""),"",D317/D316-1)</f>
        <v/>
      </c>
      <c r="K317" s="7">
        <f>IF(OR(E317="",E316=""),"",E317/E316-1)</f>
        <v/>
      </c>
      <c r="L317" s="7">
        <f>IF(OR(F317="",F316=""),"",F317/F316-1)</f>
        <v/>
      </c>
      <c r="M317" s="7">
        <f>IF(F317="","",D317/F317)</f>
        <v/>
      </c>
      <c r="N317" s="7">
        <f>IF(F317="","",E317/F317)</f>
        <v/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/>
      </c>
      <c r="E318" s="4">
        <f>IF(SUMIFS('Monthly BSE Equity Cash'!$G:$G,'Monthly BSE Equity Cash'!$A:$A,$A318)=0,"",SUMIFS('Monthly BSE Equity Cash'!$G:$G,'Monthly BSE Equity Cash'!$A:$A,$A318))</f>
        <v/>
      </c>
      <c r="F318" s="4">
        <f>IF(OR(D318="",E318=""),"",D318+E318)</f>
        <v/>
      </c>
      <c r="G318" s="7">
        <f>IF(OR(D318="",D306=""),"",D318/D306-1)</f>
        <v/>
      </c>
      <c r="H318" s="7">
        <f>IF(OR(E318="",E306=""),"",E318/E306-1)</f>
        <v/>
      </c>
      <c r="I318" s="7">
        <f>IF(OR(F318="",F306=""),"",F318/F306-1)</f>
        <v/>
      </c>
      <c r="J318" s="7">
        <f>IF(OR(D318="",D317=""),"",D318/D317-1)</f>
        <v/>
      </c>
      <c r="K318" s="7">
        <f>IF(OR(E318="",E317=""),"",E318/E317-1)</f>
        <v/>
      </c>
      <c r="L318" s="7">
        <f>IF(OR(F318="",F317=""),"",F318/F317-1)</f>
        <v/>
      </c>
      <c r="M318" s="7">
        <f>IF(F318="","",D318/F318)</f>
        <v/>
      </c>
      <c r="N318" s="7">
        <f>IF(F318="","",E318/F318)</f>
        <v/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/>
      </c>
      <c r="E319" s="4">
        <f>IF(SUMIFS('Monthly BSE Equity Cash'!$G:$G,'Monthly BSE Equity Cash'!$A:$A,$A319)=0,"",SUMIFS('Monthly BSE Equity Cash'!$G:$G,'Monthly BSE Equity Cash'!$A:$A,$A319))</f>
        <v/>
      </c>
      <c r="F319" s="4">
        <f>IF(OR(D319="",E319=""),"",D319+E319)</f>
        <v/>
      </c>
      <c r="G319" s="7">
        <f>IF(OR(D319="",D307=""),"",D319/D307-1)</f>
        <v/>
      </c>
      <c r="H319" s="7">
        <f>IF(OR(E319="",E307=""),"",E319/E307-1)</f>
        <v/>
      </c>
      <c r="I319" s="7">
        <f>IF(OR(F319="",F307=""),"",F319/F307-1)</f>
        <v/>
      </c>
      <c r="J319" s="7">
        <f>IF(OR(D319="",D318=""),"",D319/D318-1)</f>
        <v/>
      </c>
      <c r="K319" s="7">
        <f>IF(OR(E319="",E318=""),"",E319/E318-1)</f>
        <v/>
      </c>
      <c r="L319" s="7">
        <f>IF(OR(F319="",F318=""),"",F319/F318-1)</f>
        <v/>
      </c>
      <c r="M319" s="7">
        <f>IF(F319="","",D319/F319)</f>
        <v/>
      </c>
      <c r="N319" s="7">
        <f>IF(F319="","",E319/F319)</f>
        <v/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/>
      </c>
      <c r="E320" s="4">
        <f>IF(SUMIFS('Monthly BSE Equity Cash'!$G:$G,'Monthly BSE Equity Cash'!$A:$A,$A320)=0,"",SUMIFS('Monthly BSE Equity Cash'!$G:$G,'Monthly BSE Equity Cash'!$A:$A,$A320))</f>
        <v/>
      </c>
      <c r="F320" s="4">
        <f>IF(OR(D320="",E320=""),"",D320+E320)</f>
        <v/>
      </c>
      <c r="G320" s="7">
        <f>IF(OR(D320="",D308=""),"",D320/D308-1)</f>
        <v/>
      </c>
      <c r="H320" s="7">
        <f>IF(OR(E320="",E308=""),"",E320/E308-1)</f>
        <v/>
      </c>
      <c r="I320" s="7">
        <f>IF(OR(F320="",F308=""),"",F320/F308-1)</f>
        <v/>
      </c>
      <c r="J320" s="7">
        <f>IF(OR(D320="",D319=""),"",D320/D319-1)</f>
        <v/>
      </c>
      <c r="K320" s="7">
        <f>IF(OR(E320="",E319=""),"",E320/E319-1)</f>
        <v/>
      </c>
      <c r="L320" s="7">
        <f>IF(OR(F320="",F319=""),"",F320/F319-1)</f>
        <v/>
      </c>
      <c r="M320" s="7">
        <f>IF(F320="","",D320/F320)</f>
        <v/>
      </c>
      <c r="N320" s="7">
        <f>IF(F320="","",E320/F320)</f>
        <v/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/>
      </c>
      <c r="E321" s="4">
        <f>IF(SUMIFS('Monthly BSE Equity Cash'!$G:$G,'Monthly BSE Equity Cash'!$A:$A,$A321)=0,"",SUMIFS('Monthly BSE Equity Cash'!$G:$G,'Monthly BSE Equity Cash'!$A:$A,$A321))</f>
        <v/>
      </c>
      <c r="F321" s="4">
        <f>IF(OR(D321="",E321=""),"",D321+E321)</f>
        <v/>
      </c>
      <c r="G321" s="7">
        <f>IF(OR(D321="",D309=""),"",D321/D309-1)</f>
        <v/>
      </c>
      <c r="H321" s="7">
        <f>IF(OR(E321="",E309=""),"",E321/E309-1)</f>
        <v/>
      </c>
      <c r="I321" s="7">
        <f>IF(OR(F321="",F309=""),"",F321/F309-1)</f>
        <v/>
      </c>
      <c r="J321" s="7">
        <f>IF(OR(D321="",D320=""),"",D321/D320-1)</f>
        <v/>
      </c>
      <c r="K321" s="7">
        <f>IF(OR(E321="",E320=""),"",E321/E320-1)</f>
        <v/>
      </c>
      <c r="L321" s="7">
        <f>IF(OR(F321="",F320=""),"",F321/F320-1)</f>
        <v/>
      </c>
      <c r="M321" s="7">
        <f>IF(F321="","",D321/F321)</f>
        <v/>
      </c>
      <c r="N321" s="7">
        <f>IF(F321="","",E321/F321)</f>
        <v/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/>
      </c>
      <c r="E322" s="4">
        <f>IF(SUMIFS('Monthly BSE Equity Cash'!$G:$G,'Monthly BSE Equity Cash'!$A:$A,$A322)=0,"",SUMIFS('Monthly BSE Equity Cash'!$G:$G,'Monthly BSE Equity Cash'!$A:$A,$A322))</f>
        <v/>
      </c>
      <c r="F322" s="4">
        <f>IF(OR(D322="",E322=""),"",D322+E322)</f>
        <v/>
      </c>
      <c r="G322" s="7">
        <f>IF(OR(D322="",D310=""),"",D322/D310-1)</f>
        <v/>
      </c>
      <c r="H322" s="7">
        <f>IF(OR(E322="",E310=""),"",E322/E310-1)</f>
        <v/>
      </c>
      <c r="I322" s="7">
        <f>IF(OR(F322="",F310=""),"",F322/F310-1)</f>
        <v/>
      </c>
      <c r="J322" s="7">
        <f>IF(OR(D322="",D321=""),"",D322/D321-1)</f>
        <v/>
      </c>
      <c r="K322" s="7">
        <f>IF(OR(E322="",E321=""),"",E322/E321-1)</f>
        <v/>
      </c>
      <c r="L322" s="7">
        <f>IF(OR(F322="",F321=""),"",F322/F321-1)</f>
        <v/>
      </c>
      <c r="M322" s="7">
        <f>IF(F322="","",D322/F322)</f>
        <v/>
      </c>
      <c r="N322" s="7">
        <f>IF(F322="","",E322/F322)</f>
        <v/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/>
      </c>
      <c r="E323" s="4">
        <f>IF(SUMIFS('Monthly BSE Equity Cash'!$G:$G,'Monthly BSE Equity Cash'!$A:$A,$A323)=0,"",SUMIFS('Monthly BSE Equity Cash'!$G:$G,'Monthly BSE Equity Cash'!$A:$A,$A323))</f>
        <v/>
      </c>
      <c r="F323" s="4">
        <f>IF(OR(D323="",E323=""),"",D323+E323)</f>
        <v/>
      </c>
      <c r="G323" s="7">
        <f>IF(OR(D323="",D311=""),"",D323/D311-1)</f>
        <v/>
      </c>
      <c r="H323" s="7">
        <f>IF(OR(E323="",E311=""),"",E323/E311-1)</f>
        <v/>
      </c>
      <c r="I323" s="7">
        <f>IF(OR(F323="",F311=""),"",F323/F311-1)</f>
        <v/>
      </c>
      <c r="J323" s="7">
        <f>IF(OR(D323="",D322=""),"",D323/D322-1)</f>
        <v/>
      </c>
      <c r="K323" s="7">
        <f>IF(OR(E323="",E322=""),"",E323/E322-1)</f>
        <v/>
      </c>
      <c r="L323" s="7">
        <f>IF(OR(F323="",F322=""),"",F323/F322-1)</f>
        <v/>
      </c>
      <c r="M323" s="7">
        <f>IF(F323="","",D323/F323)</f>
        <v/>
      </c>
      <c r="N323" s="7">
        <f>IF(F323="","",E323/F323)</f>
        <v/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/>
      </c>
      <c r="E324" s="4">
        <f>IF(SUMIFS('Monthly BSE Equity Cash'!$G:$G,'Monthly BSE Equity Cash'!$A:$A,$A324)=0,"",SUMIFS('Monthly BSE Equity Cash'!$G:$G,'Monthly BSE Equity Cash'!$A:$A,$A324))</f>
        <v/>
      </c>
      <c r="F324" s="4">
        <f>IF(OR(D324="",E324=""),"",D324+E324)</f>
        <v/>
      </c>
      <c r="G324" s="7">
        <f>IF(OR(D324="",D312=""),"",D324/D312-1)</f>
        <v/>
      </c>
      <c r="H324" s="7">
        <f>IF(OR(E324="",E312=""),"",E324/E312-1)</f>
        <v/>
      </c>
      <c r="I324" s="7">
        <f>IF(OR(F324="",F312=""),"",F324/F312-1)</f>
        <v/>
      </c>
      <c r="J324" s="7">
        <f>IF(OR(D324="",D323=""),"",D324/D323-1)</f>
        <v/>
      </c>
      <c r="K324" s="7">
        <f>IF(OR(E324="",E323=""),"",E324/E323-1)</f>
        <v/>
      </c>
      <c r="L324" s="7">
        <f>IF(OR(F324="",F323=""),"",F324/F323-1)</f>
        <v/>
      </c>
      <c r="M324" s="7">
        <f>IF(F324="","",D324/F324)</f>
        <v/>
      </c>
      <c r="N324" s="7">
        <f>IF(F324="","",E324/F324)</f>
        <v/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/>
      </c>
      <c r="E325" s="4">
        <f>IF(SUMIFS('Monthly BSE Equity Cash'!$G:$G,'Monthly BSE Equity Cash'!$A:$A,$A325)=0,"",SUMIFS('Monthly BSE Equity Cash'!$G:$G,'Monthly BSE Equity Cash'!$A:$A,$A325))</f>
        <v/>
      </c>
      <c r="F325" s="4">
        <f>IF(OR(D325="",E325=""),"",D325+E325)</f>
        <v/>
      </c>
      <c r="G325" s="7">
        <f>IF(OR(D325="",D313=""),"",D325/D313-1)</f>
        <v/>
      </c>
      <c r="H325" s="7">
        <f>IF(OR(E325="",E313=""),"",E325/E313-1)</f>
        <v/>
      </c>
      <c r="I325" s="7">
        <f>IF(OR(F325="",F313=""),"",F325/F313-1)</f>
        <v/>
      </c>
      <c r="J325" s="7">
        <f>IF(OR(D325="",D324=""),"",D325/D324-1)</f>
        <v/>
      </c>
      <c r="K325" s="7">
        <f>IF(OR(E325="",E324=""),"",E325/E324-1)</f>
        <v/>
      </c>
      <c r="L325" s="7">
        <f>IF(OR(F325="",F324=""),"",F325/F324-1)</f>
        <v/>
      </c>
      <c r="M325" s="7">
        <f>IF(F325="","",D325/F325)</f>
        <v/>
      </c>
      <c r="N325" s="7">
        <f>IF(F325="","",E325/F325)</f>
        <v/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/>
      </c>
      <c r="E326" s="4">
        <f>IF(SUMIFS('Monthly BSE Equity Cash'!$G:$G,'Monthly BSE Equity Cash'!$A:$A,$A326)=0,"",SUMIFS('Monthly BSE Equity Cash'!$G:$G,'Monthly BSE Equity Cash'!$A:$A,$A326))</f>
        <v/>
      </c>
      <c r="F326" s="4">
        <f>IF(OR(D326="",E326=""),"",D326+E326)</f>
        <v/>
      </c>
      <c r="G326" s="7">
        <f>IF(OR(D326="",D314=""),"",D326/D314-1)</f>
        <v/>
      </c>
      <c r="H326" s="7">
        <f>IF(OR(E326="",E314=""),"",E326/E314-1)</f>
        <v/>
      </c>
      <c r="I326" s="7">
        <f>IF(OR(F326="",F314=""),"",F326/F314-1)</f>
        <v/>
      </c>
      <c r="J326" s="7">
        <f>IF(OR(D326="",D325=""),"",D326/D325-1)</f>
        <v/>
      </c>
      <c r="K326" s="7">
        <f>IF(OR(E326="",E325=""),"",E326/E325-1)</f>
        <v/>
      </c>
      <c r="L326" s="7">
        <f>IF(OR(F326="",F325=""),"",F326/F325-1)</f>
        <v/>
      </c>
      <c r="M326" s="7">
        <f>IF(F326="","",D326/F326)</f>
        <v/>
      </c>
      <c r="N326" s="7">
        <f>IF(F326="","",E326/F326)</f>
        <v/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/>
      </c>
      <c r="E327" s="4">
        <f>IF(SUMIFS('Monthly BSE Equity Cash'!$G:$G,'Monthly BSE Equity Cash'!$A:$A,$A327)=0,"",SUMIFS('Monthly BSE Equity Cash'!$G:$G,'Monthly BSE Equity Cash'!$A:$A,$A327))</f>
        <v/>
      </c>
      <c r="F327" s="4">
        <f>IF(OR(D327="",E327=""),"",D327+E327)</f>
        <v/>
      </c>
      <c r="G327" s="7">
        <f>IF(OR(D327="",D315=""),"",D327/D315-1)</f>
        <v/>
      </c>
      <c r="H327" s="7">
        <f>IF(OR(E327="",E315=""),"",E327/E315-1)</f>
        <v/>
      </c>
      <c r="I327" s="7">
        <f>IF(OR(F327="",F315=""),"",F327/F315-1)</f>
        <v/>
      </c>
      <c r="J327" s="7">
        <f>IF(OR(D327="",D326=""),"",D327/D326-1)</f>
        <v/>
      </c>
      <c r="K327" s="7">
        <f>IF(OR(E327="",E326=""),"",E327/E326-1)</f>
        <v/>
      </c>
      <c r="L327" s="7">
        <f>IF(OR(F327="",F326=""),"",F327/F326-1)</f>
        <v/>
      </c>
      <c r="M327" s="7">
        <f>IF(F327="","",D327/F327)</f>
        <v/>
      </c>
      <c r="N327" s="7">
        <f>IF(F327="","",E327/F327)</f>
        <v/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/>
      </c>
      <c r="E328" s="4">
        <f>IF(SUMIFS('Monthly BSE Equity Cash'!$G:$G,'Monthly BSE Equity Cash'!$A:$A,$A328)=0,"",SUMIFS('Monthly BSE Equity Cash'!$G:$G,'Monthly BSE Equity Cash'!$A:$A,$A328))</f>
        <v/>
      </c>
      <c r="F328" s="4">
        <f>IF(OR(D328="",E328=""),"",D328+E328)</f>
        <v/>
      </c>
      <c r="G328" s="7">
        <f>IF(OR(D328="",D316=""),"",D328/D316-1)</f>
        <v/>
      </c>
      <c r="H328" s="7">
        <f>IF(OR(E328="",E316=""),"",E328/E316-1)</f>
        <v/>
      </c>
      <c r="I328" s="7">
        <f>IF(OR(F328="",F316=""),"",F328/F316-1)</f>
        <v/>
      </c>
      <c r="J328" s="7">
        <f>IF(OR(D328="",D327=""),"",D328/D327-1)</f>
        <v/>
      </c>
      <c r="K328" s="7">
        <f>IF(OR(E328="",E327=""),"",E328/E327-1)</f>
        <v/>
      </c>
      <c r="L328" s="7">
        <f>IF(OR(F328="",F327=""),"",F328/F327-1)</f>
        <v/>
      </c>
      <c r="M328" s="7">
        <f>IF(F328="","",D328/F328)</f>
        <v/>
      </c>
      <c r="N328" s="7">
        <f>IF(F328="","",E328/F328)</f>
        <v/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/>
      </c>
      <c r="E329" s="4">
        <f>IF(SUMIFS('Monthly BSE Equity Cash'!$G:$G,'Monthly BSE Equity Cash'!$A:$A,$A329)=0,"",SUMIFS('Monthly BSE Equity Cash'!$G:$G,'Monthly BSE Equity Cash'!$A:$A,$A329))</f>
        <v/>
      </c>
      <c r="F329" s="4">
        <f>IF(OR(D329="",E329=""),"",D329+E329)</f>
        <v/>
      </c>
      <c r="G329" s="7">
        <f>IF(OR(D329="",D317=""),"",D329/D317-1)</f>
        <v/>
      </c>
      <c r="H329" s="7">
        <f>IF(OR(E329="",E317=""),"",E329/E317-1)</f>
        <v/>
      </c>
      <c r="I329" s="7">
        <f>IF(OR(F329="",F317=""),"",F329/F317-1)</f>
        <v/>
      </c>
      <c r="J329" s="7">
        <f>IF(OR(D329="",D328=""),"",D329/D328-1)</f>
        <v/>
      </c>
      <c r="K329" s="7">
        <f>IF(OR(E329="",E328=""),"",E329/E328-1)</f>
        <v/>
      </c>
      <c r="L329" s="7">
        <f>IF(OR(F329="",F328=""),"",F329/F328-1)</f>
        <v/>
      </c>
      <c r="M329" s="7">
        <f>IF(F329="","",D329/F329)</f>
        <v/>
      </c>
      <c r="N329" s="7">
        <f>IF(F329="","",E329/F329)</f>
        <v/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/>
      </c>
      <c r="E330" s="4">
        <f>IF(SUMIFS('Monthly BSE Equity Cash'!$G:$G,'Monthly BSE Equity Cash'!$A:$A,$A330)=0,"",SUMIFS('Monthly BSE Equity Cash'!$G:$G,'Monthly BSE Equity Cash'!$A:$A,$A330))</f>
        <v/>
      </c>
      <c r="F330" s="4">
        <f>IF(OR(D330="",E330=""),"",D330+E330)</f>
        <v/>
      </c>
      <c r="G330" s="7">
        <f>IF(OR(D330="",D318=""),"",D330/D318-1)</f>
        <v/>
      </c>
      <c r="H330" s="7">
        <f>IF(OR(E330="",E318=""),"",E330/E318-1)</f>
        <v/>
      </c>
      <c r="I330" s="7">
        <f>IF(OR(F330="",F318=""),"",F330/F318-1)</f>
        <v/>
      </c>
      <c r="J330" s="7">
        <f>IF(OR(D330="",D329=""),"",D330/D329-1)</f>
        <v/>
      </c>
      <c r="K330" s="7">
        <f>IF(OR(E330="",E329=""),"",E330/E329-1)</f>
        <v/>
      </c>
      <c r="L330" s="7">
        <f>IF(OR(F330="",F329=""),"",F330/F329-1)</f>
        <v/>
      </c>
      <c r="M330" s="7">
        <f>IF(F330="","",D330/F330)</f>
        <v/>
      </c>
      <c r="N330" s="7">
        <f>IF(F330="","",E330/F330)</f>
        <v/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/>
      </c>
      <c r="E331" s="4">
        <f>IF(SUMIFS('Monthly BSE Equity Cash'!$G:$G,'Monthly BSE Equity Cash'!$A:$A,$A331)=0,"",SUMIFS('Monthly BSE Equity Cash'!$G:$G,'Monthly BSE Equity Cash'!$A:$A,$A331))</f>
        <v/>
      </c>
      <c r="F331" s="4">
        <f>IF(OR(D331="",E331=""),"",D331+E331)</f>
        <v/>
      </c>
      <c r="G331" s="7">
        <f>IF(OR(D331="",D319=""),"",D331/D319-1)</f>
        <v/>
      </c>
      <c r="H331" s="7">
        <f>IF(OR(E331="",E319=""),"",E331/E319-1)</f>
        <v/>
      </c>
      <c r="I331" s="7">
        <f>IF(OR(F331="",F319=""),"",F331/F319-1)</f>
        <v/>
      </c>
      <c r="J331" s="7">
        <f>IF(OR(D331="",D330=""),"",D331/D330-1)</f>
        <v/>
      </c>
      <c r="K331" s="7">
        <f>IF(OR(E331="",E330=""),"",E331/E330-1)</f>
        <v/>
      </c>
      <c r="L331" s="7">
        <f>IF(OR(F331="",F330=""),"",F331/F330-1)</f>
        <v/>
      </c>
      <c r="M331" s="7">
        <f>IF(F331="","",D331/F331)</f>
        <v/>
      </c>
      <c r="N331" s="7">
        <f>IF(F331="","",E331/F331)</f>
        <v/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/>
      </c>
      <c r="E332" s="4">
        <f>IF(SUMIFS('Monthly BSE Equity Cash'!$G:$G,'Monthly BSE Equity Cash'!$A:$A,$A332)=0,"",SUMIFS('Monthly BSE Equity Cash'!$G:$G,'Monthly BSE Equity Cash'!$A:$A,$A332))</f>
        <v/>
      </c>
      <c r="F332" s="4">
        <f>IF(OR(D332="",E332=""),"",D332+E332)</f>
        <v/>
      </c>
      <c r="G332" s="7">
        <f>IF(OR(D332="",D320=""),"",D332/D320-1)</f>
        <v/>
      </c>
      <c r="H332" s="7">
        <f>IF(OR(E332="",E320=""),"",E332/E320-1)</f>
        <v/>
      </c>
      <c r="I332" s="7">
        <f>IF(OR(F332="",F320=""),"",F332/F320-1)</f>
        <v/>
      </c>
      <c r="J332" s="7">
        <f>IF(OR(D332="",D331=""),"",D332/D331-1)</f>
        <v/>
      </c>
      <c r="K332" s="7">
        <f>IF(OR(E332="",E331=""),"",E332/E331-1)</f>
        <v/>
      </c>
      <c r="L332" s="7">
        <f>IF(OR(F332="",F331=""),"",F332/F331-1)</f>
        <v/>
      </c>
      <c r="M332" s="7">
        <f>IF(F332="","",D332/F332)</f>
        <v/>
      </c>
      <c r="N332" s="7">
        <f>IF(F332="","",E332/F332)</f>
        <v/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/>
      </c>
      <c r="E333" s="4">
        <f>IF(SUMIFS('Monthly BSE Equity Cash'!$G:$G,'Monthly BSE Equity Cash'!$A:$A,$A333)=0,"",SUMIFS('Monthly BSE Equity Cash'!$G:$G,'Monthly BSE Equity Cash'!$A:$A,$A333))</f>
        <v/>
      </c>
      <c r="F333" s="4">
        <f>IF(OR(D333="",E333=""),"",D333+E333)</f>
        <v/>
      </c>
      <c r="G333" s="7">
        <f>IF(OR(D333="",D321=""),"",D333/D321-1)</f>
        <v/>
      </c>
      <c r="H333" s="7">
        <f>IF(OR(E333="",E321=""),"",E333/E321-1)</f>
        <v/>
      </c>
      <c r="I333" s="7">
        <f>IF(OR(F333="",F321=""),"",F333/F321-1)</f>
        <v/>
      </c>
      <c r="J333" s="7">
        <f>IF(OR(D333="",D332=""),"",D333/D332-1)</f>
        <v/>
      </c>
      <c r="K333" s="7">
        <f>IF(OR(E333="",E332=""),"",E333/E332-1)</f>
        <v/>
      </c>
      <c r="L333" s="7">
        <f>IF(OR(F333="",F332=""),"",F333/F332-1)</f>
        <v/>
      </c>
      <c r="M333" s="7">
        <f>IF(F333="","",D333/F333)</f>
        <v/>
      </c>
      <c r="N333" s="7">
        <f>IF(F333="","",E333/F333)</f>
        <v/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/>
      </c>
      <c r="E334" s="4">
        <f>IF(SUMIFS('Monthly BSE Equity Cash'!$G:$G,'Monthly BSE Equity Cash'!$A:$A,$A334)=0,"",SUMIFS('Monthly BSE Equity Cash'!$G:$G,'Monthly BSE Equity Cash'!$A:$A,$A334))</f>
        <v/>
      </c>
      <c r="F334" s="4">
        <f>IF(OR(D334="",E334=""),"",D334+E334)</f>
        <v/>
      </c>
      <c r="G334" s="7">
        <f>IF(OR(D334="",D322=""),"",D334/D322-1)</f>
        <v/>
      </c>
      <c r="H334" s="7">
        <f>IF(OR(E334="",E322=""),"",E334/E322-1)</f>
        <v/>
      </c>
      <c r="I334" s="7">
        <f>IF(OR(F334="",F322=""),"",F334/F322-1)</f>
        <v/>
      </c>
      <c r="J334" s="7">
        <f>IF(OR(D334="",D333=""),"",D334/D333-1)</f>
        <v/>
      </c>
      <c r="K334" s="7">
        <f>IF(OR(E334="",E333=""),"",E334/E333-1)</f>
        <v/>
      </c>
      <c r="L334" s="7">
        <f>IF(OR(F334="",F333=""),"",F334/F333-1)</f>
        <v/>
      </c>
      <c r="M334" s="7">
        <f>IF(F334="","",D334/F334)</f>
        <v/>
      </c>
      <c r="N334" s="7">
        <f>IF(F334="","",E334/F334)</f>
        <v/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/>
      </c>
      <c r="E335" s="4">
        <f>IF(SUMIFS('Monthly BSE Equity Cash'!$G:$G,'Monthly BSE Equity Cash'!$A:$A,$A335)=0,"",SUMIFS('Monthly BSE Equity Cash'!$G:$G,'Monthly BSE Equity Cash'!$A:$A,$A335))</f>
        <v/>
      </c>
      <c r="F335" s="4">
        <f>IF(OR(D335="",E335=""),"",D335+E335)</f>
        <v/>
      </c>
      <c r="G335" s="7">
        <f>IF(OR(D335="",D323=""),"",D335/D323-1)</f>
        <v/>
      </c>
      <c r="H335" s="7">
        <f>IF(OR(E335="",E323=""),"",E335/E323-1)</f>
        <v/>
      </c>
      <c r="I335" s="7">
        <f>IF(OR(F335="",F323=""),"",F335/F323-1)</f>
        <v/>
      </c>
      <c r="J335" s="7">
        <f>IF(OR(D335="",D334=""),"",D335/D334-1)</f>
        <v/>
      </c>
      <c r="K335" s="7">
        <f>IF(OR(E335="",E334=""),"",E335/E334-1)</f>
        <v/>
      </c>
      <c r="L335" s="7">
        <f>IF(OR(F335="",F334=""),"",F335/F334-1)</f>
        <v/>
      </c>
      <c r="M335" s="7">
        <f>IF(F335="","",D335/F335)</f>
        <v/>
      </c>
      <c r="N335" s="7">
        <f>IF(F335="","",E335/F335)</f>
        <v/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/>
      </c>
      <c r="E336" s="4">
        <f>IF(SUMIFS('Monthly BSE Equity Cash'!$G:$G,'Monthly BSE Equity Cash'!$A:$A,$A336)=0,"",SUMIFS('Monthly BSE Equity Cash'!$G:$G,'Monthly BSE Equity Cash'!$A:$A,$A336))</f>
        <v/>
      </c>
      <c r="F336" s="4">
        <f>IF(OR(D336="",E336=""),"",D336+E336)</f>
        <v/>
      </c>
      <c r="G336" s="7">
        <f>IF(OR(D336="",D324=""),"",D336/D324-1)</f>
        <v/>
      </c>
      <c r="H336" s="7">
        <f>IF(OR(E336="",E324=""),"",E336/E324-1)</f>
        <v/>
      </c>
      <c r="I336" s="7">
        <f>IF(OR(F336="",F324=""),"",F336/F324-1)</f>
        <v/>
      </c>
      <c r="J336" s="7">
        <f>IF(OR(D336="",D335=""),"",D336/D335-1)</f>
        <v/>
      </c>
      <c r="K336" s="7">
        <f>IF(OR(E336="",E335=""),"",E336/E335-1)</f>
        <v/>
      </c>
      <c r="L336" s="7">
        <f>IF(OR(F336="",F335=""),"",F336/F335-1)</f>
        <v/>
      </c>
      <c r="M336" s="7">
        <f>IF(F336="","",D336/F336)</f>
        <v/>
      </c>
      <c r="N336" s="7">
        <f>IF(F336="","",E336/F336)</f>
        <v/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/>
      </c>
      <c r="E337" s="4">
        <f>IF(SUMIFS('Monthly BSE Equity Cash'!$G:$G,'Monthly BSE Equity Cash'!$A:$A,$A337)=0,"",SUMIFS('Monthly BSE Equity Cash'!$G:$G,'Monthly BSE Equity Cash'!$A:$A,$A337))</f>
        <v/>
      </c>
      <c r="F337" s="4">
        <f>IF(OR(D337="",E337=""),"",D337+E337)</f>
        <v/>
      </c>
      <c r="G337" s="7">
        <f>IF(OR(D337="",D325=""),"",D337/D325-1)</f>
        <v/>
      </c>
      <c r="H337" s="7">
        <f>IF(OR(E337="",E325=""),"",E337/E325-1)</f>
        <v/>
      </c>
      <c r="I337" s="7">
        <f>IF(OR(F337="",F325=""),"",F337/F325-1)</f>
        <v/>
      </c>
      <c r="J337" s="7">
        <f>IF(OR(D337="",D336=""),"",D337/D336-1)</f>
        <v/>
      </c>
      <c r="K337" s="7">
        <f>IF(OR(E337="",E336=""),"",E337/E336-1)</f>
        <v/>
      </c>
      <c r="L337" s="7">
        <f>IF(OR(F337="",F336=""),"",F337/F336-1)</f>
        <v/>
      </c>
      <c r="M337" s="7">
        <f>IF(F337="","",D337/F337)</f>
        <v/>
      </c>
      <c r="N337" s="7">
        <f>IF(F337="","",E337/F337)</f>
        <v/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/>
      </c>
      <c r="E338" s="4">
        <f>IF(SUMIFS('Monthly BSE Equity Cash'!$G:$G,'Monthly BSE Equity Cash'!$A:$A,$A338)=0,"",SUMIFS('Monthly BSE Equity Cash'!$G:$G,'Monthly BSE Equity Cash'!$A:$A,$A338))</f>
        <v/>
      </c>
      <c r="F338" s="4">
        <f>IF(OR(D338="",E338=""),"",D338+E338)</f>
        <v/>
      </c>
      <c r="G338" s="7">
        <f>IF(OR(D338="",D326=""),"",D338/D326-1)</f>
        <v/>
      </c>
      <c r="H338" s="7">
        <f>IF(OR(E338="",E326=""),"",E338/E326-1)</f>
        <v/>
      </c>
      <c r="I338" s="7">
        <f>IF(OR(F338="",F326=""),"",F338/F326-1)</f>
        <v/>
      </c>
      <c r="J338" s="7">
        <f>IF(OR(D338="",D337=""),"",D338/D337-1)</f>
        <v/>
      </c>
      <c r="K338" s="7">
        <f>IF(OR(E338="",E337=""),"",E338/E337-1)</f>
        <v/>
      </c>
      <c r="L338" s="7">
        <f>IF(OR(F338="",F337=""),"",F338/F337-1)</f>
        <v/>
      </c>
      <c r="M338" s="7">
        <f>IF(F338="","",D338/F338)</f>
        <v/>
      </c>
      <c r="N338" s="7">
        <f>IF(F338="","",E338/F338)</f>
        <v/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/>
      </c>
      <c r="E339" s="4">
        <f>IF(SUMIFS('Monthly BSE Equity Cash'!$G:$G,'Monthly BSE Equity Cash'!$A:$A,$A339)=0,"",SUMIFS('Monthly BSE Equity Cash'!$G:$G,'Monthly BSE Equity Cash'!$A:$A,$A339))</f>
        <v/>
      </c>
      <c r="F339" s="4">
        <f>IF(OR(D339="",E339=""),"",D339+E339)</f>
        <v/>
      </c>
      <c r="G339" s="7">
        <f>IF(OR(D339="",D327=""),"",D339/D327-1)</f>
        <v/>
      </c>
      <c r="H339" s="7">
        <f>IF(OR(E339="",E327=""),"",E339/E327-1)</f>
        <v/>
      </c>
      <c r="I339" s="7">
        <f>IF(OR(F339="",F327=""),"",F339/F327-1)</f>
        <v/>
      </c>
      <c r="J339" s="7">
        <f>IF(OR(D339="",D338=""),"",D339/D338-1)</f>
        <v/>
      </c>
      <c r="K339" s="7">
        <f>IF(OR(E339="",E338=""),"",E339/E338-1)</f>
        <v/>
      </c>
      <c r="L339" s="7">
        <f>IF(OR(F339="",F338=""),"",F339/F338-1)</f>
        <v/>
      </c>
      <c r="M339" s="7">
        <f>IF(F339="","",D339/F339)</f>
        <v/>
      </c>
      <c r="N339" s="7">
        <f>IF(F339="","",E339/F339)</f>
        <v/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/>
      </c>
      <c r="E340" s="4">
        <f>IF(SUMIFS('Monthly BSE Equity Cash'!$G:$G,'Monthly BSE Equity Cash'!$A:$A,$A340)=0,"",SUMIFS('Monthly BSE Equity Cash'!$G:$G,'Monthly BSE Equity Cash'!$A:$A,$A340))</f>
        <v/>
      </c>
      <c r="F340" s="4">
        <f>IF(OR(D340="",E340=""),"",D340+E340)</f>
        <v/>
      </c>
      <c r="G340" s="7">
        <f>IF(OR(D340="",D328=""),"",D340/D328-1)</f>
        <v/>
      </c>
      <c r="H340" s="7">
        <f>IF(OR(E340="",E328=""),"",E340/E328-1)</f>
        <v/>
      </c>
      <c r="I340" s="7">
        <f>IF(OR(F340="",F328=""),"",F340/F328-1)</f>
        <v/>
      </c>
      <c r="J340" s="7">
        <f>IF(OR(D340="",D339=""),"",D340/D339-1)</f>
        <v/>
      </c>
      <c r="K340" s="7">
        <f>IF(OR(E340="",E339=""),"",E340/E339-1)</f>
        <v/>
      </c>
      <c r="L340" s="7">
        <f>IF(OR(F340="",F339=""),"",F340/F339-1)</f>
        <v/>
      </c>
      <c r="M340" s="7">
        <f>IF(F340="","",D340/F340)</f>
        <v/>
      </c>
      <c r="N340" s="7">
        <f>IF(F340="","",E340/F340)</f>
        <v/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/>
      </c>
      <c r="E341" s="4">
        <f>IF(SUMIFS('Monthly BSE Equity Cash'!$G:$G,'Monthly BSE Equity Cash'!$A:$A,$A341)=0,"",SUMIFS('Monthly BSE Equity Cash'!$G:$G,'Monthly BSE Equity Cash'!$A:$A,$A341))</f>
        <v/>
      </c>
      <c r="F341" s="4">
        <f>IF(OR(D341="",E341=""),"",D341+E341)</f>
        <v/>
      </c>
      <c r="G341" s="7">
        <f>IF(OR(D341="",D329=""),"",D341/D329-1)</f>
        <v/>
      </c>
      <c r="H341" s="7">
        <f>IF(OR(E341="",E329=""),"",E341/E329-1)</f>
        <v/>
      </c>
      <c r="I341" s="7">
        <f>IF(OR(F341="",F329=""),"",F341/F329-1)</f>
        <v/>
      </c>
      <c r="J341" s="7">
        <f>IF(OR(D341="",D340=""),"",D341/D340-1)</f>
        <v/>
      </c>
      <c r="K341" s="7">
        <f>IF(OR(E341="",E340=""),"",E341/E340-1)</f>
        <v/>
      </c>
      <c r="L341" s="7">
        <f>IF(OR(F341="",F340=""),"",F341/F340-1)</f>
        <v/>
      </c>
      <c r="M341" s="7">
        <f>IF(F341="","",D341/F341)</f>
        <v/>
      </c>
      <c r="N341" s="7">
        <f>IF(F341="","",E341/F341)</f>
        <v/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/>
      </c>
      <c r="E342" s="4">
        <f>IF(SUMIFS('Monthly BSE Equity Cash'!$G:$G,'Monthly BSE Equity Cash'!$A:$A,$A342)=0,"",SUMIFS('Monthly BSE Equity Cash'!$G:$G,'Monthly BSE Equity Cash'!$A:$A,$A342))</f>
        <v/>
      </c>
      <c r="F342" s="4">
        <f>IF(OR(D342="",E342=""),"",D342+E342)</f>
        <v/>
      </c>
      <c r="G342" s="7">
        <f>IF(OR(D342="",D330=""),"",D342/D330-1)</f>
        <v/>
      </c>
      <c r="H342" s="7">
        <f>IF(OR(E342="",E330=""),"",E342/E330-1)</f>
        <v/>
      </c>
      <c r="I342" s="7">
        <f>IF(OR(F342="",F330=""),"",F342/F330-1)</f>
        <v/>
      </c>
      <c r="J342" s="7">
        <f>IF(OR(D342="",D341=""),"",D342/D341-1)</f>
        <v/>
      </c>
      <c r="K342" s="7">
        <f>IF(OR(E342="",E341=""),"",E342/E341-1)</f>
        <v/>
      </c>
      <c r="L342" s="7">
        <f>IF(OR(F342="",F341=""),"",F342/F341-1)</f>
        <v/>
      </c>
      <c r="M342" s="7">
        <f>IF(F342="","",D342/F342)</f>
        <v/>
      </c>
      <c r="N342" s="7">
        <f>IF(F342="","",E342/F342)</f>
        <v/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/>
      </c>
      <c r="E343" s="4">
        <f>IF(SUMIFS('Monthly BSE Equity Cash'!$G:$G,'Monthly BSE Equity Cash'!$A:$A,$A343)=0,"",SUMIFS('Monthly BSE Equity Cash'!$G:$G,'Monthly BSE Equity Cash'!$A:$A,$A343))</f>
        <v/>
      </c>
      <c r="F343" s="4">
        <f>IF(OR(D343="",E343=""),"",D343+E343)</f>
        <v/>
      </c>
      <c r="G343" s="7">
        <f>IF(OR(D343="",D331=""),"",D343/D331-1)</f>
        <v/>
      </c>
      <c r="H343" s="7">
        <f>IF(OR(E343="",E331=""),"",E343/E331-1)</f>
        <v/>
      </c>
      <c r="I343" s="7">
        <f>IF(OR(F343="",F331=""),"",F343/F331-1)</f>
        <v/>
      </c>
      <c r="J343" s="7">
        <f>IF(OR(D343="",D342=""),"",D343/D342-1)</f>
        <v/>
      </c>
      <c r="K343" s="7">
        <f>IF(OR(E343="",E342=""),"",E343/E342-1)</f>
        <v/>
      </c>
      <c r="L343" s="7">
        <f>IF(OR(F343="",F342=""),"",F343/F342-1)</f>
        <v/>
      </c>
      <c r="M343" s="7">
        <f>IF(F343="","",D343/F343)</f>
        <v/>
      </c>
      <c r="N343" s="7">
        <f>IF(F343="","",E343/F343)</f>
        <v/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/>
      </c>
      <c r="E344" s="4">
        <f>IF(SUMIFS('Monthly BSE Equity Cash'!$G:$G,'Monthly BSE Equity Cash'!$A:$A,$A344)=0,"",SUMIFS('Monthly BSE Equity Cash'!$G:$G,'Monthly BSE Equity Cash'!$A:$A,$A344))</f>
        <v/>
      </c>
      <c r="F344" s="4">
        <f>IF(OR(D344="",E344=""),"",D344+E344)</f>
        <v/>
      </c>
      <c r="G344" s="7">
        <f>IF(OR(D344="",D332=""),"",D344/D332-1)</f>
        <v/>
      </c>
      <c r="H344" s="7">
        <f>IF(OR(E344="",E332=""),"",E344/E332-1)</f>
        <v/>
      </c>
      <c r="I344" s="7">
        <f>IF(OR(F344="",F332=""),"",F344/F332-1)</f>
        <v/>
      </c>
      <c r="J344" s="7">
        <f>IF(OR(D344="",D343=""),"",D344/D343-1)</f>
        <v/>
      </c>
      <c r="K344" s="7">
        <f>IF(OR(E344="",E343=""),"",E344/E343-1)</f>
        <v/>
      </c>
      <c r="L344" s="7">
        <f>IF(OR(F344="",F343=""),"",F344/F343-1)</f>
        <v/>
      </c>
      <c r="M344" s="7">
        <f>IF(F344="","",D344/F344)</f>
        <v/>
      </c>
      <c r="N344" s="7">
        <f>IF(F344="","",E344/F344)</f>
        <v/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/>
      </c>
      <c r="E345" s="4">
        <f>IF(SUMIFS('Monthly BSE Equity Cash'!$G:$G,'Monthly BSE Equity Cash'!$A:$A,$A345)=0,"",SUMIFS('Monthly BSE Equity Cash'!$G:$G,'Monthly BSE Equity Cash'!$A:$A,$A345))</f>
        <v/>
      </c>
      <c r="F345" s="4">
        <f>IF(OR(D345="",E345=""),"",D345+E345)</f>
        <v/>
      </c>
      <c r="G345" s="7">
        <f>IF(OR(D345="",D333=""),"",D345/D333-1)</f>
        <v/>
      </c>
      <c r="H345" s="7">
        <f>IF(OR(E345="",E333=""),"",E345/E333-1)</f>
        <v/>
      </c>
      <c r="I345" s="7">
        <f>IF(OR(F345="",F333=""),"",F345/F333-1)</f>
        <v/>
      </c>
      <c r="J345" s="7">
        <f>IF(OR(D345="",D344=""),"",D345/D344-1)</f>
        <v/>
      </c>
      <c r="K345" s="7">
        <f>IF(OR(E345="",E344=""),"",E345/E344-1)</f>
        <v/>
      </c>
      <c r="L345" s="7">
        <f>IF(OR(F345="",F344=""),"",F345/F344-1)</f>
        <v/>
      </c>
      <c r="M345" s="7">
        <f>IF(F345="","",D345/F345)</f>
        <v/>
      </c>
      <c r="N345" s="7">
        <f>IF(F345="","",E345/F345)</f>
        <v/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/>
      </c>
      <c r="E346" s="4">
        <f>IF(SUMIFS('Monthly BSE Equity Cash'!$G:$G,'Monthly BSE Equity Cash'!$A:$A,$A346)=0,"",SUMIFS('Monthly BSE Equity Cash'!$G:$G,'Monthly BSE Equity Cash'!$A:$A,$A346))</f>
        <v/>
      </c>
      <c r="F346" s="4">
        <f>IF(OR(D346="",E346=""),"",D346+E346)</f>
        <v/>
      </c>
      <c r="G346" s="7">
        <f>IF(OR(D346="",D334=""),"",D346/D334-1)</f>
        <v/>
      </c>
      <c r="H346" s="7">
        <f>IF(OR(E346="",E334=""),"",E346/E334-1)</f>
        <v/>
      </c>
      <c r="I346" s="7">
        <f>IF(OR(F346="",F334=""),"",F346/F334-1)</f>
        <v/>
      </c>
      <c r="J346" s="7">
        <f>IF(OR(D346="",D345=""),"",D346/D345-1)</f>
        <v/>
      </c>
      <c r="K346" s="7">
        <f>IF(OR(E346="",E345=""),"",E346/E345-1)</f>
        <v/>
      </c>
      <c r="L346" s="7">
        <f>IF(OR(F346="",F345=""),"",F346/F345-1)</f>
        <v/>
      </c>
      <c r="M346" s="7">
        <f>IF(F346="","",D346/F346)</f>
        <v/>
      </c>
      <c r="N346" s="7">
        <f>IF(F346="","",E346/F346)</f>
        <v/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4">
        <f>IF(MAX(SUMIFS('Monthly NSE Equity Cash'!$K:$K,'Monthly NSE Equity Cash'!$A:$A,$A347),SUMIFS('Daily NSE Equity Cash'!$H:$H,'Daily NSE Equity Cash'!$C:$C,$A347))=0,"",MAX(SUMIFS('Monthly NSE Equity Cash'!$K:$K,'Monthly NSE Equity Cash'!$A:$A,$A347),SUMIFS('Daily NSE Equity Cash'!$H:$H,'Daily NSE Equity Cash'!$C:$C,$A347)))</f>
        <v/>
      </c>
      <c r="E347" s="4">
        <f>IF(SUMIFS('Monthly BSE Equity Cash'!$G:$G,'Monthly BSE Equity Cash'!$A:$A,$A347)=0,"",SUMIFS('Monthly BSE Equity Cash'!$G:$G,'Monthly BSE Equity Cash'!$A:$A,$A347))</f>
        <v/>
      </c>
      <c r="F347" s="4">
        <f>IF(OR(D347="",E347=""),"",D347+E347)</f>
        <v/>
      </c>
      <c r="G347" s="7">
        <f>IF(OR(D347="",D335=""),"",D347/D335-1)</f>
        <v/>
      </c>
      <c r="H347" s="7">
        <f>IF(OR(E347="",E335=""),"",E347/E335-1)</f>
        <v/>
      </c>
      <c r="I347" s="7">
        <f>IF(OR(F347="",F335=""),"",F347/F335-1)</f>
        <v/>
      </c>
      <c r="J347" s="7">
        <f>IF(OR(D347="",D346=""),"",D347/D346-1)</f>
        <v/>
      </c>
      <c r="K347" s="7">
        <f>IF(OR(E347="",E346=""),"",E347/E346-1)</f>
        <v/>
      </c>
      <c r="L347" s="7">
        <f>IF(OR(F347="",F346=""),"",F347/F346-1)</f>
        <v/>
      </c>
      <c r="M347" s="7">
        <f>IF(F347="","",D347/F347)</f>
        <v/>
      </c>
      <c r="N347" s="7">
        <f>IF(F347="","",E347/F347)</f>
        <v/>
      </c>
    </row>
    <row r="349">
      <c r="A349" s="1" t="inlineStr">
        <is>
          <t>MTD Comparison - Aug-2026 MTD vs Aug-2025 MTD (same number of trading days)</t>
        </is>
      </c>
    </row>
    <row r="350">
      <c r="A350" s="2" t="inlineStr">
        <is>
          <t>Trading days elapsed in Aug-2026 (per NSE daily)</t>
        </is>
      </c>
      <c r="B350" s="3">
        <f>COUNTIF('Daily NSE Equity Cash'!$A:$A,"&gt;="&amp;DATE(2026,8,1))</f>
        <v/>
      </c>
    </row>
    <row r="351">
      <c r="A351" s="2" t="inlineStr">
        <is>
          <t>Matched Aug-2025 window</t>
        </is>
      </c>
      <c r="B351" s="6">
        <f>DATE(2025,8,1)</f>
        <v/>
      </c>
      <c r="C351" s="6">
        <f>INDEX('Daily NSE Equity Cash'!$A:$A,COUNTIF('Daily NSE Equity Cash'!$A:$A,"&lt;"&amp;DATE(2025,8,1))+1+$B350)</f>
        <v/>
      </c>
    </row>
    <row r="352">
      <c r="D352" s="1" t="inlineStr">
        <is>
          <t>NSE Turnover (INR Bn)</t>
        </is>
      </c>
      <c r="E352" s="1" t="inlineStr">
        <is>
          <t>BSE Turnover (INR Bn)</t>
        </is>
      </c>
      <c r="F352" s="1" t="inlineStr">
        <is>
          <t>Total Turnover (INR Bn)</t>
        </is>
      </c>
      <c r="M352" s="1" t="inlineStr">
        <is>
          <t>NSE Market Share</t>
        </is>
      </c>
      <c r="N352" s="1" t="inlineStr">
        <is>
          <t>BSE Market Share</t>
        </is>
      </c>
    </row>
    <row r="353">
      <c r="A353" s="2" t="inlineStr">
        <is>
          <t>Aug-2025 MTD (first N trading days)</t>
        </is>
      </c>
      <c r="D353" s="4">
        <f>SUMIFS('Daily NSE Equity Cash'!$H:$H,'Daily NSE Equity Cash'!$A:$A,"&gt;="&amp;$B$351,'Daily NSE Equity Cash'!$A:$A,"&lt;="&amp;$C$351)</f>
        <v/>
      </c>
      <c r="E353" s="4">
        <f>SUMIFS('Daily BSE Equity Cash'!$H:$H,'Daily BSE Equity Cash'!$A:$A,"&gt;="&amp;$B$351,'Daily BSE Equity Cash'!$A:$A,"&lt;="&amp;$C$351)</f>
        <v/>
      </c>
      <c r="F353" s="4">
        <f>D353+E353</f>
        <v/>
      </c>
      <c r="M353" s="7">
        <f>IF(F353=0,"",D353/F353)</f>
        <v/>
      </c>
      <c r="N353" s="7">
        <f>IF(F353=0,"",E353/F353)</f>
        <v/>
      </c>
    </row>
    <row r="354">
      <c r="A354" s="2" t="inlineStr">
        <is>
          <t>Aug-2026 MTD</t>
        </is>
      </c>
      <c r="D354" s="4">
        <f>SUMIFS('Daily NSE Equity Cash'!$H:$H,'Daily NSE Equity Cash'!$A:$A,"&gt;="&amp;DATE(2026,8,1))</f>
        <v/>
      </c>
      <c r="E354" s="4">
        <f>SUMIFS('Daily BSE Equity Cash'!$H:$H,'Daily BSE Equity Cash'!$A:$A,"&gt;="&amp;DATE(2026,8,1))</f>
        <v/>
      </c>
      <c r="F354" s="4">
        <f>D354+E354</f>
        <v/>
      </c>
      <c r="M354" s="7">
        <f>IF(F354=0,"",D354/F354)</f>
        <v/>
      </c>
      <c r="N354" s="7">
        <f>IF(F354=0,"",E354/F354)</f>
        <v/>
      </c>
    </row>
    <row r="355">
      <c r="A355" s="1" t="inlineStr">
        <is>
          <t>MTD Growth (Aug-2026 vs Aug-2025)</t>
        </is>
      </c>
      <c r="D355" s="7">
        <f>IF(OR(D353=0,D353=""),"",D354/D353-1)</f>
        <v/>
      </c>
      <c r="E355" s="7">
        <f>IF(OR(E353=0,E353=""),"",E354/E353-1)</f>
        <v/>
      </c>
      <c r="F355" s="7">
        <f>IF(OR(F353=0,F353=""),"",F354/F353-1)</f>
        <v/>
      </c>
    </row>
  </sheetData>
  <conditionalFormatting sqref="M2:M34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4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2" customWidth="1" min="5" max="5"/>
    <col width="22" customWidth="1" min="6" max="6"/>
    <col width="22" customWidth="1" min="7" max="7"/>
    <col width="18" customWidth="1" min="8" max="8"/>
    <col width="18" customWidth="1" min="9" max="9"/>
    <col width="24" customWidth="1" min="10" max="10"/>
    <col width="18" customWidth="1" min="11" max="11"/>
    <col width="18" customWidth="1" min="12" max="12"/>
    <col width="24" customWidth="1" min="13" max="13"/>
    <col hidden="1" outlineLevel="1" width="16" customWidth="1" min="14" max="14"/>
    <col hidden="1" outlineLevel="1" width="16" customWidth="1" min="15" max="1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NSE Turnover (INR Bn)</t>
        </is>
      </c>
      <c r="F1" s="1" t="inlineStr">
        <is>
          <t>BSE Turnover (INR Bn)</t>
        </is>
      </c>
      <c r="G1" s="1" t="inlineStr">
        <is>
          <t>Total Turnover (INR Bn)</t>
        </is>
      </c>
      <c r="H1" s="1" t="inlineStr">
        <is>
          <t>NSE YoY Growth</t>
        </is>
      </c>
      <c r="I1" s="1" t="inlineStr">
        <is>
          <t>BSE YoY Growth</t>
        </is>
      </c>
      <c r="J1" s="1" t="inlineStr">
        <is>
          <t>Total Turnover YoY Growth</t>
        </is>
      </c>
      <c r="K1" s="1" t="inlineStr">
        <is>
          <t>NSE DoD Growth</t>
        </is>
      </c>
      <c r="L1" s="1" t="inlineStr">
        <is>
          <t>BSE DoD Growth</t>
        </is>
      </c>
      <c r="M1" s="1" t="inlineStr">
        <is>
          <t>Total Turnover DoD Growth</t>
        </is>
      </c>
      <c r="N1" s="1" t="inlineStr">
        <is>
          <t>NSE Market Share</t>
        </is>
      </c>
      <c r="O1" s="1" t="inlineStr">
        <is>
          <t>BSE Market Share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4">
        <f>IF(SUMIFS('Daily NSE Equity Cash'!$H:$H,'Daily NSE Equity Cash'!$A:$A,$A2)=0,"",SUMIFS('Daily NSE Equity Cash'!$H:$H,'Daily NSE Equity Cash'!$A:$A,$A2))</f>
        <v/>
      </c>
      <c r="F2" s="4">
        <f>IF(SUMIFS('Daily BSE Equity Cash'!$H:$H,'Daily BSE Equity Cash'!$A:$A,$A2)=0,"",SUMIFS('Daily BSE Equity Cash'!$H:$H,'Daily BSE Equity Cash'!$A:$A,$A2))</f>
        <v/>
      </c>
      <c r="G2" s="4">
        <f>IF(OR(E2="",F2=""),"",E2+F2)</f>
        <v/>
      </c>
      <c r="H2" s="7">
        <f>IFERROR(IF(OR(E2="",INDEX(E:E,MATCH(DATE(YEAR($A2)-1,MONTH($A2),DAY($A2)),$A:$A,0))=""),"",E2/INDEX(E:E,MATCH(DATE(YEAR($A2)-1,MONTH($A2),DAY($A2)),$A:$A,0))-1),"")</f>
        <v/>
      </c>
      <c r="I2" s="7">
        <f>IFERROR(IF(OR(F2="",INDEX(F:F,MATCH(DATE(YEAR($A2)-1,MONTH($A2),DAY($A2)),$A:$A,0))=""),"",F2/INDEX(F:F,MATCH(DATE(YEAR($A2)-1,MONTH($A2),DAY($A2)),$A:$A,0))-1),"")</f>
        <v/>
      </c>
      <c r="J2" s="7">
        <f>IFERROR(IF(OR(G2="",INDEX(G:G,MATCH(DATE(YEAR($A2)-1,MONTH($A2),DAY($A2)),$A:$A,0))=""),"",G2/INDEX(G:G,MATCH(DATE(YEAR($A2)-1,MONTH($A2),DAY($A2)),$A:$A,0))-1),"")</f>
        <v/>
      </c>
      <c r="K2" s="7" t="n"/>
      <c r="L2" s="7" t="n"/>
      <c r="M2" s="7" t="n"/>
      <c r="N2" s="7">
        <f>IF(G2="","",E2/G2)</f>
        <v/>
      </c>
      <c r="O2" s="7">
        <f>IF(G2="","",F2/G2)</f>
        <v/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4">
        <f>IF(SUMIFS('Daily NSE Equity Cash'!$H:$H,'Daily NSE Equity Cash'!$A:$A,$A3)=0,"",SUMIFS('Daily NSE Equity Cash'!$H:$H,'Daily NSE Equity Cash'!$A:$A,$A3))</f>
        <v/>
      </c>
      <c r="F3" s="4">
        <f>IF(SUMIFS('Daily BSE Equity Cash'!$H:$H,'Daily BSE Equity Cash'!$A:$A,$A3)=0,"",SUMIFS('Daily BSE Equity Cash'!$H:$H,'Daily BSE Equity Cash'!$A:$A,$A3))</f>
        <v/>
      </c>
      <c r="G3" s="4">
        <f>IF(OR(E3="",F3=""),"",E3+F3)</f>
        <v/>
      </c>
      <c r="H3" s="7">
        <f>IFERROR(IF(OR(E3="",INDEX(E:E,MATCH(DATE(YEAR($A3)-1,MONTH($A3),DAY($A3)),$A:$A,0))=""),"",E3/INDEX(E:E,MATCH(DATE(YEAR($A3)-1,MONTH($A3),DAY($A3)),$A:$A,0))-1),"")</f>
        <v/>
      </c>
      <c r="I3" s="7">
        <f>IFERROR(IF(OR(F3="",INDEX(F:F,MATCH(DATE(YEAR($A3)-1,MONTH($A3),DAY($A3)),$A:$A,0))=""),"",F3/INDEX(F:F,MATCH(DATE(YEAR($A3)-1,MONTH($A3),DAY($A3)),$A:$A,0))-1),"")</f>
        <v/>
      </c>
      <c r="J3" s="7">
        <f>IFERROR(IF(OR(G3="",INDEX(G:G,MATCH(DATE(YEAR($A3)-1,MONTH($A3),DAY($A3)),$A:$A,0))=""),"",G3/INDEX(G:G,MATCH(DATE(YEAR($A3)-1,MONTH($A3),DAY($A3)),$A:$A,0))-1),"")</f>
        <v/>
      </c>
      <c r="K3" s="7">
        <f>IF(OR(E3="",E2=""),"",E3/E2-1)</f>
        <v/>
      </c>
      <c r="L3" s="7">
        <f>IF(OR(F3="",F2=""),"",F3/F2-1)</f>
        <v/>
      </c>
      <c r="M3" s="7">
        <f>IF(OR(G3="",G2=""),"",G3/G2-1)</f>
        <v/>
      </c>
      <c r="N3" s="7">
        <f>IF(G3="","",E3/G3)</f>
        <v/>
      </c>
      <c r="O3" s="7">
        <f>IF(G3="","",F3/G3)</f>
        <v/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4">
        <f>IF(SUMIFS('Daily NSE Equity Cash'!$H:$H,'Daily NSE Equity Cash'!$A:$A,$A4)=0,"",SUMIFS('Daily NSE Equity Cash'!$H:$H,'Daily NSE Equity Cash'!$A:$A,$A4))</f>
        <v/>
      </c>
      <c r="F4" s="4">
        <f>IF(SUMIFS('Daily BSE Equity Cash'!$H:$H,'Daily BSE Equity Cash'!$A:$A,$A4)=0,"",SUMIFS('Daily BSE Equity Cash'!$H:$H,'Daily BSE Equity Cash'!$A:$A,$A4))</f>
        <v/>
      </c>
      <c r="G4" s="4">
        <f>IF(OR(E4="",F4=""),"",E4+F4)</f>
        <v/>
      </c>
      <c r="H4" s="7">
        <f>IFERROR(IF(OR(E4="",INDEX(E:E,MATCH(DATE(YEAR($A4)-1,MONTH($A4),DAY($A4)),$A:$A,0))=""),"",E4/INDEX(E:E,MATCH(DATE(YEAR($A4)-1,MONTH($A4),DAY($A4)),$A:$A,0))-1),"")</f>
        <v/>
      </c>
      <c r="I4" s="7">
        <f>IFERROR(IF(OR(F4="",INDEX(F:F,MATCH(DATE(YEAR($A4)-1,MONTH($A4),DAY($A4)),$A:$A,0))=""),"",F4/INDEX(F:F,MATCH(DATE(YEAR($A4)-1,MONTH($A4),DAY($A4)),$A:$A,0))-1),"")</f>
        <v/>
      </c>
      <c r="J4" s="7">
        <f>IFERROR(IF(OR(G4="",INDEX(G:G,MATCH(DATE(YEAR($A4)-1,MONTH($A4),DAY($A4)),$A:$A,0))=""),"",G4/INDEX(G:G,MATCH(DATE(YEAR($A4)-1,MONTH($A4),DAY($A4)),$A:$A,0))-1),"")</f>
        <v/>
      </c>
      <c r="K4" s="7">
        <f>IF(OR(E4="",E3=""),"",E4/E3-1)</f>
        <v/>
      </c>
      <c r="L4" s="7">
        <f>IF(OR(F4="",F3=""),"",F4/F3-1)</f>
        <v/>
      </c>
      <c r="M4" s="7">
        <f>IF(OR(G4="",G3=""),"",G4/G3-1)</f>
        <v/>
      </c>
      <c r="N4" s="7">
        <f>IF(G4="","",E4/G4)</f>
        <v/>
      </c>
      <c r="O4" s="7">
        <f>IF(G4="","",F4/G4)</f>
        <v/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4">
        <f>IF(SUMIFS('Daily NSE Equity Cash'!$H:$H,'Daily NSE Equity Cash'!$A:$A,$A5)=0,"",SUMIFS('Daily NSE Equity Cash'!$H:$H,'Daily NSE Equity Cash'!$A:$A,$A5))</f>
        <v/>
      </c>
      <c r="F5" s="4">
        <f>IF(SUMIFS('Daily BSE Equity Cash'!$H:$H,'Daily BSE Equity Cash'!$A:$A,$A5)=0,"",SUMIFS('Daily BSE Equity Cash'!$H:$H,'Daily BSE Equity Cash'!$A:$A,$A5))</f>
        <v/>
      </c>
      <c r="G5" s="4">
        <f>IF(OR(E5="",F5=""),"",E5+F5)</f>
        <v/>
      </c>
      <c r="H5" s="7">
        <f>IFERROR(IF(OR(E5="",INDEX(E:E,MATCH(DATE(YEAR($A5)-1,MONTH($A5),DAY($A5)),$A:$A,0))=""),"",E5/INDEX(E:E,MATCH(DATE(YEAR($A5)-1,MONTH($A5),DAY($A5)),$A:$A,0))-1),"")</f>
        <v/>
      </c>
      <c r="I5" s="7">
        <f>IFERROR(IF(OR(F5="",INDEX(F:F,MATCH(DATE(YEAR($A5)-1,MONTH($A5),DAY($A5)),$A:$A,0))=""),"",F5/INDEX(F:F,MATCH(DATE(YEAR($A5)-1,MONTH($A5),DAY($A5)),$A:$A,0))-1),"")</f>
        <v/>
      </c>
      <c r="J5" s="7">
        <f>IFERROR(IF(OR(G5="",INDEX(G:G,MATCH(DATE(YEAR($A5)-1,MONTH($A5),DAY($A5)),$A:$A,0))=""),"",G5/INDEX(G:G,MATCH(DATE(YEAR($A5)-1,MONTH($A5),DAY($A5)),$A:$A,0))-1),"")</f>
        <v/>
      </c>
      <c r="K5" s="7">
        <f>IF(OR(E5="",E4=""),"",E5/E4-1)</f>
        <v/>
      </c>
      <c r="L5" s="7">
        <f>IF(OR(F5="",F4=""),"",F5/F4-1)</f>
        <v/>
      </c>
      <c r="M5" s="7">
        <f>IF(OR(G5="",G4=""),"",G5/G4-1)</f>
        <v/>
      </c>
      <c r="N5" s="7">
        <f>IF(G5="","",E5/G5)</f>
        <v/>
      </c>
      <c r="O5" s="7">
        <f>IF(G5="","",F5/G5)</f>
        <v/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4">
        <f>IF(SUMIFS('Daily NSE Equity Cash'!$H:$H,'Daily NSE Equity Cash'!$A:$A,$A6)=0,"",SUMIFS('Daily NSE Equity Cash'!$H:$H,'Daily NSE Equity Cash'!$A:$A,$A6))</f>
        <v/>
      </c>
      <c r="F6" s="4">
        <f>IF(SUMIFS('Daily BSE Equity Cash'!$H:$H,'Daily BSE Equity Cash'!$A:$A,$A6)=0,"",SUMIFS('Daily BSE Equity Cash'!$H:$H,'Daily BSE Equity Cash'!$A:$A,$A6))</f>
        <v/>
      </c>
      <c r="G6" s="4">
        <f>IF(OR(E6="",F6=""),"",E6+F6)</f>
        <v/>
      </c>
      <c r="H6" s="7">
        <f>IFERROR(IF(OR(E6="",INDEX(E:E,MATCH(DATE(YEAR($A6)-1,MONTH($A6),DAY($A6)),$A:$A,0))=""),"",E6/INDEX(E:E,MATCH(DATE(YEAR($A6)-1,MONTH($A6),DAY($A6)),$A:$A,0))-1),"")</f>
        <v/>
      </c>
      <c r="I6" s="7">
        <f>IFERROR(IF(OR(F6="",INDEX(F:F,MATCH(DATE(YEAR($A6)-1,MONTH($A6),DAY($A6)),$A:$A,0))=""),"",F6/INDEX(F:F,MATCH(DATE(YEAR($A6)-1,MONTH($A6),DAY($A6)),$A:$A,0))-1),"")</f>
        <v/>
      </c>
      <c r="J6" s="7">
        <f>IFERROR(IF(OR(G6="",INDEX(G:G,MATCH(DATE(YEAR($A6)-1,MONTH($A6),DAY($A6)),$A:$A,0))=""),"",G6/INDEX(G:G,MATCH(DATE(YEAR($A6)-1,MONTH($A6),DAY($A6)),$A:$A,0))-1),"")</f>
        <v/>
      </c>
      <c r="K6" s="7">
        <f>IF(OR(E6="",E5=""),"",E6/E5-1)</f>
        <v/>
      </c>
      <c r="L6" s="7">
        <f>IF(OR(F6="",F5=""),"",F6/F5-1)</f>
        <v/>
      </c>
      <c r="M6" s="7">
        <f>IF(OR(G6="",G5=""),"",G6/G5-1)</f>
        <v/>
      </c>
      <c r="N6" s="7">
        <f>IF(G6="","",E6/G6)</f>
        <v/>
      </c>
      <c r="O6" s="7">
        <f>IF(G6="","",F6/G6)</f>
        <v/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4">
        <f>IF(SUMIFS('Daily NSE Equity Cash'!$H:$H,'Daily NSE Equity Cash'!$A:$A,$A7)=0,"",SUMIFS('Daily NSE Equity Cash'!$H:$H,'Daily NSE Equity Cash'!$A:$A,$A7))</f>
        <v/>
      </c>
      <c r="F7" s="4">
        <f>IF(SUMIFS('Daily BSE Equity Cash'!$H:$H,'Daily BSE Equity Cash'!$A:$A,$A7)=0,"",SUMIFS('Daily BSE Equity Cash'!$H:$H,'Daily BSE Equity Cash'!$A:$A,$A7))</f>
        <v/>
      </c>
      <c r="G7" s="4">
        <f>IF(OR(E7="",F7=""),"",E7+F7)</f>
        <v/>
      </c>
      <c r="H7" s="7">
        <f>IFERROR(IF(OR(E7="",INDEX(E:E,MATCH(DATE(YEAR($A7)-1,MONTH($A7),DAY($A7)),$A:$A,0))=""),"",E7/INDEX(E:E,MATCH(DATE(YEAR($A7)-1,MONTH($A7),DAY($A7)),$A:$A,0))-1),"")</f>
        <v/>
      </c>
      <c r="I7" s="7">
        <f>IFERROR(IF(OR(F7="",INDEX(F:F,MATCH(DATE(YEAR($A7)-1,MONTH($A7),DAY($A7)),$A:$A,0))=""),"",F7/INDEX(F:F,MATCH(DATE(YEAR($A7)-1,MONTH($A7),DAY($A7)),$A:$A,0))-1),"")</f>
        <v/>
      </c>
      <c r="J7" s="7">
        <f>IFERROR(IF(OR(G7="",INDEX(G:G,MATCH(DATE(YEAR($A7)-1,MONTH($A7),DAY($A7)),$A:$A,0))=""),"",G7/INDEX(G:G,MATCH(DATE(YEAR($A7)-1,MONTH($A7),DAY($A7)),$A:$A,0))-1),"")</f>
        <v/>
      </c>
      <c r="K7" s="7">
        <f>IF(OR(E7="",E6=""),"",E7/E6-1)</f>
        <v/>
      </c>
      <c r="L7" s="7">
        <f>IF(OR(F7="",F6=""),"",F7/F6-1)</f>
        <v/>
      </c>
      <c r="M7" s="7">
        <f>IF(OR(G7="",G6=""),"",G7/G6-1)</f>
        <v/>
      </c>
      <c r="N7" s="7">
        <f>IF(G7="","",E7/G7)</f>
        <v/>
      </c>
      <c r="O7" s="7">
        <f>IF(G7="","",F7/G7)</f>
        <v/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4">
        <f>IF(SUMIFS('Daily NSE Equity Cash'!$H:$H,'Daily NSE Equity Cash'!$A:$A,$A8)=0,"",SUMIFS('Daily NSE Equity Cash'!$H:$H,'Daily NSE Equity Cash'!$A:$A,$A8))</f>
        <v/>
      </c>
      <c r="F8" s="4">
        <f>IF(SUMIFS('Daily BSE Equity Cash'!$H:$H,'Daily BSE Equity Cash'!$A:$A,$A8)=0,"",SUMIFS('Daily BSE Equity Cash'!$H:$H,'Daily BSE Equity Cash'!$A:$A,$A8))</f>
        <v/>
      </c>
      <c r="G8" s="4">
        <f>IF(OR(E8="",F8=""),"",E8+F8)</f>
        <v/>
      </c>
      <c r="H8" s="7">
        <f>IFERROR(IF(OR(E8="",INDEX(E:E,MATCH(DATE(YEAR($A8)-1,MONTH($A8),DAY($A8)),$A:$A,0))=""),"",E8/INDEX(E:E,MATCH(DATE(YEAR($A8)-1,MONTH($A8),DAY($A8)),$A:$A,0))-1),"")</f>
        <v/>
      </c>
      <c r="I8" s="7">
        <f>IFERROR(IF(OR(F8="",INDEX(F:F,MATCH(DATE(YEAR($A8)-1,MONTH($A8),DAY($A8)),$A:$A,0))=""),"",F8/INDEX(F:F,MATCH(DATE(YEAR($A8)-1,MONTH($A8),DAY($A8)),$A:$A,0))-1),"")</f>
        <v/>
      </c>
      <c r="J8" s="7">
        <f>IFERROR(IF(OR(G8="",INDEX(G:G,MATCH(DATE(YEAR($A8)-1,MONTH($A8),DAY($A8)),$A:$A,0))=""),"",G8/INDEX(G:G,MATCH(DATE(YEAR($A8)-1,MONTH($A8),DAY($A8)),$A:$A,0))-1),"")</f>
        <v/>
      </c>
      <c r="K8" s="7">
        <f>IF(OR(E8="",E7=""),"",E8/E7-1)</f>
        <v/>
      </c>
      <c r="L8" s="7">
        <f>IF(OR(F8="",F7=""),"",F8/F7-1)</f>
        <v/>
      </c>
      <c r="M8" s="7">
        <f>IF(OR(G8="",G7=""),"",G8/G7-1)</f>
        <v/>
      </c>
      <c r="N8" s="7">
        <f>IF(G8="","",E8/G8)</f>
        <v/>
      </c>
      <c r="O8" s="7">
        <f>IF(G8="","",F8/G8)</f>
        <v/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4">
        <f>IF(SUMIFS('Daily NSE Equity Cash'!$H:$H,'Daily NSE Equity Cash'!$A:$A,$A9)=0,"",SUMIFS('Daily NSE Equity Cash'!$H:$H,'Daily NSE Equity Cash'!$A:$A,$A9))</f>
        <v/>
      </c>
      <c r="F9" s="4">
        <f>IF(SUMIFS('Daily BSE Equity Cash'!$H:$H,'Daily BSE Equity Cash'!$A:$A,$A9)=0,"",SUMIFS('Daily BSE Equity Cash'!$H:$H,'Daily BSE Equity Cash'!$A:$A,$A9))</f>
        <v/>
      </c>
      <c r="G9" s="4">
        <f>IF(OR(E9="",F9=""),"",E9+F9)</f>
        <v/>
      </c>
      <c r="H9" s="7">
        <f>IFERROR(IF(OR(E9="",INDEX(E:E,MATCH(DATE(YEAR($A9)-1,MONTH($A9),DAY($A9)),$A:$A,0))=""),"",E9/INDEX(E:E,MATCH(DATE(YEAR($A9)-1,MONTH($A9),DAY($A9)),$A:$A,0))-1),"")</f>
        <v/>
      </c>
      <c r="I9" s="7">
        <f>IFERROR(IF(OR(F9="",INDEX(F:F,MATCH(DATE(YEAR($A9)-1,MONTH($A9),DAY($A9)),$A:$A,0))=""),"",F9/INDEX(F:F,MATCH(DATE(YEAR($A9)-1,MONTH($A9),DAY($A9)),$A:$A,0))-1),"")</f>
        <v/>
      </c>
      <c r="J9" s="7">
        <f>IFERROR(IF(OR(G9="",INDEX(G:G,MATCH(DATE(YEAR($A9)-1,MONTH($A9),DAY($A9)),$A:$A,0))=""),"",G9/INDEX(G:G,MATCH(DATE(YEAR($A9)-1,MONTH($A9),DAY($A9)),$A:$A,0))-1),"")</f>
        <v/>
      </c>
      <c r="K9" s="7">
        <f>IF(OR(E9="",E8=""),"",E9/E8-1)</f>
        <v/>
      </c>
      <c r="L9" s="7">
        <f>IF(OR(F9="",F8=""),"",F9/F8-1)</f>
        <v/>
      </c>
      <c r="M9" s="7">
        <f>IF(OR(G9="",G8=""),"",G9/G8-1)</f>
        <v/>
      </c>
      <c r="N9" s="7">
        <f>IF(G9="","",E9/G9)</f>
        <v/>
      </c>
      <c r="O9" s="7">
        <f>IF(G9="","",F9/G9)</f>
        <v/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4">
        <f>IF(SUMIFS('Daily NSE Equity Cash'!$H:$H,'Daily NSE Equity Cash'!$A:$A,$A10)=0,"",SUMIFS('Daily NSE Equity Cash'!$H:$H,'Daily NSE Equity Cash'!$A:$A,$A10))</f>
        <v/>
      </c>
      <c r="F10" s="4">
        <f>IF(SUMIFS('Daily BSE Equity Cash'!$H:$H,'Daily BSE Equity Cash'!$A:$A,$A10)=0,"",SUMIFS('Daily BSE Equity Cash'!$H:$H,'Daily BSE Equity Cash'!$A:$A,$A10))</f>
        <v/>
      </c>
      <c r="G10" s="4">
        <f>IF(OR(E10="",F10=""),"",E10+F10)</f>
        <v/>
      </c>
      <c r="H10" s="7">
        <f>IFERROR(IF(OR(E10="",INDEX(E:E,MATCH(DATE(YEAR($A10)-1,MONTH($A10),DAY($A10)),$A:$A,0))=""),"",E10/INDEX(E:E,MATCH(DATE(YEAR($A10)-1,MONTH($A10),DAY($A10)),$A:$A,0))-1),"")</f>
        <v/>
      </c>
      <c r="I10" s="7">
        <f>IFERROR(IF(OR(F10="",INDEX(F:F,MATCH(DATE(YEAR($A10)-1,MONTH($A10),DAY($A10)),$A:$A,0))=""),"",F10/INDEX(F:F,MATCH(DATE(YEAR($A10)-1,MONTH($A10),DAY($A10)),$A:$A,0))-1),"")</f>
        <v/>
      </c>
      <c r="J10" s="7">
        <f>IFERROR(IF(OR(G10="",INDEX(G:G,MATCH(DATE(YEAR($A10)-1,MONTH($A10),DAY($A10)),$A:$A,0))=""),"",G10/INDEX(G:G,MATCH(DATE(YEAR($A10)-1,MONTH($A10),DAY($A10)),$A:$A,0))-1),"")</f>
        <v/>
      </c>
      <c r="K10" s="7">
        <f>IF(OR(E10="",E9=""),"",E10/E9-1)</f>
        <v/>
      </c>
      <c r="L10" s="7">
        <f>IF(OR(F10="",F9=""),"",F10/F9-1)</f>
        <v/>
      </c>
      <c r="M10" s="7">
        <f>IF(OR(G10="",G9=""),"",G10/G9-1)</f>
        <v/>
      </c>
      <c r="N10" s="7">
        <f>IF(G10="","",E10/G10)</f>
        <v/>
      </c>
      <c r="O10" s="7">
        <f>IF(G10="","",F10/G10)</f>
        <v/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4">
        <f>IF(SUMIFS('Daily NSE Equity Cash'!$H:$H,'Daily NSE Equity Cash'!$A:$A,$A11)=0,"",SUMIFS('Daily NSE Equity Cash'!$H:$H,'Daily NSE Equity Cash'!$A:$A,$A11))</f>
        <v/>
      </c>
      <c r="F11" s="4">
        <f>IF(SUMIFS('Daily BSE Equity Cash'!$H:$H,'Daily BSE Equity Cash'!$A:$A,$A11)=0,"",SUMIFS('Daily BSE Equity Cash'!$H:$H,'Daily BSE Equity Cash'!$A:$A,$A11))</f>
        <v/>
      </c>
      <c r="G11" s="4">
        <f>IF(OR(E11="",F11=""),"",E11+F11)</f>
        <v/>
      </c>
      <c r="H11" s="7">
        <f>IFERROR(IF(OR(E11="",INDEX(E:E,MATCH(DATE(YEAR($A11)-1,MONTH($A11),DAY($A11)),$A:$A,0))=""),"",E11/INDEX(E:E,MATCH(DATE(YEAR($A11)-1,MONTH($A11),DAY($A11)),$A:$A,0))-1),"")</f>
        <v/>
      </c>
      <c r="I11" s="7">
        <f>IFERROR(IF(OR(F11="",INDEX(F:F,MATCH(DATE(YEAR($A11)-1,MONTH($A11),DAY($A11)),$A:$A,0))=""),"",F11/INDEX(F:F,MATCH(DATE(YEAR($A11)-1,MONTH($A11),DAY($A11)),$A:$A,0))-1),"")</f>
        <v/>
      </c>
      <c r="J11" s="7">
        <f>IFERROR(IF(OR(G11="",INDEX(G:G,MATCH(DATE(YEAR($A11)-1,MONTH($A11),DAY($A11)),$A:$A,0))=""),"",G11/INDEX(G:G,MATCH(DATE(YEAR($A11)-1,MONTH($A11),DAY($A11)),$A:$A,0))-1),"")</f>
        <v/>
      </c>
      <c r="K11" s="7">
        <f>IF(OR(E11="",E10=""),"",E11/E10-1)</f>
        <v/>
      </c>
      <c r="L11" s="7">
        <f>IF(OR(F11="",F10=""),"",F11/F10-1)</f>
        <v/>
      </c>
      <c r="M11" s="7">
        <f>IF(OR(G11="",G10=""),"",G11/G10-1)</f>
        <v/>
      </c>
      <c r="N11" s="7">
        <f>IF(G11="","",E11/G11)</f>
        <v/>
      </c>
      <c r="O11" s="7">
        <f>IF(G11="","",F11/G11)</f>
        <v/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4">
        <f>IF(SUMIFS('Daily NSE Equity Cash'!$H:$H,'Daily NSE Equity Cash'!$A:$A,$A12)=0,"",SUMIFS('Daily NSE Equity Cash'!$H:$H,'Daily NSE Equity Cash'!$A:$A,$A12))</f>
        <v/>
      </c>
      <c r="F12" s="4">
        <f>IF(SUMIFS('Daily BSE Equity Cash'!$H:$H,'Daily BSE Equity Cash'!$A:$A,$A12)=0,"",SUMIFS('Daily BSE Equity Cash'!$H:$H,'Daily BSE Equity Cash'!$A:$A,$A12))</f>
        <v/>
      </c>
      <c r="G12" s="4">
        <f>IF(OR(E12="",F12=""),"",E12+F12)</f>
        <v/>
      </c>
      <c r="H12" s="7">
        <f>IFERROR(IF(OR(E12="",INDEX(E:E,MATCH(DATE(YEAR($A12)-1,MONTH($A12),DAY($A12)),$A:$A,0))=""),"",E12/INDEX(E:E,MATCH(DATE(YEAR($A12)-1,MONTH($A12),DAY($A12)),$A:$A,0))-1),"")</f>
        <v/>
      </c>
      <c r="I12" s="7">
        <f>IFERROR(IF(OR(F12="",INDEX(F:F,MATCH(DATE(YEAR($A12)-1,MONTH($A12),DAY($A12)),$A:$A,0))=""),"",F12/INDEX(F:F,MATCH(DATE(YEAR($A12)-1,MONTH($A12),DAY($A12)),$A:$A,0))-1),"")</f>
        <v/>
      </c>
      <c r="J12" s="7">
        <f>IFERROR(IF(OR(G12="",INDEX(G:G,MATCH(DATE(YEAR($A12)-1,MONTH($A12),DAY($A12)),$A:$A,0))=""),"",G12/INDEX(G:G,MATCH(DATE(YEAR($A12)-1,MONTH($A12),DAY($A12)),$A:$A,0))-1),"")</f>
        <v/>
      </c>
      <c r="K12" s="7">
        <f>IF(OR(E12="",E11=""),"",E12/E11-1)</f>
        <v/>
      </c>
      <c r="L12" s="7">
        <f>IF(OR(F12="",F11=""),"",F12/F11-1)</f>
        <v/>
      </c>
      <c r="M12" s="7">
        <f>IF(OR(G12="",G11=""),"",G12/G11-1)</f>
        <v/>
      </c>
      <c r="N12" s="7">
        <f>IF(G12="","",E12/G12)</f>
        <v/>
      </c>
      <c r="O12" s="7">
        <f>IF(G12="","",F12/G12)</f>
        <v/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4">
        <f>IF(SUMIFS('Daily NSE Equity Cash'!$H:$H,'Daily NSE Equity Cash'!$A:$A,$A13)=0,"",SUMIFS('Daily NSE Equity Cash'!$H:$H,'Daily NSE Equity Cash'!$A:$A,$A13))</f>
        <v/>
      </c>
      <c r="F13" s="4">
        <f>IF(SUMIFS('Daily BSE Equity Cash'!$H:$H,'Daily BSE Equity Cash'!$A:$A,$A13)=0,"",SUMIFS('Daily BSE Equity Cash'!$H:$H,'Daily BSE Equity Cash'!$A:$A,$A13))</f>
        <v/>
      </c>
      <c r="G13" s="4">
        <f>IF(OR(E13="",F13=""),"",E13+F13)</f>
        <v/>
      </c>
      <c r="H13" s="7">
        <f>IFERROR(IF(OR(E13="",INDEX(E:E,MATCH(DATE(YEAR($A13)-1,MONTH($A13),DAY($A13)),$A:$A,0))=""),"",E13/INDEX(E:E,MATCH(DATE(YEAR($A13)-1,MONTH($A13),DAY($A13)),$A:$A,0))-1),"")</f>
        <v/>
      </c>
      <c r="I13" s="7">
        <f>IFERROR(IF(OR(F13="",INDEX(F:F,MATCH(DATE(YEAR($A13)-1,MONTH($A13),DAY($A13)),$A:$A,0))=""),"",F13/INDEX(F:F,MATCH(DATE(YEAR($A13)-1,MONTH($A13),DAY($A13)),$A:$A,0))-1),"")</f>
        <v/>
      </c>
      <c r="J13" s="7">
        <f>IFERROR(IF(OR(G13="",INDEX(G:G,MATCH(DATE(YEAR($A13)-1,MONTH($A13),DAY($A13)),$A:$A,0))=""),"",G13/INDEX(G:G,MATCH(DATE(YEAR($A13)-1,MONTH($A13),DAY($A13)),$A:$A,0))-1),"")</f>
        <v/>
      </c>
      <c r="K13" s="7">
        <f>IF(OR(E13="",E12=""),"",E13/E12-1)</f>
        <v/>
      </c>
      <c r="L13" s="7">
        <f>IF(OR(F13="",F12=""),"",F13/F12-1)</f>
        <v/>
      </c>
      <c r="M13" s="7">
        <f>IF(OR(G13="",G12=""),"",G13/G12-1)</f>
        <v/>
      </c>
      <c r="N13" s="7">
        <f>IF(G13="","",E13/G13)</f>
        <v/>
      </c>
      <c r="O13" s="7">
        <f>IF(G13="","",F13/G13)</f>
        <v/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4">
        <f>IF(SUMIFS('Daily NSE Equity Cash'!$H:$H,'Daily NSE Equity Cash'!$A:$A,$A14)=0,"",SUMIFS('Daily NSE Equity Cash'!$H:$H,'Daily NSE Equity Cash'!$A:$A,$A14))</f>
        <v/>
      </c>
      <c r="F14" s="4">
        <f>IF(SUMIFS('Daily BSE Equity Cash'!$H:$H,'Daily BSE Equity Cash'!$A:$A,$A14)=0,"",SUMIFS('Daily BSE Equity Cash'!$H:$H,'Daily BSE Equity Cash'!$A:$A,$A14))</f>
        <v/>
      </c>
      <c r="G14" s="4">
        <f>IF(OR(E14="",F14=""),"",E14+F14)</f>
        <v/>
      </c>
      <c r="H14" s="7">
        <f>IFERROR(IF(OR(E14="",INDEX(E:E,MATCH(DATE(YEAR($A14)-1,MONTH($A14),DAY($A14)),$A:$A,0))=""),"",E14/INDEX(E:E,MATCH(DATE(YEAR($A14)-1,MONTH($A14),DAY($A14)),$A:$A,0))-1),"")</f>
        <v/>
      </c>
      <c r="I14" s="7">
        <f>IFERROR(IF(OR(F14="",INDEX(F:F,MATCH(DATE(YEAR($A14)-1,MONTH($A14),DAY($A14)),$A:$A,0))=""),"",F14/INDEX(F:F,MATCH(DATE(YEAR($A14)-1,MONTH($A14),DAY($A14)),$A:$A,0))-1),"")</f>
        <v/>
      </c>
      <c r="J14" s="7">
        <f>IFERROR(IF(OR(G14="",INDEX(G:G,MATCH(DATE(YEAR($A14)-1,MONTH($A14),DAY($A14)),$A:$A,0))=""),"",G14/INDEX(G:G,MATCH(DATE(YEAR($A14)-1,MONTH($A14),DAY($A14)),$A:$A,0))-1),"")</f>
        <v/>
      </c>
      <c r="K14" s="7">
        <f>IF(OR(E14="",E13=""),"",E14/E13-1)</f>
        <v/>
      </c>
      <c r="L14" s="7">
        <f>IF(OR(F14="",F13=""),"",F14/F13-1)</f>
        <v/>
      </c>
      <c r="M14" s="7">
        <f>IF(OR(G14="",G13=""),"",G14/G13-1)</f>
        <v/>
      </c>
      <c r="N14" s="7">
        <f>IF(G14="","",E14/G14)</f>
        <v/>
      </c>
      <c r="O14" s="7">
        <f>IF(G14="","",F14/G14)</f>
        <v/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4">
        <f>IF(SUMIFS('Daily NSE Equity Cash'!$H:$H,'Daily NSE Equity Cash'!$A:$A,$A15)=0,"",SUMIFS('Daily NSE Equity Cash'!$H:$H,'Daily NSE Equity Cash'!$A:$A,$A15))</f>
        <v/>
      </c>
      <c r="F15" s="4">
        <f>IF(SUMIFS('Daily BSE Equity Cash'!$H:$H,'Daily BSE Equity Cash'!$A:$A,$A15)=0,"",SUMIFS('Daily BSE Equity Cash'!$H:$H,'Daily BSE Equity Cash'!$A:$A,$A15))</f>
        <v/>
      </c>
      <c r="G15" s="4">
        <f>IF(OR(E15="",F15=""),"",E15+F15)</f>
        <v/>
      </c>
      <c r="H15" s="7">
        <f>IFERROR(IF(OR(E15="",INDEX(E:E,MATCH(DATE(YEAR($A15)-1,MONTH($A15),DAY($A15)),$A:$A,0))=""),"",E15/INDEX(E:E,MATCH(DATE(YEAR($A15)-1,MONTH($A15),DAY($A15)),$A:$A,0))-1),"")</f>
        <v/>
      </c>
      <c r="I15" s="7">
        <f>IFERROR(IF(OR(F15="",INDEX(F:F,MATCH(DATE(YEAR($A15)-1,MONTH($A15),DAY($A15)),$A:$A,0))=""),"",F15/INDEX(F:F,MATCH(DATE(YEAR($A15)-1,MONTH($A15),DAY($A15)),$A:$A,0))-1),"")</f>
        <v/>
      </c>
      <c r="J15" s="7">
        <f>IFERROR(IF(OR(G15="",INDEX(G:G,MATCH(DATE(YEAR($A15)-1,MONTH($A15),DAY($A15)),$A:$A,0))=""),"",G15/INDEX(G:G,MATCH(DATE(YEAR($A15)-1,MONTH($A15),DAY($A15)),$A:$A,0))-1),"")</f>
        <v/>
      </c>
      <c r="K15" s="7">
        <f>IF(OR(E15="",E14=""),"",E15/E14-1)</f>
        <v/>
      </c>
      <c r="L15" s="7">
        <f>IF(OR(F15="",F14=""),"",F15/F14-1)</f>
        <v/>
      </c>
      <c r="M15" s="7">
        <f>IF(OR(G15="",G14=""),"",G15/G14-1)</f>
        <v/>
      </c>
      <c r="N15" s="7">
        <f>IF(G15="","",E15/G15)</f>
        <v/>
      </c>
      <c r="O15" s="7">
        <f>IF(G15="","",F15/G15)</f>
        <v/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4">
        <f>IF(SUMIFS('Daily NSE Equity Cash'!$H:$H,'Daily NSE Equity Cash'!$A:$A,$A16)=0,"",SUMIFS('Daily NSE Equity Cash'!$H:$H,'Daily NSE Equity Cash'!$A:$A,$A16))</f>
        <v/>
      </c>
      <c r="F16" s="4">
        <f>IF(SUMIFS('Daily BSE Equity Cash'!$H:$H,'Daily BSE Equity Cash'!$A:$A,$A16)=0,"",SUMIFS('Daily BSE Equity Cash'!$H:$H,'Daily BSE Equity Cash'!$A:$A,$A16))</f>
        <v/>
      </c>
      <c r="G16" s="4">
        <f>IF(OR(E16="",F16=""),"",E16+F16)</f>
        <v/>
      </c>
      <c r="H16" s="7">
        <f>IFERROR(IF(OR(E16="",INDEX(E:E,MATCH(DATE(YEAR($A16)-1,MONTH($A16),DAY($A16)),$A:$A,0))=""),"",E16/INDEX(E:E,MATCH(DATE(YEAR($A16)-1,MONTH($A16),DAY($A16)),$A:$A,0))-1),"")</f>
        <v/>
      </c>
      <c r="I16" s="7">
        <f>IFERROR(IF(OR(F16="",INDEX(F:F,MATCH(DATE(YEAR($A16)-1,MONTH($A16),DAY($A16)),$A:$A,0))=""),"",F16/INDEX(F:F,MATCH(DATE(YEAR($A16)-1,MONTH($A16),DAY($A16)),$A:$A,0))-1),"")</f>
        <v/>
      </c>
      <c r="J16" s="7">
        <f>IFERROR(IF(OR(G16="",INDEX(G:G,MATCH(DATE(YEAR($A16)-1,MONTH($A16),DAY($A16)),$A:$A,0))=""),"",G16/INDEX(G:G,MATCH(DATE(YEAR($A16)-1,MONTH($A16),DAY($A16)),$A:$A,0))-1),"")</f>
        <v/>
      </c>
      <c r="K16" s="7">
        <f>IF(OR(E16="",E15=""),"",E16/E15-1)</f>
        <v/>
      </c>
      <c r="L16" s="7">
        <f>IF(OR(F16="",F15=""),"",F16/F15-1)</f>
        <v/>
      </c>
      <c r="M16" s="7">
        <f>IF(OR(G16="",G15=""),"",G16/G15-1)</f>
        <v/>
      </c>
      <c r="N16" s="7">
        <f>IF(G16="","",E16/G16)</f>
        <v/>
      </c>
      <c r="O16" s="7">
        <f>IF(G16="","",F16/G16)</f>
        <v/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4">
        <f>IF(SUMIFS('Daily NSE Equity Cash'!$H:$H,'Daily NSE Equity Cash'!$A:$A,$A17)=0,"",SUMIFS('Daily NSE Equity Cash'!$H:$H,'Daily NSE Equity Cash'!$A:$A,$A17))</f>
        <v/>
      </c>
      <c r="F17" s="4">
        <f>IF(SUMIFS('Daily BSE Equity Cash'!$H:$H,'Daily BSE Equity Cash'!$A:$A,$A17)=0,"",SUMIFS('Daily BSE Equity Cash'!$H:$H,'Daily BSE Equity Cash'!$A:$A,$A17))</f>
        <v/>
      </c>
      <c r="G17" s="4">
        <f>IF(OR(E17="",F17=""),"",E17+F17)</f>
        <v/>
      </c>
      <c r="H17" s="7">
        <f>IFERROR(IF(OR(E17="",INDEX(E:E,MATCH(DATE(YEAR($A17)-1,MONTH($A17),DAY($A17)),$A:$A,0))=""),"",E17/INDEX(E:E,MATCH(DATE(YEAR($A17)-1,MONTH($A17),DAY($A17)),$A:$A,0))-1),"")</f>
        <v/>
      </c>
      <c r="I17" s="7">
        <f>IFERROR(IF(OR(F17="",INDEX(F:F,MATCH(DATE(YEAR($A17)-1,MONTH($A17),DAY($A17)),$A:$A,0))=""),"",F17/INDEX(F:F,MATCH(DATE(YEAR($A17)-1,MONTH($A17),DAY($A17)),$A:$A,0))-1),"")</f>
        <v/>
      </c>
      <c r="J17" s="7">
        <f>IFERROR(IF(OR(G17="",INDEX(G:G,MATCH(DATE(YEAR($A17)-1,MONTH($A17),DAY($A17)),$A:$A,0))=""),"",G17/INDEX(G:G,MATCH(DATE(YEAR($A17)-1,MONTH($A17),DAY($A17)),$A:$A,0))-1),"")</f>
        <v/>
      </c>
      <c r="K17" s="7">
        <f>IF(OR(E17="",E16=""),"",E17/E16-1)</f>
        <v/>
      </c>
      <c r="L17" s="7">
        <f>IF(OR(F17="",F16=""),"",F17/F16-1)</f>
        <v/>
      </c>
      <c r="M17" s="7">
        <f>IF(OR(G17="",G16=""),"",G17/G16-1)</f>
        <v/>
      </c>
      <c r="N17" s="7">
        <f>IF(G17="","",E17/G17)</f>
        <v/>
      </c>
      <c r="O17" s="7">
        <f>IF(G17="","",F17/G17)</f>
        <v/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4">
        <f>IF(SUMIFS('Daily NSE Equity Cash'!$H:$H,'Daily NSE Equity Cash'!$A:$A,$A18)=0,"",SUMIFS('Daily NSE Equity Cash'!$H:$H,'Daily NSE Equity Cash'!$A:$A,$A18))</f>
        <v/>
      </c>
      <c r="F18" s="4">
        <f>IF(SUMIFS('Daily BSE Equity Cash'!$H:$H,'Daily BSE Equity Cash'!$A:$A,$A18)=0,"",SUMIFS('Daily BSE Equity Cash'!$H:$H,'Daily BSE Equity Cash'!$A:$A,$A18))</f>
        <v/>
      </c>
      <c r="G18" s="4">
        <f>IF(OR(E18="",F18=""),"",E18+F18)</f>
        <v/>
      </c>
      <c r="H18" s="7">
        <f>IFERROR(IF(OR(E18="",INDEX(E:E,MATCH(DATE(YEAR($A18)-1,MONTH($A18),DAY($A18)),$A:$A,0))=""),"",E18/INDEX(E:E,MATCH(DATE(YEAR($A18)-1,MONTH($A18),DAY($A18)),$A:$A,0))-1),"")</f>
        <v/>
      </c>
      <c r="I18" s="7">
        <f>IFERROR(IF(OR(F18="",INDEX(F:F,MATCH(DATE(YEAR($A18)-1,MONTH($A18),DAY($A18)),$A:$A,0))=""),"",F18/INDEX(F:F,MATCH(DATE(YEAR($A18)-1,MONTH($A18),DAY($A18)),$A:$A,0))-1),"")</f>
        <v/>
      </c>
      <c r="J18" s="7">
        <f>IFERROR(IF(OR(G18="",INDEX(G:G,MATCH(DATE(YEAR($A18)-1,MONTH($A18),DAY($A18)),$A:$A,0))=""),"",G18/INDEX(G:G,MATCH(DATE(YEAR($A18)-1,MONTH($A18),DAY($A18)),$A:$A,0))-1),"")</f>
        <v/>
      </c>
      <c r="K18" s="7">
        <f>IF(OR(E18="",E17=""),"",E18/E17-1)</f>
        <v/>
      </c>
      <c r="L18" s="7">
        <f>IF(OR(F18="",F17=""),"",F18/F17-1)</f>
        <v/>
      </c>
      <c r="M18" s="7">
        <f>IF(OR(G18="",G17=""),"",G18/G17-1)</f>
        <v/>
      </c>
      <c r="N18" s="7">
        <f>IF(G18="","",E18/G18)</f>
        <v/>
      </c>
      <c r="O18" s="7">
        <f>IF(G18="","",F18/G18)</f>
        <v/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4">
        <f>IF(SUMIFS('Daily NSE Equity Cash'!$H:$H,'Daily NSE Equity Cash'!$A:$A,$A19)=0,"",SUMIFS('Daily NSE Equity Cash'!$H:$H,'Daily NSE Equity Cash'!$A:$A,$A19))</f>
        <v/>
      </c>
      <c r="F19" s="4">
        <f>IF(SUMIFS('Daily BSE Equity Cash'!$H:$H,'Daily BSE Equity Cash'!$A:$A,$A19)=0,"",SUMIFS('Daily BSE Equity Cash'!$H:$H,'Daily BSE Equity Cash'!$A:$A,$A19))</f>
        <v/>
      </c>
      <c r="G19" s="4">
        <f>IF(OR(E19="",F19=""),"",E19+F19)</f>
        <v/>
      </c>
      <c r="H19" s="7">
        <f>IFERROR(IF(OR(E19="",INDEX(E:E,MATCH(DATE(YEAR($A19)-1,MONTH($A19),DAY($A19)),$A:$A,0))=""),"",E19/INDEX(E:E,MATCH(DATE(YEAR($A19)-1,MONTH($A19),DAY($A19)),$A:$A,0))-1),"")</f>
        <v/>
      </c>
      <c r="I19" s="7">
        <f>IFERROR(IF(OR(F19="",INDEX(F:F,MATCH(DATE(YEAR($A19)-1,MONTH($A19),DAY($A19)),$A:$A,0))=""),"",F19/INDEX(F:F,MATCH(DATE(YEAR($A19)-1,MONTH($A19),DAY($A19)),$A:$A,0))-1),"")</f>
        <v/>
      </c>
      <c r="J19" s="7">
        <f>IFERROR(IF(OR(G19="",INDEX(G:G,MATCH(DATE(YEAR($A19)-1,MONTH($A19),DAY($A19)),$A:$A,0))=""),"",G19/INDEX(G:G,MATCH(DATE(YEAR($A19)-1,MONTH($A19),DAY($A19)),$A:$A,0))-1),"")</f>
        <v/>
      </c>
      <c r="K19" s="7">
        <f>IF(OR(E19="",E18=""),"",E19/E18-1)</f>
        <v/>
      </c>
      <c r="L19" s="7">
        <f>IF(OR(F19="",F18=""),"",F19/F18-1)</f>
        <v/>
      </c>
      <c r="M19" s="7">
        <f>IF(OR(G19="",G18=""),"",G19/G18-1)</f>
        <v/>
      </c>
      <c r="N19" s="7">
        <f>IF(G19="","",E19/G19)</f>
        <v/>
      </c>
      <c r="O19" s="7">
        <f>IF(G19="","",F19/G19)</f>
        <v/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4">
        <f>IF(SUMIFS('Daily NSE Equity Cash'!$H:$H,'Daily NSE Equity Cash'!$A:$A,$A20)=0,"",SUMIFS('Daily NSE Equity Cash'!$H:$H,'Daily NSE Equity Cash'!$A:$A,$A20))</f>
        <v/>
      </c>
      <c r="F20" s="4">
        <f>IF(SUMIFS('Daily BSE Equity Cash'!$H:$H,'Daily BSE Equity Cash'!$A:$A,$A20)=0,"",SUMIFS('Daily BSE Equity Cash'!$H:$H,'Daily BSE Equity Cash'!$A:$A,$A20))</f>
        <v/>
      </c>
      <c r="G20" s="4">
        <f>IF(OR(E20="",F20=""),"",E20+F20)</f>
        <v/>
      </c>
      <c r="H20" s="7">
        <f>IFERROR(IF(OR(E20="",INDEX(E:E,MATCH(DATE(YEAR($A20)-1,MONTH($A20),DAY($A20)),$A:$A,0))=""),"",E20/INDEX(E:E,MATCH(DATE(YEAR($A20)-1,MONTH($A20),DAY($A20)),$A:$A,0))-1),"")</f>
        <v/>
      </c>
      <c r="I20" s="7">
        <f>IFERROR(IF(OR(F20="",INDEX(F:F,MATCH(DATE(YEAR($A20)-1,MONTH($A20),DAY($A20)),$A:$A,0))=""),"",F20/INDEX(F:F,MATCH(DATE(YEAR($A20)-1,MONTH($A20),DAY($A20)),$A:$A,0))-1),"")</f>
        <v/>
      </c>
      <c r="J20" s="7">
        <f>IFERROR(IF(OR(G20="",INDEX(G:G,MATCH(DATE(YEAR($A20)-1,MONTH($A20),DAY($A20)),$A:$A,0))=""),"",G20/INDEX(G:G,MATCH(DATE(YEAR($A20)-1,MONTH($A20),DAY($A20)),$A:$A,0))-1),"")</f>
        <v/>
      </c>
      <c r="K20" s="7">
        <f>IF(OR(E20="",E19=""),"",E20/E19-1)</f>
        <v/>
      </c>
      <c r="L20" s="7">
        <f>IF(OR(F20="",F19=""),"",F20/F19-1)</f>
        <v/>
      </c>
      <c r="M20" s="7">
        <f>IF(OR(G20="",G19=""),"",G20/G19-1)</f>
        <v/>
      </c>
      <c r="N20" s="7">
        <f>IF(G20="","",E20/G20)</f>
        <v/>
      </c>
      <c r="O20" s="7">
        <f>IF(G20="","",F20/G20)</f>
        <v/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4">
        <f>IF(SUMIFS('Daily NSE Equity Cash'!$H:$H,'Daily NSE Equity Cash'!$A:$A,$A21)=0,"",SUMIFS('Daily NSE Equity Cash'!$H:$H,'Daily NSE Equity Cash'!$A:$A,$A21))</f>
        <v/>
      </c>
      <c r="F21" s="4">
        <f>IF(SUMIFS('Daily BSE Equity Cash'!$H:$H,'Daily BSE Equity Cash'!$A:$A,$A21)=0,"",SUMIFS('Daily BSE Equity Cash'!$H:$H,'Daily BSE Equity Cash'!$A:$A,$A21))</f>
        <v/>
      </c>
      <c r="G21" s="4">
        <f>IF(OR(E21="",F21=""),"",E21+F21)</f>
        <v/>
      </c>
      <c r="H21" s="7">
        <f>IFERROR(IF(OR(E21="",INDEX(E:E,MATCH(DATE(YEAR($A21)-1,MONTH($A21),DAY($A21)),$A:$A,0))=""),"",E21/INDEX(E:E,MATCH(DATE(YEAR($A21)-1,MONTH($A21),DAY($A21)),$A:$A,0))-1),"")</f>
        <v/>
      </c>
      <c r="I21" s="7">
        <f>IFERROR(IF(OR(F21="",INDEX(F:F,MATCH(DATE(YEAR($A21)-1,MONTH($A21),DAY($A21)),$A:$A,0))=""),"",F21/INDEX(F:F,MATCH(DATE(YEAR($A21)-1,MONTH($A21),DAY($A21)),$A:$A,0))-1),"")</f>
        <v/>
      </c>
      <c r="J21" s="7">
        <f>IFERROR(IF(OR(G21="",INDEX(G:G,MATCH(DATE(YEAR($A21)-1,MONTH($A21),DAY($A21)),$A:$A,0))=""),"",G21/INDEX(G:G,MATCH(DATE(YEAR($A21)-1,MONTH($A21),DAY($A21)),$A:$A,0))-1),"")</f>
        <v/>
      </c>
      <c r="K21" s="7">
        <f>IF(OR(E21="",E20=""),"",E21/E20-1)</f>
        <v/>
      </c>
      <c r="L21" s="7">
        <f>IF(OR(F21="",F20=""),"",F21/F20-1)</f>
        <v/>
      </c>
      <c r="M21" s="7">
        <f>IF(OR(G21="",G20=""),"",G21/G20-1)</f>
        <v/>
      </c>
      <c r="N21" s="7">
        <f>IF(G21="","",E21/G21)</f>
        <v/>
      </c>
      <c r="O21" s="7">
        <f>IF(G21="","",F21/G21)</f>
        <v/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4">
        <f>IF(SUMIFS('Daily NSE Equity Cash'!$H:$H,'Daily NSE Equity Cash'!$A:$A,$A22)=0,"",SUMIFS('Daily NSE Equity Cash'!$H:$H,'Daily NSE Equity Cash'!$A:$A,$A22))</f>
        <v/>
      </c>
      <c r="F22" s="4">
        <f>IF(SUMIFS('Daily BSE Equity Cash'!$H:$H,'Daily BSE Equity Cash'!$A:$A,$A22)=0,"",SUMIFS('Daily BSE Equity Cash'!$H:$H,'Daily BSE Equity Cash'!$A:$A,$A22))</f>
        <v/>
      </c>
      <c r="G22" s="4">
        <f>IF(OR(E22="",F22=""),"",E22+F22)</f>
        <v/>
      </c>
      <c r="H22" s="7">
        <f>IFERROR(IF(OR(E22="",INDEX(E:E,MATCH(DATE(YEAR($A22)-1,MONTH($A22),DAY($A22)),$A:$A,0))=""),"",E22/INDEX(E:E,MATCH(DATE(YEAR($A22)-1,MONTH($A22),DAY($A22)),$A:$A,0))-1),"")</f>
        <v/>
      </c>
      <c r="I22" s="7">
        <f>IFERROR(IF(OR(F22="",INDEX(F:F,MATCH(DATE(YEAR($A22)-1,MONTH($A22),DAY($A22)),$A:$A,0))=""),"",F22/INDEX(F:F,MATCH(DATE(YEAR($A22)-1,MONTH($A22),DAY($A22)),$A:$A,0))-1),"")</f>
        <v/>
      </c>
      <c r="J22" s="7">
        <f>IFERROR(IF(OR(G22="",INDEX(G:G,MATCH(DATE(YEAR($A22)-1,MONTH($A22),DAY($A22)),$A:$A,0))=""),"",G22/INDEX(G:G,MATCH(DATE(YEAR($A22)-1,MONTH($A22),DAY($A22)),$A:$A,0))-1),"")</f>
        <v/>
      </c>
      <c r="K22" s="7">
        <f>IF(OR(E22="",E21=""),"",E22/E21-1)</f>
        <v/>
      </c>
      <c r="L22" s="7">
        <f>IF(OR(F22="",F21=""),"",F22/F21-1)</f>
        <v/>
      </c>
      <c r="M22" s="7">
        <f>IF(OR(G22="",G21=""),"",G22/G21-1)</f>
        <v/>
      </c>
      <c r="N22" s="7">
        <f>IF(G22="","",E22/G22)</f>
        <v/>
      </c>
      <c r="O22" s="7">
        <f>IF(G22="","",F22/G22)</f>
        <v/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4">
        <f>IF(SUMIFS('Daily NSE Equity Cash'!$H:$H,'Daily NSE Equity Cash'!$A:$A,$A23)=0,"",SUMIFS('Daily NSE Equity Cash'!$H:$H,'Daily NSE Equity Cash'!$A:$A,$A23))</f>
        <v/>
      </c>
      <c r="F23" s="4">
        <f>IF(SUMIFS('Daily BSE Equity Cash'!$H:$H,'Daily BSE Equity Cash'!$A:$A,$A23)=0,"",SUMIFS('Daily BSE Equity Cash'!$H:$H,'Daily BSE Equity Cash'!$A:$A,$A23))</f>
        <v/>
      </c>
      <c r="G23" s="4">
        <f>IF(OR(E23="",F23=""),"",E23+F23)</f>
        <v/>
      </c>
      <c r="H23" s="7">
        <f>IFERROR(IF(OR(E23="",INDEX(E:E,MATCH(DATE(YEAR($A23)-1,MONTH($A23),DAY($A23)),$A:$A,0))=""),"",E23/INDEX(E:E,MATCH(DATE(YEAR($A23)-1,MONTH($A23),DAY($A23)),$A:$A,0))-1),"")</f>
        <v/>
      </c>
      <c r="I23" s="7">
        <f>IFERROR(IF(OR(F23="",INDEX(F:F,MATCH(DATE(YEAR($A23)-1,MONTH($A23),DAY($A23)),$A:$A,0))=""),"",F23/INDEX(F:F,MATCH(DATE(YEAR($A23)-1,MONTH($A23),DAY($A23)),$A:$A,0))-1),"")</f>
        <v/>
      </c>
      <c r="J23" s="7">
        <f>IFERROR(IF(OR(G23="",INDEX(G:G,MATCH(DATE(YEAR($A23)-1,MONTH($A23),DAY($A23)),$A:$A,0))=""),"",G23/INDEX(G:G,MATCH(DATE(YEAR($A23)-1,MONTH($A23),DAY($A23)),$A:$A,0))-1),"")</f>
        <v/>
      </c>
      <c r="K23" s="7">
        <f>IF(OR(E23="",E22=""),"",E23/E22-1)</f>
        <v/>
      </c>
      <c r="L23" s="7">
        <f>IF(OR(F23="",F22=""),"",F23/F22-1)</f>
        <v/>
      </c>
      <c r="M23" s="7">
        <f>IF(OR(G23="",G22=""),"",G23/G22-1)</f>
        <v/>
      </c>
      <c r="N23" s="7">
        <f>IF(G23="","",E23/G23)</f>
        <v/>
      </c>
      <c r="O23" s="7">
        <f>IF(G23="","",F23/G23)</f>
        <v/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4">
        <f>IF(SUMIFS('Daily NSE Equity Cash'!$H:$H,'Daily NSE Equity Cash'!$A:$A,$A24)=0,"",SUMIFS('Daily NSE Equity Cash'!$H:$H,'Daily NSE Equity Cash'!$A:$A,$A24))</f>
        <v/>
      </c>
      <c r="F24" s="4">
        <f>IF(SUMIFS('Daily BSE Equity Cash'!$H:$H,'Daily BSE Equity Cash'!$A:$A,$A24)=0,"",SUMIFS('Daily BSE Equity Cash'!$H:$H,'Daily BSE Equity Cash'!$A:$A,$A24))</f>
        <v/>
      </c>
      <c r="G24" s="4">
        <f>IF(OR(E24="",F24=""),"",E24+F24)</f>
        <v/>
      </c>
      <c r="H24" s="7">
        <f>IFERROR(IF(OR(E24="",INDEX(E:E,MATCH(DATE(YEAR($A24)-1,MONTH($A24),DAY($A24)),$A:$A,0))=""),"",E24/INDEX(E:E,MATCH(DATE(YEAR($A24)-1,MONTH($A24),DAY($A24)),$A:$A,0))-1),"")</f>
        <v/>
      </c>
      <c r="I24" s="7">
        <f>IFERROR(IF(OR(F24="",INDEX(F:F,MATCH(DATE(YEAR($A24)-1,MONTH($A24),DAY($A24)),$A:$A,0))=""),"",F24/INDEX(F:F,MATCH(DATE(YEAR($A24)-1,MONTH($A24),DAY($A24)),$A:$A,0))-1),"")</f>
        <v/>
      </c>
      <c r="J24" s="7">
        <f>IFERROR(IF(OR(G24="",INDEX(G:G,MATCH(DATE(YEAR($A24)-1,MONTH($A24),DAY($A24)),$A:$A,0))=""),"",G24/INDEX(G:G,MATCH(DATE(YEAR($A24)-1,MONTH($A24),DAY($A24)),$A:$A,0))-1),"")</f>
        <v/>
      </c>
      <c r="K24" s="7">
        <f>IF(OR(E24="",E23=""),"",E24/E23-1)</f>
        <v/>
      </c>
      <c r="L24" s="7">
        <f>IF(OR(F24="",F23=""),"",F24/F23-1)</f>
        <v/>
      </c>
      <c r="M24" s="7">
        <f>IF(OR(G24="",G23=""),"",G24/G23-1)</f>
        <v/>
      </c>
      <c r="N24" s="7">
        <f>IF(G24="","",E24/G24)</f>
        <v/>
      </c>
      <c r="O24" s="7">
        <f>IF(G24="","",F24/G24)</f>
        <v/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4">
        <f>IF(SUMIFS('Daily NSE Equity Cash'!$H:$H,'Daily NSE Equity Cash'!$A:$A,$A25)=0,"",SUMIFS('Daily NSE Equity Cash'!$H:$H,'Daily NSE Equity Cash'!$A:$A,$A25))</f>
        <v/>
      </c>
      <c r="F25" s="4">
        <f>IF(SUMIFS('Daily BSE Equity Cash'!$H:$H,'Daily BSE Equity Cash'!$A:$A,$A25)=0,"",SUMIFS('Daily BSE Equity Cash'!$H:$H,'Daily BSE Equity Cash'!$A:$A,$A25))</f>
        <v/>
      </c>
      <c r="G25" s="4">
        <f>IF(OR(E25="",F25=""),"",E25+F25)</f>
        <v/>
      </c>
      <c r="H25" s="7">
        <f>IFERROR(IF(OR(E25="",INDEX(E:E,MATCH(DATE(YEAR($A25)-1,MONTH($A25),DAY($A25)),$A:$A,0))=""),"",E25/INDEX(E:E,MATCH(DATE(YEAR($A25)-1,MONTH($A25),DAY($A25)),$A:$A,0))-1),"")</f>
        <v/>
      </c>
      <c r="I25" s="7">
        <f>IFERROR(IF(OR(F25="",INDEX(F:F,MATCH(DATE(YEAR($A25)-1,MONTH($A25),DAY($A25)),$A:$A,0))=""),"",F25/INDEX(F:F,MATCH(DATE(YEAR($A25)-1,MONTH($A25),DAY($A25)),$A:$A,0))-1),"")</f>
        <v/>
      </c>
      <c r="J25" s="7">
        <f>IFERROR(IF(OR(G25="",INDEX(G:G,MATCH(DATE(YEAR($A25)-1,MONTH($A25),DAY($A25)),$A:$A,0))=""),"",G25/INDEX(G:G,MATCH(DATE(YEAR($A25)-1,MONTH($A25),DAY($A25)),$A:$A,0))-1),"")</f>
        <v/>
      </c>
      <c r="K25" s="7">
        <f>IF(OR(E25="",E24=""),"",E25/E24-1)</f>
        <v/>
      </c>
      <c r="L25" s="7">
        <f>IF(OR(F25="",F24=""),"",F25/F24-1)</f>
        <v/>
      </c>
      <c r="M25" s="7">
        <f>IF(OR(G25="",G24=""),"",G25/G24-1)</f>
        <v/>
      </c>
      <c r="N25" s="7">
        <f>IF(G25="","",E25/G25)</f>
        <v/>
      </c>
      <c r="O25" s="7">
        <f>IF(G25="","",F25/G25)</f>
        <v/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4">
        <f>IF(SUMIFS('Daily NSE Equity Cash'!$H:$H,'Daily NSE Equity Cash'!$A:$A,$A26)=0,"",SUMIFS('Daily NSE Equity Cash'!$H:$H,'Daily NSE Equity Cash'!$A:$A,$A26))</f>
        <v/>
      </c>
      <c r="F26" s="4">
        <f>IF(SUMIFS('Daily BSE Equity Cash'!$H:$H,'Daily BSE Equity Cash'!$A:$A,$A26)=0,"",SUMIFS('Daily BSE Equity Cash'!$H:$H,'Daily BSE Equity Cash'!$A:$A,$A26))</f>
        <v/>
      </c>
      <c r="G26" s="4">
        <f>IF(OR(E26="",F26=""),"",E26+F26)</f>
        <v/>
      </c>
      <c r="H26" s="7">
        <f>IFERROR(IF(OR(E26="",INDEX(E:E,MATCH(DATE(YEAR($A26)-1,MONTH($A26),DAY($A26)),$A:$A,0))=""),"",E26/INDEX(E:E,MATCH(DATE(YEAR($A26)-1,MONTH($A26),DAY($A26)),$A:$A,0))-1),"")</f>
        <v/>
      </c>
      <c r="I26" s="7">
        <f>IFERROR(IF(OR(F26="",INDEX(F:F,MATCH(DATE(YEAR($A26)-1,MONTH($A26),DAY($A26)),$A:$A,0))=""),"",F26/INDEX(F:F,MATCH(DATE(YEAR($A26)-1,MONTH($A26),DAY($A26)),$A:$A,0))-1),"")</f>
        <v/>
      </c>
      <c r="J26" s="7">
        <f>IFERROR(IF(OR(G26="",INDEX(G:G,MATCH(DATE(YEAR($A26)-1,MONTH($A26),DAY($A26)),$A:$A,0))=""),"",G26/INDEX(G:G,MATCH(DATE(YEAR($A26)-1,MONTH($A26),DAY($A26)),$A:$A,0))-1),"")</f>
        <v/>
      </c>
      <c r="K26" s="7">
        <f>IF(OR(E26="",E25=""),"",E26/E25-1)</f>
        <v/>
      </c>
      <c r="L26" s="7">
        <f>IF(OR(F26="",F25=""),"",F26/F25-1)</f>
        <v/>
      </c>
      <c r="M26" s="7">
        <f>IF(OR(G26="",G25=""),"",G26/G25-1)</f>
        <v/>
      </c>
      <c r="N26" s="7">
        <f>IF(G26="","",E26/G26)</f>
        <v/>
      </c>
      <c r="O26" s="7">
        <f>IF(G26="","",F26/G26)</f>
        <v/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4">
        <f>IF(SUMIFS('Daily NSE Equity Cash'!$H:$H,'Daily NSE Equity Cash'!$A:$A,$A27)=0,"",SUMIFS('Daily NSE Equity Cash'!$H:$H,'Daily NSE Equity Cash'!$A:$A,$A27))</f>
        <v/>
      </c>
      <c r="F27" s="4">
        <f>IF(SUMIFS('Daily BSE Equity Cash'!$H:$H,'Daily BSE Equity Cash'!$A:$A,$A27)=0,"",SUMIFS('Daily BSE Equity Cash'!$H:$H,'Daily BSE Equity Cash'!$A:$A,$A27))</f>
        <v/>
      </c>
      <c r="G27" s="4">
        <f>IF(OR(E27="",F27=""),"",E27+F27)</f>
        <v/>
      </c>
      <c r="H27" s="7">
        <f>IFERROR(IF(OR(E27="",INDEX(E:E,MATCH(DATE(YEAR($A27)-1,MONTH($A27),DAY($A27)),$A:$A,0))=""),"",E27/INDEX(E:E,MATCH(DATE(YEAR($A27)-1,MONTH($A27),DAY($A27)),$A:$A,0))-1),"")</f>
        <v/>
      </c>
      <c r="I27" s="7">
        <f>IFERROR(IF(OR(F27="",INDEX(F:F,MATCH(DATE(YEAR($A27)-1,MONTH($A27),DAY($A27)),$A:$A,0))=""),"",F27/INDEX(F:F,MATCH(DATE(YEAR($A27)-1,MONTH($A27),DAY($A27)),$A:$A,0))-1),"")</f>
        <v/>
      </c>
      <c r="J27" s="7">
        <f>IFERROR(IF(OR(G27="",INDEX(G:G,MATCH(DATE(YEAR($A27)-1,MONTH($A27),DAY($A27)),$A:$A,0))=""),"",G27/INDEX(G:G,MATCH(DATE(YEAR($A27)-1,MONTH($A27),DAY($A27)),$A:$A,0))-1),"")</f>
        <v/>
      </c>
      <c r="K27" s="7">
        <f>IF(OR(E27="",E26=""),"",E27/E26-1)</f>
        <v/>
      </c>
      <c r="L27" s="7">
        <f>IF(OR(F27="",F26=""),"",F27/F26-1)</f>
        <v/>
      </c>
      <c r="M27" s="7">
        <f>IF(OR(G27="",G26=""),"",G27/G26-1)</f>
        <v/>
      </c>
      <c r="N27" s="7">
        <f>IF(G27="","",E27/G27)</f>
        <v/>
      </c>
      <c r="O27" s="7">
        <f>IF(G27="","",F27/G27)</f>
        <v/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4">
        <f>IF(SUMIFS('Daily NSE Equity Cash'!$H:$H,'Daily NSE Equity Cash'!$A:$A,$A28)=0,"",SUMIFS('Daily NSE Equity Cash'!$H:$H,'Daily NSE Equity Cash'!$A:$A,$A28))</f>
        <v/>
      </c>
      <c r="F28" s="4">
        <f>IF(SUMIFS('Daily BSE Equity Cash'!$H:$H,'Daily BSE Equity Cash'!$A:$A,$A28)=0,"",SUMIFS('Daily BSE Equity Cash'!$H:$H,'Daily BSE Equity Cash'!$A:$A,$A28))</f>
        <v/>
      </c>
      <c r="G28" s="4">
        <f>IF(OR(E28="",F28=""),"",E28+F28)</f>
        <v/>
      </c>
      <c r="H28" s="7">
        <f>IFERROR(IF(OR(E28="",INDEX(E:E,MATCH(DATE(YEAR($A28)-1,MONTH($A28),DAY($A28)),$A:$A,0))=""),"",E28/INDEX(E:E,MATCH(DATE(YEAR($A28)-1,MONTH($A28),DAY($A28)),$A:$A,0))-1),"")</f>
        <v/>
      </c>
      <c r="I28" s="7">
        <f>IFERROR(IF(OR(F28="",INDEX(F:F,MATCH(DATE(YEAR($A28)-1,MONTH($A28),DAY($A28)),$A:$A,0))=""),"",F28/INDEX(F:F,MATCH(DATE(YEAR($A28)-1,MONTH($A28),DAY($A28)),$A:$A,0))-1),"")</f>
        <v/>
      </c>
      <c r="J28" s="7">
        <f>IFERROR(IF(OR(G28="",INDEX(G:G,MATCH(DATE(YEAR($A28)-1,MONTH($A28),DAY($A28)),$A:$A,0))=""),"",G28/INDEX(G:G,MATCH(DATE(YEAR($A28)-1,MONTH($A28),DAY($A28)),$A:$A,0))-1),"")</f>
        <v/>
      </c>
      <c r="K28" s="7">
        <f>IF(OR(E28="",E27=""),"",E28/E27-1)</f>
        <v/>
      </c>
      <c r="L28" s="7">
        <f>IF(OR(F28="",F27=""),"",F28/F27-1)</f>
        <v/>
      </c>
      <c r="M28" s="7">
        <f>IF(OR(G28="",G27=""),"",G28/G27-1)</f>
        <v/>
      </c>
      <c r="N28" s="7">
        <f>IF(G28="","",E28/G28)</f>
        <v/>
      </c>
      <c r="O28" s="7">
        <f>IF(G28="","",F28/G28)</f>
        <v/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4">
        <f>IF(SUMIFS('Daily NSE Equity Cash'!$H:$H,'Daily NSE Equity Cash'!$A:$A,$A29)=0,"",SUMIFS('Daily NSE Equity Cash'!$H:$H,'Daily NSE Equity Cash'!$A:$A,$A29))</f>
        <v/>
      </c>
      <c r="F29" s="4">
        <f>IF(SUMIFS('Daily BSE Equity Cash'!$H:$H,'Daily BSE Equity Cash'!$A:$A,$A29)=0,"",SUMIFS('Daily BSE Equity Cash'!$H:$H,'Daily BSE Equity Cash'!$A:$A,$A29))</f>
        <v/>
      </c>
      <c r="G29" s="4">
        <f>IF(OR(E29="",F29=""),"",E29+F29)</f>
        <v/>
      </c>
      <c r="H29" s="7">
        <f>IFERROR(IF(OR(E29="",INDEX(E:E,MATCH(DATE(YEAR($A29)-1,MONTH($A29),DAY($A29)),$A:$A,0))=""),"",E29/INDEX(E:E,MATCH(DATE(YEAR($A29)-1,MONTH($A29),DAY($A29)),$A:$A,0))-1),"")</f>
        <v/>
      </c>
      <c r="I29" s="7">
        <f>IFERROR(IF(OR(F29="",INDEX(F:F,MATCH(DATE(YEAR($A29)-1,MONTH($A29),DAY($A29)),$A:$A,0))=""),"",F29/INDEX(F:F,MATCH(DATE(YEAR($A29)-1,MONTH($A29),DAY($A29)),$A:$A,0))-1),"")</f>
        <v/>
      </c>
      <c r="J29" s="7">
        <f>IFERROR(IF(OR(G29="",INDEX(G:G,MATCH(DATE(YEAR($A29)-1,MONTH($A29),DAY($A29)),$A:$A,0))=""),"",G29/INDEX(G:G,MATCH(DATE(YEAR($A29)-1,MONTH($A29),DAY($A29)),$A:$A,0))-1),"")</f>
        <v/>
      </c>
      <c r="K29" s="7">
        <f>IF(OR(E29="",E28=""),"",E29/E28-1)</f>
        <v/>
      </c>
      <c r="L29" s="7">
        <f>IF(OR(F29="",F28=""),"",F29/F28-1)</f>
        <v/>
      </c>
      <c r="M29" s="7">
        <f>IF(OR(G29="",G28=""),"",G29/G28-1)</f>
        <v/>
      </c>
      <c r="N29" s="7">
        <f>IF(G29="","",E29/G29)</f>
        <v/>
      </c>
      <c r="O29" s="7">
        <f>IF(G29="","",F29/G29)</f>
        <v/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4">
        <f>IF(SUMIFS('Daily NSE Equity Cash'!$H:$H,'Daily NSE Equity Cash'!$A:$A,$A30)=0,"",SUMIFS('Daily NSE Equity Cash'!$H:$H,'Daily NSE Equity Cash'!$A:$A,$A30))</f>
        <v/>
      </c>
      <c r="F30" s="4">
        <f>IF(SUMIFS('Daily BSE Equity Cash'!$H:$H,'Daily BSE Equity Cash'!$A:$A,$A30)=0,"",SUMIFS('Daily BSE Equity Cash'!$H:$H,'Daily BSE Equity Cash'!$A:$A,$A30))</f>
        <v/>
      </c>
      <c r="G30" s="4">
        <f>IF(OR(E30="",F30=""),"",E30+F30)</f>
        <v/>
      </c>
      <c r="H30" s="7">
        <f>IFERROR(IF(OR(E30="",INDEX(E:E,MATCH(DATE(YEAR($A30)-1,MONTH($A30),DAY($A30)),$A:$A,0))=""),"",E30/INDEX(E:E,MATCH(DATE(YEAR($A30)-1,MONTH($A30),DAY($A30)),$A:$A,0))-1),"")</f>
        <v/>
      </c>
      <c r="I30" s="7">
        <f>IFERROR(IF(OR(F30="",INDEX(F:F,MATCH(DATE(YEAR($A30)-1,MONTH($A30),DAY($A30)),$A:$A,0))=""),"",F30/INDEX(F:F,MATCH(DATE(YEAR($A30)-1,MONTH($A30),DAY($A30)),$A:$A,0))-1),"")</f>
        <v/>
      </c>
      <c r="J30" s="7">
        <f>IFERROR(IF(OR(G30="",INDEX(G:G,MATCH(DATE(YEAR($A30)-1,MONTH($A30),DAY($A30)),$A:$A,0))=""),"",G30/INDEX(G:G,MATCH(DATE(YEAR($A30)-1,MONTH($A30),DAY($A30)),$A:$A,0))-1),"")</f>
        <v/>
      </c>
      <c r="K30" s="7">
        <f>IF(OR(E30="",E29=""),"",E30/E29-1)</f>
        <v/>
      </c>
      <c r="L30" s="7">
        <f>IF(OR(F30="",F29=""),"",F30/F29-1)</f>
        <v/>
      </c>
      <c r="M30" s="7">
        <f>IF(OR(G30="",G29=""),"",G30/G29-1)</f>
        <v/>
      </c>
      <c r="N30" s="7">
        <f>IF(G30="","",E30/G30)</f>
        <v/>
      </c>
      <c r="O30" s="7">
        <f>IF(G30="","",F30/G30)</f>
        <v/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4">
        <f>IF(SUMIFS('Daily NSE Equity Cash'!$H:$H,'Daily NSE Equity Cash'!$A:$A,$A31)=0,"",SUMIFS('Daily NSE Equity Cash'!$H:$H,'Daily NSE Equity Cash'!$A:$A,$A31))</f>
        <v/>
      </c>
      <c r="F31" s="4">
        <f>IF(SUMIFS('Daily BSE Equity Cash'!$H:$H,'Daily BSE Equity Cash'!$A:$A,$A31)=0,"",SUMIFS('Daily BSE Equity Cash'!$H:$H,'Daily BSE Equity Cash'!$A:$A,$A31))</f>
        <v/>
      </c>
      <c r="G31" s="4">
        <f>IF(OR(E31="",F31=""),"",E31+F31)</f>
        <v/>
      </c>
      <c r="H31" s="7">
        <f>IFERROR(IF(OR(E31="",INDEX(E:E,MATCH(DATE(YEAR($A31)-1,MONTH($A31),DAY($A31)),$A:$A,0))=""),"",E31/INDEX(E:E,MATCH(DATE(YEAR($A31)-1,MONTH($A31),DAY($A31)),$A:$A,0))-1),"")</f>
        <v/>
      </c>
      <c r="I31" s="7">
        <f>IFERROR(IF(OR(F31="",INDEX(F:F,MATCH(DATE(YEAR($A31)-1,MONTH($A31),DAY($A31)),$A:$A,0))=""),"",F31/INDEX(F:F,MATCH(DATE(YEAR($A31)-1,MONTH($A31),DAY($A31)),$A:$A,0))-1),"")</f>
        <v/>
      </c>
      <c r="J31" s="7">
        <f>IFERROR(IF(OR(G31="",INDEX(G:G,MATCH(DATE(YEAR($A31)-1,MONTH($A31),DAY($A31)),$A:$A,0))=""),"",G31/INDEX(G:G,MATCH(DATE(YEAR($A31)-1,MONTH($A31),DAY($A31)),$A:$A,0))-1),"")</f>
        <v/>
      </c>
      <c r="K31" s="7">
        <f>IF(OR(E31="",E30=""),"",E31/E30-1)</f>
        <v/>
      </c>
      <c r="L31" s="7">
        <f>IF(OR(F31="",F30=""),"",F31/F30-1)</f>
        <v/>
      </c>
      <c r="M31" s="7">
        <f>IF(OR(G31="",G30=""),"",G31/G30-1)</f>
        <v/>
      </c>
      <c r="N31" s="7">
        <f>IF(G31="","",E31/G31)</f>
        <v/>
      </c>
      <c r="O31" s="7">
        <f>IF(G31="","",F31/G31)</f>
        <v/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4">
        <f>IF(SUMIFS('Daily NSE Equity Cash'!$H:$H,'Daily NSE Equity Cash'!$A:$A,$A32)=0,"",SUMIFS('Daily NSE Equity Cash'!$H:$H,'Daily NSE Equity Cash'!$A:$A,$A32))</f>
        <v/>
      </c>
      <c r="F32" s="4">
        <f>IF(SUMIFS('Daily BSE Equity Cash'!$H:$H,'Daily BSE Equity Cash'!$A:$A,$A32)=0,"",SUMIFS('Daily BSE Equity Cash'!$H:$H,'Daily BSE Equity Cash'!$A:$A,$A32))</f>
        <v/>
      </c>
      <c r="G32" s="4">
        <f>IF(OR(E32="",F32=""),"",E32+F32)</f>
        <v/>
      </c>
      <c r="H32" s="7">
        <f>IFERROR(IF(OR(E32="",INDEX(E:E,MATCH(DATE(YEAR($A32)-1,MONTH($A32),DAY($A32)),$A:$A,0))=""),"",E32/INDEX(E:E,MATCH(DATE(YEAR($A32)-1,MONTH($A32),DAY($A32)),$A:$A,0))-1),"")</f>
        <v/>
      </c>
      <c r="I32" s="7">
        <f>IFERROR(IF(OR(F32="",INDEX(F:F,MATCH(DATE(YEAR($A32)-1,MONTH($A32),DAY($A32)),$A:$A,0))=""),"",F32/INDEX(F:F,MATCH(DATE(YEAR($A32)-1,MONTH($A32),DAY($A32)),$A:$A,0))-1),"")</f>
        <v/>
      </c>
      <c r="J32" s="7">
        <f>IFERROR(IF(OR(G32="",INDEX(G:G,MATCH(DATE(YEAR($A32)-1,MONTH($A32),DAY($A32)),$A:$A,0))=""),"",G32/INDEX(G:G,MATCH(DATE(YEAR($A32)-1,MONTH($A32),DAY($A32)),$A:$A,0))-1),"")</f>
        <v/>
      </c>
      <c r="K32" s="7">
        <f>IF(OR(E32="",E31=""),"",E32/E31-1)</f>
        <v/>
      </c>
      <c r="L32" s="7">
        <f>IF(OR(F32="",F31=""),"",F32/F31-1)</f>
        <v/>
      </c>
      <c r="M32" s="7">
        <f>IF(OR(G32="",G31=""),"",G32/G31-1)</f>
        <v/>
      </c>
      <c r="N32" s="7">
        <f>IF(G32="","",E32/G32)</f>
        <v/>
      </c>
      <c r="O32" s="7">
        <f>IF(G32="","",F32/G32)</f>
        <v/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4">
        <f>IF(SUMIFS('Daily NSE Equity Cash'!$H:$H,'Daily NSE Equity Cash'!$A:$A,$A33)=0,"",SUMIFS('Daily NSE Equity Cash'!$H:$H,'Daily NSE Equity Cash'!$A:$A,$A33))</f>
        <v/>
      </c>
      <c r="F33" s="4">
        <f>IF(SUMIFS('Daily BSE Equity Cash'!$H:$H,'Daily BSE Equity Cash'!$A:$A,$A33)=0,"",SUMIFS('Daily BSE Equity Cash'!$H:$H,'Daily BSE Equity Cash'!$A:$A,$A33))</f>
        <v/>
      </c>
      <c r="G33" s="4">
        <f>IF(OR(E33="",F33=""),"",E33+F33)</f>
        <v/>
      </c>
      <c r="H33" s="7">
        <f>IFERROR(IF(OR(E33="",INDEX(E:E,MATCH(DATE(YEAR($A33)-1,MONTH($A33),DAY($A33)),$A:$A,0))=""),"",E33/INDEX(E:E,MATCH(DATE(YEAR($A33)-1,MONTH($A33),DAY($A33)),$A:$A,0))-1),"")</f>
        <v/>
      </c>
      <c r="I33" s="7">
        <f>IFERROR(IF(OR(F33="",INDEX(F:F,MATCH(DATE(YEAR($A33)-1,MONTH($A33),DAY($A33)),$A:$A,0))=""),"",F33/INDEX(F:F,MATCH(DATE(YEAR($A33)-1,MONTH($A33),DAY($A33)),$A:$A,0))-1),"")</f>
        <v/>
      </c>
      <c r="J33" s="7">
        <f>IFERROR(IF(OR(G33="",INDEX(G:G,MATCH(DATE(YEAR($A33)-1,MONTH($A33),DAY($A33)),$A:$A,0))=""),"",G33/INDEX(G:G,MATCH(DATE(YEAR($A33)-1,MONTH($A33),DAY($A33)),$A:$A,0))-1),"")</f>
        <v/>
      </c>
      <c r="K33" s="7">
        <f>IF(OR(E33="",E32=""),"",E33/E32-1)</f>
        <v/>
      </c>
      <c r="L33" s="7">
        <f>IF(OR(F33="",F32=""),"",F33/F32-1)</f>
        <v/>
      </c>
      <c r="M33" s="7">
        <f>IF(OR(G33="",G32=""),"",G33/G32-1)</f>
        <v/>
      </c>
      <c r="N33" s="7">
        <f>IF(G33="","",E33/G33)</f>
        <v/>
      </c>
      <c r="O33" s="7">
        <f>IF(G33="","",F33/G33)</f>
        <v/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4">
        <f>IF(SUMIFS('Daily NSE Equity Cash'!$H:$H,'Daily NSE Equity Cash'!$A:$A,$A34)=0,"",SUMIFS('Daily NSE Equity Cash'!$H:$H,'Daily NSE Equity Cash'!$A:$A,$A34))</f>
        <v/>
      </c>
      <c r="F34" s="4">
        <f>IF(SUMIFS('Daily BSE Equity Cash'!$H:$H,'Daily BSE Equity Cash'!$A:$A,$A34)=0,"",SUMIFS('Daily BSE Equity Cash'!$H:$H,'Daily BSE Equity Cash'!$A:$A,$A34))</f>
        <v/>
      </c>
      <c r="G34" s="4">
        <f>IF(OR(E34="",F34=""),"",E34+F34)</f>
        <v/>
      </c>
      <c r="H34" s="7">
        <f>IFERROR(IF(OR(E34="",INDEX(E:E,MATCH(DATE(YEAR($A34)-1,MONTH($A34),DAY($A34)),$A:$A,0))=""),"",E34/INDEX(E:E,MATCH(DATE(YEAR($A34)-1,MONTH($A34),DAY($A34)),$A:$A,0))-1),"")</f>
        <v/>
      </c>
      <c r="I34" s="7">
        <f>IFERROR(IF(OR(F34="",INDEX(F:F,MATCH(DATE(YEAR($A34)-1,MONTH($A34),DAY($A34)),$A:$A,0))=""),"",F34/INDEX(F:F,MATCH(DATE(YEAR($A34)-1,MONTH($A34),DAY($A34)),$A:$A,0))-1),"")</f>
        <v/>
      </c>
      <c r="J34" s="7">
        <f>IFERROR(IF(OR(G34="",INDEX(G:G,MATCH(DATE(YEAR($A34)-1,MONTH($A34),DAY($A34)),$A:$A,0))=""),"",G34/INDEX(G:G,MATCH(DATE(YEAR($A34)-1,MONTH($A34),DAY($A34)),$A:$A,0))-1),"")</f>
        <v/>
      </c>
      <c r="K34" s="7">
        <f>IF(OR(E34="",E33=""),"",E34/E33-1)</f>
        <v/>
      </c>
      <c r="L34" s="7">
        <f>IF(OR(F34="",F33=""),"",F34/F33-1)</f>
        <v/>
      </c>
      <c r="M34" s="7">
        <f>IF(OR(G34="",G33=""),"",G34/G33-1)</f>
        <v/>
      </c>
      <c r="N34" s="7">
        <f>IF(G34="","",E34/G34)</f>
        <v/>
      </c>
      <c r="O34" s="7">
        <f>IF(G34="","",F34/G34)</f>
        <v/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4">
        <f>IF(SUMIFS('Daily NSE Equity Cash'!$H:$H,'Daily NSE Equity Cash'!$A:$A,$A35)=0,"",SUMIFS('Daily NSE Equity Cash'!$H:$H,'Daily NSE Equity Cash'!$A:$A,$A35))</f>
        <v/>
      </c>
      <c r="F35" s="4">
        <f>IF(SUMIFS('Daily BSE Equity Cash'!$H:$H,'Daily BSE Equity Cash'!$A:$A,$A35)=0,"",SUMIFS('Daily BSE Equity Cash'!$H:$H,'Daily BSE Equity Cash'!$A:$A,$A35))</f>
        <v/>
      </c>
      <c r="G35" s="4">
        <f>IF(OR(E35="",F35=""),"",E35+F35)</f>
        <v/>
      </c>
      <c r="H35" s="7">
        <f>IFERROR(IF(OR(E35="",INDEX(E:E,MATCH(DATE(YEAR($A35)-1,MONTH($A35),DAY($A35)),$A:$A,0))=""),"",E35/INDEX(E:E,MATCH(DATE(YEAR($A35)-1,MONTH($A35),DAY($A35)),$A:$A,0))-1),"")</f>
        <v/>
      </c>
      <c r="I35" s="7">
        <f>IFERROR(IF(OR(F35="",INDEX(F:F,MATCH(DATE(YEAR($A35)-1,MONTH($A35),DAY($A35)),$A:$A,0))=""),"",F35/INDEX(F:F,MATCH(DATE(YEAR($A35)-1,MONTH($A35),DAY($A35)),$A:$A,0))-1),"")</f>
        <v/>
      </c>
      <c r="J35" s="7">
        <f>IFERROR(IF(OR(G35="",INDEX(G:G,MATCH(DATE(YEAR($A35)-1,MONTH($A35),DAY($A35)),$A:$A,0))=""),"",G35/INDEX(G:G,MATCH(DATE(YEAR($A35)-1,MONTH($A35),DAY($A35)),$A:$A,0))-1),"")</f>
        <v/>
      </c>
      <c r="K35" s="7">
        <f>IF(OR(E35="",E34=""),"",E35/E34-1)</f>
        <v/>
      </c>
      <c r="L35" s="7">
        <f>IF(OR(F35="",F34=""),"",F35/F34-1)</f>
        <v/>
      </c>
      <c r="M35" s="7">
        <f>IF(OR(G35="",G34=""),"",G35/G34-1)</f>
        <v/>
      </c>
      <c r="N35" s="7">
        <f>IF(G35="","",E35/G35)</f>
        <v/>
      </c>
      <c r="O35" s="7">
        <f>IF(G35="","",F35/G35)</f>
        <v/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4">
        <f>IF(SUMIFS('Daily NSE Equity Cash'!$H:$H,'Daily NSE Equity Cash'!$A:$A,$A36)=0,"",SUMIFS('Daily NSE Equity Cash'!$H:$H,'Daily NSE Equity Cash'!$A:$A,$A36))</f>
        <v/>
      </c>
      <c r="F36" s="4">
        <f>IF(SUMIFS('Daily BSE Equity Cash'!$H:$H,'Daily BSE Equity Cash'!$A:$A,$A36)=0,"",SUMIFS('Daily BSE Equity Cash'!$H:$H,'Daily BSE Equity Cash'!$A:$A,$A36))</f>
        <v/>
      </c>
      <c r="G36" s="4">
        <f>IF(OR(E36="",F36=""),"",E36+F36)</f>
        <v/>
      </c>
      <c r="H36" s="7">
        <f>IFERROR(IF(OR(E36="",INDEX(E:E,MATCH(DATE(YEAR($A36)-1,MONTH($A36),DAY($A36)),$A:$A,0))=""),"",E36/INDEX(E:E,MATCH(DATE(YEAR($A36)-1,MONTH($A36),DAY($A36)),$A:$A,0))-1),"")</f>
        <v/>
      </c>
      <c r="I36" s="7">
        <f>IFERROR(IF(OR(F36="",INDEX(F:F,MATCH(DATE(YEAR($A36)-1,MONTH($A36),DAY($A36)),$A:$A,0))=""),"",F36/INDEX(F:F,MATCH(DATE(YEAR($A36)-1,MONTH($A36),DAY($A36)),$A:$A,0))-1),"")</f>
        <v/>
      </c>
      <c r="J36" s="7">
        <f>IFERROR(IF(OR(G36="",INDEX(G:G,MATCH(DATE(YEAR($A36)-1,MONTH($A36),DAY($A36)),$A:$A,0))=""),"",G36/INDEX(G:G,MATCH(DATE(YEAR($A36)-1,MONTH($A36),DAY($A36)),$A:$A,0))-1),"")</f>
        <v/>
      </c>
      <c r="K36" s="7">
        <f>IF(OR(E36="",E35=""),"",E36/E35-1)</f>
        <v/>
      </c>
      <c r="L36" s="7">
        <f>IF(OR(F36="",F35=""),"",F36/F35-1)</f>
        <v/>
      </c>
      <c r="M36" s="7">
        <f>IF(OR(G36="",G35=""),"",G36/G35-1)</f>
        <v/>
      </c>
      <c r="N36" s="7">
        <f>IF(G36="","",E36/G36)</f>
        <v/>
      </c>
      <c r="O36" s="7">
        <f>IF(G36="","",F36/G36)</f>
        <v/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4">
        <f>IF(SUMIFS('Daily NSE Equity Cash'!$H:$H,'Daily NSE Equity Cash'!$A:$A,$A37)=0,"",SUMIFS('Daily NSE Equity Cash'!$H:$H,'Daily NSE Equity Cash'!$A:$A,$A37))</f>
        <v/>
      </c>
      <c r="F37" s="4">
        <f>IF(SUMIFS('Daily BSE Equity Cash'!$H:$H,'Daily BSE Equity Cash'!$A:$A,$A37)=0,"",SUMIFS('Daily BSE Equity Cash'!$H:$H,'Daily BSE Equity Cash'!$A:$A,$A37))</f>
        <v/>
      </c>
      <c r="G37" s="4">
        <f>IF(OR(E37="",F37=""),"",E37+F37)</f>
        <v/>
      </c>
      <c r="H37" s="7">
        <f>IFERROR(IF(OR(E37="",INDEX(E:E,MATCH(DATE(YEAR($A37)-1,MONTH($A37),DAY($A37)),$A:$A,0))=""),"",E37/INDEX(E:E,MATCH(DATE(YEAR($A37)-1,MONTH($A37),DAY($A37)),$A:$A,0))-1),"")</f>
        <v/>
      </c>
      <c r="I37" s="7">
        <f>IFERROR(IF(OR(F37="",INDEX(F:F,MATCH(DATE(YEAR($A37)-1,MONTH($A37),DAY($A37)),$A:$A,0))=""),"",F37/INDEX(F:F,MATCH(DATE(YEAR($A37)-1,MONTH($A37),DAY($A37)),$A:$A,0))-1),"")</f>
        <v/>
      </c>
      <c r="J37" s="7">
        <f>IFERROR(IF(OR(G37="",INDEX(G:G,MATCH(DATE(YEAR($A37)-1,MONTH($A37),DAY($A37)),$A:$A,0))=""),"",G37/INDEX(G:G,MATCH(DATE(YEAR($A37)-1,MONTH($A37),DAY($A37)),$A:$A,0))-1),"")</f>
        <v/>
      </c>
      <c r="K37" s="7">
        <f>IF(OR(E37="",E36=""),"",E37/E36-1)</f>
        <v/>
      </c>
      <c r="L37" s="7">
        <f>IF(OR(F37="",F36=""),"",F37/F36-1)</f>
        <v/>
      </c>
      <c r="M37" s="7">
        <f>IF(OR(G37="",G36=""),"",G37/G36-1)</f>
        <v/>
      </c>
      <c r="N37" s="7">
        <f>IF(G37="","",E37/G37)</f>
        <v/>
      </c>
      <c r="O37" s="7">
        <f>IF(G37="","",F37/G37)</f>
        <v/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4">
        <f>IF(SUMIFS('Daily NSE Equity Cash'!$H:$H,'Daily NSE Equity Cash'!$A:$A,$A38)=0,"",SUMIFS('Daily NSE Equity Cash'!$H:$H,'Daily NSE Equity Cash'!$A:$A,$A38))</f>
        <v/>
      </c>
      <c r="F38" s="4">
        <f>IF(SUMIFS('Daily BSE Equity Cash'!$H:$H,'Daily BSE Equity Cash'!$A:$A,$A38)=0,"",SUMIFS('Daily BSE Equity Cash'!$H:$H,'Daily BSE Equity Cash'!$A:$A,$A38))</f>
        <v/>
      </c>
      <c r="G38" s="4">
        <f>IF(OR(E38="",F38=""),"",E38+F38)</f>
        <v/>
      </c>
      <c r="H38" s="7">
        <f>IFERROR(IF(OR(E38="",INDEX(E:E,MATCH(DATE(YEAR($A38)-1,MONTH($A38),DAY($A38)),$A:$A,0))=""),"",E38/INDEX(E:E,MATCH(DATE(YEAR($A38)-1,MONTH($A38),DAY($A38)),$A:$A,0))-1),"")</f>
        <v/>
      </c>
      <c r="I38" s="7">
        <f>IFERROR(IF(OR(F38="",INDEX(F:F,MATCH(DATE(YEAR($A38)-1,MONTH($A38),DAY($A38)),$A:$A,0))=""),"",F38/INDEX(F:F,MATCH(DATE(YEAR($A38)-1,MONTH($A38),DAY($A38)),$A:$A,0))-1),"")</f>
        <v/>
      </c>
      <c r="J38" s="7">
        <f>IFERROR(IF(OR(G38="",INDEX(G:G,MATCH(DATE(YEAR($A38)-1,MONTH($A38),DAY($A38)),$A:$A,0))=""),"",G38/INDEX(G:G,MATCH(DATE(YEAR($A38)-1,MONTH($A38),DAY($A38)),$A:$A,0))-1),"")</f>
        <v/>
      </c>
      <c r="K38" s="7">
        <f>IF(OR(E38="",E37=""),"",E38/E37-1)</f>
        <v/>
      </c>
      <c r="L38" s="7">
        <f>IF(OR(F38="",F37=""),"",F38/F37-1)</f>
        <v/>
      </c>
      <c r="M38" s="7">
        <f>IF(OR(G38="",G37=""),"",G38/G37-1)</f>
        <v/>
      </c>
      <c r="N38" s="7">
        <f>IF(G38="","",E38/G38)</f>
        <v/>
      </c>
      <c r="O38" s="7">
        <f>IF(G38="","",F38/G38)</f>
        <v/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4">
        <f>IF(SUMIFS('Daily NSE Equity Cash'!$H:$H,'Daily NSE Equity Cash'!$A:$A,$A39)=0,"",SUMIFS('Daily NSE Equity Cash'!$H:$H,'Daily NSE Equity Cash'!$A:$A,$A39))</f>
        <v/>
      </c>
      <c r="F39" s="4">
        <f>IF(SUMIFS('Daily BSE Equity Cash'!$H:$H,'Daily BSE Equity Cash'!$A:$A,$A39)=0,"",SUMIFS('Daily BSE Equity Cash'!$H:$H,'Daily BSE Equity Cash'!$A:$A,$A39))</f>
        <v/>
      </c>
      <c r="G39" s="4">
        <f>IF(OR(E39="",F39=""),"",E39+F39)</f>
        <v/>
      </c>
      <c r="H39" s="7">
        <f>IFERROR(IF(OR(E39="",INDEX(E:E,MATCH(DATE(YEAR($A39)-1,MONTH($A39),DAY($A39)),$A:$A,0))=""),"",E39/INDEX(E:E,MATCH(DATE(YEAR($A39)-1,MONTH($A39),DAY($A39)),$A:$A,0))-1),"")</f>
        <v/>
      </c>
      <c r="I39" s="7">
        <f>IFERROR(IF(OR(F39="",INDEX(F:F,MATCH(DATE(YEAR($A39)-1,MONTH($A39),DAY($A39)),$A:$A,0))=""),"",F39/INDEX(F:F,MATCH(DATE(YEAR($A39)-1,MONTH($A39),DAY($A39)),$A:$A,0))-1),"")</f>
        <v/>
      </c>
      <c r="J39" s="7">
        <f>IFERROR(IF(OR(G39="",INDEX(G:G,MATCH(DATE(YEAR($A39)-1,MONTH($A39),DAY($A39)),$A:$A,0))=""),"",G39/INDEX(G:G,MATCH(DATE(YEAR($A39)-1,MONTH($A39),DAY($A39)),$A:$A,0))-1),"")</f>
        <v/>
      </c>
      <c r="K39" s="7">
        <f>IF(OR(E39="",E38=""),"",E39/E38-1)</f>
        <v/>
      </c>
      <c r="L39" s="7">
        <f>IF(OR(F39="",F38=""),"",F39/F38-1)</f>
        <v/>
      </c>
      <c r="M39" s="7">
        <f>IF(OR(G39="",G38=""),"",G39/G38-1)</f>
        <v/>
      </c>
      <c r="N39" s="7">
        <f>IF(G39="","",E39/G39)</f>
        <v/>
      </c>
      <c r="O39" s="7">
        <f>IF(G39="","",F39/G39)</f>
        <v/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4">
        <f>IF(SUMIFS('Daily NSE Equity Cash'!$H:$H,'Daily NSE Equity Cash'!$A:$A,$A40)=0,"",SUMIFS('Daily NSE Equity Cash'!$H:$H,'Daily NSE Equity Cash'!$A:$A,$A40))</f>
        <v/>
      </c>
      <c r="F40" s="4">
        <f>IF(SUMIFS('Daily BSE Equity Cash'!$H:$H,'Daily BSE Equity Cash'!$A:$A,$A40)=0,"",SUMIFS('Daily BSE Equity Cash'!$H:$H,'Daily BSE Equity Cash'!$A:$A,$A40))</f>
        <v/>
      </c>
      <c r="G40" s="4">
        <f>IF(OR(E40="",F40=""),"",E40+F40)</f>
        <v/>
      </c>
      <c r="H40" s="7">
        <f>IFERROR(IF(OR(E40="",INDEX(E:E,MATCH(DATE(YEAR($A40)-1,MONTH($A40),DAY($A40)),$A:$A,0))=""),"",E40/INDEX(E:E,MATCH(DATE(YEAR($A40)-1,MONTH($A40),DAY($A40)),$A:$A,0))-1),"")</f>
        <v/>
      </c>
      <c r="I40" s="7">
        <f>IFERROR(IF(OR(F40="",INDEX(F:F,MATCH(DATE(YEAR($A40)-1,MONTH($A40),DAY($A40)),$A:$A,0))=""),"",F40/INDEX(F:F,MATCH(DATE(YEAR($A40)-1,MONTH($A40),DAY($A40)),$A:$A,0))-1),"")</f>
        <v/>
      </c>
      <c r="J40" s="7">
        <f>IFERROR(IF(OR(G40="",INDEX(G:G,MATCH(DATE(YEAR($A40)-1,MONTH($A40),DAY($A40)),$A:$A,0))=""),"",G40/INDEX(G:G,MATCH(DATE(YEAR($A40)-1,MONTH($A40),DAY($A40)),$A:$A,0))-1),"")</f>
        <v/>
      </c>
      <c r="K40" s="7">
        <f>IF(OR(E40="",E39=""),"",E40/E39-1)</f>
        <v/>
      </c>
      <c r="L40" s="7">
        <f>IF(OR(F40="",F39=""),"",F40/F39-1)</f>
        <v/>
      </c>
      <c r="M40" s="7">
        <f>IF(OR(G40="",G39=""),"",G40/G39-1)</f>
        <v/>
      </c>
      <c r="N40" s="7">
        <f>IF(G40="","",E40/G40)</f>
        <v/>
      </c>
      <c r="O40" s="7">
        <f>IF(G40="","",F40/G40)</f>
        <v/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4">
        <f>IF(SUMIFS('Daily NSE Equity Cash'!$H:$H,'Daily NSE Equity Cash'!$A:$A,$A41)=0,"",SUMIFS('Daily NSE Equity Cash'!$H:$H,'Daily NSE Equity Cash'!$A:$A,$A41))</f>
        <v/>
      </c>
      <c r="F41" s="4">
        <f>IF(SUMIFS('Daily BSE Equity Cash'!$H:$H,'Daily BSE Equity Cash'!$A:$A,$A41)=0,"",SUMIFS('Daily BSE Equity Cash'!$H:$H,'Daily BSE Equity Cash'!$A:$A,$A41))</f>
        <v/>
      </c>
      <c r="G41" s="4">
        <f>IF(OR(E41="",F41=""),"",E41+F41)</f>
        <v/>
      </c>
      <c r="H41" s="7">
        <f>IFERROR(IF(OR(E41="",INDEX(E:E,MATCH(DATE(YEAR($A41)-1,MONTH($A41),DAY($A41)),$A:$A,0))=""),"",E41/INDEX(E:E,MATCH(DATE(YEAR($A41)-1,MONTH($A41),DAY($A41)),$A:$A,0))-1),"")</f>
        <v/>
      </c>
      <c r="I41" s="7">
        <f>IFERROR(IF(OR(F41="",INDEX(F:F,MATCH(DATE(YEAR($A41)-1,MONTH($A41),DAY($A41)),$A:$A,0))=""),"",F41/INDEX(F:F,MATCH(DATE(YEAR($A41)-1,MONTH($A41),DAY($A41)),$A:$A,0))-1),"")</f>
        <v/>
      </c>
      <c r="J41" s="7">
        <f>IFERROR(IF(OR(G41="",INDEX(G:G,MATCH(DATE(YEAR($A41)-1,MONTH($A41),DAY($A41)),$A:$A,0))=""),"",G41/INDEX(G:G,MATCH(DATE(YEAR($A41)-1,MONTH($A41),DAY($A41)),$A:$A,0))-1),"")</f>
        <v/>
      </c>
      <c r="K41" s="7">
        <f>IF(OR(E41="",E40=""),"",E41/E40-1)</f>
        <v/>
      </c>
      <c r="L41" s="7">
        <f>IF(OR(F41="",F40=""),"",F41/F40-1)</f>
        <v/>
      </c>
      <c r="M41" s="7">
        <f>IF(OR(G41="",G40=""),"",G41/G40-1)</f>
        <v/>
      </c>
      <c r="N41" s="7">
        <f>IF(G41="","",E41/G41)</f>
        <v/>
      </c>
      <c r="O41" s="7">
        <f>IF(G41="","",F41/G41)</f>
        <v/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4">
        <f>IF(SUMIFS('Daily NSE Equity Cash'!$H:$H,'Daily NSE Equity Cash'!$A:$A,$A42)=0,"",SUMIFS('Daily NSE Equity Cash'!$H:$H,'Daily NSE Equity Cash'!$A:$A,$A42))</f>
        <v/>
      </c>
      <c r="F42" s="4">
        <f>IF(SUMIFS('Daily BSE Equity Cash'!$H:$H,'Daily BSE Equity Cash'!$A:$A,$A42)=0,"",SUMIFS('Daily BSE Equity Cash'!$H:$H,'Daily BSE Equity Cash'!$A:$A,$A42))</f>
        <v/>
      </c>
      <c r="G42" s="4">
        <f>IF(OR(E42="",F42=""),"",E42+F42)</f>
        <v/>
      </c>
      <c r="H42" s="7">
        <f>IFERROR(IF(OR(E42="",INDEX(E:E,MATCH(DATE(YEAR($A42)-1,MONTH($A42),DAY($A42)),$A:$A,0))=""),"",E42/INDEX(E:E,MATCH(DATE(YEAR($A42)-1,MONTH($A42),DAY($A42)),$A:$A,0))-1),"")</f>
        <v/>
      </c>
      <c r="I42" s="7">
        <f>IFERROR(IF(OR(F42="",INDEX(F:F,MATCH(DATE(YEAR($A42)-1,MONTH($A42),DAY($A42)),$A:$A,0))=""),"",F42/INDEX(F:F,MATCH(DATE(YEAR($A42)-1,MONTH($A42),DAY($A42)),$A:$A,0))-1),"")</f>
        <v/>
      </c>
      <c r="J42" s="7">
        <f>IFERROR(IF(OR(G42="",INDEX(G:G,MATCH(DATE(YEAR($A42)-1,MONTH($A42),DAY($A42)),$A:$A,0))=""),"",G42/INDEX(G:G,MATCH(DATE(YEAR($A42)-1,MONTH($A42),DAY($A42)),$A:$A,0))-1),"")</f>
        <v/>
      </c>
      <c r="K42" s="7">
        <f>IF(OR(E42="",E41=""),"",E42/E41-1)</f>
        <v/>
      </c>
      <c r="L42" s="7">
        <f>IF(OR(F42="",F41=""),"",F42/F41-1)</f>
        <v/>
      </c>
      <c r="M42" s="7">
        <f>IF(OR(G42="",G41=""),"",G42/G41-1)</f>
        <v/>
      </c>
      <c r="N42" s="7">
        <f>IF(G42="","",E42/G42)</f>
        <v/>
      </c>
      <c r="O42" s="7">
        <f>IF(G42="","",F42/G42)</f>
        <v/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4">
        <f>IF(SUMIFS('Daily NSE Equity Cash'!$H:$H,'Daily NSE Equity Cash'!$A:$A,$A43)=0,"",SUMIFS('Daily NSE Equity Cash'!$H:$H,'Daily NSE Equity Cash'!$A:$A,$A43))</f>
        <v/>
      </c>
      <c r="F43" s="4">
        <f>IF(SUMIFS('Daily BSE Equity Cash'!$H:$H,'Daily BSE Equity Cash'!$A:$A,$A43)=0,"",SUMIFS('Daily BSE Equity Cash'!$H:$H,'Daily BSE Equity Cash'!$A:$A,$A43))</f>
        <v/>
      </c>
      <c r="G43" s="4">
        <f>IF(OR(E43="",F43=""),"",E43+F43)</f>
        <v/>
      </c>
      <c r="H43" s="7">
        <f>IFERROR(IF(OR(E43="",INDEX(E:E,MATCH(DATE(YEAR($A43)-1,MONTH($A43),DAY($A43)),$A:$A,0))=""),"",E43/INDEX(E:E,MATCH(DATE(YEAR($A43)-1,MONTH($A43),DAY($A43)),$A:$A,0))-1),"")</f>
        <v/>
      </c>
      <c r="I43" s="7">
        <f>IFERROR(IF(OR(F43="",INDEX(F:F,MATCH(DATE(YEAR($A43)-1,MONTH($A43),DAY($A43)),$A:$A,0))=""),"",F43/INDEX(F:F,MATCH(DATE(YEAR($A43)-1,MONTH($A43),DAY($A43)),$A:$A,0))-1),"")</f>
        <v/>
      </c>
      <c r="J43" s="7">
        <f>IFERROR(IF(OR(G43="",INDEX(G:G,MATCH(DATE(YEAR($A43)-1,MONTH($A43),DAY($A43)),$A:$A,0))=""),"",G43/INDEX(G:G,MATCH(DATE(YEAR($A43)-1,MONTH($A43),DAY($A43)),$A:$A,0))-1),"")</f>
        <v/>
      </c>
      <c r="K43" s="7">
        <f>IF(OR(E43="",E42=""),"",E43/E42-1)</f>
        <v/>
      </c>
      <c r="L43" s="7">
        <f>IF(OR(F43="",F42=""),"",F43/F42-1)</f>
        <v/>
      </c>
      <c r="M43" s="7">
        <f>IF(OR(G43="",G42=""),"",G43/G42-1)</f>
        <v/>
      </c>
      <c r="N43" s="7">
        <f>IF(G43="","",E43/G43)</f>
        <v/>
      </c>
      <c r="O43" s="7">
        <f>IF(G43="","",F43/G43)</f>
        <v/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4">
        <f>IF(SUMIFS('Daily NSE Equity Cash'!$H:$H,'Daily NSE Equity Cash'!$A:$A,$A44)=0,"",SUMIFS('Daily NSE Equity Cash'!$H:$H,'Daily NSE Equity Cash'!$A:$A,$A44))</f>
        <v/>
      </c>
      <c r="F44" s="4">
        <f>IF(SUMIFS('Daily BSE Equity Cash'!$H:$H,'Daily BSE Equity Cash'!$A:$A,$A44)=0,"",SUMIFS('Daily BSE Equity Cash'!$H:$H,'Daily BSE Equity Cash'!$A:$A,$A44))</f>
        <v/>
      </c>
      <c r="G44" s="4">
        <f>IF(OR(E44="",F44=""),"",E44+F44)</f>
        <v/>
      </c>
      <c r="H44" s="7">
        <f>IFERROR(IF(OR(E44="",INDEX(E:E,MATCH(DATE(YEAR($A44)-1,MONTH($A44),DAY($A44)),$A:$A,0))=""),"",E44/INDEX(E:E,MATCH(DATE(YEAR($A44)-1,MONTH($A44),DAY($A44)),$A:$A,0))-1),"")</f>
        <v/>
      </c>
      <c r="I44" s="7">
        <f>IFERROR(IF(OR(F44="",INDEX(F:F,MATCH(DATE(YEAR($A44)-1,MONTH($A44),DAY($A44)),$A:$A,0))=""),"",F44/INDEX(F:F,MATCH(DATE(YEAR($A44)-1,MONTH($A44),DAY($A44)),$A:$A,0))-1),"")</f>
        <v/>
      </c>
      <c r="J44" s="7">
        <f>IFERROR(IF(OR(G44="",INDEX(G:G,MATCH(DATE(YEAR($A44)-1,MONTH($A44),DAY($A44)),$A:$A,0))=""),"",G44/INDEX(G:G,MATCH(DATE(YEAR($A44)-1,MONTH($A44),DAY($A44)),$A:$A,0))-1),"")</f>
        <v/>
      </c>
      <c r="K44" s="7">
        <f>IF(OR(E44="",E43=""),"",E44/E43-1)</f>
        <v/>
      </c>
      <c r="L44" s="7">
        <f>IF(OR(F44="",F43=""),"",F44/F43-1)</f>
        <v/>
      </c>
      <c r="M44" s="7">
        <f>IF(OR(G44="",G43=""),"",G44/G43-1)</f>
        <v/>
      </c>
      <c r="N44" s="7">
        <f>IF(G44="","",E44/G44)</f>
        <v/>
      </c>
      <c r="O44" s="7">
        <f>IF(G44="","",F44/G44)</f>
        <v/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4">
        <f>IF(SUMIFS('Daily NSE Equity Cash'!$H:$H,'Daily NSE Equity Cash'!$A:$A,$A45)=0,"",SUMIFS('Daily NSE Equity Cash'!$H:$H,'Daily NSE Equity Cash'!$A:$A,$A45))</f>
        <v/>
      </c>
      <c r="F45" s="4">
        <f>IF(SUMIFS('Daily BSE Equity Cash'!$H:$H,'Daily BSE Equity Cash'!$A:$A,$A45)=0,"",SUMIFS('Daily BSE Equity Cash'!$H:$H,'Daily BSE Equity Cash'!$A:$A,$A45))</f>
        <v/>
      </c>
      <c r="G45" s="4">
        <f>IF(OR(E45="",F45=""),"",E45+F45)</f>
        <v/>
      </c>
      <c r="H45" s="7">
        <f>IFERROR(IF(OR(E45="",INDEX(E:E,MATCH(DATE(YEAR($A45)-1,MONTH($A45),DAY($A45)),$A:$A,0))=""),"",E45/INDEX(E:E,MATCH(DATE(YEAR($A45)-1,MONTH($A45),DAY($A45)),$A:$A,0))-1),"")</f>
        <v/>
      </c>
      <c r="I45" s="7">
        <f>IFERROR(IF(OR(F45="",INDEX(F:F,MATCH(DATE(YEAR($A45)-1,MONTH($A45),DAY($A45)),$A:$A,0))=""),"",F45/INDEX(F:F,MATCH(DATE(YEAR($A45)-1,MONTH($A45),DAY($A45)),$A:$A,0))-1),"")</f>
        <v/>
      </c>
      <c r="J45" s="7">
        <f>IFERROR(IF(OR(G45="",INDEX(G:G,MATCH(DATE(YEAR($A45)-1,MONTH($A45),DAY($A45)),$A:$A,0))=""),"",G45/INDEX(G:G,MATCH(DATE(YEAR($A45)-1,MONTH($A45),DAY($A45)),$A:$A,0))-1),"")</f>
        <v/>
      </c>
      <c r="K45" s="7">
        <f>IF(OR(E45="",E44=""),"",E45/E44-1)</f>
        <v/>
      </c>
      <c r="L45" s="7">
        <f>IF(OR(F45="",F44=""),"",F45/F44-1)</f>
        <v/>
      </c>
      <c r="M45" s="7">
        <f>IF(OR(G45="",G44=""),"",G45/G44-1)</f>
        <v/>
      </c>
      <c r="N45" s="7">
        <f>IF(G45="","",E45/G45)</f>
        <v/>
      </c>
      <c r="O45" s="7">
        <f>IF(G45="","",F45/G45)</f>
        <v/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4">
        <f>IF(SUMIFS('Daily NSE Equity Cash'!$H:$H,'Daily NSE Equity Cash'!$A:$A,$A46)=0,"",SUMIFS('Daily NSE Equity Cash'!$H:$H,'Daily NSE Equity Cash'!$A:$A,$A46))</f>
        <v/>
      </c>
      <c r="F46" s="4">
        <f>IF(SUMIFS('Daily BSE Equity Cash'!$H:$H,'Daily BSE Equity Cash'!$A:$A,$A46)=0,"",SUMIFS('Daily BSE Equity Cash'!$H:$H,'Daily BSE Equity Cash'!$A:$A,$A46))</f>
        <v/>
      </c>
      <c r="G46" s="4">
        <f>IF(OR(E46="",F46=""),"",E46+F46)</f>
        <v/>
      </c>
      <c r="H46" s="7">
        <f>IFERROR(IF(OR(E46="",INDEX(E:E,MATCH(DATE(YEAR($A46)-1,MONTH($A46),DAY($A46)),$A:$A,0))=""),"",E46/INDEX(E:E,MATCH(DATE(YEAR($A46)-1,MONTH($A46),DAY($A46)),$A:$A,0))-1),"")</f>
        <v/>
      </c>
      <c r="I46" s="7">
        <f>IFERROR(IF(OR(F46="",INDEX(F:F,MATCH(DATE(YEAR($A46)-1,MONTH($A46),DAY($A46)),$A:$A,0))=""),"",F46/INDEX(F:F,MATCH(DATE(YEAR($A46)-1,MONTH($A46),DAY($A46)),$A:$A,0))-1),"")</f>
        <v/>
      </c>
      <c r="J46" s="7">
        <f>IFERROR(IF(OR(G46="",INDEX(G:G,MATCH(DATE(YEAR($A46)-1,MONTH($A46),DAY($A46)),$A:$A,0))=""),"",G46/INDEX(G:G,MATCH(DATE(YEAR($A46)-1,MONTH($A46),DAY($A46)),$A:$A,0))-1),"")</f>
        <v/>
      </c>
      <c r="K46" s="7">
        <f>IF(OR(E46="",E45=""),"",E46/E45-1)</f>
        <v/>
      </c>
      <c r="L46" s="7">
        <f>IF(OR(F46="",F45=""),"",F46/F45-1)</f>
        <v/>
      </c>
      <c r="M46" s="7">
        <f>IF(OR(G46="",G45=""),"",G46/G45-1)</f>
        <v/>
      </c>
      <c r="N46" s="7">
        <f>IF(G46="","",E46/G46)</f>
        <v/>
      </c>
      <c r="O46" s="7">
        <f>IF(G46="","",F46/G46)</f>
        <v/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4">
        <f>IF(SUMIFS('Daily NSE Equity Cash'!$H:$H,'Daily NSE Equity Cash'!$A:$A,$A47)=0,"",SUMIFS('Daily NSE Equity Cash'!$H:$H,'Daily NSE Equity Cash'!$A:$A,$A47))</f>
        <v/>
      </c>
      <c r="F47" s="4">
        <f>IF(SUMIFS('Daily BSE Equity Cash'!$H:$H,'Daily BSE Equity Cash'!$A:$A,$A47)=0,"",SUMIFS('Daily BSE Equity Cash'!$H:$H,'Daily BSE Equity Cash'!$A:$A,$A47))</f>
        <v/>
      </c>
      <c r="G47" s="4">
        <f>IF(OR(E47="",F47=""),"",E47+F47)</f>
        <v/>
      </c>
      <c r="H47" s="7">
        <f>IFERROR(IF(OR(E47="",INDEX(E:E,MATCH(DATE(YEAR($A47)-1,MONTH($A47),DAY($A47)),$A:$A,0))=""),"",E47/INDEX(E:E,MATCH(DATE(YEAR($A47)-1,MONTH($A47),DAY($A47)),$A:$A,0))-1),"")</f>
        <v/>
      </c>
      <c r="I47" s="7">
        <f>IFERROR(IF(OR(F47="",INDEX(F:F,MATCH(DATE(YEAR($A47)-1,MONTH($A47),DAY($A47)),$A:$A,0))=""),"",F47/INDEX(F:F,MATCH(DATE(YEAR($A47)-1,MONTH($A47),DAY($A47)),$A:$A,0))-1),"")</f>
        <v/>
      </c>
      <c r="J47" s="7">
        <f>IFERROR(IF(OR(G47="",INDEX(G:G,MATCH(DATE(YEAR($A47)-1,MONTH($A47),DAY($A47)),$A:$A,0))=""),"",G47/INDEX(G:G,MATCH(DATE(YEAR($A47)-1,MONTH($A47),DAY($A47)),$A:$A,0))-1),"")</f>
        <v/>
      </c>
      <c r="K47" s="7">
        <f>IF(OR(E47="",E46=""),"",E47/E46-1)</f>
        <v/>
      </c>
      <c r="L47" s="7">
        <f>IF(OR(F47="",F46=""),"",F47/F46-1)</f>
        <v/>
      </c>
      <c r="M47" s="7">
        <f>IF(OR(G47="",G46=""),"",G47/G46-1)</f>
        <v/>
      </c>
      <c r="N47" s="7">
        <f>IF(G47="","",E47/G47)</f>
        <v/>
      </c>
      <c r="O47" s="7">
        <f>IF(G47="","",F47/G47)</f>
        <v/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4">
        <f>IF(SUMIFS('Daily NSE Equity Cash'!$H:$H,'Daily NSE Equity Cash'!$A:$A,$A48)=0,"",SUMIFS('Daily NSE Equity Cash'!$H:$H,'Daily NSE Equity Cash'!$A:$A,$A48))</f>
        <v/>
      </c>
      <c r="F48" s="4">
        <f>IF(SUMIFS('Daily BSE Equity Cash'!$H:$H,'Daily BSE Equity Cash'!$A:$A,$A48)=0,"",SUMIFS('Daily BSE Equity Cash'!$H:$H,'Daily BSE Equity Cash'!$A:$A,$A48))</f>
        <v/>
      </c>
      <c r="G48" s="4">
        <f>IF(OR(E48="",F48=""),"",E48+F48)</f>
        <v/>
      </c>
      <c r="H48" s="7">
        <f>IFERROR(IF(OR(E48="",INDEX(E:E,MATCH(DATE(YEAR($A48)-1,MONTH($A48),DAY($A48)),$A:$A,0))=""),"",E48/INDEX(E:E,MATCH(DATE(YEAR($A48)-1,MONTH($A48),DAY($A48)),$A:$A,0))-1),"")</f>
        <v/>
      </c>
      <c r="I48" s="7">
        <f>IFERROR(IF(OR(F48="",INDEX(F:F,MATCH(DATE(YEAR($A48)-1,MONTH($A48),DAY($A48)),$A:$A,0))=""),"",F48/INDEX(F:F,MATCH(DATE(YEAR($A48)-1,MONTH($A48),DAY($A48)),$A:$A,0))-1),"")</f>
        <v/>
      </c>
      <c r="J48" s="7">
        <f>IFERROR(IF(OR(G48="",INDEX(G:G,MATCH(DATE(YEAR($A48)-1,MONTH($A48),DAY($A48)),$A:$A,0))=""),"",G48/INDEX(G:G,MATCH(DATE(YEAR($A48)-1,MONTH($A48),DAY($A48)),$A:$A,0))-1),"")</f>
        <v/>
      </c>
      <c r="K48" s="7">
        <f>IF(OR(E48="",E47=""),"",E48/E47-1)</f>
        <v/>
      </c>
      <c r="L48" s="7">
        <f>IF(OR(F48="",F47=""),"",F48/F47-1)</f>
        <v/>
      </c>
      <c r="M48" s="7">
        <f>IF(OR(G48="",G47=""),"",G48/G47-1)</f>
        <v/>
      </c>
      <c r="N48" s="7">
        <f>IF(G48="","",E48/G48)</f>
        <v/>
      </c>
      <c r="O48" s="7">
        <f>IF(G48="","",F48/G48)</f>
        <v/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4">
        <f>IF(SUMIFS('Daily NSE Equity Cash'!$H:$H,'Daily NSE Equity Cash'!$A:$A,$A49)=0,"",SUMIFS('Daily NSE Equity Cash'!$H:$H,'Daily NSE Equity Cash'!$A:$A,$A49))</f>
        <v/>
      </c>
      <c r="F49" s="4">
        <f>IF(SUMIFS('Daily BSE Equity Cash'!$H:$H,'Daily BSE Equity Cash'!$A:$A,$A49)=0,"",SUMIFS('Daily BSE Equity Cash'!$H:$H,'Daily BSE Equity Cash'!$A:$A,$A49))</f>
        <v/>
      </c>
      <c r="G49" s="4">
        <f>IF(OR(E49="",F49=""),"",E49+F49)</f>
        <v/>
      </c>
      <c r="H49" s="7">
        <f>IFERROR(IF(OR(E49="",INDEX(E:E,MATCH(DATE(YEAR($A49)-1,MONTH($A49),DAY($A49)),$A:$A,0))=""),"",E49/INDEX(E:E,MATCH(DATE(YEAR($A49)-1,MONTH($A49),DAY($A49)),$A:$A,0))-1),"")</f>
        <v/>
      </c>
      <c r="I49" s="7">
        <f>IFERROR(IF(OR(F49="",INDEX(F:F,MATCH(DATE(YEAR($A49)-1,MONTH($A49),DAY($A49)),$A:$A,0))=""),"",F49/INDEX(F:F,MATCH(DATE(YEAR($A49)-1,MONTH($A49),DAY($A49)),$A:$A,0))-1),"")</f>
        <v/>
      </c>
      <c r="J49" s="7">
        <f>IFERROR(IF(OR(G49="",INDEX(G:G,MATCH(DATE(YEAR($A49)-1,MONTH($A49),DAY($A49)),$A:$A,0))=""),"",G49/INDEX(G:G,MATCH(DATE(YEAR($A49)-1,MONTH($A49),DAY($A49)),$A:$A,0))-1),"")</f>
        <v/>
      </c>
      <c r="K49" s="7">
        <f>IF(OR(E49="",E48=""),"",E49/E48-1)</f>
        <v/>
      </c>
      <c r="L49" s="7">
        <f>IF(OR(F49="",F48=""),"",F49/F48-1)</f>
        <v/>
      </c>
      <c r="M49" s="7">
        <f>IF(OR(G49="",G48=""),"",G49/G48-1)</f>
        <v/>
      </c>
      <c r="N49" s="7">
        <f>IF(G49="","",E49/G49)</f>
        <v/>
      </c>
      <c r="O49" s="7">
        <f>IF(G49="","",F49/G49)</f>
        <v/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4">
        <f>IF(SUMIFS('Daily NSE Equity Cash'!$H:$H,'Daily NSE Equity Cash'!$A:$A,$A50)=0,"",SUMIFS('Daily NSE Equity Cash'!$H:$H,'Daily NSE Equity Cash'!$A:$A,$A50))</f>
        <v/>
      </c>
      <c r="F50" s="4">
        <f>IF(SUMIFS('Daily BSE Equity Cash'!$H:$H,'Daily BSE Equity Cash'!$A:$A,$A50)=0,"",SUMIFS('Daily BSE Equity Cash'!$H:$H,'Daily BSE Equity Cash'!$A:$A,$A50))</f>
        <v/>
      </c>
      <c r="G50" s="4">
        <f>IF(OR(E50="",F50=""),"",E50+F50)</f>
        <v/>
      </c>
      <c r="H50" s="7">
        <f>IFERROR(IF(OR(E50="",INDEX(E:E,MATCH(DATE(YEAR($A50)-1,MONTH($A50),DAY($A50)),$A:$A,0))=""),"",E50/INDEX(E:E,MATCH(DATE(YEAR($A50)-1,MONTH($A50),DAY($A50)),$A:$A,0))-1),"")</f>
        <v/>
      </c>
      <c r="I50" s="7">
        <f>IFERROR(IF(OR(F50="",INDEX(F:F,MATCH(DATE(YEAR($A50)-1,MONTH($A50),DAY($A50)),$A:$A,0))=""),"",F50/INDEX(F:F,MATCH(DATE(YEAR($A50)-1,MONTH($A50),DAY($A50)),$A:$A,0))-1),"")</f>
        <v/>
      </c>
      <c r="J50" s="7">
        <f>IFERROR(IF(OR(G50="",INDEX(G:G,MATCH(DATE(YEAR($A50)-1,MONTH($A50),DAY($A50)),$A:$A,0))=""),"",G50/INDEX(G:G,MATCH(DATE(YEAR($A50)-1,MONTH($A50),DAY($A50)),$A:$A,0))-1),"")</f>
        <v/>
      </c>
      <c r="K50" s="7">
        <f>IF(OR(E50="",E49=""),"",E50/E49-1)</f>
        <v/>
      </c>
      <c r="L50" s="7">
        <f>IF(OR(F50="",F49=""),"",F50/F49-1)</f>
        <v/>
      </c>
      <c r="M50" s="7">
        <f>IF(OR(G50="",G49=""),"",G50/G49-1)</f>
        <v/>
      </c>
      <c r="N50" s="7">
        <f>IF(G50="","",E50/G50)</f>
        <v/>
      </c>
      <c r="O50" s="7">
        <f>IF(G50="","",F50/G50)</f>
        <v/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4">
        <f>IF(SUMIFS('Daily NSE Equity Cash'!$H:$H,'Daily NSE Equity Cash'!$A:$A,$A51)=0,"",SUMIFS('Daily NSE Equity Cash'!$H:$H,'Daily NSE Equity Cash'!$A:$A,$A51))</f>
        <v/>
      </c>
      <c r="F51" s="4">
        <f>IF(SUMIFS('Daily BSE Equity Cash'!$H:$H,'Daily BSE Equity Cash'!$A:$A,$A51)=0,"",SUMIFS('Daily BSE Equity Cash'!$H:$H,'Daily BSE Equity Cash'!$A:$A,$A51))</f>
        <v/>
      </c>
      <c r="G51" s="4">
        <f>IF(OR(E51="",F51=""),"",E51+F51)</f>
        <v/>
      </c>
      <c r="H51" s="7">
        <f>IFERROR(IF(OR(E51="",INDEX(E:E,MATCH(DATE(YEAR($A51)-1,MONTH($A51),DAY($A51)),$A:$A,0))=""),"",E51/INDEX(E:E,MATCH(DATE(YEAR($A51)-1,MONTH($A51),DAY($A51)),$A:$A,0))-1),"")</f>
        <v/>
      </c>
      <c r="I51" s="7">
        <f>IFERROR(IF(OR(F51="",INDEX(F:F,MATCH(DATE(YEAR($A51)-1,MONTH($A51),DAY($A51)),$A:$A,0))=""),"",F51/INDEX(F:F,MATCH(DATE(YEAR($A51)-1,MONTH($A51),DAY($A51)),$A:$A,0))-1),"")</f>
        <v/>
      </c>
      <c r="J51" s="7">
        <f>IFERROR(IF(OR(G51="",INDEX(G:G,MATCH(DATE(YEAR($A51)-1,MONTH($A51),DAY($A51)),$A:$A,0))=""),"",G51/INDEX(G:G,MATCH(DATE(YEAR($A51)-1,MONTH($A51),DAY($A51)),$A:$A,0))-1),"")</f>
        <v/>
      </c>
      <c r="K51" s="7">
        <f>IF(OR(E51="",E50=""),"",E51/E50-1)</f>
        <v/>
      </c>
      <c r="L51" s="7">
        <f>IF(OR(F51="",F50=""),"",F51/F50-1)</f>
        <v/>
      </c>
      <c r="M51" s="7">
        <f>IF(OR(G51="",G50=""),"",G51/G50-1)</f>
        <v/>
      </c>
      <c r="N51" s="7">
        <f>IF(G51="","",E51/G51)</f>
        <v/>
      </c>
      <c r="O51" s="7">
        <f>IF(G51="","",F51/G51)</f>
        <v/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4">
        <f>IF(SUMIFS('Daily NSE Equity Cash'!$H:$H,'Daily NSE Equity Cash'!$A:$A,$A52)=0,"",SUMIFS('Daily NSE Equity Cash'!$H:$H,'Daily NSE Equity Cash'!$A:$A,$A52))</f>
        <v/>
      </c>
      <c r="F52" s="4">
        <f>IF(SUMIFS('Daily BSE Equity Cash'!$H:$H,'Daily BSE Equity Cash'!$A:$A,$A52)=0,"",SUMIFS('Daily BSE Equity Cash'!$H:$H,'Daily BSE Equity Cash'!$A:$A,$A52))</f>
        <v/>
      </c>
      <c r="G52" s="4">
        <f>IF(OR(E52="",F52=""),"",E52+F52)</f>
        <v/>
      </c>
      <c r="H52" s="7">
        <f>IFERROR(IF(OR(E52="",INDEX(E:E,MATCH(DATE(YEAR($A52)-1,MONTH($A52),DAY($A52)),$A:$A,0))=""),"",E52/INDEX(E:E,MATCH(DATE(YEAR($A52)-1,MONTH($A52),DAY($A52)),$A:$A,0))-1),"")</f>
        <v/>
      </c>
      <c r="I52" s="7">
        <f>IFERROR(IF(OR(F52="",INDEX(F:F,MATCH(DATE(YEAR($A52)-1,MONTH($A52),DAY($A52)),$A:$A,0))=""),"",F52/INDEX(F:F,MATCH(DATE(YEAR($A52)-1,MONTH($A52),DAY($A52)),$A:$A,0))-1),"")</f>
        <v/>
      </c>
      <c r="J52" s="7">
        <f>IFERROR(IF(OR(G52="",INDEX(G:G,MATCH(DATE(YEAR($A52)-1,MONTH($A52),DAY($A52)),$A:$A,0))=""),"",G52/INDEX(G:G,MATCH(DATE(YEAR($A52)-1,MONTH($A52),DAY($A52)),$A:$A,0))-1),"")</f>
        <v/>
      </c>
      <c r="K52" s="7">
        <f>IF(OR(E52="",E51=""),"",E52/E51-1)</f>
        <v/>
      </c>
      <c r="L52" s="7">
        <f>IF(OR(F52="",F51=""),"",F52/F51-1)</f>
        <v/>
      </c>
      <c r="M52" s="7">
        <f>IF(OR(G52="",G51=""),"",G52/G51-1)</f>
        <v/>
      </c>
      <c r="N52" s="7">
        <f>IF(G52="","",E52/G52)</f>
        <v/>
      </c>
      <c r="O52" s="7">
        <f>IF(G52="","",F52/G52)</f>
        <v/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4">
        <f>IF(SUMIFS('Daily NSE Equity Cash'!$H:$H,'Daily NSE Equity Cash'!$A:$A,$A53)=0,"",SUMIFS('Daily NSE Equity Cash'!$H:$H,'Daily NSE Equity Cash'!$A:$A,$A53))</f>
        <v/>
      </c>
      <c r="F53" s="4">
        <f>IF(SUMIFS('Daily BSE Equity Cash'!$H:$H,'Daily BSE Equity Cash'!$A:$A,$A53)=0,"",SUMIFS('Daily BSE Equity Cash'!$H:$H,'Daily BSE Equity Cash'!$A:$A,$A53))</f>
        <v/>
      </c>
      <c r="G53" s="4">
        <f>IF(OR(E53="",F53=""),"",E53+F53)</f>
        <v/>
      </c>
      <c r="H53" s="7">
        <f>IFERROR(IF(OR(E53="",INDEX(E:E,MATCH(DATE(YEAR($A53)-1,MONTH($A53),DAY($A53)),$A:$A,0))=""),"",E53/INDEX(E:E,MATCH(DATE(YEAR($A53)-1,MONTH($A53),DAY($A53)),$A:$A,0))-1),"")</f>
        <v/>
      </c>
      <c r="I53" s="7">
        <f>IFERROR(IF(OR(F53="",INDEX(F:F,MATCH(DATE(YEAR($A53)-1,MONTH($A53),DAY($A53)),$A:$A,0))=""),"",F53/INDEX(F:F,MATCH(DATE(YEAR($A53)-1,MONTH($A53),DAY($A53)),$A:$A,0))-1),"")</f>
        <v/>
      </c>
      <c r="J53" s="7">
        <f>IFERROR(IF(OR(G53="",INDEX(G:G,MATCH(DATE(YEAR($A53)-1,MONTH($A53),DAY($A53)),$A:$A,0))=""),"",G53/INDEX(G:G,MATCH(DATE(YEAR($A53)-1,MONTH($A53),DAY($A53)),$A:$A,0))-1),"")</f>
        <v/>
      </c>
      <c r="K53" s="7">
        <f>IF(OR(E53="",E52=""),"",E53/E52-1)</f>
        <v/>
      </c>
      <c r="L53" s="7">
        <f>IF(OR(F53="",F52=""),"",F53/F52-1)</f>
        <v/>
      </c>
      <c r="M53" s="7">
        <f>IF(OR(G53="",G52=""),"",G53/G52-1)</f>
        <v/>
      </c>
      <c r="N53" s="7">
        <f>IF(G53="","",E53/G53)</f>
        <v/>
      </c>
      <c r="O53" s="7">
        <f>IF(G53="","",F53/G53)</f>
        <v/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4">
        <f>IF(SUMIFS('Daily NSE Equity Cash'!$H:$H,'Daily NSE Equity Cash'!$A:$A,$A54)=0,"",SUMIFS('Daily NSE Equity Cash'!$H:$H,'Daily NSE Equity Cash'!$A:$A,$A54))</f>
        <v/>
      </c>
      <c r="F54" s="4">
        <f>IF(SUMIFS('Daily BSE Equity Cash'!$H:$H,'Daily BSE Equity Cash'!$A:$A,$A54)=0,"",SUMIFS('Daily BSE Equity Cash'!$H:$H,'Daily BSE Equity Cash'!$A:$A,$A54))</f>
        <v/>
      </c>
      <c r="G54" s="4">
        <f>IF(OR(E54="",F54=""),"",E54+F54)</f>
        <v/>
      </c>
      <c r="H54" s="7">
        <f>IFERROR(IF(OR(E54="",INDEX(E:E,MATCH(DATE(YEAR($A54)-1,MONTH($A54),DAY($A54)),$A:$A,0))=""),"",E54/INDEX(E:E,MATCH(DATE(YEAR($A54)-1,MONTH($A54),DAY($A54)),$A:$A,0))-1),"")</f>
        <v/>
      </c>
      <c r="I54" s="7">
        <f>IFERROR(IF(OR(F54="",INDEX(F:F,MATCH(DATE(YEAR($A54)-1,MONTH($A54),DAY($A54)),$A:$A,0))=""),"",F54/INDEX(F:F,MATCH(DATE(YEAR($A54)-1,MONTH($A54),DAY($A54)),$A:$A,0))-1),"")</f>
        <v/>
      </c>
      <c r="J54" s="7">
        <f>IFERROR(IF(OR(G54="",INDEX(G:G,MATCH(DATE(YEAR($A54)-1,MONTH($A54),DAY($A54)),$A:$A,0))=""),"",G54/INDEX(G:G,MATCH(DATE(YEAR($A54)-1,MONTH($A54),DAY($A54)),$A:$A,0))-1),"")</f>
        <v/>
      </c>
      <c r="K54" s="7">
        <f>IF(OR(E54="",E53=""),"",E54/E53-1)</f>
        <v/>
      </c>
      <c r="L54" s="7">
        <f>IF(OR(F54="",F53=""),"",F54/F53-1)</f>
        <v/>
      </c>
      <c r="M54" s="7">
        <f>IF(OR(G54="",G53=""),"",G54/G53-1)</f>
        <v/>
      </c>
      <c r="N54" s="7">
        <f>IF(G54="","",E54/G54)</f>
        <v/>
      </c>
      <c r="O54" s="7">
        <f>IF(G54="","",F54/G54)</f>
        <v/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4">
        <f>IF(SUMIFS('Daily NSE Equity Cash'!$H:$H,'Daily NSE Equity Cash'!$A:$A,$A55)=0,"",SUMIFS('Daily NSE Equity Cash'!$H:$H,'Daily NSE Equity Cash'!$A:$A,$A55))</f>
        <v/>
      </c>
      <c r="F55" s="4">
        <f>IF(SUMIFS('Daily BSE Equity Cash'!$H:$H,'Daily BSE Equity Cash'!$A:$A,$A55)=0,"",SUMIFS('Daily BSE Equity Cash'!$H:$H,'Daily BSE Equity Cash'!$A:$A,$A55))</f>
        <v/>
      </c>
      <c r="G55" s="4">
        <f>IF(OR(E55="",F55=""),"",E55+F55)</f>
        <v/>
      </c>
      <c r="H55" s="7">
        <f>IFERROR(IF(OR(E55="",INDEX(E:E,MATCH(DATE(YEAR($A55)-1,MONTH($A55),DAY($A55)),$A:$A,0))=""),"",E55/INDEX(E:E,MATCH(DATE(YEAR($A55)-1,MONTH($A55),DAY($A55)),$A:$A,0))-1),"")</f>
        <v/>
      </c>
      <c r="I55" s="7">
        <f>IFERROR(IF(OR(F55="",INDEX(F:F,MATCH(DATE(YEAR($A55)-1,MONTH($A55),DAY($A55)),$A:$A,0))=""),"",F55/INDEX(F:F,MATCH(DATE(YEAR($A55)-1,MONTH($A55),DAY($A55)),$A:$A,0))-1),"")</f>
        <v/>
      </c>
      <c r="J55" s="7">
        <f>IFERROR(IF(OR(G55="",INDEX(G:G,MATCH(DATE(YEAR($A55)-1,MONTH($A55),DAY($A55)),$A:$A,0))=""),"",G55/INDEX(G:G,MATCH(DATE(YEAR($A55)-1,MONTH($A55),DAY($A55)),$A:$A,0))-1),"")</f>
        <v/>
      </c>
      <c r="K55" s="7">
        <f>IF(OR(E55="",E54=""),"",E55/E54-1)</f>
        <v/>
      </c>
      <c r="L55" s="7">
        <f>IF(OR(F55="",F54=""),"",F55/F54-1)</f>
        <v/>
      </c>
      <c r="M55" s="7">
        <f>IF(OR(G55="",G54=""),"",G55/G54-1)</f>
        <v/>
      </c>
      <c r="N55" s="7">
        <f>IF(G55="","",E55/G55)</f>
        <v/>
      </c>
      <c r="O55" s="7">
        <f>IF(G55="","",F55/G55)</f>
        <v/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4">
        <f>IF(SUMIFS('Daily NSE Equity Cash'!$H:$H,'Daily NSE Equity Cash'!$A:$A,$A56)=0,"",SUMIFS('Daily NSE Equity Cash'!$H:$H,'Daily NSE Equity Cash'!$A:$A,$A56))</f>
        <v/>
      </c>
      <c r="F56" s="4">
        <f>IF(SUMIFS('Daily BSE Equity Cash'!$H:$H,'Daily BSE Equity Cash'!$A:$A,$A56)=0,"",SUMIFS('Daily BSE Equity Cash'!$H:$H,'Daily BSE Equity Cash'!$A:$A,$A56))</f>
        <v/>
      </c>
      <c r="G56" s="4">
        <f>IF(OR(E56="",F56=""),"",E56+F56)</f>
        <v/>
      </c>
      <c r="H56" s="7">
        <f>IFERROR(IF(OR(E56="",INDEX(E:E,MATCH(DATE(YEAR($A56)-1,MONTH($A56),DAY($A56)),$A:$A,0))=""),"",E56/INDEX(E:E,MATCH(DATE(YEAR($A56)-1,MONTH($A56),DAY($A56)),$A:$A,0))-1),"")</f>
        <v/>
      </c>
      <c r="I56" s="7">
        <f>IFERROR(IF(OR(F56="",INDEX(F:F,MATCH(DATE(YEAR($A56)-1,MONTH($A56),DAY($A56)),$A:$A,0))=""),"",F56/INDEX(F:F,MATCH(DATE(YEAR($A56)-1,MONTH($A56),DAY($A56)),$A:$A,0))-1),"")</f>
        <v/>
      </c>
      <c r="J56" s="7">
        <f>IFERROR(IF(OR(G56="",INDEX(G:G,MATCH(DATE(YEAR($A56)-1,MONTH($A56),DAY($A56)),$A:$A,0))=""),"",G56/INDEX(G:G,MATCH(DATE(YEAR($A56)-1,MONTH($A56),DAY($A56)),$A:$A,0))-1),"")</f>
        <v/>
      </c>
      <c r="K56" s="7">
        <f>IF(OR(E56="",E55=""),"",E56/E55-1)</f>
        <v/>
      </c>
      <c r="L56" s="7">
        <f>IF(OR(F56="",F55=""),"",F56/F55-1)</f>
        <v/>
      </c>
      <c r="M56" s="7">
        <f>IF(OR(G56="",G55=""),"",G56/G55-1)</f>
        <v/>
      </c>
      <c r="N56" s="7">
        <f>IF(G56="","",E56/G56)</f>
        <v/>
      </c>
      <c r="O56" s="7">
        <f>IF(G56="","",F56/G56)</f>
        <v/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4">
        <f>IF(SUMIFS('Daily NSE Equity Cash'!$H:$H,'Daily NSE Equity Cash'!$A:$A,$A57)=0,"",SUMIFS('Daily NSE Equity Cash'!$H:$H,'Daily NSE Equity Cash'!$A:$A,$A57))</f>
        <v/>
      </c>
      <c r="F57" s="4">
        <f>IF(SUMIFS('Daily BSE Equity Cash'!$H:$H,'Daily BSE Equity Cash'!$A:$A,$A57)=0,"",SUMIFS('Daily BSE Equity Cash'!$H:$H,'Daily BSE Equity Cash'!$A:$A,$A57))</f>
        <v/>
      </c>
      <c r="G57" s="4">
        <f>IF(OR(E57="",F57=""),"",E57+F57)</f>
        <v/>
      </c>
      <c r="H57" s="7">
        <f>IFERROR(IF(OR(E57="",INDEX(E:E,MATCH(DATE(YEAR($A57)-1,MONTH($A57),DAY($A57)),$A:$A,0))=""),"",E57/INDEX(E:E,MATCH(DATE(YEAR($A57)-1,MONTH($A57),DAY($A57)),$A:$A,0))-1),"")</f>
        <v/>
      </c>
      <c r="I57" s="7">
        <f>IFERROR(IF(OR(F57="",INDEX(F:F,MATCH(DATE(YEAR($A57)-1,MONTH($A57),DAY($A57)),$A:$A,0))=""),"",F57/INDEX(F:F,MATCH(DATE(YEAR($A57)-1,MONTH($A57),DAY($A57)),$A:$A,0))-1),"")</f>
        <v/>
      </c>
      <c r="J57" s="7">
        <f>IFERROR(IF(OR(G57="",INDEX(G:G,MATCH(DATE(YEAR($A57)-1,MONTH($A57),DAY($A57)),$A:$A,0))=""),"",G57/INDEX(G:G,MATCH(DATE(YEAR($A57)-1,MONTH($A57),DAY($A57)),$A:$A,0))-1),"")</f>
        <v/>
      </c>
      <c r="K57" s="7">
        <f>IF(OR(E57="",E56=""),"",E57/E56-1)</f>
        <v/>
      </c>
      <c r="L57" s="7">
        <f>IF(OR(F57="",F56=""),"",F57/F56-1)</f>
        <v/>
      </c>
      <c r="M57" s="7">
        <f>IF(OR(G57="",G56=""),"",G57/G56-1)</f>
        <v/>
      </c>
      <c r="N57" s="7">
        <f>IF(G57="","",E57/G57)</f>
        <v/>
      </c>
      <c r="O57" s="7">
        <f>IF(G57="","",F57/G57)</f>
        <v/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4">
        <f>IF(SUMIFS('Daily NSE Equity Cash'!$H:$H,'Daily NSE Equity Cash'!$A:$A,$A58)=0,"",SUMIFS('Daily NSE Equity Cash'!$H:$H,'Daily NSE Equity Cash'!$A:$A,$A58))</f>
        <v/>
      </c>
      <c r="F58" s="4">
        <f>IF(SUMIFS('Daily BSE Equity Cash'!$H:$H,'Daily BSE Equity Cash'!$A:$A,$A58)=0,"",SUMIFS('Daily BSE Equity Cash'!$H:$H,'Daily BSE Equity Cash'!$A:$A,$A58))</f>
        <v/>
      </c>
      <c r="G58" s="4">
        <f>IF(OR(E58="",F58=""),"",E58+F58)</f>
        <v/>
      </c>
      <c r="H58" s="7">
        <f>IFERROR(IF(OR(E58="",INDEX(E:E,MATCH(DATE(YEAR($A58)-1,MONTH($A58),DAY($A58)),$A:$A,0))=""),"",E58/INDEX(E:E,MATCH(DATE(YEAR($A58)-1,MONTH($A58),DAY($A58)),$A:$A,0))-1),"")</f>
        <v/>
      </c>
      <c r="I58" s="7">
        <f>IFERROR(IF(OR(F58="",INDEX(F:F,MATCH(DATE(YEAR($A58)-1,MONTH($A58),DAY($A58)),$A:$A,0))=""),"",F58/INDEX(F:F,MATCH(DATE(YEAR($A58)-1,MONTH($A58),DAY($A58)),$A:$A,0))-1),"")</f>
        <v/>
      </c>
      <c r="J58" s="7">
        <f>IFERROR(IF(OR(G58="",INDEX(G:G,MATCH(DATE(YEAR($A58)-1,MONTH($A58),DAY($A58)),$A:$A,0))=""),"",G58/INDEX(G:G,MATCH(DATE(YEAR($A58)-1,MONTH($A58),DAY($A58)),$A:$A,0))-1),"")</f>
        <v/>
      </c>
      <c r="K58" s="7">
        <f>IF(OR(E58="",E57=""),"",E58/E57-1)</f>
        <v/>
      </c>
      <c r="L58" s="7">
        <f>IF(OR(F58="",F57=""),"",F58/F57-1)</f>
        <v/>
      </c>
      <c r="M58" s="7">
        <f>IF(OR(G58="",G57=""),"",G58/G57-1)</f>
        <v/>
      </c>
      <c r="N58" s="7">
        <f>IF(G58="","",E58/G58)</f>
        <v/>
      </c>
      <c r="O58" s="7">
        <f>IF(G58="","",F58/G58)</f>
        <v/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4">
        <f>IF(SUMIFS('Daily NSE Equity Cash'!$H:$H,'Daily NSE Equity Cash'!$A:$A,$A59)=0,"",SUMIFS('Daily NSE Equity Cash'!$H:$H,'Daily NSE Equity Cash'!$A:$A,$A59))</f>
        <v/>
      </c>
      <c r="F59" s="4">
        <f>IF(SUMIFS('Daily BSE Equity Cash'!$H:$H,'Daily BSE Equity Cash'!$A:$A,$A59)=0,"",SUMIFS('Daily BSE Equity Cash'!$H:$H,'Daily BSE Equity Cash'!$A:$A,$A59))</f>
        <v/>
      </c>
      <c r="G59" s="4">
        <f>IF(OR(E59="",F59=""),"",E59+F59)</f>
        <v/>
      </c>
      <c r="H59" s="7">
        <f>IFERROR(IF(OR(E59="",INDEX(E:E,MATCH(DATE(YEAR($A59)-1,MONTH($A59),DAY($A59)),$A:$A,0))=""),"",E59/INDEX(E:E,MATCH(DATE(YEAR($A59)-1,MONTH($A59),DAY($A59)),$A:$A,0))-1),"")</f>
        <v/>
      </c>
      <c r="I59" s="7">
        <f>IFERROR(IF(OR(F59="",INDEX(F:F,MATCH(DATE(YEAR($A59)-1,MONTH($A59),DAY($A59)),$A:$A,0))=""),"",F59/INDEX(F:F,MATCH(DATE(YEAR($A59)-1,MONTH($A59),DAY($A59)),$A:$A,0))-1),"")</f>
        <v/>
      </c>
      <c r="J59" s="7">
        <f>IFERROR(IF(OR(G59="",INDEX(G:G,MATCH(DATE(YEAR($A59)-1,MONTH($A59),DAY($A59)),$A:$A,0))=""),"",G59/INDEX(G:G,MATCH(DATE(YEAR($A59)-1,MONTH($A59),DAY($A59)),$A:$A,0))-1),"")</f>
        <v/>
      </c>
      <c r="K59" s="7">
        <f>IF(OR(E59="",E58=""),"",E59/E58-1)</f>
        <v/>
      </c>
      <c r="L59" s="7">
        <f>IF(OR(F59="",F58=""),"",F59/F58-1)</f>
        <v/>
      </c>
      <c r="M59" s="7">
        <f>IF(OR(G59="",G58=""),"",G59/G58-1)</f>
        <v/>
      </c>
      <c r="N59" s="7">
        <f>IF(G59="","",E59/G59)</f>
        <v/>
      </c>
      <c r="O59" s="7">
        <f>IF(G59="","",F59/G59)</f>
        <v/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4">
        <f>IF(SUMIFS('Daily NSE Equity Cash'!$H:$H,'Daily NSE Equity Cash'!$A:$A,$A60)=0,"",SUMIFS('Daily NSE Equity Cash'!$H:$H,'Daily NSE Equity Cash'!$A:$A,$A60))</f>
        <v/>
      </c>
      <c r="F60" s="4">
        <f>IF(SUMIFS('Daily BSE Equity Cash'!$H:$H,'Daily BSE Equity Cash'!$A:$A,$A60)=0,"",SUMIFS('Daily BSE Equity Cash'!$H:$H,'Daily BSE Equity Cash'!$A:$A,$A60))</f>
        <v/>
      </c>
      <c r="G60" s="4">
        <f>IF(OR(E60="",F60=""),"",E60+F60)</f>
        <v/>
      </c>
      <c r="H60" s="7">
        <f>IFERROR(IF(OR(E60="",INDEX(E:E,MATCH(DATE(YEAR($A60)-1,MONTH($A60),DAY($A60)),$A:$A,0))=""),"",E60/INDEX(E:E,MATCH(DATE(YEAR($A60)-1,MONTH($A60),DAY($A60)),$A:$A,0))-1),"")</f>
        <v/>
      </c>
      <c r="I60" s="7">
        <f>IFERROR(IF(OR(F60="",INDEX(F:F,MATCH(DATE(YEAR($A60)-1,MONTH($A60),DAY($A60)),$A:$A,0))=""),"",F60/INDEX(F:F,MATCH(DATE(YEAR($A60)-1,MONTH($A60),DAY($A60)),$A:$A,0))-1),"")</f>
        <v/>
      </c>
      <c r="J60" s="7">
        <f>IFERROR(IF(OR(G60="",INDEX(G:G,MATCH(DATE(YEAR($A60)-1,MONTH($A60),DAY($A60)),$A:$A,0))=""),"",G60/INDEX(G:G,MATCH(DATE(YEAR($A60)-1,MONTH($A60),DAY($A60)),$A:$A,0))-1),"")</f>
        <v/>
      </c>
      <c r="K60" s="7">
        <f>IF(OR(E60="",E59=""),"",E60/E59-1)</f>
        <v/>
      </c>
      <c r="L60" s="7">
        <f>IF(OR(F60="",F59=""),"",F60/F59-1)</f>
        <v/>
      </c>
      <c r="M60" s="7">
        <f>IF(OR(G60="",G59=""),"",G60/G59-1)</f>
        <v/>
      </c>
      <c r="N60" s="7">
        <f>IF(G60="","",E60/G60)</f>
        <v/>
      </c>
      <c r="O60" s="7">
        <f>IF(G60="","",F60/G60)</f>
        <v/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4">
        <f>IF(SUMIFS('Daily NSE Equity Cash'!$H:$H,'Daily NSE Equity Cash'!$A:$A,$A61)=0,"",SUMIFS('Daily NSE Equity Cash'!$H:$H,'Daily NSE Equity Cash'!$A:$A,$A61))</f>
        <v/>
      </c>
      <c r="F61" s="4">
        <f>IF(SUMIFS('Daily BSE Equity Cash'!$H:$H,'Daily BSE Equity Cash'!$A:$A,$A61)=0,"",SUMIFS('Daily BSE Equity Cash'!$H:$H,'Daily BSE Equity Cash'!$A:$A,$A61))</f>
        <v/>
      </c>
      <c r="G61" s="4">
        <f>IF(OR(E61="",F61=""),"",E61+F61)</f>
        <v/>
      </c>
      <c r="H61" s="7">
        <f>IFERROR(IF(OR(E61="",INDEX(E:E,MATCH(DATE(YEAR($A61)-1,MONTH($A61),DAY($A61)),$A:$A,0))=""),"",E61/INDEX(E:E,MATCH(DATE(YEAR($A61)-1,MONTH($A61),DAY($A61)),$A:$A,0))-1),"")</f>
        <v/>
      </c>
      <c r="I61" s="7">
        <f>IFERROR(IF(OR(F61="",INDEX(F:F,MATCH(DATE(YEAR($A61)-1,MONTH($A61),DAY($A61)),$A:$A,0))=""),"",F61/INDEX(F:F,MATCH(DATE(YEAR($A61)-1,MONTH($A61),DAY($A61)),$A:$A,0))-1),"")</f>
        <v/>
      </c>
      <c r="J61" s="7">
        <f>IFERROR(IF(OR(G61="",INDEX(G:G,MATCH(DATE(YEAR($A61)-1,MONTH($A61),DAY($A61)),$A:$A,0))=""),"",G61/INDEX(G:G,MATCH(DATE(YEAR($A61)-1,MONTH($A61),DAY($A61)),$A:$A,0))-1),"")</f>
        <v/>
      </c>
      <c r="K61" s="7">
        <f>IF(OR(E61="",E60=""),"",E61/E60-1)</f>
        <v/>
      </c>
      <c r="L61" s="7">
        <f>IF(OR(F61="",F60=""),"",F61/F60-1)</f>
        <v/>
      </c>
      <c r="M61" s="7">
        <f>IF(OR(G61="",G60=""),"",G61/G60-1)</f>
        <v/>
      </c>
      <c r="N61" s="7">
        <f>IF(G61="","",E61/G61)</f>
        <v/>
      </c>
      <c r="O61" s="7">
        <f>IF(G61="","",F61/G61)</f>
        <v/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4">
        <f>IF(SUMIFS('Daily NSE Equity Cash'!$H:$H,'Daily NSE Equity Cash'!$A:$A,$A62)=0,"",SUMIFS('Daily NSE Equity Cash'!$H:$H,'Daily NSE Equity Cash'!$A:$A,$A62))</f>
        <v/>
      </c>
      <c r="F62" s="4">
        <f>IF(SUMIFS('Daily BSE Equity Cash'!$H:$H,'Daily BSE Equity Cash'!$A:$A,$A62)=0,"",SUMIFS('Daily BSE Equity Cash'!$H:$H,'Daily BSE Equity Cash'!$A:$A,$A62))</f>
        <v/>
      </c>
      <c r="G62" s="4">
        <f>IF(OR(E62="",F62=""),"",E62+F62)</f>
        <v/>
      </c>
      <c r="H62" s="7">
        <f>IFERROR(IF(OR(E62="",INDEX(E:E,MATCH(DATE(YEAR($A62)-1,MONTH($A62),DAY($A62)),$A:$A,0))=""),"",E62/INDEX(E:E,MATCH(DATE(YEAR($A62)-1,MONTH($A62),DAY($A62)),$A:$A,0))-1),"")</f>
        <v/>
      </c>
      <c r="I62" s="7">
        <f>IFERROR(IF(OR(F62="",INDEX(F:F,MATCH(DATE(YEAR($A62)-1,MONTH($A62),DAY($A62)),$A:$A,0))=""),"",F62/INDEX(F:F,MATCH(DATE(YEAR($A62)-1,MONTH($A62),DAY($A62)),$A:$A,0))-1),"")</f>
        <v/>
      </c>
      <c r="J62" s="7">
        <f>IFERROR(IF(OR(G62="",INDEX(G:G,MATCH(DATE(YEAR($A62)-1,MONTH($A62),DAY($A62)),$A:$A,0))=""),"",G62/INDEX(G:G,MATCH(DATE(YEAR($A62)-1,MONTH($A62),DAY($A62)),$A:$A,0))-1),"")</f>
        <v/>
      </c>
      <c r="K62" s="7">
        <f>IF(OR(E62="",E61=""),"",E62/E61-1)</f>
        <v/>
      </c>
      <c r="L62" s="7">
        <f>IF(OR(F62="",F61=""),"",F62/F61-1)</f>
        <v/>
      </c>
      <c r="M62" s="7">
        <f>IF(OR(G62="",G61=""),"",G62/G61-1)</f>
        <v/>
      </c>
      <c r="N62" s="7">
        <f>IF(G62="","",E62/G62)</f>
        <v/>
      </c>
      <c r="O62" s="7">
        <f>IF(G62="","",F62/G62)</f>
        <v/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4">
        <f>IF(SUMIFS('Daily NSE Equity Cash'!$H:$H,'Daily NSE Equity Cash'!$A:$A,$A63)=0,"",SUMIFS('Daily NSE Equity Cash'!$H:$H,'Daily NSE Equity Cash'!$A:$A,$A63))</f>
        <v/>
      </c>
      <c r="F63" s="4">
        <f>IF(SUMIFS('Daily BSE Equity Cash'!$H:$H,'Daily BSE Equity Cash'!$A:$A,$A63)=0,"",SUMIFS('Daily BSE Equity Cash'!$H:$H,'Daily BSE Equity Cash'!$A:$A,$A63))</f>
        <v/>
      </c>
      <c r="G63" s="4">
        <f>IF(OR(E63="",F63=""),"",E63+F63)</f>
        <v/>
      </c>
      <c r="H63" s="7">
        <f>IFERROR(IF(OR(E63="",INDEX(E:E,MATCH(DATE(YEAR($A63)-1,MONTH($A63),DAY($A63)),$A:$A,0))=""),"",E63/INDEX(E:E,MATCH(DATE(YEAR($A63)-1,MONTH($A63),DAY($A63)),$A:$A,0))-1),"")</f>
        <v/>
      </c>
      <c r="I63" s="7">
        <f>IFERROR(IF(OR(F63="",INDEX(F:F,MATCH(DATE(YEAR($A63)-1,MONTH($A63),DAY($A63)),$A:$A,0))=""),"",F63/INDEX(F:F,MATCH(DATE(YEAR($A63)-1,MONTH($A63),DAY($A63)),$A:$A,0))-1),"")</f>
        <v/>
      </c>
      <c r="J63" s="7">
        <f>IFERROR(IF(OR(G63="",INDEX(G:G,MATCH(DATE(YEAR($A63)-1,MONTH($A63),DAY($A63)),$A:$A,0))=""),"",G63/INDEX(G:G,MATCH(DATE(YEAR($A63)-1,MONTH($A63),DAY($A63)),$A:$A,0))-1),"")</f>
        <v/>
      </c>
      <c r="K63" s="7">
        <f>IF(OR(E63="",E62=""),"",E63/E62-1)</f>
        <v/>
      </c>
      <c r="L63" s="7">
        <f>IF(OR(F63="",F62=""),"",F63/F62-1)</f>
        <v/>
      </c>
      <c r="M63" s="7">
        <f>IF(OR(G63="",G62=""),"",G63/G62-1)</f>
        <v/>
      </c>
      <c r="N63" s="7">
        <f>IF(G63="","",E63/G63)</f>
        <v/>
      </c>
      <c r="O63" s="7">
        <f>IF(G63="","",F63/G63)</f>
        <v/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4">
        <f>IF(SUMIFS('Daily NSE Equity Cash'!$H:$H,'Daily NSE Equity Cash'!$A:$A,$A64)=0,"",SUMIFS('Daily NSE Equity Cash'!$H:$H,'Daily NSE Equity Cash'!$A:$A,$A64))</f>
        <v/>
      </c>
      <c r="F64" s="4">
        <f>IF(SUMIFS('Daily BSE Equity Cash'!$H:$H,'Daily BSE Equity Cash'!$A:$A,$A64)=0,"",SUMIFS('Daily BSE Equity Cash'!$H:$H,'Daily BSE Equity Cash'!$A:$A,$A64))</f>
        <v/>
      </c>
      <c r="G64" s="4">
        <f>IF(OR(E64="",F64=""),"",E64+F64)</f>
        <v/>
      </c>
      <c r="H64" s="7">
        <f>IFERROR(IF(OR(E64="",INDEX(E:E,MATCH(DATE(YEAR($A64)-1,MONTH($A64),DAY($A64)),$A:$A,0))=""),"",E64/INDEX(E:E,MATCH(DATE(YEAR($A64)-1,MONTH($A64),DAY($A64)),$A:$A,0))-1),"")</f>
        <v/>
      </c>
      <c r="I64" s="7">
        <f>IFERROR(IF(OR(F64="",INDEX(F:F,MATCH(DATE(YEAR($A64)-1,MONTH($A64),DAY($A64)),$A:$A,0))=""),"",F64/INDEX(F:F,MATCH(DATE(YEAR($A64)-1,MONTH($A64),DAY($A64)),$A:$A,0))-1),"")</f>
        <v/>
      </c>
      <c r="J64" s="7">
        <f>IFERROR(IF(OR(G64="",INDEX(G:G,MATCH(DATE(YEAR($A64)-1,MONTH($A64),DAY($A64)),$A:$A,0))=""),"",G64/INDEX(G:G,MATCH(DATE(YEAR($A64)-1,MONTH($A64),DAY($A64)),$A:$A,0))-1),"")</f>
        <v/>
      </c>
      <c r="K64" s="7">
        <f>IF(OR(E64="",E63=""),"",E64/E63-1)</f>
        <v/>
      </c>
      <c r="L64" s="7">
        <f>IF(OR(F64="",F63=""),"",F64/F63-1)</f>
        <v/>
      </c>
      <c r="M64" s="7">
        <f>IF(OR(G64="",G63=""),"",G64/G63-1)</f>
        <v/>
      </c>
      <c r="N64" s="7">
        <f>IF(G64="","",E64/G64)</f>
        <v/>
      </c>
      <c r="O64" s="7">
        <f>IF(G64="","",F64/G64)</f>
        <v/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4">
        <f>IF(SUMIFS('Daily NSE Equity Cash'!$H:$H,'Daily NSE Equity Cash'!$A:$A,$A65)=0,"",SUMIFS('Daily NSE Equity Cash'!$H:$H,'Daily NSE Equity Cash'!$A:$A,$A65))</f>
        <v/>
      </c>
      <c r="F65" s="4">
        <f>IF(SUMIFS('Daily BSE Equity Cash'!$H:$H,'Daily BSE Equity Cash'!$A:$A,$A65)=0,"",SUMIFS('Daily BSE Equity Cash'!$H:$H,'Daily BSE Equity Cash'!$A:$A,$A65))</f>
        <v/>
      </c>
      <c r="G65" s="4">
        <f>IF(OR(E65="",F65=""),"",E65+F65)</f>
        <v/>
      </c>
      <c r="H65" s="7">
        <f>IFERROR(IF(OR(E65="",INDEX(E:E,MATCH(DATE(YEAR($A65)-1,MONTH($A65),DAY($A65)),$A:$A,0))=""),"",E65/INDEX(E:E,MATCH(DATE(YEAR($A65)-1,MONTH($A65),DAY($A65)),$A:$A,0))-1),"")</f>
        <v/>
      </c>
      <c r="I65" s="7">
        <f>IFERROR(IF(OR(F65="",INDEX(F:F,MATCH(DATE(YEAR($A65)-1,MONTH($A65),DAY($A65)),$A:$A,0))=""),"",F65/INDEX(F:F,MATCH(DATE(YEAR($A65)-1,MONTH($A65),DAY($A65)),$A:$A,0))-1),"")</f>
        <v/>
      </c>
      <c r="J65" s="7">
        <f>IFERROR(IF(OR(G65="",INDEX(G:G,MATCH(DATE(YEAR($A65)-1,MONTH($A65),DAY($A65)),$A:$A,0))=""),"",G65/INDEX(G:G,MATCH(DATE(YEAR($A65)-1,MONTH($A65),DAY($A65)),$A:$A,0))-1),"")</f>
        <v/>
      </c>
      <c r="K65" s="7">
        <f>IF(OR(E65="",E64=""),"",E65/E64-1)</f>
        <v/>
      </c>
      <c r="L65" s="7">
        <f>IF(OR(F65="",F64=""),"",F65/F64-1)</f>
        <v/>
      </c>
      <c r="M65" s="7">
        <f>IF(OR(G65="",G64=""),"",G65/G64-1)</f>
        <v/>
      </c>
      <c r="N65" s="7">
        <f>IF(G65="","",E65/G65)</f>
        <v/>
      </c>
      <c r="O65" s="7">
        <f>IF(G65="","",F65/G65)</f>
        <v/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4">
        <f>IF(SUMIFS('Daily NSE Equity Cash'!$H:$H,'Daily NSE Equity Cash'!$A:$A,$A66)=0,"",SUMIFS('Daily NSE Equity Cash'!$H:$H,'Daily NSE Equity Cash'!$A:$A,$A66))</f>
        <v/>
      </c>
      <c r="F66" s="4">
        <f>IF(SUMIFS('Daily BSE Equity Cash'!$H:$H,'Daily BSE Equity Cash'!$A:$A,$A66)=0,"",SUMIFS('Daily BSE Equity Cash'!$H:$H,'Daily BSE Equity Cash'!$A:$A,$A66))</f>
        <v/>
      </c>
      <c r="G66" s="4">
        <f>IF(OR(E66="",F66=""),"",E66+F66)</f>
        <v/>
      </c>
      <c r="H66" s="7">
        <f>IFERROR(IF(OR(E66="",INDEX(E:E,MATCH(DATE(YEAR($A66)-1,MONTH($A66),DAY($A66)),$A:$A,0))=""),"",E66/INDEX(E:E,MATCH(DATE(YEAR($A66)-1,MONTH($A66),DAY($A66)),$A:$A,0))-1),"")</f>
        <v/>
      </c>
      <c r="I66" s="7">
        <f>IFERROR(IF(OR(F66="",INDEX(F:F,MATCH(DATE(YEAR($A66)-1,MONTH($A66),DAY($A66)),$A:$A,0))=""),"",F66/INDEX(F:F,MATCH(DATE(YEAR($A66)-1,MONTH($A66),DAY($A66)),$A:$A,0))-1),"")</f>
        <v/>
      </c>
      <c r="J66" s="7">
        <f>IFERROR(IF(OR(G66="",INDEX(G:G,MATCH(DATE(YEAR($A66)-1,MONTH($A66),DAY($A66)),$A:$A,0))=""),"",G66/INDEX(G:G,MATCH(DATE(YEAR($A66)-1,MONTH($A66),DAY($A66)),$A:$A,0))-1),"")</f>
        <v/>
      </c>
      <c r="K66" s="7">
        <f>IF(OR(E66="",E65=""),"",E66/E65-1)</f>
        <v/>
      </c>
      <c r="L66" s="7">
        <f>IF(OR(F66="",F65=""),"",F66/F65-1)</f>
        <v/>
      </c>
      <c r="M66" s="7">
        <f>IF(OR(G66="",G65=""),"",G66/G65-1)</f>
        <v/>
      </c>
      <c r="N66" s="7">
        <f>IF(G66="","",E66/G66)</f>
        <v/>
      </c>
      <c r="O66" s="7">
        <f>IF(G66="","",F66/G66)</f>
        <v/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4">
        <f>IF(SUMIFS('Daily NSE Equity Cash'!$H:$H,'Daily NSE Equity Cash'!$A:$A,$A67)=0,"",SUMIFS('Daily NSE Equity Cash'!$H:$H,'Daily NSE Equity Cash'!$A:$A,$A67))</f>
        <v/>
      </c>
      <c r="F67" s="4">
        <f>IF(SUMIFS('Daily BSE Equity Cash'!$H:$H,'Daily BSE Equity Cash'!$A:$A,$A67)=0,"",SUMIFS('Daily BSE Equity Cash'!$H:$H,'Daily BSE Equity Cash'!$A:$A,$A67))</f>
        <v/>
      </c>
      <c r="G67" s="4">
        <f>IF(OR(E67="",F67=""),"",E67+F67)</f>
        <v/>
      </c>
      <c r="H67" s="7">
        <f>IFERROR(IF(OR(E67="",INDEX(E:E,MATCH(DATE(YEAR($A67)-1,MONTH($A67),DAY($A67)),$A:$A,0))=""),"",E67/INDEX(E:E,MATCH(DATE(YEAR($A67)-1,MONTH($A67),DAY($A67)),$A:$A,0))-1),"")</f>
        <v/>
      </c>
      <c r="I67" s="7">
        <f>IFERROR(IF(OR(F67="",INDEX(F:F,MATCH(DATE(YEAR($A67)-1,MONTH($A67),DAY($A67)),$A:$A,0))=""),"",F67/INDEX(F:F,MATCH(DATE(YEAR($A67)-1,MONTH($A67),DAY($A67)),$A:$A,0))-1),"")</f>
        <v/>
      </c>
      <c r="J67" s="7">
        <f>IFERROR(IF(OR(G67="",INDEX(G:G,MATCH(DATE(YEAR($A67)-1,MONTH($A67),DAY($A67)),$A:$A,0))=""),"",G67/INDEX(G:G,MATCH(DATE(YEAR($A67)-1,MONTH($A67),DAY($A67)),$A:$A,0))-1),"")</f>
        <v/>
      </c>
      <c r="K67" s="7">
        <f>IF(OR(E67="",E66=""),"",E67/E66-1)</f>
        <v/>
      </c>
      <c r="L67" s="7">
        <f>IF(OR(F67="",F66=""),"",F67/F66-1)</f>
        <v/>
      </c>
      <c r="M67" s="7">
        <f>IF(OR(G67="",G66=""),"",G67/G66-1)</f>
        <v/>
      </c>
      <c r="N67" s="7">
        <f>IF(G67="","",E67/G67)</f>
        <v/>
      </c>
      <c r="O67" s="7">
        <f>IF(G67="","",F67/G67)</f>
        <v/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4">
        <f>IF(SUMIFS('Daily NSE Equity Cash'!$H:$H,'Daily NSE Equity Cash'!$A:$A,$A68)=0,"",SUMIFS('Daily NSE Equity Cash'!$H:$H,'Daily NSE Equity Cash'!$A:$A,$A68))</f>
        <v/>
      </c>
      <c r="F68" s="4">
        <f>IF(SUMIFS('Daily BSE Equity Cash'!$H:$H,'Daily BSE Equity Cash'!$A:$A,$A68)=0,"",SUMIFS('Daily BSE Equity Cash'!$H:$H,'Daily BSE Equity Cash'!$A:$A,$A68))</f>
        <v/>
      </c>
      <c r="G68" s="4">
        <f>IF(OR(E68="",F68=""),"",E68+F68)</f>
        <v/>
      </c>
      <c r="H68" s="7">
        <f>IFERROR(IF(OR(E68="",INDEX(E:E,MATCH(DATE(YEAR($A68)-1,MONTH($A68),DAY($A68)),$A:$A,0))=""),"",E68/INDEX(E:E,MATCH(DATE(YEAR($A68)-1,MONTH($A68),DAY($A68)),$A:$A,0))-1),"")</f>
        <v/>
      </c>
      <c r="I68" s="7">
        <f>IFERROR(IF(OR(F68="",INDEX(F:F,MATCH(DATE(YEAR($A68)-1,MONTH($A68),DAY($A68)),$A:$A,0))=""),"",F68/INDEX(F:F,MATCH(DATE(YEAR($A68)-1,MONTH($A68),DAY($A68)),$A:$A,0))-1),"")</f>
        <v/>
      </c>
      <c r="J68" s="7">
        <f>IFERROR(IF(OR(G68="",INDEX(G:G,MATCH(DATE(YEAR($A68)-1,MONTH($A68),DAY($A68)),$A:$A,0))=""),"",G68/INDEX(G:G,MATCH(DATE(YEAR($A68)-1,MONTH($A68),DAY($A68)),$A:$A,0))-1),"")</f>
        <v/>
      </c>
      <c r="K68" s="7">
        <f>IF(OR(E68="",E67=""),"",E68/E67-1)</f>
        <v/>
      </c>
      <c r="L68" s="7">
        <f>IF(OR(F68="",F67=""),"",F68/F67-1)</f>
        <v/>
      </c>
      <c r="M68" s="7">
        <f>IF(OR(G68="",G67=""),"",G68/G67-1)</f>
        <v/>
      </c>
      <c r="N68" s="7">
        <f>IF(G68="","",E68/G68)</f>
        <v/>
      </c>
      <c r="O68" s="7">
        <f>IF(G68="","",F68/G68)</f>
        <v/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4">
        <f>IF(SUMIFS('Daily NSE Equity Cash'!$H:$H,'Daily NSE Equity Cash'!$A:$A,$A69)=0,"",SUMIFS('Daily NSE Equity Cash'!$H:$H,'Daily NSE Equity Cash'!$A:$A,$A69))</f>
        <v/>
      </c>
      <c r="F69" s="4">
        <f>IF(SUMIFS('Daily BSE Equity Cash'!$H:$H,'Daily BSE Equity Cash'!$A:$A,$A69)=0,"",SUMIFS('Daily BSE Equity Cash'!$H:$H,'Daily BSE Equity Cash'!$A:$A,$A69))</f>
        <v/>
      </c>
      <c r="G69" s="4">
        <f>IF(OR(E69="",F69=""),"",E69+F69)</f>
        <v/>
      </c>
      <c r="H69" s="7">
        <f>IFERROR(IF(OR(E69="",INDEX(E:E,MATCH(DATE(YEAR($A69)-1,MONTH($A69),DAY($A69)),$A:$A,0))=""),"",E69/INDEX(E:E,MATCH(DATE(YEAR($A69)-1,MONTH($A69),DAY($A69)),$A:$A,0))-1),"")</f>
        <v/>
      </c>
      <c r="I69" s="7">
        <f>IFERROR(IF(OR(F69="",INDEX(F:F,MATCH(DATE(YEAR($A69)-1,MONTH($A69),DAY($A69)),$A:$A,0))=""),"",F69/INDEX(F:F,MATCH(DATE(YEAR($A69)-1,MONTH($A69),DAY($A69)),$A:$A,0))-1),"")</f>
        <v/>
      </c>
      <c r="J69" s="7">
        <f>IFERROR(IF(OR(G69="",INDEX(G:G,MATCH(DATE(YEAR($A69)-1,MONTH($A69),DAY($A69)),$A:$A,0))=""),"",G69/INDEX(G:G,MATCH(DATE(YEAR($A69)-1,MONTH($A69),DAY($A69)),$A:$A,0))-1),"")</f>
        <v/>
      </c>
      <c r="K69" s="7">
        <f>IF(OR(E69="",E68=""),"",E69/E68-1)</f>
        <v/>
      </c>
      <c r="L69" s="7">
        <f>IF(OR(F69="",F68=""),"",F69/F68-1)</f>
        <v/>
      </c>
      <c r="M69" s="7">
        <f>IF(OR(G69="",G68=""),"",G69/G68-1)</f>
        <v/>
      </c>
      <c r="N69" s="7">
        <f>IF(G69="","",E69/G69)</f>
        <v/>
      </c>
      <c r="O69" s="7">
        <f>IF(G69="","",F69/G69)</f>
        <v/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4">
        <f>IF(SUMIFS('Daily NSE Equity Cash'!$H:$H,'Daily NSE Equity Cash'!$A:$A,$A70)=0,"",SUMIFS('Daily NSE Equity Cash'!$H:$H,'Daily NSE Equity Cash'!$A:$A,$A70))</f>
        <v/>
      </c>
      <c r="F70" s="4">
        <f>IF(SUMIFS('Daily BSE Equity Cash'!$H:$H,'Daily BSE Equity Cash'!$A:$A,$A70)=0,"",SUMIFS('Daily BSE Equity Cash'!$H:$H,'Daily BSE Equity Cash'!$A:$A,$A70))</f>
        <v/>
      </c>
      <c r="G70" s="4">
        <f>IF(OR(E70="",F70=""),"",E70+F70)</f>
        <v/>
      </c>
      <c r="H70" s="7">
        <f>IFERROR(IF(OR(E70="",INDEX(E:E,MATCH(DATE(YEAR($A70)-1,MONTH($A70),DAY($A70)),$A:$A,0))=""),"",E70/INDEX(E:E,MATCH(DATE(YEAR($A70)-1,MONTH($A70),DAY($A70)),$A:$A,0))-1),"")</f>
        <v/>
      </c>
      <c r="I70" s="7">
        <f>IFERROR(IF(OR(F70="",INDEX(F:F,MATCH(DATE(YEAR($A70)-1,MONTH($A70),DAY($A70)),$A:$A,0))=""),"",F70/INDEX(F:F,MATCH(DATE(YEAR($A70)-1,MONTH($A70),DAY($A70)),$A:$A,0))-1),"")</f>
        <v/>
      </c>
      <c r="J70" s="7">
        <f>IFERROR(IF(OR(G70="",INDEX(G:G,MATCH(DATE(YEAR($A70)-1,MONTH($A70),DAY($A70)),$A:$A,0))=""),"",G70/INDEX(G:G,MATCH(DATE(YEAR($A70)-1,MONTH($A70),DAY($A70)),$A:$A,0))-1),"")</f>
        <v/>
      </c>
      <c r="K70" s="7">
        <f>IF(OR(E70="",E69=""),"",E70/E69-1)</f>
        <v/>
      </c>
      <c r="L70" s="7">
        <f>IF(OR(F70="",F69=""),"",F70/F69-1)</f>
        <v/>
      </c>
      <c r="M70" s="7">
        <f>IF(OR(G70="",G69=""),"",G70/G69-1)</f>
        <v/>
      </c>
      <c r="N70" s="7">
        <f>IF(G70="","",E70/G70)</f>
        <v/>
      </c>
      <c r="O70" s="7">
        <f>IF(G70="","",F70/G70)</f>
        <v/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4">
        <f>IF(SUMIFS('Daily NSE Equity Cash'!$H:$H,'Daily NSE Equity Cash'!$A:$A,$A71)=0,"",SUMIFS('Daily NSE Equity Cash'!$H:$H,'Daily NSE Equity Cash'!$A:$A,$A71))</f>
        <v/>
      </c>
      <c r="F71" s="4">
        <f>IF(SUMIFS('Daily BSE Equity Cash'!$H:$H,'Daily BSE Equity Cash'!$A:$A,$A71)=0,"",SUMIFS('Daily BSE Equity Cash'!$H:$H,'Daily BSE Equity Cash'!$A:$A,$A71))</f>
        <v/>
      </c>
      <c r="G71" s="4">
        <f>IF(OR(E71="",F71=""),"",E71+F71)</f>
        <v/>
      </c>
      <c r="H71" s="7">
        <f>IFERROR(IF(OR(E71="",INDEX(E:E,MATCH(DATE(YEAR($A71)-1,MONTH($A71),DAY($A71)),$A:$A,0))=""),"",E71/INDEX(E:E,MATCH(DATE(YEAR($A71)-1,MONTH($A71),DAY($A71)),$A:$A,0))-1),"")</f>
        <v/>
      </c>
      <c r="I71" s="7">
        <f>IFERROR(IF(OR(F71="",INDEX(F:F,MATCH(DATE(YEAR($A71)-1,MONTH($A71),DAY($A71)),$A:$A,0))=""),"",F71/INDEX(F:F,MATCH(DATE(YEAR($A71)-1,MONTH($A71),DAY($A71)),$A:$A,0))-1),"")</f>
        <v/>
      </c>
      <c r="J71" s="7">
        <f>IFERROR(IF(OR(G71="",INDEX(G:G,MATCH(DATE(YEAR($A71)-1,MONTH($A71),DAY($A71)),$A:$A,0))=""),"",G71/INDEX(G:G,MATCH(DATE(YEAR($A71)-1,MONTH($A71),DAY($A71)),$A:$A,0))-1),"")</f>
        <v/>
      </c>
      <c r="K71" s="7">
        <f>IF(OR(E71="",E70=""),"",E71/E70-1)</f>
        <v/>
      </c>
      <c r="L71" s="7">
        <f>IF(OR(F71="",F70=""),"",F71/F70-1)</f>
        <v/>
      </c>
      <c r="M71" s="7">
        <f>IF(OR(G71="",G70=""),"",G71/G70-1)</f>
        <v/>
      </c>
      <c r="N71" s="7">
        <f>IF(G71="","",E71/G71)</f>
        <v/>
      </c>
      <c r="O71" s="7">
        <f>IF(G71="","",F71/G71)</f>
        <v/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4">
        <f>IF(SUMIFS('Daily NSE Equity Cash'!$H:$H,'Daily NSE Equity Cash'!$A:$A,$A72)=0,"",SUMIFS('Daily NSE Equity Cash'!$H:$H,'Daily NSE Equity Cash'!$A:$A,$A72))</f>
        <v/>
      </c>
      <c r="F72" s="4">
        <f>IF(SUMIFS('Daily BSE Equity Cash'!$H:$H,'Daily BSE Equity Cash'!$A:$A,$A72)=0,"",SUMIFS('Daily BSE Equity Cash'!$H:$H,'Daily BSE Equity Cash'!$A:$A,$A72))</f>
        <v/>
      </c>
      <c r="G72" s="4">
        <f>IF(OR(E72="",F72=""),"",E72+F72)</f>
        <v/>
      </c>
      <c r="H72" s="7">
        <f>IFERROR(IF(OR(E72="",INDEX(E:E,MATCH(DATE(YEAR($A72)-1,MONTH($A72),DAY($A72)),$A:$A,0))=""),"",E72/INDEX(E:E,MATCH(DATE(YEAR($A72)-1,MONTH($A72),DAY($A72)),$A:$A,0))-1),"")</f>
        <v/>
      </c>
      <c r="I72" s="7">
        <f>IFERROR(IF(OR(F72="",INDEX(F:F,MATCH(DATE(YEAR($A72)-1,MONTH($A72),DAY($A72)),$A:$A,0))=""),"",F72/INDEX(F:F,MATCH(DATE(YEAR($A72)-1,MONTH($A72),DAY($A72)),$A:$A,0))-1),"")</f>
        <v/>
      </c>
      <c r="J72" s="7">
        <f>IFERROR(IF(OR(G72="",INDEX(G:G,MATCH(DATE(YEAR($A72)-1,MONTH($A72),DAY($A72)),$A:$A,0))=""),"",G72/INDEX(G:G,MATCH(DATE(YEAR($A72)-1,MONTH($A72),DAY($A72)),$A:$A,0))-1),"")</f>
        <v/>
      </c>
      <c r="K72" s="7">
        <f>IF(OR(E72="",E71=""),"",E72/E71-1)</f>
        <v/>
      </c>
      <c r="L72" s="7">
        <f>IF(OR(F72="",F71=""),"",F72/F71-1)</f>
        <v/>
      </c>
      <c r="M72" s="7">
        <f>IF(OR(G72="",G71=""),"",G72/G71-1)</f>
        <v/>
      </c>
      <c r="N72" s="7">
        <f>IF(G72="","",E72/G72)</f>
        <v/>
      </c>
      <c r="O72" s="7">
        <f>IF(G72="","",F72/G72)</f>
        <v/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4">
        <f>IF(SUMIFS('Daily NSE Equity Cash'!$H:$H,'Daily NSE Equity Cash'!$A:$A,$A73)=0,"",SUMIFS('Daily NSE Equity Cash'!$H:$H,'Daily NSE Equity Cash'!$A:$A,$A73))</f>
        <v/>
      </c>
      <c r="F73" s="4">
        <f>IF(SUMIFS('Daily BSE Equity Cash'!$H:$H,'Daily BSE Equity Cash'!$A:$A,$A73)=0,"",SUMIFS('Daily BSE Equity Cash'!$H:$H,'Daily BSE Equity Cash'!$A:$A,$A73))</f>
        <v/>
      </c>
      <c r="G73" s="4">
        <f>IF(OR(E73="",F73=""),"",E73+F73)</f>
        <v/>
      </c>
      <c r="H73" s="7">
        <f>IFERROR(IF(OR(E73="",INDEX(E:E,MATCH(DATE(YEAR($A73)-1,MONTH($A73),DAY($A73)),$A:$A,0))=""),"",E73/INDEX(E:E,MATCH(DATE(YEAR($A73)-1,MONTH($A73),DAY($A73)),$A:$A,0))-1),"")</f>
        <v/>
      </c>
      <c r="I73" s="7">
        <f>IFERROR(IF(OR(F73="",INDEX(F:F,MATCH(DATE(YEAR($A73)-1,MONTH($A73),DAY($A73)),$A:$A,0))=""),"",F73/INDEX(F:F,MATCH(DATE(YEAR($A73)-1,MONTH($A73),DAY($A73)),$A:$A,0))-1),"")</f>
        <v/>
      </c>
      <c r="J73" s="7">
        <f>IFERROR(IF(OR(G73="",INDEX(G:G,MATCH(DATE(YEAR($A73)-1,MONTH($A73),DAY($A73)),$A:$A,0))=""),"",G73/INDEX(G:G,MATCH(DATE(YEAR($A73)-1,MONTH($A73),DAY($A73)),$A:$A,0))-1),"")</f>
        <v/>
      </c>
      <c r="K73" s="7">
        <f>IF(OR(E73="",E72=""),"",E73/E72-1)</f>
        <v/>
      </c>
      <c r="L73" s="7">
        <f>IF(OR(F73="",F72=""),"",F73/F72-1)</f>
        <v/>
      </c>
      <c r="M73" s="7">
        <f>IF(OR(G73="",G72=""),"",G73/G72-1)</f>
        <v/>
      </c>
      <c r="N73" s="7">
        <f>IF(G73="","",E73/G73)</f>
        <v/>
      </c>
      <c r="O73" s="7">
        <f>IF(G73="","",F73/G73)</f>
        <v/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4">
        <f>IF(SUMIFS('Daily NSE Equity Cash'!$H:$H,'Daily NSE Equity Cash'!$A:$A,$A74)=0,"",SUMIFS('Daily NSE Equity Cash'!$H:$H,'Daily NSE Equity Cash'!$A:$A,$A74))</f>
        <v/>
      </c>
      <c r="F74" s="4">
        <f>IF(SUMIFS('Daily BSE Equity Cash'!$H:$H,'Daily BSE Equity Cash'!$A:$A,$A74)=0,"",SUMIFS('Daily BSE Equity Cash'!$H:$H,'Daily BSE Equity Cash'!$A:$A,$A74))</f>
        <v/>
      </c>
      <c r="G74" s="4">
        <f>IF(OR(E74="",F74=""),"",E74+F74)</f>
        <v/>
      </c>
      <c r="H74" s="7">
        <f>IFERROR(IF(OR(E74="",INDEX(E:E,MATCH(DATE(YEAR($A74)-1,MONTH($A74),DAY($A74)),$A:$A,0))=""),"",E74/INDEX(E:E,MATCH(DATE(YEAR($A74)-1,MONTH($A74),DAY($A74)),$A:$A,0))-1),"")</f>
        <v/>
      </c>
      <c r="I74" s="7">
        <f>IFERROR(IF(OR(F74="",INDEX(F:F,MATCH(DATE(YEAR($A74)-1,MONTH($A74),DAY($A74)),$A:$A,0))=""),"",F74/INDEX(F:F,MATCH(DATE(YEAR($A74)-1,MONTH($A74),DAY($A74)),$A:$A,0))-1),"")</f>
        <v/>
      </c>
      <c r="J74" s="7">
        <f>IFERROR(IF(OR(G74="",INDEX(G:G,MATCH(DATE(YEAR($A74)-1,MONTH($A74),DAY($A74)),$A:$A,0))=""),"",G74/INDEX(G:G,MATCH(DATE(YEAR($A74)-1,MONTH($A74),DAY($A74)),$A:$A,0))-1),"")</f>
        <v/>
      </c>
      <c r="K74" s="7">
        <f>IF(OR(E74="",E73=""),"",E74/E73-1)</f>
        <v/>
      </c>
      <c r="L74" s="7">
        <f>IF(OR(F74="",F73=""),"",F74/F73-1)</f>
        <v/>
      </c>
      <c r="M74" s="7">
        <f>IF(OR(G74="",G73=""),"",G74/G73-1)</f>
        <v/>
      </c>
      <c r="N74" s="7">
        <f>IF(G74="","",E74/G74)</f>
        <v/>
      </c>
      <c r="O74" s="7">
        <f>IF(G74="","",F74/G74)</f>
        <v/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4">
        <f>IF(SUMIFS('Daily NSE Equity Cash'!$H:$H,'Daily NSE Equity Cash'!$A:$A,$A75)=0,"",SUMIFS('Daily NSE Equity Cash'!$H:$H,'Daily NSE Equity Cash'!$A:$A,$A75))</f>
        <v/>
      </c>
      <c r="F75" s="4">
        <f>IF(SUMIFS('Daily BSE Equity Cash'!$H:$H,'Daily BSE Equity Cash'!$A:$A,$A75)=0,"",SUMIFS('Daily BSE Equity Cash'!$H:$H,'Daily BSE Equity Cash'!$A:$A,$A75))</f>
        <v/>
      </c>
      <c r="G75" s="4">
        <f>IF(OR(E75="",F75=""),"",E75+F75)</f>
        <v/>
      </c>
      <c r="H75" s="7">
        <f>IFERROR(IF(OR(E75="",INDEX(E:E,MATCH(DATE(YEAR($A75)-1,MONTH($A75),DAY($A75)),$A:$A,0))=""),"",E75/INDEX(E:E,MATCH(DATE(YEAR($A75)-1,MONTH($A75),DAY($A75)),$A:$A,0))-1),"")</f>
        <v/>
      </c>
      <c r="I75" s="7">
        <f>IFERROR(IF(OR(F75="",INDEX(F:F,MATCH(DATE(YEAR($A75)-1,MONTH($A75),DAY($A75)),$A:$A,0))=""),"",F75/INDEX(F:F,MATCH(DATE(YEAR($A75)-1,MONTH($A75),DAY($A75)),$A:$A,0))-1),"")</f>
        <v/>
      </c>
      <c r="J75" s="7">
        <f>IFERROR(IF(OR(G75="",INDEX(G:G,MATCH(DATE(YEAR($A75)-1,MONTH($A75),DAY($A75)),$A:$A,0))=""),"",G75/INDEX(G:G,MATCH(DATE(YEAR($A75)-1,MONTH($A75),DAY($A75)),$A:$A,0))-1),"")</f>
        <v/>
      </c>
      <c r="K75" s="7">
        <f>IF(OR(E75="",E74=""),"",E75/E74-1)</f>
        <v/>
      </c>
      <c r="L75" s="7">
        <f>IF(OR(F75="",F74=""),"",F75/F74-1)</f>
        <v/>
      </c>
      <c r="M75" s="7">
        <f>IF(OR(G75="",G74=""),"",G75/G74-1)</f>
        <v/>
      </c>
      <c r="N75" s="7">
        <f>IF(G75="","",E75/G75)</f>
        <v/>
      </c>
      <c r="O75" s="7">
        <f>IF(G75="","",F75/G75)</f>
        <v/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4">
        <f>IF(SUMIFS('Daily NSE Equity Cash'!$H:$H,'Daily NSE Equity Cash'!$A:$A,$A76)=0,"",SUMIFS('Daily NSE Equity Cash'!$H:$H,'Daily NSE Equity Cash'!$A:$A,$A76))</f>
        <v/>
      </c>
      <c r="F76" s="4">
        <f>IF(SUMIFS('Daily BSE Equity Cash'!$H:$H,'Daily BSE Equity Cash'!$A:$A,$A76)=0,"",SUMIFS('Daily BSE Equity Cash'!$H:$H,'Daily BSE Equity Cash'!$A:$A,$A76))</f>
        <v/>
      </c>
      <c r="G76" s="4">
        <f>IF(OR(E76="",F76=""),"",E76+F76)</f>
        <v/>
      </c>
      <c r="H76" s="7">
        <f>IFERROR(IF(OR(E76="",INDEX(E:E,MATCH(DATE(YEAR($A76)-1,MONTH($A76),DAY($A76)),$A:$A,0))=""),"",E76/INDEX(E:E,MATCH(DATE(YEAR($A76)-1,MONTH($A76),DAY($A76)),$A:$A,0))-1),"")</f>
        <v/>
      </c>
      <c r="I76" s="7">
        <f>IFERROR(IF(OR(F76="",INDEX(F:F,MATCH(DATE(YEAR($A76)-1,MONTH($A76),DAY($A76)),$A:$A,0))=""),"",F76/INDEX(F:F,MATCH(DATE(YEAR($A76)-1,MONTH($A76),DAY($A76)),$A:$A,0))-1),"")</f>
        <v/>
      </c>
      <c r="J76" s="7">
        <f>IFERROR(IF(OR(G76="",INDEX(G:G,MATCH(DATE(YEAR($A76)-1,MONTH($A76),DAY($A76)),$A:$A,0))=""),"",G76/INDEX(G:G,MATCH(DATE(YEAR($A76)-1,MONTH($A76),DAY($A76)),$A:$A,0))-1),"")</f>
        <v/>
      </c>
      <c r="K76" s="7">
        <f>IF(OR(E76="",E75=""),"",E76/E75-1)</f>
        <v/>
      </c>
      <c r="L76" s="7">
        <f>IF(OR(F76="",F75=""),"",F76/F75-1)</f>
        <v/>
      </c>
      <c r="M76" s="7">
        <f>IF(OR(G76="",G75=""),"",G76/G75-1)</f>
        <v/>
      </c>
      <c r="N76" s="7">
        <f>IF(G76="","",E76/G76)</f>
        <v/>
      </c>
      <c r="O76" s="7">
        <f>IF(G76="","",F76/G76)</f>
        <v/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4">
        <f>IF(SUMIFS('Daily NSE Equity Cash'!$H:$H,'Daily NSE Equity Cash'!$A:$A,$A77)=0,"",SUMIFS('Daily NSE Equity Cash'!$H:$H,'Daily NSE Equity Cash'!$A:$A,$A77))</f>
        <v/>
      </c>
      <c r="F77" s="4">
        <f>IF(SUMIFS('Daily BSE Equity Cash'!$H:$H,'Daily BSE Equity Cash'!$A:$A,$A77)=0,"",SUMIFS('Daily BSE Equity Cash'!$H:$H,'Daily BSE Equity Cash'!$A:$A,$A77))</f>
        <v/>
      </c>
      <c r="G77" s="4">
        <f>IF(OR(E77="",F77=""),"",E77+F77)</f>
        <v/>
      </c>
      <c r="H77" s="7">
        <f>IFERROR(IF(OR(E77="",INDEX(E:E,MATCH(DATE(YEAR($A77)-1,MONTH($A77),DAY($A77)),$A:$A,0))=""),"",E77/INDEX(E:E,MATCH(DATE(YEAR($A77)-1,MONTH($A77),DAY($A77)),$A:$A,0))-1),"")</f>
        <v/>
      </c>
      <c r="I77" s="7">
        <f>IFERROR(IF(OR(F77="",INDEX(F:F,MATCH(DATE(YEAR($A77)-1,MONTH($A77),DAY($A77)),$A:$A,0))=""),"",F77/INDEX(F:F,MATCH(DATE(YEAR($A77)-1,MONTH($A77),DAY($A77)),$A:$A,0))-1),"")</f>
        <v/>
      </c>
      <c r="J77" s="7">
        <f>IFERROR(IF(OR(G77="",INDEX(G:G,MATCH(DATE(YEAR($A77)-1,MONTH($A77),DAY($A77)),$A:$A,0))=""),"",G77/INDEX(G:G,MATCH(DATE(YEAR($A77)-1,MONTH($A77),DAY($A77)),$A:$A,0))-1),"")</f>
        <v/>
      </c>
      <c r="K77" s="7">
        <f>IF(OR(E77="",E76=""),"",E77/E76-1)</f>
        <v/>
      </c>
      <c r="L77" s="7">
        <f>IF(OR(F77="",F76=""),"",F77/F76-1)</f>
        <v/>
      </c>
      <c r="M77" s="7">
        <f>IF(OR(G77="",G76=""),"",G77/G76-1)</f>
        <v/>
      </c>
      <c r="N77" s="7">
        <f>IF(G77="","",E77/G77)</f>
        <v/>
      </c>
      <c r="O77" s="7">
        <f>IF(G77="","",F77/G77)</f>
        <v/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4">
        <f>IF(SUMIFS('Daily NSE Equity Cash'!$H:$H,'Daily NSE Equity Cash'!$A:$A,$A78)=0,"",SUMIFS('Daily NSE Equity Cash'!$H:$H,'Daily NSE Equity Cash'!$A:$A,$A78))</f>
        <v/>
      </c>
      <c r="F78" s="4">
        <f>IF(SUMIFS('Daily BSE Equity Cash'!$H:$H,'Daily BSE Equity Cash'!$A:$A,$A78)=0,"",SUMIFS('Daily BSE Equity Cash'!$H:$H,'Daily BSE Equity Cash'!$A:$A,$A78))</f>
        <v/>
      </c>
      <c r="G78" s="4">
        <f>IF(OR(E78="",F78=""),"",E78+F78)</f>
        <v/>
      </c>
      <c r="H78" s="7">
        <f>IFERROR(IF(OR(E78="",INDEX(E:E,MATCH(DATE(YEAR($A78)-1,MONTH($A78),DAY($A78)),$A:$A,0))=""),"",E78/INDEX(E:E,MATCH(DATE(YEAR($A78)-1,MONTH($A78),DAY($A78)),$A:$A,0))-1),"")</f>
        <v/>
      </c>
      <c r="I78" s="7">
        <f>IFERROR(IF(OR(F78="",INDEX(F:F,MATCH(DATE(YEAR($A78)-1,MONTH($A78),DAY($A78)),$A:$A,0))=""),"",F78/INDEX(F:F,MATCH(DATE(YEAR($A78)-1,MONTH($A78),DAY($A78)),$A:$A,0))-1),"")</f>
        <v/>
      </c>
      <c r="J78" s="7">
        <f>IFERROR(IF(OR(G78="",INDEX(G:G,MATCH(DATE(YEAR($A78)-1,MONTH($A78),DAY($A78)),$A:$A,0))=""),"",G78/INDEX(G:G,MATCH(DATE(YEAR($A78)-1,MONTH($A78),DAY($A78)),$A:$A,0))-1),"")</f>
        <v/>
      </c>
      <c r="K78" s="7">
        <f>IF(OR(E78="",E77=""),"",E78/E77-1)</f>
        <v/>
      </c>
      <c r="L78" s="7">
        <f>IF(OR(F78="",F77=""),"",F78/F77-1)</f>
        <v/>
      </c>
      <c r="M78" s="7">
        <f>IF(OR(G78="",G77=""),"",G78/G77-1)</f>
        <v/>
      </c>
      <c r="N78" s="7">
        <f>IF(G78="","",E78/G78)</f>
        <v/>
      </c>
      <c r="O78" s="7">
        <f>IF(G78="","",F78/G78)</f>
        <v/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4">
        <f>IF(SUMIFS('Daily NSE Equity Cash'!$H:$H,'Daily NSE Equity Cash'!$A:$A,$A79)=0,"",SUMIFS('Daily NSE Equity Cash'!$H:$H,'Daily NSE Equity Cash'!$A:$A,$A79))</f>
        <v/>
      </c>
      <c r="F79" s="4">
        <f>IF(SUMIFS('Daily BSE Equity Cash'!$H:$H,'Daily BSE Equity Cash'!$A:$A,$A79)=0,"",SUMIFS('Daily BSE Equity Cash'!$H:$H,'Daily BSE Equity Cash'!$A:$A,$A79))</f>
        <v/>
      </c>
      <c r="G79" s="4">
        <f>IF(OR(E79="",F79=""),"",E79+F79)</f>
        <v/>
      </c>
      <c r="H79" s="7">
        <f>IFERROR(IF(OR(E79="",INDEX(E:E,MATCH(DATE(YEAR($A79)-1,MONTH($A79),DAY($A79)),$A:$A,0))=""),"",E79/INDEX(E:E,MATCH(DATE(YEAR($A79)-1,MONTH($A79),DAY($A79)),$A:$A,0))-1),"")</f>
        <v/>
      </c>
      <c r="I79" s="7">
        <f>IFERROR(IF(OR(F79="",INDEX(F:F,MATCH(DATE(YEAR($A79)-1,MONTH($A79),DAY($A79)),$A:$A,0))=""),"",F79/INDEX(F:F,MATCH(DATE(YEAR($A79)-1,MONTH($A79),DAY($A79)),$A:$A,0))-1),"")</f>
        <v/>
      </c>
      <c r="J79" s="7">
        <f>IFERROR(IF(OR(G79="",INDEX(G:G,MATCH(DATE(YEAR($A79)-1,MONTH($A79),DAY($A79)),$A:$A,0))=""),"",G79/INDEX(G:G,MATCH(DATE(YEAR($A79)-1,MONTH($A79),DAY($A79)),$A:$A,0))-1),"")</f>
        <v/>
      </c>
      <c r="K79" s="7">
        <f>IF(OR(E79="",E78=""),"",E79/E78-1)</f>
        <v/>
      </c>
      <c r="L79" s="7">
        <f>IF(OR(F79="",F78=""),"",F79/F78-1)</f>
        <v/>
      </c>
      <c r="M79" s="7">
        <f>IF(OR(G79="",G78=""),"",G79/G78-1)</f>
        <v/>
      </c>
      <c r="N79" s="7">
        <f>IF(G79="","",E79/G79)</f>
        <v/>
      </c>
      <c r="O79" s="7">
        <f>IF(G79="","",F79/G79)</f>
        <v/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4">
        <f>IF(SUMIFS('Daily NSE Equity Cash'!$H:$H,'Daily NSE Equity Cash'!$A:$A,$A80)=0,"",SUMIFS('Daily NSE Equity Cash'!$H:$H,'Daily NSE Equity Cash'!$A:$A,$A80))</f>
        <v/>
      </c>
      <c r="F80" s="4">
        <f>IF(SUMIFS('Daily BSE Equity Cash'!$H:$H,'Daily BSE Equity Cash'!$A:$A,$A80)=0,"",SUMIFS('Daily BSE Equity Cash'!$H:$H,'Daily BSE Equity Cash'!$A:$A,$A80))</f>
        <v/>
      </c>
      <c r="G80" s="4">
        <f>IF(OR(E80="",F80=""),"",E80+F80)</f>
        <v/>
      </c>
      <c r="H80" s="7">
        <f>IFERROR(IF(OR(E80="",INDEX(E:E,MATCH(DATE(YEAR($A80)-1,MONTH($A80),DAY($A80)),$A:$A,0))=""),"",E80/INDEX(E:E,MATCH(DATE(YEAR($A80)-1,MONTH($A80),DAY($A80)),$A:$A,0))-1),"")</f>
        <v/>
      </c>
      <c r="I80" s="7">
        <f>IFERROR(IF(OR(F80="",INDEX(F:F,MATCH(DATE(YEAR($A80)-1,MONTH($A80),DAY($A80)),$A:$A,0))=""),"",F80/INDEX(F:F,MATCH(DATE(YEAR($A80)-1,MONTH($A80),DAY($A80)),$A:$A,0))-1),"")</f>
        <v/>
      </c>
      <c r="J80" s="7">
        <f>IFERROR(IF(OR(G80="",INDEX(G:G,MATCH(DATE(YEAR($A80)-1,MONTH($A80),DAY($A80)),$A:$A,0))=""),"",G80/INDEX(G:G,MATCH(DATE(YEAR($A80)-1,MONTH($A80),DAY($A80)),$A:$A,0))-1),"")</f>
        <v/>
      </c>
      <c r="K80" s="7">
        <f>IF(OR(E80="",E79=""),"",E80/E79-1)</f>
        <v/>
      </c>
      <c r="L80" s="7">
        <f>IF(OR(F80="",F79=""),"",F80/F79-1)</f>
        <v/>
      </c>
      <c r="M80" s="7">
        <f>IF(OR(G80="",G79=""),"",G80/G79-1)</f>
        <v/>
      </c>
      <c r="N80" s="7">
        <f>IF(G80="","",E80/G80)</f>
        <v/>
      </c>
      <c r="O80" s="7">
        <f>IF(G80="","",F80/G80)</f>
        <v/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4">
        <f>IF(SUMIFS('Daily NSE Equity Cash'!$H:$H,'Daily NSE Equity Cash'!$A:$A,$A81)=0,"",SUMIFS('Daily NSE Equity Cash'!$H:$H,'Daily NSE Equity Cash'!$A:$A,$A81))</f>
        <v/>
      </c>
      <c r="F81" s="4">
        <f>IF(SUMIFS('Daily BSE Equity Cash'!$H:$H,'Daily BSE Equity Cash'!$A:$A,$A81)=0,"",SUMIFS('Daily BSE Equity Cash'!$H:$H,'Daily BSE Equity Cash'!$A:$A,$A81))</f>
        <v/>
      </c>
      <c r="G81" s="4">
        <f>IF(OR(E81="",F81=""),"",E81+F81)</f>
        <v/>
      </c>
      <c r="H81" s="7">
        <f>IFERROR(IF(OR(E81="",INDEX(E:E,MATCH(DATE(YEAR($A81)-1,MONTH($A81),DAY($A81)),$A:$A,0))=""),"",E81/INDEX(E:E,MATCH(DATE(YEAR($A81)-1,MONTH($A81),DAY($A81)),$A:$A,0))-1),"")</f>
        <v/>
      </c>
      <c r="I81" s="7">
        <f>IFERROR(IF(OR(F81="",INDEX(F:F,MATCH(DATE(YEAR($A81)-1,MONTH($A81),DAY($A81)),$A:$A,0))=""),"",F81/INDEX(F:F,MATCH(DATE(YEAR($A81)-1,MONTH($A81),DAY($A81)),$A:$A,0))-1),"")</f>
        <v/>
      </c>
      <c r="J81" s="7">
        <f>IFERROR(IF(OR(G81="",INDEX(G:G,MATCH(DATE(YEAR($A81)-1,MONTH($A81),DAY($A81)),$A:$A,0))=""),"",G81/INDEX(G:G,MATCH(DATE(YEAR($A81)-1,MONTH($A81),DAY($A81)),$A:$A,0))-1),"")</f>
        <v/>
      </c>
      <c r="K81" s="7">
        <f>IF(OR(E81="",E80=""),"",E81/E80-1)</f>
        <v/>
      </c>
      <c r="L81" s="7">
        <f>IF(OR(F81="",F80=""),"",F81/F80-1)</f>
        <v/>
      </c>
      <c r="M81" s="7">
        <f>IF(OR(G81="",G80=""),"",G81/G80-1)</f>
        <v/>
      </c>
      <c r="N81" s="7">
        <f>IF(G81="","",E81/G81)</f>
        <v/>
      </c>
      <c r="O81" s="7">
        <f>IF(G81="","",F81/G81)</f>
        <v/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4">
        <f>IF(SUMIFS('Daily NSE Equity Cash'!$H:$H,'Daily NSE Equity Cash'!$A:$A,$A82)=0,"",SUMIFS('Daily NSE Equity Cash'!$H:$H,'Daily NSE Equity Cash'!$A:$A,$A82))</f>
        <v/>
      </c>
      <c r="F82" s="4">
        <f>IF(SUMIFS('Daily BSE Equity Cash'!$H:$H,'Daily BSE Equity Cash'!$A:$A,$A82)=0,"",SUMIFS('Daily BSE Equity Cash'!$H:$H,'Daily BSE Equity Cash'!$A:$A,$A82))</f>
        <v/>
      </c>
      <c r="G82" s="4">
        <f>IF(OR(E82="",F82=""),"",E82+F82)</f>
        <v/>
      </c>
      <c r="H82" s="7">
        <f>IFERROR(IF(OR(E82="",INDEX(E:E,MATCH(DATE(YEAR($A82)-1,MONTH($A82),DAY($A82)),$A:$A,0))=""),"",E82/INDEX(E:E,MATCH(DATE(YEAR($A82)-1,MONTH($A82),DAY($A82)),$A:$A,0))-1),"")</f>
        <v/>
      </c>
      <c r="I82" s="7">
        <f>IFERROR(IF(OR(F82="",INDEX(F:F,MATCH(DATE(YEAR($A82)-1,MONTH($A82),DAY($A82)),$A:$A,0))=""),"",F82/INDEX(F:F,MATCH(DATE(YEAR($A82)-1,MONTH($A82),DAY($A82)),$A:$A,0))-1),"")</f>
        <v/>
      </c>
      <c r="J82" s="7">
        <f>IFERROR(IF(OR(G82="",INDEX(G:G,MATCH(DATE(YEAR($A82)-1,MONTH($A82),DAY($A82)),$A:$A,0))=""),"",G82/INDEX(G:G,MATCH(DATE(YEAR($A82)-1,MONTH($A82),DAY($A82)),$A:$A,0))-1),"")</f>
        <v/>
      </c>
      <c r="K82" s="7">
        <f>IF(OR(E82="",E81=""),"",E82/E81-1)</f>
        <v/>
      </c>
      <c r="L82" s="7">
        <f>IF(OR(F82="",F81=""),"",F82/F81-1)</f>
        <v/>
      </c>
      <c r="M82" s="7">
        <f>IF(OR(G82="",G81=""),"",G82/G81-1)</f>
        <v/>
      </c>
      <c r="N82" s="7">
        <f>IF(G82="","",E82/G82)</f>
        <v/>
      </c>
      <c r="O82" s="7">
        <f>IF(G82="","",F82/G82)</f>
        <v/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4">
        <f>IF(SUMIFS('Daily NSE Equity Cash'!$H:$H,'Daily NSE Equity Cash'!$A:$A,$A83)=0,"",SUMIFS('Daily NSE Equity Cash'!$H:$H,'Daily NSE Equity Cash'!$A:$A,$A83))</f>
        <v/>
      </c>
      <c r="F83" s="4">
        <f>IF(SUMIFS('Daily BSE Equity Cash'!$H:$H,'Daily BSE Equity Cash'!$A:$A,$A83)=0,"",SUMIFS('Daily BSE Equity Cash'!$H:$H,'Daily BSE Equity Cash'!$A:$A,$A83))</f>
        <v/>
      </c>
      <c r="G83" s="4">
        <f>IF(OR(E83="",F83=""),"",E83+F83)</f>
        <v/>
      </c>
      <c r="H83" s="7">
        <f>IFERROR(IF(OR(E83="",INDEX(E:E,MATCH(DATE(YEAR($A83)-1,MONTH($A83),DAY($A83)),$A:$A,0))=""),"",E83/INDEX(E:E,MATCH(DATE(YEAR($A83)-1,MONTH($A83),DAY($A83)),$A:$A,0))-1),"")</f>
        <v/>
      </c>
      <c r="I83" s="7">
        <f>IFERROR(IF(OR(F83="",INDEX(F:F,MATCH(DATE(YEAR($A83)-1,MONTH($A83),DAY($A83)),$A:$A,0))=""),"",F83/INDEX(F:F,MATCH(DATE(YEAR($A83)-1,MONTH($A83),DAY($A83)),$A:$A,0))-1),"")</f>
        <v/>
      </c>
      <c r="J83" s="7">
        <f>IFERROR(IF(OR(G83="",INDEX(G:G,MATCH(DATE(YEAR($A83)-1,MONTH($A83),DAY($A83)),$A:$A,0))=""),"",G83/INDEX(G:G,MATCH(DATE(YEAR($A83)-1,MONTH($A83),DAY($A83)),$A:$A,0))-1),"")</f>
        <v/>
      </c>
      <c r="K83" s="7">
        <f>IF(OR(E83="",E82=""),"",E83/E82-1)</f>
        <v/>
      </c>
      <c r="L83" s="7">
        <f>IF(OR(F83="",F82=""),"",F83/F82-1)</f>
        <v/>
      </c>
      <c r="M83" s="7">
        <f>IF(OR(G83="",G82=""),"",G83/G82-1)</f>
        <v/>
      </c>
      <c r="N83" s="7">
        <f>IF(G83="","",E83/G83)</f>
        <v/>
      </c>
      <c r="O83" s="7">
        <f>IF(G83="","",F83/G83)</f>
        <v/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4">
        <f>IF(SUMIFS('Daily NSE Equity Cash'!$H:$H,'Daily NSE Equity Cash'!$A:$A,$A84)=0,"",SUMIFS('Daily NSE Equity Cash'!$H:$H,'Daily NSE Equity Cash'!$A:$A,$A84))</f>
        <v/>
      </c>
      <c r="F84" s="4">
        <f>IF(SUMIFS('Daily BSE Equity Cash'!$H:$H,'Daily BSE Equity Cash'!$A:$A,$A84)=0,"",SUMIFS('Daily BSE Equity Cash'!$H:$H,'Daily BSE Equity Cash'!$A:$A,$A84))</f>
        <v/>
      </c>
      <c r="G84" s="4">
        <f>IF(OR(E84="",F84=""),"",E84+F84)</f>
        <v/>
      </c>
      <c r="H84" s="7">
        <f>IFERROR(IF(OR(E84="",INDEX(E:E,MATCH(DATE(YEAR($A84)-1,MONTH($A84),DAY($A84)),$A:$A,0))=""),"",E84/INDEX(E:E,MATCH(DATE(YEAR($A84)-1,MONTH($A84),DAY($A84)),$A:$A,0))-1),"")</f>
        <v/>
      </c>
      <c r="I84" s="7">
        <f>IFERROR(IF(OR(F84="",INDEX(F:F,MATCH(DATE(YEAR($A84)-1,MONTH($A84),DAY($A84)),$A:$A,0))=""),"",F84/INDEX(F:F,MATCH(DATE(YEAR($A84)-1,MONTH($A84),DAY($A84)),$A:$A,0))-1),"")</f>
        <v/>
      </c>
      <c r="J84" s="7">
        <f>IFERROR(IF(OR(G84="",INDEX(G:G,MATCH(DATE(YEAR($A84)-1,MONTH($A84),DAY($A84)),$A:$A,0))=""),"",G84/INDEX(G:G,MATCH(DATE(YEAR($A84)-1,MONTH($A84),DAY($A84)),$A:$A,0))-1),"")</f>
        <v/>
      </c>
      <c r="K84" s="7">
        <f>IF(OR(E84="",E83=""),"",E84/E83-1)</f>
        <v/>
      </c>
      <c r="L84" s="7">
        <f>IF(OR(F84="",F83=""),"",F84/F83-1)</f>
        <v/>
      </c>
      <c r="M84" s="7">
        <f>IF(OR(G84="",G83=""),"",G84/G83-1)</f>
        <v/>
      </c>
      <c r="N84" s="7">
        <f>IF(G84="","",E84/G84)</f>
        <v/>
      </c>
      <c r="O84" s="7">
        <f>IF(G84="","",F84/G84)</f>
        <v/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4">
        <f>IF(SUMIFS('Daily NSE Equity Cash'!$H:$H,'Daily NSE Equity Cash'!$A:$A,$A85)=0,"",SUMIFS('Daily NSE Equity Cash'!$H:$H,'Daily NSE Equity Cash'!$A:$A,$A85))</f>
        <v/>
      </c>
      <c r="F85" s="4">
        <f>IF(SUMIFS('Daily BSE Equity Cash'!$H:$H,'Daily BSE Equity Cash'!$A:$A,$A85)=0,"",SUMIFS('Daily BSE Equity Cash'!$H:$H,'Daily BSE Equity Cash'!$A:$A,$A85))</f>
        <v/>
      </c>
      <c r="G85" s="4">
        <f>IF(OR(E85="",F85=""),"",E85+F85)</f>
        <v/>
      </c>
      <c r="H85" s="7">
        <f>IFERROR(IF(OR(E85="",INDEX(E:E,MATCH(DATE(YEAR($A85)-1,MONTH($A85),DAY($A85)),$A:$A,0))=""),"",E85/INDEX(E:E,MATCH(DATE(YEAR($A85)-1,MONTH($A85),DAY($A85)),$A:$A,0))-1),"")</f>
        <v/>
      </c>
      <c r="I85" s="7">
        <f>IFERROR(IF(OR(F85="",INDEX(F:F,MATCH(DATE(YEAR($A85)-1,MONTH($A85),DAY($A85)),$A:$A,0))=""),"",F85/INDEX(F:F,MATCH(DATE(YEAR($A85)-1,MONTH($A85),DAY($A85)),$A:$A,0))-1),"")</f>
        <v/>
      </c>
      <c r="J85" s="7">
        <f>IFERROR(IF(OR(G85="",INDEX(G:G,MATCH(DATE(YEAR($A85)-1,MONTH($A85),DAY($A85)),$A:$A,0))=""),"",G85/INDEX(G:G,MATCH(DATE(YEAR($A85)-1,MONTH($A85),DAY($A85)),$A:$A,0))-1),"")</f>
        <v/>
      </c>
      <c r="K85" s="7">
        <f>IF(OR(E85="",E84=""),"",E85/E84-1)</f>
        <v/>
      </c>
      <c r="L85" s="7">
        <f>IF(OR(F85="",F84=""),"",F85/F84-1)</f>
        <v/>
      </c>
      <c r="M85" s="7">
        <f>IF(OR(G85="",G84=""),"",G85/G84-1)</f>
        <v/>
      </c>
      <c r="N85" s="7">
        <f>IF(G85="","",E85/G85)</f>
        <v/>
      </c>
      <c r="O85" s="7">
        <f>IF(G85="","",F85/G85)</f>
        <v/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4">
        <f>IF(SUMIFS('Daily NSE Equity Cash'!$H:$H,'Daily NSE Equity Cash'!$A:$A,$A86)=0,"",SUMIFS('Daily NSE Equity Cash'!$H:$H,'Daily NSE Equity Cash'!$A:$A,$A86))</f>
        <v/>
      </c>
      <c r="F86" s="4">
        <f>IF(SUMIFS('Daily BSE Equity Cash'!$H:$H,'Daily BSE Equity Cash'!$A:$A,$A86)=0,"",SUMIFS('Daily BSE Equity Cash'!$H:$H,'Daily BSE Equity Cash'!$A:$A,$A86))</f>
        <v/>
      </c>
      <c r="G86" s="4">
        <f>IF(OR(E86="",F86=""),"",E86+F86)</f>
        <v/>
      </c>
      <c r="H86" s="7">
        <f>IFERROR(IF(OR(E86="",INDEX(E:E,MATCH(DATE(YEAR($A86)-1,MONTH($A86),DAY($A86)),$A:$A,0))=""),"",E86/INDEX(E:E,MATCH(DATE(YEAR($A86)-1,MONTH($A86),DAY($A86)),$A:$A,0))-1),"")</f>
        <v/>
      </c>
      <c r="I86" s="7">
        <f>IFERROR(IF(OR(F86="",INDEX(F:F,MATCH(DATE(YEAR($A86)-1,MONTH($A86),DAY($A86)),$A:$A,0))=""),"",F86/INDEX(F:F,MATCH(DATE(YEAR($A86)-1,MONTH($A86),DAY($A86)),$A:$A,0))-1),"")</f>
        <v/>
      </c>
      <c r="J86" s="7">
        <f>IFERROR(IF(OR(G86="",INDEX(G:G,MATCH(DATE(YEAR($A86)-1,MONTH($A86),DAY($A86)),$A:$A,0))=""),"",G86/INDEX(G:G,MATCH(DATE(YEAR($A86)-1,MONTH($A86),DAY($A86)),$A:$A,0))-1),"")</f>
        <v/>
      </c>
      <c r="K86" s="7">
        <f>IF(OR(E86="",E85=""),"",E86/E85-1)</f>
        <v/>
      </c>
      <c r="L86" s="7">
        <f>IF(OR(F86="",F85=""),"",F86/F85-1)</f>
        <v/>
      </c>
      <c r="M86" s="7">
        <f>IF(OR(G86="",G85=""),"",G86/G85-1)</f>
        <v/>
      </c>
      <c r="N86" s="7">
        <f>IF(G86="","",E86/G86)</f>
        <v/>
      </c>
      <c r="O86" s="7">
        <f>IF(G86="","",F86/G86)</f>
        <v/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4">
        <f>IF(SUMIFS('Daily NSE Equity Cash'!$H:$H,'Daily NSE Equity Cash'!$A:$A,$A87)=0,"",SUMIFS('Daily NSE Equity Cash'!$H:$H,'Daily NSE Equity Cash'!$A:$A,$A87))</f>
        <v/>
      </c>
      <c r="F87" s="4">
        <f>IF(SUMIFS('Daily BSE Equity Cash'!$H:$H,'Daily BSE Equity Cash'!$A:$A,$A87)=0,"",SUMIFS('Daily BSE Equity Cash'!$H:$H,'Daily BSE Equity Cash'!$A:$A,$A87))</f>
        <v/>
      </c>
      <c r="G87" s="4">
        <f>IF(OR(E87="",F87=""),"",E87+F87)</f>
        <v/>
      </c>
      <c r="H87" s="7">
        <f>IFERROR(IF(OR(E87="",INDEX(E:E,MATCH(DATE(YEAR($A87)-1,MONTH($A87),DAY($A87)),$A:$A,0))=""),"",E87/INDEX(E:E,MATCH(DATE(YEAR($A87)-1,MONTH($A87),DAY($A87)),$A:$A,0))-1),"")</f>
        <v/>
      </c>
      <c r="I87" s="7">
        <f>IFERROR(IF(OR(F87="",INDEX(F:F,MATCH(DATE(YEAR($A87)-1,MONTH($A87),DAY($A87)),$A:$A,0))=""),"",F87/INDEX(F:F,MATCH(DATE(YEAR($A87)-1,MONTH($A87),DAY($A87)),$A:$A,0))-1),"")</f>
        <v/>
      </c>
      <c r="J87" s="7">
        <f>IFERROR(IF(OR(G87="",INDEX(G:G,MATCH(DATE(YEAR($A87)-1,MONTH($A87),DAY($A87)),$A:$A,0))=""),"",G87/INDEX(G:G,MATCH(DATE(YEAR($A87)-1,MONTH($A87),DAY($A87)),$A:$A,0))-1),"")</f>
        <v/>
      </c>
      <c r="K87" s="7">
        <f>IF(OR(E87="",E86=""),"",E87/E86-1)</f>
        <v/>
      </c>
      <c r="L87" s="7">
        <f>IF(OR(F87="",F86=""),"",F87/F86-1)</f>
        <v/>
      </c>
      <c r="M87" s="7">
        <f>IF(OR(G87="",G86=""),"",G87/G86-1)</f>
        <v/>
      </c>
      <c r="N87" s="7">
        <f>IF(G87="","",E87/G87)</f>
        <v/>
      </c>
      <c r="O87" s="7">
        <f>IF(G87="","",F87/G87)</f>
        <v/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4">
        <f>IF(SUMIFS('Daily NSE Equity Cash'!$H:$H,'Daily NSE Equity Cash'!$A:$A,$A88)=0,"",SUMIFS('Daily NSE Equity Cash'!$H:$H,'Daily NSE Equity Cash'!$A:$A,$A88))</f>
        <v/>
      </c>
      <c r="F88" s="4">
        <f>IF(SUMIFS('Daily BSE Equity Cash'!$H:$H,'Daily BSE Equity Cash'!$A:$A,$A88)=0,"",SUMIFS('Daily BSE Equity Cash'!$H:$H,'Daily BSE Equity Cash'!$A:$A,$A88))</f>
        <v/>
      </c>
      <c r="G88" s="4">
        <f>IF(OR(E88="",F88=""),"",E88+F88)</f>
        <v/>
      </c>
      <c r="H88" s="7">
        <f>IFERROR(IF(OR(E88="",INDEX(E:E,MATCH(DATE(YEAR($A88)-1,MONTH($A88),DAY($A88)),$A:$A,0))=""),"",E88/INDEX(E:E,MATCH(DATE(YEAR($A88)-1,MONTH($A88),DAY($A88)),$A:$A,0))-1),"")</f>
        <v/>
      </c>
      <c r="I88" s="7">
        <f>IFERROR(IF(OR(F88="",INDEX(F:F,MATCH(DATE(YEAR($A88)-1,MONTH($A88),DAY($A88)),$A:$A,0))=""),"",F88/INDEX(F:F,MATCH(DATE(YEAR($A88)-1,MONTH($A88),DAY($A88)),$A:$A,0))-1),"")</f>
        <v/>
      </c>
      <c r="J88" s="7">
        <f>IFERROR(IF(OR(G88="",INDEX(G:G,MATCH(DATE(YEAR($A88)-1,MONTH($A88),DAY($A88)),$A:$A,0))=""),"",G88/INDEX(G:G,MATCH(DATE(YEAR($A88)-1,MONTH($A88),DAY($A88)),$A:$A,0))-1),"")</f>
        <v/>
      </c>
      <c r="K88" s="7">
        <f>IF(OR(E88="",E87=""),"",E88/E87-1)</f>
        <v/>
      </c>
      <c r="L88" s="7">
        <f>IF(OR(F88="",F87=""),"",F88/F87-1)</f>
        <v/>
      </c>
      <c r="M88" s="7">
        <f>IF(OR(G88="",G87=""),"",G88/G87-1)</f>
        <v/>
      </c>
      <c r="N88" s="7">
        <f>IF(G88="","",E88/G88)</f>
        <v/>
      </c>
      <c r="O88" s="7">
        <f>IF(G88="","",F88/G88)</f>
        <v/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4">
        <f>IF(SUMIFS('Daily NSE Equity Cash'!$H:$H,'Daily NSE Equity Cash'!$A:$A,$A89)=0,"",SUMIFS('Daily NSE Equity Cash'!$H:$H,'Daily NSE Equity Cash'!$A:$A,$A89))</f>
        <v/>
      </c>
      <c r="F89" s="4">
        <f>IF(SUMIFS('Daily BSE Equity Cash'!$H:$H,'Daily BSE Equity Cash'!$A:$A,$A89)=0,"",SUMIFS('Daily BSE Equity Cash'!$H:$H,'Daily BSE Equity Cash'!$A:$A,$A89))</f>
        <v/>
      </c>
      <c r="G89" s="4">
        <f>IF(OR(E89="",F89=""),"",E89+F89)</f>
        <v/>
      </c>
      <c r="H89" s="7">
        <f>IFERROR(IF(OR(E89="",INDEX(E:E,MATCH(DATE(YEAR($A89)-1,MONTH($A89),DAY($A89)),$A:$A,0))=""),"",E89/INDEX(E:E,MATCH(DATE(YEAR($A89)-1,MONTH($A89),DAY($A89)),$A:$A,0))-1),"")</f>
        <v/>
      </c>
      <c r="I89" s="7">
        <f>IFERROR(IF(OR(F89="",INDEX(F:F,MATCH(DATE(YEAR($A89)-1,MONTH($A89),DAY($A89)),$A:$A,0))=""),"",F89/INDEX(F:F,MATCH(DATE(YEAR($A89)-1,MONTH($A89),DAY($A89)),$A:$A,0))-1),"")</f>
        <v/>
      </c>
      <c r="J89" s="7">
        <f>IFERROR(IF(OR(G89="",INDEX(G:G,MATCH(DATE(YEAR($A89)-1,MONTH($A89),DAY($A89)),$A:$A,0))=""),"",G89/INDEX(G:G,MATCH(DATE(YEAR($A89)-1,MONTH($A89),DAY($A89)),$A:$A,0))-1),"")</f>
        <v/>
      </c>
      <c r="K89" s="7">
        <f>IF(OR(E89="",E88=""),"",E89/E88-1)</f>
        <v/>
      </c>
      <c r="L89" s="7">
        <f>IF(OR(F89="",F88=""),"",F89/F88-1)</f>
        <v/>
      </c>
      <c r="M89" s="7">
        <f>IF(OR(G89="",G88=""),"",G89/G88-1)</f>
        <v/>
      </c>
      <c r="N89" s="7">
        <f>IF(G89="","",E89/G89)</f>
        <v/>
      </c>
      <c r="O89" s="7">
        <f>IF(G89="","",F89/G89)</f>
        <v/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4">
        <f>IF(SUMIFS('Daily NSE Equity Cash'!$H:$H,'Daily NSE Equity Cash'!$A:$A,$A90)=0,"",SUMIFS('Daily NSE Equity Cash'!$H:$H,'Daily NSE Equity Cash'!$A:$A,$A90))</f>
        <v/>
      </c>
      <c r="F90" s="4">
        <f>IF(SUMIFS('Daily BSE Equity Cash'!$H:$H,'Daily BSE Equity Cash'!$A:$A,$A90)=0,"",SUMIFS('Daily BSE Equity Cash'!$H:$H,'Daily BSE Equity Cash'!$A:$A,$A90))</f>
        <v/>
      </c>
      <c r="G90" s="4">
        <f>IF(OR(E90="",F90=""),"",E90+F90)</f>
        <v/>
      </c>
      <c r="H90" s="7">
        <f>IFERROR(IF(OR(E90="",INDEX(E:E,MATCH(DATE(YEAR($A90)-1,MONTH($A90),DAY($A90)),$A:$A,0))=""),"",E90/INDEX(E:E,MATCH(DATE(YEAR($A90)-1,MONTH($A90),DAY($A90)),$A:$A,0))-1),"")</f>
        <v/>
      </c>
      <c r="I90" s="7">
        <f>IFERROR(IF(OR(F90="",INDEX(F:F,MATCH(DATE(YEAR($A90)-1,MONTH($A90),DAY($A90)),$A:$A,0))=""),"",F90/INDEX(F:F,MATCH(DATE(YEAR($A90)-1,MONTH($A90),DAY($A90)),$A:$A,0))-1),"")</f>
        <v/>
      </c>
      <c r="J90" s="7">
        <f>IFERROR(IF(OR(G90="",INDEX(G:G,MATCH(DATE(YEAR($A90)-1,MONTH($A90),DAY($A90)),$A:$A,0))=""),"",G90/INDEX(G:G,MATCH(DATE(YEAR($A90)-1,MONTH($A90),DAY($A90)),$A:$A,0))-1),"")</f>
        <v/>
      </c>
      <c r="K90" s="7">
        <f>IF(OR(E90="",E89=""),"",E90/E89-1)</f>
        <v/>
      </c>
      <c r="L90" s="7">
        <f>IF(OR(F90="",F89=""),"",F90/F89-1)</f>
        <v/>
      </c>
      <c r="M90" s="7">
        <f>IF(OR(G90="",G89=""),"",G90/G89-1)</f>
        <v/>
      </c>
      <c r="N90" s="7">
        <f>IF(G90="","",E90/G90)</f>
        <v/>
      </c>
      <c r="O90" s="7">
        <f>IF(G90="","",F90/G90)</f>
        <v/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4">
        <f>IF(SUMIFS('Daily NSE Equity Cash'!$H:$H,'Daily NSE Equity Cash'!$A:$A,$A91)=0,"",SUMIFS('Daily NSE Equity Cash'!$H:$H,'Daily NSE Equity Cash'!$A:$A,$A91))</f>
        <v/>
      </c>
      <c r="F91" s="4">
        <f>IF(SUMIFS('Daily BSE Equity Cash'!$H:$H,'Daily BSE Equity Cash'!$A:$A,$A91)=0,"",SUMIFS('Daily BSE Equity Cash'!$H:$H,'Daily BSE Equity Cash'!$A:$A,$A91))</f>
        <v/>
      </c>
      <c r="G91" s="4">
        <f>IF(OR(E91="",F91=""),"",E91+F91)</f>
        <v/>
      </c>
      <c r="H91" s="7">
        <f>IFERROR(IF(OR(E91="",INDEX(E:E,MATCH(DATE(YEAR($A91)-1,MONTH($A91),DAY($A91)),$A:$A,0))=""),"",E91/INDEX(E:E,MATCH(DATE(YEAR($A91)-1,MONTH($A91),DAY($A91)),$A:$A,0))-1),"")</f>
        <v/>
      </c>
      <c r="I91" s="7">
        <f>IFERROR(IF(OR(F91="",INDEX(F:F,MATCH(DATE(YEAR($A91)-1,MONTH($A91),DAY($A91)),$A:$A,0))=""),"",F91/INDEX(F:F,MATCH(DATE(YEAR($A91)-1,MONTH($A91),DAY($A91)),$A:$A,0))-1),"")</f>
        <v/>
      </c>
      <c r="J91" s="7">
        <f>IFERROR(IF(OR(G91="",INDEX(G:G,MATCH(DATE(YEAR($A91)-1,MONTH($A91),DAY($A91)),$A:$A,0))=""),"",G91/INDEX(G:G,MATCH(DATE(YEAR($A91)-1,MONTH($A91),DAY($A91)),$A:$A,0))-1),"")</f>
        <v/>
      </c>
      <c r="K91" s="7">
        <f>IF(OR(E91="",E90=""),"",E91/E90-1)</f>
        <v/>
      </c>
      <c r="L91" s="7">
        <f>IF(OR(F91="",F90=""),"",F91/F90-1)</f>
        <v/>
      </c>
      <c r="M91" s="7">
        <f>IF(OR(G91="",G90=""),"",G91/G90-1)</f>
        <v/>
      </c>
      <c r="N91" s="7">
        <f>IF(G91="","",E91/G91)</f>
        <v/>
      </c>
      <c r="O91" s="7">
        <f>IF(G91="","",F91/G91)</f>
        <v/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4">
        <f>IF(SUMIFS('Daily NSE Equity Cash'!$H:$H,'Daily NSE Equity Cash'!$A:$A,$A92)=0,"",SUMIFS('Daily NSE Equity Cash'!$H:$H,'Daily NSE Equity Cash'!$A:$A,$A92))</f>
        <v/>
      </c>
      <c r="F92" s="4">
        <f>IF(SUMIFS('Daily BSE Equity Cash'!$H:$H,'Daily BSE Equity Cash'!$A:$A,$A92)=0,"",SUMIFS('Daily BSE Equity Cash'!$H:$H,'Daily BSE Equity Cash'!$A:$A,$A92))</f>
        <v/>
      </c>
      <c r="G92" s="4">
        <f>IF(OR(E92="",F92=""),"",E92+F92)</f>
        <v/>
      </c>
      <c r="H92" s="7">
        <f>IFERROR(IF(OR(E92="",INDEX(E:E,MATCH(DATE(YEAR($A92)-1,MONTH($A92),DAY($A92)),$A:$A,0))=""),"",E92/INDEX(E:E,MATCH(DATE(YEAR($A92)-1,MONTH($A92),DAY($A92)),$A:$A,0))-1),"")</f>
        <v/>
      </c>
      <c r="I92" s="7">
        <f>IFERROR(IF(OR(F92="",INDEX(F:F,MATCH(DATE(YEAR($A92)-1,MONTH($A92),DAY($A92)),$A:$A,0))=""),"",F92/INDEX(F:F,MATCH(DATE(YEAR($A92)-1,MONTH($A92),DAY($A92)),$A:$A,0))-1),"")</f>
        <v/>
      </c>
      <c r="J92" s="7">
        <f>IFERROR(IF(OR(G92="",INDEX(G:G,MATCH(DATE(YEAR($A92)-1,MONTH($A92),DAY($A92)),$A:$A,0))=""),"",G92/INDEX(G:G,MATCH(DATE(YEAR($A92)-1,MONTH($A92),DAY($A92)),$A:$A,0))-1),"")</f>
        <v/>
      </c>
      <c r="K92" s="7">
        <f>IF(OR(E92="",E91=""),"",E92/E91-1)</f>
        <v/>
      </c>
      <c r="L92" s="7">
        <f>IF(OR(F92="",F91=""),"",F92/F91-1)</f>
        <v/>
      </c>
      <c r="M92" s="7">
        <f>IF(OR(G92="",G91=""),"",G92/G91-1)</f>
        <v/>
      </c>
      <c r="N92" s="7">
        <f>IF(G92="","",E92/G92)</f>
        <v/>
      </c>
      <c r="O92" s="7">
        <f>IF(G92="","",F92/G92)</f>
        <v/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4">
        <f>IF(SUMIFS('Daily NSE Equity Cash'!$H:$H,'Daily NSE Equity Cash'!$A:$A,$A93)=0,"",SUMIFS('Daily NSE Equity Cash'!$H:$H,'Daily NSE Equity Cash'!$A:$A,$A93))</f>
        <v/>
      </c>
      <c r="F93" s="4">
        <f>IF(SUMIFS('Daily BSE Equity Cash'!$H:$H,'Daily BSE Equity Cash'!$A:$A,$A93)=0,"",SUMIFS('Daily BSE Equity Cash'!$H:$H,'Daily BSE Equity Cash'!$A:$A,$A93))</f>
        <v/>
      </c>
      <c r="G93" s="4">
        <f>IF(OR(E93="",F93=""),"",E93+F93)</f>
        <v/>
      </c>
      <c r="H93" s="7">
        <f>IFERROR(IF(OR(E93="",INDEX(E:E,MATCH(DATE(YEAR($A93)-1,MONTH($A93),DAY($A93)),$A:$A,0))=""),"",E93/INDEX(E:E,MATCH(DATE(YEAR($A93)-1,MONTH($A93),DAY($A93)),$A:$A,0))-1),"")</f>
        <v/>
      </c>
      <c r="I93" s="7">
        <f>IFERROR(IF(OR(F93="",INDEX(F:F,MATCH(DATE(YEAR($A93)-1,MONTH($A93),DAY($A93)),$A:$A,0))=""),"",F93/INDEX(F:F,MATCH(DATE(YEAR($A93)-1,MONTH($A93),DAY($A93)),$A:$A,0))-1),"")</f>
        <v/>
      </c>
      <c r="J93" s="7">
        <f>IFERROR(IF(OR(G93="",INDEX(G:G,MATCH(DATE(YEAR($A93)-1,MONTH($A93),DAY($A93)),$A:$A,0))=""),"",G93/INDEX(G:G,MATCH(DATE(YEAR($A93)-1,MONTH($A93),DAY($A93)),$A:$A,0))-1),"")</f>
        <v/>
      </c>
      <c r="K93" s="7">
        <f>IF(OR(E93="",E92=""),"",E93/E92-1)</f>
        <v/>
      </c>
      <c r="L93" s="7">
        <f>IF(OR(F93="",F92=""),"",F93/F92-1)</f>
        <v/>
      </c>
      <c r="M93" s="7">
        <f>IF(OR(G93="",G92=""),"",G93/G92-1)</f>
        <v/>
      </c>
      <c r="N93" s="7">
        <f>IF(G93="","",E93/G93)</f>
        <v/>
      </c>
      <c r="O93" s="7">
        <f>IF(G93="","",F93/G93)</f>
        <v/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4">
        <f>IF(SUMIFS('Daily NSE Equity Cash'!$H:$H,'Daily NSE Equity Cash'!$A:$A,$A94)=0,"",SUMIFS('Daily NSE Equity Cash'!$H:$H,'Daily NSE Equity Cash'!$A:$A,$A94))</f>
        <v/>
      </c>
      <c r="F94" s="4">
        <f>IF(SUMIFS('Daily BSE Equity Cash'!$H:$H,'Daily BSE Equity Cash'!$A:$A,$A94)=0,"",SUMIFS('Daily BSE Equity Cash'!$H:$H,'Daily BSE Equity Cash'!$A:$A,$A94))</f>
        <v/>
      </c>
      <c r="G94" s="4">
        <f>IF(OR(E94="",F94=""),"",E94+F94)</f>
        <v/>
      </c>
      <c r="H94" s="7">
        <f>IFERROR(IF(OR(E94="",INDEX(E:E,MATCH(DATE(YEAR($A94)-1,MONTH($A94),DAY($A94)),$A:$A,0))=""),"",E94/INDEX(E:E,MATCH(DATE(YEAR($A94)-1,MONTH($A94),DAY($A94)),$A:$A,0))-1),"")</f>
        <v/>
      </c>
      <c r="I94" s="7">
        <f>IFERROR(IF(OR(F94="",INDEX(F:F,MATCH(DATE(YEAR($A94)-1,MONTH($A94),DAY($A94)),$A:$A,0))=""),"",F94/INDEX(F:F,MATCH(DATE(YEAR($A94)-1,MONTH($A94),DAY($A94)),$A:$A,0))-1),"")</f>
        <v/>
      </c>
      <c r="J94" s="7">
        <f>IFERROR(IF(OR(G94="",INDEX(G:G,MATCH(DATE(YEAR($A94)-1,MONTH($A94),DAY($A94)),$A:$A,0))=""),"",G94/INDEX(G:G,MATCH(DATE(YEAR($A94)-1,MONTH($A94),DAY($A94)),$A:$A,0))-1),"")</f>
        <v/>
      </c>
      <c r="K94" s="7">
        <f>IF(OR(E94="",E93=""),"",E94/E93-1)</f>
        <v/>
      </c>
      <c r="L94" s="7">
        <f>IF(OR(F94="",F93=""),"",F94/F93-1)</f>
        <v/>
      </c>
      <c r="M94" s="7">
        <f>IF(OR(G94="",G93=""),"",G94/G93-1)</f>
        <v/>
      </c>
      <c r="N94" s="7">
        <f>IF(G94="","",E94/G94)</f>
        <v/>
      </c>
      <c r="O94" s="7">
        <f>IF(G94="","",F94/G94)</f>
        <v/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4">
        <f>IF(SUMIFS('Daily NSE Equity Cash'!$H:$H,'Daily NSE Equity Cash'!$A:$A,$A95)=0,"",SUMIFS('Daily NSE Equity Cash'!$H:$H,'Daily NSE Equity Cash'!$A:$A,$A95))</f>
        <v/>
      </c>
      <c r="F95" s="4">
        <f>IF(SUMIFS('Daily BSE Equity Cash'!$H:$H,'Daily BSE Equity Cash'!$A:$A,$A95)=0,"",SUMIFS('Daily BSE Equity Cash'!$H:$H,'Daily BSE Equity Cash'!$A:$A,$A95))</f>
        <v/>
      </c>
      <c r="G95" s="4">
        <f>IF(OR(E95="",F95=""),"",E95+F95)</f>
        <v/>
      </c>
      <c r="H95" s="7">
        <f>IFERROR(IF(OR(E95="",INDEX(E:E,MATCH(DATE(YEAR($A95)-1,MONTH($A95),DAY($A95)),$A:$A,0))=""),"",E95/INDEX(E:E,MATCH(DATE(YEAR($A95)-1,MONTH($A95),DAY($A95)),$A:$A,0))-1),"")</f>
        <v/>
      </c>
      <c r="I95" s="7">
        <f>IFERROR(IF(OR(F95="",INDEX(F:F,MATCH(DATE(YEAR($A95)-1,MONTH($A95),DAY($A95)),$A:$A,0))=""),"",F95/INDEX(F:F,MATCH(DATE(YEAR($A95)-1,MONTH($A95),DAY($A95)),$A:$A,0))-1),"")</f>
        <v/>
      </c>
      <c r="J95" s="7">
        <f>IFERROR(IF(OR(G95="",INDEX(G:G,MATCH(DATE(YEAR($A95)-1,MONTH($A95),DAY($A95)),$A:$A,0))=""),"",G95/INDEX(G:G,MATCH(DATE(YEAR($A95)-1,MONTH($A95),DAY($A95)),$A:$A,0))-1),"")</f>
        <v/>
      </c>
      <c r="K95" s="7">
        <f>IF(OR(E95="",E94=""),"",E95/E94-1)</f>
        <v/>
      </c>
      <c r="L95" s="7">
        <f>IF(OR(F95="",F94=""),"",F95/F94-1)</f>
        <v/>
      </c>
      <c r="M95" s="7">
        <f>IF(OR(G95="",G94=""),"",G95/G94-1)</f>
        <v/>
      </c>
      <c r="N95" s="7">
        <f>IF(G95="","",E95/G95)</f>
        <v/>
      </c>
      <c r="O95" s="7">
        <f>IF(G95="","",F95/G95)</f>
        <v/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4">
        <f>IF(SUMIFS('Daily NSE Equity Cash'!$H:$H,'Daily NSE Equity Cash'!$A:$A,$A96)=0,"",SUMIFS('Daily NSE Equity Cash'!$H:$H,'Daily NSE Equity Cash'!$A:$A,$A96))</f>
        <v/>
      </c>
      <c r="F96" s="4">
        <f>IF(SUMIFS('Daily BSE Equity Cash'!$H:$H,'Daily BSE Equity Cash'!$A:$A,$A96)=0,"",SUMIFS('Daily BSE Equity Cash'!$H:$H,'Daily BSE Equity Cash'!$A:$A,$A96))</f>
        <v/>
      </c>
      <c r="G96" s="4">
        <f>IF(OR(E96="",F96=""),"",E96+F96)</f>
        <v/>
      </c>
      <c r="H96" s="7">
        <f>IFERROR(IF(OR(E96="",INDEX(E:E,MATCH(DATE(YEAR($A96)-1,MONTH($A96),DAY($A96)),$A:$A,0))=""),"",E96/INDEX(E:E,MATCH(DATE(YEAR($A96)-1,MONTH($A96),DAY($A96)),$A:$A,0))-1),"")</f>
        <v/>
      </c>
      <c r="I96" s="7">
        <f>IFERROR(IF(OR(F96="",INDEX(F:F,MATCH(DATE(YEAR($A96)-1,MONTH($A96),DAY($A96)),$A:$A,0))=""),"",F96/INDEX(F:F,MATCH(DATE(YEAR($A96)-1,MONTH($A96),DAY($A96)),$A:$A,0))-1),"")</f>
        <v/>
      </c>
      <c r="J96" s="7">
        <f>IFERROR(IF(OR(G96="",INDEX(G:G,MATCH(DATE(YEAR($A96)-1,MONTH($A96),DAY($A96)),$A:$A,0))=""),"",G96/INDEX(G:G,MATCH(DATE(YEAR($A96)-1,MONTH($A96),DAY($A96)),$A:$A,0))-1),"")</f>
        <v/>
      </c>
      <c r="K96" s="7">
        <f>IF(OR(E96="",E95=""),"",E96/E95-1)</f>
        <v/>
      </c>
      <c r="L96" s="7">
        <f>IF(OR(F96="",F95=""),"",F96/F95-1)</f>
        <v/>
      </c>
      <c r="M96" s="7">
        <f>IF(OR(G96="",G95=""),"",G96/G95-1)</f>
        <v/>
      </c>
      <c r="N96" s="7">
        <f>IF(G96="","",E96/G96)</f>
        <v/>
      </c>
      <c r="O96" s="7">
        <f>IF(G96="","",F96/G96)</f>
        <v/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4">
        <f>IF(SUMIFS('Daily NSE Equity Cash'!$H:$H,'Daily NSE Equity Cash'!$A:$A,$A97)=0,"",SUMIFS('Daily NSE Equity Cash'!$H:$H,'Daily NSE Equity Cash'!$A:$A,$A97))</f>
        <v/>
      </c>
      <c r="F97" s="4">
        <f>IF(SUMIFS('Daily BSE Equity Cash'!$H:$H,'Daily BSE Equity Cash'!$A:$A,$A97)=0,"",SUMIFS('Daily BSE Equity Cash'!$H:$H,'Daily BSE Equity Cash'!$A:$A,$A97))</f>
        <v/>
      </c>
      <c r="G97" s="4">
        <f>IF(OR(E97="",F97=""),"",E97+F97)</f>
        <v/>
      </c>
      <c r="H97" s="7">
        <f>IFERROR(IF(OR(E97="",INDEX(E:E,MATCH(DATE(YEAR($A97)-1,MONTH($A97),DAY($A97)),$A:$A,0))=""),"",E97/INDEX(E:E,MATCH(DATE(YEAR($A97)-1,MONTH($A97),DAY($A97)),$A:$A,0))-1),"")</f>
        <v/>
      </c>
      <c r="I97" s="7">
        <f>IFERROR(IF(OR(F97="",INDEX(F:F,MATCH(DATE(YEAR($A97)-1,MONTH($A97),DAY($A97)),$A:$A,0))=""),"",F97/INDEX(F:F,MATCH(DATE(YEAR($A97)-1,MONTH($A97),DAY($A97)),$A:$A,0))-1),"")</f>
        <v/>
      </c>
      <c r="J97" s="7">
        <f>IFERROR(IF(OR(G97="",INDEX(G:G,MATCH(DATE(YEAR($A97)-1,MONTH($A97),DAY($A97)),$A:$A,0))=""),"",G97/INDEX(G:G,MATCH(DATE(YEAR($A97)-1,MONTH($A97),DAY($A97)),$A:$A,0))-1),"")</f>
        <v/>
      </c>
      <c r="K97" s="7">
        <f>IF(OR(E97="",E96=""),"",E97/E96-1)</f>
        <v/>
      </c>
      <c r="L97" s="7">
        <f>IF(OR(F97="",F96=""),"",F97/F96-1)</f>
        <v/>
      </c>
      <c r="M97" s="7">
        <f>IF(OR(G97="",G96=""),"",G97/G96-1)</f>
        <v/>
      </c>
      <c r="N97" s="7">
        <f>IF(G97="","",E97/G97)</f>
        <v/>
      </c>
      <c r="O97" s="7">
        <f>IF(G97="","",F97/G97)</f>
        <v/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4">
        <f>IF(SUMIFS('Daily NSE Equity Cash'!$H:$H,'Daily NSE Equity Cash'!$A:$A,$A98)=0,"",SUMIFS('Daily NSE Equity Cash'!$H:$H,'Daily NSE Equity Cash'!$A:$A,$A98))</f>
        <v/>
      </c>
      <c r="F98" s="4">
        <f>IF(SUMIFS('Daily BSE Equity Cash'!$H:$H,'Daily BSE Equity Cash'!$A:$A,$A98)=0,"",SUMIFS('Daily BSE Equity Cash'!$H:$H,'Daily BSE Equity Cash'!$A:$A,$A98))</f>
        <v/>
      </c>
      <c r="G98" s="4">
        <f>IF(OR(E98="",F98=""),"",E98+F98)</f>
        <v/>
      </c>
      <c r="H98" s="7">
        <f>IFERROR(IF(OR(E98="",INDEX(E:E,MATCH(DATE(YEAR($A98)-1,MONTH($A98),DAY($A98)),$A:$A,0))=""),"",E98/INDEX(E:E,MATCH(DATE(YEAR($A98)-1,MONTH($A98),DAY($A98)),$A:$A,0))-1),"")</f>
        <v/>
      </c>
      <c r="I98" s="7">
        <f>IFERROR(IF(OR(F98="",INDEX(F:F,MATCH(DATE(YEAR($A98)-1,MONTH($A98),DAY($A98)),$A:$A,0))=""),"",F98/INDEX(F:F,MATCH(DATE(YEAR($A98)-1,MONTH($A98),DAY($A98)),$A:$A,0))-1),"")</f>
        <v/>
      </c>
      <c r="J98" s="7">
        <f>IFERROR(IF(OR(G98="",INDEX(G:G,MATCH(DATE(YEAR($A98)-1,MONTH($A98),DAY($A98)),$A:$A,0))=""),"",G98/INDEX(G:G,MATCH(DATE(YEAR($A98)-1,MONTH($A98),DAY($A98)),$A:$A,0))-1),"")</f>
        <v/>
      </c>
      <c r="K98" s="7">
        <f>IF(OR(E98="",E97=""),"",E98/E97-1)</f>
        <v/>
      </c>
      <c r="L98" s="7">
        <f>IF(OR(F98="",F97=""),"",F98/F97-1)</f>
        <v/>
      </c>
      <c r="M98" s="7">
        <f>IF(OR(G98="",G97=""),"",G98/G97-1)</f>
        <v/>
      </c>
      <c r="N98" s="7">
        <f>IF(G98="","",E98/G98)</f>
        <v/>
      </c>
      <c r="O98" s="7">
        <f>IF(G98="","",F98/G98)</f>
        <v/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4">
        <f>IF(SUMIFS('Daily NSE Equity Cash'!$H:$H,'Daily NSE Equity Cash'!$A:$A,$A99)=0,"",SUMIFS('Daily NSE Equity Cash'!$H:$H,'Daily NSE Equity Cash'!$A:$A,$A99))</f>
        <v/>
      </c>
      <c r="F99" s="4">
        <f>IF(SUMIFS('Daily BSE Equity Cash'!$H:$H,'Daily BSE Equity Cash'!$A:$A,$A99)=0,"",SUMIFS('Daily BSE Equity Cash'!$H:$H,'Daily BSE Equity Cash'!$A:$A,$A99))</f>
        <v/>
      </c>
      <c r="G99" s="4">
        <f>IF(OR(E99="",F99=""),"",E99+F99)</f>
        <v/>
      </c>
      <c r="H99" s="7">
        <f>IFERROR(IF(OR(E99="",INDEX(E:E,MATCH(DATE(YEAR($A99)-1,MONTH($A99),DAY($A99)),$A:$A,0))=""),"",E99/INDEX(E:E,MATCH(DATE(YEAR($A99)-1,MONTH($A99),DAY($A99)),$A:$A,0))-1),"")</f>
        <v/>
      </c>
      <c r="I99" s="7">
        <f>IFERROR(IF(OR(F99="",INDEX(F:F,MATCH(DATE(YEAR($A99)-1,MONTH($A99),DAY($A99)),$A:$A,0))=""),"",F99/INDEX(F:F,MATCH(DATE(YEAR($A99)-1,MONTH($A99),DAY($A99)),$A:$A,0))-1),"")</f>
        <v/>
      </c>
      <c r="J99" s="7">
        <f>IFERROR(IF(OR(G99="",INDEX(G:G,MATCH(DATE(YEAR($A99)-1,MONTH($A99),DAY($A99)),$A:$A,0))=""),"",G99/INDEX(G:G,MATCH(DATE(YEAR($A99)-1,MONTH($A99),DAY($A99)),$A:$A,0))-1),"")</f>
        <v/>
      </c>
      <c r="K99" s="7">
        <f>IF(OR(E99="",E98=""),"",E99/E98-1)</f>
        <v/>
      </c>
      <c r="L99" s="7">
        <f>IF(OR(F99="",F98=""),"",F99/F98-1)</f>
        <v/>
      </c>
      <c r="M99" s="7">
        <f>IF(OR(G99="",G98=""),"",G99/G98-1)</f>
        <v/>
      </c>
      <c r="N99" s="7">
        <f>IF(G99="","",E99/G99)</f>
        <v/>
      </c>
      <c r="O99" s="7">
        <f>IF(G99="","",F99/G99)</f>
        <v/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4">
        <f>IF(SUMIFS('Daily NSE Equity Cash'!$H:$H,'Daily NSE Equity Cash'!$A:$A,$A100)=0,"",SUMIFS('Daily NSE Equity Cash'!$H:$H,'Daily NSE Equity Cash'!$A:$A,$A100))</f>
        <v/>
      </c>
      <c r="F100" s="4">
        <f>IF(SUMIFS('Daily BSE Equity Cash'!$H:$H,'Daily BSE Equity Cash'!$A:$A,$A100)=0,"",SUMIFS('Daily BSE Equity Cash'!$H:$H,'Daily BSE Equity Cash'!$A:$A,$A100))</f>
        <v/>
      </c>
      <c r="G100" s="4">
        <f>IF(OR(E100="",F100=""),"",E100+F100)</f>
        <v/>
      </c>
      <c r="H100" s="7">
        <f>IFERROR(IF(OR(E100="",INDEX(E:E,MATCH(DATE(YEAR($A100)-1,MONTH($A100),DAY($A100)),$A:$A,0))=""),"",E100/INDEX(E:E,MATCH(DATE(YEAR($A100)-1,MONTH($A100),DAY($A100)),$A:$A,0))-1),"")</f>
        <v/>
      </c>
      <c r="I100" s="7">
        <f>IFERROR(IF(OR(F100="",INDEX(F:F,MATCH(DATE(YEAR($A100)-1,MONTH($A100),DAY($A100)),$A:$A,0))=""),"",F100/INDEX(F:F,MATCH(DATE(YEAR($A100)-1,MONTH($A100),DAY($A100)),$A:$A,0))-1),"")</f>
        <v/>
      </c>
      <c r="J100" s="7">
        <f>IFERROR(IF(OR(G100="",INDEX(G:G,MATCH(DATE(YEAR($A100)-1,MONTH($A100),DAY($A100)),$A:$A,0))=""),"",G100/INDEX(G:G,MATCH(DATE(YEAR($A100)-1,MONTH($A100),DAY($A100)),$A:$A,0))-1),"")</f>
        <v/>
      </c>
      <c r="K100" s="7">
        <f>IF(OR(E100="",E99=""),"",E100/E99-1)</f>
        <v/>
      </c>
      <c r="L100" s="7">
        <f>IF(OR(F100="",F99=""),"",F100/F99-1)</f>
        <v/>
      </c>
      <c r="M100" s="7">
        <f>IF(OR(G100="",G99=""),"",G100/G99-1)</f>
        <v/>
      </c>
      <c r="N100" s="7">
        <f>IF(G100="","",E100/G100)</f>
        <v/>
      </c>
      <c r="O100" s="7">
        <f>IF(G100="","",F100/G100)</f>
        <v/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4">
        <f>IF(SUMIFS('Daily NSE Equity Cash'!$H:$H,'Daily NSE Equity Cash'!$A:$A,$A101)=0,"",SUMIFS('Daily NSE Equity Cash'!$H:$H,'Daily NSE Equity Cash'!$A:$A,$A101))</f>
        <v/>
      </c>
      <c r="F101" s="4">
        <f>IF(SUMIFS('Daily BSE Equity Cash'!$H:$H,'Daily BSE Equity Cash'!$A:$A,$A101)=0,"",SUMIFS('Daily BSE Equity Cash'!$H:$H,'Daily BSE Equity Cash'!$A:$A,$A101))</f>
        <v/>
      </c>
      <c r="G101" s="4">
        <f>IF(OR(E101="",F101=""),"",E101+F101)</f>
        <v/>
      </c>
      <c r="H101" s="7">
        <f>IFERROR(IF(OR(E101="",INDEX(E:E,MATCH(DATE(YEAR($A101)-1,MONTH($A101),DAY($A101)),$A:$A,0))=""),"",E101/INDEX(E:E,MATCH(DATE(YEAR($A101)-1,MONTH($A101),DAY($A101)),$A:$A,0))-1),"")</f>
        <v/>
      </c>
      <c r="I101" s="7">
        <f>IFERROR(IF(OR(F101="",INDEX(F:F,MATCH(DATE(YEAR($A101)-1,MONTH($A101),DAY($A101)),$A:$A,0))=""),"",F101/INDEX(F:F,MATCH(DATE(YEAR($A101)-1,MONTH($A101),DAY($A101)),$A:$A,0))-1),"")</f>
        <v/>
      </c>
      <c r="J101" s="7">
        <f>IFERROR(IF(OR(G101="",INDEX(G:G,MATCH(DATE(YEAR($A101)-1,MONTH($A101),DAY($A101)),$A:$A,0))=""),"",G101/INDEX(G:G,MATCH(DATE(YEAR($A101)-1,MONTH($A101),DAY($A101)),$A:$A,0))-1),"")</f>
        <v/>
      </c>
      <c r="K101" s="7">
        <f>IF(OR(E101="",E100=""),"",E101/E100-1)</f>
        <v/>
      </c>
      <c r="L101" s="7">
        <f>IF(OR(F101="",F100=""),"",F101/F100-1)</f>
        <v/>
      </c>
      <c r="M101" s="7">
        <f>IF(OR(G101="",G100=""),"",G101/G100-1)</f>
        <v/>
      </c>
      <c r="N101" s="7">
        <f>IF(G101="","",E101/G101)</f>
        <v/>
      </c>
      <c r="O101" s="7">
        <f>IF(G101="","",F101/G101)</f>
        <v/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4">
        <f>IF(SUMIFS('Daily NSE Equity Cash'!$H:$H,'Daily NSE Equity Cash'!$A:$A,$A102)=0,"",SUMIFS('Daily NSE Equity Cash'!$H:$H,'Daily NSE Equity Cash'!$A:$A,$A102))</f>
        <v/>
      </c>
      <c r="F102" s="4">
        <f>IF(SUMIFS('Daily BSE Equity Cash'!$H:$H,'Daily BSE Equity Cash'!$A:$A,$A102)=0,"",SUMIFS('Daily BSE Equity Cash'!$H:$H,'Daily BSE Equity Cash'!$A:$A,$A102))</f>
        <v/>
      </c>
      <c r="G102" s="4">
        <f>IF(OR(E102="",F102=""),"",E102+F102)</f>
        <v/>
      </c>
      <c r="H102" s="7">
        <f>IFERROR(IF(OR(E102="",INDEX(E:E,MATCH(DATE(YEAR($A102)-1,MONTH($A102),DAY($A102)),$A:$A,0))=""),"",E102/INDEX(E:E,MATCH(DATE(YEAR($A102)-1,MONTH($A102),DAY($A102)),$A:$A,0))-1),"")</f>
        <v/>
      </c>
      <c r="I102" s="7">
        <f>IFERROR(IF(OR(F102="",INDEX(F:F,MATCH(DATE(YEAR($A102)-1,MONTH($A102),DAY($A102)),$A:$A,0))=""),"",F102/INDEX(F:F,MATCH(DATE(YEAR($A102)-1,MONTH($A102),DAY($A102)),$A:$A,0))-1),"")</f>
        <v/>
      </c>
      <c r="J102" s="7">
        <f>IFERROR(IF(OR(G102="",INDEX(G:G,MATCH(DATE(YEAR($A102)-1,MONTH($A102),DAY($A102)),$A:$A,0))=""),"",G102/INDEX(G:G,MATCH(DATE(YEAR($A102)-1,MONTH($A102),DAY($A102)),$A:$A,0))-1),"")</f>
        <v/>
      </c>
      <c r="K102" s="7">
        <f>IF(OR(E102="",E101=""),"",E102/E101-1)</f>
        <v/>
      </c>
      <c r="L102" s="7">
        <f>IF(OR(F102="",F101=""),"",F102/F101-1)</f>
        <v/>
      </c>
      <c r="M102" s="7">
        <f>IF(OR(G102="",G101=""),"",G102/G101-1)</f>
        <v/>
      </c>
      <c r="N102" s="7">
        <f>IF(G102="","",E102/G102)</f>
        <v/>
      </c>
      <c r="O102" s="7">
        <f>IF(G102="","",F102/G102)</f>
        <v/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4">
        <f>IF(SUMIFS('Daily NSE Equity Cash'!$H:$H,'Daily NSE Equity Cash'!$A:$A,$A103)=0,"",SUMIFS('Daily NSE Equity Cash'!$H:$H,'Daily NSE Equity Cash'!$A:$A,$A103))</f>
        <v/>
      </c>
      <c r="F103" s="4">
        <f>IF(SUMIFS('Daily BSE Equity Cash'!$H:$H,'Daily BSE Equity Cash'!$A:$A,$A103)=0,"",SUMIFS('Daily BSE Equity Cash'!$H:$H,'Daily BSE Equity Cash'!$A:$A,$A103))</f>
        <v/>
      </c>
      <c r="G103" s="4">
        <f>IF(OR(E103="",F103=""),"",E103+F103)</f>
        <v/>
      </c>
      <c r="H103" s="7">
        <f>IFERROR(IF(OR(E103="",INDEX(E:E,MATCH(DATE(YEAR($A103)-1,MONTH($A103),DAY($A103)),$A:$A,0))=""),"",E103/INDEX(E:E,MATCH(DATE(YEAR($A103)-1,MONTH($A103),DAY($A103)),$A:$A,0))-1),"")</f>
        <v/>
      </c>
      <c r="I103" s="7">
        <f>IFERROR(IF(OR(F103="",INDEX(F:F,MATCH(DATE(YEAR($A103)-1,MONTH($A103),DAY($A103)),$A:$A,0))=""),"",F103/INDEX(F:F,MATCH(DATE(YEAR($A103)-1,MONTH($A103),DAY($A103)),$A:$A,0))-1),"")</f>
        <v/>
      </c>
      <c r="J103" s="7">
        <f>IFERROR(IF(OR(G103="",INDEX(G:G,MATCH(DATE(YEAR($A103)-1,MONTH($A103),DAY($A103)),$A:$A,0))=""),"",G103/INDEX(G:G,MATCH(DATE(YEAR($A103)-1,MONTH($A103),DAY($A103)),$A:$A,0))-1),"")</f>
        <v/>
      </c>
      <c r="K103" s="7">
        <f>IF(OR(E103="",E102=""),"",E103/E102-1)</f>
        <v/>
      </c>
      <c r="L103" s="7">
        <f>IF(OR(F103="",F102=""),"",F103/F102-1)</f>
        <v/>
      </c>
      <c r="M103" s="7">
        <f>IF(OR(G103="",G102=""),"",G103/G102-1)</f>
        <v/>
      </c>
      <c r="N103" s="7">
        <f>IF(G103="","",E103/G103)</f>
        <v/>
      </c>
      <c r="O103" s="7">
        <f>IF(G103="","",F103/G103)</f>
        <v/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4">
        <f>IF(SUMIFS('Daily NSE Equity Cash'!$H:$H,'Daily NSE Equity Cash'!$A:$A,$A104)=0,"",SUMIFS('Daily NSE Equity Cash'!$H:$H,'Daily NSE Equity Cash'!$A:$A,$A104))</f>
        <v/>
      </c>
      <c r="F104" s="4">
        <f>IF(SUMIFS('Daily BSE Equity Cash'!$H:$H,'Daily BSE Equity Cash'!$A:$A,$A104)=0,"",SUMIFS('Daily BSE Equity Cash'!$H:$H,'Daily BSE Equity Cash'!$A:$A,$A104))</f>
        <v/>
      </c>
      <c r="G104" s="4">
        <f>IF(OR(E104="",F104=""),"",E104+F104)</f>
        <v/>
      </c>
      <c r="H104" s="7">
        <f>IFERROR(IF(OR(E104="",INDEX(E:E,MATCH(DATE(YEAR($A104)-1,MONTH($A104),DAY($A104)),$A:$A,0))=""),"",E104/INDEX(E:E,MATCH(DATE(YEAR($A104)-1,MONTH($A104),DAY($A104)),$A:$A,0))-1),"")</f>
        <v/>
      </c>
      <c r="I104" s="7">
        <f>IFERROR(IF(OR(F104="",INDEX(F:F,MATCH(DATE(YEAR($A104)-1,MONTH($A104),DAY($A104)),$A:$A,0))=""),"",F104/INDEX(F:F,MATCH(DATE(YEAR($A104)-1,MONTH($A104),DAY($A104)),$A:$A,0))-1),"")</f>
        <v/>
      </c>
      <c r="J104" s="7">
        <f>IFERROR(IF(OR(G104="",INDEX(G:G,MATCH(DATE(YEAR($A104)-1,MONTH($A104),DAY($A104)),$A:$A,0))=""),"",G104/INDEX(G:G,MATCH(DATE(YEAR($A104)-1,MONTH($A104),DAY($A104)),$A:$A,0))-1),"")</f>
        <v/>
      </c>
      <c r="K104" s="7">
        <f>IF(OR(E104="",E103=""),"",E104/E103-1)</f>
        <v/>
      </c>
      <c r="L104" s="7">
        <f>IF(OR(F104="",F103=""),"",F104/F103-1)</f>
        <v/>
      </c>
      <c r="M104" s="7">
        <f>IF(OR(G104="",G103=""),"",G104/G103-1)</f>
        <v/>
      </c>
      <c r="N104" s="7">
        <f>IF(G104="","",E104/G104)</f>
        <v/>
      </c>
      <c r="O104" s="7">
        <f>IF(G104="","",F104/G104)</f>
        <v/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4">
        <f>IF(SUMIFS('Daily NSE Equity Cash'!$H:$H,'Daily NSE Equity Cash'!$A:$A,$A105)=0,"",SUMIFS('Daily NSE Equity Cash'!$H:$H,'Daily NSE Equity Cash'!$A:$A,$A105))</f>
        <v/>
      </c>
      <c r="F105" s="4">
        <f>IF(SUMIFS('Daily BSE Equity Cash'!$H:$H,'Daily BSE Equity Cash'!$A:$A,$A105)=0,"",SUMIFS('Daily BSE Equity Cash'!$H:$H,'Daily BSE Equity Cash'!$A:$A,$A105))</f>
        <v/>
      </c>
      <c r="G105" s="4">
        <f>IF(OR(E105="",F105=""),"",E105+F105)</f>
        <v/>
      </c>
      <c r="H105" s="7">
        <f>IFERROR(IF(OR(E105="",INDEX(E:E,MATCH(DATE(YEAR($A105)-1,MONTH($A105),DAY($A105)),$A:$A,0))=""),"",E105/INDEX(E:E,MATCH(DATE(YEAR($A105)-1,MONTH($A105),DAY($A105)),$A:$A,0))-1),"")</f>
        <v/>
      </c>
      <c r="I105" s="7">
        <f>IFERROR(IF(OR(F105="",INDEX(F:F,MATCH(DATE(YEAR($A105)-1,MONTH($A105),DAY($A105)),$A:$A,0))=""),"",F105/INDEX(F:F,MATCH(DATE(YEAR($A105)-1,MONTH($A105),DAY($A105)),$A:$A,0))-1),"")</f>
        <v/>
      </c>
      <c r="J105" s="7">
        <f>IFERROR(IF(OR(G105="",INDEX(G:G,MATCH(DATE(YEAR($A105)-1,MONTH($A105),DAY($A105)),$A:$A,0))=""),"",G105/INDEX(G:G,MATCH(DATE(YEAR($A105)-1,MONTH($A105),DAY($A105)),$A:$A,0))-1),"")</f>
        <v/>
      </c>
      <c r="K105" s="7">
        <f>IF(OR(E105="",E104=""),"",E105/E104-1)</f>
        <v/>
      </c>
      <c r="L105" s="7">
        <f>IF(OR(F105="",F104=""),"",F105/F104-1)</f>
        <v/>
      </c>
      <c r="M105" s="7">
        <f>IF(OR(G105="",G104=""),"",G105/G104-1)</f>
        <v/>
      </c>
      <c r="N105" s="7">
        <f>IF(G105="","",E105/G105)</f>
        <v/>
      </c>
      <c r="O105" s="7">
        <f>IF(G105="","",F105/G105)</f>
        <v/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4">
        <f>IF(SUMIFS('Daily NSE Equity Cash'!$H:$H,'Daily NSE Equity Cash'!$A:$A,$A106)=0,"",SUMIFS('Daily NSE Equity Cash'!$H:$H,'Daily NSE Equity Cash'!$A:$A,$A106))</f>
        <v/>
      </c>
      <c r="F106" s="4">
        <f>IF(SUMIFS('Daily BSE Equity Cash'!$H:$H,'Daily BSE Equity Cash'!$A:$A,$A106)=0,"",SUMIFS('Daily BSE Equity Cash'!$H:$H,'Daily BSE Equity Cash'!$A:$A,$A106))</f>
        <v/>
      </c>
      <c r="G106" s="4">
        <f>IF(OR(E106="",F106=""),"",E106+F106)</f>
        <v/>
      </c>
      <c r="H106" s="7">
        <f>IFERROR(IF(OR(E106="",INDEX(E:E,MATCH(DATE(YEAR($A106)-1,MONTH($A106),DAY($A106)),$A:$A,0))=""),"",E106/INDEX(E:E,MATCH(DATE(YEAR($A106)-1,MONTH($A106),DAY($A106)),$A:$A,0))-1),"")</f>
        <v/>
      </c>
      <c r="I106" s="7">
        <f>IFERROR(IF(OR(F106="",INDEX(F:F,MATCH(DATE(YEAR($A106)-1,MONTH($A106),DAY($A106)),$A:$A,0))=""),"",F106/INDEX(F:F,MATCH(DATE(YEAR($A106)-1,MONTH($A106),DAY($A106)),$A:$A,0))-1),"")</f>
        <v/>
      </c>
      <c r="J106" s="7">
        <f>IFERROR(IF(OR(G106="",INDEX(G:G,MATCH(DATE(YEAR($A106)-1,MONTH($A106),DAY($A106)),$A:$A,0))=""),"",G106/INDEX(G:G,MATCH(DATE(YEAR($A106)-1,MONTH($A106),DAY($A106)),$A:$A,0))-1),"")</f>
        <v/>
      </c>
      <c r="K106" s="7">
        <f>IF(OR(E106="",E105=""),"",E106/E105-1)</f>
        <v/>
      </c>
      <c r="L106" s="7">
        <f>IF(OR(F106="",F105=""),"",F106/F105-1)</f>
        <v/>
      </c>
      <c r="M106" s="7">
        <f>IF(OR(G106="",G105=""),"",G106/G105-1)</f>
        <v/>
      </c>
      <c r="N106" s="7">
        <f>IF(G106="","",E106/G106)</f>
        <v/>
      </c>
      <c r="O106" s="7">
        <f>IF(G106="","",F106/G106)</f>
        <v/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4">
        <f>IF(SUMIFS('Daily NSE Equity Cash'!$H:$H,'Daily NSE Equity Cash'!$A:$A,$A107)=0,"",SUMIFS('Daily NSE Equity Cash'!$H:$H,'Daily NSE Equity Cash'!$A:$A,$A107))</f>
        <v/>
      </c>
      <c r="F107" s="4">
        <f>IF(SUMIFS('Daily BSE Equity Cash'!$H:$H,'Daily BSE Equity Cash'!$A:$A,$A107)=0,"",SUMIFS('Daily BSE Equity Cash'!$H:$H,'Daily BSE Equity Cash'!$A:$A,$A107))</f>
        <v/>
      </c>
      <c r="G107" s="4">
        <f>IF(OR(E107="",F107=""),"",E107+F107)</f>
        <v/>
      </c>
      <c r="H107" s="7">
        <f>IFERROR(IF(OR(E107="",INDEX(E:E,MATCH(DATE(YEAR($A107)-1,MONTH($A107),DAY($A107)),$A:$A,0))=""),"",E107/INDEX(E:E,MATCH(DATE(YEAR($A107)-1,MONTH($A107),DAY($A107)),$A:$A,0))-1),"")</f>
        <v/>
      </c>
      <c r="I107" s="7">
        <f>IFERROR(IF(OR(F107="",INDEX(F:F,MATCH(DATE(YEAR($A107)-1,MONTH($A107),DAY($A107)),$A:$A,0))=""),"",F107/INDEX(F:F,MATCH(DATE(YEAR($A107)-1,MONTH($A107),DAY($A107)),$A:$A,0))-1),"")</f>
        <v/>
      </c>
      <c r="J107" s="7">
        <f>IFERROR(IF(OR(G107="",INDEX(G:G,MATCH(DATE(YEAR($A107)-1,MONTH($A107),DAY($A107)),$A:$A,0))=""),"",G107/INDEX(G:G,MATCH(DATE(YEAR($A107)-1,MONTH($A107),DAY($A107)),$A:$A,0))-1),"")</f>
        <v/>
      </c>
      <c r="K107" s="7">
        <f>IF(OR(E107="",E106=""),"",E107/E106-1)</f>
        <v/>
      </c>
      <c r="L107" s="7">
        <f>IF(OR(F107="",F106=""),"",F107/F106-1)</f>
        <v/>
      </c>
      <c r="M107" s="7">
        <f>IF(OR(G107="",G106=""),"",G107/G106-1)</f>
        <v/>
      </c>
      <c r="N107" s="7">
        <f>IF(G107="","",E107/G107)</f>
        <v/>
      </c>
      <c r="O107" s="7">
        <f>IF(G107="","",F107/G107)</f>
        <v/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4">
        <f>IF(SUMIFS('Daily NSE Equity Cash'!$H:$H,'Daily NSE Equity Cash'!$A:$A,$A108)=0,"",SUMIFS('Daily NSE Equity Cash'!$H:$H,'Daily NSE Equity Cash'!$A:$A,$A108))</f>
        <v/>
      </c>
      <c r="F108" s="4">
        <f>IF(SUMIFS('Daily BSE Equity Cash'!$H:$H,'Daily BSE Equity Cash'!$A:$A,$A108)=0,"",SUMIFS('Daily BSE Equity Cash'!$H:$H,'Daily BSE Equity Cash'!$A:$A,$A108))</f>
        <v/>
      </c>
      <c r="G108" s="4">
        <f>IF(OR(E108="",F108=""),"",E108+F108)</f>
        <v/>
      </c>
      <c r="H108" s="7">
        <f>IFERROR(IF(OR(E108="",INDEX(E:E,MATCH(DATE(YEAR($A108)-1,MONTH($A108),DAY($A108)),$A:$A,0))=""),"",E108/INDEX(E:E,MATCH(DATE(YEAR($A108)-1,MONTH($A108),DAY($A108)),$A:$A,0))-1),"")</f>
        <v/>
      </c>
      <c r="I108" s="7">
        <f>IFERROR(IF(OR(F108="",INDEX(F:F,MATCH(DATE(YEAR($A108)-1,MONTH($A108),DAY($A108)),$A:$A,0))=""),"",F108/INDEX(F:F,MATCH(DATE(YEAR($A108)-1,MONTH($A108),DAY($A108)),$A:$A,0))-1),"")</f>
        <v/>
      </c>
      <c r="J108" s="7">
        <f>IFERROR(IF(OR(G108="",INDEX(G:G,MATCH(DATE(YEAR($A108)-1,MONTH($A108),DAY($A108)),$A:$A,0))=""),"",G108/INDEX(G:G,MATCH(DATE(YEAR($A108)-1,MONTH($A108),DAY($A108)),$A:$A,0))-1),"")</f>
        <v/>
      </c>
      <c r="K108" s="7">
        <f>IF(OR(E108="",E107=""),"",E108/E107-1)</f>
        <v/>
      </c>
      <c r="L108" s="7">
        <f>IF(OR(F108="",F107=""),"",F108/F107-1)</f>
        <v/>
      </c>
      <c r="M108" s="7">
        <f>IF(OR(G108="",G107=""),"",G108/G107-1)</f>
        <v/>
      </c>
      <c r="N108" s="7">
        <f>IF(G108="","",E108/G108)</f>
        <v/>
      </c>
      <c r="O108" s="7">
        <f>IF(G108="","",F108/G108)</f>
        <v/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4">
        <f>IF(SUMIFS('Daily NSE Equity Cash'!$H:$H,'Daily NSE Equity Cash'!$A:$A,$A109)=0,"",SUMIFS('Daily NSE Equity Cash'!$H:$H,'Daily NSE Equity Cash'!$A:$A,$A109))</f>
        <v/>
      </c>
      <c r="F109" s="4">
        <f>IF(SUMIFS('Daily BSE Equity Cash'!$H:$H,'Daily BSE Equity Cash'!$A:$A,$A109)=0,"",SUMIFS('Daily BSE Equity Cash'!$H:$H,'Daily BSE Equity Cash'!$A:$A,$A109))</f>
        <v/>
      </c>
      <c r="G109" s="4">
        <f>IF(OR(E109="",F109=""),"",E109+F109)</f>
        <v/>
      </c>
      <c r="H109" s="7">
        <f>IFERROR(IF(OR(E109="",INDEX(E:E,MATCH(DATE(YEAR($A109)-1,MONTH($A109),DAY($A109)),$A:$A,0))=""),"",E109/INDEX(E:E,MATCH(DATE(YEAR($A109)-1,MONTH($A109),DAY($A109)),$A:$A,0))-1),"")</f>
        <v/>
      </c>
      <c r="I109" s="7">
        <f>IFERROR(IF(OR(F109="",INDEX(F:F,MATCH(DATE(YEAR($A109)-1,MONTH($A109),DAY($A109)),$A:$A,0))=""),"",F109/INDEX(F:F,MATCH(DATE(YEAR($A109)-1,MONTH($A109),DAY($A109)),$A:$A,0))-1),"")</f>
        <v/>
      </c>
      <c r="J109" s="7">
        <f>IFERROR(IF(OR(G109="",INDEX(G:G,MATCH(DATE(YEAR($A109)-1,MONTH($A109),DAY($A109)),$A:$A,0))=""),"",G109/INDEX(G:G,MATCH(DATE(YEAR($A109)-1,MONTH($A109),DAY($A109)),$A:$A,0))-1),"")</f>
        <v/>
      </c>
      <c r="K109" s="7">
        <f>IF(OR(E109="",E108=""),"",E109/E108-1)</f>
        <v/>
      </c>
      <c r="L109" s="7">
        <f>IF(OR(F109="",F108=""),"",F109/F108-1)</f>
        <v/>
      </c>
      <c r="M109" s="7">
        <f>IF(OR(G109="",G108=""),"",G109/G108-1)</f>
        <v/>
      </c>
      <c r="N109" s="7">
        <f>IF(G109="","",E109/G109)</f>
        <v/>
      </c>
      <c r="O109" s="7">
        <f>IF(G109="","",F109/G109)</f>
        <v/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4">
        <f>IF(SUMIFS('Daily NSE Equity Cash'!$H:$H,'Daily NSE Equity Cash'!$A:$A,$A110)=0,"",SUMIFS('Daily NSE Equity Cash'!$H:$H,'Daily NSE Equity Cash'!$A:$A,$A110))</f>
        <v/>
      </c>
      <c r="F110" s="4">
        <f>IF(SUMIFS('Daily BSE Equity Cash'!$H:$H,'Daily BSE Equity Cash'!$A:$A,$A110)=0,"",SUMIFS('Daily BSE Equity Cash'!$H:$H,'Daily BSE Equity Cash'!$A:$A,$A110))</f>
        <v/>
      </c>
      <c r="G110" s="4">
        <f>IF(OR(E110="",F110=""),"",E110+F110)</f>
        <v/>
      </c>
      <c r="H110" s="7">
        <f>IFERROR(IF(OR(E110="",INDEX(E:E,MATCH(DATE(YEAR($A110)-1,MONTH($A110),DAY($A110)),$A:$A,0))=""),"",E110/INDEX(E:E,MATCH(DATE(YEAR($A110)-1,MONTH($A110),DAY($A110)),$A:$A,0))-1),"")</f>
        <v/>
      </c>
      <c r="I110" s="7">
        <f>IFERROR(IF(OR(F110="",INDEX(F:F,MATCH(DATE(YEAR($A110)-1,MONTH($A110),DAY($A110)),$A:$A,0))=""),"",F110/INDEX(F:F,MATCH(DATE(YEAR($A110)-1,MONTH($A110),DAY($A110)),$A:$A,0))-1),"")</f>
        <v/>
      </c>
      <c r="J110" s="7">
        <f>IFERROR(IF(OR(G110="",INDEX(G:G,MATCH(DATE(YEAR($A110)-1,MONTH($A110),DAY($A110)),$A:$A,0))=""),"",G110/INDEX(G:G,MATCH(DATE(YEAR($A110)-1,MONTH($A110),DAY($A110)),$A:$A,0))-1),"")</f>
        <v/>
      </c>
      <c r="K110" s="7">
        <f>IF(OR(E110="",E109=""),"",E110/E109-1)</f>
        <v/>
      </c>
      <c r="L110" s="7">
        <f>IF(OR(F110="",F109=""),"",F110/F109-1)</f>
        <v/>
      </c>
      <c r="M110" s="7">
        <f>IF(OR(G110="",G109=""),"",G110/G109-1)</f>
        <v/>
      </c>
      <c r="N110" s="7">
        <f>IF(G110="","",E110/G110)</f>
        <v/>
      </c>
      <c r="O110" s="7">
        <f>IF(G110="","",F110/G110)</f>
        <v/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4">
        <f>IF(SUMIFS('Daily NSE Equity Cash'!$H:$H,'Daily NSE Equity Cash'!$A:$A,$A111)=0,"",SUMIFS('Daily NSE Equity Cash'!$H:$H,'Daily NSE Equity Cash'!$A:$A,$A111))</f>
        <v/>
      </c>
      <c r="F111" s="4">
        <f>IF(SUMIFS('Daily BSE Equity Cash'!$H:$H,'Daily BSE Equity Cash'!$A:$A,$A111)=0,"",SUMIFS('Daily BSE Equity Cash'!$H:$H,'Daily BSE Equity Cash'!$A:$A,$A111))</f>
        <v/>
      </c>
      <c r="G111" s="4">
        <f>IF(OR(E111="",F111=""),"",E111+F111)</f>
        <v/>
      </c>
      <c r="H111" s="7">
        <f>IFERROR(IF(OR(E111="",INDEX(E:E,MATCH(DATE(YEAR($A111)-1,MONTH($A111),DAY($A111)),$A:$A,0))=""),"",E111/INDEX(E:E,MATCH(DATE(YEAR($A111)-1,MONTH($A111),DAY($A111)),$A:$A,0))-1),"")</f>
        <v/>
      </c>
      <c r="I111" s="7">
        <f>IFERROR(IF(OR(F111="",INDEX(F:F,MATCH(DATE(YEAR($A111)-1,MONTH($A111),DAY($A111)),$A:$A,0))=""),"",F111/INDEX(F:F,MATCH(DATE(YEAR($A111)-1,MONTH($A111),DAY($A111)),$A:$A,0))-1),"")</f>
        <v/>
      </c>
      <c r="J111" s="7">
        <f>IFERROR(IF(OR(G111="",INDEX(G:G,MATCH(DATE(YEAR($A111)-1,MONTH($A111),DAY($A111)),$A:$A,0))=""),"",G111/INDEX(G:G,MATCH(DATE(YEAR($A111)-1,MONTH($A111),DAY($A111)),$A:$A,0))-1),"")</f>
        <v/>
      </c>
      <c r="K111" s="7">
        <f>IF(OR(E111="",E110=""),"",E111/E110-1)</f>
        <v/>
      </c>
      <c r="L111" s="7">
        <f>IF(OR(F111="",F110=""),"",F111/F110-1)</f>
        <v/>
      </c>
      <c r="M111" s="7">
        <f>IF(OR(G111="",G110=""),"",G111/G110-1)</f>
        <v/>
      </c>
      <c r="N111" s="7">
        <f>IF(G111="","",E111/G111)</f>
        <v/>
      </c>
      <c r="O111" s="7">
        <f>IF(G111="","",F111/G111)</f>
        <v/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4">
        <f>IF(SUMIFS('Daily NSE Equity Cash'!$H:$H,'Daily NSE Equity Cash'!$A:$A,$A112)=0,"",SUMIFS('Daily NSE Equity Cash'!$H:$H,'Daily NSE Equity Cash'!$A:$A,$A112))</f>
        <v/>
      </c>
      <c r="F112" s="4">
        <f>IF(SUMIFS('Daily BSE Equity Cash'!$H:$H,'Daily BSE Equity Cash'!$A:$A,$A112)=0,"",SUMIFS('Daily BSE Equity Cash'!$H:$H,'Daily BSE Equity Cash'!$A:$A,$A112))</f>
        <v/>
      </c>
      <c r="G112" s="4">
        <f>IF(OR(E112="",F112=""),"",E112+F112)</f>
        <v/>
      </c>
      <c r="H112" s="7">
        <f>IFERROR(IF(OR(E112="",INDEX(E:E,MATCH(DATE(YEAR($A112)-1,MONTH($A112),DAY($A112)),$A:$A,0))=""),"",E112/INDEX(E:E,MATCH(DATE(YEAR($A112)-1,MONTH($A112),DAY($A112)),$A:$A,0))-1),"")</f>
        <v/>
      </c>
      <c r="I112" s="7">
        <f>IFERROR(IF(OR(F112="",INDEX(F:F,MATCH(DATE(YEAR($A112)-1,MONTH($A112),DAY($A112)),$A:$A,0))=""),"",F112/INDEX(F:F,MATCH(DATE(YEAR($A112)-1,MONTH($A112),DAY($A112)),$A:$A,0))-1),"")</f>
        <v/>
      </c>
      <c r="J112" s="7">
        <f>IFERROR(IF(OR(G112="",INDEX(G:G,MATCH(DATE(YEAR($A112)-1,MONTH($A112),DAY($A112)),$A:$A,0))=""),"",G112/INDEX(G:G,MATCH(DATE(YEAR($A112)-1,MONTH($A112),DAY($A112)),$A:$A,0))-1),"")</f>
        <v/>
      </c>
      <c r="K112" s="7">
        <f>IF(OR(E112="",E111=""),"",E112/E111-1)</f>
        <v/>
      </c>
      <c r="L112" s="7">
        <f>IF(OR(F112="",F111=""),"",F112/F111-1)</f>
        <v/>
      </c>
      <c r="M112" s="7">
        <f>IF(OR(G112="",G111=""),"",G112/G111-1)</f>
        <v/>
      </c>
      <c r="N112" s="7">
        <f>IF(G112="","",E112/G112)</f>
        <v/>
      </c>
      <c r="O112" s="7">
        <f>IF(G112="","",F112/G112)</f>
        <v/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4">
        <f>IF(SUMIFS('Daily NSE Equity Cash'!$H:$H,'Daily NSE Equity Cash'!$A:$A,$A113)=0,"",SUMIFS('Daily NSE Equity Cash'!$H:$H,'Daily NSE Equity Cash'!$A:$A,$A113))</f>
        <v/>
      </c>
      <c r="F113" s="4">
        <f>IF(SUMIFS('Daily BSE Equity Cash'!$H:$H,'Daily BSE Equity Cash'!$A:$A,$A113)=0,"",SUMIFS('Daily BSE Equity Cash'!$H:$H,'Daily BSE Equity Cash'!$A:$A,$A113))</f>
        <v/>
      </c>
      <c r="G113" s="4">
        <f>IF(OR(E113="",F113=""),"",E113+F113)</f>
        <v/>
      </c>
      <c r="H113" s="7">
        <f>IFERROR(IF(OR(E113="",INDEX(E:E,MATCH(DATE(YEAR($A113)-1,MONTH($A113),DAY($A113)),$A:$A,0))=""),"",E113/INDEX(E:E,MATCH(DATE(YEAR($A113)-1,MONTH($A113),DAY($A113)),$A:$A,0))-1),"")</f>
        <v/>
      </c>
      <c r="I113" s="7">
        <f>IFERROR(IF(OR(F113="",INDEX(F:F,MATCH(DATE(YEAR($A113)-1,MONTH($A113),DAY($A113)),$A:$A,0))=""),"",F113/INDEX(F:F,MATCH(DATE(YEAR($A113)-1,MONTH($A113),DAY($A113)),$A:$A,0))-1),"")</f>
        <v/>
      </c>
      <c r="J113" s="7">
        <f>IFERROR(IF(OR(G113="",INDEX(G:G,MATCH(DATE(YEAR($A113)-1,MONTH($A113),DAY($A113)),$A:$A,0))=""),"",G113/INDEX(G:G,MATCH(DATE(YEAR($A113)-1,MONTH($A113),DAY($A113)),$A:$A,0))-1),"")</f>
        <v/>
      </c>
      <c r="K113" s="7">
        <f>IF(OR(E113="",E112=""),"",E113/E112-1)</f>
        <v/>
      </c>
      <c r="L113" s="7">
        <f>IF(OR(F113="",F112=""),"",F113/F112-1)</f>
        <v/>
      </c>
      <c r="M113" s="7">
        <f>IF(OR(G113="",G112=""),"",G113/G112-1)</f>
        <v/>
      </c>
      <c r="N113" s="7">
        <f>IF(G113="","",E113/G113)</f>
        <v/>
      </c>
      <c r="O113" s="7">
        <f>IF(G113="","",F113/G113)</f>
        <v/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4">
        <f>IF(SUMIFS('Daily NSE Equity Cash'!$H:$H,'Daily NSE Equity Cash'!$A:$A,$A114)=0,"",SUMIFS('Daily NSE Equity Cash'!$H:$H,'Daily NSE Equity Cash'!$A:$A,$A114))</f>
        <v/>
      </c>
      <c r="F114" s="4">
        <f>IF(SUMIFS('Daily BSE Equity Cash'!$H:$H,'Daily BSE Equity Cash'!$A:$A,$A114)=0,"",SUMIFS('Daily BSE Equity Cash'!$H:$H,'Daily BSE Equity Cash'!$A:$A,$A114))</f>
        <v/>
      </c>
      <c r="G114" s="4">
        <f>IF(OR(E114="",F114=""),"",E114+F114)</f>
        <v/>
      </c>
      <c r="H114" s="7">
        <f>IFERROR(IF(OR(E114="",INDEX(E:E,MATCH(DATE(YEAR($A114)-1,MONTH($A114),DAY($A114)),$A:$A,0))=""),"",E114/INDEX(E:E,MATCH(DATE(YEAR($A114)-1,MONTH($A114),DAY($A114)),$A:$A,0))-1),"")</f>
        <v/>
      </c>
      <c r="I114" s="7">
        <f>IFERROR(IF(OR(F114="",INDEX(F:F,MATCH(DATE(YEAR($A114)-1,MONTH($A114),DAY($A114)),$A:$A,0))=""),"",F114/INDEX(F:F,MATCH(DATE(YEAR($A114)-1,MONTH($A114),DAY($A114)),$A:$A,0))-1),"")</f>
        <v/>
      </c>
      <c r="J114" s="7">
        <f>IFERROR(IF(OR(G114="",INDEX(G:G,MATCH(DATE(YEAR($A114)-1,MONTH($A114),DAY($A114)),$A:$A,0))=""),"",G114/INDEX(G:G,MATCH(DATE(YEAR($A114)-1,MONTH($A114),DAY($A114)),$A:$A,0))-1),"")</f>
        <v/>
      </c>
      <c r="K114" s="7">
        <f>IF(OR(E114="",E113=""),"",E114/E113-1)</f>
        <v/>
      </c>
      <c r="L114" s="7">
        <f>IF(OR(F114="",F113=""),"",F114/F113-1)</f>
        <v/>
      </c>
      <c r="M114" s="7">
        <f>IF(OR(G114="",G113=""),"",G114/G113-1)</f>
        <v/>
      </c>
      <c r="N114" s="7">
        <f>IF(G114="","",E114/G114)</f>
        <v/>
      </c>
      <c r="O114" s="7">
        <f>IF(G114="","",F114/G114)</f>
        <v/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4">
        <f>IF(SUMIFS('Daily NSE Equity Cash'!$H:$H,'Daily NSE Equity Cash'!$A:$A,$A115)=0,"",SUMIFS('Daily NSE Equity Cash'!$H:$H,'Daily NSE Equity Cash'!$A:$A,$A115))</f>
        <v/>
      </c>
      <c r="F115" s="4">
        <f>IF(SUMIFS('Daily BSE Equity Cash'!$H:$H,'Daily BSE Equity Cash'!$A:$A,$A115)=0,"",SUMIFS('Daily BSE Equity Cash'!$H:$H,'Daily BSE Equity Cash'!$A:$A,$A115))</f>
        <v/>
      </c>
      <c r="G115" s="4">
        <f>IF(OR(E115="",F115=""),"",E115+F115)</f>
        <v/>
      </c>
      <c r="H115" s="7">
        <f>IFERROR(IF(OR(E115="",INDEX(E:E,MATCH(DATE(YEAR($A115)-1,MONTH($A115),DAY($A115)),$A:$A,0))=""),"",E115/INDEX(E:E,MATCH(DATE(YEAR($A115)-1,MONTH($A115),DAY($A115)),$A:$A,0))-1),"")</f>
        <v/>
      </c>
      <c r="I115" s="7">
        <f>IFERROR(IF(OR(F115="",INDEX(F:F,MATCH(DATE(YEAR($A115)-1,MONTH($A115),DAY($A115)),$A:$A,0))=""),"",F115/INDEX(F:F,MATCH(DATE(YEAR($A115)-1,MONTH($A115),DAY($A115)),$A:$A,0))-1),"")</f>
        <v/>
      </c>
      <c r="J115" s="7">
        <f>IFERROR(IF(OR(G115="",INDEX(G:G,MATCH(DATE(YEAR($A115)-1,MONTH($A115),DAY($A115)),$A:$A,0))=""),"",G115/INDEX(G:G,MATCH(DATE(YEAR($A115)-1,MONTH($A115),DAY($A115)),$A:$A,0))-1),"")</f>
        <v/>
      </c>
      <c r="K115" s="7">
        <f>IF(OR(E115="",E114=""),"",E115/E114-1)</f>
        <v/>
      </c>
      <c r="L115" s="7">
        <f>IF(OR(F115="",F114=""),"",F115/F114-1)</f>
        <v/>
      </c>
      <c r="M115" s="7">
        <f>IF(OR(G115="",G114=""),"",G115/G114-1)</f>
        <v/>
      </c>
      <c r="N115" s="7">
        <f>IF(G115="","",E115/G115)</f>
        <v/>
      </c>
      <c r="O115" s="7">
        <f>IF(G115="","",F115/G115)</f>
        <v/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4">
        <f>IF(SUMIFS('Daily NSE Equity Cash'!$H:$H,'Daily NSE Equity Cash'!$A:$A,$A116)=0,"",SUMIFS('Daily NSE Equity Cash'!$H:$H,'Daily NSE Equity Cash'!$A:$A,$A116))</f>
        <v/>
      </c>
      <c r="F116" s="4">
        <f>IF(SUMIFS('Daily BSE Equity Cash'!$H:$H,'Daily BSE Equity Cash'!$A:$A,$A116)=0,"",SUMIFS('Daily BSE Equity Cash'!$H:$H,'Daily BSE Equity Cash'!$A:$A,$A116))</f>
        <v/>
      </c>
      <c r="G116" s="4">
        <f>IF(OR(E116="",F116=""),"",E116+F116)</f>
        <v/>
      </c>
      <c r="H116" s="7">
        <f>IFERROR(IF(OR(E116="",INDEX(E:E,MATCH(DATE(YEAR($A116)-1,MONTH($A116),DAY($A116)),$A:$A,0))=""),"",E116/INDEX(E:E,MATCH(DATE(YEAR($A116)-1,MONTH($A116),DAY($A116)),$A:$A,0))-1),"")</f>
        <v/>
      </c>
      <c r="I116" s="7">
        <f>IFERROR(IF(OR(F116="",INDEX(F:F,MATCH(DATE(YEAR($A116)-1,MONTH($A116),DAY($A116)),$A:$A,0))=""),"",F116/INDEX(F:F,MATCH(DATE(YEAR($A116)-1,MONTH($A116),DAY($A116)),$A:$A,0))-1),"")</f>
        <v/>
      </c>
      <c r="J116" s="7">
        <f>IFERROR(IF(OR(G116="",INDEX(G:G,MATCH(DATE(YEAR($A116)-1,MONTH($A116),DAY($A116)),$A:$A,0))=""),"",G116/INDEX(G:G,MATCH(DATE(YEAR($A116)-1,MONTH($A116),DAY($A116)),$A:$A,0))-1),"")</f>
        <v/>
      </c>
      <c r="K116" s="7">
        <f>IF(OR(E116="",E115=""),"",E116/E115-1)</f>
        <v/>
      </c>
      <c r="L116" s="7">
        <f>IF(OR(F116="",F115=""),"",F116/F115-1)</f>
        <v/>
      </c>
      <c r="M116" s="7">
        <f>IF(OR(G116="",G115=""),"",G116/G115-1)</f>
        <v/>
      </c>
      <c r="N116" s="7">
        <f>IF(G116="","",E116/G116)</f>
        <v/>
      </c>
      <c r="O116" s="7">
        <f>IF(G116="","",F116/G116)</f>
        <v/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4">
        <f>IF(SUMIFS('Daily NSE Equity Cash'!$H:$H,'Daily NSE Equity Cash'!$A:$A,$A117)=0,"",SUMIFS('Daily NSE Equity Cash'!$H:$H,'Daily NSE Equity Cash'!$A:$A,$A117))</f>
        <v/>
      </c>
      <c r="F117" s="4">
        <f>IF(SUMIFS('Daily BSE Equity Cash'!$H:$H,'Daily BSE Equity Cash'!$A:$A,$A117)=0,"",SUMIFS('Daily BSE Equity Cash'!$H:$H,'Daily BSE Equity Cash'!$A:$A,$A117))</f>
        <v/>
      </c>
      <c r="G117" s="4">
        <f>IF(OR(E117="",F117=""),"",E117+F117)</f>
        <v/>
      </c>
      <c r="H117" s="7">
        <f>IFERROR(IF(OR(E117="",INDEX(E:E,MATCH(DATE(YEAR($A117)-1,MONTH($A117),DAY($A117)),$A:$A,0))=""),"",E117/INDEX(E:E,MATCH(DATE(YEAR($A117)-1,MONTH($A117),DAY($A117)),$A:$A,0))-1),"")</f>
        <v/>
      </c>
      <c r="I117" s="7">
        <f>IFERROR(IF(OR(F117="",INDEX(F:F,MATCH(DATE(YEAR($A117)-1,MONTH($A117),DAY($A117)),$A:$A,0))=""),"",F117/INDEX(F:F,MATCH(DATE(YEAR($A117)-1,MONTH($A117),DAY($A117)),$A:$A,0))-1),"")</f>
        <v/>
      </c>
      <c r="J117" s="7">
        <f>IFERROR(IF(OR(G117="",INDEX(G:G,MATCH(DATE(YEAR($A117)-1,MONTH($A117),DAY($A117)),$A:$A,0))=""),"",G117/INDEX(G:G,MATCH(DATE(YEAR($A117)-1,MONTH($A117),DAY($A117)),$A:$A,0))-1),"")</f>
        <v/>
      </c>
      <c r="K117" s="7">
        <f>IF(OR(E117="",E116=""),"",E117/E116-1)</f>
        <v/>
      </c>
      <c r="L117" s="7">
        <f>IF(OR(F117="",F116=""),"",F117/F116-1)</f>
        <v/>
      </c>
      <c r="M117" s="7">
        <f>IF(OR(G117="",G116=""),"",G117/G116-1)</f>
        <v/>
      </c>
      <c r="N117" s="7">
        <f>IF(G117="","",E117/G117)</f>
        <v/>
      </c>
      <c r="O117" s="7">
        <f>IF(G117="","",F117/G117)</f>
        <v/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4">
        <f>IF(SUMIFS('Daily NSE Equity Cash'!$H:$H,'Daily NSE Equity Cash'!$A:$A,$A118)=0,"",SUMIFS('Daily NSE Equity Cash'!$H:$H,'Daily NSE Equity Cash'!$A:$A,$A118))</f>
        <v/>
      </c>
      <c r="F118" s="4">
        <f>IF(SUMIFS('Daily BSE Equity Cash'!$H:$H,'Daily BSE Equity Cash'!$A:$A,$A118)=0,"",SUMIFS('Daily BSE Equity Cash'!$H:$H,'Daily BSE Equity Cash'!$A:$A,$A118))</f>
        <v/>
      </c>
      <c r="G118" s="4">
        <f>IF(OR(E118="",F118=""),"",E118+F118)</f>
        <v/>
      </c>
      <c r="H118" s="7">
        <f>IFERROR(IF(OR(E118="",INDEX(E:E,MATCH(DATE(YEAR($A118)-1,MONTH($A118),DAY($A118)),$A:$A,0))=""),"",E118/INDEX(E:E,MATCH(DATE(YEAR($A118)-1,MONTH($A118),DAY($A118)),$A:$A,0))-1),"")</f>
        <v/>
      </c>
      <c r="I118" s="7">
        <f>IFERROR(IF(OR(F118="",INDEX(F:F,MATCH(DATE(YEAR($A118)-1,MONTH($A118),DAY($A118)),$A:$A,0))=""),"",F118/INDEX(F:F,MATCH(DATE(YEAR($A118)-1,MONTH($A118),DAY($A118)),$A:$A,0))-1),"")</f>
        <v/>
      </c>
      <c r="J118" s="7">
        <f>IFERROR(IF(OR(G118="",INDEX(G:G,MATCH(DATE(YEAR($A118)-1,MONTH($A118),DAY($A118)),$A:$A,0))=""),"",G118/INDEX(G:G,MATCH(DATE(YEAR($A118)-1,MONTH($A118),DAY($A118)),$A:$A,0))-1),"")</f>
        <v/>
      </c>
      <c r="K118" s="7">
        <f>IF(OR(E118="",E117=""),"",E118/E117-1)</f>
        <v/>
      </c>
      <c r="L118" s="7">
        <f>IF(OR(F118="",F117=""),"",F118/F117-1)</f>
        <v/>
      </c>
      <c r="M118" s="7">
        <f>IF(OR(G118="",G117=""),"",G118/G117-1)</f>
        <v/>
      </c>
      <c r="N118" s="7">
        <f>IF(G118="","",E118/G118)</f>
        <v/>
      </c>
      <c r="O118" s="7">
        <f>IF(G118="","",F118/G118)</f>
        <v/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4">
        <f>IF(SUMIFS('Daily NSE Equity Cash'!$H:$H,'Daily NSE Equity Cash'!$A:$A,$A119)=0,"",SUMIFS('Daily NSE Equity Cash'!$H:$H,'Daily NSE Equity Cash'!$A:$A,$A119))</f>
        <v/>
      </c>
      <c r="F119" s="4">
        <f>IF(SUMIFS('Daily BSE Equity Cash'!$H:$H,'Daily BSE Equity Cash'!$A:$A,$A119)=0,"",SUMIFS('Daily BSE Equity Cash'!$H:$H,'Daily BSE Equity Cash'!$A:$A,$A119))</f>
        <v/>
      </c>
      <c r="G119" s="4">
        <f>IF(OR(E119="",F119=""),"",E119+F119)</f>
        <v/>
      </c>
      <c r="H119" s="7">
        <f>IFERROR(IF(OR(E119="",INDEX(E:E,MATCH(DATE(YEAR($A119)-1,MONTH($A119),DAY($A119)),$A:$A,0))=""),"",E119/INDEX(E:E,MATCH(DATE(YEAR($A119)-1,MONTH($A119),DAY($A119)),$A:$A,0))-1),"")</f>
        <v/>
      </c>
      <c r="I119" s="7">
        <f>IFERROR(IF(OR(F119="",INDEX(F:F,MATCH(DATE(YEAR($A119)-1,MONTH($A119),DAY($A119)),$A:$A,0))=""),"",F119/INDEX(F:F,MATCH(DATE(YEAR($A119)-1,MONTH($A119),DAY($A119)),$A:$A,0))-1),"")</f>
        <v/>
      </c>
      <c r="J119" s="7">
        <f>IFERROR(IF(OR(G119="",INDEX(G:G,MATCH(DATE(YEAR($A119)-1,MONTH($A119),DAY($A119)),$A:$A,0))=""),"",G119/INDEX(G:G,MATCH(DATE(YEAR($A119)-1,MONTH($A119),DAY($A119)),$A:$A,0))-1),"")</f>
        <v/>
      </c>
      <c r="K119" s="7">
        <f>IF(OR(E119="",E118=""),"",E119/E118-1)</f>
        <v/>
      </c>
      <c r="L119" s="7">
        <f>IF(OR(F119="",F118=""),"",F119/F118-1)</f>
        <v/>
      </c>
      <c r="M119" s="7">
        <f>IF(OR(G119="",G118=""),"",G119/G118-1)</f>
        <v/>
      </c>
      <c r="N119" s="7">
        <f>IF(G119="","",E119/G119)</f>
        <v/>
      </c>
      <c r="O119" s="7">
        <f>IF(G119="","",F119/G119)</f>
        <v/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4">
        <f>IF(SUMIFS('Daily NSE Equity Cash'!$H:$H,'Daily NSE Equity Cash'!$A:$A,$A120)=0,"",SUMIFS('Daily NSE Equity Cash'!$H:$H,'Daily NSE Equity Cash'!$A:$A,$A120))</f>
        <v/>
      </c>
      <c r="F120" s="4">
        <f>IF(SUMIFS('Daily BSE Equity Cash'!$H:$H,'Daily BSE Equity Cash'!$A:$A,$A120)=0,"",SUMIFS('Daily BSE Equity Cash'!$H:$H,'Daily BSE Equity Cash'!$A:$A,$A120))</f>
        <v/>
      </c>
      <c r="G120" s="4">
        <f>IF(OR(E120="",F120=""),"",E120+F120)</f>
        <v/>
      </c>
      <c r="H120" s="7">
        <f>IFERROR(IF(OR(E120="",INDEX(E:E,MATCH(DATE(YEAR($A120)-1,MONTH($A120),DAY($A120)),$A:$A,0))=""),"",E120/INDEX(E:E,MATCH(DATE(YEAR($A120)-1,MONTH($A120),DAY($A120)),$A:$A,0))-1),"")</f>
        <v/>
      </c>
      <c r="I120" s="7">
        <f>IFERROR(IF(OR(F120="",INDEX(F:F,MATCH(DATE(YEAR($A120)-1,MONTH($A120),DAY($A120)),$A:$A,0))=""),"",F120/INDEX(F:F,MATCH(DATE(YEAR($A120)-1,MONTH($A120),DAY($A120)),$A:$A,0))-1),"")</f>
        <v/>
      </c>
      <c r="J120" s="7">
        <f>IFERROR(IF(OR(G120="",INDEX(G:G,MATCH(DATE(YEAR($A120)-1,MONTH($A120),DAY($A120)),$A:$A,0))=""),"",G120/INDEX(G:G,MATCH(DATE(YEAR($A120)-1,MONTH($A120),DAY($A120)),$A:$A,0))-1),"")</f>
        <v/>
      </c>
      <c r="K120" s="7">
        <f>IF(OR(E120="",E119=""),"",E120/E119-1)</f>
        <v/>
      </c>
      <c r="L120" s="7">
        <f>IF(OR(F120="",F119=""),"",F120/F119-1)</f>
        <v/>
      </c>
      <c r="M120" s="7">
        <f>IF(OR(G120="",G119=""),"",G120/G119-1)</f>
        <v/>
      </c>
      <c r="N120" s="7">
        <f>IF(G120="","",E120/G120)</f>
        <v/>
      </c>
      <c r="O120" s="7">
        <f>IF(G120="","",F120/G120)</f>
        <v/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4">
        <f>IF(SUMIFS('Daily NSE Equity Cash'!$H:$H,'Daily NSE Equity Cash'!$A:$A,$A121)=0,"",SUMIFS('Daily NSE Equity Cash'!$H:$H,'Daily NSE Equity Cash'!$A:$A,$A121))</f>
        <v/>
      </c>
      <c r="F121" s="4">
        <f>IF(SUMIFS('Daily BSE Equity Cash'!$H:$H,'Daily BSE Equity Cash'!$A:$A,$A121)=0,"",SUMIFS('Daily BSE Equity Cash'!$H:$H,'Daily BSE Equity Cash'!$A:$A,$A121))</f>
        <v/>
      </c>
      <c r="G121" s="4">
        <f>IF(OR(E121="",F121=""),"",E121+F121)</f>
        <v/>
      </c>
      <c r="H121" s="7">
        <f>IFERROR(IF(OR(E121="",INDEX(E:E,MATCH(DATE(YEAR($A121)-1,MONTH($A121),DAY($A121)),$A:$A,0))=""),"",E121/INDEX(E:E,MATCH(DATE(YEAR($A121)-1,MONTH($A121),DAY($A121)),$A:$A,0))-1),"")</f>
        <v/>
      </c>
      <c r="I121" s="7">
        <f>IFERROR(IF(OR(F121="",INDEX(F:F,MATCH(DATE(YEAR($A121)-1,MONTH($A121),DAY($A121)),$A:$A,0))=""),"",F121/INDEX(F:F,MATCH(DATE(YEAR($A121)-1,MONTH($A121),DAY($A121)),$A:$A,0))-1),"")</f>
        <v/>
      </c>
      <c r="J121" s="7">
        <f>IFERROR(IF(OR(G121="",INDEX(G:G,MATCH(DATE(YEAR($A121)-1,MONTH($A121),DAY($A121)),$A:$A,0))=""),"",G121/INDEX(G:G,MATCH(DATE(YEAR($A121)-1,MONTH($A121),DAY($A121)),$A:$A,0))-1),"")</f>
        <v/>
      </c>
      <c r="K121" s="7">
        <f>IF(OR(E121="",E120=""),"",E121/E120-1)</f>
        <v/>
      </c>
      <c r="L121" s="7">
        <f>IF(OR(F121="",F120=""),"",F121/F120-1)</f>
        <v/>
      </c>
      <c r="M121" s="7">
        <f>IF(OR(G121="",G120=""),"",G121/G120-1)</f>
        <v/>
      </c>
      <c r="N121" s="7">
        <f>IF(G121="","",E121/G121)</f>
        <v/>
      </c>
      <c r="O121" s="7">
        <f>IF(G121="","",F121/G121)</f>
        <v/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4">
        <f>IF(SUMIFS('Daily NSE Equity Cash'!$H:$H,'Daily NSE Equity Cash'!$A:$A,$A122)=0,"",SUMIFS('Daily NSE Equity Cash'!$H:$H,'Daily NSE Equity Cash'!$A:$A,$A122))</f>
        <v/>
      </c>
      <c r="F122" s="4">
        <f>IF(SUMIFS('Daily BSE Equity Cash'!$H:$H,'Daily BSE Equity Cash'!$A:$A,$A122)=0,"",SUMIFS('Daily BSE Equity Cash'!$H:$H,'Daily BSE Equity Cash'!$A:$A,$A122))</f>
        <v/>
      </c>
      <c r="G122" s="4">
        <f>IF(OR(E122="",F122=""),"",E122+F122)</f>
        <v/>
      </c>
      <c r="H122" s="7">
        <f>IFERROR(IF(OR(E122="",INDEX(E:E,MATCH(DATE(YEAR($A122)-1,MONTH($A122),DAY($A122)),$A:$A,0))=""),"",E122/INDEX(E:E,MATCH(DATE(YEAR($A122)-1,MONTH($A122),DAY($A122)),$A:$A,0))-1),"")</f>
        <v/>
      </c>
      <c r="I122" s="7">
        <f>IFERROR(IF(OR(F122="",INDEX(F:F,MATCH(DATE(YEAR($A122)-1,MONTH($A122),DAY($A122)),$A:$A,0))=""),"",F122/INDEX(F:F,MATCH(DATE(YEAR($A122)-1,MONTH($A122),DAY($A122)),$A:$A,0))-1),"")</f>
        <v/>
      </c>
      <c r="J122" s="7">
        <f>IFERROR(IF(OR(G122="",INDEX(G:G,MATCH(DATE(YEAR($A122)-1,MONTH($A122),DAY($A122)),$A:$A,0))=""),"",G122/INDEX(G:G,MATCH(DATE(YEAR($A122)-1,MONTH($A122),DAY($A122)),$A:$A,0))-1),"")</f>
        <v/>
      </c>
      <c r="K122" s="7">
        <f>IF(OR(E122="",E121=""),"",E122/E121-1)</f>
        <v/>
      </c>
      <c r="L122" s="7">
        <f>IF(OR(F122="",F121=""),"",F122/F121-1)</f>
        <v/>
      </c>
      <c r="M122" s="7">
        <f>IF(OR(G122="",G121=""),"",G122/G121-1)</f>
        <v/>
      </c>
      <c r="N122" s="7">
        <f>IF(G122="","",E122/G122)</f>
        <v/>
      </c>
      <c r="O122" s="7">
        <f>IF(G122="","",F122/G122)</f>
        <v/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4">
        <f>IF(SUMIFS('Daily NSE Equity Cash'!$H:$H,'Daily NSE Equity Cash'!$A:$A,$A123)=0,"",SUMIFS('Daily NSE Equity Cash'!$H:$H,'Daily NSE Equity Cash'!$A:$A,$A123))</f>
        <v/>
      </c>
      <c r="F123" s="4">
        <f>IF(SUMIFS('Daily BSE Equity Cash'!$H:$H,'Daily BSE Equity Cash'!$A:$A,$A123)=0,"",SUMIFS('Daily BSE Equity Cash'!$H:$H,'Daily BSE Equity Cash'!$A:$A,$A123))</f>
        <v/>
      </c>
      <c r="G123" s="4">
        <f>IF(OR(E123="",F123=""),"",E123+F123)</f>
        <v/>
      </c>
      <c r="H123" s="7">
        <f>IFERROR(IF(OR(E123="",INDEX(E:E,MATCH(DATE(YEAR($A123)-1,MONTH($A123),DAY($A123)),$A:$A,0))=""),"",E123/INDEX(E:E,MATCH(DATE(YEAR($A123)-1,MONTH($A123),DAY($A123)),$A:$A,0))-1),"")</f>
        <v/>
      </c>
      <c r="I123" s="7">
        <f>IFERROR(IF(OR(F123="",INDEX(F:F,MATCH(DATE(YEAR($A123)-1,MONTH($A123),DAY($A123)),$A:$A,0))=""),"",F123/INDEX(F:F,MATCH(DATE(YEAR($A123)-1,MONTH($A123),DAY($A123)),$A:$A,0))-1),"")</f>
        <v/>
      </c>
      <c r="J123" s="7">
        <f>IFERROR(IF(OR(G123="",INDEX(G:G,MATCH(DATE(YEAR($A123)-1,MONTH($A123),DAY($A123)),$A:$A,0))=""),"",G123/INDEX(G:G,MATCH(DATE(YEAR($A123)-1,MONTH($A123),DAY($A123)),$A:$A,0))-1),"")</f>
        <v/>
      </c>
      <c r="K123" s="7">
        <f>IF(OR(E123="",E122=""),"",E123/E122-1)</f>
        <v/>
      </c>
      <c r="L123" s="7">
        <f>IF(OR(F123="",F122=""),"",F123/F122-1)</f>
        <v/>
      </c>
      <c r="M123" s="7">
        <f>IF(OR(G123="",G122=""),"",G123/G122-1)</f>
        <v/>
      </c>
      <c r="N123" s="7">
        <f>IF(G123="","",E123/G123)</f>
        <v/>
      </c>
      <c r="O123" s="7">
        <f>IF(G123="","",F123/G123)</f>
        <v/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4">
        <f>IF(SUMIFS('Daily NSE Equity Cash'!$H:$H,'Daily NSE Equity Cash'!$A:$A,$A124)=0,"",SUMIFS('Daily NSE Equity Cash'!$H:$H,'Daily NSE Equity Cash'!$A:$A,$A124))</f>
        <v/>
      </c>
      <c r="F124" s="4">
        <f>IF(SUMIFS('Daily BSE Equity Cash'!$H:$H,'Daily BSE Equity Cash'!$A:$A,$A124)=0,"",SUMIFS('Daily BSE Equity Cash'!$H:$H,'Daily BSE Equity Cash'!$A:$A,$A124))</f>
        <v/>
      </c>
      <c r="G124" s="4">
        <f>IF(OR(E124="",F124=""),"",E124+F124)</f>
        <v/>
      </c>
      <c r="H124" s="7">
        <f>IFERROR(IF(OR(E124="",INDEX(E:E,MATCH(DATE(YEAR($A124)-1,MONTH($A124),DAY($A124)),$A:$A,0))=""),"",E124/INDEX(E:E,MATCH(DATE(YEAR($A124)-1,MONTH($A124),DAY($A124)),$A:$A,0))-1),"")</f>
        <v/>
      </c>
      <c r="I124" s="7">
        <f>IFERROR(IF(OR(F124="",INDEX(F:F,MATCH(DATE(YEAR($A124)-1,MONTH($A124),DAY($A124)),$A:$A,0))=""),"",F124/INDEX(F:F,MATCH(DATE(YEAR($A124)-1,MONTH($A124),DAY($A124)),$A:$A,0))-1),"")</f>
        <v/>
      </c>
      <c r="J124" s="7">
        <f>IFERROR(IF(OR(G124="",INDEX(G:G,MATCH(DATE(YEAR($A124)-1,MONTH($A124),DAY($A124)),$A:$A,0))=""),"",G124/INDEX(G:G,MATCH(DATE(YEAR($A124)-1,MONTH($A124),DAY($A124)),$A:$A,0))-1),"")</f>
        <v/>
      </c>
      <c r="K124" s="7">
        <f>IF(OR(E124="",E123=""),"",E124/E123-1)</f>
        <v/>
      </c>
      <c r="L124" s="7">
        <f>IF(OR(F124="",F123=""),"",F124/F123-1)</f>
        <v/>
      </c>
      <c r="M124" s="7">
        <f>IF(OR(G124="",G123=""),"",G124/G123-1)</f>
        <v/>
      </c>
      <c r="N124" s="7">
        <f>IF(G124="","",E124/G124)</f>
        <v/>
      </c>
      <c r="O124" s="7">
        <f>IF(G124="","",F124/G124)</f>
        <v/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4">
        <f>IF(SUMIFS('Daily NSE Equity Cash'!$H:$H,'Daily NSE Equity Cash'!$A:$A,$A125)=0,"",SUMIFS('Daily NSE Equity Cash'!$H:$H,'Daily NSE Equity Cash'!$A:$A,$A125))</f>
        <v/>
      </c>
      <c r="F125" s="4">
        <f>IF(SUMIFS('Daily BSE Equity Cash'!$H:$H,'Daily BSE Equity Cash'!$A:$A,$A125)=0,"",SUMIFS('Daily BSE Equity Cash'!$H:$H,'Daily BSE Equity Cash'!$A:$A,$A125))</f>
        <v/>
      </c>
      <c r="G125" s="4">
        <f>IF(OR(E125="",F125=""),"",E125+F125)</f>
        <v/>
      </c>
      <c r="H125" s="7">
        <f>IFERROR(IF(OR(E125="",INDEX(E:E,MATCH(DATE(YEAR($A125)-1,MONTH($A125),DAY($A125)),$A:$A,0))=""),"",E125/INDEX(E:E,MATCH(DATE(YEAR($A125)-1,MONTH($A125),DAY($A125)),$A:$A,0))-1),"")</f>
        <v/>
      </c>
      <c r="I125" s="7">
        <f>IFERROR(IF(OR(F125="",INDEX(F:F,MATCH(DATE(YEAR($A125)-1,MONTH($A125),DAY($A125)),$A:$A,0))=""),"",F125/INDEX(F:F,MATCH(DATE(YEAR($A125)-1,MONTH($A125),DAY($A125)),$A:$A,0))-1),"")</f>
        <v/>
      </c>
      <c r="J125" s="7">
        <f>IFERROR(IF(OR(G125="",INDEX(G:G,MATCH(DATE(YEAR($A125)-1,MONTH($A125),DAY($A125)),$A:$A,0))=""),"",G125/INDEX(G:G,MATCH(DATE(YEAR($A125)-1,MONTH($A125),DAY($A125)),$A:$A,0))-1),"")</f>
        <v/>
      </c>
      <c r="K125" s="7">
        <f>IF(OR(E125="",E124=""),"",E125/E124-1)</f>
        <v/>
      </c>
      <c r="L125" s="7">
        <f>IF(OR(F125="",F124=""),"",F125/F124-1)</f>
        <v/>
      </c>
      <c r="M125" s="7">
        <f>IF(OR(G125="",G124=""),"",G125/G124-1)</f>
        <v/>
      </c>
      <c r="N125" s="7">
        <f>IF(G125="","",E125/G125)</f>
        <v/>
      </c>
      <c r="O125" s="7">
        <f>IF(G125="","",F125/G125)</f>
        <v/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4">
        <f>IF(SUMIFS('Daily NSE Equity Cash'!$H:$H,'Daily NSE Equity Cash'!$A:$A,$A126)=0,"",SUMIFS('Daily NSE Equity Cash'!$H:$H,'Daily NSE Equity Cash'!$A:$A,$A126))</f>
        <v/>
      </c>
      <c r="F126" s="4">
        <f>IF(SUMIFS('Daily BSE Equity Cash'!$H:$H,'Daily BSE Equity Cash'!$A:$A,$A126)=0,"",SUMIFS('Daily BSE Equity Cash'!$H:$H,'Daily BSE Equity Cash'!$A:$A,$A126))</f>
        <v/>
      </c>
      <c r="G126" s="4">
        <f>IF(OR(E126="",F126=""),"",E126+F126)</f>
        <v/>
      </c>
      <c r="H126" s="7">
        <f>IFERROR(IF(OR(E126="",INDEX(E:E,MATCH(DATE(YEAR($A126)-1,MONTH($A126),DAY($A126)),$A:$A,0))=""),"",E126/INDEX(E:E,MATCH(DATE(YEAR($A126)-1,MONTH($A126),DAY($A126)),$A:$A,0))-1),"")</f>
        <v/>
      </c>
      <c r="I126" s="7">
        <f>IFERROR(IF(OR(F126="",INDEX(F:F,MATCH(DATE(YEAR($A126)-1,MONTH($A126),DAY($A126)),$A:$A,0))=""),"",F126/INDEX(F:F,MATCH(DATE(YEAR($A126)-1,MONTH($A126),DAY($A126)),$A:$A,0))-1),"")</f>
        <v/>
      </c>
      <c r="J126" s="7">
        <f>IFERROR(IF(OR(G126="",INDEX(G:G,MATCH(DATE(YEAR($A126)-1,MONTH($A126),DAY($A126)),$A:$A,0))=""),"",G126/INDEX(G:G,MATCH(DATE(YEAR($A126)-1,MONTH($A126),DAY($A126)),$A:$A,0))-1),"")</f>
        <v/>
      </c>
      <c r="K126" s="7">
        <f>IF(OR(E126="",E125=""),"",E126/E125-1)</f>
        <v/>
      </c>
      <c r="L126" s="7">
        <f>IF(OR(F126="",F125=""),"",F126/F125-1)</f>
        <v/>
      </c>
      <c r="M126" s="7">
        <f>IF(OR(G126="",G125=""),"",G126/G125-1)</f>
        <v/>
      </c>
      <c r="N126" s="7">
        <f>IF(G126="","",E126/G126)</f>
        <v/>
      </c>
      <c r="O126" s="7">
        <f>IF(G126="","",F126/G126)</f>
        <v/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4">
        <f>IF(SUMIFS('Daily NSE Equity Cash'!$H:$H,'Daily NSE Equity Cash'!$A:$A,$A127)=0,"",SUMIFS('Daily NSE Equity Cash'!$H:$H,'Daily NSE Equity Cash'!$A:$A,$A127))</f>
        <v/>
      </c>
      <c r="F127" s="4">
        <f>IF(SUMIFS('Daily BSE Equity Cash'!$H:$H,'Daily BSE Equity Cash'!$A:$A,$A127)=0,"",SUMIFS('Daily BSE Equity Cash'!$H:$H,'Daily BSE Equity Cash'!$A:$A,$A127))</f>
        <v/>
      </c>
      <c r="G127" s="4">
        <f>IF(OR(E127="",F127=""),"",E127+F127)</f>
        <v/>
      </c>
      <c r="H127" s="7">
        <f>IFERROR(IF(OR(E127="",INDEX(E:E,MATCH(DATE(YEAR($A127)-1,MONTH($A127),DAY($A127)),$A:$A,0))=""),"",E127/INDEX(E:E,MATCH(DATE(YEAR($A127)-1,MONTH($A127),DAY($A127)),$A:$A,0))-1),"")</f>
        <v/>
      </c>
      <c r="I127" s="7">
        <f>IFERROR(IF(OR(F127="",INDEX(F:F,MATCH(DATE(YEAR($A127)-1,MONTH($A127),DAY($A127)),$A:$A,0))=""),"",F127/INDEX(F:F,MATCH(DATE(YEAR($A127)-1,MONTH($A127),DAY($A127)),$A:$A,0))-1),"")</f>
        <v/>
      </c>
      <c r="J127" s="7">
        <f>IFERROR(IF(OR(G127="",INDEX(G:G,MATCH(DATE(YEAR($A127)-1,MONTH($A127),DAY($A127)),$A:$A,0))=""),"",G127/INDEX(G:G,MATCH(DATE(YEAR($A127)-1,MONTH($A127),DAY($A127)),$A:$A,0))-1),"")</f>
        <v/>
      </c>
      <c r="K127" s="7">
        <f>IF(OR(E127="",E126=""),"",E127/E126-1)</f>
        <v/>
      </c>
      <c r="L127" s="7">
        <f>IF(OR(F127="",F126=""),"",F127/F126-1)</f>
        <v/>
      </c>
      <c r="M127" s="7">
        <f>IF(OR(G127="",G126=""),"",G127/G126-1)</f>
        <v/>
      </c>
      <c r="N127" s="7">
        <f>IF(G127="","",E127/G127)</f>
        <v/>
      </c>
      <c r="O127" s="7">
        <f>IF(G127="","",F127/G127)</f>
        <v/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4">
        <f>IF(SUMIFS('Daily NSE Equity Cash'!$H:$H,'Daily NSE Equity Cash'!$A:$A,$A128)=0,"",SUMIFS('Daily NSE Equity Cash'!$H:$H,'Daily NSE Equity Cash'!$A:$A,$A128))</f>
        <v/>
      </c>
      <c r="F128" s="4">
        <f>IF(SUMIFS('Daily BSE Equity Cash'!$H:$H,'Daily BSE Equity Cash'!$A:$A,$A128)=0,"",SUMIFS('Daily BSE Equity Cash'!$H:$H,'Daily BSE Equity Cash'!$A:$A,$A128))</f>
        <v/>
      </c>
      <c r="G128" s="4">
        <f>IF(OR(E128="",F128=""),"",E128+F128)</f>
        <v/>
      </c>
      <c r="H128" s="7">
        <f>IFERROR(IF(OR(E128="",INDEX(E:E,MATCH(DATE(YEAR($A128)-1,MONTH($A128),DAY($A128)),$A:$A,0))=""),"",E128/INDEX(E:E,MATCH(DATE(YEAR($A128)-1,MONTH($A128),DAY($A128)),$A:$A,0))-1),"")</f>
        <v/>
      </c>
      <c r="I128" s="7">
        <f>IFERROR(IF(OR(F128="",INDEX(F:F,MATCH(DATE(YEAR($A128)-1,MONTH($A128),DAY($A128)),$A:$A,0))=""),"",F128/INDEX(F:F,MATCH(DATE(YEAR($A128)-1,MONTH($A128),DAY($A128)),$A:$A,0))-1),"")</f>
        <v/>
      </c>
      <c r="J128" s="7">
        <f>IFERROR(IF(OR(G128="",INDEX(G:G,MATCH(DATE(YEAR($A128)-1,MONTH($A128),DAY($A128)),$A:$A,0))=""),"",G128/INDEX(G:G,MATCH(DATE(YEAR($A128)-1,MONTH($A128),DAY($A128)),$A:$A,0))-1),"")</f>
        <v/>
      </c>
      <c r="K128" s="7">
        <f>IF(OR(E128="",E127=""),"",E128/E127-1)</f>
        <v/>
      </c>
      <c r="L128" s="7">
        <f>IF(OR(F128="",F127=""),"",F128/F127-1)</f>
        <v/>
      </c>
      <c r="M128" s="7">
        <f>IF(OR(G128="",G127=""),"",G128/G127-1)</f>
        <v/>
      </c>
      <c r="N128" s="7">
        <f>IF(G128="","",E128/G128)</f>
        <v/>
      </c>
      <c r="O128" s="7">
        <f>IF(G128="","",F128/G128)</f>
        <v/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4">
        <f>IF(SUMIFS('Daily NSE Equity Cash'!$H:$H,'Daily NSE Equity Cash'!$A:$A,$A129)=0,"",SUMIFS('Daily NSE Equity Cash'!$H:$H,'Daily NSE Equity Cash'!$A:$A,$A129))</f>
        <v/>
      </c>
      <c r="F129" s="4">
        <f>IF(SUMIFS('Daily BSE Equity Cash'!$H:$H,'Daily BSE Equity Cash'!$A:$A,$A129)=0,"",SUMIFS('Daily BSE Equity Cash'!$H:$H,'Daily BSE Equity Cash'!$A:$A,$A129))</f>
        <v/>
      </c>
      <c r="G129" s="4">
        <f>IF(OR(E129="",F129=""),"",E129+F129)</f>
        <v/>
      </c>
      <c r="H129" s="7">
        <f>IFERROR(IF(OR(E129="",INDEX(E:E,MATCH(DATE(YEAR($A129)-1,MONTH($A129),DAY($A129)),$A:$A,0))=""),"",E129/INDEX(E:E,MATCH(DATE(YEAR($A129)-1,MONTH($A129),DAY($A129)),$A:$A,0))-1),"")</f>
        <v/>
      </c>
      <c r="I129" s="7">
        <f>IFERROR(IF(OR(F129="",INDEX(F:F,MATCH(DATE(YEAR($A129)-1,MONTH($A129),DAY($A129)),$A:$A,0))=""),"",F129/INDEX(F:F,MATCH(DATE(YEAR($A129)-1,MONTH($A129),DAY($A129)),$A:$A,0))-1),"")</f>
        <v/>
      </c>
      <c r="J129" s="7">
        <f>IFERROR(IF(OR(G129="",INDEX(G:G,MATCH(DATE(YEAR($A129)-1,MONTH($A129),DAY($A129)),$A:$A,0))=""),"",G129/INDEX(G:G,MATCH(DATE(YEAR($A129)-1,MONTH($A129),DAY($A129)),$A:$A,0))-1),"")</f>
        <v/>
      </c>
      <c r="K129" s="7">
        <f>IF(OR(E129="",E128=""),"",E129/E128-1)</f>
        <v/>
      </c>
      <c r="L129" s="7">
        <f>IF(OR(F129="",F128=""),"",F129/F128-1)</f>
        <v/>
      </c>
      <c r="M129" s="7">
        <f>IF(OR(G129="",G128=""),"",G129/G128-1)</f>
        <v/>
      </c>
      <c r="N129" s="7">
        <f>IF(G129="","",E129/G129)</f>
        <v/>
      </c>
      <c r="O129" s="7">
        <f>IF(G129="","",F129/G129)</f>
        <v/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4">
        <f>IF(SUMIFS('Daily NSE Equity Cash'!$H:$H,'Daily NSE Equity Cash'!$A:$A,$A130)=0,"",SUMIFS('Daily NSE Equity Cash'!$H:$H,'Daily NSE Equity Cash'!$A:$A,$A130))</f>
        <v/>
      </c>
      <c r="F130" s="4">
        <f>IF(SUMIFS('Daily BSE Equity Cash'!$H:$H,'Daily BSE Equity Cash'!$A:$A,$A130)=0,"",SUMIFS('Daily BSE Equity Cash'!$H:$H,'Daily BSE Equity Cash'!$A:$A,$A130))</f>
        <v/>
      </c>
      <c r="G130" s="4">
        <f>IF(OR(E130="",F130=""),"",E130+F130)</f>
        <v/>
      </c>
      <c r="H130" s="7">
        <f>IFERROR(IF(OR(E130="",INDEX(E:E,MATCH(DATE(YEAR($A130)-1,MONTH($A130),DAY($A130)),$A:$A,0))=""),"",E130/INDEX(E:E,MATCH(DATE(YEAR($A130)-1,MONTH($A130),DAY($A130)),$A:$A,0))-1),"")</f>
        <v/>
      </c>
      <c r="I130" s="7">
        <f>IFERROR(IF(OR(F130="",INDEX(F:F,MATCH(DATE(YEAR($A130)-1,MONTH($A130),DAY($A130)),$A:$A,0))=""),"",F130/INDEX(F:F,MATCH(DATE(YEAR($A130)-1,MONTH($A130),DAY($A130)),$A:$A,0))-1),"")</f>
        <v/>
      </c>
      <c r="J130" s="7">
        <f>IFERROR(IF(OR(G130="",INDEX(G:G,MATCH(DATE(YEAR($A130)-1,MONTH($A130),DAY($A130)),$A:$A,0))=""),"",G130/INDEX(G:G,MATCH(DATE(YEAR($A130)-1,MONTH($A130),DAY($A130)),$A:$A,0))-1),"")</f>
        <v/>
      </c>
      <c r="K130" s="7">
        <f>IF(OR(E130="",E129=""),"",E130/E129-1)</f>
        <v/>
      </c>
      <c r="L130" s="7">
        <f>IF(OR(F130="",F129=""),"",F130/F129-1)</f>
        <v/>
      </c>
      <c r="M130" s="7">
        <f>IF(OR(G130="",G129=""),"",G130/G129-1)</f>
        <v/>
      </c>
      <c r="N130" s="7">
        <f>IF(G130="","",E130/G130)</f>
        <v/>
      </c>
      <c r="O130" s="7">
        <f>IF(G130="","",F130/G130)</f>
        <v/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4">
        <f>IF(SUMIFS('Daily NSE Equity Cash'!$H:$H,'Daily NSE Equity Cash'!$A:$A,$A131)=0,"",SUMIFS('Daily NSE Equity Cash'!$H:$H,'Daily NSE Equity Cash'!$A:$A,$A131))</f>
        <v/>
      </c>
      <c r="F131" s="4">
        <f>IF(SUMIFS('Daily BSE Equity Cash'!$H:$H,'Daily BSE Equity Cash'!$A:$A,$A131)=0,"",SUMIFS('Daily BSE Equity Cash'!$H:$H,'Daily BSE Equity Cash'!$A:$A,$A131))</f>
        <v/>
      </c>
      <c r="G131" s="4">
        <f>IF(OR(E131="",F131=""),"",E131+F131)</f>
        <v/>
      </c>
      <c r="H131" s="7">
        <f>IFERROR(IF(OR(E131="",INDEX(E:E,MATCH(DATE(YEAR($A131)-1,MONTH($A131),DAY($A131)),$A:$A,0))=""),"",E131/INDEX(E:E,MATCH(DATE(YEAR($A131)-1,MONTH($A131),DAY($A131)),$A:$A,0))-1),"")</f>
        <v/>
      </c>
      <c r="I131" s="7">
        <f>IFERROR(IF(OR(F131="",INDEX(F:F,MATCH(DATE(YEAR($A131)-1,MONTH($A131),DAY($A131)),$A:$A,0))=""),"",F131/INDEX(F:F,MATCH(DATE(YEAR($A131)-1,MONTH($A131),DAY($A131)),$A:$A,0))-1),"")</f>
        <v/>
      </c>
      <c r="J131" s="7">
        <f>IFERROR(IF(OR(G131="",INDEX(G:G,MATCH(DATE(YEAR($A131)-1,MONTH($A131),DAY($A131)),$A:$A,0))=""),"",G131/INDEX(G:G,MATCH(DATE(YEAR($A131)-1,MONTH($A131),DAY($A131)),$A:$A,0))-1),"")</f>
        <v/>
      </c>
      <c r="K131" s="7">
        <f>IF(OR(E131="",E130=""),"",E131/E130-1)</f>
        <v/>
      </c>
      <c r="L131" s="7">
        <f>IF(OR(F131="",F130=""),"",F131/F130-1)</f>
        <v/>
      </c>
      <c r="M131" s="7">
        <f>IF(OR(G131="",G130=""),"",G131/G130-1)</f>
        <v/>
      </c>
      <c r="N131" s="7">
        <f>IF(G131="","",E131/G131)</f>
        <v/>
      </c>
      <c r="O131" s="7">
        <f>IF(G131="","",F131/G131)</f>
        <v/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4">
        <f>IF(SUMIFS('Daily NSE Equity Cash'!$H:$H,'Daily NSE Equity Cash'!$A:$A,$A132)=0,"",SUMIFS('Daily NSE Equity Cash'!$H:$H,'Daily NSE Equity Cash'!$A:$A,$A132))</f>
        <v/>
      </c>
      <c r="F132" s="4">
        <f>IF(SUMIFS('Daily BSE Equity Cash'!$H:$H,'Daily BSE Equity Cash'!$A:$A,$A132)=0,"",SUMIFS('Daily BSE Equity Cash'!$H:$H,'Daily BSE Equity Cash'!$A:$A,$A132))</f>
        <v/>
      </c>
      <c r="G132" s="4">
        <f>IF(OR(E132="",F132=""),"",E132+F132)</f>
        <v/>
      </c>
      <c r="H132" s="7">
        <f>IFERROR(IF(OR(E132="",INDEX(E:E,MATCH(DATE(YEAR($A132)-1,MONTH($A132),DAY($A132)),$A:$A,0))=""),"",E132/INDEX(E:E,MATCH(DATE(YEAR($A132)-1,MONTH($A132),DAY($A132)),$A:$A,0))-1),"")</f>
        <v/>
      </c>
      <c r="I132" s="7">
        <f>IFERROR(IF(OR(F132="",INDEX(F:F,MATCH(DATE(YEAR($A132)-1,MONTH($A132),DAY($A132)),$A:$A,0))=""),"",F132/INDEX(F:F,MATCH(DATE(YEAR($A132)-1,MONTH($A132),DAY($A132)),$A:$A,0))-1),"")</f>
        <v/>
      </c>
      <c r="J132" s="7">
        <f>IFERROR(IF(OR(G132="",INDEX(G:G,MATCH(DATE(YEAR($A132)-1,MONTH($A132),DAY($A132)),$A:$A,0))=""),"",G132/INDEX(G:G,MATCH(DATE(YEAR($A132)-1,MONTH($A132),DAY($A132)),$A:$A,0))-1),"")</f>
        <v/>
      </c>
      <c r="K132" s="7">
        <f>IF(OR(E132="",E131=""),"",E132/E131-1)</f>
        <v/>
      </c>
      <c r="L132" s="7">
        <f>IF(OR(F132="",F131=""),"",F132/F131-1)</f>
        <v/>
      </c>
      <c r="M132" s="7">
        <f>IF(OR(G132="",G131=""),"",G132/G131-1)</f>
        <v/>
      </c>
      <c r="N132" s="7">
        <f>IF(G132="","",E132/G132)</f>
        <v/>
      </c>
      <c r="O132" s="7">
        <f>IF(G132="","",F132/G132)</f>
        <v/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4">
        <f>IF(SUMIFS('Daily NSE Equity Cash'!$H:$H,'Daily NSE Equity Cash'!$A:$A,$A133)=0,"",SUMIFS('Daily NSE Equity Cash'!$H:$H,'Daily NSE Equity Cash'!$A:$A,$A133))</f>
        <v/>
      </c>
      <c r="F133" s="4">
        <f>IF(SUMIFS('Daily BSE Equity Cash'!$H:$H,'Daily BSE Equity Cash'!$A:$A,$A133)=0,"",SUMIFS('Daily BSE Equity Cash'!$H:$H,'Daily BSE Equity Cash'!$A:$A,$A133))</f>
        <v/>
      </c>
      <c r="G133" s="4">
        <f>IF(OR(E133="",F133=""),"",E133+F133)</f>
        <v/>
      </c>
      <c r="H133" s="7">
        <f>IFERROR(IF(OR(E133="",INDEX(E:E,MATCH(DATE(YEAR($A133)-1,MONTH($A133),DAY($A133)),$A:$A,0))=""),"",E133/INDEX(E:E,MATCH(DATE(YEAR($A133)-1,MONTH($A133),DAY($A133)),$A:$A,0))-1),"")</f>
        <v/>
      </c>
      <c r="I133" s="7">
        <f>IFERROR(IF(OR(F133="",INDEX(F:F,MATCH(DATE(YEAR($A133)-1,MONTH($A133),DAY($A133)),$A:$A,0))=""),"",F133/INDEX(F:F,MATCH(DATE(YEAR($A133)-1,MONTH($A133),DAY($A133)),$A:$A,0))-1),"")</f>
        <v/>
      </c>
      <c r="J133" s="7">
        <f>IFERROR(IF(OR(G133="",INDEX(G:G,MATCH(DATE(YEAR($A133)-1,MONTH($A133),DAY($A133)),$A:$A,0))=""),"",G133/INDEX(G:G,MATCH(DATE(YEAR($A133)-1,MONTH($A133),DAY($A133)),$A:$A,0))-1),"")</f>
        <v/>
      </c>
      <c r="K133" s="7">
        <f>IF(OR(E133="",E132=""),"",E133/E132-1)</f>
        <v/>
      </c>
      <c r="L133" s="7">
        <f>IF(OR(F133="",F132=""),"",F133/F132-1)</f>
        <v/>
      </c>
      <c r="M133" s="7">
        <f>IF(OR(G133="",G132=""),"",G133/G132-1)</f>
        <v/>
      </c>
      <c r="N133" s="7">
        <f>IF(G133="","",E133/G133)</f>
        <v/>
      </c>
      <c r="O133" s="7">
        <f>IF(G133="","",F133/G133)</f>
        <v/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4">
        <f>IF(SUMIFS('Daily NSE Equity Cash'!$H:$H,'Daily NSE Equity Cash'!$A:$A,$A134)=0,"",SUMIFS('Daily NSE Equity Cash'!$H:$H,'Daily NSE Equity Cash'!$A:$A,$A134))</f>
        <v/>
      </c>
      <c r="F134" s="4">
        <f>IF(SUMIFS('Daily BSE Equity Cash'!$H:$H,'Daily BSE Equity Cash'!$A:$A,$A134)=0,"",SUMIFS('Daily BSE Equity Cash'!$H:$H,'Daily BSE Equity Cash'!$A:$A,$A134))</f>
        <v/>
      </c>
      <c r="G134" s="4">
        <f>IF(OR(E134="",F134=""),"",E134+F134)</f>
        <v/>
      </c>
      <c r="H134" s="7">
        <f>IFERROR(IF(OR(E134="",INDEX(E:E,MATCH(DATE(YEAR($A134)-1,MONTH($A134),DAY($A134)),$A:$A,0))=""),"",E134/INDEX(E:E,MATCH(DATE(YEAR($A134)-1,MONTH($A134),DAY($A134)),$A:$A,0))-1),"")</f>
        <v/>
      </c>
      <c r="I134" s="7">
        <f>IFERROR(IF(OR(F134="",INDEX(F:F,MATCH(DATE(YEAR($A134)-1,MONTH($A134),DAY($A134)),$A:$A,0))=""),"",F134/INDEX(F:F,MATCH(DATE(YEAR($A134)-1,MONTH($A134),DAY($A134)),$A:$A,0))-1),"")</f>
        <v/>
      </c>
      <c r="J134" s="7">
        <f>IFERROR(IF(OR(G134="",INDEX(G:G,MATCH(DATE(YEAR($A134)-1,MONTH($A134),DAY($A134)),$A:$A,0))=""),"",G134/INDEX(G:G,MATCH(DATE(YEAR($A134)-1,MONTH($A134),DAY($A134)),$A:$A,0))-1),"")</f>
        <v/>
      </c>
      <c r="K134" s="7">
        <f>IF(OR(E134="",E133=""),"",E134/E133-1)</f>
        <v/>
      </c>
      <c r="L134" s="7">
        <f>IF(OR(F134="",F133=""),"",F134/F133-1)</f>
        <v/>
      </c>
      <c r="M134" s="7">
        <f>IF(OR(G134="",G133=""),"",G134/G133-1)</f>
        <v/>
      </c>
      <c r="N134" s="7">
        <f>IF(G134="","",E134/G134)</f>
        <v/>
      </c>
      <c r="O134" s="7">
        <f>IF(G134="","",F134/G134)</f>
        <v/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4">
        <f>IF(SUMIFS('Daily NSE Equity Cash'!$H:$H,'Daily NSE Equity Cash'!$A:$A,$A135)=0,"",SUMIFS('Daily NSE Equity Cash'!$H:$H,'Daily NSE Equity Cash'!$A:$A,$A135))</f>
        <v/>
      </c>
      <c r="F135" s="4">
        <f>IF(SUMIFS('Daily BSE Equity Cash'!$H:$H,'Daily BSE Equity Cash'!$A:$A,$A135)=0,"",SUMIFS('Daily BSE Equity Cash'!$H:$H,'Daily BSE Equity Cash'!$A:$A,$A135))</f>
        <v/>
      </c>
      <c r="G135" s="4">
        <f>IF(OR(E135="",F135=""),"",E135+F135)</f>
        <v/>
      </c>
      <c r="H135" s="7">
        <f>IFERROR(IF(OR(E135="",INDEX(E:E,MATCH(DATE(YEAR($A135)-1,MONTH($A135),DAY($A135)),$A:$A,0))=""),"",E135/INDEX(E:E,MATCH(DATE(YEAR($A135)-1,MONTH($A135),DAY($A135)),$A:$A,0))-1),"")</f>
        <v/>
      </c>
      <c r="I135" s="7">
        <f>IFERROR(IF(OR(F135="",INDEX(F:F,MATCH(DATE(YEAR($A135)-1,MONTH($A135),DAY($A135)),$A:$A,0))=""),"",F135/INDEX(F:F,MATCH(DATE(YEAR($A135)-1,MONTH($A135),DAY($A135)),$A:$A,0))-1),"")</f>
        <v/>
      </c>
      <c r="J135" s="7">
        <f>IFERROR(IF(OR(G135="",INDEX(G:G,MATCH(DATE(YEAR($A135)-1,MONTH($A135),DAY($A135)),$A:$A,0))=""),"",G135/INDEX(G:G,MATCH(DATE(YEAR($A135)-1,MONTH($A135),DAY($A135)),$A:$A,0))-1),"")</f>
        <v/>
      </c>
      <c r="K135" s="7">
        <f>IF(OR(E135="",E134=""),"",E135/E134-1)</f>
        <v/>
      </c>
      <c r="L135" s="7">
        <f>IF(OR(F135="",F134=""),"",F135/F134-1)</f>
        <v/>
      </c>
      <c r="M135" s="7">
        <f>IF(OR(G135="",G134=""),"",G135/G134-1)</f>
        <v/>
      </c>
      <c r="N135" s="7">
        <f>IF(G135="","",E135/G135)</f>
        <v/>
      </c>
      <c r="O135" s="7">
        <f>IF(G135="","",F135/G135)</f>
        <v/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4">
        <f>IF(SUMIFS('Daily NSE Equity Cash'!$H:$H,'Daily NSE Equity Cash'!$A:$A,$A136)=0,"",SUMIFS('Daily NSE Equity Cash'!$H:$H,'Daily NSE Equity Cash'!$A:$A,$A136))</f>
        <v/>
      </c>
      <c r="F136" s="4">
        <f>IF(SUMIFS('Daily BSE Equity Cash'!$H:$H,'Daily BSE Equity Cash'!$A:$A,$A136)=0,"",SUMIFS('Daily BSE Equity Cash'!$H:$H,'Daily BSE Equity Cash'!$A:$A,$A136))</f>
        <v/>
      </c>
      <c r="G136" s="4">
        <f>IF(OR(E136="",F136=""),"",E136+F136)</f>
        <v/>
      </c>
      <c r="H136" s="7">
        <f>IFERROR(IF(OR(E136="",INDEX(E:E,MATCH(DATE(YEAR($A136)-1,MONTH($A136),DAY($A136)),$A:$A,0))=""),"",E136/INDEX(E:E,MATCH(DATE(YEAR($A136)-1,MONTH($A136),DAY($A136)),$A:$A,0))-1),"")</f>
        <v/>
      </c>
      <c r="I136" s="7">
        <f>IFERROR(IF(OR(F136="",INDEX(F:F,MATCH(DATE(YEAR($A136)-1,MONTH($A136),DAY($A136)),$A:$A,0))=""),"",F136/INDEX(F:F,MATCH(DATE(YEAR($A136)-1,MONTH($A136),DAY($A136)),$A:$A,0))-1),"")</f>
        <v/>
      </c>
      <c r="J136" s="7">
        <f>IFERROR(IF(OR(G136="",INDEX(G:G,MATCH(DATE(YEAR($A136)-1,MONTH($A136),DAY($A136)),$A:$A,0))=""),"",G136/INDEX(G:G,MATCH(DATE(YEAR($A136)-1,MONTH($A136),DAY($A136)),$A:$A,0))-1),"")</f>
        <v/>
      </c>
      <c r="K136" s="7">
        <f>IF(OR(E136="",E135=""),"",E136/E135-1)</f>
        <v/>
      </c>
      <c r="L136" s="7">
        <f>IF(OR(F136="",F135=""),"",F136/F135-1)</f>
        <v/>
      </c>
      <c r="M136" s="7">
        <f>IF(OR(G136="",G135=""),"",G136/G135-1)</f>
        <v/>
      </c>
      <c r="N136" s="7">
        <f>IF(G136="","",E136/G136)</f>
        <v/>
      </c>
      <c r="O136" s="7">
        <f>IF(G136="","",F136/G136)</f>
        <v/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4">
        <f>IF(SUMIFS('Daily NSE Equity Cash'!$H:$H,'Daily NSE Equity Cash'!$A:$A,$A137)=0,"",SUMIFS('Daily NSE Equity Cash'!$H:$H,'Daily NSE Equity Cash'!$A:$A,$A137))</f>
        <v/>
      </c>
      <c r="F137" s="4">
        <f>IF(SUMIFS('Daily BSE Equity Cash'!$H:$H,'Daily BSE Equity Cash'!$A:$A,$A137)=0,"",SUMIFS('Daily BSE Equity Cash'!$H:$H,'Daily BSE Equity Cash'!$A:$A,$A137))</f>
        <v/>
      </c>
      <c r="G137" s="4">
        <f>IF(OR(E137="",F137=""),"",E137+F137)</f>
        <v/>
      </c>
      <c r="H137" s="7">
        <f>IFERROR(IF(OR(E137="",INDEX(E:E,MATCH(DATE(YEAR($A137)-1,MONTH($A137),DAY($A137)),$A:$A,0))=""),"",E137/INDEX(E:E,MATCH(DATE(YEAR($A137)-1,MONTH($A137),DAY($A137)),$A:$A,0))-1),"")</f>
        <v/>
      </c>
      <c r="I137" s="7">
        <f>IFERROR(IF(OR(F137="",INDEX(F:F,MATCH(DATE(YEAR($A137)-1,MONTH($A137),DAY($A137)),$A:$A,0))=""),"",F137/INDEX(F:F,MATCH(DATE(YEAR($A137)-1,MONTH($A137),DAY($A137)),$A:$A,0))-1),"")</f>
        <v/>
      </c>
      <c r="J137" s="7">
        <f>IFERROR(IF(OR(G137="",INDEX(G:G,MATCH(DATE(YEAR($A137)-1,MONTH($A137),DAY($A137)),$A:$A,0))=""),"",G137/INDEX(G:G,MATCH(DATE(YEAR($A137)-1,MONTH($A137),DAY($A137)),$A:$A,0))-1),"")</f>
        <v/>
      </c>
      <c r="K137" s="7">
        <f>IF(OR(E137="",E136=""),"",E137/E136-1)</f>
        <v/>
      </c>
      <c r="L137" s="7">
        <f>IF(OR(F137="",F136=""),"",F137/F136-1)</f>
        <v/>
      </c>
      <c r="M137" s="7">
        <f>IF(OR(G137="",G136=""),"",G137/G136-1)</f>
        <v/>
      </c>
      <c r="N137" s="7">
        <f>IF(G137="","",E137/G137)</f>
        <v/>
      </c>
      <c r="O137" s="7">
        <f>IF(G137="","",F137/G137)</f>
        <v/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4">
        <f>IF(SUMIFS('Daily NSE Equity Cash'!$H:$H,'Daily NSE Equity Cash'!$A:$A,$A138)=0,"",SUMIFS('Daily NSE Equity Cash'!$H:$H,'Daily NSE Equity Cash'!$A:$A,$A138))</f>
        <v/>
      </c>
      <c r="F138" s="4">
        <f>IF(SUMIFS('Daily BSE Equity Cash'!$H:$H,'Daily BSE Equity Cash'!$A:$A,$A138)=0,"",SUMIFS('Daily BSE Equity Cash'!$H:$H,'Daily BSE Equity Cash'!$A:$A,$A138))</f>
        <v/>
      </c>
      <c r="G138" s="4">
        <f>IF(OR(E138="",F138=""),"",E138+F138)</f>
        <v/>
      </c>
      <c r="H138" s="7">
        <f>IFERROR(IF(OR(E138="",INDEX(E:E,MATCH(DATE(YEAR($A138)-1,MONTH($A138),DAY($A138)),$A:$A,0))=""),"",E138/INDEX(E:E,MATCH(DATE(YEAR($A138)-1,MONTH($A138),DAY($A138)),$A:$A,0))-1),"")</f>
        <v/>
      </c>
      <c r="I138" s="7">
        <f>IFERROR(IF(OR(F138="",INDEX(F:F,MATCH(DATE(YEAR($A138)-1,MONTH($A138),DAY($A138)),$A:$A,0))=""),"",F138/INDEX(F:F,MATCH(DATE(YEAR($A138)-1,MONTH($A138),DAY($A138)),$A:$A,0))-1),"")</f>
        <v/>
      </c>
      <c r="J138" s="7">
        <f>IFERROR(IF(OR(G138="",INDEX(G:G,MATCH(DATE(YEAR($A138)-1,MONTH($A138),DAY($A138)),$A:$A,0))=""),"",G138/INDEX(G:G,MATCH(DATE(YEAR($A138)-1,MONTH($A138),DAY($A138)),$A:$A,0))-1),"")</f>
        <v/>
      </c>
      <c r="K138" s="7">
        <f>IF(OR(E138="",E137=""),"",E138/E137-1)</f>
        <v/>
      </c>
      <c r="L138" s="7">
        <f>IF(OR(F138="",F137=""),"",F138/F137-1)</f>
        <v/>
      </c>
      <c r="M138" s="7">
        <f>IF(OR(G138="",G137=""),"",G138/G137-1)</f>
        <v/>
      </c>
      <c r="N138" s="7">
        <f>IF(G138="","",E138/G138)</f>
        <v/>
      </c>
      <c r="O138" s="7">
        <f>IF(G138="","",F138/G138)</f>
        <v/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4">
        <f>IF(SUMIFS('Daily NSE Equity Cash'!$H:$H,'Daily NSE Equity Cash'!$A:$A,$A139)=0,"",SUMIFS('Daily NSE Equity Cash'!$H:$H,'Daily NSE Equity Cash'!$A:$A,$A139))</f>
        <v/>
      </c>
      <c r="F139" s="4">
        <f>IF(SUMIFS('Daily BSE Equity Cash'!$H:$H,'Daily BSE Equity Cash'!$A:$A,$A139)=0,"",SUMIFS('Daily BSE Equity Cash'!$H:$H,'Daily BSE Equity Cash'!$A:$A,$A139))</f>
        <v/>
      </c>
      <c r="G139" s="4">
        <f>IF(OR(E139="",F139=""),"",E139+F139)</f>
        <v/>
      </c>
      <c r="H139" s="7">
        <f>IFERROR(IF(OR(E139="",INDEX(E:E,MATCH(DATE(YEAR($A139)-1,MONTH($A139),DAY($A139)),$A:$A,0))=""),"",E139/INDEX(E:E,MATCH(DATE(YEAR($A139)-1,MONTH($A139),DAY($A139)),$A:$A,0))-1),"")</f>
        <v/>
      </c>
      <c r="I139" s="7">
        <f>IFERROR(IF(OR(F139="",INDEX(F:F,MATCH(DATE(YEAR($A139)-1,MONTH($A139),DAY($A139)),$A:$A,0))=""),"",F139/INDEX(F:F,MATCH(DATE(YEAR($A139)-1,MONTH($A139),DAY($A139)),$A:$A,0))-1),"")</f>
        <v/>
      </c>
      <c r="J139" s="7">
        <f>IFERROR(IF(OR(G139="",INDEX(G:G,MATCH(DATE(YEAR($A139)-1,MONTH($A139),DAY($A139)),$A:$A,0))=""),"",G139/INDEX(G:G,MATCH(DATE(YEAR($A139)-1,MONTH($A139),DAY($A139)),$A:$A,0))-1),"")</f>
        <v/>
      </c>
      <c r="K139" s="7">
        <f>IF(OR(E139="",E138=""),"",E139/E138-1)</f>
        <v/>
      </c>
      <c r="L139" s="7">
        <f>IF(OR(F139="",F138=""),"",F139/F138-1)</f>
        <v/>
      </c>
      <c r="M139" s="7">
        <f>IF(OR(G139="",G138=""),"",G139/G138-1)</f>
        <v/>
      </c>
      <c r="N139" s="7">
        <f>IF(G139="","",E139/G139)</f>
        <v/>
      </c>
      <c r="O139" s="7">
        <f>IF(G139="","",F139/G139)</f>
        <v/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4">
        <f>IF(SUMIFS('Daily NSE Equity Cash'!$H:$H,'Daily NSE Equity Cash'!$A:$A,$A140)=0,"",SUMIFS('Daily NSE Equity Cash'!$H:$H,'Daily NSE Equity Cash'!$A:$A,$A140))</f>
        <v/>
      </c>
      <c r="F140" s="4">
        <f>IF(SUMIFS('Daily BSE Equity Cash'!$H:$H,'Daily BSE Equity Cash'!$A:$A,$A140)=0,"",SUMIFS('Daily BSE Equity Cash'!$H:$H,'Daily BSE Equity Cash'!$A:$A,$A140))</f>
        <v/>
      </c>
      <c r="G140" s="4">
        <f>IF(OR(E140="",F140=""),"",E140+F140)</f>
        <v/>
      </c>
      <c r="H140" s="7">
        <f>IFERROR(IF(OR(E140="",INDEX(E:E,MATCH(DATE(YEAR($A140)-1,MONTH($A140),DAY($A140)),$A:$A,0))=""),"",E140/INDEX(E:E,MATCH(DATE(YEAR($A140)-1,MONTH($A140),DAY($A140)),$A:$A,0))-1),"")</f>
        <v/>
      </c>
      <c r="I140" s="7">
        <f>IFERROR(IF(OR(F140="",INDEX(F:F,MATCH(DATE(YEAR($A140)-1,MONTH($A140),DAY($A140)),$A:$A,0))=""),"",F140/INDEX(F:F,MATCH(DATE(YEAR($A140)-1,MONTH($A140),DAY($A140)),$A:$A,0))-1),"")</f>
        <v/>
      </c>
      <c r="J140" s="7">
        <f>IFERROR(IF(OR(G140="",INDEX(G:G,MATCH(DATE(YEAR($A140)-1,MONTH($A140),DAY($A140)),$A:$A,0))=""),"",G140/INDEX(G:G,MATCH(DATE(YEAR($A140)-1,MONTH($A140),DAY($A140)),$A:$A,0))-1),"")</f>
        <v/>
      </c>
      <c r="K140" s="7">
        <f>IF(OR(E140="",E139=""),"",E140/E139-1)</f>
        <v/>
      </c>
      <c r="L140" s="7">
        <f>IF(OR(F140="",F139=""),"",F140/F139-1)</f>
        <v/>
      </c>
      <c r="M140" s="7">
        <f>IF(OR(G140="",G139=""),"",G140/G139-1)</f>
        <v/>
      </c>
      <c r="N140" s="7">
        <f>IF(G140="","",E140/G140)</f>
        <v/>
      </c>
      <c r="O140" s="7">
        <f>IF(G140="","",F140/G140)</f>
        <v/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4">
        <f>IF(SUMIFS('Daily NSE Equity Cash'!$H:$H,'Daily NSE Equity Cash'!$A:$A,$A141)=0,"",SUMIFS('Daily NSE Equity Cash'!$H:$H,'Daily NSE Equity Cash'!$A:$A,$A141))</f>
        <v/>
      </c>
      <c r="F141" s="4">
        <f>IF(SUMIFS('Daily BSE Equity Cash'!$H:$H,'Daily BSE Equity Cash'!$A:$A,$A141)=0,"",SUMIFS('Daily BSE Equity Cash'!$H:$H,'Daily BSE Equity Cash'!$A:$A,$A141))</f>
        <v/>
      </c>
      <c r="G141" s="4">
        <f>IF(OR(E141="",F141=""),"",E141+F141)</f>
        <v/>
      </c>
      <c r="H141" s="7">
        <f>IFERROR(IF(OR(E141="",INDEX(E:E,MATCH(DATE(YEAR($A141)-1,MONTH($A141),DAY($A141)),$A:$A,0))=""),"",E141/INDEX(E:E,MATCH(DATE(YEAR($A141)-1,MONTH($A141),DAY($A141)),$A:$A,0))-1),"")</f>
        <v/>
      </c>
      <c r="I141" s="7">
        <f>IFERROR(IF(OR(F141="",INDEX(F:F,MATCH(DATE(YEAR($A141)-1,MONTH($A141),DAY($A141)),$A:$A,0))=""),"",F141/INDEX(F:F,MATCH(DATE(YEAR($A141)-1,MONTH($A141),DAY($A141)),$A:$A,0))-1),"")</f>
        <v/>
      </c>
      <c r="J141" s="7">
        <f>IFERROR(IF(OR(G141="",INDEX(G:G,MATCH(DATE(YEAR($A141)-1,MONTH($A141),DAY($A141)),$A:$A,0))=""),"",G141/INDEX(G:G,MATCH(DATE(YEAR($A141)-1,MONTH($A141),DAY($A141)),$A:$A,0))-1),"")</f>
        <v/>
      </c>
      <c r="K141" s="7">
        <f>IF(OR(E141="",E140=""),"",E141/E140-1)</f>
        <v/>
      </c>
      <c r="L141" s="7">
        <f>IF(OR(F141="",F140=""),"",F141/F140-1)</f>
        <v/>
      </c>
      <c r="M141" s="7">
        <f>IF(OR(G141="",G140=""),"",G141/G140-1)</f>
        <v/>
      </c>
      <c r="N141" s="7">
        <f>IF(G141="","",E141/G141)</f>
        <v/>
      </c>
      <c r="O141" s="7">
        <f>IF(G141="","",F141/G141)</f>
        <v/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4">
        <f>IF(SUMIFS('Daily NSE Equity Cash'!$H:$H,'Daily NSE Equity Cash'!$A:$A,$A142)=0,"",SUMIFS('Daily NSE Equity Cash'!$H:$H,'Daily NSE Equity Cash'!$A:$A,$A142))</f>
        <v/>
      </c>
      <c r="F142" s="4">
        <f>IF(SUMIFS('Daily BSE Equity Cash'!$H:$H,'Daily BSE Equity Cash'!$A:$A,$A142)=0,"",SUMIFS('Daily BSE Equity Cash'!$H:$H,'Daily BSE Equity Cash'!$A:$A,$A142))</f>
        <v/>
      </c>
      <c r="G142" s="4">
        <f>IF(OR(E142="",F142=""),"",E142+F142)</f>
        <v/>
      </c>
      <c r="H142" s="7">
        <f>IFERROR(IF(OR(E142="",INDEX(E:E,MATCH(DATE(YEAR($A142)-1,MONTH($A142),DAY($A142)),$A:$A,0))=""),"",E142/INDEX(E:E,MATCH(DATE(YEAR($A142)-1,MONTH($A142),DAY($A142)),$A:$A,0))-1),"")</f>
        <v/>
      </c>
      <c r="I142" s="7">
        <f>IFERROR(IF(OR(F142="",INDEX(F:F,MATCH(DATE(YEAR($A142)-1,MONTH($A142),DAY($A142)),$A:$A,0))=""),"",F142/INDEX(F:F,MATCH(DATE(YEAR($A142)-1,MONTH($A142),DAY($A142)),$A:$A,0))-1),"")</f>
        <v/>
      </c>
      <c r="J142" s="7">
        <f>IFERROR(IF(OR(G142="",INDEX(G:G,MATCH(DATE(YEAR($A142)-1,MONTH($A142),DAY($A142)),$A:$A,0))=""),"",G142/INDEX(G:G,MATCH(DATE(YEAR($A142)-1,MONTH($A142),DAY($A142)),$A:$A,0))-1),"")</f>
        <v/>
      </c>
      <c r="K142" s="7">
        <f>IF(OR(E142="",E141=""),"",E142/E141-1)</f>
        <v/>
      </c>
      <c r="L142" s="7">
        <f>IF(OR(F142="",F141=""),"",F142/F141-1)</f>
        <v/>
      </c>
      <c r="M142" s="7">
        <f>IF(OR(G142="",G141=""),"",G142/G141-1)</f>
        <v/>
      </c>
      <c r="N142" s="7">
        <f>IF(G142="","",E142/G142)</f>
        <v/>
      </c>
      <c r="O142" s="7">
        <f>IF(G142="","",F142/G142)</f>
        <v/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4">
        <f>IF(SUMIFS('Daily NSE Equity Cash'!$H:$H,'Daily NSE Equity Cash'!$A:$A,$A143)=0,"",SUMIFS('Daily NSE Equity Cash'!$H:$H,'Daily NSE Equity Cash'!$A:$A,$A143))</f>
        <v/>
      </c>
      <c r="F143" s="4">
        <f>IF(SUMIFS('Daily BSE Equity Cash'!$H:$H,'Daily BSE Equity Cash'!$A:$A,$A143)=0,"",SUMIFS('Daily BSE Equity Cash'!$H:$H,'Daily BSE Equity Cash'!$A:$A,$A143))</f>
        <v/>
      </c>
      <c r="G143" s="4">
        <f>IF(OR(E143="",F143=""),"",E143+F143)</f>
        <v/>
      </c>
      <c r="H143" s="7">
        <f>IFERROR(IF(OR(E143="",INDEX(E:E,MATCH(DATE(YEAR($A143)-1,MONTH($A143),DAY($A143)),$A:$A,0))=""),"",E143/INDEX(E:E,MATCH(DATE(YEAR($A143)-1,MONTH($A143),DAY($A143)),$A:$A,0))-1),"")</f>
        <v/>
      </c>
      <c r="I143" s="7">
        <f>IFERROR(IF(OR(F143="",INDEX(F:F,MATCH(DATE(YEAR($A143)-1,MONTH($A143),DAY($A143)),$A:$A,0))=""),"",F143/INDEX(F:F,MATCH(DATE(YEAR($A143)-1,MONTH($A143),DAY($A143)),$A:$A,0))-1),"")</f>
        <v/>
      </c>
      <c r="J143" s="7">
        <f>IFERROR(IF(OR(G143="",INDEX(G:G,MATCH(DATE(YEAR($A143)-1,MONTH($A143),DAY($A143)),$A:$A,0))=""),"",G143/INDEX(G:G,MATCH(DATE(YEAR($A143)-1,MONTH($A143),DAY($A143)),$A:$A,0))-1),"")</f>
        <v/>
      </c>
      <c r="K143" s="7">
        <f>IF(OR(E143="",E142=""),"",E143/E142-1)</f>
        <v/>
      </c>
      <c r="L143" s="7">
        <f>IF(OR(F143="",F142=""),"",F143/F142-1)</f>
        <v/>
      </c>
      <c r="M143" s="7">
        <f>IF(OR(G143="",G142=""),"",G143/G142-1)</f>
        <v/>
      </c>
      <c r="N143" s="7">
        <f>IF(G143="","",E143/G143)</f>
        <v/>
      </c>
      <c r="O143" s="7">
        <f>IF(G143="","",F143/G143)</f>
        <v/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4">
        <f>IF(SUMIFS('Daily NSE Equity Cash'!$H:$H,'Daily NSE Equity Cash'!$A:$A,$A144)=0,"",SUMIFS('Daily NSE Equity Cash'!$H:$H,'Daily NSE Equity Cash'!$A:$A,$A144))</f>
        <v/>
      </c>
      <c r="F144" s="4">
        <f>IF(SUMIFS('Daily BSE Equity Cash'!$H:$H,'Daily BSE Equity Cash'!$A:$A,$A144)=0,"",SUMIFS('Daily BSE Equity Cash'!$H:$H,'Daily BSE Equity Cash'!$A:$A,$A144))</f>
        <v/>
      </c>
      <c r="G144" s="4">
        <f>IF(OR(E144="",F144=""),"",E144+F144)</f>
        <v/>
      </c>
      <c r="H144" s="7">
        <f>IFERROR(IF(OR(E144="",INDEX(E:E,MATCH(DATE(YEAR($A144)-1,MONTH($A144),DAY($A144)),$A:$A,0))=""),"",E144/INDEX(E:E,MATCH(DATE(YEAR($A144)-1,MONTH($A144),DAY($A144)),$A:$A,0))-1),"")</f>
        <v/>
      </c>
      <c r="I144" s="7">
        <f>IFERROR(IF(OR(F144="",INDEX(F:F,MATCH(DATE(YEAR($A144)-1,MONTH($A144),DAY($A144)),$A:$A,0))=""),"",F144/INDEX(F:F,MATCH(DATE(YEAR($A144)-1,MONTH($A144),DAY($A144)),$A:$A,0))-1),"")</f>
        <v/>
      </c>
      <c r="J144" s="7">
        <f>IFERROR(IF(OR(G144="",INDEX(G:G,MATCH(DATE(YEAR($A144)-1,MONTH($A144),DAY($A144)),$A:$A,0))=""),"",G144/INDEX(G:G,MATCH(DATE(YEAR($A144)-1,MONTH($A144),DAY($A144)),$A:$A,0))-1),"")</f>
        <v/>
      </c>
      <c r="K144" s="7">
        <f>IF(OR(E144="",E143=""),"",E144/E143-1)</f>
        <v/>
      </c>
      <c r="L144" s="7">
        <f>IF(OR(F144="",F143=""),"",F144/F143-1)</f>
        <v/>
      </c>
      <c r="M144" s="7">
        <f>IF(OR(G144="",G143=""),"",G144/G143-1)</f>
        <v/>
      </c>
      <c r="N144" s="7">
        <f>IF(G144="","",E144/G144)</f>
        <v/>
      </c>
      <c r="O144" s="7">
        <f>IF(G144="","",F144/G144)</f>
        <v/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4">
        <f>IF(SUMIFS('Daily NSE Equity Cash'!$H:$H,'Daily NSE Equity Cash'!$A:$A,$A145)=0,"",SUMIFS('Daily NSE Equity Cash'!$H:$H,'Daily NSE Equity Cash'!$A:$A,$A145))</f>
        <v/>
      </c>
      <c r="F145" s="4">
        <f>IF(SUMIFS('Daily BSE Equity Cash'!$H:$H,'Daily BSE Equity Cash'!$A:$A,$A145)=0,"",SUMIFS('Daily BSE Equity Cash'!$H:$H,'Daily BSE Equity Cash'!$A:$A,$A145))</f>
        <v/>
      </c>
      <c r="G145" s="4">
        <f>IF(OR(E145="",F145=""),"",E145+F145)</f>
        <v/>
      </c>
      <c r="H145" s="7">
        <f>IFERROR(IF(OR(E145="",INDEX(E:E,MATCH(DATE(YEAR($A145)-1,MONTH($A145),DAY($A145)),$A:$A,0))=""),"",E145/INDEX(E:E,MATCH(DATE(YEAR($A145)-1,MONTH($A145),DAY($A145)),$A:$A,0))-1),"")</f>
        <v/>
      </c>
      <c r="I145" s="7">
        <f>IFERROR(IF(OR(F145="",INDEX(F:F,MATCH(DATE(YEAR($A145)-1,MONTH($A145),DAY($A145)),$A:$A,0))=""),"",F145/INDEX(F:F,MATCH(DATE(YEAR($A145)-1,MONTH($A145),DAY($A145)),$A:$A,0))-1),"")</f>
        <v/>
      </c>
      <c r="J145" s="7">
        <f>IFERROR(IF(OR(G145="",INDEX(G:G,MATCH(DATE(YEAR($A145)-1,MONTH($A145),DAY($A145)),$A:$A,0))=""),"",G145/INDEX(G:G,MATCH(DATE(YEAR($A145)-1,MONTH($A145),DAY($A145)),$A:$A,0))-1),"")</f>
        <v/>
      </c>
      <c r="K145" s="7">
        <f>IF(OR(E145="",E144=""),"",E145/E144-1)</f>
        <v/>
      </c>
      <c r="L145" s="7">
        <f>IF(OR(F145="",F144=""),"",F145/F144-1)</f>
        <v/>
      </c>
      <c r="M145" s="7">
        <f>IF(OR(G145="",G144=""),"",G145/G144-1)</f>
        <v/>
      </c>
      <c r="N145" s="7">
        <f>IF(G145="","",E145/G145)</f>
        <v/>
      </c>
      <c r="O145" s="7">
        <f>IF(G145="","",F145/G145)</f>
        <v/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4">
        <f>IF(SUMIFS('Daily NSE Equity Cash'!$H:$H,'Daily NSE Equity Cash'!$A:$A,$A146)=0,"",SUMIFS('Daily NSE Equity Cash'!$H:$H,'Daily NSE Equity Cash'!$A:$A,$A146))</f>
        <v/>
      </c>
      <c r="F146" s="4">
        <f>IF(SUMIFS('Daily BSE Equity Cash'!$H:$H,'Daily BSE Equity Cash'!$A:$A,$A146)=0,"",SUMIFS('Daily BSE Equity Cash'!$H:$H,'Daily BSE Equity Cash'!$A:$A,$A146))</f>
        <v/>
      </c>
      <c r="G146" s="4">
        <f>IF(OR(E146="",F146=""),"",E146+F146)</f>
        <v/>
      </c>
      <c r="H146" s="7">
        <f>IFERROR(IF(OR(E146="",INDEX(E:E,MATCH(DATE(YEAR($A146)-1,MONTH($A146),DAY($A146)),$A:$A,0))=""),"",E146/INDEX(E:E,MATCH(DATE(YEAR($A146)-1,MONTH($A146),DAY($A146)),$A:$A,0))-1),"")</f>
        <v/>
      </c>
      <c r="I146" s="7">
        <f>IFERROR(IF(OR(F146="",INDEX(F:F,MATCH(DATE(YEAR($A146)-1,MONTH($A146),DAY($A146)),$A:$A,0))=""),"",F146/INDEX(F:F,MATCH(DATE(YEAR($A146)-1,MONTH($A146),DAY($A146)),$A:$A,0))-1),"")</f>
        <v/>
      </c>
      <c r="J146" s="7">
        <f>IFERROR(IF(OR(G146="",INDEX(G:G,MATCH(DATE(YEAR($A146)-1,MONTH($A146),DAY($A146)),$A:$A,0))=""),"",G146/INDEX(G:G,MATCH(DATE(YEAR($A146)-1,MONTH($A146),DAY($A146)),$A:$A,0))-1),"")</f>
        <v/>
      </c>
      <c r="K146" s="7">
        <f>IF(OR(E146="",E145=""),"",E146/E145-1)</f>
        <v/>
      </c>
      <c r="L146" s="7">
        <f>IF(OR(F146="",F145=""),"",F146/F145-1)</f>
        <v/>
      </c>
      <c r="M146" s="7">
        <f>IF(OR(G146="",G145=""),"",G146/G145-1)</f>
        <v/>
      </c>
      <c r="N146" s="7">
        <f>IF(G146="","",E146/G146)</f>
        <v/>
      </c>
      <c r="O146" s="7">
        <f>IF(G146="","",F146/G146)</f>
        <v/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4">
        <f>IF(SUMIFS('Daily NSE Equity Cash'!$H:$H,'Daily NSE Equity Cash'!$A:$A,$A147)=0,"",SUMIFS('Daily NSE Equity Cash'!$H:$H,'Daily NSE Equity Cash'!$A:$A,$A147))</f>
        <v/>
      </c>
      <c r="F147" s="4">
        <f>IF(SUMIFS('Daily BSE Equity Cash'!$H:$H,'Daily BSE Equity Cash'!$A:$A,$A147)=0,"",SUMIFS('Daily BSE Equity Cash'!$H:$H,'Daily BSE Equity Cash'!$A:$A,$A147))</f>
        <v/>
      </c>
      <c r="G147" s="4">
        <f>IF(OR(E147="",F147=""),"",E147+F147)</f>
        <v/>
      </c>
      <c r="H147" s="7">
        <f>IFERROR(IF(OR(E147="",INDEX(E:E,MATCH(DATE(YEAR($A147)-1,MONTH($A147),DAY($A147)),$A:$A,0))=""),"",E147/INDEX(E:E,MATCH(DATE(YEAR($A147)-1,MONTH($A147),DAY($A147)),$A:$A,0))-1),"")</f>
        <v/>
      </c>
      <c r="I147" s="7">
        <f>IFERROR(IF(OR(F147="",INDEX(F:F,MATCH(DATE(YEAR($A147)-1,MONTH($A147),DAY($A147)),$A:$A,0))=""),"",F147/INDEX(F:F,MATCH(DATE(YEAR($A147)-1,MONTH($A147),DAY($A147)),$A:$A,0))-1),"")</f>
        <v/>
      </c>
      <c r="J147" s="7">
        <f>IFERROR(IF(OR(G147="",INDEX(G:G,MATCH(DATE(YEAR($A147)-1,MONTH($A147),DAY($A147)),$A:$A,0))=""),"",G147/INDEX(G:G,MATCH(DATE(YEAR($A147)-1,MONTH($A147),DAY($A147)),$A:$A,0))-1),"")</f>
        <v/>
      </c>
      <c r="K147" s="7">
        <f>IF(OR(E147="",E146=""),"",E147/E146-1)</f>
        <v/>
      </c>
      <c r="L147" s="7">
        <f>IF(OR(F147="",F146=""),"",F147/F146-1)</f>
        <v/>
      </c>
      <c r="M147" s="7">
        <f>IF(OR(G147="",G146=""),"",G147/G146-1)</f>
        <v/>
      </c>
      <c r="N147" s="7">
        <f>IF(G147="","",E147/G147)</f>
        <v/>
      </c>
      <c r="O147" s="7">
        <f>IF(G147="","",F147/G147)</f>
        <v/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4">
        <f>IF(SUMIFS('Daily NSE Equity Cash'!$H:$H,'Daily NSE Equity Cash'!$A:$A,$A148)=0,"",SUMIFS('Daily NSE Equity Cash'!$H:$H,'Daily NSE Equity Cash'!$A:$A,$A148))</f>
        <v/>
      </c>
      <c r="F148" s="4">
        <f>IF(SUMIFS('Daily BSE Equity Cash'!$H:$H,'Daily BSE Equity Cash'!$A:$A,$A148)=0,"",SUMIFS('Daily BSE Equity Cash'!$H:$H,'Daily BSE Equity Cash'!$A:$A,$A148))</f>
        <v/>
      </c>
      <c r="G148" s="4">
        <f>IF(OR(E148="",F148=""),"",E148+F148)</f>
        <v/>
      </c>
      <c r="H148" s="7">
        <f>IFERROR(IF(OR(E148="",INDEX(E:E,MATCH(DATE(YEAR($A148)-1,MONTH($A148),DAY($A148)),$A:$A,0))=""),"",E148/INDEX(E:E,MATCH(DATE(YEAR($A148)-1,MONTH($A148),DAY($A148)),$A:$A,0))-1),"")</f>
        <v/>
      </c>
      <c r="I148" s="7">
        <f>IFERROR(IF(OR(F148="",INDEX(F:F,MATCH(DATE(YEAR($A148)-1,MONTH($A148),DAY($A148)),$A:$A,0))=""),"",F148/INDEX(F:F,MATCH(DATE(YEAR($A148)-1,MONTH($A148),DAY($A148)),$A:$A,0))-1),"")</f>
        <v/>
      </c>
      <c r="J148" s="7">
        <f>IFERROR(IF(OR(G148="",INDEX(G:G,MATCH(DATE(YEAR($A148)-1,MONTH($A148),DAY($A148)),$A:$A,0))=""),"",G148/INDEX(G:G,MATCH(DATE(YEAR($A148)-1,MONTH($A148),DAY($A148)),$A:$A,0))-1),"")</f>
        <v/>
      </c>
      <c r="K148" s="7">
        <f>IF(OR(E148="",E147=""),"",E148/E147-1)</f>
        <v/>
      </c>
      <c r="L148" s="7">
        <f>IF(OR(F148="",F147=""),"",F148/F147-1)</f>
        <v/>
      </c>
      <c r="M148" s="7">
        <f>IF(OR(G148="",G147=""),"",G148/G147-1)</f>
        <v/>
      </c>
      <c r="N148" s="7">
        <f>IF(G148="","",E148/G148)</f>
        <v/>
      </c>
      <c r="O148" s="7">
        <f>IF(G148="","",F148/G148)</f>
        <v/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4">
        <f>IF(SUMIFS('Daily NSE Equity Cash'!$H:$H,'Daily NSE Equity Cash'!$A:$A,$A149)=0,"",SUMIFS('Daily NSE Equity Cash'!$H:$H,'Daily NSE Equity Cash'!$A:$A,$A149))</f>
        <v/>
      </c>
      <c r="F149" s="4">
        <f>IF(SUMIFS('Daily BSE Equity Cash'!$H:$H,'Daily BSE Equity Cash'!$A:$A,$A149)=0,"",SUMIFS('Daily BSE Equity Cash'!$H:$H,'Daily BSE Equity Cash'!$A:$A,$A149))</f>
        <v/>
      </c>
      <c r="G149" s="4">
        <f>IF(OR(E149="",F149=""),"",E149+F149)</f>
        <v/>
      </c>
      <c r="H149" s="7">
        <f>IFERROR(IF(OR(E149="",INDEX(E:E,MATCH(DATE(YEAR($A149)-1,MONTH($A149),DAY($A149)),$A:$A,0))=""),"",E149/INDEX(E:E,MATCH(DATE(YEAR($A149)-1,MONTH($A149),DAY($A149)),$A:$A,0))-1),"")</f>
        <v/>
      </c>
      <c r="I149" s="7">
        <f>IFERROR(IF(OR(F149="",INDEX(F:F,MATCH(DATE(YEAR($A149)-1,MONTH($A149),DAY($A149)),$A:$A,0))=""),"",F149/INDEX(F:F,MATCH(DATE(YEAR($A149)-1,MONTH($A149),DAY($A149)),$A:$A,0))-1),"")</f>
        <v/>
      </c>
      <c r="J149" s="7">
        <f>IFERROR(IF(OR(G149="",INDEX(G:G,MATCH(DATE(YEAR($A149)-1,MONTH($A149),DAY($A149)),$A:$A,0))=""),"",G149/INDEX(G:G,MATCH(DATE(YEAR($A149)-1,MONTH($A149),DAY($A149)),$A:$A,0))-1),"")</f>
        <v/>
      </c>
      <c r="K149" s="7">
        <f>IF(OR(E149="",E148=""),"",E149/E148-1)</f>
        <v/>
      </c>
      <c r="L149" s="7">
        <f>IF(OR(F149="",F148=""),"",F149/F148-1)</f>
        <v/>
      </c>
      <c r="M149" s="7">
        <f>IF(OR(G149="",G148=""),"",G149/G148-1)</f>
        <v/>
      </c>
      <c r="N149" s="7">
        <f>IF(G149="","",E149/G149)</f>
        <v/>
      </c>
      <c r="O149" s="7">
        <f>IF(G149="","",F149/G149)</f>
        <v/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4">
        <f>IF(SUMIFS('Daily NSE Equity Cash'!$H:$H,'Daily NSE Equity Cash'!$A:$A,$A150)=0,"",SUMIFS('Daily NSE Equity Cash'!$H:$H,'Daily NSE Equity Cash'!$A:$A,$A150))</f>
        <v/>
      </c>
      <c r="F150" s="4">
        <f>IF(SUMIFS('Daily BSE Equity Cash'!$H:$H,'Daily BSE Equity Cash'!$A:$A,$A150)=0,"",SUMIFS('Daily BSE Equity Cash'!$H:$H,'Daily BSE Equity Cash'!$A:$A,$A150))</f>
        <v/>
      </c>
      <c r="G150" s="4">
        <f>IF(OR(E150="",F150=""),"",E150+F150)</f>
        <v/>
      </c>
      <c r="H150" s="7">
        <f>IFERROR(IF(OR(E150="",INDEX(E:E,MATCH(DATE(YEAR($A150)-1,MONTH($A150),DAY($A150)),$A:$A,0))=""),"",E150/INDEX(E:E,MATCH(DATE(YEAR($A150)-1,MONTH($A150),DAY($A150)),$A:$A,0))-1),"")</f>
        <v/>
      </c>
      <c r="I150" s="7">
        <f>IFERROR(IF(OR(F150="",INDEX(F:F,MATCH(DATE(YEAR($A150)-1,MONTH($A150),DAY($A150)),$A:$A,0))=""),"",F150/INDEX(F:F,MATCH(DATE(YEAR($A150)-1,MONTH($A150),DAY($A150)),$A:$A,0))-1),"")</f>
        <v/>
      </c>
      <c r="J150" s="7">
        <f>IFERROR(IF(OR(G150="",INDEX(G:G,MATCH(DATE(YEAR($A150)-1,MONTH($A150),DAY($A150)),$A:$A,0))=""),"",G150/INDEX(G:G,MATCH(DATE(YEAR($A150)-1,MONTH($A150),DAY($A150)),$A:$A,0))-1),"")</f>
        <v/>
      </c>
      <c r="K150" s="7">
        <f>IF(OR(E150="",E149=""),"",E150/E149-1)</f>
        <v/>
      </c>
      <c r="L150" s="7">
        <f>IF(OR(F150="",F149=""),"",F150/F149-1)</f>
        <v/>
      </c>
      <c r="M150" s="7">
        <f>IF(OR(G150="",G149=""),"",G150/G149-1)</f>
        <v/>
      </c>
      <c r="N150" s="7">
        <f>IF(G150="","",E150/G150)</f>
        <v/>
      </c>
      <c r="O150" s="7">
        <f>IF(G150="","",F150/G150)</f>
        <v/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4">
        <f>IF(SUMIFS('Daily NSE Equity Cash'!$H:$H,'Daily NSE Equity Cash'!$A:$A,$A151)=0,"",SUMIFS('Daily NSE Equity Cash'!$H:$H,'Daily NSE Equity Cash'!$A:$A,$A151))</f>
        <v/>
      </c>
      <c r="F151" s="4">
        <f>IF(SUMIFS('Daily BSE Equity Cash'!$H:$H,'Daily BSE Equity Cash'!$A:$A,$A151)=0,"",SUMIFS('Daily BSE Equity Cash'!$H:$H,'Daily BSE Equity Cash'!$A:$A,$A151))</f>
        <v/>
      </c>
      <c r="G151" s="4">
        <f>IF(OR(E151="",F151=""),"",E151+F151)</f>
        <v/>
      </c>
      <c r="H151" s="7">
        <f>IFERROR(IF(OR(E151="",INDEX(E:E,MATCH(DATE(YEAR($A151)-1,MONTH($A151),DAY($A151)),$A:$A,0))=""),"",E151/INDEX(E:E,MATCH(DATE(YEAR($A151)-1,MONTH($A151),DAY($A151)),$A:$A,0))-1),"")</f>
        <v/>
      </c>
      <c r="I151" s="7">
        <f>IFERROR(IF(OR(F151="",INDEX(F:F,MATCH(DATE(YEAR($A151)-1,MONTH($A151),DAY($A151)),$A:$A,0))=""),"",F151/INDEX(F:F,MATCH(DATE(YEAR($A151)-1,MONTH($A151),DAY($A151)),$A:$A,0))-1),"")</f>
        <v/>
      </c>
      <c r="J151" s="7">
        <f>IFERROR(IF(OR(G151="",INDEX(G:G,MATCH(DATE(YEAR($A151)-1,MONTH($A151),DAY($A151)),$A:$A,0))=""),"",G151/INDEX(G:G,MATCH(DATE(YEAR($A151)-1,MONTH($A151),DAY($A151)),$A:$A,0))-1),"")</f>
        <v/>
      </c>
      <c r="K151" s="7">
        <f>IF(OR(E151="",E150=""),"",E151/E150-1)</f>
        <v/>
      </c>
      <c r="L151" s="7">
        <f>IF(OR(F151="",F150=""),"",F151/F150-1)</f>
        <v/>
      </c>
      <c r="M151" s="7">
        <f>IF(OR(G151="",G150=""),"",G151/G150-1)</f>
        <v/>
      </c>
      <c r="N151" s="7">
        <f>IF(G151="","",E151/G151)</f>
        <v/>
      </c>
      <c r="O151" s="7">
        <f>IF(G151="","",F151/G151)</f>
        <v/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4">
        <f>IF(SUMIFS('Daily NSE Equity Cash'!$H:$H,'Daily NSE Equity Cash'!$A:$A,$A152)=0,"",SUMIFS('Daily NSE Equity Cash'!$H:$H,'Daily NSE Equity Cash'!$A:$A,$A152))</f>
        <v/>
      </c>
      <c r="F152" s="4">
        <f>IF(SUMIFS('Daily BSE Equity Cash'!$H:$H,'Daily BSE Equity Cash'!$A:$A,$A152)=0,"",SUMIFS('Daily BSE Equity Cash'!$H:$H,'Daily BSE Equity Cash'!$A:$A,$A152))</f>
        <v/>
      </c>
      <c r="G152" s="4">
        <f>IF(OR(E152="",F152=""),"",E152+F152)</f>
        <v/>
      </c>
      <c r="H152" s="7">
        <f>IFERROR(IF(OR(E152="",INDEX(E:E,MATCH(DATE(YEAR($A152)-1,MONTH($A152),DAY($A152)),$A:$A,0))=""),"",E152/INDEX(E:E,MATCH(DATE(YEAR($A152)-1,MONTH($A152),DAY($A152)),$A:$A,0))-1),"")</f>
        <v/>
      </c>
      <c r="I152" s="7">
        <f>IFERROR(IF(OR(F152="",INDEX(F:F,MATCH(DATE(YEAR($A152)-1,MONTH($A152),DAY($A152)),$A:$A,0))=""),"",F152/INDEX(F:F,MATCH(DATE(YEAR($A152)-1,MONTH($A152),DAY($A152)),$A:$A,0))-1),"")</f>
        <v/>
      </c>
      <c r="J152" s="7">
        <f>IFERROR(IF(OR(G152="",INDEX(G:G,MATCH(DATE(YEAR($A152)-1,MONTH($A152),DAY($A152)),$A:$A,0))=""),"",G152/INDEX(G:G,MATCH(DATE(YEAR($A152)-1,MONTH($A152),DAY($A152)),$A:$A,0))-1),"")</f>
        <v/>
      </c>
      <c r="K152" s="7">
        <f>IF(OR(E152="",E151=""),"",E152/E151-1)</f>
        <v/>
      </c>
      <c r="L152" s="7">
        <f>IF(OR(F152="",F151=""),"",F152/F151-1)</f>
        <v/>
      </c>
      <c r="M152" s="7">
        <f>IF(OR(G152="",G151=""),"",G152/G151-1)</f>
        <v/>
      </c>
      <c r="N152" s="7">
        <f>IF(G152="","",E152/G152)</f>
        <v/>
      </c>
      <c r="O152" s="7">
        <f>IF(G152="","",F152/G152)</f>
        <v/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4">
        <f>IF(SUMIFS('Daily NSE Equity Cash'!$H:$H,'Daily NSE Equity Cash'!$A:$A,$A153)=0,"",SUMIFS('Daily NSE Equity Cash'!$H:$H,'Daily NSE Equity Cash'!$A:$A,$A153))</f>
        <v/>
      </c>
      <c r="F153" s="4">
        <f>IF(SUMIFS('Daily BSE Equity Cash'!$H:$H,'Daily BSE Equity Cash'!$A:$A,$A153)=0,"",SUMIFS('Daily BSE Equity Cash'!$H:$H,'Daily BSE Equity Cash'!$A:$A,$A153))</f>
        <v/>
      </c>
      <c r="G153" s="4">
        <f>IF(OR(E153="",F153=""),"",E153+F153)</f>
        <v/>
      </c>
      <c r="H153" s="7">
        <f>IFERROR(IF(OR(E153="",INDEX(E:E,MATCH(DATE(YEAR($A153)-1,MONTH($A153),DAY($A153)),$A:$A,0))=""),"",E153/INDEX(E:E,MATCH(DATE(YEAR($A153)-1,MONTH($A153),DAY($A153)),$A:$A,0))-1),"")</f>
        <v/>
      </c>
      <c r="I153" s="7">
        <f>IFERROR(IF(OR(F153="",INDEX(F:F,MATCH(DATE(YEAR($A153)-1,MONTH($A153),DAY($A153)),$A:$A,0))=""),"",F153/INDEX(F:F,MATCH(DATE(YEAR($A153)-1,MONTH($A153),DAY($A153)),$A:$A,0))-1),"")</f>
        <v/>
      </c>
      <c r="J153" s="7">
        <f>IFERROR(IF(OR(G153="",INDEX(G:G,MATCH(DATE(YEAR($A153)-1,MONTH($A153),DAY($A153)),$A:$A,0))=""),"",G153/INDEX(G:G,MATCH(DATE(YEAR($A153)-1,MONTH($A153),DAY($A153)),$A:$A,0))-1),"")</f>
        <v/>
      </c>
      <c r="K153" s="7">
        <f>IF(OR(E153="",E152=""),"",E153/E152-1)</f>
        <v/>
      </c>
      <c r="L153" s="7">
        <f>IF(OR(F153="",F152=""),"",F153/F152-1)</f>
        <v/>
      </c>
      <c r="M153" s="7">
        <f>IF(OR(G153="",G152=""),"",G153/G152-1)</f>
        <v/>
      </c>
      <c r="N153" s="7">
        <f>IF(G153="","",E153/G153)</f>
        <v/>
      </c>
      <c r="O153" s="7">
        <f>IF(G153="","",F153/G153)</f>
        <v/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4">
        <f>IF(SUMIFS('Daily NSE Equity Cash'!$H:$H,'Daily NSE Equity Cash'!$A:$A,$A154)=0,"",SUMIFS('Daily NSE Equity Cash'!$H:$H,'Daily NSE Equity Cash'!$A:$A,$A154))</f>
        <v/>
      </c>
      <c r="F154" s="4">
        <f>IF(SUMIFS('Daily BSE Equity Cash'!$H:$H,'Daily BSE Equity Cash'!$A:$A,$A154)=0,"",SUMIFS('Daily BSE Equity Cash'!$H:$H,'Daily BSE Equity Cash'!$A:$A,$A154))</f>
        <v/>
      </c>
      <c r="G154" s="4">
        <f>IF(OR(E154="",F154=""),"",E154+F154)</f>
        <v/>
      </c>
      <c r="H154" s="7">
        <f>IFERROR(IF(OR(E154="",INDEX(E:E,MATCH(DATE(YEAR($A154)-1,MONTH($A154),DAY($A154)),$A:$A,0))=""),"",E154/INDEX(E:E,MATCH(DATE(YEAR($A154)-1,MONTH($A154),DAY($A154)),$A:$A,0))-1),"")</f>
        <v/>
      </c>
      <c r="I154" s="7">
        <f>IFERROR(IF(OR(F154="",INDEX(F:F,MATCH(DATE(YEAR($A154)-1,MONTH($A154),DAY($A154)),$A:$A,0))=""),"",F154/INDEX(F:F,MATCH(DATE(YEAR($A154)-1,MONTH($A154),DAY($A154)),$A:$A,0))-1),"")</f>
        <v/>
      </c>
      <c r="J154" s="7">
        <f>IFERROR(IF(OR(G154="",INDEX(G:G,MATCH(DATE(YEAR($A154)-1,MONTH($A154),DAY($A154)),$A:$A,0))=""),"",G154/INDEX(G:G,MATCH(DATE(YEAR($A154)-1,MONTH($A154),DAY($A154)),$A:$A,0))-1),"")</f>
        <v/>
      </c>
      <c r="K154" s="7">
        <f>IF(OR(E154="",E153=""),"",E154/E153-1)</f>
        <v/>
      </c>
      <c r="L154" s="7">
        <f>IF(OR(F154="",F153=""),"",F154/F153-1)</f>
        <v/>
      </c>
      <c r="M154" s="7">
        <f>IF(OR(G154="",G153=""),"",G154/G153-1)</f>
        <v/>
      </c>
      <c r="N154" s="7">
        <f>IF(G154="","",E154/G154)</f>
        <v/>
      </c>
      <c r="O154" s="7">
        <f>IF(G154="","",F154/G154)</f>
        <v/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4">
        <f>IF(SUMIFS('Daily NSE Equity Cash'!$H:$H,'Daily NSE Equity Cash'!$A:$A,$A155)=0,"",SUMIFS('Daily NSE Equity Cash'!$H:$H,'Daily NSE Equity Cash'!$A:$A,$A155))</f>
        <v/>
      </c>
      <c r="F155" s="4">
        <f>IF(SUMIFS('Daily BSE Equity Cash'!$H:$H,'Daily BSE Equity Cash'!$A:$A,$A155)=0,"",SUMIFS('Daily BSE Equity Cash'!$H:$H,'Daily BSE Equity Cash'!$A:$A,$A155))</f>
        <v/>
      </c>
      <c r="G155" s="4">
        <f>IF(OR(E155="",F155=""),"",E155+F155)</f>
        <v/>
      </c>
      <c r="H155" s="7">
        <f>IFERROR(IF(OR(E155="",INDEX(E:E,MATCH(DATE(YEAR($A155)-1,MONTH($A155),DAY($A155)),$A:$A,0))=""),"",E155/INDEX(E:E,MATCH(DATE(YEAR($A155)-1,MONTH($A155),DAY($A155)),$A:$A,0))-1),"")</f>
        <v/>
      </c>
      <c r="I155" s="7">
        <f>IFERROR(IF(OR(F155="",INDEX(F:F,MATCH(DATE(YEAR($A155)-1,MONTH($A155),DAY($A155)),$A:$A,0))=""),"",F155/INDEX(F:F,MATCH(DATE(YEAR($A155)-1,MONTH($A155),DAY($A155)),$A:$A,0))-1),"")</f>
        <v/>
      </c>
      <c r="J155" s="7">
        <f>IFERROR(IF(OR(G155="",INDEX(G:G,MATCH(DATE(YEAR($A155)-1,MONTH($A155),DAY($A155)),$A:$A,0))=""),"",G155/INDEX(G:G,MATCH(DATE(YEAR($A155)-1,MONTH($A155),DAY($A155)),$A:$A,0))-1),"")</f>
        <v/>
      </c>
      <c r="K155" s="7">
        <f>IF(OR(E155="",E154=""),"",E155/E154-1)</f>
        <v/>
      </c>
      <c r="L155" s="7">
        <f>IF(OR(F155="",F154=""),"",F155/F154-1)</f>
        <v/>
      </c>
      <c r="M155" s="7">
        <f>IF(OR(G155="",G154=""),"",G155/G154-1)</f>
        <v/>
      </c>
      <c r="N155" s="7">
        <f>IF(G155="","",E155/G155)</f>
        <v/>
      </c>
      <c r="O155" s="7">
        <f>IF(G155="","",F155/G155)</f>
        <v/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4">
        <f>IF(SUMIFS('Daily NSE Equity Cash'!$H:$H,'Daily NSE Equity Cash'!$A:$A,$A156)=0,"",SUMIFS('Daily NSE Equity Cash'!$H:$H,'Daily NSE Equity Cash'!$A:$A,$A156))</f>
        <v/>
      </c>
      <c r="F156" s="4">
        <f>IF(SUMIFS('Daily BSE Equity Cash'!$H:$H,'Daily BSE Equity Cash'!$A:$A,$A156)=0,"",SUMIFS('Daily BSE Equity Cash'!$H:$H,'Daily BSE Equity Cash'!$A:$A,$A156))</f>
        <v/>
      </c>
      <c r="G156" s="4">
        <f>IF(OR(E156="",F156=""),"",E156+F156)</f>
        <v/>
      </c>
      <c r="H156" s="7">
        <f>IFERROR(IF(OR(E156="",INDEX(E:E,MATCH(DATE(YEAR($A156)-1,MONTH($A156),DAY($A156)),$A:$A,0))=""),"",E156/INDEX(E:E,MATCH(DATE(YEAR($A156)-1,MONTH($A156),DAY($A156)),$A:$A,0))-1),"")</f>
        <v/>
      </c>
      <c r="I156" s="7">
        <f>IFERROR(IF(OR(F156="",INDEX(F:F,MATCH(DATE(YEAR($A156)-1,MONTH($A156),DAY($A156)),$A:$A,0))=""),"",F156/INDEX(F:F,MATCH(DATE(YEAR($A156)-1,MONTH($A156),DAY($A156)),$A:$A,0))-1),"")</f>
        <v/>
      </c>
      <c r="J156" s="7">
        <f>IFERROR(IF(OR(G156="",INDEX(G:G,MATCH(DATE(YEAR($A156)-1,MONTH($A156),DAY($A156)),$A:$A,0))=""),"",G156/INDEX(G:G,MATCH(DATE(YEAR($A156)-1,MONTH($A156),DAY($A156)),$A:$A,0))-1),"")</f>
        <v/>
      </c>
      <c r="K156" s="7">
        <f>IF(OR(E156="",E155=""),"",E156/E155-1)</f>
        <v/>
      </c>
      <c r="L156" s="7">
        <f>IF(OR(F156="",F155=""),"",F156/F155-1)</f>
        <v/>
      </c>
      <c r="M156" s="7">
        <f>IF(OR(G156="",G155=""),"",G156/G155-1)</f>
        <v/>
      </c>
      <c r="N156" s="7">
        <f>IF(G156="","",E156/G156)</f>
        <v/>
      </c>
      <c r="O156" s="7">
        <f>IF(G156="","",F156/G156)</f>
        <v/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4">
        <f>IF(SUMIFS('Daily NSE Equity Cash'!$H:$H,'Daily NSE Equity Cash'!$A:$A,$A157)=0,"",SUMIFS('Daily NSE Equity Cash'!$H:$H,'Daily NSE Equity Cash'!$A:$A,$A157))</f>
        <v/>
      </c>
      <c r="F157" s="4">
        <f>IF(SUMIFS('Daily BSE Equity Cash'!$H:$H,'Daily BSE Equity Cash'!$A:$A,$A157)=0,"",SUMIFS('Daily BSE Equity Cash'!$H:$H,'Daily BSE Equity Cash'!$A:$A,$A157))</f>
        <v/>
      </c>
      <c r="G157" s="4">
        <f>IF(OR(E157="",F157=""),"",E157+F157)</f>
        <v/>
      </c>
      <c r="H157" s="7">
        <f>IFERROR(IF(OR(E157="",INDEX(E:E,MATCH(DATE(YEAR($A157)-1,MONTH($A157),DAY($A157)),$A:$A,0))=""),"",E157/INDEX(E:E,MATCH(DATE(YEAR($A157)-1,MONTH($A157),DAY($A157)),$A:$A,0))-1),"")</f>
        <v/>
      </c>
      <c r="I157" s="7">
        <f>IFERROR(IF(OR(F157="",INDEX(F:F,MATCH(DATE(YEAR($A157)-1,MONTH($A157),DAY($A157)),$A:$A,0))=""),"",F157/INDEX(F:F,MATCH(DATE(YEAR($A157)-1,MONTH($A157),DAY($A157)),$A:$A,0))-1),"")</f>
        <v/>
      </c>
      <c r="J157" s="7">
        <f>IFERROR(IF(OR(G157="",INDEX(G:G,MATCH(DATE(YEAR($A157)-1,MONTH($A157),DAY($A157)),$A:$A,0))=""),"",G157/INDEX(G:G,MATCH(DATE(YEAR($A157)-1,MONTH($A157),DAY($A157)),$A:$A,0))-1),"")</f>
        <v/>
      </c>
      <c r="K157" s="7">
        <f>IF(OR(E157="",E156=""),"",E157/E156-1)</f>
        <v/>
      </c>
      <c r="L157" s="7">
        <f>IF(OR(F157="",F156=""),"",F157/F156-1)</f>
        <v/>
      </c>
      <c r="M157" s="7">
        <f>IF(OR(G157="",G156=""),"",G157/G156-1)</f>
        <v/>
      </c>
      <c r="N157" s="7">
        <f>IF(G157="","",E157/G157)</f>
        <v/>
      </c>
      <c r="O157" s="7">
        <f>IF(G157="","",F157/G157)</f>
        <v/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4">
        <f>IF(SUMIFS('Daily NSE Equity Cash'!$H:$H,'Daily NSE Equity Cash'!$A:$A,$A158)=0,"",SUMIFS('Daily NSE Equity Cash'!$H:$H,'Daily NSE Equity Cash'!$A:$A,$A158))</f>
        <v/>
      </c>
      <c r="F158" s="4">
        <f>IF(SUMIFS('Daily BSE Equity Cash'!$H:$H,'Daily BSE Equity Cash'!$A:$A,$A158)=0,"",SUMIFS('Daily BSE Equity Cash'!$H:$H,'Daily BSE Equity Cash'!$A:$A,$A158))</f>
        <v/>
      </c>
      <c r="G158" s="4">
        <f>IF(OR(E158="",F158=""),"",E158+F158)</f>
        <v/>
      </c>
      <c r="H158" s="7">
        <f>IFERROR(IF(OR(E158="",INDEX(E:E,MATCH(DATE(YEAR($A158)-1,MONTH($A158),DAY($A158)),$A:$A,0))=""),"",E158/INDEX(E:E,MATCH(DATE(YEAR($A158)-1,MONTH($A158),DAY($A158)),$A:$A,0))-1),"")</f>
        <v/>
      </c>
      <c r="I158" s="7">
        <f>IFERROR(IF(OR(F158="",INDEX(F:F,MATCH(DATE(YEAR($A158)-1,MONTH($A158),DAY($A158)),$A:$A,0))=""),"",F158/INDEX(F:F,MATCH(DATE(YEAR($A158)-1,MONTH($A158),DAY($A158)),$A:$A,0))-1),"")</f>
        <v/>
      </c>
      <c r="J158" s="7">
        <f>IFERROR(IF(OR(G158="",INDEX(G:G,MATCH(DATE(YEAR($A158)-1,MONTH($A158),DAY($A158)),$A:$A,0))=""),"",G158/INDEX(G:G,MATCH(DATE(YEAR($A158)-1,MONTH($A158),DAY($A158)),$A:$A,0))-1),"")</f>
        <v/>
      </c>
      <c r="K158" s="7">
        <f>IF(OR(E158="",E157=""),"",E158/E157-1)</f>
        <v/>
      </c>
      <c r="L158" s="7">
        <f>IF(OR(F158="",F157=""),"",F158/F157-1)</f>
        <v/>
      </c>
      <c r="M158" s="7">
        <f>IF(OR(G158="",G157=""),"",G158/G157-1)</f>
        <v/>
      </c>
      <c r="N158" s="7">
        <f>IF(G158="","",E158/G158)</f>
        <v/>
      </c>
      <c r="O158" s="7">
        <f>IF(G158="","",F158/G158)</f>
        <v/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4">
        <f>IF(SUMIFS('Daily NSE Equity Cash'!$H:$H,'Daily NSE Equity Cash'!$A:$A,$A159)=0,"",SUMIFS('Daily NSE Equity Cash'!$H:$H,'Daily NSE Equity Cash'!$A:$A,$A159))</f>
        <v/>
      </c>
      <c r="F159" s="4">
        <f>IF(SUMIFS('Daily BSE Equity Cash'!$H:$H,'Daily BSE Equity Cash'!$A:$A,$A159)=0,"",SUMIFS('Daily BSE Equity Cash'!$H:$H,'Daily BSE Equity Cash'!$A:$A,$A159))</f>
        <v/>
      </c>
      <c r="G159" s="4">
        <f>IF(OR(E159="",F159=""),"",E159+F159)</f>
        <v/>
      </c>
      <c r="H159" s="7">
        <f>IFERROR(IF(OR(E159="",INDEX(E:E,MATCH(DATE(YEAR($A159)-1,MONTH($A159),DAY($A159)),$A:$A,0))=""),"",E159/INDEX(E:E,MATCH(DATE(YEAR($A159)-1,MONTH($A159),DAY($A159)),$A:$A,0))-1),"")</f>
        <v/>
      </c>
      <c r="I159" s="7">
        <f>IFERROR(IF(OR(F159="",INDEX(F:F,MATCH(DATE(YEAR($A159)-1,MONTH($A159),DAY($A159)),$A:$A,0))=""),"",F159/INDEX(F:F,MATCH(DATE(YEAR($A159)-1,MONTH($A159),DAY($A159)),$A:$A,0))-1),"")</f>
        <v/>
      </c>
      <c r="J159" s="7">
        <f>IFERROR(IF(OR(G159="",INDEX(G:G,MATCH(DATE(YEAR($A159)-1,MONTH($A159),DAY($A159)),$A:$A,0))=""),"",G159/INDEX(G:G,MATCH(DATE(YEAR($A159)-1,MONTH($A159),DAY($A159)),$A:$A,0))-1),"")</f>
        <v/>
      </c>
      <c r="K159" s="7">
        <f>IF(OR(E159="",E158=""),"",E159/E158-1)</f>
        <v/>
      </c>
      <c r="L159" s="7">
        <f>IF(OR(F159="",F158=""),"",F159/F158-1)</f>
        <v/>
      </c>
      <c r="M159" s="7">
        <f>IF(OR(G159="",G158=""),"",G159/G158-1)</f>
        <v/>
      </c>
      <c r="N159" s="7">
        <f>IF(G159="","",E159/G159)</f>
        <v/>
      </c>
      <c r="O159" s="7">
        <f>IF(G159="","",F159/G159)</f>
        <v/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4">
        <f>IF(SUMIFS('Daily NSE Equity Cash'!$H:$H,'Daily NSE Equity Cash'!$A:$A,$A160)=0,"",SUMIFS('Daily NSE Equity Cash'!$H:$H,'Daily NSE Equity Cash'!$A:$A,$A160))</f>
        <v/>
      </c>
      <c r="F160" s="4">
        <f>IF(SUMIFS('Daily BSE Equity Cash'!$H:$H,'Daily BSE Equity Cash'!$A:$A,$A160)=0,"",SUMIFS('Daily BSE Equity Cash'!$H:$H,'Daily BSE Equity Cash'!$A:$A,$A160))</f>
        <v/>
      </c>
      <c r="G160" s="4">
        <f>IF(OR(E160="",F160=""),"",E160+F160)</f>
        <v/>
      </c>
      <c r="H160" s="7">
        <f>IFERROR(IF(OR(E160="",INDEX(E:E,MATCH(DATE(YEAR($A160)-1,MONTH($A160),DAY($A160)),$A:$A,0))=""),"",E160/INDEX(E:E,MATCH(DATE(YEAR($A160)-1,MONTH($A160),DAY($A160)),$A:$A,0))-1),"")</f>
        <v/>
      </c>
      <c r="I160" s="7">
        <f>IFERROR(IF(OR(F160="",INDEX(F:F,MATCH(DATE(YEAR($A160)-1,MONTH($A160),DAY($A160)),$A:$A,0))=""),"",F160/INDEX(F:F,MATCH(DATE(YEAR($A160)-1,MONTH($A160),DAY($A160)),$A:$A,0))-1),"")</f>
        <v/>
      </c>
      <c r="J160" s="7">
        <f>IFERROR(IF(OR(G160="",INDEX(G:G,MATCH(DATE(YEAR($A160)-1,MONTH($A160),DAY($A160)),$A:$A,0))=""),"",G160/INDEX(G:G,MATCH(DATE(YEAR($A160)-1,MONTH($A160),DAY($A160)),$A:$A,0))-1),"")</f>
        <v/>
      </c>
      <c r="K160" s="7">
        <f>IF(OR(E160="",E159=""),"",E160/E159-1)</f>
        <v/>
      </c>
      <c r="L160" s="7">
        <f>IF(OR(F160="",F159=""),"",F160/F159-1)</f>
        <v/>
      </c>
      <c r="M160" s="7">
        <f>IF(OR(G160="",G159=""),"",G160/G159-1)</f>
        <v/>
      </c>
      <c r="N160" s="7">
        <f>IF(G160="","",E160/G160)</f>
        <v/>
      </c>
      <c r="O160" s="7">
        <f>IF(G160="","",F160/G160)</f>
        <v/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4">
        <f>IF(SUMIFS('Daily NSE Equity Cash'!$H:$H,'Daily NSE Equity Cash'!$A:$A,$A161)=0,"",SUMIFS('Daily NSE Equity Cash'!$H:$H,'Daily NSE Equity Cash'!$A:$A,$A161))</f>
        <v/>
      </c>
      <c r="F161" s="4">
        <f>IF(SUMIFS('Daily BSE Equity Cash'!$H:$H,'Daily BSE Equity Cash'!$A:$A,$A161)=0,"",SUMIFS('Daily BSE Equity Cash'!$H:$H,'Daily BSE Equity Cash'!$A:$A,$A161))</f>
        <v/>
      </c>
      <c r="G161" s="4">
        <f>IF(OR(E161="",F161=""),"",E161+F161)</f>
        <v/>
      </c>
      <c r="H161" s="7">
        <f>IFERROR(IF(OR(E161="",INDEX(E:E,MATCH(DATE(YEAR($A161)-1,MONTH($A161),DAY($A161)),$A:$A,0))=""),"",E161/INDEX(E:E,MATCH(DATE(YEAR($A161)-1,MONTH($A161),DAY($A161)),$A:$A,0))-1),"")</f>
        <v/>
      </c>
      <c r="I161" s="7">
        <f>IFERROR(IF(OR(F161="",INDEX(F:F,MATCH(DATE(YEAR($A161)-1,MONTH($A161),DAY($A161)),$A:$A,0))=""),"",F161/INDEX(F:F,MATCH(DATE(YEAR($A161)-1,MONTH($A161),DAY($A161)),$A:$A,0))-1),"")</f>
        <v/>
      </c>
      <c r="J161" s="7">
        <f>IFERROR(IF(OR(G161="",INDEX(G:G,MATCH(DATE(YEAR($A161)-1,MONTH($A161),DAY($A161)),$A:$A,0))=""),"",G161/INDEX(G:G,MATCH(DATE(YEAR($A161)-1,MONTH($A161),DAY($A161)),$A:$A,0))-1),"")</f>
        <v/>
      </c>
      <c r="K161" s="7">
        <f>IF(OR(E161="",E160=""),"",E161/E160-1)</f>
        <v/>
      </c>
      <c r="L161" s="7">
        <f>IF(OR(F161="",F160=""),"",F161/F160-1)</f>
        <v/>
      </c>
      <c r="M161" s="7">
        <f>IF(OR(G161="",G160=""),"",G161/G160-1)</f>
        <v/>
      </c>
      <c r="N161" s="7">
        <f>IF(G161="","",E161/G161)</f>
        <v/>
      </c>
      <c r="O161" s="7">
        <f>IF(G161="","",F161/G161)</f>
        <v/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4">
        <f>IF(SUMIFS('Daily NSE Equity Cash'!$H:$H,'Daily NSE Equity Cash'!$A:$A,$A162)=0,"",SUMIFS('Daily NSE Equity Cash'!$H:$H,'Daily NSE Equity Cash'!$A:$A,$A162))</f>
        <v/>
      </c>
      <c r="F162" s="4">
        <f>IF(SUMIFS('Daily BSE Equity Cash'!$H:$H,'Daily BSE Equity Cash'!$A:$A,$A162)=0,"",SUMIFS('Daily BSE Equity Cash'!$H:$H,'Daily BSE Equity Cash'!$A:$A,$A162))</f>
        <v/>
      </c>
      <c r="G162" s="4">
        <f>IF(OR(E162="",F162=""),"",E162+F162)</f>
        <v/>
      </c>
      <c r="H162" s="7">
        <f>IFERROR(IF(OR(E162="",INDEX(E:E,MATCH(DATE(YEAR($A162)-1,MONTH($A162),DAY($A162)),$A:$A,0))=""),"",E162/INDEX(E:E,MATCH(DATE(YEAR($A162)-1,MONTH($A162),DAY($A162)),$A:$A,0))-1),"")</f>
        <v/>
      </c>
      <c r="I162" s="7">
        <f>IFERROR(IF(OR(F162="",INDEX(F:F,MATCH(DATE(YEAR($A162)-1,MONTH($A162),DAY($A162)),$A:$A,0))=""),"",F162/INDEX(F:F,MATCH(DATE(YEAR($A162)-1,MONTH($A162),DAY($A162)),$A:$A,0))-1),"")</f>
        <v/>
      </c>
      <c r="J162" s="7">
        <f>IFERROR(IF(OR(G162="",INDEX(G:G,MATCH(DATE(YEAR($A162)-1,MONTH($A162),DAY($A162)),$A:$A,0))=""),"",G162/INDEX(G:G,MATCH(DATE(YEAR($A162)-1,MONTH($A162),DAY($A162)),$A:$A,0))-1),"")</f>
        <v/>
      </c>
      <c r="K162" s="7">
        <f>IF(OR(E162="",E161=""),"",E162/E161-1)</f>
        <v/>
      </c>
      <c r="L162" s="7">
        <f>IF(OR(F162="",F161=""),"",F162/F161-1)</f>
        <v/>
      </c>
      <c r="M162" s="7">
        <f>IF(OR(G162="",G161=""),"",G162/G161-1)</f>
        <v/>
      </c>
      <c r="N162" s="7">
        <f>IF(G162="","",E162/G162)</f>
        <v/>
      </c>
      <c r="O162" s="7">
        <f>IF(G162="","",F162/G162)</f>
        <v/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4">
        <f>IF(SUMIFS('Daily NSE Equity Cash'!$H:$H,'Daily NSE Equity Cash'!$A:$A,$A163)=0,"",SUMIFS('Daily NSE Equity Cash'!$H:$H,'Daily NSE Equity Cash'!$A:$A,$A163))</f>
        <v/>
      </c>
      <c r="F163" s="4">
        <f>IF(SUMIFS('Daily BSE Equity Cash'!$H:$H,'Daily BSE Equity Cash'!$A:$A,$A163)=0,"",SUMIFS('Daily BSE Equity Cash'!$H:$H,'Daily BSE Equity Cash'!$A:$A,$A163))</f>
        <v/>
      </c>
      <c r="G163" s="4">
        <f>IF(OR(E163="",F163=""),"",E163+F163)</f>
        <v/>
      </c>
      <c r="H163" s="7">
        <f>IFERROR(IF(OR(E163="",INDEX(E:E,MATCH(DATE(YEAR($A163)-1,MONTH($A163),DAY($A163)),$A:$A,0))=""),"",E163/INDEX(E:E,MATCH(DATE(YEAR($A163)-1,MONTH($A163),DAY($A163)),$A:$A,0))-1),"")</f>
        <v/>
      </c>
      <c r="I163" s="7">
        <f>IFERROR(IF(OR(F163="",INDEX(F:F,MATCH(DATE(YEAR($A163)-1,MONTH($A163),DAY($A163)),$A:$A,0))=""),"",F163/INDEX(F:F,MATCH(DATE(YEAR($A163)-1,MONTH($A163),DAY($A163)),$A:$A,0))-1),"")</f>
        <v/>
      </c>
      <c r="J163" s="7">
        <f>IFERROR(IF(OR(G163="",INDEX(G:G,MATCH(DATE(YEAR($A163)-1,MONTH($A163),DAY($A163)),$A:$A,0))=""),"",G163/INDEX(G:G,MATCH(DATE(YEAR($A163)-1,MONTH($A163),DAY($A163)),$A:$A,0))-1),"")</f>
        <v/>
      </c>
      <c r="K163" s="7">
        <f>IF(OR(E163="",E162=""),"",E163/E162-1)</f>
        <v/>
      </c>
      <c r="L163" s="7">
        <f>IF(OR(F163="",F162=""),"",F163/F162-1)</f>
        <v/>
      </c>
      <c r="M163" s="7">
        <f>IF(OR(G163="",G162=""),"",G163/G162-1)</f>
        <v/>
      </c>
      <c r="N163" s="7">
        <f>IF(G163="","",E163/G163)</f>
        <v/>
      </c>
      <c r="O163" s="7">
        <f>IF(G163="","",F163/G163)</f>
        <v/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4">
        <f>IF(SUMIFS('Daily NSE Equity Cash'!$H:$H,'Daily NSE Equity Cash'!$A:$A,$A164)=0,"",SUMIFS('Daily NSE Equity Cash'!$H:$H,'Daily NSE Equity Cash'!$A:$A,$A164))</f>
        <v/>
      </c>
      <c r="F164" s="4">
        <f>IF(SUMIFS('Daily BSE Equity Cash'!$H:$H,'Daily BSE Equity Cash'!$A:$A,$A164)=0,"",SUMIFS('Daily BSE Equity Cash'!$H:$H,'Daily BSE Equity Cash'!$A:$A,$A164))</f>
        <v/>
      </c>
      <c r="G164" s="4">
        <f>IF(OR(E164="",F164=""),"",E164+F164)</f>
        <v/>
      </c>
      <c r="H164" s="7">
        <f>IFERROR(IF(OR(E164="",INDEX(E:E,MATCH(DATE(YEAR($A164)-1,MONTH($A164),DAY($A164)),$A:$A,0))=""),"",E164/INDEX(E:E,MATCH(DATE(YEAR($A164)-1,MONTH($A164),DAY($A164)),$A:$A,0))-1),"")</f>
        <v/>
      </c>
      <c r="I164" s="7">
        <f>IFERROR(IF(OR(F164="",INDEX(F:F,MATCH(DATE(YEAR($A164)-1,MONTH($A164),DAY($A164)),$A:$A,0))=""),"",F164/INDEX(F:F,MATCH(DATE(YEAR($A164)-1,MONTH($A164),DAY($A164)),$A:$A,0))-1),"")</f>
        <v/>
      </c>
      <c r="J164" s="7">
        <f>IFERROR(IF(OR(G164="",INDEX(G:G,MATCH(DATE(YEAR($A164)-1,MONTH($A164),DAY($A164)),$A:$A,0))=""),"",G164/INDEX(G:G,MATCH(DATE(YEAR($A164)-1,MONTH($A164),DAY($A164)),$A:$A,0))-1),"")</f>
        <v/>
      </c>
      <c r="K164" s="7">
        <f>IF(OR(E164="",E163=""),"",E164/E163-1)</f>
        <v/>
      </c>
      <c r="L164" s="7">
        <f>IF(OR(F164="",F163=""),"",F164/F163-1)</f>
        <v/>
      </c>
      <c r="M164" s="7">
        <f>IF(OR(G164="",G163=""),"",G164/G163-1)</f>
        <v/>
      </c>
      <c r="N164" s="7">
        <f>IF(G164="","",E164/G164)</f>
        <v/>
      </c>
      <c r="O164" s="7">
        <f>IF(G164="","",F164/G164)</f>
        <v/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4">
        <f>IF(SUMIFS('Daily NSE Equity Cash'!$H:$H,'Daily NSE Equity Cash'!$A:$A,$A165)=0,"",SUMIFS('Daily NSE Equity Cash'!$H:$H,'Daily NSE Equity Cash'!$A:$A,$A165))</f>
        <v/>
      </c>
      <c r="F165" s="4">
        <f>IF(SUMIFS('Daily BSE Equity Cash'!$H:$H,'Daily BSE Equity Cash'!$A:$A,$A165)=0,"",SUMIFS('Daily BSE Equity Cash'!$H:$H,'Daily BSE Equity Cash'!$A:$A,$A165))</f>
        <v/>
      </c>
      <c r="G165" s="4">
        <f>IF(OR(E165="",F165=""),"",E165+F165)</f>
        <v/>
      </c>
      <c r="H165" s="7">
        <f>IFERROR(IF(OR(E165="",INDEX(E:E,MATCH(DATE(YEAR($A165)-1,MONTH($A165),DAY($A165)),$A:$A,0))=""),"",E165/INDEX(E:E,MATCH(DATE(YEAR($A165)-1,MONTH($A165),DAY($A165)),$A:$A,0))-1),"")</f>
        <v/>
      </c>
      <c r="I165" s="7">
        <f>IFERROR(IF(OR(F165="",INDEX(F:F,MATCH(DATE(YEAR($A165)-1,MONTH($A165),DAY($A165)),$A:$A,0))=""),"",F165/INDEX(F:F,MATCH(DATE(YEAR($A165)-1,MONTH($A165),DAY($A165)),$A:$A,0))-1),"")</f>
        <v/>
      </c>
      <c r="J165" s="7">
        <f>IFERROR(IF(OR(G165="",INDEX(G:G,MATCH(DATE(YEAR($A165)-1,MONTH($A165),DAY($A165)),$A:$A,0))=""),"",G165/INDEX(G:G,MATCH(DATE(YEAR($A165)-1,MONTH($A165),DAY($A165)),$A:$A,0))-1),"")</f>
        <v/>
      </c>
      <c r="K165" s="7">
        <f>IF(OR(E165="",E164=""),"",E165/E164-1)</f>
        <v/>
      </c>
      <c r="L165" s="7">
        <f>IF(OR(F165="",F164=""),"",F165/F164-1)</f>
        <v/>
      </c>
      <c r="M165" s="7">
        <f>IF(OR(G165="",G164=""),"",G165/G164-1)</f>
        <v/>
      </c>
      <c r="N165" s="7">
        <f>IF(G165="","",E165/G165)</f>
        <v/>
      </c>
      <c r="O165" s="7">
        <f>IF(G165="","",F165/G165)</f>
        <v/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4">
        <f>IF(SUMIFS('Daily NSE Equity Cash'!$H:$H,'Daily NSE Equity Cash'!$A:$A,$A166)=0,"",SUMIFS('Daily NSE Equity Cash'!$H:$H,'Daily NSE Equity Cash'!$A:$A,$A166))</f>
        <v/>
      </c>
      <c r="F166" s="4">
        <f>IF(SUMIFS('Daily BSE Equity Cash'!$H:$H,'Daily BSE Equity Cash'!$A:$A,$A166)=0,"",SUMIFS('Daily BSE Equity Cash'!$H:$H,'Daily BSE Equity Cash'!$A:$A,$A166))</f>
        <v/>
      </c>
      <c r="G166" s="4">
        <f>IF(OR(E166="",F166=""),"",E166+F166)</f>
        <v/>
      </c>
      <c r="H166" s="7">
        <f>IFERROR(IF(OR(E166="",INDEX(E:E,MATCH(DATE(YEAR($A166)-1,MONTH($A166),DAY($A166)),$A:$A,0))=""),"",E166/INDEX(E:E,MATCH(DATE(YEAR($A166)-1,MONTH($A166),DAY($A166)),$A:$A,0))-1),"")</f>
        <v/>
      </c>
      <c r="I166" s="7">
        <f>IFERROR(IF(OR(F166="",INDEX(F:F,MATCH(DATE(YEAR($A166)-1,MONTH($A166),DAY($A166)),$A:$A,0))=""),"",F166/INDEX(F:F,MATCH(DATE(YEAR($A166)-1,MONTH($A166),DAY($A166)),$A:$A,0))-1),"")</f>
        <v/>
      </c>
      <c r="J166" s="7">
        <f>IFERROR(IF(OR(G166="",INDEX(G:G,MATCH(DATE(YEAR($A166)-1,MONTH($A166),DAY($A166)),$A:$A,0))=""),"",G166/INDEX(G:G,MATCH(DATE(YEAR($A166)-1,MONTH($A166),DAY($A166)),$A:$A,0))-1),"")</f>
        <v/>
      </c>
      <c r="K166" s="7">
        <f>IF(OR(E166="",E165=""),"",E166/E165-1)</f>
        <v/>
      </c>
      <c r="L166" s="7">
        <f>IF(OR(F166="",F165=""),"",F166/F165-1)</f>
        <v/>
      </c>
      <c r="M166" s="7">
        <f>IF(OR(G166="",G165=""),"",G166/G165-1)</f>
        <v/>
      </c>
      <c r="N166" s="7">
        <f>IF(G166="","",E166/G166)</f>
        <v/>
      </c>
      <c r="O166" s="7">
        <f>IF(G166="","",F166/G166)</f>
        <v/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4">
        <f>IF(SUMIFS('Daily NSE Equity Cash'!$H:$H,'Daily NSE Equity Cash'!$A:$A,$A167)=0,"",SUMIFS('Daily NSE Equity Cash'!$H:$H,'Daily NSE Equity Cash'!$A:$A,$A167))</f>
        <v/>
      </c>
      <c r="F167" s="4">
        <f>IF(SUMIFS('Daily BSE Equity Cash'!$H:$H,'Daily BSE Equity Cash'!$A:$A,$A167)=0,"",SUMIFS('Daily BSE Equity Cash'!$H:$H,'Daily BSE Equity Cash'!$A:$A,$A167))</f>
        <v/>
      </c>
      <c r="G167" s="4">
        <f>IF(OR(E167="",F167=""),"",E167+F167)</f>
        <v/>
      </c>
      <c r="H167" s="7">
        <f>IFERROR(IF(OR(E167="",INDEX(E:E,MATCH(DATE(YEAR($A167)-1,MONTH($A167),DAY($A167)),$A:$A,0))=""),"",E167/INDEX(E:E,MATCH(DATE(YEAR($A167)-1,MONTH($A167),DAY($A167)),$A:$A,0))-1),"")</f>
        <v/>
      </c>
      <c r="I167" s="7">
        <f>IFERROR(IF(OR(F167="",INDEX(F:F,MATCH(DATE(YEAR($A167)-1,MONTH($A167),DAY($A167)),$A:$A,0))=""),"",F167/INDEX(F:F,MATCH(DATE(YEAR($A167)-1,MONTH($A167),DAY($A167)),$A:$A,0))-1),"")</f>
        <v/>
      </c>
      <c r="J167" s="7">
        <f>IFERROR(IF(OR(G167="",INDEX(G:G,MATCH(DATE(YEAR($A167)-1,MONTH($A167),DAY($A167)),$A:$A,0))=""),"",G167/INDEX(G:G,MATCH(DATE(YEAR($A167)-1,MONTH($A167),DAY($A167)),$A:$A,0))-1),"")</f>
        <v/>
      </c>
      <c r="K167" s="7">
        <f>IF(OR(E167="",E166=""),"",E167/E166-1)</f>
        <v/>
      </c>
      <c r="L167" s="7">
        <f>IF(OR(F167="",F166=""),"",F167/F166-1)</f>
        <v/>
      </c>
      <c r="M167" s="7">
        <f>IF(OR(G167="",G166=""),"",G167/G166-1)</f>
        <v/>
      </c>
      <c r="N167" s="7">
        <f>IF(G167="","",E167/G167)</f>
        <v/>
      </c>
      <c r="O167" s="7">
        <f>IF(G167="","",F167/G167)</f>
        <v/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4">
        <f>IF(SUMIFS('Daily NSE Equity Cash'!$H:$H,'Daily NSE Equity Cash'!$A:$A,$A168)=0,"",SUMIFS('Daily NSE Equity Cash'!$H:$H,'Daily NSE Equity Cash'!$A:$A,$A168))</f>
        <v/>
      </c>
      <c r="F168" s="4">
        <f>IF(SUMIFS('Daily BSE Equity Cash'!$H:$H,'Daily BSE Equity Cash'!$A:$A,$A168)=0,"",SUMIFS('Daily BSE Equity Cash'!$H:$H,'Daily BSE Equity Cash'!$A:$A,$A168))</f>
        <v/>
      </c>
      <c r="G168" s="4">
        <f>IF(OR(E168="",F168=""),"",E168+F168)</f>
        <v/>
      </c>
      <c r="H168" s="7">
        <f>IFERROR(IF(OR(E168="",INDEX(E:E,MATCH(DATE(YEAR($A168)-1,MONTH($A168),DAY($A168)),$A:$A,0))=""),"",E168/INDEX(E:E,MATCH(DATE(YEAR($A168)-1,MONTH($A168),DAY($A168)),$A:$A,0))-1),"")</f>
        <v/>
      </c>
      <c r="I168" s="7">
        <f>IFERROR(IF(OR(F168="",INDEX(F:F,MATCH(DATE(YEAR($A168)-1,MONTH($A168),DAY($A168)),$A:$A,0))=""),"",F168/INDEX(F:F,MATCH(DATE(YEAR($A168)-1,MONTH($A168),DAY($A168)),$A:$A,0))-1),"")</f>
        <v/>
      </c>
      <c r="J168" s="7">
        <f>IFERROR(IF(OR(G168="",INDEX(G:G,MATCH(DATE(YEAR($A168)-1,MONTH($A168),DAY($A168)),$A:$A,0))=""),"",G168/INDEX(G:G,MATCH(DATE(YEAR($A168)-1,MONTH($A168),DAY($A168)),$A:$A,0))-1),"")</f>
        <v/>
      </c>
      <c r="K168" s="7">
        <f>IF(OR(E168="",E167=""),"",E168/E167-1)</f>
        <v/>
      </c>
      <c r="L168" s="7">
        <f>IF(OR(F168="",F167=""),"",F168/F167-1)</f>
        <v/>
      </c>
      <c r="M168" s="7">
        <f>IF(OR(G168="",G167=""),"",G168/G167-1)</f>
        <v/>
      </c>
      <c r="N168" s="7">
        <f>IF(G168="","",E168/G168)</f>
        <v/>
      </c>
      <c r="O168" s="7">
        <f>IF(G168="","",F168/G168)</f>
        <v/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4">
        <f>IF(SUMIFS('Daily NSE Equity Cash'!$H:$H,'Daily NSE Equity Cash'!$A:$A,$A169)=0,"",SUMIFS('Daily NSE Equity Cash'!$H:$H,'Daily NSE Equity Cash'!$A:$A,$A169))</f>
        <v/>
      </c>
      <c r="F169" s="4">
        <f>IF(SUMIFS('Daily BSE Equity Cash'!$H:$H,'Daily BSE Equity Cash'!$A:$A,$A169)=0,"",SUMIFS('Daily BSE Equity Cash'!$H:$H,'Daily BSE Equity Cash'!$A:$A,$A169))</f>
        <v/>
      </c>
      <c r="G169" s="4">
        <f>IF(OR(E169="",F169=""),"",E169+F169)</f>
        <v/>
      </c>
      <c r="H169" s="7">
        <f>IFERROR(IF(OR(E169="",INDEX(E:E,MATCH(DATE(YEAR($A169)-1,MONTH($A169),DAY($A169)),$A:$A,0))=""),"",E169/INDEX(E:E,MATCH(DATE(YEAR($A169)-1,MONTH($A169),DAY($A169)),$A:$A,0))-1),"")</f>
        <v/>
      </c>
      <c r="I169" s="7">
        <f>IFERROR(IF(OR(F169="",INDEX(F:F,MATCH(DATE(YEAR($A169)-1,MONTH($A169),DAY($A169)),$A:$A,0))=""),"",F169/INDEX(F:F,MATCH(DATE(YEAR($A169)-1,MONTH($A169),DAY($A169)),$A:$A,0))-1),"")</f>
        <v/>
      </c>
      <c r="J169" s="7">
        <f>IFERROR(IF(OR(G169="",INDEX(G:G,MATCH(DATE(YEAR($A169)-1,MONTH($A169),DAY($A169)),$A:$A,0))=""),"",G169/INDEX(G:G,MATCH(DATE(YEAR($A169)-1,MONTH($A169),DAY($A169)),$A:$A,0))-1),"")</f>
        <v/>
      </c>
      <c r="K169" s="7">
        <f>IF(OR(E169="",E168=""),"",E169/E168-1)</f>
        <v/>
      </c>
      <c r="L169" s="7">
        <f>IF(OR(F169="",F168=""),"",F169/F168-1)</f>
        <v/>
      </c>
      <c r="M169" s="7">
        <f>IF(OR(G169="",G168=""),"",G169/G168-1)</f>
        <v/>
      </c>
      <c r="N169" s="7">
        <f>IF(G169="","",E169/G169)</f>
        <v/>
      </c>
      <c r="O169" s="7">
        <f>IF(G169="","",F169/G169)</f>
        <v/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4">
        <f>IF(SUMIFS('Daily NSE Equity Cash'!$H:$H,'Daily NSE Equity Cash'!$A:$A,$A170)=0,"",SUMIFS('Daily NSE Equity Cash'!$H:$H,'Daily NSE Equity Cash'!$A:$A,$A170))</f>
        <v/>
      </c>
      <c r="F170" s="4">
        <f>IF(SUMIFS('Daily BSE Equity Cash'!$H:$H,'Daily BSE Equity Cash'!$A:$A,$A170)=0,"",SUMIFS('Daily BSE Equity Cash'!$H:$H,'Daily BSE Equity Cash'!$A:$A,$A170))</f>
        <v/>
      </c>
      <c r="G170" s="4">
        <f>IF(OR(E170="",F170=""),"",E170+F170)</f>
        <v/>
      </c>
      <c r="H170" s="7">
        <f>IFERROR(IF(OR(E170="",INDEX(E:E,MATCH(DATE(YEAR($A170)-1,MONTH($A170),DAY($A170)),$A:$A,0))=""),"",E170/INDEX(E:E,MATCH(DATE(YEAR($A170)-1,MONTH($A170),DAY($A170)),$A:$A,0))-1),"")</f>
        <v/>
      </c>
      <c r="I170" s="7">
        <f>IFERROR(IF(OR(F170="",INDEX(F:F,MATCH(DATE(YEAR($A170)-1,MONTH($A170),DAY($A170)),$A:$A,0))=""),"",F170/INDEX(F:F,MATCH(DATE(YEAR($A170)-1,MONTH($A170),DAY($A170)),$A:$A,0))-1),"")</f>
        <v/>
      </c>
      <c r="J170" s="7">
        <f>IFERROR(IF(OR(G170="",INDEX(G:G,MATCH(DATE(YEAR($A170)-1,MONTH($A170),DAY($A170)),$A:$A,0))=""),"",G170/INDEX(G:G,MATCH(DATE(YEAR($A170)-1,MONTH($A170),DAY($A170)),$A:$A,0))-1),"")</f>
        <v/>
      </c>
      <c r="K170" s="7">
        <f>IF(OR(E170="",E169=""),"",E170/E169-1)</f>
        <v/>
      </c>
      <c r="L170" s="7">
        <f>IF(OR(F170="",F169=""),"",F170/F169-1)</f>
        <v/>
      </c>
      <c r="M170" s="7">
        <f>IF(OR(G170="",G169=""),"",G170/G169-1)</f>
        <v/>
      </c>
      <c r="N170" s="7">
        <f>IF(G170="","",E170/G170)</f>
        <v/>
      </c>
      <c r="O170" s="7">
        <f>IF(G170="","",F170/G170)</f>
        <v/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4">
        <f>IF(SUMIFS('Daily NSE Equity Cash'!$H:$H,'Daily NSE Equity Cash'!$A:$A,$A171)=0,"",SUMIFS('Daily NSE Equity Cash'!$H:$H,'Daily NSE Equity Cash'!$A:$A,$A171))</f>
        <v/>
      </c>
      <c r="F171" s="4">
        <f>IF(SUMIFS('Daily BSE Equity Cash'!$H:$H,'Daily BSE Equity Cash'!$A:$A,$A171)=0,"",SUMIFS('Daily BSE Equity Cash'!$H:$H,'Daily BSE Equity Cash'!$A:$A,$A171))</f>
        <v/>
      </c>
      <c r="G171" s="4">
        <f>IF(OR(E171="",F171=""),"",E171+F171)</f>
        <v/>
      </c>
      <c r="H171" s="7">
        <f>IFERROR(IF(OR(E171="",INDEX(E:E,MATCH(DATE(YEAR($A171)-1,MONTH($A171),DAY($A171)),$A:$A,0))=""),"",E171/INDEX(E:E,MATCH(DATE(YEAR($A171)-1,MONTH($A171),DAY($A171)),$A:$A,0))-1),"")</f>
        <v/>
      </c>
      <c r="I171" s="7">
        <f>IFERROR(IF(OR(F171="",INDEX(F:F,MATCH(DATE(YEAR($A171)-1,MONTH($A171),DAY($A171)),$A:$A,0))=""),"",F171/INDEX(F:F,MATCH(DATE(YEAR($A171)-1,MONTH($A171),DAY($A171)),$A:$A,0))-1),"")</f>
        <v/>
      </c>
      <c r="J171" s="7">
        <f>IFERROR(IF(OR(G171="",INDEX(G:G,MATCH(DATE(YEAR($A171)-1,MONTH($A171),DAY($A171)),$A:$A,0))=""),"",G171/INDEX(G:G,MATCH(DATE(YEAR($A171)-1,MONTH($A171),DAY($A171)),$A:$A,0))-1),"")</f>
        <v/>
      </c>
      <c r="K171" s="7">
        <f>IF(OR(E171="",E170=""),"",E171/E170-1)</f>
        <v/>
      </c>
      <c r="L171" s="7">
        <f>IF(OR(F171="",F170=""),"",F171/F170-1)</f>
        <v/>
      </c>
      <c r="M171" s="7">
        <f>IF(OR(G171="",G170=""),"",G171/G170-1)</f>
        <v/>
      </c>
      <c r="N171" s="7">
        <f>IF(G171="","",E171/G171)</f>
        <v/>
      </c>
      <c r="O171" s="7">
        <f>IF(G171="","",F171/G171)</f>
        <v/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4">
        <f>IF(SUMIFS('Daily NSE Equity Cash'!$H:$H,'Daily NSE Equity Cash'!$A:$A,$A172)=0,"",SUMIFS('Daily NSE Equity Cash'!$H:$H,'Daily NSE Equity Cash'!$A:$A,$A172))</f>
        <v/>
      </c>
      <c r="F172" s="4">
        <f>IF(SUMIFS('Daily BSE Equity Cash'!$H:$H,'Daily BSE Equity Cash'!$A:$A,$A172)=0,"",SUMIFS('Daily BSE Equity Cash'!$H:$H,'Daily BSE Equity Cash'!$A:$A,$A172))</f>
        <v/>
      </c>
      <c r="G172" s="4">
        <f>IF(OR(E172="",F172=""),"",E172+F172)</f>
        <v/>
      </c>
      <c r="H172" s="7">
        <f>IFERROR(IF(OR(E172="",INDEX(E:E,MATCH(DATE(YEAR($A172)-1,MONTH($A172),DAY($A172)),$A:$A,0))=""),"",E172/INDEX(E:E,MATCH(DATE(YEAR($A172)-1,MONTH($A172),DAY($A172)),$A:$A,0))-1),"")</f>
        <v/>
      </c>
      <c r="I172" s="7">
        <f>IFERROR(IF(OR(F172="",INDEX(F:F,MATCH(DATE(YEAR($A172)-1,MONTH($A172),DAY($A172)),$A:$A,0))=""),"",F172/INDEX(F:F,MATCH(DATE(YEAR($A172)-1,MONTH($A172),DAY($A172)),$A:$A,0))-1),"")</f>
        <v/>
      </c>
      <c r="J172" s="7">
        <f>IFERROR(IF(OR(G172="",INDEX(G:G,MATCH(DATE(YEAR($A172)-1,MONTH($A172),DAY($A172)),$A:$A,0))=""),"",G172/INDEX(G:G,MATCH(DATE(YEAR($A172)-1,MONTH($A172),DAY($A172)),$A:$A,0))-1),"")</f>
        <v/>
      </c>
      <c r="K172" s="7">
        <f>IF(OR(E172="",E171=""),"",E172/E171-1)</f>
        <v/>
      </c>
      <c r="L172" s="7">
        <f>IF(OR(F172="",F171=""),"",F172/F171-1)</f>
        <v/>
      </c>
      <c r="M172" s="7">
        <f>IF(OR(G172="",G171=""),"",G172/G171-1)</f>
        <v/>
      </c>
      <c r="N172" s="7">
        <f>IF(G172="","",E172/G172)</f>
        <v/>
      </c>
      <c r="O172" s="7">
        <f>IF(G172="","",F172/G172)</f>
        <v/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4">
        <f>IF(SUMIFS('Daily NSE Equity Cash'!$H:$H,'Daily NSE Equity Cash'!$A:$A,$A173)=0,"",SUMIFS('Daily NSE Equity Cash'!$H:$H,'Daily NSE Equity Cash'!$A:$A,$A173))</f>
        <v/>
      </c>
      <c r="F173" s="4">
        <f>IF(SUMIFS('Daily BSE Equity Cash'!$H:$H,'Daily BSE Equity Cash'!$A:$A,$A173)=0,"",SUMIFS('Daily BSE Equity Cash'!$H:$H,'Daily BSE Equity Cash'!$A:$A,$A173))</f>
        <v/>
      </c>
      <c r="G173" s="4">
        <f>IF(OR(E173="",F173=""),"",E173+F173)</f>
        <v/>
      </c>
      <c r="H173" s="7">
        <f>IFERROR(IF(OR(E173="",INDEX(E:E,MATCH(DATE(YEAR($A173)-1,MONTH($A173),DAY($A173)),$A:$A,0))=""),"",E173/INDEX(E:E,MATCH(DATE(YEAR($A173)-1,MONTH($A173),DAY($A173)),$A:$A,0))-1),"")</f>
        <v/>
      </c>
      <c r="I173" s="7">
        <f>IFERROR(IF(OR(F173="",INDEX(F:F,MATCH(DATE(YEAR($A173)-1,MONTH($A173),DAY($A173)),$A:$A,0))=""),"",F173/INDEX(F:F,MATCH(DATE(YEAR($A173)-1,MONTH($A173),DAY($A173)),$A:$A,0))-1),"")</f>
        <v/>
      </c>
      <c r="J173" s="7">
        <f>IFERROR(IF(OR(G173="",INDEX(G:G,MATCH(DATE(YEAR($A173)-1,MONTH($A173),DAY($A173)),$A:$A,0))=""),"",G173/INDEX(G:G,MATCH(DATE(YEAR($A173)-1,MONTH($A173),DAY($A173)),$A:$A,0))-1),"")</f>
        <v/>
      </c>
      <c r="K173" s="7">
        <f>IF(OR(E173="",E172=""),"",E173/E172-1)</f>
        <v/>
      </c>
      <c r="L173" s="7">
        <f>IF(OR(F173="",F172=""),"",F173/F172-1)</f>
        <v/>
      </c>
      <c r="M173" s="7">
        <f>IF(OR(G173="",G172=""),"",G173/G172-1)</f>
        <v/>
      </c>
      <c r="N173" s="7">
        <f>IF(G173="","",E173/G173)</f>
        <v/>
      </c>
      <c r="O173" s="7">
        <f>IF(G173="","",F173/G173)</f>
        <v/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4">
        <f>IF(SUMIFS('Daily NSE Equity Cash'!$H:$H,'Daily NSE Equity Cash'!$A:$A,$A174)=0,"",SUMIFS('Daily NSE Equity Cash'!$H:$H,'Daily NSE Equity Cash'!$A:$A,$A174))</f>
        <v/>
      </c>
      <c r="F174" s="4">
        <f>IF(SUMIFS('Daily BSE Equity Cash'!$H:$H,'Daily BSE Equity Cash'!$A:$A,$A174)=0,"",SUMIFS('Daily BSE Equity Cash'!$H:$H,'Daily BSE Equity Cash'!$A:$A,$A174))</f>
        <v/>
      </c>
      <c r="G174" s="4">
        <f>IF(OR(E174="",F174=""),"",E174+F174)</f>
        <v/>
      </c>
      <c r="H174" s="7">
        <f>IFERROR(IF(OR(E174="",INDEX(E:E,MATCH(DATE(YEAR($A174)-1,MONTH($A174),DAY($A174)),$A:$A,0))=""),"",E174/INDEX(E:E,MATCH(DATE(YEAR($A174)-1,MONTH($A174),DAY($A174)),$A:$A,0))-1),"")</f>
        <v/>
      </c>
      <c r="I174" s="7">
        <f>IFERROR(IF(OR(F174="",INDEX(F:F,MATCH(DATE(YEAR($A174)-1,MONTH($A174),DAY($A174)),$A:$A,0))=""),"",F174/INDEX(F:F,MATCH(DATE(YEAR($A174)-1,MONTH($A174),DAY($A174)),$A:$A,0))-1),"")</f>
        <v/>
      </c>
      <c r="J174" s="7">
        <f>IFERROR(IF(OR(G174="",INDEX(G:G,MATCH(DATE(YEAR($A174)-1,MONTH($A174),DAY($A174)),$A:$A,0))=""),"",G174/INDEX(G:G,MATCH(DATE(YEAR($A174)-1,MONTH($A174),DAY($A174)),$A:$A,0))-1),"")</f>
        <v/>
      </c>
      <c r="K174" s="7">
        <f>IF(OR(E174="",E173=""),"",E174/E173-1)</f>
        <v/>
      </c>
      <c r="L174" s="7">
        <f>IF(OR(F174="",F173=""),"",F174/F173-1)</f>
        <v/>
      </c>
      <c r="M174" s="7">
        <f>IF(OR(G174="",G173=""),"",G174/G173-1)</f>
        <v/>
      </c>
      <c r="N174" s="7">
        <f>IF(G174="","",E174/G174)</f>
        <v/>
      </c>
      <c r="O174" s="7">
        <f>IF(G174="","",F174/G174)</f>
        <v/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4">
        <f>IF(SUMIFS('Daily NSE Equity Cash'!$H:$H,'Daily NSE Equity Cash'!$A:$A,$A175)=0,"",SUMIFS('Daily NSE Equity Cash'!$H:$H,'Daily NSE Equity Cash'!$A:$A,$A175))</f>
        <v/>
      </c>
      <c r="F175" s="4">
        <f>IF(SUMIFS('Daily BSE Equity Cash'!$H:$H,'Daily BSE Equity Cash'!$A:$A,$A175)=0,"",SUMIFS('Daily BSE Equity Cash'!$H:$H,'Daily BSE Equity Cash'!$A:$A,$A175))</f>
        <v/>
      </c>
      <c r="G175" s="4">
        <f>IF(OR(E175="",F175=""),"",E175+F175)</f>
        <v/>
      </c>
      <c r="H175" s="7">
        <f>IFERROR(IF(OR(E175="",INDEX(E:E,MATCH(DATE(YEAR($A175)-1,MONTH($A175),DAY($A175)),$A:$A,0))=""),"",E175/INDEX(E:E,MATCH(DATE(YEAR($A175)-1,MONTH($A175),DAY($A175)),$A:$A,0))-1),"")</f>
        <v/>
      </c>
      <c r="I175" s="7">
        <f>IFERROR(IF(OR(F175="",INDEX(F:F,MATCH(DATE(YEAR($A175)-1,MONTH($A175),DAY($A175)),$A:$A,0))=""),"",F175/INDEX(F:F,MATCH(DATE(YEAR($A175)-1,MONTH($A175),DAY($A175)),$A:$A,0))-1),"")</f>
        <v/>
      </c>
      <c r="J175" s="7">
        <f>IFERROR(IF(OR(G175="",INDEX(G:G,MATCH(DATE(YEAR($A175)-1,MONTH($A175),DAY($A175)),$A:$A,0))=""),"",G175/INDEX(G:G,MATCH(DATE(YEAR($A175)-1,MONTH($A175),DAY($A175)),$A:$A,0))-1),"")</f>
        <v/>
      </c>
      <c r="K175" s="7">
        <f>IF(OR(E175="",E174=""),"",E175/E174-1)</f>
        <v/>
      </c>
      <c r="L175" s="7">
        <f>IF(OR(F175="",F174=""),"",F175/F174-1)</f>
        <v/>
      </c>
      <c r="M175" s="7">
        <f>IF(OR(G175="",G174=""),"",G175/G174-1)</f>
        <v/>
      </c>
      <c r="N175" s="7">
        <f>IF(G175="","",E175/G175)</f>
        <v/>
      </c>
      <c r="O175" s="7">
        <f>IF(G175="","",F175/G175)</f>
        <v/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4">
        <f>IF(SUMIFS('Daily NSE Equity Cash'!$H:$H,'Daily NSE Equity Cash'!$A:$A,$A176)=0,"",SUMIFS('Daily NSE Equity Cash'!$H:$H,'Daily NSE Equity Cash'!$A:$A,$A176))</f>
        <v/>
      </c>
      <c r="F176" s="4">
        <f>IF(SUMIFS('Daily BSE Equity Cash'!$H:$H,'Daily BSE Equity Cash'!$A:$A,$A176)=0,"",SUMIFS('Daily BSE Equity Cash'!$H:$H,'Daily BSE Equity Cash'!$A:$A,$A176))</f>
        <v/>
      </c>
      <c r="G176" s="4">
        <f>IF(OR(E176="",F176=""),"",E176+F176)</f>
        <v/>
      </c>
      <c r="H176" s="7">
        <f>IFERROR(IF(OR(E176="",INDEX(E:E,MATCH(DATE(YEAR($A176)-1,MONTH($A176),DAY($A176)),$A:$A,0))=""),"",E176/INDEX(E:E,MATCH(DATE(YEAR($A176)-1,MONTH($A176),DAY($A176)),$A:$A,0))-1),"")</f>
        <v/>
      </c>
      <c r="I176" s="7">
        <f>IFERROR(IF(OR(F176="",INDEX(F:F,MATCH(DATE(YEAR($A176)-1,MONTH($A176),DAY($A176)),$A:$A,0))=""),"",F176/INDEX(F:F,MATCH(DATE(YEAR($A176)-1,MONTH($A176),DAY($A176)),$A:$A,0))-1),"")</f>
        <v/>
      </c>
      <c r="J176" s="7">
        <f>IFERROR(IF(OR(G176="",INDEX(G:G,MATCH(DATE(YEAR($A176)-1,MONTH($A176),DAY($A176)),$A:$A,0))=""),"",G176/INDEX(G:G,MATCH(DATE(YEAR($A176)-1,MONTH($A176),DAY($A176)),$A:$A,0))-1),"")</f>
        <v/>
      </c>
      <c r="K176" s="7">
        <f>IF(OR(E176="",E175=""),"",E176/E175-1)</f>
        <v/>
      </c>
      <c r="L176" s="7">
        <f>IF(OR(F176="",F175=""),"",F176/F175-1)</f>
        <v/>
      </c>
      <c r="M176" s="7">
        <f>IF(OR(G176="",G175=""),"",G176/G175-1)</f>
        <v/>
      </c>
      <c r="N176" s="7">
        <f>IF(G176="","",E176/G176)</f>
        <v/>
      </c>
      <c r="O176" s="7">
        <f>IF(G176="","",F176/G176)</f>
        <v/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4">
        <f>IF(SUMIFS('Daily NSE Equity Cash'!$H:$H,'Daily NSE Equity Cash'!$A:$A,$A177)=0,"",SUMIFS('Daily NSE Equity Cash'!$H:$H,'Daily NSE Equity Cash'!$A:$A,$A177))</f>
        <v/>
      </c>
      <c r="F177" s="4">
        <f>IF(SUMIFS('Daily BSE Equity Cash'!$H:$H,'Daily BSE Equity Cash'!$A:$A,$A177)=0,"",SUMIFS('Daily BSE Equity Cash'!$H:$H,'Daily BSE Equity Cash'!$A:$A,$A177))</f>
        <v/>
      </c>
      <c r="G177" s="4">
        <f>IF(OR(E177="",F177=""),"",E177+F177)</f>
        <v/>
      </c>
      <c r="H177" s="7">
        <f>IFERROR(IF(OR(E177="",INDEX(E:E,MATCH(DATE(YEAR($A177)-1,MONTH($A177),DAY($A177)),$A:$A,0))=""),"",E177/INDEX(E:E,MATCH(DATE(YEAR($A177)-1,MONTH($A177),DAY($A177)),$A:$A,0))-1),"")</f>
        <v/>
      </c>
      <c r="I177" s="7">
        <f>IFERROR(IF(OR(F177="",INDEX(F:F,MATCH(DATE(YEAR($A177)-1,MONTH($A177),DAY($A177)),$A:$A,0))=""),"",F177/INDEX(F:F,MATCH(DATE(YEAR($A177)-1,MONTH($A177),DAY($A177)),$A:$A,0))-1),"")</f>
        <v/>
      </c>
      <c r="J177" s="7">
        <f>IFERROR(IF(OR(G177="",INDEX(G:G,MATCH(DATE(YEAR($A177)-1,MONTH($A177),DAY($A177)),$A:$A,0))=""),"",G177/INDEX(G:G,MATCH(DATE(YEAR($A177)-1,MONTH($A177),DAY($A177)),$A:$A,0))-1),"")</f>
        <v/>
      </c>
      <c r="K177" s="7">
        <f>IF(OR(E177="",E176=""),"",E177/E176-1)</f>
        <v/>
      </c>
      <c r="L177" s="7">
        <f>IF(OR(F177="",F176=""),"",F177/F176-1)</f>
        <v/>
      </c>
      <c r="M177" s="7">
        <f>IF(OR(G177="",G176=""),"",G177/G176-1)</f>
        <v/>
      </c>
      <c r="N177" s="7">
        <f>IF(G177="","",E177/G177)</f>
        <v/>
      </c>
      <c r="O177" s="7">
        <f>IF(G177="","",F177/G177)</f>
        <v/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4">
        <f>IF(SUMIFS('Daily NSE Equity Cash'!$H:$H,'Daily NSE Equity Cash'!$A:$A,$A178)=0,"",SUMIFS('Daily NSE Equity Cash'!$H:$H,'Daily NSE Equity Cash'!$A:$A,$A178))</f>
        <v/>
      </c>
      <c r="F178" s="4">
        <f>IF(SUMIFS('Daily BSE Equity Cash'!$H:$H,'Daily BSE Equity Cash'!$A:$A,$A178)=0,"",SUMIFS('Daily BSE Equity Cash'!$H:$H,'Daily BSE Equity Cash'!$A:$A,$A178))</f>
        <v/>
      </c>
      <c r="G178" s="4">
        <f>IF(OR(E178="",F178=""),"",E178+F178)</f>
        <v/>
      </c>
      <c r="H178" s="7">
        <f>IFERROR(IF(OR(E178="",INDEX(E:E,MATCH(DATE(YEAR($A178)-1,MONTH($A178),DAY($A178)),$A:$A,0))=""),"",E178/INDEX(E:E,MATCH(DATE(YEAR($A178)-1,MONTH($A178),DAY($A178)),$A:$A,0))-1),"")</f>
        <v/>
      </c>
      <c r="I178" s="7">
        <f>IFERROR(IF(OR(F178="",INDEX(F:F,MATCH(DATE(YEAR($A178)-1,MONTH($A178),DAY($A178)),$A:$A,0))=""),"",F178/INDEX(F:F,MATCH(DATE(YEAR($A178)-1,MONTH($A178),DAY($A178)),$A:$A,0))-1),"")</f>
        <v/>
      </c>
      <c r="J178" s="7">
        <f>IFERROR(IF(OR(G178="",INDEX(G:G,MATCH(DATE(YEAR($A178)-1,MONTH($A178),DAY($A178)),$A:$A,0))=""),"",G178/INDEX(G:G,MATCH(DATE(YEAR($A178)-1,MONTH($A178),DAY($A178)),$A:$A,0))-1),"")</f>
        <v/>
      </c>
      <c r="K178" s="7">
        <f>IF(OR(E178="",E177=""),"",E178/E177-1)</f>
        <v/>
      </c>
      <c r="L178" s="7">
        <f>IF(OR(F178="",F177=""),"",F178/F177-1)</f>
        <v/>
      </c>
      <c r="M178" s="7">
        <f>IF(OR(G178="",G177=""),"",G178/G177-1)</f>
        <v/>
      </c>
      <c r="N178" s="7">
        <f>IF(G178="","",E178/G178)</f>
        <v/>
      </c>
      <c r="O178" s="7">
        <f>IF(G178="","",F178/G178)</f>
        <v/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4">
        <f>IF(SUMIFS('Daily NSE Equity Cash'!$H:$H,'Daily NSE Equity Cash'!$A:$A,$A179)=0,"",SUMIFS('Daily NSE Equity Cash'!$H:$H,'Daily NSE Equity Cash'!$A:$A,$A179))</f>
        <v/>
      </c>
      <c r="F179" s="4">
        <f>IF(SUMIFS('Daily BSE Equity Cash'!$H:$H,'Daily BSE Equity Cash'!$A:$A,$A179)=0,"",SUMIFS('Daily BSE Equity Cash'!$H:$H,'Daily BSE Equity Cash'!$A:$A,$A179))</f>
        <v/>
      </c>
      <c r="G179" s="4">
        <f>IF(OR(E179="",F179=""),"",E179+F179)</f>
        <v/>
      </c>
      <c r="H179" s="7">
        <f>IFERROR(IF(OR(E179="",INDEX(E:E,MATCH(DATE(YEAR($A179)-1,MONTH($A179),DAY($A179)),$A:$A,0))=""),"",E179/INDEX(E:E,MATCH(DATE(YEAR($A179)-1,MONTH($A179),DAY($A179)),$A:$A,0))-1),"")</f>
        <v/>
      </c>
      <c r="I179" s="7">
        <f>IFERROR(IF(OR(F179="",INDEX(F:F,MATCH(DATE(YEAR($A179)-1,MONTH($A179),DAY($A179)),$A:$A,0))=""),"",F179/INDEX(F:F,MATCH(DATE(YEAR($A179)-1,MONTH($A179),DAY($A179)),$A:$A,0))-1),"")</f>
        <v/>
      </c>
      <c r="J179" s="7">
        <f>IFERROR(IF(OR(G179="",INDEX(G:G,MATCH(DATE(YEAR($A179)-1,MONTH($A179),DAY($A179)),$A:$A,0))=""),"",G179/INDEX(G:G,MATCH(DATE(YEAR($A179)-1,MONTH($A179),DAY($A179)),$A:$A,0))-1),"")</f>
        <v/>
      </c>
      <c r="K179" s="7">
        <f>IF(OR(E179="",E178=""),"",E179/E178-1)</f>
        <v/>
      </c>
      <c r="L179" s="7">
        <f>IF(OR(F179="",F178=""),"",F179/F178-1)</f>
        <v/>
      </c>
      <c r="M179" s="7">
        <f>IF(OR(G179="",G178=""),"",G179/G178-1)</f>
        <v/>
      </c>
      <c r="N179" s="7">
        <f>IF(G179="","",E179/G179)</f>
        <v/>
      </c>
      <c r="O179" s="7">
        <f>IF(G179="","",F179/G179)</f>
        <v/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4">
        <f>IF(SUMIFS('Daily NSE Equity Cash'!$H:$H,'Daily NSE Equity Cash'!$A:$A,$A180)=0,"",SUMIFS('Daily NSE Equity Cash'!$H:$H,'Daily NSE Equity Cash'!$A:$A,$A180))</f>
        <v/>
      </c>
      <c r="F180" s="4">
        <f>IF(SUMIFS('Daily BSE Equity Cash'!$H:$H,'Daily BSE Equity Cash'!$A:$A,$A180)=0,"",SUMIFS('Daily BSE Equity Cash'!$H:$H,'Daily BSE Equity Cash'!$A:$A,$A180))</f>
        <v/>
      </c>
      <c r="G180" s="4">
        <f>IF(OR(E180="",F180=""),"",E180+F180)</f>
        <v/>
      </c>
      <c r="H180" s="7">
        <f>IFERROR(IF(OR(E180="",INDEX(E:E,MATCH(DATE(YEAR($A180)-1,MONTH($A180),DAY($A180)),$A:$A,0))=""),"",E180/INDEX(E:E,MATCH(DATE(YEAR($A180)-1,MONTH($A180),DAY($A180)),$A:$A,0))-1),"")</f>
        <v/>
      </c>
      <c r="I180" s="7">
        <f>IFERROR(IF(OR(F180="",INDEX(F:F,MATCH(DATE(YEAR($A180)-1,MONTH($A180),DAY($A180)),$A:$A,0))=""),"",F180/INDEX(F:F,MATCH(DATE(YEAR($A180)-1,MONTH($A180),DAY($A180)),$A:$A,0))-1),"")</f>
        <v/>
      </c>
      <c r="J180" s="7">
        <f>IFERROR(IF(OR(G180="",INDEX(G:G,MATCH(DATE(YEAR($A180)-1,MONTH($A180),DAY($A180)),$A:$A,0))=""),"",G180/INDEX(G:G,MATCH(DATE(YEAR($A180)-1,MONTH($A180),DAY($A180)),$A:$A,0))-1),"")</f>
        <v/>
      </c>
      <c r="K180" s="7">
        <f>IF(OR(E180="",E179=""),"",E180/E179-1)</f>
        <v/>
      </c>
      <c r="L180" s="7">
        <f>IF(OR(F180="",F179=""),"",F180/F179-1)</f>
        <v/>
      </c>
      <c r="M180" s="7">
        <f>IF(OR(G180="",G179=""),"",G180/G179-1)</f>
        <v/>
      </c>
      <c r="N180" s="7">
        <f>IF(G180="","",E180/G180)</f>
        <v/>
      </c>
      <c r="O180" s="7">
        <f>IF(G180="","",F180/G180)</f>
        <v/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4">
        <f>IF(SUMIFS('Daily NSE Equity Cash'!$H:$H,'Daily NSE Equity Cash'!$A:$A,$A181)=0,"",SUMIFS('Daily NSE Equity Cash'!$H:$H,'Daily NSE Equity Cash'!$A:$A,$A181))</f>
        <v/>
      </c>
      <c r="F181" s="4">
        <f>IF(SUMIFS('Daily BSE Equity Cash'!$H:$H,'Daily BSE Equity Cash'!$A:$A,$A181)=0,"",SUMIFS('Daily BSE Equity Cash'!$H:$H,'Daily BSE Equity Cash'!$A:$A,$A181))</f>
        <v/>
      </c>
      <c r="G181" s="4">
        <f>IF(OR(E181="",F181=""),"",E181+F181)</f>
        <v/>
      </c>
      <c r="H181" s="7">
        <f>IFERROR(IF(OR(E181="",INDEX(E:E,MATCH(DATE(YEAR($A181)-1,MONTH($A181),DAY($A181)),$A:$A,0))=""),"",E181/INDEX(E:E,MATCH(DATE(YEAR($A181)-1,MONTH($A181),DAY($A181)),$A:$A,0))-1),"")</f>
        <v/>
      </c>
      <c r="I181" s="7">
        <f>IFERROR(IF(OR(F181="",INDEX(F:F,MATCH(DATE(YEAR($A181)-1,MONTH($A181),DAY($A181)),$A:$A,0))=""),"",F181/INDEX(F:F,MATCH(DATE(YEAR($A181)-1,MONTH($A181),DAY($A181)),$A:$A,0))-1),"")</f>
        <v/>
      </c>
      <c r="J181" s="7">
        <f>IFERROR(IF(OR(G181="",INDEX(G:G,MATCH(DATE(YEAR($A181)-1,MONTH($A181),DAY($A181)),$A:$A,0))=""),"",G181/INDEX(G:G,MATCH(DATE(YEAR($A181)-1,MONTH($A181),DAY($A181)),$A:$A,0))-1),"")</f>
        <v/>
      </c>
      <c r="K181" s="7">
        <f>IF(OR(E181="",E180=""),"",E181/E180-1)</f>
        <v/>
      </c>
      <c r="L181" s="7">
        <f>IF(OR(F181="",F180=""),"",F181/F180-1)</f>
        <v/>
      </c>
      <c r="M181" s="7">
        <f>IF(OR(G181="",G180=""),"",G181/G180-1)</f>
        <v/>
      </c>
      <c r="N181" s="7">
        <f>IF(G181="","",E181/G181)</f>
        <v/>
      </c>
      <c r="O181" s="7">
        <f>IF(G181="","",F181/G181)</f>
        <v/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4">
        <f>IF(SUMIFS('Daily NSE Equity Cash'!$H:$H,'Daily NSE Equity Cash'!$A:$A,$A182)=0,"",SUMIFS('Daily NSE Equity Cash'!$H:$H,'Daily NSE Equity Cash'!$A:$A,$A182))</f>
        <v/>
      </c>
      <c r="F182" s="4">
        <f>IF(SUMIFS('Daily BSE Equity Cash'!$H:$H,'Daily BSE Equity Cash'!$A:$A,$A182)=0,"",SUMIFS('Daily BSE Equity Cash'!$H:$H,'Daily BSE Equity Cash'!$A:$A,$A182))</f>
        <v/>
      </c>
      <c r="G182" s="4">
        <f>IF(OR(E182="",F182=""),"",E182+F182)</f>
        <v/>
      </c>
      <c r="H182" s="7">
        <f>IFERROR(IF(OR(E182="",INDEX(E:E,MATCH(DATE(YEAR($A182)-1,MONTH($A182),DAY($A182)),$A:$A,0))=""),"",E182/INDEX(E:E,MATCH(DATE(YEAR($A182)-1,MONTH($A182),DAY($A182)),$A:$A,0))-1),"")</f>
        <v/>
      </c>
      <c r="I182" s="7">
        <f>IFERROR(IF(OR(F182="",INDEX(F:F,MATCH(DATE(YEAR($A182)-1,MONTH($A182),DAY($A182)),$A:$A,0))=""),"",F182/INDEX(F:F,MATCH(DATE(YEAR($A182)-1,MONTH($A182),DAY($A182)),$A:$A,0))-1),"")</f>
        <v/>
      </c>
      <c r="J182" s="7">
        <f>IFERROR(IF(OR(G182="",INDEX(G:G,MATCH(DATE(YEAR($A182)-1,MONTH($A182),DAY($A182)),$A:$A,0))=""),"",G182/INDEX(G:G,MATCH(DATE(YEAR($A182)-1,MONTH($A182),DAY($A182)),$A:$A,0))-1),"")</f>
        <v/>
      </c>
      <c r="K182" s="7">
        <f>IF(OR(E182="",E181=""),"",E182/E181-1)</f>
        <v/>
      </c>
      <c r="L182" s="7">
        <f>IF(OR(F182="",F181=""),"",F182/F181-1)</f>
        <v/>
      </c>
      <c r="M182" s="7">
        <f>IF(OR(G182="",G181=""),"",G182/G181-1)</f>
        <v/>
      </c>
      <c r="N182" s="7">
        <f>IF(G182="","",E182/G182)</f>
        <v/>
      </c>
      <c r="O182" s="7">
        <f>IF(G182="","",F182/G182)</f>
        <v/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4">
        <f>IF(SUMIFS('Daily NSE Equity Cash'!$H:$H,'Daily NSE Equity Cash'!$A:$A,$A183)=0,"",SUMIFS('Daily NSE Equity Cash'!$H:$H,'Daily NSE Equity Cash'!$A:$A,$A183))</f>
        <v/>
      </c>
      <c r="F183" s="4">
        <f>IF(SUMIFS('Daily BSE Equity Cash'!$H:$H,'Daily BSE Equity Cash'!$A:$A,$A183)=0,"",SUMIFS('Daily BSE Equity Cash'!$H:$H,'Daily BSE Equity Cash'!$A:$A,$A183))</f>
        <v/>
      </c>
      <c r="G183" s="4">
        <f>IF(OR(E183="",F183=""),"",E183+F183)</f>
        <v/>
      </c>
      <c r="H183" s="7">
        <f>IFERROR(IF(OR(E183="",INDEX(E:E,MATCH(DATE(YEAR($A183)-1,MONTH($A183),DAY($A183)),$A:$A,0))=""),"",E183/INDEX(E:E,MATCH(DATE(YEAR($A183)-1,MONTH($A183),DAY($A183)),$A:$A,0))-1),"")</f>
        <v/>
      </c>
      <c r="I183" s="7">
        <f>IFERROR(IF(OR(F183="",INDEX(F:F,MATCH(DATE(YEAR($A183)-1,MONTH($A183),DAY($A183)),$A:$A,0))=""),"",F183/INDEX(F:F,MATCH(DATE(YEAR($A183)-1,MONTH($A183),DAY($A183)),$A:$A,0))-1),"")</f>
        <v/>
      </c>
      <c r="J183" s="7">
        <f>IFERROR(IF(OR(G183="",INDEX(G:G,MATCH(DATE(YEAR($A183)-1,MONTH($A183),DAY($A183)),$A:$A,0))=""),"",G183/INDEX(G:G,MATCH(DATE(YEAR($A183)-1,MONTH($A183),DAY($A183)),$A:$A,0))-1),"")</f>
        <v/>
      </c>
      <c r="K183" s="7">
        <f>IF(OR(E183="",E182=""),"",E183/E182-1)</f>
        <v/>
      </c>
      <c r="L183" s="7">
        <f>IF(OR(F183="",F182=""),"",F183/F182-1)</f>
        <v/>
      </c>
      <c r="M183" s="7">
        <f>IF(OR(G183="",G182=""),"",G183/G182-1)</f>
        <v/>
      </c>
      <c r="N183" s="7">
        <f>IF(G183="","",E183/G183)</f>
        <v/>
      </c>
      <c r="O183" s="7">
        <f>IF(G183="","",F183/G183)</f>
        <v/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4">
        <f>IF(SUMIFS('Daily NSE Equity Cash'!$H:$H,'Daily NSE Equity Cash'!$A:$A,$A184)=0,"",SUMIFS('Daily NSE Equity Cash'!$H:$H,'Daily NSE Equity Cash'!$A:$A,$A184))</f>
        <v/>
      </c>
      <c r="F184" s="4">
        <f>IF(SUMIFS('Daily BSE Equity Cash'!$H:$H,'Daily BSE Equity Cash'!$A:$A,$A184)=0,"",SUMIFS('Daily BSE Equity Cash'!$H:$H,'Daily BSE Equity Cash'!$A:$A,$A184))</f>
        <v/>
      </c>
      <c r="G184" s="4">
        <f>IF(OR(E184="",F184=""),"",E184+F184)</f>
        <v/>
      </c>
      <c r="H184" s="7">
        <f>IFERROR(IF(OR(E184="",INDEX(E:E,MATCH(DATE(YEAR($A184)-1,MONTH($A184),DAY($A184)),$A:$A,0))=""),"",E184/INDEX(E:E,MATCH(DATE(YEAR($A184)-1,MONTH($A184),DAY($A184)),$A:$A,0))-1),"")</f>
        <v/>
      </c>
      <c r="I184" s="7">
        <f>IFERROR(IF(OR(F184="",INDEX(F:F,MATCH(DATE(YEAR($A184)-1,MONTH($A184),DAY($A184)),$A:$A,0))=""),"",F184/INDEX(F:F,MATCH(DATE(YEAR($A184)-1,MONTH($A184),DAY($A184)),$A:$A,0))-1),"")</f>
        <v/>
      </c>
      <c r="J184" s="7">
        <f>IFERROR(IF(OR(G184="",INDEX(G:G,MATCH(DATE(YEAR($A184)-1,MONTH($A184),DAY($A184)),$A:$A,0))=""),"",G184/INDEX(G:G,MATCH(DATE(YEAR($A184)-1,MONTH($A184),DAY($A184)),$A:$A,0))-1),"")</f>
        <v/>
      </c>
      <c r="K184" s="7">
        <f>IF(OR(E184="",E183=""),"",E184/E183-1)</f>
        <v/>
      </c>
      <c r="L184" s="7">
        <f>IF(OR(F184="",F183=""),"",F184/F183-1)</f>
        <v/>
      </c>
      <c r="M184" s="7">
        <f>IF(OR(G184="",G183=""),"",G184/G183-1)</f>
        <v/>
      </c>
      <c r="N184" s="7">
        <f>IF(G184="","",E184/G184)</f>
        <v/>
      </c>
      <c r="O184" s="7">
        <f>IF(G184="","",F184/G184)</f>
        <v/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4">
        <f>IF(SUMIFS('Daily NSE Equity Cash'!$H:$H,'Daily NSE Equity Cash'!$A:$A,$A185)=0,"",SUMIFS('Daily NSE Equity Cash'!$H:$H,'Daily NSE Equity Cash'!$A:$A,$A185))</f>
        <v/>
      </c>
      <c r="F185" s="4">
        <f>IF(SUMIFS('Daily BSE Equity Cash'!$H:$H,'Daily BSE Equity Cash'!$A:$A,$A185)=0,"",SUMIFS('Daily BSE Equity Cash'!$H:$H,'Daily BSE Equity Cash'!$A:$A,$A185))</f>
        <v/>
      </c>
      <c r="G185" s="4">
        <f>IF(OR(E185="",F185=""),"",E185+F185)</f>
        <v/>
      </c>
      <c r="H185" s="7">
        <f>IFERROR(IF(OR(E185="",INDEX(E:E,MATCH(DATE(YEAR($A185)-1,MONTH($A185),DAY($A185)),$A:$A,0))=""),"",E185/INDEX(E:E,MATCH(DATE(YEAR($A185)-1,MONTH($A185),DAY($A185)),$A:$A,0))-1),"")</f>
        <v/>
      </c>
      <c r="I185" s="7">
        <f>IFERROR(IF(OR(F185="",INDEX(F:F,MATCH(DATE(YEAR($A185)-1,MONTH($A185),DAY($A185)),$A:$A,0))=""),"",F185/INDEX(F:F,MATCH(DATE(YEAR($A185)-1,MONTH($A185),DAY($A185)),$A:$A,0))-1),"")</f>
        <v/>
      </c>
      <c r="J185" s="7">
        <f>IFERROR(IF(OR(G185="",INDEX(G:G,MATCH(DATE(YEAR($A185)-1,MONTH($A185),DAY($A185)),$A:$A,0))=""),"",G185/INDEX(G:G,MATCH(DATE(YEAR($A185)-1,MONTH($A185),DAY($A185)),$A:$A,0))-1),"")</f>
        <v/>
      </c>
      <c r="K185" s="7">
        <f>IF(OR(E185="",E184=""),"",E185/E184-1)</f>
        <v/>
      </c>
      <c r="L185" s="7">
        <f>IF(OR(F185="",F184=""),"",F185/F184-1)</f>
        <v/>
      </c>
      <c r="M185" s="7">
        <f>IF(OR(G185="",G184=""),"",G185/G184-1)</f>
        <v/>
      </c>
      <c r="N185" s="7">
        <f>IF(G185="","",E185/G185)</f>
        <v/>
      </c>
      <c r="O185" s="7">
        <f>IF(G185="","",F185/G185)</f>
        <v/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4">
        <f>IF(SUMIFS('Daily NSE Equity Cash'!$H:$H,'Daily NSE Equity Cash'!$A:$A,$A186)=0,"",SUMIFS('Daily NSE Equity Cash'!$H:$H,'Daily NSE Equity Cash'!$A:$A,$A186))</f>
        <v/>
      </c>
      <c r="F186" s="4">
        <f>IF(SUMIFS('Daily BSE Equity Cash'!$H:$H,'Daily BSE Equity Cash'!$A:$A,$A186)=0,"",SUMIFS('Daily BSE Equity Cash'!$H:$H,'Daily BSE Equity Cash'!$A:$A,$A186))</f>
        <v/>
      </c>
      <c r="G186" s="4">
        <f>IF(OR(E186="",F186=""),"",E186+F186)</f>
        <v/>
      </c>
      <c r="H186" s="7">
        <f>IFERROR(IF(OR(E186="",INDEX(E:E,MATCH(DATE(YEAR($A186)-1,MONTH($A186),DAY($A186)),$A:$A,0))=""),"",E186/INDEX(E:E,MATCH(DATE(YEAR($A186)-1,MONTH($A186),DAY($A186)),$A:$A,0))-1),"")</f>
        <v/>
      </c>
      <c r="I186" s="7">
        <f>IFERROR(IF(OR(F186="",INDEX(F:F,MATCH(DATE(YEAR($A186)-1,MONTH($A186),DAY($A186)),$A:$A,0))=""),"",F186/INDEX(F:F,MATCH(DATE(YEAR($A186)-1,MONTH($A186),DAY($A186)),$A:$A,0))-1),"")</f>
        <v/>
      </c>
      <c r="J186" s="7">
        <f>IFERROR(IF(OR(G186="",INDEX(G:G,MATCH(DATE(YEAR($A186)-1,MONTH($A186),DAY($A186)),$A:$A,0))=""),"",G186/INDEX(G:G,MATCH(DATE(YEAR($A186)-1,MONTH($A186),DAY($A186)),$A:$A,0))-1),"")</f>
        <v/>
      </c>
      <c r="K186" s="7">
        <f>IF(OR(E186="",E185=""),"",E186/E185-1)</f>
        <v/>
      </c>
      <c r="L186" s="7">
        <f>IF(OR(F186="",F185=""),"",F186/F185-1)</f>
        <v/>
      </c>
      <c r="M186" s="7">
        <f>IF(OR(G186="",G185=""),"",G186/G185-1)</f>
        <v/>
      </c>
      <c r="N186" s="7">
        <f>IF(G186="","",E186/G186)</f>
        <v/>
      </c>
      <c r="O186" s="7">
        <f>IF(G186="","",F186/G186)</f>
        <v/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4">
        <f>IF(SUMIFS('Daily NSE Equity Cash'!$H:$H,'Daily NSE Equity Cash'!$A:$A,$A187)=0,"",SUMIFS('Daily NSE Equity Cash'!$H:$H,'Daily NSE Equity Cash'!$A:$A,$A187))</f>
        <v/>
      </c>
      <c r="F187" s="4">
        <f>IF(SUMIFS('Daily BSE Equity Cash'!$H:$H,'Daily BSE Equity Cash'!$A:$A,$A187)=0,"",SUMIFS('Daily BSE Equity Cash'!$H:$H,'Daily BSE Equity Cash'!$A:$A,$A187))</f>
        <v/>
      </c>
      <c r="G187" s="4">
        <f>IF(OR(E187="",F187=""),"",E187+F187)</f>
        <v/>
      </c>
      <c r="H187" s="7">
        <f>IFERROR(IF(OR(E187="",INDEX(E:E,MATCH(DATE(YEAR($A187)-1,MONTH($A187),DAY($A187)),$A:$A,0))=""),"",E187/INDEX(E:E,MATCH(DATE(YEAR($A187)-1,MONTH($A187),DAY($A187)),$A:$A,0))-1),"")</f>
        <v/>
      </c>
      <c r="I187" s="7">
        <f>IFERROR(IF(OR(F187="",INDEX(F:F,MATCH(DATE(YEAR($A187)-1,MONTH($A187),DAY($A187)),$A:$A,0))=""),"",F187/INDEX(F:F,MATCH(DATE(YEAR($A187)-1,MONTH($A187),DAY($A187)),$A:$A,0))-1),"")</f>
        <v/>
      </c>
      <c r="J187" s="7">
        <f>IFERROR(IF(OR(G187="",INDEX(G:G,MATCH(DATE(YEAR($A187)-1,MONTH($A187),DAY($A187)),$A:$A,0))=""),"",G187/INDEX(G:G,MATCH(DATE(YEAR($A187)-1,MONTH($A187),DAY($A187)),$A:$A,0))-1),"")</f>
        <v/>
      </c>
      <c r="K187" s="7">
        <f>IF(OR(E187="",E186=""),"",E187/E186-1)</f>
        <v/>
      </c>
      <c r="L187" s="7">
        <f>IF(OR(F187="",F186=""),"",F187/F186-1)</f>
        <v/>
      </c>
      <c r="M187" s="7">
        <f>IF(OR(G187="",G186=""),"",G187/G186-1)</f>
        <v/>
      </c>
      <c r="N187" s="7">
        <f>IF(G187="","",E187/G187)</f>
        <v/>
      </c>
      <c r="O187" s="7">
        <f>IF(G187="","",F187/G187)</f>
        <v/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4">
        <f>IF(SUMIFS('Daily NSE Equity Cash'!$H:$H,'Daily NSE Equity Cash'!$A:$A,$A188)=0,"",SUMIFS('Daily NSE Equity Cash'!$H:$H,'Daily NSE Equity Cash'!$A:$A,$A188))</f>
        <v/>
      </c>
      <c r="F188" s="4">
        <f>IF(SUMIFS('Daily BSE Equity Cash'!$H:$H,'Daily BSE Equity Cash'!$A:$A,$A188)=0,"",SUMIFS('Daily BSE Equity Cash'!$H:$H,'Daily BSE Equity Cash'!$A:$A,$A188))</f>
        <v/>
      </c>
      <c r="G188" s="4">
        <f>IF(OR(E188="",F188=""),"",E188+F188)</f>
        <v/>
      </c>
      <c r="H188" s="7">
        <f>IFERROR(IF(OR(E188="",INDEX(E:E,MATCH(DATE(YEAR($A188)-1,MONTH($A188),DAY($A188)),$A:$A,0))=""),"",E188/INDEX(E:E,MATCH(DATE(YEAR($A188)-1,MONTH($A188),DAY($A188)),$A:$A,0))-1),"")</f>
        <v/>
      </c>
      <c r="I188" s="7">
        <f>IFERROR(IF(OR(F188="",INDEX(F:F,MATCH(DATE(YEAR($A188)-1,MONTH($A188),DAY($A188)),$A:$A,0))=""),"",F188/INDEX(F:F,MATCH(DATE(YEAR($A188)-1,MONTH($A188),DAY($A188)),$A:$A,0))-1),"")</f>
        <v/>
      </c>
      <c r="J188" s="7">
        <f>IFERROR(IF(OR(G188="",INDEX(G:G,MATCH(DATE(YEAR($A188)-1,MONTH($A188),DAY($A188)),$A:$A,0))=""),"",G188/INDEX(G:G,MATCH(DATE(YEAR($A188)-1,MONTH($A188),DAY($A188)),$A:$A,0))-1),"")</f>
        <v/>
      </c>
      <c r="K188" s="7">
        <f>IF(OR(E188="",E187=""),"",E188/E187-1)</f>
        <v/>
      </c>
      <c r="L188" s="7">
        <f>IF(OR(F188="",F187=""),"",F188/F187-1)</f>
        <v/>
      </c>
      <c r="M188" s="7">
        <f>IF(OR(G188="",G187=""),"",G188/G187-1)</f>
        <v/>
      </c>
      <c r="N188" s="7">
        <f>IF(G188="","",E188/G188)</f>
        <v/>
      </c>
      <c r="O188" s="7">
        <f>IF(G188="","",F188/G188)</f>
        <v/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4">
        <f>IF(SUMIFS('Daily NSE Equity Cash'!$H:$H,'Daily NSE Equity Cash'!$A:$A,$A189)=0,"",SUMIFS('Daily NSE Equity Cash'!$H:$H,'Daily NSE Equity Cash'!$A:$A,$A189))</f>
        <v/>
      </c>
      <c r="F189" s="4">
        <f>IF(SUMIFS('Daily BSE Equity Cash'!$H:$H,'Daily BSE Equity Cash'!$A:$A,$A189)=0,"",SUMIFS('Daily BSE Equity Cash'!$H:$H,'Daily BSE Equity Cash'!$A:$A,$A189))</f>
        <v/>
      </c>
      <c r="G189" s="4">
        <f>IF(OR(E189="",F189=""),"",E189+F189)</f>
        <v/>
      </c>
      <c r="H189" s="7">
        <f>IFERROR(IF(OR(E189="",INDEX(E:E,MATCH(DATE(YEAR($A189)-1,MONTH($A189),DAY($A189)),$A:$A,0))=""),"",E189/INDEX(E:E,MATCH(DATE(YEAR($A189)-1,MONTH($A189),DAY($A189)),$A:$A,0))-1),"")</f>
        <v/>
      </c>
      <c r="I189" s="7">
        <f>IFERROR(IF(OR(F189="",INDEX(F:F,MATCH(DATE(YEAR($A189)-1,MONTH($A189),DAY($A189)),$A:$A,0))=""),"",F189/INDEX(F:F,MATCH(DATE(YEAR($A189)-1,MONTH($A189),DAY($A189)),$A:$A,0))-1),"")</f>
        <v/>
      </c>
      <c r="J189" s="7">
        <f>IFERROR(IF(OR(G189="",INDEX(G:G,MATCH(DATE(YEAR($A189)-1,MONTH($A189),DAY($A189)),$A:$A,0))=""),"",G189/INDEX(G:G,MATCH(DATE(YEAR($A189)-1,MONTH($A189),DAY($A189)),$A:$A,0))-1),"")</f>
        <v/>
      </c>
      <c r="K189" s="7">
        <f>IF(OR(E189="",E188=""),"",E189/E188-1)</f>
        <v/>
      </c>
      <c r="L189" s="7">
        <f>IF(OR(F189="",F188=""),"",F189/F188-1)</f>
        <v/>
      </c>
      <c r="M189" s="7">
        <f>IF(OR(G189="",G188=""),"",G189/G188-1)</f>
        <v/>
      </c>
      <c r="N189" s="7">
        <f>IF(G189="","",E189/G189)</f>
        <v/>
      </c>
      <c r="O189" s="7">
        <f>IF(G189="","",F189/G189)</f>
        <v/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4">
        <f>IF(SUMIFS('Daily NSE Equity Cash'!$H:$H,'Daily NSE Equity Cash'!$A:$A,$A190)=0,"",SUMIFS('Daily NSE Equity Cash'!$H:$H,'Daily NSE Equity Cash'!$A:$A,$A190))</f>
        <v/>
      </c>
      <c r="F190" s="4">
        <f>IF(SUMIFS('Daily BSE Equity Cash'!$H:$H,'Daily BSE Equity Cash'!$A:$A,$A190)=0,"",SUMIFS('Daily BSE Equity Cash'!$H:$H,'Daily BSE Equity Cash'!$A:$A,$A190))</f>
        <v/>
      </c>
      <c r="G190" s="4">
        <f>IF(OR(E190="",F190=""),"",E190+F190)</f>
        <v/>
      </c>
      <c r="H190" s="7">
        <f>IFERROR(IF(OR(E190="",INDEX(E:E,MATCH(DATE(YEAR($A190)-1,MONTH($A190),DAY($A190)),$A:$A,0))=""),"",E190/INDEX(E:E,MATCH(DATE(YEAR($A190)-1,MONTH($A190),DAY($A190)),$A:$A,0))-1),"")</f>
        <v/>
      </c>
      <c r="I190" s="7">
        <f>IFERROR(IF(OR(F190="",INDEX(F:F,MATCH(DATE(YEAR($A190)-1,MONTH($A190),DAY($A190)),$A:$A,0))=""),"",F190/INDEX(F:F,MATCH(DATE(YEAR($A190)-1,MONTH($A190),DAY($A190)),$A:$A,0))-1),"")</f>
        <v/>
      </c>
      <c r="J190" s="7">
        <f>IFERROR(IF(OR(G190="",INDEX(G:G,MATCH(DATE(YEAR($A190)-1,MONTH($A190),DAY($A190)),$A:$A,0))=""),"",G190/INDEX(G:G,MATCH(DATE(YEAR($A190)-1,MONTH($A190),DAY($A190)),$A:$A,0))-1),"")</f>
        <v/>
      </c>
      <c r="K190" s="7">
        <f>IF(OR(E190="",E189=""),"",E190/E189-1)</f>
        <v/>
      </c>
      <c r="L190" s="7">
        <f>IF(OR(F190="",F189=""),"",F190/F189-1)</f>
        <v/>
      </c>
      <c r="M190" s="7">
        <f>IF(OR(G190="",G189=""),"",G190/G189-1)</f>
        <v/>
      </c>
      <c r="N190" s="7">
        <f>IF(G190="","",E190/G190)</f>
        <v/>
      </c>
      <c r="O190" s="7">
        <f>IF(G190="","",F190/G190)</f>
        <v/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4">
        <f>IF(SUMIFS('Daily NSE Equity Cash'!$H:$H,'Daily NSE Equity Cash'!$A:$A,$A191)=0,"",SUMIFS('Daily NSE Equity Cash'!$H:$H,'Daily NSE Equity Cash'!$A:$A,$A191))</f>
        <v/>
      </c>
      <c r="F191" s="4">
        <f>IF(SUMIFS('Daily BSE Equity Cash'!$H:$H,'Daily BSE Equity Cash'!$A:$A,$A191)=0,"",SUMIFS('Daily BSE Equity Cash'!$H:$H,'Daily BSE Equity Cash'!$A:$A,$A191))</f>
        <v/>
      </c>
      <c r="G191" s="4">
        <f>IF(OR(E191="",F191=""),"",E191+F191)</f>
        <v/>
      </c>
      <c r="H191" s="7">
        <f>IFERROR(IF(OR(E191="",INDEX(E:E,MATCH(DATE(YEAR($A191)-1,MONTH($A191),DAY($A191)),$A:$A,0))=""),"",E191/INDEX(E:E,MATCH(DATE(YEAR($A191)-1,MONTH($A191),DAY($A191)),$A:$A,0))-1),"")</f>
        <v/>
      </c>
      <c r="I191" s="7">
        <f>IFERROR(IF(OR(F191="",INDEX(F:F,MATCH(DATE(YEAR($A191)-1,MONTH($A191),DAY($A191)),$A:$A,0))=""),"",F191/INDEX(F:F,MATCH(DATE(YEAR($A191)-1,MONTH($A191),DAY($A191)),$A:$A,0))-1),"")</f>
        <v/>
      </c>
      <c r="J191" s="7">
        <f>IFERROR(IF(OR(G191="",INDEX(G:G,MATCH(DATE(YEAR($A191)-1,MONTH($A191),DAY($A191)),$A:$A,0))=""),"",G191/INDEX(G:G,MATCH(DATE(YEAR($A191)-1,MONTH($A191),DAY($A191)),$A:$A,0))-1),"")</f>
        <v/>
      </c>
      <c r="K191" s="7">
        <f>IF(OR(E191="",E190=""),"",E191/E190-1)</f>
        <v/>
      </c>
      <c r="L191" s="7">
        <f>IF(OR(F191="",F190=""),"",F191/F190-1)</f>
        <v/>
      </c>
      <c r="M191" s="7">
        <f>IF(OR(G191="",G190=""),"",G191/G190-1)</f>
        <v/>
      </c>
      <c r="N191" s="7">
        <f>IF(G191="","",E191/G191)</f>
        <v/>
      </c>
      <c r="O191" s="7">
        <f>IF(G191="","",F191/G191)</f>
        <v/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4">
        <f>IF(SUMIFS('Daily NSE Equity Cash'!$H:$H,'Daily NSE Equity Cash'!$A:$A,$A192)=0,"",SUMIFS('Daily NSE Equity Cash'!$H:$H,'Daily NSE Equity Cash'!$A:$A,$A192))</f>
        <v/>
      </c>
      <c r="F192" s="4">
        <f>IF(SUMIFS('Daily BSE Equity Cash'!$H:$H,'Daily BSE Equity Cash'!$A:$A,$A192)=0,"",SUMIFS('Daily BSE Equity Cash'!$H:$H,'Daily BSE Equity Cash'!$A:$A,$A192))</f>
        <v/>
      </c>
      <c r="G192" s="4">
        <f>IF(OR(E192="",F192=""),"",E192+F192)</f>
        <v/>
      </c>
      <c r="H192" s="7">
        <f>IFERROR(IF(OR(E192="",INDEX(E:E,MATCH(DATE(YEAR($A192)-1,MONTH($A192),DAY($A192)),$A:$A,0))=""),"",E192/INDEX(E:E,MATCH(DATE(YEAR($A192)-1,MONTH($A192),DAY($A192)),$A:$A,0))-1),"")</f>
        <v/>
      </c>
      <c r="I192" s="7">
        <f>IFERROR(IF(OR(F192="",INDEX(F:F,MATCH(DATE(YEAR($A192)-1,MONTH($A192),DAY($A192)),$A:$A,0))=""),"",F192/INDEX(F:F,MATCH(DATE(YEAR($A192)-1,MONTH($A192),DAY($A192)),$A:$A,0))-1),"")</f>
        <v/>
      </c>
      <c r="J192" s="7">
        <f>IFERROR(IF(OR(G192="",INDEX(G:G,MATCH(DATE(YEAR($A192)-1,MONTH($A192),DAY($A192)),$A:$A,0))=""),"",G192/INDEX(G:G,MATCH(DATE(YEAR($A192)-1,MONTH($A192),DAY($A192)),$A:$A,0))-1),"")</f>
        <v/>
      </c>
      <c r="K192" s="7">
        <f>IF(OR(E192="",E191=""),"",E192/E191-1)</f>
        <v/>
      </c>
      <c r="L192" s="7">
        <f>IF(OR(F192="",F191=""),"",F192/F191-1)</f>
        <v/>
      </c>
      <c r="M192" s="7">
        <f>IF(OR(G192="",G191=""),"",G192/G191-1)</f>
        <v/>
      </c>
      <c r="N192" s="7">
        <f>IF(G192="","",E192/G192)</f>
        <v/>
      </c>
      <c r="O192" s="7">
        <f>IF(G192="","",F192/G192)</f>
        <v/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4">
        <f>IF(SUMIFS('Daily NSE Equity Cash'!$H:$H,'Daily NSE Equity Cash'!$A:$A,$A193)=0,"",SUMIFS('Daily NSE Equity Cash'!$H:$H,'Daily NSE Equity Cash'!$A:$A,$A193))</f>
        <v/>
      </c>
      <c r="F193" s="4">
        <f>IF(SUMIFS('Daily BSE Equity Cash'!$H:$H,'Daily BSE Equity Cash'!$A:$A,$A193)=0,"",SUMIFS('Daily BSE Equity Cash'!$H:$H,'Daily BSE Equity Cash'!$A:$A,$A193))</f>
        <v/>
      </c>
      <c r="G193" s="4">
        <f>IF(OR(E193="",F193=""),"",E193+F193)</f>
        <v/>
      </c>
      <c r="H193" s="7">
        <f>IFERROR(IF(OR(E193="",INDEX(E:E,MATCH(DATE(YEAR($A193)-1,MONTH($A193),DAY($A193)),$A:$A,0))=""),"",E193/INDEX(E:E,MATCH(DATE(YEAR($A193)-1,MONTH($A193),DAY($A193)),$A:$A,0))-1),"")</f>
        <v/>
      </c>
      <c r="I193" s="7">
        <f>IFERROR(IF(OR(F193="",INDEX(F:F,MATCH(DATE(YEAR($A193)-1,MONTH($A193),DAY($A193)),$A:$A,0))=""),"",F193/INDEX(F:F,MATCH(DATE(YEAR($A193)-1,MONTH($A193),DAY($A193)),$A:$A,0))-1),"")</f>
        <v/>
      </c>
      <c r="J193" s="7">
        <f>IFERROR(IF(OR(G193="",INDEX(G:G,MATCH(DATE(YEAR($A193)-1,MONTH($A193),DAY($A193)),$A:$A,0))=""),"",G193/INDEX(G:G,MATCH(DATE(YEAR($A193)-1,MONTH($A193),DAY($A193)),$A:$A,0))-1),"")</f>
        <v/>
      </c>
      <c r="K193" s="7">
        <f>IF(OR(E193="",E192=""),"",E193/E192-1)</f>
        <v/>
      </c>
      <c r="L193" s="7">
        <f>IF(OR(F193="",F192=""),"",F193/F192-1)</f>
        <v/>
      </c>
      <c r="M193" s="7">
        <f>IF(OR(G193="",G192=""),"",G193/G192-1)</f>
        <v/>
      </c>
      <c r="N193" s="7">
        <f>IF(G193="","",E193/G193)</f>
        <v/>
      </c>
      <c r="O193" s="7">
        <f>IF(G193="","",F193/G193)</f>
        <v/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4">
        <f>IF(SUMIFS('Daily NSE Equity Cash'!$H:$H,'Daily NSE Equity Cash'!$A:$A,$A194)=0,"",SUMIFS('Daily NSE Equity Cash'!$H:$H,'Daily NSE Equity Cash'!$A:$A,$A194))</f>
        <v/>
      </c>
      <c r="F194" s="4">
        <f>IF(SUMIFS('Daily BSE Equity Cash'!$H:$H,'Daily BSE Equity Cash'!$A:$A,$A194)=0,"",SUMIFS('Daily BSE Equity Cash'!$H:$H,'Daily BSE Equity Cash'!$A:$A,$A194))</f>
        <v/>
      </c>
      <c r="G194" s="4">
        <f>IF(OR(E194="",F194=""),"",E194+F194)</f>
        <v/>
      </c>
      <c r="H194" s="7">
        <f>IFERROR(IF(OR(E194="",INDEX(E:E,MATCH(DATE(YEAR($A194)-1,MONTH($A194),DAY($A194)),$A:$A,0))=""),"",E194/INDEX(E:E,MATCH(DATE(YEAR($A194)-1,MONTH($A194),DAY($A194)),$A:$A,0))-1),"")</f>
        <v/>
      </c>
      <c r="I194" s="7">
        <f>IFERROR(IF(OR(F194="",INDEX(F:F,MATCH(DATE(YEAR($A194)-1,MONTH($A194),DAY($A194)),$A:$A,0))=""),"",F194/INDEX(F:F,MATCH(DATE(YEAR($A194)-1,MONTH($A194),DAY($A194)),$A:$A,0))-1),"")</f>
        <v/>
      </c>
      <c r="J194" s="7">
        <f>IFERROR(IF(OR(G194="",INDEX(G:G,MATCH(DATE(YEAR($A194)-1,MONTH($A194),DAY($A194)),$A:$A,0))=""),"",G194/INDEX(G:G,MATCH(DATE(YEAR($A194)-1,MONTH($A194),DAY($A194)),$A:$A,0))-1),"")</f>
        <v/>
      </c>
      <c r="K194" s="7">
        <f>IF(OR(E194="",E193=""),"",E194/E193-1)</f>
        <v/>
      </c>
      <c r="L194" s="7">
        <f>IF(OR(F194="",F193=""),"",F194/F193-1)</f>
        <v/>
      </c>
      <c r="M194" s="7">
        <f>IF(OR(G194="",G193=""),"",G194/G193-1)</f>
        <v/>
      </c>
      <c r="N194" s="7">
        <f>IF(G194="","",E194/G194)</f>
        <v/>
      </c>
      <c r="O194" s="7">
        <f>IF(G194="","",F194/G194)</f>
        <v/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4">
        <f>IF(SUMIFS('Daily NSE Equity Cash'!$H:$H,'Daily NSE Equity Cash'!$A:$A,$A195)=0,"",SUMIFS('Daily NSE Equity Cash'!$H:$H,'Daily NSE Equity Cash'!$A:$A,$A195))</f>
        <v/>
      </c>
      <c r="F195" s="4">
        <f>IF(SUMIFS('Daily BSE Equity Cash'!$H:$H,'Daily BSE Equity Cash'!$A:$A,$A195)=0,"",SUMIFS('Daily BSE Equity Cash'!$H:$H,'Daily BSE Equity Cash'!$A:$A,$A195))</f>
        <v/>
      </c>
      <c r="G195" s="4">
        <f>IF(OR(E195="",F195=""),"",E195+F195)</f>
        <v/>
      </c>
      <c r="H195" s="7">
        <f>IFERROR(IF(OR(E195="",INDEX(E:E,MATCH(DATE(YEAR($A195)-1,MONTH($A195),DAY($A195)),$A:$A,0))=""),"",E195/INDEX(E:E,MATCH(DATE(YEAR($A195)-1,MONTH($A195),DAY($A195)),$A:$A,0))-1),"")</f>
        <v/>
      </c>
      <c r="I195" s="7">
        <f>IFERROR(IF(OR(F195="",INDEX(F:F,MATCH(DATE(YEAR($A195)-1,MONTH($A195),DAY($A195)),$A:$A,0))=""),"",F195/INDEX(F:F,MATCH(DATE(YEAR($A195)-1,MONTH($A195),DAY($A195)),$A:$A,0))-1),"")</f>
        <v/>
      </c>
      <c r="J195" s="7">
        <f>IFERROR(IF(OR(G195="",INDEX(G:G,MATCH(DATE(YEAR($A195)-1,MONTH($A195),DAY($A195)),$A:$A,0))=""),"",G195/INDEX(G:G,MATCH(DATE(YEAR($A195)-1,MONTH($A195),DAY($A195)),$A:$A,0))-1),"")</f>
        <v/>
      </c>
      <c r="K195" s="7">
        <f>IF(OR(E195="",E194=""),"",E195/E194-1)</f>
        <v/>
      </c>
      <c r="L195" s="7">
        <f>IF(OR(F195="",F194=""),"",F195/F194-1)</f>
        <v/>
      </c>
      <c r="M195" s="7">
        <f>IF(OR(G195="",G194=""),"",G195/G194-1)</f>
        <v/>
      </c>
      <c r="N195" s="7">
        <f>IF(G195="","",E195/G195)</f>
        <v/>
      </c>
      <c r="O195" s="7">
        <f>IF(G195="","",F195/G195)</f>
        <v/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4">
        <f>IF(SUMIFS('Daily NSE Equity Cash'!$H:$H,'Daily NSE Equity Cash'!$A:$A,$A196)=0,"",SUMIFS('Daily NSE Equity Cash'!$H:$H,'Daily NSE Equity Cash'!$A:$A,$A196))</f>
        <v/>
      </c>
      <c r="F196" s="4">
        <f>IF(SUMIFS('Daily BSE Equity Cash'!$H:$H,'Daily BSE Equity Cash'!$A:$A,$A196)=0,"",SUMIFS('Daily BSE Equity Cash'!$H:$H,'Daily BSE Equity Cash'!$A:$A,$A196))</f>
        <v/>
      </c>
      <c r="G196" s="4">
        <f>IF(OR(E196="",F196=""),"",E196+F196)</f>
        <v/>
      </c>
      <c r="H196" s="7">
        <f>IFERROR(IF(OR(E196="",INDEX(E:E,MATCH(DATE(YEAR($A196)-1,MONTH($A196),DAY($A196)),$A:$A,0))=""),"",E196/INDEX(E:E,MATCH(DATE(YEAR($A196)-1,MONTH($A196),DAY($A196)),$A:$A,0))-1),"")</f>
        <v/>
      </c>
      <c r="I196" s="7">
        <f>IFERROR(IF(OR(F196="",INDEX(F:F,MATCH(DATE(YEAR($A196)-1,MONTH($A196),DAY($A196)),$A:$A,0))=""),"",F196/INDEX(F:F,MATCH(DATE(YEAR($A196)-1,MONTH($A196),DAY($A196)),$A:$A,0))-1),"")</f>
        <v/>
      </c>
      <c r="J196" s="7">
        <f>IFERROR(IF(OR(G196="",INDEX(G:G,MATCH(DATE(YEAR($A196)-1,MONTH($A196),DAY($A196)),$A:$A,0))=""),"",G196/INDEX(G:G,MATCH(DATE(YEAR($A196)-1,MONTH($A196),DAY($A196)),$A:$A,0))-1),"")</f>
        <v/>
      </c>
      <c r="K196" s="7">
        <f>IF(OR(E196="",E195=""),"",E196/E195-1)</f>
        <v/>
      </c>
      <c r="L196" s="7">
        <f>IF(OR(F196="",F195=""),"",F196/F195-1)</f>
        <v/>
      </c>
      <c r="M196" s="7">
        <f>IF(OR(G196="",G195=""),"",G196/G195-1)</f>
        <v/>
      </c>
      <c r="N196" s="7">
        <f>IF(G196="","",E196/G196)</f>
        <v/>
      </c>
      <c r="O196" s="7">
        <f>IF(G196="","",F196/G196)</f>
        <v/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4">
        <f>IF(SUMIFS('Daily NSE Equity Cash'!$H:$H,'Daily NSE Equity Cash'!$A:$A,$A197)=0,"",SUMIFS('Daily NSE Equity Cash'!$H:$H,'Daily NSE Equity Cash'!$A:$A,$A197))</f>
        <v/>
      </c>
      <c r="F197" s="4">
        <f>IF(SUMIFS('Daily BSE Equity Cash'!$H:$H,'Daily BSE Equity Cash'!$A:$A,$A197)=0,"",SUMIFS('Daily BSE Equity Cash'!$H:$H,'Daily BSE Equity Cash'!$A:$A,$A197))</f>
        <v/>
      </c>
      <c r="G197" s="4">
        <f>IF(OR(E197="",F197=""),"",E197+F197)</f>
        <v/>
      </c>
      <c r="H197" s="7">
        <f>IFERROR(IF(OR(E197="",INDEX(E:E,MATCH(DATE(YEAR($A197)-1,MONTH($A197),DAY($A197)),$A:$A,0))=""),"",E197/INDEX(E:E,MATCH(DATE(YEAR($A197)-1,MONTH($A197),DAY($A197)),$A:$A,0))-1),"")</f>
        <v/>
      </c>
      <c r="I197" s="7">
        <f>IFERROR(IF(OR(F197="",INDEX(F:F,MATCH(DATE(YEAR($A197)-1,MONTH($A197),DAY($A197)),$A:$A,0))=""),"",F197/INDEX(F:F,MATCH(DATE(YEAR($A197)-1,MONTH($A197),DAY($A197)),$A:$A,0))-1),"")</f>
        <v/>
      </c>
      <c r="J197" s="7">
        <f>IFERROR(IF(OR(G197="",INDEX(G:G,MATCH(DATE(YEAR($A197)-1,MONTH($A197),DAY($A197)),$A:$A,0))=""),"",G197/INDEX(G:G,MATCH(DATE(YEAR($A197)-1,MONTH($A197),DAY($A197)),$A:$A,0))-1),"")</f>
        <v/>
      </c>
      <c r="K197" s="7">
        <f>IF(OR(E197="",E196=""),"",E197/E196-1)</f>
        <v/>
      </c>
      <c r="L197" s="7">
        <f>IF(OR(F197="",F196=""),"",F197/F196-1)</f>
        <v/>
      </c>
      <c r="M197" s="7">
        <f>IF(OR(G197="",G196=""),"",G197/G196-1)</f>
        <v/>
      </c>
      <c r="N197" s="7">
        <f>IF(G197="","",E197/G197)</f>
        <v/>
      </c>
      <c r="O197" s="7">
        <f>IF(G197="","",F197/G197)</f>
        <v/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4">
        <f>IF(SUMIFS('Daily NSE Equity Cash'!$H:$H,'Daily NSE Equity Cash'!$A:$A,$A198)=0,"",SUMIFS('Daily NSE Equity Cash'!$H:$H,'Daily NSE Equity Cash'!$A:$A,$A198))</f>
        <v/>
      </c>
      <c r="F198" s="4">
        <f>IF(SUMIFS('Daily BSE Equity Cash'!$H:$H,'Daily BSE Equity Cash'!$A:$A,$A198)=0,"",SUMIFS('Daily BSE Equity Cash'!$H:$H,'Daily BSE Equity Cash'!$A:$A,$A198))</f>
        <v/>
      </c>
      <c r="G198" s="4">
        <f>IF(OR(E198="",F198=""),"",E198+F198)</f>
        <v/>
      </c>
      <c r="H198" s="7">
        <f>IFERROR(IF(OR(E198="",INDEX(E:E,MATCH(DATE(YEAR($A198)-1,MONTH($A198),DAY($A198)),$A:$A,0))=""),"",E198/INDEX(E:E,MATCH(DATE(YEAR($A198)-1,MONTH($A198),DAY($A198)),$A:$A,0))-1),"")</f>
        <v/>
      </c>
      <c r="I198" s="7">
        <f>IFERROR(IF(OR(F198="",INDEX(F:F,MATCH(DATE(YEAR($A198)-1,MONTH($A198),DAY($A198)),$A:$A,0))=""),"",F198/INDEX(F:F,MATCH(DATE(YEAR($A198)-1,MONTH($A198),DAY($A198)),$A:$A,0))-1),"")</f>
        <v/>
      </c>
      <c r="J198" s="7">
        <f>IFERROR(IF(OR(G198="",INDEX(G:G,MATCH(DATE(YEAR($A198)-1,MONTH($A198),DAY($A198)),$A:$A,0))=""),"",G198/INDEX(G:G,MATCH(DATE(YEAR($A198)-1,MONTH($A198),DAY($A198)),$A:$A,0))-1),"")</f>
        <v/>
      </c>
      <c r="K198" s="7">
        <f>IF(OR(E198="",E197=""),"",E198/E197-1)</f>
        <v/>
      </c>
      <c r="L198" s="7">
        <f>IF(OR(F198="",F197=""),"",F198/F197-1)</f>
        <v/>
      </c>
      <c r="M198" s="7">
        <f>IF(OR(G198="",G197=""),"",G198/G197-1)</f>
        <v/>
      </c>
      <c r="N198" s="7">
        <f>IF(G198="","",E198/G198)</f>
        <v/>
      </c>
      <c r="O198" s="7">
        <f>IF(G198="","",F198/G198)</f>
        <v/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4">
        <f>IF(SUMIFS('Daily NSE Equity Cash'!$H:$H,'Daily NSE Equity Cash'!$A:$A,$A199)=0,"",SUMIFS('Daily NSE Equity Cash'!$H:$H,'Daily NSE Equity Cash'!$A:$A,$A199))</f>
        <v/>
      </c>
      <c r="F199" s="4">
        <f>IF(SUMIFS('Daily BSE Equity Cash'!$H:$H,'Daily BSE Equity Cash'!$A:$A,$A199)=0,"",SUMIFS('Daily BSE Equity Cash'!$H:$H,'Daily BSE Equity Cash'!$A:$A,$A199))</f>
        <v/>
      </c>
      <c r="G199" s="4">
        <f>IF(OR(E199="",F199=""),"",E199+F199)</f>
        <v/>
      </c>
      <c r="H199" s="7">
        <f>IFERROR(IF(OR(E199="",INDEX(E:E,MATCH(DATE(YEAR($A199)-1,MONTH($A199),DAY($A199)),$A:$A,0))=""),"",E199/INDEX(E:E,MATCH(DATE(YEAR($A199)-1,MONTH($A199),DAY($A199)),$A:$A,0))-1),"")</f>
        <v/>
      </c>
      <c r="I199" s="7">
        <f>IFERROR(IF(OR(F199="",INDEX(F:F,MATCH(DATE(YEAR($A199)-1,MONTH($A199),DAY($A199)),$A:$A,0))=""),"",F199/INDEX(F:F,MATCH(DATE(YEAR($A199)-1,MONTH($A199),DAY($A199)),$A:$A,0))-1),"")</f>
        <v/>
      </c>
      <c r="J199" s="7">
        <f>IFERROR(IF(OR(G199="",INDEX(G:G,MATCH(DATE(YEAR($A199)-1,MONTH($A199),DAY($A199)),$A:$A,0))=""),"",G199/INDEX(G:G,MATCH(DATE(YEAR($A199)-1,MONTH($A199),DAY($A199)),$A:$A,0))-1),"")</f>
        <v/>
      </c>
      <c r="K199" s="7">
        <f>IF(OR(E199="",E198=""),"",E199/E198-1)</f>
        <v/>
      </c>
      <c r="L199" s="7">
        <f>IF(OR(F199="",F198=""),"",F199/F198-1)</f>
        <v/>
      </c>
      <c r="M199" s="7">
        <f>IF(OR(G199="",G198=""),"",G199/G198-1)</f>
        <v/>
      </c>
      <c r="N199" s="7">
        <f>IF(G199="","",E199/G199)</f>
        <v/>
      </c>
      <c r="O199" s="7">
        <f>IF(G199="","",F199/G199)</f>
        <v/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4">
        <f>IF(SUMIFS('Daily NSE Equity Cash'!$H:$H,'Daily NSE Equity Cash'!$A:$A,$A200)=0,"",SUMIFS('Daily NSE Equity Cash'!$H:$H,'Daily NSE Equity Cash'!$A:$A,$A200))</f>
        <v/>
      </c>
      <c r="F200" s="4">
        <f>IF(SUMIFS('Daily BSE Equity Cash'!$H:$H,'Daily BSE Equity Cash'!$A:$A,$A200)=0,"",SUMIFS('Daily BSE Equity Cash'!$H:$H,'Daily BSE Equity Cash'!$A:$A,$A200))</f>
        <v/>
      </c>
      <c r="G200" s="4">
        <f>IF(OR(E200="",F200=""),"",E200+F200)</f>
        <v/>
      </c>
      <c r="H200" s="7">
        <f>IFERROR(IF(OR(E200="",INDEX(E:E,MATCH(DATE(YEAR($A200)-1,MONTH($A200),DAY($A200)),$A:$A,0))=""),"",E200/INDEX(E:E,MATCH(DATE(YEAR($A200)-1,MONTH($A200),DAY($A200)),$A:$A,0))-1),"")</f>
        <v/>
      </c>
      <c r="I200" s="7">
        <f>IFERROR(IF(OR(F200="",INDEX(F:F,MATCH(DATE(YEAR($A200)-1,MONTH($A200),DAY($A200)),$A:$A,0))=""),"",F200/INDEX(F:F,MATCH(DATE(YEAR($A200)-1,MONTH($A200),DAY($A200)),$A:$A,0))-1),"")</f>
        <v/>
      </c>
      <c r="J200" s="7">
        <f>IFERROR(IF(OR(G200="",INDEX(G:G,MATCH(DATE(YEAR($A200)-1,MONTH($A200),DAY($A200)),$A:$A,0))=""),"",G200/INDEX(G:G,MATCH(DATE(YEAR($A200)-1,MONTH($A200),DAY($A200)),$A:$A,0))-1),"")</f>
        <v/>
      </c>
      <c r="K200" s="7">
        <f>IF(OR(E200="",E199=""),"",E200/E199-1)</f>
        <v/>
      </c>
      <c r="L200" s="7">
        <f>IF(OR(F200="",F199=""),"",F200/F199-1)</f>
        <v/>
      </c>
      <c r="M200" s="7">
        <f>IF(OR(G200="",G199=""),"",G200/G199-1)</f>
        <v/>
      </c>
      <c r="N200" s="7">
        <f>IF(G200="","",E200/G200)</f>
        <v/>
      </c>
      <c r="O200" s="7">
        <f>IF(G200="","",F200/G200)</f>
        <v/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4">
        <f>IF(SUMIFS('Daily NSE Equity Cash'!$H:$H,'Daily NSE Equity Cash'!$A:$A,$A201)=0,"",SUMIFS('Daily NSE Equity Cash'!$H:$H,'Daily NSE Equity Cash'!$A:$A,$A201))</f>
        <v/>
      </c>
      <c r="F201" s="4">
        <f>IF(SUMIFS('Daily BSE Equity Cash'!$H:$H,'Daily BSE Equity Cash'!$A:$A,$A201)=0,"",SUMIFS('Daily BSE Equity Cash'!$H:$H,'Daily BSE Equity Cash'!$A:$A,$A201))</f>
        <v/>
      </c>
      <c r="G201" s="4">
        <f>IF(OR(E201="",F201=""),"",E201+F201)</f>
        <v/>
      </c>
      <c r="H201" s="7">
        <f>IFERROR(IF(OR(E201="",INDEX(E:E,MATCH(DATE(YEAR($A201)-1,MONTH($A201),DAY($A201)),$A:$A,0))=""),"",E201/INDEX(E:E,MATCH(DATE(YEAR($A201)-1,MONTH($A201),DAY($A201)),$A:$A,0))-1),"")</f>
        <v/>
      </c>
      <c r="I201" s="7">
        <f>IFERROR(IF(OR(F201="",INDEX(F:F,MATCH(DATE(YEAR($A201)-1,MONTH($A201),DAY($A201)),$A:$A,0))=""),"",F201/INDEX(F:F,MATCH(DATE(YEAR($A201)-1,MONTH($A201),DAY($A201)),$A:$A,0))-1),"")</f>
        <v/>
      </c>
      <c r="J201" s="7">
        <f>IFERROR(IF(OR(G201="",INDEX(G:G,MATCH(DATE(YEAR($A201)-1,MONTH($A201),DAY($A201)),$A:$A,0))=""),"",G201/INDEX(G:G,MATCH(DATE(YEAR($A201)-1,MONTH($A201),DAY($A201)),$A:$A,0))-1),"")</f>
        <v/>
      </c>
      <c r="K201" s="7">
        <f>IF(OR(E201="",E200=""),"",E201/E200-1)</f>
        <v/>
      </c>
      <c r="L201" s="7">
        <f>IF(OR(F201="",F200=""),"",F201/F200-1)</f>
        <v/>
      </c>
      <c r="M201" s="7">
        <f>IF(OR(G201="",G200=""),"",G201/G200-1)</f>
        <v/>
      </c>
      <c r="N201" s="7">
        <f>IF(G201="","",E201/G201)</f>
        <v/>
      </c>
      <c r="O201" s="7">
        <f>IF(G201="","",F201/G201)</f>
        <v/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4">
        <f>IF(SUMIFS('Daily NSE Equity Cash'!$H:$H,'Daily NSE Equity Cash'!$A:$A,$A202)=0,"",SUMIFS('Daily NSE Equity Cash'!$H:$H,'Daily NSE Equity Cash'!$A:$A,$A202))</f>
        <v/>
      </c>
      <c r="F202" s="4">
        <f>IF(SUMIFS('Daily BSE Equity Cash'!$H:$H,'Daily BSE Equity Cash'!$A:$A,$A202)=0,"",SUMIFS('Daily BSE Equity Cash'!$H:$H,'Daily BSE Equity Cash'!$A:$A,$A202))</f>
        <v/>
      </c>
      <c r="G202" s="4">
        <f>IF(OR(E202="",F202=""),"",E202+F202)</f>
        <v/>
      </c>
      <c r="H202" s="7">
        <f>IFERROR(IF(OR(E202="",INDEX(E:E,MATCH(DATE(YEAR($A202)-1,MONTH($A202),DAY($A202)),$A:$A,0))=""),"",E202/INDEX(E:E,MATCH(DATE(YEAR($A202)-1,MONTH($A202),DAY($A202)),$A:$A,0))-1),"")</f>
        <v/>
      </c>
      <c r="I202" s="7">
        <f>IFERROR(IF(OR(F202="",INDEX(F:F,MATCH(DATE(YEAR($A202)-1,MONTH($A202),DAY($A202)),$A:$A,0))=""),"",F202/INDEX(F:F,MATCH(DATE(YEAR($A202)-1,MONTH($A202),DAY($A202)),$A:$A,0))-1),"")</f>
        <v/>
      </c>
      <c r="J202" s="7">
        <f>IFERROR(IF(OR(G202="",INDEX(G:G,MATCH(DATE(YEAR($A202)-1,MONTH($A202),DAY($A202)),$A:$A,0))=""),"",G202/INDEX(G:G,MATCH(DATE(YEAR($A202)-1,MONTH($A202),DAY($A202)),$A:$A,0))-1),"")</f>
        <v/>
      </c>
      <c r="K202" s="7">
        <f>IF(OR(E202="",E201=""),"",E202/E201-1)</f>
        <v/>
      </c>
      <c r="L202" s="7">
        <f>IF(OR(F202="",F201=""),"",F202/F201-1)</f>
        <v/>
      </c>
      <c r="M202" s="7">
        <f>IF(OR(G202="",G201=""),"",G202/G201-1)</f>
        <v/>
      </c>
      <c r="N202" s="7">
        <f>IF(G202="","",E202/G202)</f>
        <v/>
      </c>
      <c r="O202" s="7">
        <f>IF(G202="","",F202/G202)</f>
        <v/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4">
        <f>IF(SUMIFS('Daily NSE Equity Cash'!$H:$H,'Daily NSE Equity Cash'!$A:$A,$A203)=0,"",SUMIFS('Daily NSE Equity Cash'!$H:$H,'Daily NSE Equity Cash'!$A:$A,$A203))</f>
        <v/>
      </c>
      <c r="F203" s="4">
        <f>IF(SUMIFS('Daily BSE Equity Cash'!$H:$H,'Daily BSE Equity Cash'!$A:$A,$A203)=0,"",SUMIFS('Daily BSE Equity Cash'!$H:$H,'Daily BSE Equity Cash'!$A:$A,$A203))</f>
        <v/>
      </c>
      <c r="G203" s="4">
        <f>IF(OR(E203="",F203=""),"",E203+F203)</f>
        <v/>
      </c>
      <c r="H203" s="7">
        <f>IFERROR(IF(OR(E203="",INDEX(E:E,MATCH(DATE(YEAR($A203)-1,MONTH($A203),DAY($A203)),$A:$A,0))=""),"",E203/INDEX(E:E,MATCH(DATE(YEAR($A203)-1,MONTH($A203),DAY($A203)),$A:$A,0))-1),"")</f>
        <v/>
      </c>
      <c r="I203" s="7">
        <f>IFERROR(IF(OR(F203="",INDEX(F:F,MATCH(DATE(YEAR($A203)-1,MONTH($A203),DAY($A203)),$A:$A,0))=""),"",F203/INDEX(F:F,MATCH(DATE(YEAR($A203)-1,MONTH($A203),DAY($A203)),$A:$A,0))-1),"")</f>
        <v/>
      </c>
      <c r="J203" s="7">
        <f>IFERROR(IF(OR(G203="",INDEX(G:G,MATCH(DATE(YEAR($A203)-1,MONTH($A203),DAY($A203)),$A:$A,0))=""),"",G203/INDEX(G:G,MATCH(DATE(YEAR($A203)-1,MONTH($A203),DAY($A203)),$A:$A,0))-1),"")</f>
        <v/>
      </c>
      <c r="K203" s="7">
        <f>IF(OR(E203="",E202=""),"",E203/E202-1)</f>
        <v/>
      </c>
      <c r="L203" s="7">
        <f>IF(OR(F203="",F202=""),"",F203/F202-1)</f>
        <v/>
      </c>
      <c r="M203" s="7">
        <f>IF(OR(G203="",G202=""),"",G203/G202-1)</f>
        <v/>
      </c>
      <c r="N203" s="7">
        <f>IF(G203="","",E203/G203)</f>
        <v/>
      </c>
      <c r="O203" s="7">
        <f>IF(G203="","",F203/G203)</f>
        <v/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4">
        <f>IF(SUMIFS('Daily NSE Equity Cash'!$H:$H,'Daily NSE Equity Cash'!$A:$A,$A204)=0,"",SUMIFS('Daily NSE Equity Cash'!$H:$H,'Daily NSE Equity Cash'!$A:$A,$A204))</f>
        <v/>
      </c>
      <c r="F204" s="4">
        <f>IF(SUMIFS('Daily BSE Equity Cash'!$H:$H,'Daily BSE Equity Cash'!$A:$A,$A204)=0,"",SUMIFS('Daily BSE Equity Cash'!$H:$H,'Daily BSE Equity Cash'!$A:$A,$A204))</f>
        <v/>
      </c>
      <c r="G204" s="4">
        <f>IF(OR(E204="",F204=""),"",E204+F204)</f>
        <v/>
      </c>
      <c r="H204" s="7">
        <f>IFERROR(IF(OR(E204="",INDEX(E:E,MATCH(DATE(YEAR($A204)-1,MONTH($A204),DAY($A204)),$A:$A,0))=""),"",E204/INDEX(E:E,MATCH(DATE(YEAR($A204)-1,MONTH($A204),DAY($A204)),$A:$A,0))-1),"")</f>
        <v/>
      </c>
      <c r="I204" s="7">
        <f>IFERROR(IF(OR(F204="",INDEX(F:F,MATCH(DATE(YEAR($A204)-1,MONTH($A204),DAY($A204)),$A:$A,0))=""),"",F204/INDEX(F:F,MATCH(DATE(YEAR($A204)-1,MONTH($A204),DAY($A204)),$A:$A,0))-1),"")</f>
        <v/>
      </c>
      <c r="J204" s="7">
        <f>IFERROR(IF(OR(G204="",INDEX(G:G,MATCH(DATE(YEAR($A204)-1,MONTH($A204),DAY($A204)),$A:$A,0))=""),"",G204/INDEX(G:G,MATCH(DATE(YEAR($A204)-1,MONTH($A204),DAY($A204)),$A:$A,0))-1),"")</f>
        <v/>
      </c>
      <c r="K204" s="7">
        <f>IF(OR(E204="",E203=""),"",E204/E203-1)</f>
        <v/>
      </c>
      <c r="L204" s="7">
        <f>IF(OR(F204="",F203=""),"",F204/F203-1)</f>
        <v/>
      </c>
      <c r="M204" s="7">
        <f>IF(OR(G204="",G203=""),"",G204/G203-1)</f>
        <v/>
      </c>
      <c r="N204" s="7">
        <f>IF(G204="","",E204/G204)</f>
        <v/>
      </c>
      <c r="O204" s="7">
        <f>IF(G204="","",F204/G204)</f>
        <v/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4">
        <f>IF(SUMIFS('Daily NSE Equity Cash'!$H:$H,'Daily NSE Equity Cash'!$A:$A,$A205)=0,"",SUMIFS('Daily NSE Equity Cash'!$H:$H,'Daily NSE Equity Cash'!$A:$A,$A205))</f>
        <v/>
      </c>
      <c r="F205" s="4">
        <f>IF(SUMIFS('Daily BSE Equity Cash'!$H:$H,'Daily BSE Equity Cash'!$A:$A,$A205)=0,"",SUMIFS('Daily BSE Equity Cash'!$H:$H,'Daily BSE Equity Cash'!$A:$A,$A205))</f>
        <v/>
      </c>
      <c r="G205" s="4">
        <f>IF(OR(E205="",F205=""),"",E205+F205)</f>
        <v/>
      </c>
      <c r="H205" s="7">
        <f>IFERROR(IF(OR(E205="",INDEX(E:E,MATCH(DATE(YEAR($A205)-1,MONTH($A205),DAY($A205)),$A:$A,0))=""),"",E205/INDEX(E:E,MATCH(DATE(YEAR($A205)-1,MONTH($A205),DAY($A205)),$A:$A,0))-1),"")</f>
        <v/>
      </c>
      <c r="I205" s="7">
        <f>IFERROR(IF(OR(F205="",INDEX(F:F,MATCH(DATE(YEAR($A205)-1,MONTH($A205),DAY($A205)),$A:$A,0))=""),"",F205/INDEX(F:F,MATCH(DATE(YEAR($A205)-1,MONTH($A205),DAY($A205)),$A:$A,0))-1),"")</f>
        <v/>
      </c>
      <c r="J205" s="7">
        <f>IFERROR(IF(OR(G205="",INDEX(G:G,MATCH(DATE(YEAR($A205)-1,MONTH($A205),DAY($A205)),$A:$A,0))=""),"",G205/INDEX(G:G,MATCH(DATE(YEAR($A205)-1,MONTH($A205),DAY($A205)),$A:$A,0))-1),"")</f>
        <v/>
      </c>
      <c r="K205" s="7">
        <f>IF(OR(E205="",E204=""),"",E205/E204-1)</f>
        <v/>
      </c>
      <c r="L205" s="7">
        <f>IF(OR(F205="",F204=""),"",F205/F204-1)</f>
        <v/>
      </c>
      <c r="M205" s="7">
        <f>IF(OR(G205="",G204=""),"",G205/G204-1)</f>
        <v/>
      </c>
      <c r="N205" s="7">
        <f>IF(G205="","",E205/G205)</f>
        <v/>
      </c>
      <c r="O205" s="7">
        <f>IF(G205="","",F205/G205)</f>
        <v/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4">
        <f>IF(SUMIFS('Daily NSE Equity Cash'!$H:$H,'Daily NSE Equity Cash'!$A:$A,$A206)=0,"",SUMIFS('Daily NSE Equity Cash'!$H:$H,'Daily NSE Equity Cash'!$A:$A,$A206))</f>
        <v/>
      </c>
      <c r="F206" s="4">
        <f>IF(SUMIFS('Daily BSE Equity Cash'!$H:$H,'Daily BSE Equity Cash'!$A:$A,$A206)=0,"",SUMIFS('Daily BSE Equity Cash'!$H:$H,'Daily BSE Equity Cash'!$A:$A,$A206))</f>
        <v/>
      </c>
      <c r="G206" s="4">
        <f>IF(OR(E206="",F206=""),"",E206+F206)</f>
        <v/>
      </c>
      <c r="H206" s="7">
        <f>IFERROR(IF(OR(E206="",INDEX(E:E,MATCH(DATE(YEAR($A206)-1,MONTH($A206),DAY($A206)),$A:$A,0))=""),"",E206/INDEX(E:E,MATCH(DATE(YEAR($A206)-1,MONTH($A206),DAY($A206)),$A:$A,0))-1),"")</f>
        <v/>
      </c>
      <c r="I206" s="7">
        <f>IFERROR(IF(OR(F206="",INDEX(F:F,MATCH(DATE(YEAR($A206)-1,MONTH($A206),DAY($A206)),$A:$A,0))=""),"",F206/INDEX(F:F,MATCH(DATE(YEAR($A206)-1,MONTH($A206),DAY($A206)),$A:$A,0))-1),"")</f>
        <v/>
      </c>
      <c r="J206" s="7">
        <f>IFERROR(IF(OR(G206="",INDEX(G:G,MATCH(DATE(YEAR($A206)-1,MONTH($A206),DAY($A206)),$A:$A,0))=""),"",G206/INDEX(G:G,MATCH(DATE(YEAR($A206)-1,MONTH($A206),DAY($A206)),$A:$A,0))-1),"")</f>
        <v/>
      </c>
      <c r="K206" s="7">
        <f>IF(OR(E206="",E205=""),"",E206/E205-1)</f>
        <v/>
      </c>
      <c r="L206" s="7">
        <f>IF(OR(F206="",F205=""),"",F206/F205-1)</f>
        <v/>
      </c>
      <c r="M206" s="7">
        <f>IF(OR(G206="",G205=""),"",G206/G205-1)</f>
        <v/>
      </c>
      <c r="N206" s="7">
        <f>IF(G206="","",E206/G206)</f>
        <v/>
      </c>
      <c r="O206" s="7">
        <f>IF(G206="","",F206/G206)</f>
        <v/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4">
        <f>IF(SUMIFS('Daily NSE Equity Cash'!$H:$H,'Daily NSE Equity Cash'!$A:$A,$A207)=0,"",SUMIFS('Daily NSE Equity Cash'!$H:$H,'Daily NSE Equity Cash'!$A:$A,$A207))</f>
        <v/>
      </c>
      <c r="F207" s="4">
        <f>IF(SUMIFS('Daily BSE Equity Cash'!$H:$H,'Daily BSE Equity Cash'!$A:$A,$A207)=0,"",SUMIFS('Daily BSE Equity Cash'!$H:$H,'Daily BSE Equity Cash'!$A:$A,$A207))</f>
        <v/>
      </c>
      <c r="G207" s="4">
        <f>IF(OR(E207="",F207=""),"",E207+F207)</f>
        <v/>
      </c>
      <c r="H207" s="7">
        <f>IFERROR(IF(OR(E207="",INDEX(E:E,MATCH(DATE(YEAR($A207)-1,MONTH($A207),DAY($A207)),$A:$A,0))=""),"",E207/INDEX(E:E,MATCH(DATE(YEAR($A207)-1,MONTH($A207),DAY($A207)),$A:$A,0))-1),"")</f>
        <v/>
      </c>
      <c r="I207" s="7">
        <f>IFERROR(IF(OR(F207="",INDEX(F:F,MATCH(DATE(YEAR($A207)-1,MONTH($A207),DAY($A207)),$A:$A,0))=""),"",F207/INDEX(F:F,MATCH(DATE(YEAR($A207)-1,MONTH($A207),DAY($A207)),$A:$A,0))-1),"")</f>
        <v/>
      </c>
      <c r="J207" s="7">
        <f>IFERROR(IF(OR(G207="",INDEX(G:G,MATCH(DATE(YEAR($A207)-1,MONTH($A207),DAY($A207)),$A:$A,0))=""),"",G207/INDEX(G:G,MATCH(DATE(YEAR($A207)-1,MONTH($A207),DAY($A207)),$A:$A,0))-1),"")</f>
        <v/>
      </c>
      <c r="K207" s="7">
        <f>IF(OR(E207="",E206=""),"",E207/E206-1)</f>
        <v/>
      </c>
      <c r="L207" s="7">
        <f>IF(OR(F207="",F206=""),"",F207/F206-1)</f>
        <v/>
      </c>
      <c r="M207" s="7">
        <f>IF(OR(G207="",G206=""),"",G207/G206-1)</f>
        <v/>
      </c>
      <c r="N207" s="7">
        <f>IF(G207="","",E207/G207)</f>
        <v/>
      </c>
      <c r="O207" s="7">
        <f>IF(G207="","",F207/G207)</f>
        <v/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4">
        <f>IF(SUMIFS('Daily NSE Equity Cash'!$H:$H,'Daily NSE Equity Cash'!$A:$A,$A208)=0,"",SUMIFS('Daily NSE Equity Cash'!$H:$H,'Daily NSE Equity Cash'!$A:$A,$A208))</f>
        <v/>
      </c>
      <c r="F208" s="4">
        <f>IF(SUMIFS('Daily BSE Equity Cash'!$H:$H,'Daily BSE Equity Cash'!$A:$A,$A208)=0,"",SUMIFS('Daily BSE Equity Cash'!$H:$H,'Daily BSE Equity Cash'!$A:$A,$A208))</f>
        <v/>
      </c>
      <c r="G208" s="4">
        <f>IF(OR(E208="",F208=""),"",E208+F208)</f>
        <v/>
      </c>
      <c r="H208" s="7">
        <f>IFERROR(IF(OR(E208="",INDEX(E:E,MATCH(DATE(YEAR($A208)-1,MONTH($A208),DAY($A208)),$A:$A,0))=""),"",E208/INDEX(E:E,MATCH(DATE(YEAR($A208)-1,MONTH($A208),DAY($A208)),$A:$A,0))-1),"")</f>
        <v/>
      </c>
      <c r="I208" s="7">
        <f>IFERROR(IF(OR(F208="",INDEX(F:F,MATCH(DATE(YEAR($A208)-1,MONTH($A208),DAY($A208)),$A:$A,0))=""),"",F208/INDEX(F:F,MATCH(DATE(YEAR($A208)-1,MONTH($A208),DAY($A208)),$A:$A,0))-1),"")</f>
        <v/>
      </c>
      <c r="J208" s="7">
        <f>IFERROR(IF(OR(G208="",INDEX(G:G,MATCH(DATE(YEAR($A208)-1,MONTH($A208),DAY($A208)),$A:$A,0))=""),"",G208/INDEX(G:G,MATCH(DATE(YEAR($A208)-1,MONTH($A208),DAY($A208)),$A:$A,0))-1),"")</f>
        <v/>
      </c>
      <c r="K208" s="7">
        <f>IF(OR(E208="",E207=""),"",E208/E207-1)</f>
        <v/>
      </c>
      <c r="L208" s="7">
        <f>IF(OR(F208="",F207=""),"",F208/F207-1)</f>
        <v/>
      </c>
      <c r="M208" s="7">
        <f>IF(OR(G208="",G207=""),"",G208/G207-1)</f>
        <v/>
      </c>
      <c r="N208" s="7">
        <f>IF(G208="","",E208/G208)</f>
        <v/>
      </c>
      <c r="O208" s="7">
        <f>IF(G208="","",F208/G208)</f>
        <v/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4">
        <f>IF(SUMIFS('Daily NSE Equity Cash'!$H:$H,'Daily NSE Equity Cash'!$A:$A,$A209)=0,"",SUMIFS('Daily NSE Equity Cash'!$H:$H,'Daily NSE Equity Cash'!$A:$A,$A209))</f>
        <v/>
      </c>
      <c r="F209" s="4">
        <f>IF(SUMIFS('Daily BSE Equity Cash'!$H:$H,'Daily BSE Equity Cash'!$A:$A,$A209)=0,"",SUMIFS('Daily BSE Equity Cash'!$H:$H,'Daily BSE Equity Cash'!$A:$A,$A209))</f>
        <v/>
      </c>
      <c r="G209" s="4">
        <f>IF(OR(E209="",F209=""),"",E209+F209)</f>
        <v/>
      </c>
      <c r="H209" s="7">
        <f>IFERROR(IF(OR(E209="",INDEX(E:E,MATCH(DATE(YEAR($A209)-1,MONTH($A209),DAY($A209)),$A:$A,0))=""),"",E209/INDEX(E:E,MATCH(DATE(YEAR($A209)-1,MONTH($A209),DAY($A209)),$A:$A,0))-1),"")</f>
        <v/>
      </c>
      <c r="I209" s="7">
        <f>IFERROR(IF(OR(F209="",INDEX(F:F,MATCH(DATE(YEAR($A209)-1,MONTH($A209),DAY($A209)),$A:$A,0))=""),"",F209/INDEX(F:F,MATCH(DATE(YEAR($A209)-1,MONTH($A209),DAY($A209)),$A:$A,0))-1),"")</f>
        <v/>
      </c>
      <c r="J209" s="7">
        <f>IFERROR(IF(OR(G209="",INDEX(G:G,MATCH(DATE(YEAR($A209)-1,MONTH($A209),DAY($A209)),$A:$A,0))=""),"",G209/INDEX(G:G,MATCH(DATE(YEAR($A209)-1,MONTH($A209),DAY($A209)),$A:$A,0))-1),"")</f>
        <v/>
      </c>
      <c r="K209" s="7">
        <f>IF(OR(E209="",E208=""),"",E209/E208-1)</f>
        <v/>
      </c>
      <c r="L209" s="7">
        <f>IF(OR(F209="",F208=""),"",F209/F208-1)</f>
        <v/>
      </c>
      <c r="M209" s="7">
        <f>IF(OR(G209="",G208=""),"",G209/G208-1)</f>
        <v/>
      </c>
      <c r="N209" s="7">
        <f>IF(G209="","",E209/G209)</f>
        <v/>
      </c>
      <c r="O209" s="7">
        <f>IF(G209="","",F209/G209)</f>
        <v/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4">
        <f>IF(SUMIFS('Daily NSE Equity Cash'!$H:$H,'Daily NSE Equity Cash'!$A:$A,$A210)=0,"",SUMIFS('Daily NSE Equity Cash'!$H:$H,'Daily NSE Equity Cash'!$A:$A,$A210))</f>
        <v/>
      </c>
      <c r="F210" s="4">
        <f>IF(SUMIFS('Daily BSE Equity Cash'!$H:$H,'Daily BSE Equity Cash'!$A:$A,$A210)=0,"",SUMIFS('Daily BSE Equity Cash'!$H:$H,'Daily BSE Equity Cash'!$A:$A,$A210))</f>
        <v/>
      </c>
      <c r="G210" s="4">
        <f>IF(OR(E210="",F210=""),"",E210+F210)</f>
        <v/>
      </c>
      <c r="H210" s="7">
        <f>IFERROR(IF(OR(E210="",INDEX(E:E,MATCH(DATE(YEAR($A210)-1,MONTH($A210),DAY($A210)),$A:$A,0))=""),"",E210/INDEX(E:E,MATCH(DATE(YEAR($A210)-1,MONTH($A210),DAY($A210)),$A:$A,0))-1),"")</f>
        <v/>
      </c>
      <c r="I210" s="7">
        <f>IFERROR(IF(OR(F210="",INDEX(F:F,MATCH(DATE(YEAR($A210)-1,MONTH($A210),DAY($A210)),$A:$A,0))=""),"",F210/INDEX(F:F,MATCH(DATE(YEAR($A210)-1,MONTH($A210),DAY($A210)),$A:$A,0))-1),"")</f>
        <v/>
      </c>
      <c r="J210" s="7">
        <f>IFERROR(IF(OR(G210="",INDEX(G:G,MATCH(DATE(YEAR($A210)-1,MONTH($A210),DAY($A210)),$A:$A,0))=""),"",G210/INDEX(G:G,MATCH(DATE(YEAR($A210)-1,MONTH($A210),DAY($A210)),$A:$A,0))-1),"")</f>
        <v/>
      </c>
      <c r="K210" s="7">
        <f>IF(OR(E210="",E209=""),"",E210/E209-1)</f>
        <v/>
      </c>
      <c r="L210" s="7">
        <f>IF(OR(F210="",F209=""),"",F210/F209-1)</f>
        <v/>
      </c>
      <c r="M210" s="7">
        <f>IF(OR(G210="",G209=""),"",G210/G209-1)</f>
        <v/>
      </c>
      <c r="N210" s="7">
        <f>IF(G210="","",E210/G210)</f>
        <v/>
      </c>
      <c r="O210" s="7">
        <f>IF(G210="","",F210/G210)</f>
        <v/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4">
        <f>IF(SUMIFS('Daily NSE Equity Cash'!$H:$H,'Daily NSE Equity Cash'!$A:$A,$A211)=0,"",SUMIFS('Daily NSE Equity Cash'!$H:$H,'Daily NSE Equity Cash'!$A:$A,$A211))</f>
        <v/>
      </c>
      <c r="F211" s="4">
        <f>IF(SUMIFS('Daily BSE Equity Cash'!$H:$H,'Daily BSE Equity Cash'!$A:$A,$A211)=0,"",SUMIFS('Daily BSE Equity Cash'!$H:$H,'Daily BSE Equity Cash'!$A:$A,$A211))</f>
        <v/>
      </c>
      <c r="G211" s="4">
        <f>IF(OR(E211="",F211=""),"",E211+F211)</f>
        <v/>
      </c>
      <c r="H211" s="7">
        <f>IFERROR(IF(OR(E211="",INDEX(E:E,MATCH(DATE(YEAR($A211)-1,MONTH($A211),DAY($A211)),$A:$A,0))=""),"",E211/INDEX(E:E,MATCH(DATE(YEAR($A211)-1,MONTH($A211),DAY($A211)),$A:$A,0))-1),"")</f>
        <v/>
      </c>
      <c r="I211" s="7">
        <f>IFERROR(IF(OR(F211="",INDEX(F:F,MATCH(DATE(YEAR($A211)-1,MONTH($A211),DAY($A211)),$A:$A,0))=""),"",F211/INDEX(F:F,MATCH(DATE(YEAR($A211)-1,MONTH($A211),DAY($A211)),$A:$A,0))-1),"")</f>
        <v/>
      </c>
      <c r="J211" s="7">
        <f>IFERROR(IF(OR(G211="",INDEX(G:G,MATCH(DATE(YEAR($A211)-1,MONTH($A211),DAY($A211)),$A:$A,0))=""),"",G211/INDEX(G:G,MATCH(DATE(YEAR($A211)-1,MONTH($A211),DAY($A211)),$A:$A,0))-1),"")</f>
        <v/>
      </c>
      <c r="K211" s="7">
        <f>IF(OR(E211="",E210=""),"",E211/E210-1)</f>
        <v/>
      </c>
      <c r="L211" s="7">
        <f>IF(OR(F211="",F210=""),"",F211/F210-1)</f>
        <v/>
      </c>
      <c r="M211" s="7">
        <f>IF(OR(G211="",G210=""),"",G211/G210-1)</f>
        <v/>
      </c>
      <c r="N211" s="7">
        <f>IF(G211="","",E211/G211)</f>
        <v/>
      </c>
      <c r="O211" s="7">
        <f>IF(G211="","",F211/G211)</f>
        <v/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4">
        <f>IF(SUMIFS('Daily NSE Equity Cash'!$H:$H,'Daily NSE Equity Cash'!$A:$A,$A212)=0,"",SUMIFS('Daily NSE Equity Cash'!$H:$H,'Daily NSE Equity Cash'!$A:$A,$A212))</f>
        <v/>
      </c>
      <c r="F212" s="4">
        <f>IF(SUMIFS('Daily BSE Equity Cash'!$H:$H,'Daily BSE Equity Cash'!$A:$A,$A212)=0,"",SUMIFS('Daily BSE Equity Cash'!$H:$H,'Daily BSE Equity Cash'!$A:$A,$A212))</f>
        <v/>
      </c>
      <c r="G212" s="4">
        <f>IF(OR(E212="",F212=""),"",E212+F212)</f>
        <v/>
      </c>
      <c r="H212" s="7">
        <f>IFERROR(IF(OR(E212="",INDEX(E:E,MATCH(DATE(YEAR($A212)-1,MONTH($A212),DAY($A212)),$A:$A,0))=""),"",E212/INDEX(E:E,MATCH(DATE(YEAR($A212)-1,MONTH($A212),DAY($A212)),$A:$A,0))-1),"")</f>
        <v/>
      </c>
      <c r="I212" s="7">
        <f>IFERROR(IF(OR(F212="",INDEX(F:F,MATCH(DATE(YEAR($A212)-1,MONTH($A212),DAY($A212)),$A:$A,0))=""),"",F212/INDEX(F:F,MATCH(DATE(YEAR($A212)-1,MONTH($A212),DAY($A212)),$A:$A,0))-1),"")</f>
        <v/>
      </c>
      <c r="J212" s="7">
        <f>IFERROR(IF(OR(G212="",INDEX(G:G,MATCH(DATE(YEAR($A212)-1,MONTH($A212),DAY($A212)),$A:$A,0))=""),"",G212/INDEX(G:G,MATCH(DATE(YEAR($A212)-1,MONTH($A212),DAY($A212)),$A:$A,0))-1),"")</f>
        <v/>
      </c>
      <c r="K212" s="7">
        <f>IF(OR(E212="",E211=""),"",E212/E211-1)</f>
        <v/>
      </c>
      <c r="L212" s="7">
        <f>IF(OR(F212="",F211=""),"",F212/F211-1)</f>
        <v/>
      </c>
      <c r="M212" s="7">
        <f>IF(OR(G212="",G211=""),"",G212/G211-1)</f>
        <v/>
      </c>
      <c r="N212" s="7">
        <f>IF(G212="","",E212/G212)</f>
        <v/>
      </c>
      <c r="O212" s="7">
        <f>IF(G212="","",F212/G212)</f>
        <v/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4">
        <f>IF(SUMIFS('Daily NSE Equity Cash'!$H:$H,'Daily NSE Equity Cash'!$A:$A,$A213)=0,"",SUMIFS('Daily NSE Equity Cash'!$H:$H,'Daily NSE Equity Cash'!$A:$A,$A213))</f>
        <v/>
      </c>
      <c r="F213" s="4">
        <f>IF(SUMIFS('Daily BSE Equity Cash'!$H:$H,'Daily BSE Equity Cash'!$A:$A,$A213)=0,"",SUMIFS('Daily BSE Equity Cash'!$H:$H,'Daily BSE Equity Cash'!$A:$A,$A213))</f>
        <v/>
      </c>
      <c r="G213" s="4">
        <f>IF(OR(E213="",F213=""),"",E213+F213)</f>
        <v/>
      </c>
      <c r="H213" s="7">
        <f>IFERROR(IF(OR(E213="",INDEX(E:E,MATCH(DATE(YEAR($A213)-1,MONTH($A213),DAY($A213)),$A:$A,0))=""),"",E213/INDEX(E:E,MATCH(DATE(YEAR($A213)-1,MONTH($A213),DAY($A213)),$A:$A,0))-1),"")</f>
        <v/>
      </c>
      <c r="I213" s="7">
        <f>IFERROR(IF(OR(F213="",INDEX(F:F,MATCH(DATE(YEAR($A213)-1,MONTH($A213),DAY($A213)),$A:$A,0))=""),"",F213/INDEX(F:F,MATCH(DATE(YEAR($A213)-1,MONTH($A213),DAY($A213)),$A:$A,0))-1),"")</f>
        <v/>
      </c>
      <c r="J213" s="7">
        <f>IFERROR(IF(OR(G213="",INDEX(G:G,MATCH(DATE(YEAR($A213)-1,MONTH($A213),DAY($A213)),$A:$A,0))=""),"",G213/INDEX(G:G,MATCH(DATE(YEAR($A213)-1,MONTH($A213),DAY($A213)),$A:$A,0))-1),"")</f>
        <v/>
      </c>
      <c r="K213" s="7">
        <f>IF(OR(E213="",E212=""),"",E213/E212-1)</f>
        <v/>
      </c>
      <c r="L213" s="7">
        <f>IF(OR(F213="",F212=""),"",F213/F212-1)</f>
        <v/>
      </c>
      <c r="M213" s="7">
        <f>IF(OR(G213="",G212=""),"",G213/G212-1)</f>
        <v/>
      </c>
      <c r="N213" s="7">
        <f>IF(G213="","",E213/G213)</f>
        <v/>
      </c>
      <c r="O213" s="7">
        <f>IF(G213="","",F213/G213)</f>
        <v/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4">
        <f>IF(SUMIFS('Daily NSE Equity Cash'!$H:$H,'Daily NSE Equity Cash'!$A:$A,$A214)=0,"",SUMIFS('Daily NSE Equity Cash'!$H:$H,'Daily NSE Equity Cash'!$A:$A,$A214))</f>
        <v/>
      </c>
      <c r="F214" s="4">
        <f>IF(SUMIFS('Daily BSE Equity Cash'!$H:$H,'Daily BSE Equity Cash'!$A:$A,$A214)=0,"",SUMIFS('Daily BSE Equity Cash'!$H:$H,'Daily BSE Equity Cash'!$A:$A,$A214))</f>
        <v/>
      </c>
      <c r="G214" s="4">
        <f>IF(OR(E214="",F214=""),"",E214+F214)</f>
        <v/>
      </c>
      <c r="H214" s="7">
        <f>IFERROR(IF(OR(E214="",INDEX(E:E,MATCH(DATE(YEAR($A214)-1,MONTH($A214),DAY($A214)),$A:$A,0))=""),"",E214/INDEX(E:E,MATCH(DATE(YEAR($A214)-1,MONTH($A214),DAY($A214)),$A:$A,0))-1),"")</f>
        <v/>
      </c>
      <c r="I214" s="7">
        <f>IFERROR(IF(OR(F214="",INDEX(F:F,MATCH(DATE(YEAR($A214)-1,MONTH($A214),DAY($A214)),$A:$A,0))=""),"",F214/INDEX(F:F,MATCH(DATE(YEAR($A214)-1,MONTH($A214),DAY($A214)),$A:$A,0))-1),"")</f>
        <v/>
      </c>
      <c r="J214" s="7">
        <f>IFERROR(IF(OR(G214="",INDEX(G:G,MATCH(DATE(YEAR($A214)-1,MONTH($A214),DAY($A214)),$A:$A,0))=""),"",G214/INDEX(G:G,MATCH(DATE(YEAR($A214)-1,MONTH($A214),DAY($A214)),$A:$A,0))-1),"")</f>
        <v/>
      </c>
      <c r="K214" s="7">
        <f>IF(OR(E214="",E213=""),"",E214/E213-1)</f>
        <v/>
      </c>
      <c r="L214" s="7">
        <f>IF(OR(F214="",F213=""),"",F214/F213-1)</f>
        <v/>
      </c>
      <c r="M214" s="7">
        <f>IF(OR(G214="",G213=""),"",G214/G213-1)</f>
        <v/>
      </c>
      <c r="N214" s="7">
        <f>IF(G214="","",E214/G214)</f>
        <v/>
      </c>
      <c r="O214" s="7">
        <f>IF(G214="","",F214/G214)</f>
        <v/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4">
        <f>IF(SUMIFS('Daily NSE Equity Cash'!$H:$H,'Daily NSE Equity Cash'!$A:$A,$A215)=0,"",SUMIFS('Daily NSE Equity Cash'!$H:$H,'Daily NSE Equity Cash'!$A:$A,$A215))</f>
        <v/>
      </c>
      <c r="F215" s="4">
        <f>IF(SUMIFS('Daily BSE Equity Cash'!$H:$H,'Daily BSE Equity Cash'!$A:$A,$A215)=0,"",SUMIFS('Daily BSE Equity Cash'!$H:$H,'Daily BSE Equity Cash'!$A:$A,$A215))</f>
        <v/>
      </c>
      <c r="G215" s="4">
        <f>IF(OR(E215="",F215=""),"",E215+F215)</f>
        <v/>
      </c>
      <c r="H215" s="7">
        <f>IFERROR(IF(OR(E215="",INDEX(E:E,MATCH(DATE(YEAR($A215)-1,MONTH($A215),DAY($A215)),$A:$A,0))=""),"",E215/INDEX(E:E,MATCH(DATE(YEAR($A215)-1,MONTH($A215),DAY($A215)),$A:$A,0))-1),"")</f>
        <v/>
      </c>
      <c r="I215" s="7">
        <f>IFERROR(IF(OR(F215="",INDEX(F:F,MATCH(DATE(YEAR($A215)-1,MONTH($A215),DAY($A215)),$A:$A,0))=""),"",F215/INDEX(F:F,MATCH(DATE(YEAR($A215)-1,MONTH($A215),DAY($A215)),$A:$A,0))-1),"")</f>
        <v/>
      </c>
      <c r="J215" s="7">
        <f>IFERROR(IF(OR(G215="",INDEX(G:G,MATCH(DATE(YEAR($A215)-1,MONTH($A215),DAY($A215)),$A:$A,0))=""),"",G215/INDEX(G:G,MATCH(DATE(YEAR($A215)-1,MONTH($A215),DAY($A215)),$A:$A,0))-1),"")</f>
        <v/>
      </c>
      <c r="K215" s="7">
        <f>IF(OR(E215="",E214=""),"",E215/E214-1)</f>
        <v/>
      </c>
      <c r="L215" s="7">
        <f>IF(OR(F215="",F214=""),"",F215/F214-1)</f>
        <v/>
      </c>
      <c r="M215" s="7">
        <f>IF(OR(G215="",G214=""),"",G215/G214-1)</f>
        <v/>
      </c>
      <c r="N215" s="7">
        <f>IF(G215="","",E215/G215)</f>
        <v/>
      </c>
      <c r="O215" s="7">
        <f>IF(G215="","",F215/G215)</f>
        <v/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4">
        <f>IF(SUMIFS('Daily NSE Equity Cash'!$H:$H,'Daily NSE Equity Cash'!$A:$A,$A216)=0,"",SUMIFS('Daily NSE Equity Cash'!$H:$H,'Daily NSE Equity Cash'!$A:$A,$A216))</f>
        <v/>
      </c>
      <c r="F216" s="4">
        <f>IF(SUMIFS('Daily BSE Equity Cash'!$H:$H,'Daily BSE Equity Cash'!$A:$A,$A216)=0,"",SUMIFS('Daily BSE Equity Cash'!$H:$H,'Daily BSE Equity Cash'!$A:$A,$A216))</f>
        <v/>
      </c>
      <c r="G216" s="4">
        <f>IF(OR(E216="",F216=""),"",E216+F216)</f>
        <v/>
      </c>
      <c r="H216" s="7">
        <f>IFERROR(IF(OR(E216="",INDEX(E:E,MATCH(DATE(YEAR($A216)-1,MONTH($A216),DAY($A216)),$A:$A,0))=""),"",E216/INDEX(E:E,MATCH(DATE(YEAR($A216)-1,MONTH($A216),DAY($A216)),$A:$A,0))-1),"")</f>
        <v/>
      </c>
      <c r="I216" s="7">
        <f>IFERROR(IF(OR(F216="",INDEX(F:F,MATCH(DATE(YEAR($A216)-1,MONTH($A216),DAY($A216)),$A:$A,0))=""),"",F216/INDEX(F:F,MATCH(DATE(YEAR($A216)-1,MONTH($A216),DAY($A216)),$A:$A,0))-1),"")</f>
        <v/>
      </c>
      <c r="J216" s="7">
        <f>IFERROR(IF(OR(G216="",INDEX(G:G,MATCH(DATE(YEAR($A216)-1,MONTH($A216),DAY($A216)),$A:$A,0))=""),"",G216/INDEX(G:G,MATCH(DATE(YEAR($A216)-1,MONTH($A216),DAY($A216)),$A:$A,0))-1),"")</f>
        <v/>
      </c>
      <c r="K216" s="7">
        <f>IF(OR(E216="",E215=""),"",E216/E215-1)</f>
        <v/>
      </c>
      <c r="L216" s="7">
        <f>IF(OR(F216="",F215=""),"",F216/F215-1)</f>
        <v/>
      </c>
      <c r="M216" s="7">
        <f>IF(OR(G216="",G215=""),"",G216/G215-1)</f>
        <v/>
      </c>
      <c r="N216" s="7">
        <f>IF(G216="","",E216/G216)</f>
        <v/>
      </c>
      <c r="O216" s="7">
        <f>IF(G216="","",F216/G216)</f>
        <v/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4">
        <f>IF(SUMIFS('Daily NSE Equity Cash'!$H:$H,'Daily NSE Equity Cash'!$A:$A,$A217)=0,"",SUMIFS('Daily NSE Equity Cash'!$H:$H,'Daily NSE Equity Cash'!$A:$A,$A217))</f>
        <v/>
      </c>
      <c r="F217" s="4">
        <f>IF(SUMIFS('Daily BSE Equity Cash'!$H:$H,'Daily BSE Equity Cash'!$A:$A,$A217)=0,"",SUMIFS('Daily BSE Equity Cash'!$H:$H,'Daily BSE Equity Cash'!$A:$A,$A217))</f>
        <v/>
      </c>
      <c r="G217" s="4">
        <f>IF(OR(E217="",F217=""),"",E217+F217)</f>
        <v/>
      </c>
      <c r="H217" s="7">
        <f>IFERROR(IF(OR(E217="",INDEX(E:E,MATCH(DATE(YEAR($A217)-1,MONTH($A217),DAY($A217)),$A:$A,0))=""),"",E217/INDEX(E:E,MATCH(DATE(YEAR($A217)-1,MONTH($A217),DAY($A217)),$A:$A,0))-1),"")</f>
        <v/>
      </c>
      <c r="I217" s="7">
        <f>IFERROR(IF(OR(F217="",INDEX(F:F,MATCH(DATE(YEAR($A217)-1,MONTH($A217),DAY($A217)),$A:$A,0))=""),"",F217/INDEX(F:F,MATCH(DATE(YEAR($A217)-1,MONTH($A217),DAY($A217)),$A:$A,0))-1),"")</f>
        <v/>
      </c>
      <c r="J217" s="7">
        <f>IFERROR(IF(OR(G217="",INDEX(G:G,MATCH(DATE(YEAR($A217)-1,MONTH($A217),DAY($A217)),$A:$A,0))=""),"",G217/INDEX(G:G,MATCH(DATE(YEAR($A217)-1,MONTH($A217),DAY($A217)),$A:$A,0))-1),"")</f>
        <v/>
      </c>
      <c r="K217" s="7">
        <f>IF(OR(E217="",E216=""),"",E217/E216-1)</f>
        <v/>
      </c>
      <c r="L217" s="7">
        <f>IF(OR(F217="",F216=""),"",F217/F216-1)</f>
        <v/>
      </c>
      <c r="M217" s="7">
        <f>IF(OR(G217="",G216=""),"",G217/G216-1)</f>
        <v/>
      </c>
      <c r="N217" s="7">
        <f>IF(G217="","",E217/G217)</f>
        <v/>
      </c>
      <c r="O217" s="7">
        <f>IF(G217="","",F217/G217)</f>
        <v/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4">
        <f>IF(SUMIFS('Daily NSE Equity Cash'!$H:$H,'Daily NSE Equity Cash'!$A:$A,$A218)=0,"",SUMIFS('Daily NSE Equity Cash'!$H:$H,'Daily NSE Equity Cash'!$A:$A,$A218))</f>
        <v/>
      </c>
      <c r="F218" s="4">
        <f>IF(SUMIFS('Daily BSE Equity Cash'!$H:$H,'Daily BSE Equity Cash'!$A:$A,$A218)=0,"",SUMIFS('Daily BSE Equity Cash'!$H:$H,'Daily BSE Equity Cash'!$A:$A,$A218))</f>
        <v/>
      </c>
      <c r="G218" s="4">
        <f>IF(OR(E218="",F218=""),"",E218+F218)</f>
        <v/>
      </c>
      <c r="H218" s="7">
        <f>IFERROR(IF(OR(E218="",INDEX(E:E,MATCH(DATE(YEAR($A218)-1,MONTH($A218),DAY($A218)),$A:$A,0))=""),"",E218/INDEX(E:E,MATCH(DATE(YEAR($A218)-1,MONTH($A218),DAY($A218)),$A:$A,0))-1),"")</f>
        <v/>
      </c>
      <c r="I218" s="7">
        <f>IFERROR(IF(OR(F218="",INDEX(F:F,MATCH(DATE(YEAR($A218)-1,MONTH($A218),DAY($A218)),$A:$A,0))=""),"",F218/INDEX(F:F,MATCH(DATE(YEAR($A218)-1,MONTH($A218),DAY($A218)),$A:$A,0))-1),"")</f>
        <v/>
      </c>
      <c r="J218" s="7">
        <f>IFERROR(IF(OR(G218="",INDEX(G:G,MATCH(DATE(YEAR($A218)-1,MONTH($A218),DAY($A218)),$A:$A,0))=""),"",G218/INDEX(G:G,MATCH(DATE(YEAR($A218)-1,MONTH($A218),DAY($A218)),$A:$A,0))-1),"")</f>
        <v/>
      </c>
      <c r="K218" s="7">
        <f>IF(OR(E218="",E217=""),"",E218/E217-1)</f>
        <v/>
      </c>
      <c r="L218" s="7">
        <f>IF(OR(F218="",F217=""),"",F218/F217-1)</f>
        <v/>
      </c>
      <c r="M218" s="7">
        <f>IF(OR(G218="",G217=""),"",G218/G217-1)</f>
        <v/>
      </c>
      <c r="N218" s="7">
        <f>IF(G218="","",E218/G218)</f>
        <v/>
      </c>
      <c r="O218" s="7">
        <f>IF(G218="","",F218/G218)</f>
        <v/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4">
        <f>IF(SUMIFS('Daily NSE Equity Cash'!$H:$H,'Daily NSE Equity Cash'!$A:$A,$A219)=0,"",SUMIFS('Daily NSE Equity Cash'!$H:$H,'Daily NSE Equity Cash'!$A:$A,$A219))</f>
        <v/>
      </c>
      <c r="F219" s="4">
        <f>IF(SUMIFS('Daily BSE Equity Cash'!$H:$H,'Daily BSE Equity Cash'!$A:$A,$A219)=0,"",SUMIFS('Daily BSE Equity Cash'!$H:$H,'Daily BSE Equity Cash'!$A:$A,$A219))</f>
        <v/>
      </c>
      <c r="G219" s="4">
        <f>IF(OR(E219="",F219=""),"",E219+F219)</f>
        <v/>
      </c>
      <c r="H219" s="7">
        <f>IFERROR(IF(OR(E219="",INDEX(E:E,MATCH(DATE(YEAR($A219)-1,MONTH($A219),DAY($A219)),$A:$A,0))=""),"",E219/INDEX(E:E,MATCH(DATE(YEAR($A219)-1,MONTH($A219),DAY($A219)),$A:$A,0))-1),"")</f>
        <v/>
      </c>
      <c r="I219" s="7">
        <f>IFERROR(IF(OR(F219="",INDEX(F:F,MATCH(DATE(YEAR($A219)-1,MONTH($A219),DAY($A219)),$A:$A,0))=""),"",F219/INDEX(F:F,MATCH(DATE(YEAR($A219)-1,MONTH($A219),DAY($A219)),$A:$A,0))-1),"")</f>
        <v/>
      </c>
      <c r="J219" s="7">
        <f>IFERROR(IF(OR(G219="",INDEX(G:G,MATCH(DATE(YEAR($A219)-1,MONTH($A219),DAY($A219)),$A:$A,0))=""),"",G219/INDEX(G:G,MATCH(DATE(YEAR($A219)-1,MONTH($A219),DAY($A219)),$A:$A,0))-1),"")</f>
        <v/>
      </c>
      <c r="K219" s="7">
        <f>IF(OR(E219="",E218=""),"",E219/E218-1)</f>
        <v/>
      </c>
      <c r="L219" s="7">
        <f>IF(OR(F219="",F218=""),"",F219/F218-1)</f>
        <v/>
      </c>
      <c r="M219" s="7">
        <f>IF(OR(G219="",G218=""),"",G219/G218-1)</f>
        <v/>
      </c>
      <c r="N219" s="7">
        <f>IF(G219="","",E219/G219)</f>
        <v/>
      </c>
      <c r="O219" s="7">
        <f>IF(G219="","",F219/G219)</f>
        <v/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4">
        <f>IF(SUMIFS('Daily NSE Equity Cash'!$H:$H,'Daily NSE Equity Cash'!$A:$A,$A220)=0,"",SUMIFS('Daily NSE Equity Cash'!$H:$H,'Daily NSE Equity Cash'!$A:$A,$A220))</f>
        <v/>
      </c>
      <c r="F220" s="4">
        <f>IF(SUMIFS('Daily BSE Equity Cash'!$H:$H,'Daily BSE Equity Cash'!$A:$A,$A220)=0,"",SUMIFS('Daily BSE Equity Cash'!$H:$H,'Daily BSE Equity Cash'!$A:$A,$A220))</f>
        <v/>
      </c>
      <c r="G220" s="4">
        <f>IF(OR(E220="",F220=""),"",E220+F220)</f>
        <v/>
      </c>
      <c r="H220" s="7">
        <f>IFERROR(IF(OR(E220="",INDEX(E:E,MATCH(DATE(YEAR($A220)-1,MONTH($A220),DAY($A220)),$A:$A,0))=""),"",E220/INDEX(E:E,MATCH(DATE(YEAR($A220)-1,MONTH($A220),DAY($A220)),$A:$A,0))-1),"")</f>
        <v/>
      </c>
      <c r="I220" s="7">
        <f>IFERROR(IF(OR(F220="",INDEX(F:F,MATCH(DATE(YEAR($A220)-1,MONTH($A220),DAY($A220)),$A:$A,0))=""),"",F220/INDEX(F:F,MATCH(DATE(YEAR($A220)-1,MONTH($A220),DAY($A220)),$A:$A,0))-1),"")</f>
        <v/>
      </c>
      <c r="J220" s="7">
        <f>IFERROR(IF(OR(G220="",INDEX(G:G,MATCH(DATE(YEAR($A220)-1,MONTH($A220),DAY($A220)),$A:$A,0))=""),"",G220/INDEX(G:G,MATCH(DATE(YEAR($A220)-1,MONTH($A220),DAY($A220)),$A:$A,0))-1),"")</f>
        <v/>
      </c>
      <c r="K220" s="7">
        <f>IF(OR(E220="",E219=""),"",E220/E219-1)</f>
        <v/>
      </c>
      <c r="L220" s="7">
        <f>IF(OR(F220="",F219=""),"",F220/F219-1)</f>
        <v/>
      </c>
      <c r="M220" s="7">
        <f>IF(OR(G220="",G219=""),"",G220/G219-1)</f>
        <v/>
      </c>
      <c r="N220" s="7">
        <f>IF(G220="","",E220/G220)</f>
        <v/>
      </c>
      <c r="O220" s="7">
        <f>IF(G220="","",F220/G220)</f>
        <v/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4">
        <f>IF(SUMIFS('Daily NSE Equity Cash'!$H:$H,'Daily NSE Equity Cash'!$A:$A,$A221)=0,"",SUMIFS('Daily NSE Equity Cash'!$H:$H,'Daily NSE Equity Cash'!$A:$A,$A221))</f>
        <v/>
      </c>
      <c r="F221" s="4">
        <f>IF(SUMIFS('Daily BSE Equity Cash'!$H:$H,'Daily BSE Equity Cash'!$A:$A,$A221)=0,"",SUMIFS('Daily BSE Equity Cash'!$H:$H,'Daily BSE Equity Cash'!$A:$A,$A221))</f>
        <v/>
      </c>
      <c r="G221" s="4">
        <f>IF(OR(E221="",F221=""),"",E221+F221)</f>
        <v/>
      </c>
      <c r="H221" s="7">
        <f>IFERROR(IF(OR(E221="",INDEX(E:E,MATCH(DATE(YEAR($A221)-1,MONTH($A221),DAY($A221)),$A:$A,0))=""),"",E221/INDEX(E:E,MATCH(DATE(YEAR($A221)-1,MONTH($A221),DAY($A221)),$A:$A,0))-1),"")</f>
        <v/>
      </c>
      <c r="I221" s="7">
        <f>IFERROR(IF(OR(F221="",INDEX(F:F,MATCH(DATE(YEAR($A221)-1,MONTH($A221),DAY($A221)),$A:$A,0))=""),"",F221/INDEX(F:F,MATCH(DATE(YEAR($A221)-1,MONTH($A221),DAY($A221)),$A:$A,0))-1),"")</f>
        <v/>
      </c>
      <c r="J221" s="7">
        <f>IFERROR(IF(OR(G221="",INDEX(G:G,MATCH(DATE(YEAR($A221)-1,MONTH($A221),DAY($A221)),$A:$A,0))=""),"",G221/INDEX(G:G,MATCH(DATE(YEAR($A221)-1,MONTH($A221),DAY($A221)),$A:$A,0))-1),"")</f>
        <v/>
      </c>
      <c r="K221" s="7">
        <f>IF(OR(E221="",E220=""),"",E221/E220-1)</f>
        <v/>
      </c>
      <c r="L221" s="7">
        <f>IF(OR(F221="",F220=""),"",F221/F220-1)</f>
        <v/>
      </c>
      <c r="M221" s="7">
        <f>IF(OR(G221="",G220=""),"",G221/G220-1)</f>
        <v/>
      </c>
      <c r="N221" s="7">
        <f>IF(G221="","",E221/G221)</f>
        <v/>
      </c>
      <c r="O221" s="7">
        <f>IF(G221="","",F221/G221)</f>
        <v/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4">
        <f>IF(SUMIFS('Daily NSE Equity Cash'!$H:$H,'Daily NSE Equity Cash'!$A:$A,$A222)=0,"",SUMIFS('Daily NSE Equity Cash'!$H:$H,'Daily NSE Equity Cash'!$A:$A,$A222))</f>
        <v/>
      </c>
      <c r="F222" s="4">
        <f>IF(SUMIFS('Daily BSE Equity Cash'!$H:$H,'Daily BSE Equity Cash'!$A:$A,$A222)=0,"",SUMIFS('Daily BSE Equity Cash'!$H:$H,'Daily BSE Equity Cash'!$A:$A,$A222))</f>
        <v/>
      </c>
      <c r="G222" s="4">
        <f>IF(OR(E222="",F222=""),"",E222+F222)</f>
        <v/>
      </c>
      <c r="H222" s="7">
        <f>IFERROR(IF(OR(E222="",INDEX(E:E,MATCH(DATE(YEAR($A222)-1,MONTH($A222),DAY($A222)),$A:$A,0))=""),"",E222/INDEX(E:E,MATCH(DATE(YEAR($A222)-1,MONTH($A222),DAY($A222)),$A:$A,0))-1),"")</f>
        <v/>
      </c>
      <c r="I222" s="7">
        <f>IFERROR(IF(OR(F222="",INDEX(F:F,MATCH(DATE(YEAR($A222)-1,MONTH($A222),DAY($A222)),$A:$A,0))=""),"",F222/INDEX(F:F,MATCH(DATE(YEAR($A222)-1,MONTH($A222),DAY($A222)),$A:$A,0))-1),"")</f>
        <v/>
      </c>
      <c r="J222" s="7">
        <f>IFERROR(IF(OR(G222="",INDEX(G:G,MATCH(DATE(YEAR($A222)-1,MONTH($A222),DAY($A222)),$A:$A,0))=""),"",G222/INDEX(G:G,MATCH(DATE(YEAR($A222)-1,MONTH($A222),DAY($A222)),$A:$A,0))-1),"")</f>
        <v/>
      </c>
      <c r="K222" s="7">
        <f>IF(OR(E222="",E221=""),"",E222/E221-1)</f>
        <v/>
      </c>
      <c r="L222" s="7">
        <f>IF(OR(F222="",F221=""),"",F222/F221-1)</f>
        <v/>
      </c>
      <c r="M222" s="7">
        <f>IF(OR(G222="",G221=""),"",G222/G221-1)</f>
        <v/>
      </c>
      <c r="N222" s="7">
        <f>IF(G222="","",E222/G222)</f>
        <v/>
      </c>
      <c r="O222" s="7">
        <f>IF(G222="","",F222/G222)</f>
        <v/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4">
        <f>IF(SUMIFS('Daily NSE Equity Cash'!$H:$H,'Daily NSE Equity Cash'!$A:$A,$A223)=0,"",SUMIFS('Daily NSE Equity Cash'!$H:$H,'Daily NSE Equity Cash'!$A:$A,$A223))</f>
        <v/>
      </c>
      <c r="F223" s="4">
        <f>IF(SUMIFS('Daily BSE Equity Cash'!$H:$H,'Daily BSE Equity Cash'!$A:$A,$A223)=0,"",SUMIFS('Daily BSE Equity Cash'!$H:$H,'Daily BSE Equity Cash'!$A:$A,$A223))</f>
        <v/>
      </c>
      <c r="G223" s="4">
        <f>IF(OR(E223="",F223=""),"",E223+F223)</f>
        <v/>
      </c>
      <c r="H223" s="7">
        <f>IFERROR(IF(OR(E223="",INDEX(E:E,MATCH(DATE(YEAR($A223)-1,MONTH($A223),DAY($A223)),$A:$A,0))=""),"",E223/INDEX(E:E,MATCH(DATE(YEAR($A223)-1,MONTH($A223),DAY($A223)),$A:$A,0))-1),"")</f>
        <v/>
      </c>
      <c r="I223" s="7">
        <f>IFERROR(IF(OR(F223="",INDEX(F:F,MATCH(DATE(YEAR($A223)-1,MONTH($A223),DAY($A223)),$A:$A,0))=""),"",F223/INDEX(F:F,MATCH(DATE(YEAR($A223)-1,MONTH($A223),DAY($A223)),$A:$A,0))-1),"")</f>
        <v/>
      </c>
      <c r="J223" s="7">
        <f>IFERROR(IF(OR(G223="",INDEX(G:G,MATCH(DATE(YEAR($A223)-1,MONTH($A223),DAY($A223)),$A:$A,0))=""),"",G223/INDEX(G:G,MATCH(DATE(YEAR($A223)-1,MONTH($A223),DAY($A223)),$A:$A,0))-1),"")</f>
        <v/>
      </c>
      <c r="K223" s="7">
        <f>IF(OR(E223="",E222=""),"",E223/E222-1)</f>
        <v/>
      </c>
      <c r="L223" s="7">
        <f>IF(OR(F223="",F222=""),"",F223/F222-1)</f>
        <v/>
      </c>
      <c r="M223" s="7">
        <f>IF(OR(G223="",G222=""),"",G223/G222-1)</f>
        <v/>
      </c>
      <c r="N223" s="7">
        <f>IF(G223="","",E223/G223)</f>
        <v/>
      </c>
      <c r="O223" s="7">
        <f>IF(G223="","",F223/G223)</f>
        <v/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4">
        <f>IF(SUMIFS('Daily NSE Equity Cash'!$H:$H,'Daily NSE Equity Cash'!$A:$A,$A224)=0,"",SUMIFS('Daily NSE Equity Cash'!$H:$H,'Daily NSE Equity Cash'!$A:$A,$A224))</f>
        <v/>
      </c>
      <c r="F224" s="4">
        <f>IF(SUMIFS('Daily BSE Equity Cash'!$H:$H,'Daily BSE Equity Cash'!$A:$A,$A224)=0,"",SUMIFS('Daily BSE Equity Cash'!$H:$H,'Daily BSE Equity Cash'!$A:$A,$A224))</f>
        <v/>
      </c>
      <c r="G224" s="4">
        <f>IF(OR(E224="",F224=""),"",E224+F224)</f>
        <v/>
      </c>
      <c r="H224" s="7">
        <f>IFERROR(IF(OR(E224="",INDEX(E:E,MATCH(DATE(YEAR($A224)-1,MONTH($A224),DAY($A224)),$A:$A,0))=""),"",E224/INDEX(E:E,MATCH(DATE(YEAR($A224)-1,MONTH($A224),DAY($A224)),$A:$A,0))-1),"")</f>
        <v/>
      </c>
      <c r="I224" s="7">
        <f>IFERROR(IF(OR(F224="",INDEX(F:F,MATCH(DATE(YEAR($A224)-1,MONTH($A224),DAY($A224)),$A:$A,0))=""),"",F224/INDEX(F:F,MATCH(DATE(YEAR($A224)-1,MONTH($A224),DAY($A224)),$A:$A,0))-1),"")</f>
        <v/>
      </c>
      <c r="J224" s="7">
        <f>IFERROR(IF(OR(G224="",INDEX(G:G,MATCH(DATE(YEAR($A224)-1,MONTH($A224),DAY($A224)),$A:$A,0))=""),"",G224/INDEX(G:G,MATCH(DATE(YEAR($A224)-1,MONTH($A224),DAY($A224)),$A:$A,0))-1),"")</f>
        <v/>
      </c>
      <c r="K224" s="7">
        <f>IF(OR(E224="",E223=""),"",E224/E223-1)</f>
        <v/>
      </c>
      <c r="L224" s="7">
        <f>IF(OR(F224="",F223=""),"",F224/F223-1)</f>
        <v/>
      </c>
      <c r="M224" s="7">
        <f>IF(OR(G224="",G223=""),"",G224/G223-1)</f>
        <v/>
      </c>
      <c r="N224" s="7">
        <f>IF(G224="","",E224/G224)</f>
        <v/>
      </c>
      <c r="O224" s="7">
        <f>IF(G224="","",F224/G224)</f>
        <v/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4">
        <f>IF(SUMIFS('Daily NSE Equity Cash'!$H:$H,'Daily NSE Equity Cash'!$A:$A,$A225)=0,"",SUMIFS('Daily NSE Equity Cash'!$H:$H,'Daily NSE Equity Cash'!$A:$A,$A225))</f>
        <v/>
      </c>
      <c r="F225" s="4">
        <f>IF(SUMIFS('Daily BSE Equity Cash'!$H:$H,'Daily BSE Equity Cash'!$A:$A,$A225)=0,"",SUMIFS('Daily BSE Equity Cash'!$H:$H,'Daily BSE Equity Cash'!$A:$A,$A225))</f>
        <v/>
      </c>
      <c r="G225" s="4">
        <f>IF(OR(E225="",F225=""),"",E225+F225)</f>
        <v/>
      </c>
      <c r="H225" s="7">
        <f>IFERROR(IF(OR(E225="",INDEX(E:E,MATCH(DATE(YEAR($A225)-1,MONTH($A225),DAY($A225)),$A:$A,0))=""),"",E225/INDEX(E:E,MATCH(DATE(YEAR($A225)-1,MONTH($A225),DAY($A225)),$A:$A,0))-1),"")</f>
        <v/>
      </c>
      <c r="I225" s="7">
        <f>IFERROR(IF(OR(F225="",INDEX(F:F,MATCH(DATE(YEAR($A225)-1,MONTH($A225),DAY($A225)),$A:$A,0))=""),"",F225/INDEX(F:F,MATCH(DATE(YEAR($A225)-1,MONTH($A225),DAY($A225)),$A:$A,0))-1),"")</f>
        <v/>
      </c>
      <c r="J225" s="7">
        <f>IFERROR(IF(OR(G225="",INDEX(G:G,MATCH(DATE(YEAR($A225)-1,MONTH($A225),DAY($A225)),$A:$A,0))=""),"",G225/INDEX(G:G,MATCH(DATE(YEAR($A225)-1,MONTH($A225),DAY($A225)),$A:$A,0))-1),"")</f>
        <v/>
      </c>
      <c r="K225" s="7">
        <f>IF(OR(E225="",E224=""),"",E225/E224-1)</f>
        <v/>
      </c>
      <c r="L225" s="7">
        <f>IF(OR(F225="",F224=""),"",F225/F224-1)</f>
        <v/>
      </c>
      <c r="M225" s="7">
        <f>IF(OR(G225="",G224=""),"",G225/G224-1)</f>
        <v/>
      </c>
      <c r="N225" s="7">
        <f>IF(G225="","",E225/G225)</f>
        <v/>
      </c>
      <c r="O225" s="7">
        <f>IF(G225="","",F225/G225)</f>
        <v/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4">
        <f>IF(SUMIFS('Daily NSE Equity Cash'!$H:$H,'Daily NSE Equity Cash'!$A:$A,$A226)=0,"",SUMIFS('Daily NSE Equity Cash'!$H:$H,'Daily NSE Equity Cash'!$A:$A,$A226))</f>
        <v/>
      </c>
      <c r="F226" s="4">
        <f>IF(SUMIFS('Daily BSE Equity Cash'!$H:$H,'Daily BSE Equity Cash'!$A:$A,$A226)=0,"",SUMIFS('Daily BSE Equity Cash'!$H:$H,'Daily BSE Equity Cash'!$A:$A,$A226))</f>
        <v/>
      </c>
      <c r="G226" s="4">
        <f>IF(OR(E226="",F226=""),"",E226+F226)</f>
        <v/>
      </c>
      <c r="H226" s="7">
        <f>IFERROR(IF(OR(E226="",INDEX(E:E,MATCH(DATE(YEAR($A226)-1,MONTH($A226),DAY($A226)),$A:$A,0))=""),"",E226/INDEX(E:E,MATCH(DATE(YEAR($A226)-1,MONTH($A226),DAY($A226)),$A:$A,0))-1),"")</f>
        <v/>
      </c>
      <c r="I226" s="7">
        <f>IFERROR(IF(OR(F226="",INDEX(F:F,MATCH(DATE(YEAR($A226)-1,MONTH($A226),DAY($A226)),$A:$A,0))=""),"",F226/INDEX(F:F,MATCH(DATE(YEAR($A226)-1,MONTH($A226),DAY($A226)),$A:$A,0))-1),"")</f>
        <v/>
      </c>
      <c r="J226" s="7">
        <f>IFERROR(IF(OR(G226="",INDEX(G:G,MATCH(DATE(YEAR($A226)-1,MONTH($A226),DAY($A226)),$A:$A,0))=""),"",G226/INDEX(G:G,MATCH(DATE(YEAR($A226)-1,MONTH($A226),DAY($A226)),$A:$A,0))-1),"")</f>
        <v/>
      </c>
      <c r="K226" s="7">
        <f>IF(OR(E226="",E225=""),"",E226/E225-1)</f>
        <v/>
      </c>
      <c r="L226" s="7">
        <f>IF(OR(F226="",F225=""),"",F226/F225-1)</f>
        <v/>
      </c>
      <c r="M226" s="7">
        <f>IF(OR(G226="",G225=""),"",G226/G225-1)</f>
        <v/>
      </c>
      <c r="N226" s="7">
        <f>IF(G226="","",E226/G226)</f>
        <v/>
      </c>
      <c r="O226" s="7">
        <f>IF(G226="","",F226/G226)</f>
        <v/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4">
        <f>IF(SUMIFS('Daily NSE Equity Cash'!$H:$H,'Daily NSE Equity Cash'!$A:$A,$A227)=0,"",SUMIFS('Daily NSE Equity Cash'!$H:$H,'Daily NSE Equity Cash'!$A:$A,$A227))</f>
        <v/>
      </c>
      <c r="F227" s="4">
        <f>IF(SUMIFS('Daily BSE Equity Cash'!$H:$H,'Daily BSE Equity Cash'!$A:$A,$A227)=0,"",SUMIFS('Daily BSE Equity Cash'!$H:$H,'Daily BSE Equity Cash'!$A:$A,$A227))</f>
        <v/>
      </c>
      <c r="G227" s="4">
        <f>IF(OR(E227="",F227=""),"",E227+F227)</f>
        <v/>
      </c>
      <c r="H227" s="7">
        <f>IFERROR(IF(OR(E227="",INDEX(E:E,MATCH(DATE(YEAR($A227)-1,MONTH($A227),DAY($A227)),$A:$A,0))=""),"",E227/INDEX(E:E,MATCH(DATE(YEAR($A227)-1,MONTH($A227),DAY($A227)),$A:$A,0))-1),"")</f>
        <v/>
      </c>
      <c r="I227" s="7">
        <f>IFERROR(IF(OR(F227="",INDEX(F:F,MATCH(DATE(YEAR($A227)-1,MONTH($A227),DAY($A227)),$A:$A,0))=""),"",F227/INDEX(F:F,MATCH(DATE(YEAR($A227)-1,MONTH($A227),DAY($A227)),$A:$A,0))-1),"")</f>
        <v/>
      </c>
      <c r="J227" s="7">
        <f>IFERROR(IF(OR(G227="",INDEX(G:G,MATCH(DATE(YEAR($A227)-1,MONTH($A227),DAY($A227)),$A:$A,0))=""),"",G227/INDEX(G:G,MATCH(DATE(YEAR($A227)-1,MONTH($A227),DAY($A227)),$A:$A,0))-1),"")</f>
        <v/>
      </c>
      <c r="K227" s="7">
        <f>IF(OR(E227="",E226=""),"",E227/E226-1)</f>
        <v/>
      </c>
      <c r="L227" s="7">
        <f>IF(OR(F227="",F226=""),"",F227/F226-1)</f>
        <v/>
      </c>
      <c r="M227" s="7">
        <f>IF(OR(G227="",G226=""),"",G227/G226-1)</f>
        <v/>
      </c>
      <c r="N227" s="7">
        <f>IF(G227="","",E227/G227)</f>
        <v/>
      </c>
      <c r="O227" s="7">
        <f>IF(G227="","",F227/G227)</f>
        <v/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4">
        <f>IF(SUMIFS('Daily NSE Equity Cash'!$H:$H,'Daily NSE Equity Cash'!$A:$A,$A228)=0,"",SUMIFS('Daily NSE Equity Cash'!$H:$H,'Daily NSE Equity Cash'!$A:$A,$A228))</f>
        <v/>
      </c>
      <c r="F228" s="4">
        <f>IF(SUMIFS('Daily BSE Equity Cash'!$H:$H,'Daily BSE Equity Cash'!$A:$A,$A228)=0,"",SUMIFS('Daily BSE Equity Cash'!$H:$H,'Daily BSE Equity Cash'!$A:$A,$A228))</f>
        <v/>
      </c>
      <c r="G228" s="4">
        <f>IF(OR(E228="",F228=""),"",E228+F228)</f>
        <v/>
      </c>
      <c r="H228" s="7">
        <f>IFERROR(IF(OR(E228="",INDEX(E:E,MATCH(DATE(YEAR($A228)-1,MONTH($A228),DAY($A228)),$A:$A,0))=""),"",E228/INDEX(E:E,MATCH(DATE(YEAR($A228)-1,MONTH($A228),DAY($A228)),$A:$A,0))-1),"")</f>
        <v/>
      </c>
      <c r="I228" s="7">
        <f>IFERROR(IF(OR(F228="",INDEX(F:F,MATCH(DATE(YEAR($A228)-1,MONTH($A228),DAY($A228)),$A:$A,0))=""),"",F228/INDEX(F:F,MATCH(DATE(YEAR($A228)-1,MONTH($A228),DAY($A228)),$A:$A,0))-1),"")</f>
        <v/>
      </c>
      <c r="J228" s="7">
        <f>IFERROR(IF(OR(G228="",INDEX(G:G,MATCH(DATE(YEAR($A228)-1,MONTH($A228),DAY($A228)),$A:$A,0))=""),"",G228/INDEX(G:G,MATCH(DATE(YEAR($A228)-1,MONTH($A228),DAY($A228)),$A:$A,0))-1),"")</f>
        <v/>
      </c>
      <c r="K228" s="7">
        <f>IF(OR(E228="",E227=""),"",E228/E227-1)</f>
        <v/>
      </c>
      <c r="L228" s="7">
        <f>IF(OR(F228="",F227=""),"",F228/F227-1)</f>
        <v/>
      </c>
      <c r="M228" s="7">
        <f>IF(OR(G228="",G227=""),"",G228/G227-1)</f>
        <v/>
      </c>
      <c r="N228" s="7">
        <f>IF(G228="","",E228/G228)</f>
        <v/>
      </c>
      <c r="O228" s="7">
        <f>IF(G228="","",F228/G228)</f>
        <v/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4">
        <f>IF(SUMIFS('Daily NSE Equity Cash'!$H:$H,'Daily NSE Equity Cash'!$A:$A,$A229)=0,"",SUMIFS('Daily NSE Equity Cash'!$H:$H,'Daily NSE Equity Cash'!$A:$A,$A229))</f>
        <v/>
      </c>
      <c r="F229" s="4">
        <f>IF(SUMIFS('Daily BSE Equity Cash'!$H:$H,'Daily BSE Equity Cash'!$A:$A,$A229)=0,"",SUMIFS('Daily BSE Equity Cash'!$H:$H,'Daily BSE Equity Cash'!$A:$A,$A229))</f>
        <v/>
      </c>
      <c r="G229" s="4">
        <f>IF(OR(E229="",F229=""),"",E229+F229)</f>
        <v/>
      </c>
      <c r="H229" s="7">
        <f>IFERROR(IF(OR(E229="",INDEX(E:E,MATCH(DATE(YEAR($A229)-1,MONTH($A229),DAY($A229)),$A:$A,0))=""),"",E229/INDEX(E:E,MATCH(DATE(YEAR($A229)-1,MONTH($A229),DAY($A229)),$A:$A,0))-1),"")</f>
        <v/>
      </c>
      <c r="I229" s="7">
        <f>IFERROR(IF(OR(F229="",INDEX(F:F,MATCH(DATE(YEAR($A229)-1,MONTH($A229),DAY($A229)),$A:$A,0))=""),"",F229/INDEX(F:F,MATCH(DATE(YEAR($A229)-1,MONTH($A229),DAY($A229)),$A:$A,0))-1),"")</f>
        <v/>
      </c>
      <c r="J229" s="7">
        <f>IFERROR(IF(OR(G229="",INDEX(G:G,MATCH(DATE(YEAR($A229)-1,MONTH($A229),DAY($A229)),$A:$A,0))=""),"",G229/INDEX(G:G,MATCH(DATE(YEAR($A229)-1,MONTH($A229),DAY($A229)),$A:$A,0))-1),"")</f>
        <v/>
      </c>
      <c r="K229" s="7">
        <f>IF(OR(E229="",E228=""),"",E229/E228-1)</f>
        <v/>
      </c>
      <c r="L229" s="7">
        <f>IF(OR(F229="",F228=""),"",F229/F228-1)</f>
        <v/>
      </c>
      <c r="M229" s="7">
        <f>IF(OR(G229="",G228=""),"",G229/G228-1)</f>
        <v/>
      </c>
      <c r="N229" s="7">
        <f>IF(G229="","",E229/G229)</f>
        <v/>
      </c>
      <c r="O229" s="7">
        <f>IF(G229="","",F229/G229)</f>
        <v/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4">
        <f>IF(SUMIFS('Daily NSE Equity Cash'!$H:$H,'Daily NSE Equity Cash'!$A:$A,$A230)=0,"",SUMIFS('Daily NSE Equity Cash'!$H:$H,'Daily NSE Equity Cash'!$A:$A,$A230))</f>
        <v/>
      </c>
      <c r="F230" s="4">
        <f>IF(SUMIFS('Daily BSE Equity Cash'!$H:$H,'Daily BSE Equity Cash'!$A:$A,$A230)=0,"",SUMIFS('Daily BSE Equity Cash'!$H:$H,'Daily BSE Equity Cash'!$A:$A,$A230))</f>
        <v/>
      </c>
      <c r="G230" s="4">
        <f>IF(OR(E230="",F230=""),"",E230+F230)</f>
        <v/>
      </c>
      <c r="H230" s="7">
        <f>IFERROR(IF(OR(E230="",INDEX(E:E,MATCH(DATE(YEAR($A230)-1,MONTH($A230),DAY($A230)),$A:$A,0))=""),"",E230/INDEX(E:E,MATCH(DATE(YEAR($A230)-1,MONTH($A230),DAY($A230)),$A:$A,0))-1),"")</f>
        <v/>
      </c>
      <c r="I230" s="7">
        <f>IFERROR(IF(OR(F230="",INDEX(F:F,MATCH(DATE(YEAR($A230)-1,MONTH($A230),DAY($A230)),$A:$A,0))=""),"",F230/INDEX(F:F,MATCH(DATE(YEAR($A230)-1,MONTH($A230),DAY($A230)),$A:$A,0))-1),"")</f>
        <v/>
      </c>
      <c r="J230" s="7">
        <f>IFERROR(IF(OR(G230="",INDEX(G:G,MATCH(DATE(YEAR($A230)-1,MONTH($A230),DAY($A230)),$A:$A,0))=""),"",G230/INDEX(G:G,MATCH(DATE(YEAR($A230)-1,MONTH($A230),DAY($A230)),$A:$A,0))-1),"")</f>
        <v/>
      </c>
      <c r="K230" s="7">
        <f>IF(OR(E230="",E229=""),"",E230/E229-1)</f>
        <v/>
      </c>
      <c r="L230" s="7">
        <f>IF(OR(F230="",F229=""),"",F230/F229-1)</f>
        <v/>
      </c>
      <c r="M230" s="7">
        <f>IF(OR(G230="",G229=""),"",G230/G229-1)</f>
        <v/>
      </c>
      <c r="N230" s="7">
        <f>IF(G230="","",E230/G230)</f>
        <v/>
      </c>
      <c r="O230" s="7">
        <f>IF(G230="","",F230/G230)</f>
        <v/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4">
        <f>IF(SUMIFS('Daily NSE Equity Cash'!$H:$H,'Daily NSE Equity Cash'!$A:$A,$A231)=0,"",SUMIFS('Daily NSE Equity Cash'!$H:$H,'Daily NSE Equity Cash'!$A:$A,$A231))</f>
        <v/>
      </c>
      <c r="F231" s="4">
        <f>IF(SUMIFS('Daily BSE Equity Cash'!$H:$H,'Daily BSE Equity Cash'!$A:$A,$A231)=0,"",SUMIFS('Daily BSE Equity Cash'!$H:$H,'Daily BSE Equity Cash'!$A:$A,$A231))</f>
        <v/>
      </c>
      <c r="G231" s="4">
        <f>IF(OR(E231="",F231=""),"",E231+F231)</f>
        <v/>
      </c>
      <c r="H231" s="7">
        <f>IFERROR(IF(OR(E231="",INDEX(E:E,MATCH(DATE(YEAR($A231)-1,MONTH($A231),DAY($A231)),$A:$A,0))=""),"",E231/INDEX(E:E,MATCH(DATE(YEAR($A231)-1,MONTH($A231),DAY($A231)),$A:$A,0))-1),"")</f>
        <v/>
      </c>
      <c r="I231" s="7">
        <f>IFERROR(IF(OR(F231="",INDEX(F:F,MATCH(DATE(YEAR($A231)-1,MONTH($A231),DAY($A231)),$A:$A,0))=""),"",F231/INDEX(F:F,MATCH(DATE(YEAR($A231)-1,MONTH($A231),DAY($A231)),$A:$A,0))-1),"")</f>
        <v/>
      </c>
      <c r="J231" s="7">
        <f>IFERROR(IF(OR(G231="",INDEX(G:G,MATCH(DATE(YEAR($A231)-1,MONTH($A231),DAY($A231)),$A:$A,0))=""),"",G231/INDEX(G:G,MATCH(DATE(YEAR($A231)-1,MONTH($A231),DAY($A231)),$A:$A,0))-1),"")</f>
        <v/>
      </c>
      <c r="K231" s="7">
        <f>IF(OR(E231="",E230=""),"",E231/E230-1)</f>
        <v/>
      </c>
      <c r="L231" s="7">
        <f>IF(OR(F231="",F230=""),"",F231/F230-1)</f>
        <v/>
      </c>
      <c r="M231" s="7">
        <f>IF(OR(G231="",G230=""),"",G231/G230-1)</f>
        <v/>
      </c>
      <c r="N231" s="7">
        <f>IF(G231="","",E231/G231)</f>
        <v/>
      </c>
      <c r="O231" s="7">
        <f>IF(G231="","",F231/G231)</f>
        <v/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4">
        <f>IF(SUMIFS('Daily NSE Equity Cash'!$H:$H,'Daily NSE Equity Cash'!$A:$A,$A232)=0,"",SUMIFS('Daily NSE Equity Cash'!$H:$H,'Daily NSE Equity Cash'!$A:$A,$A232))</f>
        <v/>
      </c>
      <c r="F232" s="4">
        <f>IF(SUMIFS('Daily BSE Equity Cash'!$H:$H,'Daily BSE Equity Cash'!$A:$A,$A232)=0,"",SUMIFS('Daily BSE Equity Cash'!$H:$H,'Daily BSE Equity Cash'!$A:$A,$A232))</f>
        <v/>
      </c>
      <c r="G232" s="4">
        <f>IF(OR(E232="",F232=""),"",E232+F232)</f>
        <v/>
      </c>
      <c r="H232" s="7">
        <f>IFERROR(IF(OR(E232="",INDEX(E:E,MATCH(DATE(YEAR($A232)-1,MONTH($A232),DAY($A232)),$A:$A,0))=""),"",E232/INDEX(E:E,MATCH(DATE(YEAR($A232)-1,MONTH($A232),DAY($A232)),$A:$A,0))-1),"")</f>
        <v/>
      </c>
      <c r="I232" s="7">
        <f>IFERROR(IF(OR(F232="",INDEX(F:F,MATCH(DATE(YEAR($A232)-1,MONTH($A232),DAY($A232)),$A:$A,0))=""),"",F232/INDEX(F:F,MATCH(DATE(YEAR($A232)-1,MONTH($A232),DAY($A232)),$A:$A,0))-1),"")</f>
        <v/>
      </c>
      <c r="J232" s="7">
        <f>IFERROR(IF(OR(G232="",INDEX(G:G,MATCH(DATE(YEAR($A232)-1,MONTH($A232),DAY($A232)),$A:$A,0))=""),"",G232/INDEX(G:G,MATCH(DATE(YEAR($A232)-1,MONTH($A232),DAY($A232)),$A:$A,0))-1),"")</f>
        <v/>
      </c>
      <c r="K232" s="7">
        <f>IF(OR(E232="",E231=""),"",E232/E231-1)</f>
        <v/>
      </c>
      <c r="L232" s="7">
        <f>IF(OR(F232="",F231=""),"",F232/F231-1)</f>
        <v/>
      </c>
      <c r="M232" s="7">
        <f>IF(OR(G232="",G231=""),"",G232/G231-1)</f>
        <v/>
      </c>
      <c r="N232" s="7">
        <f>IF(G232="","",E232/G232)</f>
        <v/>
      </c>
      <c r="O232" s="7">
        <f>IF(G232="","",F232/G232)</f>
        <v/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4">
        <f>IF(SUMIFS('Daily NSE Equity Cash'!$H:$H,'Daily NSE Equity Cash'!$A:$A,$A233)=0,"",SUMIFS('Daily NSE Equity Cash'!$H:$H,'Daily NSE Equity Cash'!$A:$A,$A233))</f>
        <v/>
      </c>
      <c r="F233" s="4">
        <f>IF(SUMIFS('Daily BSE Equity Cash'!$H:$H,'Daily BSE Equity Cash'!$A:$A,$A233)=0,"",SUMIFS('Daily BSE Equity Cash'!$H:$H,'Daily BSE Equity Cash'!$A:$A,$A233))</f>
        <v/>
      </c>
      <c r="G233" s="4">
        <f>IF(OR(E233="",F233=""),"",E233+F233)</f>
        <v/>
      </c>
      <c r="H233" s="7">
        <f>IFERROR(IF(OR(E233="",INDEX(E:E,MATCH(DATE(YEAR($A233)-1,MONTH($A233),DAY($A233)),$A:$A,0))=""),"",E233/INDEX(E:E,MATCH(DATE(YEAR($A233)-1,MONTH($A233),DAY($A233)),$A:$A,0))-1),"")</f>
        <v/>
      </c>
      <c r="I233" s="7">
        <f>IFERROR(IF(OR(F233="",INDEX(F:F,MATCH(DATE(YEAR($A233)-1,MONTH($A233),DAY($A233)),$A:$A,0))=""),"",F233/INDEX(F:F,MATCH(DATE(YEAR($A233)-1,MONTH($A233),DAY($A233)),$A:$A,0))-1),"")</f>
        <v/>
      </c>
      <c r="J233" s="7">
        <f>IFERROR(IF(OR(G233="",INDEX(G:G,MATCH(DATE(YEAR($A233)-1,MONTH($A233),DAY($A233)),$A:$A,0))=""),"",G233/INDEX(G:G,MATCH(DATE(YEAR($A233)-1,MONTH($A233),DAY($A233)),$A:$A,0))-1),"")</f>
        <v/>
      </c>
      <c r="K233" s="7">
        <f>IF(OR(E233="",E232=""),"",E233/E232-1)</f>
        <v/>
      </c>
      <c r="L233" s="7">
        <f>IF(OR(F233="",F232=""),"",F233/F232-1)</f>
        <v/>
      </c>
      <c r="M233" s="7">
        <f>IF(OR(G233="",G232=""),"",G233/G232-1)</f>
        <v/>
      </c>
      <c r="N233" s="7">
        <f>IF(G233="","",E233/G233)</f>
        <v/>
      </c>
      <c r="O233" s="7">
        <f>IF(G233="","",F233/G233)</f>
        <v/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4">
        <f>IF(SUMIFS('Daily NSE Equity Cash'!$H:$H,'Daily NSE Equity Cash'!$A:$A,$A234)=0,"",SUMIFS('Daily NSE Equity Cash'!$H:$H,'Daily NSE Equity Cash'!$A:$A,$A234))</f>
        <v/>
      </c>
      <c r="F234" s="4">
        <f>IF(SUMIFS('Daily BSE Equity Cash'!$H:$H,'Daily BSE Equity Cash'!$A:$A,$A234)=0,"",SUMIFS('Daily BSE Equity Cash'!$H:$H,'Daily BSE Equity Cash'!$A:$A,$A234))</f>
        <v/>
      </c>
      <c r="G234" s="4">
        <f>IF(OR(E234="",F234=""),"",E234+F234)</f>
        <v/>
      </c>
      <c r="H234" s="7">
        <f>IFERROR(IF(OR(E234="",INDEX(E:E,MATCH(DATE(YEAR($A234)-1,MONTH($A234),DAY($A234)),$A:$A,0))=""),"",E234/INDEX(E:E,MATCH(DATE(YEAR($A234)-1,MONTH($A234),DAY($A234)),$A:$A,0))-1),"")</f>
        <v/>
      </c>
      <c r="I234" s="7">
        <f>IFERROR(IF(OR(F234="",INDEX(F:F,MATCH(DATE(YEAR($A234)-1,MONTH($A234),DAY($A234)),$A:$A,0))=""),"",F234/INDEX(F:F,MATCH(DATE(YEAR($A234)-1,MONTH($A234),DAY($A234)),$A:$A,0))-1),"")</f>
        <v/>
      </c>
      <c r="J234" s="7">
        <f>IFERROR(IF(OR(G234="",INDEX(G:G,MATCH(DATE(YEAR($A234)-1,MONTH($A234),DAY($A234)),$A:$A,0))=""),"",G234/INDEX(G:G,MATCH(DATE(YEAR($A234)-1,MONTH($A234),DAY($A234)),$A:$A,0))-1),"")</f>
        <v/>
      </c>
      <c r="K234" s="7">
        <f>IF(OR(E234="",E233=""),"",E234/E233-1)</f>
        <v/>
      </c>
      <c r="L234" s="7">
        <f>IF(OR(F234="",F233=""),"",F234/F233-1)</f>
        <v/>
      </c>
      <c r="M234" s="7">
        <f>IF(OR(G234="",G233=""),"",G234/G233-1)</f>
        <v/>
      </c>
      <c r="N234" s="7">
        <f>IF(G234="","",E234/G234)</f>
        <v/>
      </c>
      <c r="O234" s="7">
        <f>IF(G234="","",F234/G234)</f>
        <v/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4">
        <f>IF(SUMIFS('Daily NSE Equity Cash'!$H:$H,'Daily NSE Equity Cash'!$A:$A,$A235)=0,"",SUMIFS('Daily NSE Equity Cash'!$H:$H,'Daily NSE Equity Cash'!$A:$A,$A235))</f>
        <v/>
      </c>
      <c r="F235" s="4">
        <f>IF(SUMIFS('Daily BSE Equity Cash'!$H:$H,'Daily BSE Equity Cash'!$A:$A,$A235)=0,"",SUMIFS('Daily BSE Equity Cash'!$H:$H,'Daily BSE Equity Cash'!$A:$A,$A235))</f>
        <v/>
      </c>
      <c r="G235" s="4">
        <f>IF(OR(E235="",F235=""),"",E235+F235)</f>
        <v/>
      </c>
      <c r="H235" s="7">
        <f>IFERROR(IF(OR(E235="",INDEX(E:E,MATCH(DATE(YEAR($A235)-1,MONTH($A235),DAY($A235)),$A:$A,0))=""),"",E235/INDEX(E:E,MATCH(DATE(YEAR($A235)-1,MONTH($A235),DAY($A235)),$A:$A,0))-1),"")</f>
        <v/>
      </c>
      <c r="I235" s="7">
        <f>IFERROR(IF(OR(F235="",INDEX(F:F,MATCH(DATE(YEAR($A235)-1,MONTH($A235),DAY($A235)),$A:$A,0))=""),"",F235/INDEX(F:F,MATCH(DATE(YEAR($A235)-1,MONTH($A235),DAY($A235)),$A:$A,0))-1),"")</f>
        <v/>
      </c>
      <c r="J235" s="7">
        <f>IFERROR(IF(OR(G235="",INDEX(G:G,MATCH(DATE(YEAR($A235)-1,MONTH($A235),DAY($A235)),$A:$A,0))=""),"",G235/INDEX(G:G,MATCH(DATE(YEAR($A235)-1,MONTH($A235),DAY($A235)),$A:$A,0))-1),"")</f>
        <v/>
      </c>
      <c r="K235" s="7">
        <f>IF(OR(E235="",E234=""),"",E235/E234-1)</f>
        <v/>
      </c>
      <c r="L235" s="7">
        <f>IF(OR(F235="",F234=""),"",F235/F234-1)</f>
        <v/>
      </c>
      <c r="M235" s="7">
        <f>IF(OR(G235="",G234=""),"",G235/G234-1)</f>
        <v/>
      </c>
      <c r="N235" s="7">
        <f>IF(G235="","",E235/G235)</f>
        <v/>
      </c>
      <c r="O235" s="7">
        <f>IF(G235="","",F235/G235)</f>
        <v/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4">
        <f>IF(SUMIFS('Daily NSE Equity Cash'!$H:$H,'Daily NSE Equity Cash'!$A:$A,$A236)=0,"",SUMIFS('Daily NSE Equity Cash'!$H:$H,'Daily NSE Equity Cash'!$A:$A,$A236))</f>
        <v/>
      </c>
      <c r="F236" s="4">
        <f>IF(SUMIFS('Daily BSE Equity Cash'!$H:$H,'Daily BSE Equity Cash'!$A:$A,$A236)=0,"",SUMIFS('Daily BSE Equity Cash'!$H:$H,'Daily BSE Equity Cash'!$A:$A,$A236))</f>
        <v/>
      </c>
      <c r="G236" s="4">
        <f>IF(OR(E236="",F236=""),"",E236+F236)</f>
        <v/>
      </c>
      <c r="H236" s="7">
        <f>IFERROR(IF(OR(E236="",INDEX(E:E,MATCH(DATE(YEAR($A236)-1,MONTH($A236),DAY($A236)),$A:$A,0))=""),"",E236/INDEX(E:E,MATCH(DATE(YEAR($A236)-1,MONTH($A236),DAY($A236)),$A:$A,0))-1),"")</f>
        <v/>
      </c>
      <c r="I236" s="7">
        <f>IFERROR(IF(OR(F236="",INDEX(F:F,MATCH(DATE(YEAR($A236)-1,MONTH($A236),DAY($A236)),$A:$A,0))=""),"",F236/INDEX(F:F,MATCH(DATE(YEAR($A236)-1,MONTH($A236),DAY($A236)),$A:$A,0))-1),"")</f>
        <v/>
      </c>
      <c r="J236" s="7">
        <f>IFERROR(IF(OR(G236="",INDEX(G:G,MATCH(DATE(YEAR($A236)-1,MONTH($A236),DAY($A236)),$A:$A,0))=""),"",G236/INDEX(G:G,MATCH(DATE(YEAR($A236)-1,MONTH($A236),DAY($A236)),$A:$A,0))-1),"")</f>
        <v/>
      </c>
      <c r="K236" s="7">
        <f>IF(OR(E236="",E235=""),"",E236/E235-1)</f>
        <v/>
      </c>
      <c r="L236" s="7">
        <f>IF(OR(F236="",F235=""),"",F236/F235-1)</f>
        <v/>
      </c>
      <c r="M236" s="7">
        <f>IF(OR(G236="",G235=""),"",G236/G235-1)</f>
        <v/>
      </c>
      <c r="N236" s="7">
        <f>IF(G236="","",E236/G236)</f>
        <v/>
      </c>
      <c r="O236" s="7">
        <f>IF(G236="","",F236/G236)</f>
        <v/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4">
        <f>IF(SUMIFS('Daily NSE Equity Cash'!$H:$H,'Daily NSE Equity Cash'!$A:$A,$A237)=0,"",SUMIFS('Daily NSE Equity Cash'!$H:$H,'Daily NSE Equity Cash'!$A:$A,$A237))</f>
        <v/>
      </c>
      <c r="F237" s="4">
        <f>IF(SUMIFS('Daily BSE Equity Cash'!$H:$H,'Daily BSE Equity Cash'!$A:$A,$A237)=0,"",SUMIFS('Daily BSE Equity Cash'!$H:$H,'Daily BSE Equity Cash'!$A:$A,$A237))</f>
        <v/>
      </c>
      <c r="G237" s="4">
        <f>IF(OR(E237="",F237=""),"",E237+F237)</f>
        <v/>
      </c>
      <c r="H237" s="7">
        <f>IFERROR(IF(OR(E237="",INDEX(E:E,MATCH(DATE(YEAR($A237)-1,MONTH($A237),DAY($A237)),$A:$A,0))=""),"",E237/INDEX(E:E,MATCH(DATE(YEAR($A237)-1,MONTH($A237),DAY($A237)),$A:$A,0))-1),"")</f>
        <v/>
      </c>
      <c r="I237" s="7">
        <f>IFERROR(IF(OR(F237="",INDEX(F:F,MATCH(DATE(YEAR($A237)-1,MONTH($A237),DAY($A237)),$A:$A,0))=""),"",F237/INDEX(F:F,MATCH(DATE(YEAR($A237)-1,MONTH($A237),DAY($A237)),$A:$A,0))-1),"")</f>
        <v/>
      </c>
      <c r="J237" s="7">
        <f>IFERROR(IF(OR(G237="",INDEX(G:G,MATCH(DATE(YEAR($A237)-1,MONTH($A237),DAY($A237)),$A:$A,0))=""),"",G237/INDEX(G:G,MATCH(DATE(YEAR($A237)-1,MONTH($A237),DAY($A237)),$A:$A,0))-1),"")</f>
        <v/>
      </c>
      <c r="K237" s="7">
        <f>IF(OR(E237="",E236=""),"",E237/E236-1)</f>
        <v/>
      </c>
      <c r="L237" s="7">
        <f>IF(OR(F237="",F236=""),"",F237/F236-1)</f>
        <v/>
      </c>
      <c r="M237" s="7">
        <f>IF(OR(G237="",G236=""),"",G237/G236-1)</f>
        <v/>
      </c>
      <c r="N237" s="7">
        <f>IF(G237="","",E237/G237)</f>
        <v/>
      </c>
      <c r="O237" s="7">
        <f>IF(G237="","",F237/G237)</f>
        <v/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4">
        <f>IF(SUMIFS('Daily NSE Equity Cash'!$H:$H,'Daily NSE Equity Cash'!$A:$A,$A238)=0,"",SUMIFS('Daily NSE Equity Cash'!$H:$H,'Daily NSE Equity Cash'!$A:$A,$A238))</f>
        <v/>
      </c>
      <c r="F238" s="4">
        <f>IF(SUMIFS('Daily BSE Equity Cash'!$H:$H,'Daily BSE Equity Cash'!$A:$A,$A238)=0,"",SUMIFS('Daily BSE Equity Cash'!$H:$H,'Daily BSE Equity Cash'!$A:$A,$A238))</f>
        <v/>
      </c>
      <c r="G238" s="4">
        <f>IF(OR(E238="",F238=""),"",E238+F238)</f>
        <v/>
      </c>
      <c r="H238" s="7">
        <f>IFERROR(IF(OR(E238="",INDEX(E:E,MATCH(DATE(YEAR($A238)-1,MONTH($A238),DAY($A238)),$A:$A,0))=""),"",E238/INDEX(E:E,MATCH(DATE(YEAR($A238)-1,MONTH($A238),DAY($A238)),$A:$A,0))-1),"")</f>
        <v/>
      </c>
      <c r="I238" s="7">
        <f>IFERROR(IF(OR(F238="",INDEX(F:F,MATCH(DATE(YEAR($A238)-1,MONTH($A238),DAY($A238)),$A:$A,0))=""),"",F238/INDEX(F:F,MATCH(DATE(YEAR($A238)-1,MONTH($A238),DAY($A238)),$A:$A,0))-1),"")</f>
        <v/>
      </c>
      <c r="J238" s="7">
        <f>IFERROR(IF(OR(G238="",INDEX(G:G,MATCH(DATE(YEAR($A238)-1,MONTH($A238),DAY($A238)),$A:$A,0))=""),"",G238/INDEX(G:G,MATCH(DATE(YEAR($A238)-1,MONTH($A238),DAY($A238)),$A:$A,0))-1),"")</f>
        <v/>
      </c>
      <c r="K238" s="7">
        <f>IF(OR(E238="",E237=""),"",E238/E237-1)</f>
        <v/>
      </c>
      <c r="L238" s="7">
        <f>IF(OR(F238="",F237=""),"",F238/F237-1)</f>
        <v/>
      </c>
      <c r="M238" s="7">
        <f>IF(OR(G238="",G237=""),"",G238/G237-1)</f>
        <v/>
      </c>
      <c r="N238" s="7">
        <f>IF(G238="","",E238/G238)</f>
        <v/>
      </c>
      <c r="O238" s="7">
        <f>IF(G238="","",F238/G238)</f>
        <v/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4">
        <f>IF(SUMIFS('Daily NSE Equity Cash'!$H:$H,'Daily NSE Equity Cash'!$A:$A,$A239)=0,"",SUMIFS('Daily NSE Equity Cash'!$H:$H,'Daily NSE Equity Cash'!$A:$A,$A239))</f>
        <v/>
      </c>
      <c r="F239" s="4">
        <f>IF(SUMIFS('Daily BSE Equity Cash'!$H:$H,'Daily BSE Equity Cash'!$A:$A,$A239)=0,"",SUMIFS('Daily BSE Equity Cash'!$H:$H,'Daily BSE Equity Cash'!$A:$A,$A239))</f>
        <v/>
      </c>
      <c r="G239" s="4">
        <f>IF(OR(E239="",F239=""),"",E239+F239)</f>
        <v/>
      </c>
      <c r="H239" s="7">
        <f>IFERROR(IF(OR(E239="",INDEX(E:E,MATCH(DATE(YEAR($A239)-1,MONTH($A239),DAY($A239)),$A:$A,0))=""),"",E239/INDEX(E:E,MATCH(DATE(YEAR($A239)-1,MONTH($A239),DAY($A239)),$A:$A,0))-1),"")</f>
        <v/>
      </c>
      <c r="I239" s="7">
        <f>IFERROR(IF(OR(F239="",INDEX(F:F,MATCH(DATE(YEAR($A239)-1,MONTH($A239),DAY($A239)),$A:$A,0))=""),"",F239/INDEX(F:F,MATCH(DATE(YEAR($A239)-1,MONTH($A239),DAY($A239)),$A:$A,0))-1),"")</f>
        <v/>
      </c>
      <c r="J239" s="7">
        <f>IFERROR(IF(OR(G239="",INDEX(G:G,MATCH(DATE(YEAR($A239)-1,MONTH($A239),DAY($A239)),$A:$A,0))=""),"",G239/INDEX(G:G,MATCH(DATE(YEAR($A239)-1,MONTH($A239),DAY($A239)),$A:$A,0))-1),"")</f>
        <v/>
      </c>
      <c r="K239" s="7">
        <f>IF(OR(E239="",E238=""),"",E239/E238-1)</f>
        <v/>
      </c>
      <c r="L239" s="7">
        <f>IF(OR(F239="",F238=""),"",F239/F238-1)</f>
        <v/>
      </c>
      <c r="M239" s="7">
        <f>IF(OR(G239="",G238=""),"",G239/G238-1)</f>
        <v/>
      </c>
      <c r="N239" s="7">
        <f>IF(G239="","",E239/G239)</f>
        <v/>
      </c>
      <c r="O239" s="7">
        <f>IF(G239="","",F239/G239)</f>
        <v/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4">
        <f>IF(SUMIFS('Daily NSE Equity Cash'!$H:$H,'Daily NSE Equity Cash'!$A:$A,$A240)=0,"",SUMIFS('Daily NSE Equity Cash'!$H:$H,'Daily NSE Equity Cash'!$A:$A,$A240))</f>
        <v/>
      </c>
      <c r="F240" s="4">
        <f>IF(SUMIFS('Daily BSE Equity Cash'!$H:$H,'Daily BSE Equity Cash'!$A:$A,$A240)=0,"",SUMIFS('Daily BSE Equity Cash'!$H:$H,'Daily BSE Equity Cash'!$A:$A,$A240))</f>
        <v/>
      </c>
      <c r="G240" s="4">
        <f>IF(OR(E240="",F240=""),"",E240+F240)</f>
        <v/>
      </c>
      <c r="H240" s="7">
        <f>IFERROR(IF(OR(E240="",INDEX(E:E,MATCH(DATE(YEAR($A240)-1,MONTH($A240),DAY($A240)),$A:$A,0))=""),"",E240/INDEX(E:E,MATCH(DATE(YEAR($A240)-1,MONTH($A240),DAY($A240)),$A:$A,0))-1),"")</f>
        <v/>
      </c>
      <c r="I240" s="7">
        <f>IFERROR(IF(OR(F240="",INDEX(F:F,MATCH(DATE(YEAR($A240)-1,MONTH($A240),DAY($A240)),$A:$A,0))=""),"",F240/INDEX(F:F,MATCH(DATE(YEAR($A240)-1,MONTH($A240),DAY($A240)),$A:$A,0))-1),"")</f>
        <v/>
      </c>
      <c r="J240" s="7">
        <f>IFERROR(IF(OR(G240="",INDEX(G:G,MATCH(DATE(YEAR($A240)-1,MONTH($A240),DAY($A240)),$A:$A,0))=""),"",G240/INDEX(G:G,MATCH(DATE(YEAR($A240)-1,MONTH($A240),DAY($A240)),$A:$A,0))-1),"")</f>
        <v/>
      </c>
      <c r="K240" s="7">
        <f>IF(OR(E240="",E239=""),"",E240/E239-1)</f>
        <v/>
      </c>
      <c r="L240" s="7">
        <f>IF(OR(F240="",F239=""),"",F240/F239-1)</f>
        <v/>
      </c>
      <c r="M240" s="7">
        <f>IF(OR(G240="",G239=""),"",G240/G239-1)</f>
        <v/>
      </c>
      <c r="N240" s="7">
        <f>IF(G240="","",E240/G240)</f>
        <v/>
      </c>
      <c r="O240" s="7">
        <f>IF(G240="","",F240/G240)</f>
        <v/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4">
        <f>IF(SUMIFS('Daily NSE Equity Cash'!$H:$H,'Daily NSE Equity Cash'!$A:$A,$A241)=0,"",SUMIFS('Daily NSE Equity Cash'!$H:$H,'Daily NSE Equity Cash'!$A:$A,$A241))</f>
        <v/>
      </c>
      <c r="F241" s="4">
        <f>IF(SUMIFS('Daily BSE Equity Cash'!$H:$H,'Daily BSE Equity Cash'!$A:$A,$A241)=0,"",SUMIFS('Daily BSE Equity Cash'!$H:$H,'Daily BSE Equity Cash'!$A:$A,$A241))</f>
        <v/>
      </c>
      <c r="G241" s="4">
        <f>IF(OR(E241="",F241=""),"",E241+F241)</f>
        <v/>
      </c>
      <c r="H241" s="7">
        <f>IFERROR(IF(OR(E241="",INDEX(E:E,MATCH(DATE(YEAR($A241)-1,MONTH($A241),DAY($A241)),$A:$A,0))=""),"",E241/INDEX(E:E,MATCH(DATE(YEAR($A241)-1,MONTH($A241),DAY($A241)),$A:$A,0))-1),"")</f>
        <v/>
      </c>
      <c r="I241" s="7">
        <f>IFERROR(IF(OR(F241="",INDEX(F:F,MATCH(DATE(YEAR($A241)-1,MONTH($A241),DAY($A241)),$A:$A,0))=""),"",F241/INDEX(F:F,MATCH(DATE(YEAR($A241)-1,MONTH($A241),DAY($A241)),$A:$A,0))-1),"")</f>
        <v/>
      </c>
      <c r="J241" s="7">
        <f>IFERROR(IF(OR(G241="",INDEX(G:G,MATCH(DATE(YEAR($A241)-1,MONTH($A241),DAY($A241)),$A:$A,0))=""),"",G241/INDEX(G:G,MATCH(DATE(YEAR($A241)-1,MONTH($A241),DAY($A241)),$A:$A,0))-1),"")</f>
        <v/>
      </c>
      <c r="K241" s="7">
        <f>IF(OR(E241="",E240=""),"",E241/E240-1)</f>
        <v/>
      </c>
      <c r="L241" s="7">
        <f>IF(OR(F241="",F240=""),"",F241/F240-1)</f>
        <v/>
      </c>
      <c r="M241" s="7">
        <f>IF(OR(G241="",G240=""),"",G241/G240-1)</f>
        <v/>
      </c>
      <c r="N241" s="7">
        <f>IF(G241="","",E241/G241)</f>
        <v/>
      </c>
      <c r="O241" s="7">
        <f>IF(G241="","",F241/G241)</f>
        <v/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4">
        <f>IF(SUMIFS('Daily NSE Equity Cash'!$H:$H,'Daily NSE Equity Cash'!$A:$A,$A242)=0,"",SUMIFS('Daily NSE Equity Cash'!$H:$H,'Daily NSE Equity Cash'!$A:$A,$A242))</f>
        <v/>
      </c>
      <c r="F242" s="4">
        <f>IF(SUMIFS('Daily BSE Equity Cash'!$H:$H,'Daily BSE Equity Cash'!$A:$A,$A242)=0,"",SUMIFS('Daily BSE Equity Cash'!$H:$H,'Daily BSE Equity Cash'!$A:$A,$A242))</f>
        <v/>
      </c>
      <c r="G242" s="4">
        <f>IF(OR(E242="",F242=""),"",E242+F242)</f>
        <v/>
      </c>
      <c r="H242" s="7">
        <f>IFERROR(IF(OR(E242="",INDEX(E:E,MATCH(DATE(YEAR($A242)-1,MONTH($A242),DAY($A242)),$A:$A,0))=""),"",E242/INDEX(E:E,MATCH(DATE(YEAR($A242)-1,MONTH($A242),DAY($A242)),$A:$A,0))-1),"")</f>
        <v/>
      </c>
      <c r="I242" s="7">
        <f>IFERROR(IF(OR(F242="",INDEX(F:F,MATCH(DATE(YEAR($A242)-1,MONTH($A242),DAY($A242)),$A:$A,0))=""),"",F242/INDEX(F:F,MATCH(DATE(YEAR($A242)-1,MONTH($A242),DAY($A242)),$A:$A,0))-1),"")</f>
        <v/>
      </c>
      <c r="J242" s="7">
        <f>IFERROR(IF(OR(G242="",INDEX(G:G,MATCH(DATE(YEAR($A242)-1,MONTH($A242),DAY($A242)),$A:$A,0))=""),"",G242/INDEX(G:G,MATCH(DATE(YEAR($A242)-1,MONTH($A242),DAY($A242)),$A:$A,0))-1),"")</f>
        <v/>
      </c>
      <c r="K242" s="7">
        <f>IF(OR(E242="",E241=""),"",E242/E241-1)</f>
        <v/>
      </c>
      <c r="L242" s="7">
        <f>IF(OR(F242="",F241=""),"",F242/F241-1)</f>
        <v/>
      </c>
      <c r="M242" s="7">
        <f>IF(OR(G242="",G241=""),"",G242/G241-1)</f>
        <v/>
      </c>
      <c r="N242" s="7">
        <f>IF(G242="","",E242/G242)</f>
        <v/>
      </c>
      <c r="O242" s="7">
        <f>IF(G242="","",F242/G242)</f>
        <v/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4">
        <f>IF(SUMIFS('Daily NSE Equity Cash'!$H:$H,'Daily NSE Equity Cash'!$A:$A,$A243)=0,"",SUMIFS('Daily NSE Equity Cash'!$H:$H,'Daily NSE Equity Cash'!$A:$A,$A243))</f>
        <v/>
      </c>
      <c r="F243" s="4">
        <f>IF(SUMIFS('Daily BSE Equity Cash'!$H:$H,'Daily BSE Equity Cash'!$A:$A,$A243)=0,"",SUMIFS('Daily BSE Equity Cash'!$H:$H,'Daily BSE Equity Cash'!$A:$A,$A243))</f>
        <v/>
      </c>
      <c r="G243" s="4">
        <f>IF(OR(E243="",F243=""),"",E243+F243)</f>
        <v/>
      </c>
      <c r="H243" s="7">
        <f>IFERROR(IF(OR(E243="",INDEX(E:E,MATCH(DATE(YEAR($A243)-1,MONTH($A243),DAY($A243)),$A:$A,0))=""),"",E243/INDEX(E:E,MATCH(DATE(YEAR($A243)-1,MONTH($A243),DAY($A243)),$A:$A,0))-1),"")</f>
        <v/>
      </c>
      <c r="I243" s="7">
        <f>IFERROR(IF(OR(F243="",INDEX(F:F,MATCH(DATE(YEAR($A243)-1,MONTH($A243),DAY($A243)),$A:$A,0))=""),"",F243/INDEX(F:F,MATCH(DATE(YEAR($A243)-1,MONTH($A243),DAY($A243)),$A:$A,0))-1),"")</f>
        <v/>
      </c>
      <c r="J243" s="7">
        <f>IFERROR(IF(OR(G243="",INDEX(G:G,MATCH(DATE(YEAR($A243)-1,MONTH($A243),DAY($A243)),$A:$A,0))=""),"",G243/INDEX(G:G,MATCH(DATE(YEAR($A243)-1,MONTH($A243),DAY($A243)),$A:$A,0))-1),"")</f>
        <v/>
      </c>
      <c r="K243" s="7">
        <f>IF(OR(E243="",E242=""),"",E243/E242-1)</f>
        <v/>
      </c>
      <c r="L243" s="7">
        <f>IF(OR(F243="",F242=""),"",F243/F242-1)</f>
        <v/>
      </c>
      <c r="M243" s="7">
        <f>IF(OR(G243="",G242=""),"",G243/G242-1)</f>
        <v/>
      </c>
      <c r="N243" s="7">
        <f>IF(G243="","",E243/G243)</f>
        <v/>
      </c>
      <c r="O243" s="7">
        <f>IF(G243="","",F243/G243)</f>
        <v/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4">
        <f>IF(SUMIFS('Daily NSE Equity Cash'!$H:$H,'Daily NSE Equity Cash'!$A:$A,$A244)=0,"",SUMIFS('Daily NSE Equity Cash'!$H:$H,'Daily NSE Equity Cash'!$A:$A,$A244))</f>
        <v/>
      </c>
      <c r="F244" s="4">
        <f>IF(SUMIFS('Daily BSE Equity Cash'!$H:$H,'Daily BSE Equity Cash'!$A:$A,$A244)=0,"",SUMIFS('Daily BSE Equity Cash'!$H:$H,'Daily BSE Equity Cash'!$A:$A,$A244))</f>
        <v/>
      </c>
      <c r="G244" s="4">
        <f>IF(OR(E244="",F244=""),"",E244+F244)</f>
        <v/>
      </c>
      <c r="H244" s="7">
        <f>IFERROR(IF(OR(E244="",INDEX(E:E,MATCH(DATE(YEAR($A244)-1,MONTH($A244),DAY($A244)),$A:$A,0))=""),"",E244/INDEX(E:E,MATCH(DATE(YEAR($A244)-1,MONTH($A244),DAY($A244)),$A:$A,0))-1),"")</f>
        <v/>
      </c>
      <c r="I244" s="7">
        <f>IFERROR(IF(OR(F244="",INDEX(F:F,MATCH(DATE(YEAR($A244)-1,MONTH($A244),DAY($A244)),$A:$A,0))=""),"",F244/INDEX(F:F,MATCH(DATE(YEAR($A244)-1,MONTH($A244),DAY($A244)),$A:$A,0))-1),"")</f>
        <v/>
      </c>
      <c r="J244" s="7">
        <f>IFERROR(IF(OR(G244="",INDEX(G:G,MATCH(DATE(YEAR($A244)-1,MONTH($A244),DAY($A244)),$A:$A,0))=""),"",G244/INDEX(G:G,MATCH(DATE(YEAR($A244)-1,MONTH($A244),DAY($A244)),$A:$A,0))-1),"")</f>
        <v/>
      </c>
      <c r="K244" s="7">
        <f>IF(OR(E244="",E243=""),"",E244/E243-1)</f>
        <v/>
      </c>
      <c r="L244" s="7">
        <f>IF(OR(F244="",F243=""),"",F244/F243-1)</f>
        <v/>
      </c>
      <c r="M244" s="7">
        <f>IF(OR(G244="",G243=""),"",G244/G243-1)</f>
        <v/>
      </c>
      <c r="N244" s="7">
        <f>IF(G244="","",E244/G244)</f>
        <v/>
      </c>
      <c r="O244" s="7">
        <f>IF(G244="","",F244/G244)</f>
        <v/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4">
        <f>IF(SUMIFS('Daily NSE Equity Cash'!$H:$H,'Daily NSE Equity Cash'!$A:$A,$A245)=0,"",SUMIFS('Daily NSE Equity Cash'!$H:$H,'Daily NSE Equity Cash'!$A:$A,$A245))</f>
        <v/>
      </c>
      <c r="F245" s="4">
        <f>IF(SUMIFS('Daily BSE Equity Cash'!$H:$H,'Daily BSE Equity Cash'!$A:$A,$A245)=0,"",SUMIFS('Daily BSE Equity Cash'!$H:$H,'Daily BSE Equity Cash'!$A:$A,$A245))</f>
        <v/>
      </c>
      <c r="G245" s="4">
        <f>IF(OR(E245="",F245=""),"",E245+F245)</f>
        <v/>
      </c>
      <c r="H245" s="7">
        <f>IFERROR(IF(OR(E245="",INDEX(E:E,MATCH(DATE(YEAR($A245)-1,MONTH($A245),DAY($A245)),$A:$A,0))=""),"",E245/INDEX(E:E,MATCH(DATE(YEAR($A245)-1,MONTH($A245),DAY($A245)),$A:$A,0))-1),"")</f>
        <v/>
      </c>
      <c r="I245" s="7">
        <f>IFERROR(IF(OR(F245="",INDEX(F:F,MATCH(DATE(YEAR($A245)-1,MONTH($A245),DAY($A245)),$A:$A,0))=""),"",F245/INDEX(F:F,MATCH(DATE(YEAR($A245)-1,MONTH($A245),DAY($A245)),$A:$A,0))-1),"")</f>
        <v/>
      </c>
      <c r="J245" s="7">
        <f>IFERROR(IF(OR(G245="",INDEX(G:G,MATCH(DATE(YEAR($A245)-1,MONTH($A245),DAY($A245)),$A:$A,0))=""),"",G245/INDEX(G:G,MATCH(DATE(YEAR($A245)-1,MONTH($A245),DAY($A245)),$A:$A,0))-1),"")</f>
        <v/>
      </c>
      <c r="K245" s="7">
        <f>IF(OR(E245="",E244=""),"",E245/E244-1)</f>
        <v/>
      </c>
      <c r="L245" s="7">
        <f>IF(OR(F245="",F244=""),"",F245/F244-1)</f>
        <v/>
      </c>
      <c r="M245" s="7">
        <f>IF(OR(G245="",G244=""),"",G245/G244-1)</f>
        <v/>
      </c>
      <c r="N245" s="7">
        <f>IF(G245="","",E245/G245)</f>
        <v/>
      </c>
      <c r="O245" s="7">
        <f>IF(G245="","",F245/G245)</f>
        <v/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4">
        <f>IF(SUMIFS('Daily NSE Equity Cash'!$H:$H,'Daily NSE Equity Cash'!$A:$A,$A246)=0,"",SUMIFS('Daily NSE Equity Cash'!$H:$H,'Daily NSE Equity Cash'!$A:$A,$A246))</f>
        <v/>
      </c>
      <c r="F246" s="4">
        <f>IF(SUMIFS('Daily BSE Equity Cash'!$H:$H,'Daily BSE Equity Cash'!$A:$A,$A246)=0,"",SUMIFS('Daily BSE Equity Cash'!$H:$H,'Daily BSE Equity Cash'!$A:$A,$A246))</f>
        <v/>
      </c>
      <c r="G246" s="4">
        <f>IF(OR(E246="",F246=""),"",E246+F246)</f>
        <v/>
      </c>
      <c r="H246" s="7">
        <f>IFERROR(IF(OR(E246="",INDEX(E:E,MATCH(DATE(YEAR($A246)-1,MONTH($A246),DAY($A246)),$A:$A,0))=""),"",E246/INDEX(E:E,MATCH(DATE(YEAR($A246)-1,MONTH($A246),DAY($A246)),$A:$A,0))-1),"")</f>
        <v/>
      </c>
      <c r="I246" s="7">
        <f>IFERROR(IF(OR(F246="",INDEX(F:F,MATCH(DATE(YEAR($A246)-1,MONTH($A246),DAY($A246)),$A:$A,0))=""),"",F246/INDEX(F:F,MATCH(DATE(YEAR($A246)-1,MONTH($A246),DAY($A246)),$A:$A,0))-1),"")</f>
        <v/>
      </c>
      <c r="J246" s="7">
        <f>IFERROR(IF(OR(G246="",INDEX(G:G,MATCH(DATE(YEAR($A246)-1,MONTH($A246),DAY($A246)),$A:$A,0))=""),"",G246/INDEX(G:G,MATCH(DATE(YEAR($A246)-1,MONTH($A246),DAY($A246)),$A:$A,0))-1),"")</f>
        <v/>
      </c>
      <c r="K246" s="7">
        <f>IF(OR(E246="",E245=""),"",E246/E245-1)</f>
        <v/>
      </c>
      <c r="L246" s="7">
        <f>IF(OR(F246="",F245=""),"",F246/F245-1)</f>
        <v/>
      </c>
      <c r="M246" s="7">
        <f>IF(OR(G246="",G245=""),"",G246/G245-1)</f>
        <v/>
      </c>
      <c r="N246" s="7">
        <f>IF(G246="","",E246/G246)</f>
        <v/>
      </c>
      <c r="O246" s="7">
        <f>IF(G246="","",F246/G246)</f>
        <v/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4">
        <f>IF(SUMIFS('Daily NSE Equity Cash'!$H:$H,'Daily NSE Equity Cash'!$A:$A,$A247)=0,"",SUMIFS('Daily NSE Equity Cash'!$H:$H,'Daily NSE Equity Cash'!$A:$A,$A247))</f>
        <v/>
      </c>
      <c r="F247" s="4">
        <f>IF(SUMIFS('Daily BSE Equity Cash'!$H:$H,'Daily BSE Equity Cash'!$A:$A,$A247)=0,"",SUMIFS('Daily BSE Equity Cash'!$H:$H,'Daily BSE Equity Cash'!$A:$A,$A247))</f>
        <v/>
      </c>
      <c r="G247" s="4">
        <f>IF(OR(E247="",F247=""),"",E247+F247)</f>
        <v/>
      </c>
      <c r="H247" s="7">
        <f>IFERROR(IF(OR(E247="",INDEX(E:E,MATCH(DATE(YEAR($A247)-1,MONTH($A247),DAY($A247)),$A:$A,0))=""),"",E247/INDEX(E:E,MATCH(DATE(YEAR($A247)-1,MONTH($A247),DAY($A247)),$A:$A,0))-1),"")</f>
        <v/>
      </c>
      <c r="I247" s="7">
        <f>IFERROR(IF(OR(F247="",INDEX(F:F,MATCH(DATE(YEAR($A247)-1,MONTH($A247),DAY($A247)),$A:$A,0))=""),"",F247/INDEX(F:F,MATCH(DATE(YEAR($A247)-1,MONTH($A247),DAY($A247)),$A:$A,0))-1),"")</f>
        <v/>
      </c>
      <c r="J247" s="7">
        <f>IFERROR(IF(OR(G247="",INDEX(G:G,MATCH(DATE(YEAR($A247)-1,MONTH($A247),DAY($A247)),$A:$A,0))=""),"",G247/INDEX(G:G,MATCH(DATE(YEAR($A247)-1,MONTH($A247),DAY($A247)),$A:$A,0))-1),"")</f>
        <v/>
      </c>
      <c r="K247" s="7">
        <f>IF(OR(E247="",E246=""),"",E247/E246-1)</f>
        <v/>
      </c>
      <c r="L247" s="7">
        <f>IF(OR(F247="",F246=""),"",F247/F246-1)</f>
        <v/>
      </c>
      <c r="M247" s="7">
        <f>IF(OR(G247="",G246=""),"",G247/G246-1)</f>
        <v/>
      </c>
      <c r="N247" s="7">
        <f>IF(G247="","",E247/G247)</f>
        <v/>
      </c>
      <c r="O247" s="7">
        <f>IF(G247="","",F247/G247)</f>
        <v/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4">
        <f>IF(SUMIFS('Daily NSE Equity Cash'!$H:$H,'Daily NSE Equity Cash'!$A:$A,$A248)=0,"",SUMIFS('Daily NSE Equity Cash'!$H:$H,'Daily NSE Equity Cash'!$A:$A,$A248))</f>
        <v/>
      </c>
      <c r="F248" s="4">
        <f>IF(SUMIFS('Daily BSE Equity Cash'!$H:$H,'Daily BSE Equity Cash'!$A:$A,$A248)=0,"",SUMIFS('Daily BSE Equity Cash'!$H:$H,'Daily BSE Equity Cash'!$A:$A,$A248))</f>
        <v/>
      </c>
      <c r="G248" s="4">
        <f>IF(OR(E248="",F248=""),"",E248+F248)</f>
        <v/>
      </c>
      <c r="H248" s="7">
        <f>IFERROR(IF(OR(E248="",INDEX(E:E,MATCH(DATE(YEAR($A248)-1,MONTH($A248),DAY($A248)),$A:$A,0))=""),"",E248/INDEX(E:E,MATCH(DATE(YEAR($A248)-1,MONTH($A248),DAY($A248)),$A:$A,0))-1),"")</f>
        <v/>
      </c>
      <c r="I248" s="7">
        <f>IFERROR(IF(OR(F248="",INDEX(F:F,MATCH(DATE(YEAR($A248)-1,MONTH($A248),DAY($A248)),$A:$A,0))=""),"",F248/INDEX(F:F,MATCH(DATE(YEAR($A248)-1,MONTH($A248),DAY($A248)),$A:$A,0))-1),"")</f>
        <v/>
      </c>
      <c r="J248" s="7">
        <f>IFERROR(IF(OR(G248="",INDEX(G:G,MATCH(DATE(YEAR($A248)-1,MONTH($A248),DAY($A248)),$A:$A,0))=""),"",G248/INDEX(G:G,MATCH(DATE(YEAR($A248)-1,MONTH($A248),DAY($A248)),$A:$A,0))-1),"")</f>
        <v/>
      </c>
      <c r="K248" s="7">
        <f>IF(OR(E248="",E247=""),"",E248/E247-1)</f>
        <v/>
      </c>
      <c r="L248" s="7">
        <f>IF(OR(F248="",F247=""),"",F248/F247-1)</f>
        <v/>
      </c>
      <c r="M248" s="7">
        <f>IF(OR(G248="",G247=""),"",G248/G247-1)</f>
        <v/>
      </c>
      <c r="N248" s="7">
        <f>IF(G248="","",E248/G248)</f>
        <v/>
      </c>
      <c r="O248" s="7">
        <f>IF(G248="","",F248/G248)</f>
        <v/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4">
        <f>IF(SUMIFS('Daily NSE Equity Cash'!$H:$H,'Daily NSE Equity Cash'!$A:$A,$A249)=0,"",SUMIFS('Daily NSE Equity Cash'!$H:$H,'Daily NSE Equity Cash'!$A:$A,$A249))</f>
        <v/>
      </c>
      <c r="F249" s="4">
        <f>IF(SUMIFS('Daily BSE Equity Cash'!$H:$H,'Daily BSE Equity Cash'!$A:$A,$A249)=0,"",SUMIFS('Daily BSE Equity Cash'!$H:$H,'Daily BSE Equity Cash'!$A:$A,$A249))</f>
        <v/>
      </c>
      <c r="G249" s="4">
        <f>IF(OR(E249="",F249=""),"",E249+F249)</f>
        <v/>
      </c>
      <c r="H249" s="7">
        <f>IFERROR(IF(OR(E249="",INDEX(E:E,MATCH(DATE(YEAR($A249)-1,MONTH($A249),DAY($A249)),$A:$A,0))=""),"",E249/INDEX(E:E,MATCH(DATE(YEAR($A249)-1,MONTH($A249),DAY($A249)),$A:$A,0))-1),"")</f>
        <v/>
      </c>
      <c r="I249" s="7">
        <f>IFERROR(IF(OR(F249="",INDEX(F:F,MATCH(DATE(YEAR($A249)-1,MONTH($A249),DAY($A249)),$A:$A,0))=""),"",F249/INDEX(F:F,MATCH(DATE(YEAR($A249)-1,MONTH($A249),DAY($A249)),$A:$A,0))-1),"")</f>
        <v/>
      </c>
      <c r="J249" s="7">
        <f>IFERROR(IF(OR(G249="",INDEX(G:G,MATCH(DATE(YEAR($A249)-1,MONTH($A249),DAY($A249)),$A:$A,0))=""),"",G249/INDEX(G:G,MATCH(DATE(YEAR($A249)-1,MONTH($A249),DAY($A249)),$A:$A,0))-1),"")</f>
        <v/>
      </c>
      <c r="K249" s="7">
        <f>IF(OR(E249="",E248=""),"",E249/E248-1)</f>
        <v/>
      </c>
      <c r="L249" s="7">
        <f>IF(OR(F249="",F248=""),"",F249/F248-1)</f>
        <v/>
      </c>
      <c r="M249" s="7">
        <f>IF(OR(G249="",G248=""),"",G249/G248-1)</f>
        <v/>
      </c>
      <c r="N249" s="7">
        <f>IF(G249="","",E249/G249)</f>
        <v/>
      </c>
      <c r="O249" s="7">
        <f>IF(G249="","",F249/G249)</f>
        <v/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4">
        <f>IF(SUMIFS('Daily NSE Equity Cash'!$H:$H,'Daily NSE Equity Cash'!$A:$A,$A250)=0,"",SUMIFS('Daily NSE Equity Cash'!$H:$H,'Daily NSE Equity Cash'!$A:$A,$A250))</f>
        <v/>
      </c>
      <c r="F250" s="4">
        <f>IF(SUMIFS('Daily BSE Equity Cash'!$H:$H,'Daily BSE Equity Cash'!$A:$A,$A250)=0,"",SUMIFS('Daily BSE Equity Cash'!$H:$H,'Daily BSE Equity Cash'!$A:$A,$A250))</f>
        <v/>
      </c>
      <c r="G250" s="4">
        <f>IF(OR(E250="",F250=""),"",E250+F250)</f>
        <v/>
      </c>
      <c r="H250" s="7">
        <f>IFERROR(IF(OR(E250="",INDEX(E:E,MATCH(DATE(YEAR($A250)-1,MONTH($A250),DAY($A250)),$A:$A,0))=""),"",E250/INDEX(E:E,MATCH(DATE(YEAR($A250)-1,MONTH($A250),DAY($A250)),$A:$A,0))-1),"")</f>
        <v/>
      </c>
      <c r="I250" s="7">
        <f>IFERROR(IF(OR(F250="",INDEX(F:F,MATCH(DATE(YEAR($A250)-1,MONTH($A250),DAY($A250)),$A:$A,0))=""),"",F250/INDEX(F:F,MATCH(DATE(YEAR($A250)-1,MONTH($A250),DAY($A250)),$A:$A,0))-1),"")</f>
        <v/>
      </c>
      <c r="J250" s="7">
        <f>IFERROR(IF(OR(G250="",INDEX(G:G,MATCH(DATE(YEAR($A250)-1,MONTH($A250),DAY($A250)),$A:$A,0))=""),"",G250/INDEX(G:G,MATCH(DATE(YEAR($A250)-1,MONTH($A250),DAY($A250)),$A:$A,0))-1),"")</f>
        <v/>
      </c>
      <c r="K250" s="7">
        <f>IF(OR(E250="",E249=""),"",E250/E249-1)</f>
        <v/>
      </c>
      <c r="L250" s="7">
        <f>IF(OR(F250="",F249=""),"",F250/F249-1)</f>
        <v/>
      </c>
      <c r="M250" s="7">
        <f>IF(OR(G250="",G249=""),"",G250/G249-1)</f>
        <v/>
      </c>
      <c r="N250" s="7">
        <f>IF(G250="","",E250/G250)</f>
        <v/>
      </c>
      <c r="O250" s="7">
        <f>IF(G250="","",F250/G250)</f>
        <v/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4">
        <f>IF(SUMIFS('Daily NSE Equity Cash'!$H:$H,'Daily NSE Equity Cash'!$A:$A,$A251)=0,"",SUMIFS('Daily NSE Equity Cash'!$H:$H,'Daily NSE Equity Cash'!$A:$A,$A251))</f>
        <v/>
      </c>
      <c r="F251" s="4">
        <f>IF(SUMIFS('Daily BSE Equity Cash'!$H:$H,'Daily BSE Equity Cash'!$A:$A,$A251)=0,"",SUMIFS('Daily BSE Equity Cash'!$H:$H,'Daily BSE Equity Cash'!$A:$A,$A251))</f>
        <v/>
      </c>
      <c r="G251" s="4">
        <f>IF(OR(E251="",F251=""),"",E251+F251)</f>
        <v/>
      </c>
      <c r="H251" s="7">
        <f>IFERROR(IF(OR(E251="",INDEX(E:E,MATCH(DATE(YEAR($A251)-1,MONTH($A251),DAY($A251)),$A:$A,0))=""),"",E251/INDEX(E:E,MATCH(DATE(YEAR($A251)-1,MONTH($A251),DAY($A251)),$A:$A,0))-1),"")</f>
        <v/>
      </c>
      <c r="I251" s="7">
        <f>IFERROR(IF(OR(F251="",INDEX(F:F,MATCH(DATE(YEAR($A251)-1,MONTH($A251),DAY($A251)),$A:$A,0))=""),"",F251/INDEX(F:F,MATCH(DATE(YEAR($A251)-1,MONTH($A251),DAY($A251)),$A:$A,0))-1),"")</f>
        <v/>
      </c>
      <c r="J251" s="7">
        <f>IFERROR(IF(OR(G251="",INDEX(G:G,MATCH(DATE(YEAR($A251)-1,MONTH($A251),DAY($A251)),$A:$A,0))=""),"",G251/INDEX(G:G,MATCH(DATE(YEAR($A251)-1,MONTH($A251),DAY($A251)),$A:$A,0))-1),"")</f>
        <v/>
      </c>
      <c r="K251" s="7">
        <f>IF(OR(E251="",E250=""),"",E251/E250-1)</f>
        <v/>
      </c>
      <c r="L251" s="7">
        <f>IF(OR(F251="",F250=""),"",F251/F250-1)</f>
        <v/>
      </c>
      <c r="M251" s="7">
        <f>IF(OR(G251="",G250=""),"",G251/G250-1)</f>
        <v/>
      </c>
      <c r="N251" s="7">
        <f>IF(G251="","",E251/G251)</f>
        <v/>
      </c>
      <c r="O251" s="7">
        <f>IF(G251="","",F251/G251)</f>
        <v/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4">
        <f>IF(SUMIFS('Daily NSE Equity Cash'!$H:$H,'Daily NSE Equity Cash'!$A:$A,$A252)=0,"",SUMIFS('Daily NSE Equity Cash'!$H:$H,'Daily NSE Equity Cash'!$A:$A,$A252))</f>
        <v/>
      </c>
      <c r="F252" s="4">
        <f>IF(SUMIFS('Daily BSE Equity Cash'!$H:$H,'Daily BSE Equity Cash'!$A:$A,$A252)=0,"",SUMIFS('Daily BSE Equity Cash'!$H:$H,'Daily BSE Equity Cash'!$A:$A,$A252))</f>
        <v/>
      </c>
      <c r="G252" s="4">
        <f>IF(OR(E252="",F252=""),"",E252+F252)</f>
        <v/>
      </c>
      <c r="H252" s="7">
        <f>IFERROR(IF(OR(E252="",INDEX(E:E,MATCH(DATE(YEAR($A252)-1,MONTH($A252),DAY($A252)),$A:$A,0))=""),"",E252/INDEX(E:E,MATCH(DATE(YEAR($A252)-1,MONTH($A252),DAY($A252)),$A:$A,0))-1),"")</f>
        <v/>
      </c>
      <c r="I252" s="7">
        <f>IFERROR(IF(OR(F252="",INDEX(F:F,MATCH(DATE(YEAR($A252)-1,MONTH($A252),DAY($A252)),$A:$A,0))=""),"",F252/INDEX(F:F,MATCH(DATE(YEAR($A252)-1,MONTH($A252),DAY($A252)),$A:$A,0))-1),"")</f>
        <v/>
      </c>
      <c r="J252" s="7">
        <f>IFERROR(IF(OR(G252="",INDEX(G:G,MATCH(DATE(YEAR($A252)-1,MONTH($A252),DAY($A252)),$A:$A,0))=""),"",G252/INDEX(G:G,MATCH(DATE(YEAR($A252)-1,MONTH($A252),DAY($A252)),$A:$A,0))-1),"")</f>
        <v/>
      </c>
      <c r="K252" s="7">
        <f>IF(OR(E252="",E251=""),"",E252/E251-1)</f>
        <v/>
      </c>
      <c r="L252" s="7">
        <f>IF(OR(F252="",F251=""),"",F252/F251-1)</f>
        <v/>
      </c>
      <c r="M252" s="7">
        <f>IF(OR(G252="",G251=""),"",G252/G251-1)</f>
        <v/>
      </c>
      <c r="N252" s="7">
        <f>IF(G252="","",E252/G252)</f>
        <v/>
      </c>
      <c r="O252" s="7">
        <f>IF(G252="","",F252/G252)</f>
        <v/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4">
        <f>IF(SUMIFS('Daily NSE Equity Cash'!$H:$H,'Daily NSE Equity Cash'!$A:$A,$A253)=0,"",SUMIFS('Daily NSE Equity Cash'!$H:$H,'Daily NSE Equity Cash'!$A:$A,$A253))</f>
        <v/>
      </c>
      <c r="F253" s="4">
        <f>IF(SUMIFS('Daily BSE Equity Cash'!$H:$H,'Daily BSE Equity Cash'!$A:$A,$A253)=0,"",SUMIFS('Daily BSE Equity Cash'!$H:$H,'Daily BSE Equity Cash'!$A:$A,$A253))</f>
        <v/>
      </c>
      <c r="G253" s="4">
        <f>IF(OR(E253="",F253=""),"",E253+F253)</f>
        <v/>
      </c>
      <c r="H253" s="7">
        <f>IFERROR(IF(OR(E253="",INDEX(E:E,MATCH(DATE(YEAR($A253)-1,MONTH($A253),DAY($A253)),$A:$A,0))=""),"",E253/INDEX(E:E,MATCH(DATE(YEAR($A253)-1,MONTH($A253),DAY($A253)),$A:$A,0))-1),"")</f>
        <v/>
      </c>
      <c r="I253" s="7">
        <f>IFERROR(IF(OR(F253="",INDEX(F:F,MATCH(DATE(YEAR($A253)-1,MONTH($A253),DAY($A253)),$A:$A,0))=""),"",F253/INDEX(F:F,MATCH(DATE(YEAR($A253)-1,MONTH($A253),DAY($A253)),$A:$A,0))-1),"")</f>
        <v/>
      </c>
      <c r="J253" s="7">
        <f>IFERROR(IF(OR(G253="",INDEX(G:G,MATCH(DATE(YEAR($A253)-1,MONTH($A253),DAY($A253)),$A:$A,0))=""),"",G253/INDEX(G:G,MATCH(DATE(YEAR($A253)-1,MONTH($A253),DAY($A253)),$A:$A,0))-1),"")</f>
        <v/>
      </c>
      <c r="K253" s="7">
        <f>IF(OR(E253="",E252=""),"",E253/E252-1)</f>
        <v/>
      </c>
      <c r="L253" s="7">
        <f>IF(OR(F253="",F252=""),"",F253/F252-1)</f>
        <v/>
      </c>
      <c r="M253" s="7">
        <f>IF(OR(G253="",G252=""),"",G253/G252-1)</f>
        <v/>
      </c>
      <c r="N253" s="7">
        <f>IF(G253="","",E253/G253)</f>
        <v/>
      </c>
      <c r="O253" s="7">
        <f>IF(G253="","",F253/G253)</f>
        <v/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4">
        <f>IF(SUMIFS('Daily NSE Equity Cash'!$H:$H,'Daily NSE Equity Cash'!$A:$A,$A254)=0,"",SUMIFS('Daily NSE Equity Cash'!$H:$H,'Daily NSE Equity Cash'!$A:$A,$A254))</f>
        <v/>
      </c>
      <c r="F254" s="4">
        <f>IF(SUMIFS('Daily BSE Equity Cash'!$H:$H,'Daily BSE Equity Cash'!$A:$A,$A254)=0,"",SUMIFS('Daily BSE Equity Cash'!$H:$H,'Daily BSE Equity Cash'!$A:$A,$A254))</f>
        <v/>
      </c>
      <c r="G254" s="4">
        <f>IF(OR(E254="",F254=""),"",E254+F254)</f>
        <v/>
      </c>
      <c r="H254" s="7">
        <f>IFERROR(IF(OR(E254="",INDEX(E:E,MATCH(DATE(YEAR($A254)-1,MONTH($A254),DAY($A254)),$A:$A,0))=""),"",E254/INDEX(E:E,MATCH(DATE(YEAR($A254)-1,MONTH($A254),DAY($A254)),$A:$A,0))-1),"")</f>
        <v/>
      </c>
      <c r="I254" s="7">
        <f>IFERROR(IF(OR(F254="",INDEX(F:F,MATCH(DATE(YEAR($A254)-1,MONTH($A254),DAY($A254)),$A:$A,0))=""),"",F254/INDEX(F:F,MATCH(DATE(YEAR($A254)-1,MONTH($A254),DAY($A254)),$A:$A,0))-1),"")</f>
        <v/>
      </c>
      <c r="J254" s="7">
        <f>IFERROR(IF(OR(G254="",INDEX(G:G,MATCH(DATE(YEAR($A254)-1,MONTH($A254),DAY($A254)),$A:$A,0))=""),"",G254/INDEX(G:G,MATCH(DATE(YEAR($A254)-1,MONTH($A254),DAY($A254)),$A:$A,0))-1),"")</f>
        <v/>
      </c>
      <c r="K254" s="7">
        <f>IF(OR(E254="",E253=""),"",E254/E253-1)</f>
        <v/>
      </c>
      <c r="L254" s="7">
        <f>IF(OR(F254="",F253=""),"",F254/F253-1)</f>
        <v/>
      </c>
      <c r="M254" s="7">
        <f>IF(OR(G254="",G253=""),"",G254/G253-1)</f>
        <v/>
      </c>
      <c r="N254" s="7">
        <f>IF(G254="","",E254/G254)</f>
        <v/>
      </c>
      <c r="O254" s="7">
        <f>IF(G254="","",F254/G254)</f>
        <v/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4">
        <f>IF(SUMIFS('Daily NSE Equity Cash'!$H:$H,'Daily NSE Equity Cash'!$A:$A,$A255)=0,"",SUMIFS('Daily NSE Equity Cash'!$H:$H,'Daily NSE Equity Cash'!$A:$A,$A255))</f>
        <v/>
      </c>
      <c r="F255" s="4">
        <f>IF(SUMIFS('Daily BSE Equity Cash'!$H:$H,'Daily BSE Equity Cash'!$A:$A,$A255)=0,"",SUMIFS('Daily BSE Equity Cash'!$H:$H,'Daily BSE Equity Cash'!$A:$A,$A255))</f>
        <v/>
      </c>
      <c r="G255" s="4">
        <f>IF(OR(E255="",F255=""),"",E255+F255)</f>
        <v/>
      </c>
      <c r="H255" s="7">
        <f>IFERROR(IF(OR(E255="",INDEX(E:E,MATCH(DATE(YEAR($A255)-1,MONTH($A255),DAY($A255)),$A:$A,0))=""),"",E255/INDEX(E:E,MATCH(DATE(YEAR($A255)-1,MONTH($A255),DAY($A255)),$A:$A,0))-1),"")</f>
        <v/>
      </c>
      <c r="I255" s="7">
        <f>IFERROR(IF(OR(F255="",INDEX(F:F,MATCH(DATE(YEAR($A255)-1,MONTH($A255),DAY($A255)),$A:$A,0))=""),"",F255/INDEX(F:F,MATCH(DATE(YEAR($A255)-1,MONTH($A255),DAY($A255)),$A:$A,0))-1),"")</f>
        <v/>
      </c>
      <c r="J255" s="7">
        <f>IFERROR(IF(OR(G255="",INDEX(G:G,MATCH(DATE(YEAR($A255)-1,MONTH($A255),DAY($A255)),$A:$A,0))=""),"",G255/INDEX(G:G,MATCH(DATE(YEAR($A255)-1,MONTH($A255),DAY($A255)),$A:$A,0))-1),"")</f>
        <v/>
      </c>
      <c r="K255" s="7">
        <f>IF(OR(E255="",E254=""),"",E255/E254-1)</f>
        <v/>
      </c>
      <c r="L255" s="7">
        <f>IF(OR(F255="",F254=""),"",F255/F254-1)</f>
        <v/>
      </c>
      <c r="M255" s="7">
        <f>IF(OR(G255="",G254=""),"",G255/G254-1)</f>
        <v/>
      </c>
      <c r="N255" s="7">
        <f>IF(G255="","",E255/G255)</f>
        <v/>
      </c>
      <c r="O255" s="7">
        <f>IF(G255="","",F255/G255)</f>
        <v/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4">
        <f>IF(SUMIFS('Daily NSE Equity Cash'!$H:$H,'Daily NSE Equity Cash'!$A:$A,$A256)=0,"",SUMIFS('Daily NSE Equity Cash'!$H:$H,'Daily NSE Equity Cash'!$A:$A,$A256))</f>
        <v/>
      </c>
      <c r="F256" s="4">
        <f>IF(SUMIFS('Daily BSE Equity Cash'!$H:$H,'Daily BSE Equity Cash'!$A:$A,$A256)=0,"",SUMIFS('Daily BSE Equity Cash'!$H:$H,'Daily BSE Equity Cash'!$A:$A,$A256))</f>
        <v/>
      </c>
      <c r="G256" s="4">
        <f>IF(OR(E256="",F256=""),"",E256+F256)</f>
        <v/>
      </c>
      <c r="H256" s="7">
        <f>IFERROR(IF(OR(E256="",INDEX(E:E,MATCH(DATE(YEAR($A256)-1,MONTH($A256),DAY($A256)),$A:$A,0))=""),"",E256/INDEX(E:E,MATCH(DATE(YEAR($A256)-1,MONTH($A256),DAY($A256)),$A:$A,0))-1),"")</f>
        <v/>
      </c>
      <c r="I256" s="7">
        <f>IFERROR(IF(OR(F256="",INDEX(F:F,MATCH(DATE(YEAR($A256)-1,MONTH($A256),DAY($A256)),$A:$A,0))=""),"",F256/INDEX(F:F,MATCH(DATE(YEAR($A256)-1,MONTH($A256),DAY($A256)),$A:$A,0))-1),"")</f>
        <v/>
      </c>
      <c r="J256" s="7">
        <f>IFERROR(IF(OR(G256="",INDEX(G:G,MATCH(DATE(YEAR($A256)-1,MONTH($A256),DAY($A256)),$A:$A,0))=""),"",G256/INDEX(G:G,MATCH(DATE(YEAR($A256)-1,MONTH($A256),DAY($A256)),$A:$A,0))-1),"")</f>
        <v/>
      </c>
      <c r="K256" s="7">
        <f>IF(OR(E256="",E255=""),"",E256/E255-1)</f>
        <v/>
      </c>
      <c r="L256" s="7">
        <f>IF(OR(F256="",F255=""),"",F256/F255-1)</f>
        <v/>
      </c>
      <c r="M256" s="7">
        <f>IF(OR(G256="",G255=""),"",G256/G255-1)</f>
        <v/>
      </c>
      <c r="N256" s="7">
        <f>IF(G256="","",E256/G256)</f>
        <v/>
      </c>
      <c r="O256" s="7">
        <f>IF(G256="","",F256/G256)</f>
        <v/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4">
        <f>IF(SUMIFS('Daily NSE Equity Cash'!$H:$H,'Daily NSE Equity Cash'!$A:$A,$A257)=0,"",SUMIFS('Daily NSE Equity Cash'!$H:$H,'Daily NSE Equity Cash'!$A:$A,$A257))</f>
        <v/>
      </c>
      <c r="F257" s="4">
        <f>IF(SUMIFS('Daily BSE Equity Cash'!$H:$H,'Daily BSE Equity Cash'!$A:$A,$A257)=0,"",SUMIFS('Daily BSE Equity Cash'!$H:$H,'Daily BSE Equity Cash'!$A:$A,$A257))</f>
        <v/>
      </c>
      <c r="G257" s="4">
        <f>IF(OR(E257="",F257=""),"",E257+F257)</f>
        <v/>
      </c>
      <c r="H257" s="7">
        <f>IFERROR(IF(OR(E257="",INDEX(E:E,MATCH(DATE(YEAR($A257)-1,MONTH($A257),DAY($A257)),$A:$A,0))=""),"",E257/INDEX(E:E,MATCH(DATE(YEAR($A257)-1,MONTH($A257),DAY($A257)),$A:$A,0))-1),"")</f>
        <v/>
      </c>
      <c r="I257" s="7">
        <f>IFERROR(IF(OR(F257="",INDEX(F:F,MATCH(DATE(YEAR($A257)-1,MONTH($A257),DAY($A257)),$A:$A,0))=""),"",F257/INDEX(F:F,MATCH(DATE(YEAR($A257)-1,MONTH($A257),DAY($A257)),$A:$A,0))-1),"")</f>
        <v/>
      </c>
      <c r="J257" s="7">
        <f>IFERROR(IF(OR(G257="",INDEX(G:G,MATCH(DATE(YEAR($A257)-1,MONTH($A257),DAY($A257)),$A:$A,0))=""),"",G257/INDEX(G:G,MATCH(DATE(YEAR($A257)-1,MONTH($A257),DAY($A257)),$A:$A,0))-1),"")</f>
        <v/>
      </c>
      <c r="K257" s="7">
        <f>IF(OR(E257="",E256=""),"",E257/E256-1)</f>
        <v/>
      </c>
      <c r="L257" s="7">
        <f>IF(OR(F257="",F256=""),"",F257/F256-1)</f>
        <v/>
      </c>
      <c r="M257" s="7">
        <f>IF(OR(G257="",G256=""),"",G257/G256-1)</f>
        <v/>
      </c>
      <c r="N257" s="7">
        <f>IF(G257="","",E257/G257)</f>
        <v/>
      </c>
      <c r="O257" s="7">
        <f>IF(G257="","",F257/G257)</f>
        <v/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4">
        <f>IF(SUMIFS('Daily NSE Equity Cash'!$H:$H,'Daily NSE Equity Cash'!$A:$A,$A258)=0,"",SUMIFS('Daily NSE Equity Cash'!$H:$H,'Daily NSE Equity Cash'!$A:$A,$A258))</f>
        <v/>
      </c>
      <c r="F258" s="4">
        <f>IF(SUMIFS('Daily BSE Equity Cash'!$H:$H,'Daily BSE Equity Cash'!$A:$A,$A258)=0,"",SUMIFS('Daily BSE Equity Cash'!$H:$H,'Daily BSE Equity Cash'!$A:$A,$A258))</f>
        <v/>
      </c>
      <c r="G258" s="4">
        <f>IF(OR(E258="",F258=""),"",E258+F258)</f>
        <v/>
      </c>
      <c r="H258" s="7">
        <f>IFERROR(IF(OR(E258="",INDEX(E:E,MATCH(DATE(YEAR($A258)-1,MONTH($A258),DAY($A258)),$A:$A,0))=""),"",E258/INDEX(E:E,MATCH(DATE(YEAR($A258)-1,MONTH($A258),DAY($A258)),$A:$A,0))-1),"")</f>
        <v/>
      </c>
      <c r="I258" s="7">
        <f>IFERROR(IF(OR(F258="",INDEX(F:F,MATCH(DATE(YEAR($A258)-1,MONTH($A258),DAY($A258)),$A:$A,0))=""),"",F258/INDEX(F:F,MATCH(DATE(YEAR($A258)-1,MONTH($A258),DAY($A258)),$A:$A,0))-1),"")</f>
        <v/>
      </c>
      <c r="J258" s="7">
        <f>IFERROR(IF(OR(G258="",INDEX(G:G,MATCH(DATE(YEAR($A258)-1,MONTH($A258),DAY($A258)),$A:$A,0))=""),"",G258/INDEX(G:G,MATCH(DATE(YEAR($A258)-1,MONTH($A258),DAY($A258)),$A:$A,0))-1),"")</f>
        <v/>
      </c>
      <c r="K258" s="7">
        <f>IF(OR(E258="",E257=""),"",E258/E257-1)</f>
        <v/>
      </c>
      <c r="L258" s="7">
        <f>IF(OR(F258="",F257=""),"",F258/F257-1)</f>
        <v/>
      </c>
      <c r="M258" s="7">
        <f>IF(OR(G258="",G257=""),"",G258/G257-1)</f>
        <v/>
      </c>
      <c r="N258" s="7">
        <f>IF(G258="","",E258/G258)</f>
        <v/>
      </c>
      <c r="O258" s="7">
        <f>IF(G258="","",F258/G258)</f>
        <v/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4">
        <f>IF(SUMIFS('Daily NSE Equity Cash'!$H:$H,'Daily NSE Equity Cash'!$A:$A,$A259)=0,"",SUMIFS('Daily NSE Equity Cash'!$H:$H,'Daily NSE Equity Cash'!$A:$A,$A259))</f>
        <v/>
      </c>
      <c r="F259" s="4">
        <f>IF(SUMIFS('Daily BSE Equity Cash'!$H:$H,'Daily BSE Equity Cash'!$A:$A,$A259)=0,"",SUMIFS('Daily BSE Equity Cash'!$H:$H,'Daily BSE Equity Cash'!$A:$A,$A259))</f>
        <v/>
      </c>
      <c r="G259" s="4">
        <f>IF(OR(E259="",F259=""),"",E259+F259)</f>
        <v/>
      </c>
      <c r="H259" s="7">
        <f>IFERROR(IF(OR(E259="",INDEX(E:E,MATCH(DATE(YEAR($A259)-1,MONTH($A259),DAY($A259)),$A:$A,0))=""),"",E259/INDEX(E:E,MATCH(DATE(YEAR($A259)-1,MONTH($A259),DAY($A259)),$A:$A,0))-1),"")</f>
        <v/>
      </c>
      <c r="I259" s="7">
        <f>IFERROR(IF(OR(F259="",INDEX(F:F,MATCH(DATE(YEAR($A259)-1,MONTH($A259),DAY($A259)),$A:$A,0))=""),"",F259/INDEX(F:F,MATCH(DATE(YEAR($A259)-1,MONTH($A259),DAY($A259)),$A:$A,0))-1),"")</f>
        <v/>
      </c>
      <c r="J259" s="7">
        <f>IFERROR(IF(OR(G259="",INDEX(G:G,MATCH(DATE(YEAR($A259)-1,MONTH($A259),DAY($A259)),$A:$A,0))=""),"",G259/INDEX(G:G,MATCH(DATE(YEAR($A259)-1,MONTH($A259),DAY($A259)),$A:$A,0))-1),"")</f>
        <v/>
      </c>
      <c r="K259" s="7">
        <f>IF(OR(E259="",E258=""),"",E259/E258-1)</f>
        <v/>
      </c>
      <c r="L259" s="7">
        <f>IF(OR(F259="",F258=""),"",F259/F258-1)</f>
        <v/>
      </c>
      <c r="M259" s="7">
        <f>IF(OR(G259="",G258=""),"",G259/G258-1)</f>
        <v/>
      </c>
      <c r="N259" s="7">
        <f>IF(G259="","",E259/G259)</f>
        <v/>
      </c>
      <c r="O259" s="7">
        <f>IF(G259="","",F259/G259)</f>
        <v/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4">
        <f>IF(SUMIFS('Daily NSE Equity Cash'!$H:$H,'Daily NSE Equity Cash'!$A:$A,$A260)=0,"",SUMIFS('Daily NSE Equity Cash'!$H:$H,'Daily NSE Equity Cash'!$A:$A,$A260))</f>
        <v/>
      </c>
      <c r="F260" s="4">
        <f>IF(SUMIFS('Daily BSE Equity Cash'!$H:$H,'Daily BSE Equity Cash'!$A:$A,$A260)=0,"",SUMIFS('Daily BSE Equity Cash'!$H:$H,'Daily BSE Equity Cash'!$A:$A,$A260))</f>
        <v/>
      </c>
      <c r="G260" s="4">
        <f>IF(OR(E260="",F260=""),"",E260+F260)</f>
        <v/>
      </c>
      <c r="H260" s="7">
        <f>IFERROR(IF(OR(E260="",INDEX(E:E,MATCH(DATE(YEAR($A260)-1,MONTH($A260),DAY($A260)),$A:$A,0))=""),"",E260/INDEX(E:E,MATCH(DATE(YEAR($A260)-1,MONTH($A260),DAY($A260)),$A:$A,0))-1),"")</f>
        <v/>
      </c>
      <c r="I260" s="7">
        <f>IFERROR(IF(OR(F260="",INDEX(F:F,MATCH(DATE(YEAR($A260)-1,MONTH($A260),DAY($A260)),$A:$A,0))=""),"",F260/INDEX(F:F,MATCH(DATE(YEAR($A260)-1,MONTH($A260),DAY($A260)),$A:$A,0))-1),"")</f>
        <v/>
      </c>
      <c r="J260" s="7">
        <f>IFERROR(IF(OR(G260="",INDEX(G:G,MATCH(DATE(YEAR($A260)-1,MONTH($A260),DAY($A260)),$A:$A,0))=""),"",G260/INDEX(G:G,MATCH(DATE(YEAR($A260)-1,MONTH($A260),DAY($A260)),$A:$A,0))-1),"")</f>
        <v/>
      </c>
      <c r="K260" s="7">
        <f>IF(OR(E260="",E259=""),"",E260/E259-1)</f>
        <v/>
      </c>
      <c r="L260" s="7">
        <f>IF(OR(F260="",F259=""),"",F260/F259-1)</f>
        <v/>
      </c>
      <c r="M260" s="7">
        <f>IF(OR(G260="",G259=""),"",G260/G259-1)</f>
        <v/>
      </c>
      <c r="N260" s="7">
        <f>IF(G260="","",E260/G260)</f>
        <v/>
      </c>
      <c r="O260" s="7">
        <f>IF(G260="","",F260/G260)</f>
        <v/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4">
        <f>IF(SUMIFS('Daily NSE Equity Cash'!$H:$H,'Daily NSE Equity Cash'!$A:$A,$A261)=0,"",SUMIFS('Daily NSE Equity Cash'!$H:$H,'Daily NSE Equity Cash'!$A:$A,$A261))</f>
        <v/>
      </c>
      <c r="F261" s="4">
        <f>IF(SUMIFS('Daily BSE Equity Cash'!$H:$H,'Daily BSE Equity Cash'!$A:$A,$A261)=0,"",SUMIFS('Daily BSE Equity Cash'!$H:$H,'Daily BSE Equity Cash'!$A:$A,$A261))</f>
        <v/>
      </c>
      <c r="G261" s="4">
        <f>IF(OR(E261="",F261=""),"",E261+F261)</f>
        <v/>
      </c>
      <c r="H261" s="7">
        <f>IFERROR(IF(OR(E261="",INDEX(E:E,MATCH(DATE(YEAR($A261)-1,MONTH($A261),DAY($A261)),$A:$A,0))=""),"",E261/INDEX(E:E,MATCH(DATE(YEAR($A261)-1,MONTH($A261),DAY($A261)),$A:$A,0))-1),"")</f>
        <v/>
      </c>
      <c r="I261" s="7">
        <f>IFERROR(IF(OR(F261="",INDEX(F:F,MATCH(DATE(YEAR($A261)-1,MONTH($A261),DAY($A261)),$A:$A,0))=""),"",F261/INDEX(F:F,MATCH(DATE(YEAR($A261)-1,MONTH($A261),DAY($A261)),$A:$A,0))-1),"")</f>
        <v/>
      </c>
      <c r="J261" s="7">
        <f>IFERROR(IF(OR(G261="",INDEX(G:G,MATCH(DATE(YEAR($A261)-1,MONTH($A261),DAY($A261)),$A:$A,0))=""),"",G261/INDEX(G:G,MATCH(DATE(YEAR($A261)-1,MONTH($A261),DAY($A261)),$A:$A,0))-1),"")</f>
        <v/>
      </c>
      <c r="K261" s="7">
        <f>IF(OR(E261="",E260=""),"",E261/E260-1)</f>
        <v/>
      </c>
      <c r="L261" s="7">
        <f>IF(OR(F261="",F260=""),"",F261/F260-1)</f>
        <v/>
      </c>
      <c r="M261" s="7">
        <f>IF(OR(G261="",G260=""),"",G261/G260-1)</f>
        <v/>
      </c>
      <c r="N261" s="7">
        <f>IF(G261="","",E261/G261)</f>
        <v/>
      </c>
      <c r="O261" s="7">
        <f>IF(G261="","",F261/G261)</f>
        <v/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4">
        <f>IF(SUMIFS('Daily NSE Equity Cash'!$H:$H,'Daily NSE Equity Cash'!$A:$A,$A262)=0,"",SUMIFS('Daily NSE Equity Cash'!$H:$H,'Daily NSE Equity Cash'!$A:$A,$A262))</f>
        <v/>
      </c>
      <c r="F262" s="4">
        <f>IF(SUMIFS('Daily BSE Equity Cash'!$H:$H,'Daily BSE Equity Cash'!$A:$A,$A262)=0,"",SUMIFS('Daily BSE Equity Cash'!$H:$H,'Daily BSE Equity Cash'!$A:$A,$A262))</f>
        <v/>
      </c>
      <c r="G262" s="4">
        <f>IF(OR(E262="",F262=""),"",E262+F262)</f>
        <v/>
      </c>
      <c r="H262" s="7">
        <f>IFERROR(IF(OR(E262="",INDEX(E:E,MATCH(DATE(YEAR($A262)-1,MONTH($A262),DAY($A262)),$A:$A,0))=""),"",E262/INDEX(E:E,MATCH(DATE(YEAR($A262)-1,MONTH($A262),DAY($A262)),$A:$A,0))-1),"")</f>
        <v/>
      </c>
      <c r="I262" s="7">
        <f>IFERROR(IF(OR(F262="",INDEX(F:F,MATCH(DATE(YEAR($A262)-1,MONTH($A262),DAY($A262)),$A:$A,0))=""),"",F262/INDEX(F:F,MATCH(DATE(YEAR($A262)-1,MONTH($A262),DAY($A262)),$A:$A,0))-1),"")</f>
        <v/>
      </c>
      <c r="J262" s="7">
        <f>IFERROR(IF(OR(G262="",INDEX(G:G,MATCH(DATE(YEAR($A262)-1,MONTH($A262),DAY($A262)),$A:$A,0))=""),"",G262/INDEX(G:G,MATCH(DATE(YEAR($A262)-1,MONTH($A262),DAY($A262)),$A:$A,0))-1),"")</f>
        <v/>
      </c>
      <c r="K262" s="7">
        <f>IF(OR(E262="",E261=""),"",E262/E261-1)</f>
        <v/>
      </c>
      <c r="L262" s="7">
        <f>IF(OR(F262="",F261=""),"",F262/F261-1)</f>
        <v/>
      </c>
      <c r="M262" s="7">
        <f>IF(OR(G262="",G261=""),"",G262/G261-1)</f>
        <v/>
      </c>
      <c r="N262" s="7">
        <f>IF(G262="","",E262/G262)</f>
        <v/>
      </c>
      <c r="O262" s="7">
        <f>IF(G262="","",F262/G262)</f>
        <v/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4">
        <f>IF(SUMIFS('Daily NSE Equity Cash'!$H:$H,'Daily NSE Equity Cash'!$A:$A,$A263)=0,"",SUMIFS('Daily NSE Equity Cash'!$H:$H,'Daily NSE Equity Cash'!$A:$A,$A263))</f>
        <v/>
      </c>
      <c r="F263" s="4">
        <f>IF(SUMIFS('Daily BSE Equity Cash'!$H:$H,'Daily BSE Equity Cash'!$A:$A,$A263)=0,"",SUMIFS('Daily BSE Equity Cash'!$H:$H,'Daily BSE Equity Cash'!$A:$A,$A263))</f>
        <v/>
      </c>
      <c r="G263" s="4">
        <f>IF(OR(E263="",F263=""),"",E263+F263)</f>
        <v/>
      </c>
      <c r="H263" s="7">
        <f>IFERROR(IF(OR(E263="",INDEX(E:E,MATCH(DATE(YEAR($A263)-1,MONTH($A263),DAY($A263)),$A:$A,0))=""),"",E263/INDEX(E:E,MATCH(DATE(YEAR($A263)-1,MONTH($A263),DAY($A263)),$A:$A,0))-1),"")</f>
        <v/>
      </c>
      <c r="I263" s="7">
        <f>IFERROR(IF(OR(F263="",INDEX(F:F,MATCH(DATE(YEAR($A263)-1,MONTH($A263),DAY($A263)),$A:$A,0))=""),"",F263/INDEX(F:F,MATCH(DATE(YEAR($A263)-1,MONTH($A263),DAY($A263)),$A:$A,0))-1),"")</f>
        <v/>
      </c>
      <c r="J263" s="7">
        <f>IFERROR(IF(OR(G263="",INDEX(G:G,MATCH(DATE(YEAR($A263)-1,MONTH($A263),DAY($A263)),$A:$A,0))=""),"",G263/INDEX(G:G,MATCH(DATE(YEAR($A263)-1,MONTH($A263),DAY($A263)),$A:$A,0))-1),"")</f>
        <v/>
      </c>
      <c r="K263" s="7">
        <f>IF(OR(E263="",E262=""),"",E263/E262-1)</f>
        <v/>
      </c>
      <c r="L263" s="7">
        <f>IF(OR(F263="",F262=""),"",F263/F262-1)</f>
        <v/>
      </c>
      <c r="M263" s="7">
        <f>IF(OR(G263="",G262=""),"",G263/G262-1)</f>
        <v/>
      </c>
      <c r="N263" s="7">
        <f>IF(G263="","",E263/G263)</f>
        <v/>
      </c>
      <c r="O263" s="7">
        <f>IF(G263="","",F263/G263)</f>
        <v/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4">
        <f>IF(SUMIFS('Daily NSE Equity Cash'!$H:$H,'Daily NSE Equity Cash'!$A:$A,$A264)=0,"",SUMIFS('Daily NSE Equity Cash'!$H:$H,'Daily NSE Equity Cash'!$A:$A,$A264))</f>
        <v/>
      </c>
      <c r="F264" s="4">
        <f>IF(SUMIFS('Daily BSE Equity Cash'!$H:$H,'Daily BSE Equity Cash'!$A:$A,$A264)=0,"",SUMIFS('Daily BSE Equity Cash'!$H:$H,'Daily BSE Equity Cash'!$A:$A,$A264))</f>
        <v/>
      </c>
      <c r="G264" s="4">
        <f>IF(OR(E264="",F264=""),"",E264+F264)</f>
        <v/>
      </c>
      <c r="H264" s="7">
        <f>IFERROR(IF(OR(E264="",INDEX(E:E,MATCH(DATE(YEAR($A264)-1,MONTH($A264),DAY($A264)),$A:$A,0))=""),"",E264/INDEX(E:E,MATCH(DATE(YEAR($A264)-1,MONTH($A264),DAY($A264)),$A:$A,0))-1),"")</f>
        <v/>
      </c>
      <c r="I264" s="7">
        <f>IFERROR(IF(OR(F264="",INDEX(F:F,MATCH(DATE(YEAR($A264)-1,MONTH($A264),DAY($A264)),$A:$A,0))=""),"",F264/INDEX(F:F,MATCH(DATE(YEAR($A264)-1,MONTH($A264),DAY($A264)),$A:$A,0))-1),"")</f>
        <v/>
      </c>
      <c r="J264" s="7">
        <f>IFERROR(IF(OR(G264="",INDEX(G:G,MATCH(DATE(YEAR($A264)-1,MONTH($A264),DAY($A264)),$A:$A,0))=""),"",G264/INDEX(G:G,MATCH(DATE(YEAR($A264)-1,MONTH($A264),DAY($A264)),$A:$A,0))-1),"")</f>
        <v/>
      </c>
      <c r="K264" s="7">
        <f>IF(OR(E264="",E263=""),"",E264/E263-1)</f>
        <v/>
      </c>
      <c r="L264" s="7">
        <f>IF(OR(F264="",F263=""),"",F264/F263-1)</f>
        <v/>
      </c>
      <c r="M264" s="7">
        <f>IF(OR(G264="",G263=""),"",G264/G263-1)</f>
        <v/>
      </c>
      <c r="N264" s="7">
        <f>IF(G264="","",E264/G264)</f>
        <v/>
      </c>
      <c r="O264" s="7">
        <f>IF(G264="","",F264/G264)</f>
        <v/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4">
        <f>IF(SUMIFS('Daily NSE Equity Cash'!$H:$H,'Daily NSE Equity Cash'!$A:$A,$A265)=0,"",SUMIFS('Daily NSE Equity Cash'!$H:$H,'Daily NSE Equity Cash'!$A:$A,$A265))</f>
        <v/>
      </c>
      <c r="F265" s="4">
        <f>IF(SUMIFS('Daily BSE Equity Cash'!$H:$H,'Daily BSE Equity Cash'!$A:$A,$A265)=0,"",SUMIFS('Daily BSE Equity Cash'!$H:$H,'Daily BSE Equity Cash'!$A:$A,$A265))</f>
        <v/>
      </c>
      <c r="G265" s="4">
        <f>IF(OR(E265="",F265=""),"",E265+F265)</f>
        <v/>
      </c>
      <c r="H265" s="7">
        <f>IFERROR(IF(OR(E265="",INDEX(E:E,MATCH(DATE(YEAR($A265)-1,MONTH($A265),DAY($A265)),$A:$A,0))=""),"",E265/INDEX(E:E,MATCH(DATE(YEAR($A265)-1,MONTH($A265),DAY($A265)),$A:$A,0))-1),"")</f>
        <v/>
      </c>
      <c r="I265" s="7">
        <f>IFERROR(IF(OR(F265="",INDEX(F:F,MATCH(DATE(YEAR($A265)-1,MONTH($A265),DAY($A265)),$A:$A,0))=""),"",F265/INDEX(F:F,MATCH(DATE(YEAR($A265)-1,MONTH($A265),DAY($A265)),$A:$A,0))-1),"")</f>
        <v/>
      </c>
      <c r="J265" s="7">
        <f>IFERROR(IF(OR(G265="",INDEX(G:G,MATCH(DATE(YEAR($A265)-1,MONTH($A265),DAY($A265)),$A:$A,0))=""),"",G265/INDEX(G:G,MATCH(DATE(YEAR($A265)-1,MONTH($A265),DAY($A265)),$A:$A,0))-1),"")</f>
        <v/>
      </c>
      <c r="K265" s="7">
        <f>IF(OR(E265="",E264=""),"",E265/E264-1)</f>
        <v/>
      </c>
      <c r="L265" s="7">
        <f>IF(OR(F265="",F264=""),"",F265/F264-1)</f>
        <v/>
      </c>
      <c r="M265" s="7">
        <f>IF(OR(G265="",G264=""),"",G265/G264-1)</f>
        <v/>
      </c>
      <c r="N265" s="7">
        <f>IF(G265="","",E265/G265)</f>
        <v/>
      </c>
      <c r="O265" s="7">
        <f>IF(G265="","",F265/G265)</f>
        <v/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4">
        <f>IF(SUMIFS('Daily NSE Equity Cash'!$H:$H,'Daily NSE Equity Cash'!$A:$A,$A266)=0,"",SUMIFS('Daily NSE Equity Cash'!$H:$H,'Daily NSE Equity Cash'!$A:$A,$A266))</f>
        <v/>
      </c>
      <c r="F266" s="4">
        <f>IF(SUMIFS('Daily BSE Equity Cash'!$H:$H,'Daily BSE Equity Cash'!$A:$A,$A266)=0,"",SUMIFS('Daily BSE Equity Cash'!$H:$H,'Daily BSE Equity Cash'!$A:$A,$A266))</f>
        <v/>
      </c>
      <c r="G266" s="4">
        <f>IF(OR(E266="",F266=""),"",E266+F266)</f>
        <v/>
      </c>
      <c r="H266" s="7">
        <f>IFERROR(IF(OR(E266="",INDEX(E:E,MATCH(DATE(YEAR($A266)-1,MONTH($A266),DAY($A266)),$A:$A,0))=""),"",E266/INDEX(E:E,MATCH(DATE(YEAR($A266)-1,MONTH($A266),DAY($A266)),$A:$A,0))-1),"")</f>
        <v/>
      </c>
      <c r="I266" s="7">
        <f>IFERROR(IF(OR(F266="",INDEX(F:F,MATCH(DATE(YEAR($A266)-1,MONTH($A266),DAY($A266)),$A:$A,0))=""),"",F266/INDEX(F:F,MATCH(DATE(YEAR($A266)-1,MONTH($A266),DAY($A266)),$A:$A,0))-1),"")</f>
        <v/>
      </c>
      <c r="J266" s="7">
        <f>IFERROR(IF(OR(G266="",INDEX(G:G,MATCH(DATE(YEAR($A266)-1,MONTH($A266),DAY($A266)),$A:$A,0))=""),"",G266/INDEX(G:G,MATCH(DATE(YEAR($A266)-1,MONTH($A266),DAY($A266)),$A:$A,0))-1),"")</f>
        <v/>
      </c>
      <c r="K266" s="7">
        <f>IF(OR(E266="",E265=""),"",E266/E265-1)</f>
        <v/>
      </c>
      <c r="L266" s="7">
        <f>IF(OR(F266="",F265=""),"",F266/F265-1)</f>
        <v/>
      </c>
      <c r="M266" s="7">
        <f>IF(OR(G266="",G265=""),"",G266/G265-1)</f>
        <v/>
      </c>
      <c r="N266" s="7">
        <f>IF(G266="","",E266/G266)</f>
        <v/>
      </c>
      <c r="O266" s="7">
        <f>IF(G266="","",F266/G266)</f>
        <v/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4">
        <f>IF(SUMIFS('Daily NSE Equity Cash'!$H:$H,'Daily NSE Equity Cash'!$A:$A,$A267)=0,"",SUMIFS('Daily NSE Equity Cash'!$H:$H,'Daily NSE Equity Cash'!$A:$A,$A267))</f>
        <v/>
      </c>
      <c r="F267" s="4">
        <f>IF(SUMIFS('Daily BSE Equity Cash'!$H:$H,'Daily BSE Equity Cash'!$A:$A,$A267)=0,"",SUMIFS('Daily BSE Equity Cash'!$H:$H,'Daily BSE Equity Cash'!$A:$A,$A267))</f>
        <v/>
      </c>
      <c r="G267" s="4">
        <f>IF(OR(E267="",F267=""),"",E267+F267)</f>
        <v/>
      </c>
      <c r="H267" s="7">
        <f>IFERROR(IF(OR(E267="",INDEX(E:E,MATCH(DATE(YEAR($A267)-1,MONTH($A267),DAY($A267)),$A:$A,0))=""),"",E267/INDEX(E:E,MATCH(DATE(YEAR($A267)-1,MONTH($A267),DAY($A267)),$A:$A,0))-1),"")</f>
        <v/>
      </c>
      <c r="I267" s="7">
        <f>IFERROR(IF(OR(F267="",INDEX(F:F,MATCH(DATE(YEAR($A267)-1,MONTH($A267),DAY($A267)),$A:$A,0))=""),"",F267/INDEX(F:F,MATCH(DATE(YEAR($A267)-1,MONTH($A267),DAY($A267)),$A:$A,0))-1),"")</f>
        <v/>
      </c>
      <c r="J267" s="7">
        <f>IFERROR(IF(OR(G267="",INDEX(G:G,MATCH(DATE(YEAR($A267)-1,MONTH($A267),DAY($A267)),$A:$A,0))=""),"",G267/INDEX(G:G,MATCH(DATE(YEAR($A267)-1,MONTH($A267),DAY($A267)),$A:$A,0))-1),"")</f>
        <v/>
      </c>
      <c r="K267" s="7">
        <f>IF(OR(E267="",E266=""),"",E267/E266-1)</f>
        <v/>
      </c>
      <c r="L267" s="7">
        <f>IF(OR(F267="",F266=""),"",F267/F266-1)</f>
        <v/>
      </c>
      <c r="M267" s="7">
        <f>IF(OR(G267="",G266=""),"",G267/G266-1)</f>
        <v/>
      </c>
      <c r="N267" s="7">
        <f>IF(G267="","",E267/G267)</f>
        <v/>
      </c>
      <c r="O267" s="7">
        <f>IF(G267="","",F267/G267)</f>
        <v/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4">
        <f>IF(SUMIFS('Daily NSE Equity Cash'!$H:$H,'Daily NSE Equity Cash'!$A:$A,$A268)=0,"",SUMIFS('Daily NSE Equity Cash'!$H:$H,'Daily NSE Equity Cash'!$A:$A,$A268))</f>
        <v/>
      </c>
      <c r="F268" s="4">
        <f>IF(SUMIFS('Daily BSE Equity Cash'!$H:$H,'Daily BSE Equity Cash'!$A:$A,$A268)=0,"",SUMIFS('Daily BSE Equity Cash'!$H:$H,'Daily BSE Equity Cash'!$A:$A,$A268))</f>
        <v/>
      </c>
      <c r="G268" s="4">
        <f>IF(OR(E268="",F268=""),"",E268+F268)</f>
        <v/>
      </c>
      <c r="H268" s="7">
        <f>IFERROR(IF(OR(E268="",INDEX(E:E,MATCH(DATE(YEAR($A268)-1,MONTH($A268),DAY($A268)),$A:$A,0))=""),"",E268/INDEX(E:E,MATCH(DATE(YEAR($A268)-1,MONTH($A268),DAY($A268)),$A:$A,0))-1),"")</f>
        <v/>
      </c>
      <c r="I268" s="7">
        <f>IFERROR(IF(OR(F268="",INDEX(F:F,MATCH(DATE(YEAR($A268)-1,MONTH($A268),DAY($A268)),$A:$A,0))=""),"",F268/INDEX(F:F,MATCH(DATE(YEAR($A268)-1,MONTH($A268),DAY($A268)),$A:$A,0))-1),"")</f>
        <v/>
      </c>
      <c r="J268" s="7">
        <f>IFERROR(IF(OR(G268="",INDEX(G:G,MATCH(DATE(YEAR($A268)-1,MONTH($A268),DAY($A268)),$A:$A,0))=""),"",G268/INDEX(G:G,MATCH(DATE(YEAR($A268)-1,MONTH($A268),DAY($A268)),$A:$A,0))-1),"")</f>
        <v/>
      </c>
      <c r="K268" s="7">
        <f>IF(OR(E268="",E267=""),"",E268/E267-1)</f>
        <v/>
      </c>
      <c r="L268" s="7">
        <f>IF(OR(F268="",F267=""),"",F268/F267-1)</f>
        <v/>
      </c>
      <c r="M268" s="7">
        <f>IF(OR(G268="",G267=""),"",G268/G267-1)</f>
        <v/>
      </c>
      <c r="N268" s="7">
        <f>IF(G268="","",E268/G268)</f>
        <v/>
      </c>
      <c r="O268" s="7">
        <f>IF(G268="","",F268/G268)</f>
        <v/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4">
        <f>IF(SUMIFS('Daily NSE Equity Cash'!$H:$H,'Daily NSE Equity Cash'!$A:$A,$A269)=0,"",SUMIFS('Daily NSE Equity Cash'!$H:$H,'Daily NSE Equity Cash'!$A:$A,$A269))</f>
        <v/>
      </c>
      <c r="F269" s="4">
        <f>IF(SUMIFS('Daily BSE Equity Cash'!$H:$H,'Daily BSE Equity Cash'!$A:$A,$A269)=0,"",SUMIFS('Daily BSE Equity Cash'!$H:$H,'Daily BSE Equity Cash'!$A:$A,$A269))</f>
        <v/>
      </c>
      <c r="G269" s="4">
        <f>IF(OR(E269="",F269=""),"",E269+F269)</f>
        <v/>
      </c>
      <c r="H269" s="7">
        <f>IFERROR(IF(OR(E269="",INDEX(E:E,MATCH(DATE(YEAR($A269)-1,MONTH($A269),DAY($A269)),$A:$A,0))=""),"",E269/INDEX(E:E,MATCH(DATE(YEAR($A269)-1,MONTH($A269),DAY($A269)),$A:$A,0))-1),"")</f>
        <v/>
      </c>
      <c r="I269" s="7">
        <f>IFERROR(IF(OR(F269="",INDEX(F:F,MATCH(DATE(YEAR($A269)-1,MONTH($A269),DAY($A269)),$A:$A,0))=""),"",F269/INDEX(F:F,MATCH(DATE(YEAR($A269)-1,MONTH($A269),DAY($A269)),$A:$A,0))-1),"")</f>
        <v/>
      </c>
      <c r="J269" s="7">
        <f>IFERROR(IF(OR(G269="",INDEX(G:G,MATCH(DATE(YEAR($A269)-1,MONTH($A269),DAY($A269)),$A:$A,0))=""),"",G269/INDEX(G:G,MATCH(DATE(YEAR($A269)-1,MONTH($A269),DAY($A269)),$A:$A,0))-1),"")</f>
        <v/>
      </c>
      <c r="K269" s="7">
        <f>IF(OR(E269="",E268=""),"",E269/E268-1)</f>
        <v/>
      </c>
      <c r="L269" s="7">
        <f>IF(OR(F269="",F268=""),"",F269/F268-1)</f>
        <v/>
      </c>
      <c r="M269" s="7">
        <f>IF(OR(G269="",G268=""),"",G269/G268-1)</f>
        <v/>
      </c>
      <c r="N269" s="7">
        <f>IF(G269="","",E269/G269)</f>
        <v/>
      </c>
      <c r="O269" s="7">
        <f>IF(G269="","",F269/G269)</f>
        <v/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4">
        <f>IF(SUMIFS('Daily NSE Equity Cash'!$H:$H,'Daily NSE Equity Cash'!$A:$A,$A270)=0,"",SUMIFS('Daily NSE Equity Cash'!$H:$H,'Daily NSE Equity Cash'!$A:$A,$A270))</f>
        <v/>
      </c>
      <c r="F270" s="4">
        <f>IF(SUMIFS('Daily BSE Equity Cash'!$H:$H,'Daily BSE Equity Cash'!$A:$A,$A270)=0,"",SUMIFS('Daily BSE Equity Cash'!$H:$H,'Daily BSE Equity Cash'!$A:$A,$A270))</f>
        <v/>
      </c>
      <c r="G270" s="4">
        <f>IF(OR(E270="",F270=""),"",E270+F270)</f>
        <v/>
      </c>
      <c r="H270" s="7">
        <f>IFERROR(IF(OR(E270="",INDEX(E:E,MATCH(DATE(YEAR($A270)-1,MONTH($A270),DAY($A270)),$A:$A,0))=""),"",E270/INDEX(E:E,MATCH(DATE(YEAR($A270)-1,MONTH($A270),DAY($A270)),$A:$A,0))-1),"")</f>
        <v/>
      </c>
      <c r="I270" s="7">
        <f>IFERROR(IF(OR(F270="",INDEX(F:F,MATCH(DATE(YEAR($A270)-1,MONTH($A270),DAY($A270)),$A:$A,0))=""),"",F270/INDEX(F:F,MATCH(DATE(YEAR($A270)-1,MONTH($A270),DAY($A270)),$A:$A,0))-1),"")</f>
        <v/>
      </c>
      <c r="J270" s="7">
        <f>IFERROR(IF(OR(G270="",INDEX(G:G,MATCH(DATE(YEAR($A270)-1,MONTH($A270),DAY($A270)),$A:$A,0))=""),"",G270/INDEX(G:G,MATCH(DATE(YEAR($A270)-1,MONTH($A270),DAY($A270)),$A:$A,0))-1),"")</f>
        <v/>
      </c>
      <c r="K270" s="7">
        <f>IF(OR(E270="",E269=""),"",E270/E269-1)</f>
        <v/>
      </c>
      <c r="L270" s="7">
        <f>IF(OR(F270="",F269=""),"",F270/F269-1)</f>
        <v/>
      </c>
      <c r="M270" s="7">
        <f>IF(OR(G270="",G269=""),"",G270/G269-1)</f>
        <v/>
      </c>
      <c r="N270" s="7">
        <f>IF(G270="","",E270/G270)</f>
        <v/>
      </c>
      <c r="O270" s="7">
        <f>IF(G270="","",F270/G270)</f>
        <v/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4">
        <f>IF(SUMIFS('Daily NSE Equity Cash'!$H:$H,'Daily NSE Equity Cash'!$A:$A,$A271)=0,"",SUMIFS('Daily NSE Equity Cash'!$H:$H,'Daily NSE Equity Cash'!$A:$A,$A271))</f>
        <v/>
      </c>
      <c r="F271" s="4">
        <f>IF(SUMIFS('Daily BSE Equity Cash'!$H:$H,'Daily BSE Equity Cash'!$A:$A,$A271)=0,"",SUMIFS('Daily BSE Equity Cash'!$H:$H,'Daily BSE Equity Cash'!$A:$A,$A271))</f>
        <v/>
      </c>
      <c r="G271" s="4">
        <f>IF(OR(E271="",F271=""),"",E271+F271)</f>
        <v/>
      </c>
      <c r="H271" s="7">
        <f>IFERROR(IF(OR(E271="",INDEX(E:E,MATCH(DATE(YEAR($A271)-1,MONTH($A271),DAY($A271)),$A:$A,0))=""),"",E271/INDEX(E:E,MATCH(DATE(YEAR($A271)-1,MONTH($A271),DAY($A271)),$A:$A,0))-1),"")</f>
        <v/>
      </c>
      <c r="I271" s="7">
        <f>IFERROR(IF(OR(F271="",INDEX(F:F,MATCH(DATE(YEAR($A271)-1,MONTH($A271),DAY($A271)),$A:$A,0))=""),"",F271/INDEX(F:F,MATCH(DATE(YEAR($A271)-1,MONTH($A271),DAY($A271)),$A:$A,0))-1),"")</f>
        <v/>
      </c>
      <c r="J271" s="7">
        <f>IFERROR(IF(OR(G271="",INDEX(G:G,MATCH(DATE(YEAR($A271)-1,MONTH($A271),DAY($A271)),$A:$A,0))=""),"",G271/INDEX(G:G,MATCH(DATE(YEAR($A271)-1,MONTH($A271),DAY($A271)),$A:$A,0))-1),"")</f>
        <v/>
      </c>
      <c r="K271" s="7">
        <f>IF(OR(E271="",E270=""),"",E271/E270-1)</f>
        <v/>
      </c>
      <c r="L271" s="7">
        <f>IF(OR(F271="",F270=""),"",F271/F270-1)</f>
        <v/>
      </c>
      <c r="M271" s="7">
        <f>IF(OR(G271="",G270=""),"",G271/G270-1)</f>
        <v/>
      </c>
      <c r="N271" s="7">
        <f>IF(G271="","",E271/G271)</f>
        <v/>
      </c>
      <c r="O271" s="7">
        <f>IF(G271="","",F271/G271)</f>
        <v/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4">
        <f>IF(SUMIFS('Daily NSE Equity Cash'!$H:$H,'Daily NSE Equity Cash'!$A:$A,$A272)=0,"",SUMIFS('Daily NSE Equity Cash'!$H:$H,'Daily NSE Equity Cash'!$A:$A,$A272))</f>
        <v/>
      </c>
      <c r="F272" s="4">
        <f>IF(SUMIFS('Daily BSE Equity Cash'!$H:$H,'Daily BSE Equity Cash'!$A:$A,$A272)=0,"",SUMIFS('Daily BSE Equity Cash'!$H:$H,'Daily BSE Equity Cash'!$A:$A,$A272))</f>
        <v/>
      </c>
      <c r="G272" s="4">
        <f>IF(OR(E272="",F272=""),"",E272+F272)</f>
        <v/>
      </c>
      <c r="H272" s="7">
        <f>IFERROR(IF(OR(E272="",INDEX(E:E,MATCH(DATE(YEAR($A272)-1,MONTH($A272),DAY($A272)),$A:$A,0))=""),"",E272/INDEX(E:E,MATCH(DATE(YEAR($A272)-1,MONTH($A272),DAY($A272)),$A:$A,0))-1),"")</f>
        <v/>
      </c>
      <c r="I272" s="7">
        <f>IFERROR(IF(OR(F272="",INDEX(F:F,MATCH(DATE(YEAR($A272)-1,MONTH($A272),DAY($A272)),$A:$A,0))=""),"",F272/INDEX(F:F,MATCH(DATE(YEAR($A272)-1,MONTH($A272),DAY($A272)),$A:$A,0))-1),"")</f>
        <v/>
      </c>
      <c r="J272" s="7">
        <f>IFERROR(IF(OR(G272="",INDEX(G:G,MATCH(DATE(YEAR($A272)-1,MONTH($A272),DAY($A272)),$A:$A,0))=""),"",G272/INDEX(G:G,MATCH(DATE(YEAR($A272)-1,MONTH($A272),DAY($A272)),$A:$A,0))-1),"")</f>
        <v/>
      </c>
      <c r="K272" s="7">
        <f>IF(OR(E272="",E271=""),"",E272/E271-1)</f>
        <v/>
      </c>
      <c r="L272" s="7">
        <f>IF(OR(F272="",F271=""),"",F272/F271-1)</f>
        <v/>
      </c>
      <c r="M272" s="7">
        <f>IF(OR(G272="",G271=""),"",G272/G271-1)</f>
        <v/>
      </c>
      <c r="N272" s="7">
        <f>IF(G272="","",E272/G272)</f>
        <v/>
      </c>
      <c r="O272" s="7">
        <f>IF(G272="","",F272/G272)</f>
        <v/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4">
        <f>IF(SUMIFS('Daily NSE Equity Cash'!$H:$H,'Daily NSE Equity Cash'!$A:$A,$A273)=0,"",SUMIFS('Daily NSE Equity Cash'!$H:$H,'Daily NSE Equity Cash'!$A:$A,$A273))</f>
        <v/>
      </c>
      <c r="F273" s="4">
        <f>IF(SUMIFS('Daily BSE Equity Cash'!$H:$H,'Daily BSE Equity Cash'!$A:$A,$A273)=0,"",SUMIFS('Daily BSE Equity Cash'!$H:$H,'Daily BSE Equity Cash'!$A:$A,$A273))</f>
        <v/>
      </c>
      <c r="G273" s="4">
        <f>IF(OR(E273="",F273=""),"",E273+F273)</f>
        <v/>
      </c>
      <c r="H273" s="7">
        <f>IFERROR(IF(OR(E273="",INDEX(E:E,MATCH(DATE(YEAR($A273)-1,MONTH($A273),DAY($A273)),$A:$A,0))=""),"",E273/INDEX(E:E,MATCH(DATE(YEAR($A273)-1,MONTH($A273),DAY($A273)),$A:$A,0))-1),"")</f>
        <v/>
      </c>
      <c r="I273" s="7">
        <f>IFERROR(IF(OR(F273="",INDEX(F:F,MATCH(DATE(YEAR($A273)-1,MONTH($A273),DAY($A273)),$A:$A,0))=""),"",F273/INDEX(F:F,MATCH(DATE(YEAR($A273)-1,MONTH($A273),DAY($A273)),$A:$A,0))-1),"")</f>
        <v/>
      </c>
      <c r="J273" s="7">
        <f>IFERROR(IF(OR(G273="",INDEX(G:G,MATCH(DATE(YEAR($A273)-1,MONTH($A273),DAY($A273)),$A:$A,0))=""),"",G273/INDEX(G:G,MATCH(DATE(YEAR($A273)-1,MONTH($A273),DAY($A273)),$A:$A,0))-1),"")</f>
        <v/>
      </c>
      <c r="K273" s="7">
        <f>IF(OR(E273="",E272=""),"",E273/E272-1)</f>
        <v/>
      </c>
      <c r="L273" s="7">
        <f>IF(OR(F273="",F272=""),"",F273/F272-1)</f>
        <v/>
      </c>
      <c r="M273" s="7">
        <f>IF(OR(G273="",G272=""),"",G273/G272-1)</f>
        <v/>
      </c>
      <c r="N273" s="7">
        <f>IF(G273="","",E273/G273)</f>
        <v/>
      </c>
      <c r="O273" s="7">
        <f>IF(G273="","",F273/G273)</f>
        <v/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4">
        <f>IF(SUMIFS('Daily NSE Equity Cash'!$H:$H,'Daily NSE Equity Cash'!$A:$A,$A274)=0,"",SUMIFS('Daily NSE Equity Cash'!$H:$H,'Daily NSE Equity Cash'!$A:$A,$A274))</f>
        <v/>
      </c>
      <c r="F274" s="4">
        <f>IF(SUMIFS('Daily BSE Equity Cash'!$H:$H,'Daily BSE Equity Cash'!$A:$A,$A274)=0,"",SUMIFS('Daily BSE Equity Cash'!$H:$H,'Daily BSE Equity Cash'!$A:$A,$A274))</f>
        <v/>
      </c>
      <c r="G274" s="4">
        <f>IF(OR(E274="",F274=""),"",E274+F274)</f>
        <v/>
      </c>
      <c r="H274" s="7">
        <f>IFERROR(IF(OR(E274="",INDEX(E:E,MATCH(DATE(YEAR($A274)-1,MONTH($A274),DAY($A274)),$A:$A,0))=""),"",E274/INDEX(E:E,MATCH(DATE(YEAR($A274)-1,MONTH($A274),DAY($A274)),$A:$A,0))-1),"")</f>
        <v/>
      </c>
      <c r="I274" s="7">
        <f>IFERROR(IF(OR(F274="",INDEX(F:F,MATCH(DATE(YEAR($A274)-1,MONTH($A274),DAY($A274)),$A:$A,0))=""),"",F274/INDEX(F:F,MATCH(DATE(YEAR($A274)-1,MONTH($A274),DAY($A274)),$A:$A,0))-1),"")</f>
        <v/>
      </c>
      <c r="J274" s="7">
        <f>IFERROR(IF(OR(G274="",INDEX(G:G,MATCH(DATE(YEAR($A274)-1,MONTH($A274),DAY($A274)),$A:$A,0))=""),"",G274/INDEX(G:G,MATCH(DATE(YEAR($A274)-1,MONTH($A274),DAY($A274)),$A:$A,0))-1),"")</f>
        <v/>
      </c>
      <c r="K274" s="7">
        <f>IF(OR(E274="",E273=""),"",E274/E273-1)</f>
        <v/>
      </c>
      <c r="L274" s="7">
        <f>IF(OR(F274="",F273=""),"",F274/F273-1)</f>
        <v/>
      </c>
      <c r="M274" s="7">
        <f>IF(OR(G274="",G273=""),"",G274/G273-1)</f>
        <v/>
      </c>
      <c r="N274" s="7">
        <f>IF(G274="","",E274/G274)</f>
        <v/>
      </c>
      <c r="O274" s="7">
        <f>IF(G274="","",F274/G274)</f>
        <v/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4">
        <f>IF(SUMIFS('Daily NSE Equity Cash'!$H:$H,'Daily NSE Equity Cash'!$A:$A,$A275)=0,"",SUMIFS('Daily NSE Equity Cash'!$H:$H,'Daily NSE Equity Cash'!$A:$A,$A275))</f>
        <v/>
      </c>
      <c r="F275" s="4">
        <f>IF(SUMIFS('Daily BSE Equity Cash'!$H:$H,'Daily BSE Equity Cash'!$A:$A,$A275)=0,"",SUMIFS('Daily BSE Equity Cash'!$H:$H,'Daily BSE Equity Cash'!$A:$A,$A275))</f>
        <v/>
      </c>
      <c r="G275" s="4">
        <f>IF(OR(E275="",F275=""),"",E275+F275)</f>
        <v/>
      </c>
      <c r="H275" s="7">
        <f>IFERROR(IF(OR(E275="",INDEX(E:E,MATCH(DATE(YEAR($A275)-1,MONTH($A275),DAY($A275)),$A:$A,0))=""),"",E275/INDEX(E:E,MATCH(DATE(YEAR($A275)-1,MONTH($A275),DAY($A275)),$A:$A,0))-1),"")</f>
        <v/>
      </c>
      <c r="I275" s="7">
        <f>IFERROR(IF(OR(F275="",INDEX(F:F,MATCH(DATE(YEAR($A275)-1,MONTH($A275),DAY($A275)),$A:$A,0))=""),"",F275/INDEX(F:F,MATCH(DATE(YEAR($A275)-1,MONTH($A275),DAY($A275)),$A:$A,0))-1),"")</f>
        <v/>
      </c>
      <c r="J275" s="7">
        <f>IFERROR(IF(OR(G275="",INDEX(G:G,MATCH(DATE(YEAR($A275)-1,MONTH($A275),DAY($A275)),$A:$A,0))=""),"",G275/INDEX(G:G,MATCH(DATE(YEAR($A275)-1,MONTH($A275),DAY($A275)),$A:$A,0))-1),"")</f>
        <v/>
      </c>
      <c r="K275" s="7">
        <f>IF(OR(E275="",E274=""),"",E275/E274-1)</f>
        <v/>
      </c>
      <c r="L275" s="7">
        <f>IF(OR(F275="",F274=""),"",F275/F274-1)</f>
        <v/>
      </c>
      <c r="M275" s="7">
        <f>IF(OR(G275="",G274=""),"",G275/G274-1)</f>
        <v/>
      </c>
      <c r="N275" s="7">
        <f>IF(G275="","",E275/G275)</f>
        <v/>
      </c>
      <c r="O275" s="7">
        <f>IF(G275="","",F275/G275)</f>
        <v/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4">
        <f>IF(SUMIFS('Daily NSE Equity Cash'!$H:$H,'Daily NSE Equity Cash'!$A:$A,$A276)=0,"",SUMIFS('Daily NSE Equity Cash'!$H:$H,'Daily NSE Equity Cash'!$A:$A,$A276))</f>
        <v/>
      </c>
      <c r="F276" s="4">
        <f>IF(SUMIFS('Daily BSE Equity Cash'!$H:$H,'Daily BSE Equity Cash'!$A:$A,$A276)=0,"",SUMIFS('Daily BSE Equity Cash'!$H:$H,'Daily BSE Equity Cash'!$A:$A,$A276))</f>
        <v/>
      </c>
      <c r="G276" s="4">
        <f>IF(OR(E276="",F276=""),"",E276+F276)</f>
        <v/>
      </c>
      <c r="H276" s="7">
        <f>IFERROR(IF(OR(E276="",INDEX(E:E,MATCH(DATE(YEAR($A276)-1,MONTH($A276),DAY($A276)),$A:$A,0))=""),"",E276/INDEX(E:E,MATCH(DATE(YEAR($A276)-1,MONTH($A276),DAY($A276)),$A:$A,0))-1),"")</f>
        <v/>
      </c>
      <c r="I276" s="7">
        <f>IFERROR(IF(OR(F276="",INDEX(F:F,MATCH(DATE(YEAR($A276)-1,MONTH($A276),DAY($A276)),$A:$A,0))=""),"",F276/INDEX(F:F,MATCH(DATE(YEAR($A276)-1,MONTH($A276),DAY($A276)),$A:$A,0))-1),"")</f>
        <v/>
      </c>
      <c r="J276" s="7">
        <f>IFERROR(IF(OR(G276="",INDEX(G:G,MATCH(DATE(YEAR($A276)-1,MONTH($A276),DAY($A276)),$A:$A,0))=""),"",G276/INDEX(G:G,MATCH(DATE(YEAR($A276)-1,MONTH($A276),DAY($A276)),$A:$A,0))-1),"")</f>
        <v/>
      </c>
      <c r="K276" s="7">
        <f>IF(OR(E276="",E275=""),"",E276/E275-1)</f>
        <v/>
      </c>
      <c r="L276" s="7">
        <f>IF(OR(F276="",F275=""),"",F276/F275-1)</f>
        <v/>
      </c>
      <c r="M276" s="7">
        <f>IF(OR(G276="",G275=""),"",G276/G275-1)</f>
        <v/>
      </c>
      <c r="N276" s="7">
        <f>IF(G276="","",E276/G276)</f>
        <v/>
      </c>
      <c r="O276" s="7">
        <f>IF(G276="","",F276/G276)</f>
        <v/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4">
        <f>IF(SUMIFS('Daily NSE Equity Cash'!$H:$H,'Daily NSE Equity Cash'!$A:$A,$A277)=0,"",SUMIFS('Daily NSE Equity Cash'!$H:$H,'Daily NSE Equity Cash'!$A:$A,$A277))</f>
        <v/>
      </c>
      <c r="F277" s="4">
        <f>IF(SUMIFS('Daily BSE Equity Cash'!$H:$H,'Daily BSE Equity Cash'!$A:$A,$A277)=0,"",SUMIFS('Daily BSE Equity Cash'!$H:$H,'Daily BSE Equity Cash'!$A:$A,$A277))</f>
        <v/>
      </c>
      <c r="G277" s="4">
        <f>IF(OR(E277="",F277=""),"",E277+F277)</f>
        <v/>
      </c>
      <c r="H277" s="7">
        <f>IFERROR(IF(OR(E277="",INDEX(E:E,MATCH(DATE(YEAR($A277)-1,MONTH($A277),DAY($A277)),$A:$A,0))=""),"",E277/INDEX(E:E,MATCH(DATE(YEAR($A277)-1,MONTH($A277),DAY($A277)),$A:$A,0))-1),"")</f>
        <v/>
      </c>
      <c r="I277" s="7">
        <f>IFERROR(IF(OR(F277="",INDEX(F:F,MATCH(DATE(YEAR($A277)-1,MONTH($A277),DAY($A277)),$A:$A,0))=""),"",F277/INDEX(F:F,MATCH(DATE(YEAR($A277)-1,MONTH($A277),DAY($A277)),$A:$A,0))-1),"")</f>
        <v/>
      </c>
      <c r="J277" s="7">
        <f>IFERROR(IF(OR(G277="",INDEX(G:G,MATCH(DATE(YEAR($A277)-1,MONTH($A277),DAY($A277)),$A:$A,0))=""),"",G277/INDEX(G:G,MATCH(DATE(YEAR($A277)-1,MONTH($A277),DAY($A277)),$A:$A,0))-1),"")</f>
        <v/>
      </c>
      <c r="K277" s="7">
        <f>IF(OR(E277="",E276=""),"",E277/E276-1)</f>
        <v/>
      </c>
      <c r="L277" s="7">
        <f>IF(OR(F277="",F276=""),"",F277/F276-1)</f>
        <v/>
      </c>
      <c r="M277" s="7">
        <f>IF(OR(G277="",G276=""),"",G277/G276-1)</f>
        <v/>
      </c>
      <c r="N277" s="7">
        <f>IF(G277="","",E277/G277)</f>
        <v/>
      </c>
      <c r="O277" s="7">
        <f>IF(G277="","",F277/G277)</f>
        <v/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4">
        <f>IF(SUMIFS('Daily NSE Equity Cash'!$H:$H,'Daily NSE Equity Cash'!$A:$A,$A278)=0,"",SUMIFS('Daily NSE Equity Cash'!$H:$H,'Daily NSE Equity Cash'!$A:$A,$A278))</f>
        <v/>
      </c>
      <c r="F278" s="4">
        <f>IF(SUMIFS('Daily BSE Equity Cash'!$H:$H,'Daily BSE Equity Cash'!$A:$A,$A278)=0,"",SUMIFS('Daily BSE Equity Cash'!$H:$H,'Daily BSE Equity Cash'!$A:$A,$A278))</f>
        <v/>
      </c>
      <c r="G278" s="4">
        <f>IF(OR(E278="",F278=""),"",E278+F278)</f>
        <v/>
      </c>
      <c r="H278" s="7">
        <f>IFERROR(IF(OR(E278="",INDEX(E:E,MATCH(DATE(YEAR($A278)-1,MONTH($A278),DAY($A278)),$A:$A,0))=""),"",E278/INDEX(E:E,MATCH(DATE(YEAR($A278)-1,MONTH($A278),DAY($A278)),$A:$A,0))-1),"")</f>
        <v/>
      </c>
      <c r="I278" s="7">
        <f>IFERROR(IF(OR(F278="",INDEX(F:F,MATCH(DATE(YEAR($A278)-1,MONTH($A278),DAY($A278)),$A:$A,0))=""),"",F278/INDEX(F:F,MATCH(DATE(YEAR($A278)-1,MONTH($A278),DAY($A278)),$A:$A,0))-1),"")</f>
        <v/>
      </c>
      <c r="J278" s="7">
        <f>IFERROR(IF(OR(G278="",INDEX(G:G,MATCH(DATE(YEAR($A278)-1,MONTH($A278),DAY($A278)),$A:$A,0))=""),"",G278/INDEX(G:G,MATCH(DATE(YEAR($A278)-1,MONTH($A278),DAY($A278)),$A:$A,0))-1),"")</f>
        <v/>
      </c>
      <c r="K278" s="7">
        <f>IF(OR(E278="",E277=""),"",E278/E277-1)</f>
        <v/>
      </c>
      <c r="L278" s="7">
        <f>IF(OR(F278="",F277=""),"",F278/F277-1)</f>
        <v/>
      </c>
      <c r="M278" s="7">
        <f>IF(OR(G278="",G277=""),"",G278/G277-1)</f>
        <v/>
      </c>
      <c r="N278" s="7">
        <f>IF(G278="","",E278/G278)</f>
        <v/>
      </c>
      <c r="O278" s="7">
        <f>IF(G278="","",F278/G278)</f>
        <v/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4">
        <f>IF(SUMIFS('Daily NSE Equity Cash'!$H:$H,'Daily NSE Equity Cash'!$A:$A,$A279)=0,"",SUMIFS('Daily NSE Equity Cash'!$H:$H,'Daily NSE Equity Cash'!$A:$A,$A279))</f>
        <v/>
      </c>
      <c r="F279" s="4">
        <f>IF(SUMIFS('Daily BSE Equity Cash'!$H:$H,'Daily BSE Equity Cash'!$A:$A,$A279)=0,"",SUMIFS('Daily BSE Equity Cash'!$H:$H,'Daily BSE Equity Cash'!$A:$A,$A279))</f>
        <v/>
      </c>
      <c r="G279" s="4">
        <f>IF(OR(E279="",F279=""),"",E279+F279)</f>
        <v/>
      </c>
      <c r="H279" s="7">
        <f>IFERROR(IF(OR(E279="",INDEX(E:E,MATCH(DATE(YEAR($A279)-1,MONTH($A279),DAY($A279)),$A:$A,0))=""),"",E279/INDEX(E:E,MATCH(DATE(YEAR($A279)-1,MONTH($A279),DAY($A279)),$A:$A,0))-1),"")</f>
        <v/>
      </c>
      <c r="I279" s="7">
        <f>IFERROR(IF(OR(F279="",INDEX(F:F,MATCH(DATE(YEAR($A279)-1,MONTH($A279),DAY($A279)),$A:$A,0))=""),"",F279/INDEX(F:F,MATCH(DATE(YEAR($A279)-1,MONTH($A279),DAY($A279)),$A:$A,0))-1),"")</f>
        <v/>
      </c>
      <c r="J279" s="7">
        <f>IFERROR(IF(OR(G279="",INDEX(G:G,MATCH(DATE(YEAR($A279)-1,MONTH($A279),DAY($A279)),$A:$A,0))=""),"",G279/INDEX(G:G,MATCH(DATE(YEAR($A279)-1,MONTH($A279),DAY($A279)),$A:$A,0))-1),"")</f>
        <v/>
      </c>
      <c r="K279" s="7">
        <f>IF(OR(E279="",E278=""),"",E279/E278-1)</f>
        <v/>
      </c>
      <c r="L279" s="7">
        <f>IF(OR(F279="",F278=""),"",F279/F278-1)</f>
        <v/>
      </c>
      <c r="M279" s="7">
        <f>IF(OR(G279="",G278=""),"",G279/G278-1)</f>
        <v/>
      </c>
      <c r="N279" s="7">
        <f>IF(G279="","",E279/G279)</f>
        <v/>
      </c>
      <c r="O279" s="7">
        <f>IF(G279="","",F279/G279)</f>
        <v/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4">
        <f>IF(SUMIFS('Daily NSE Equity Cash'!$H:$H,'Daily NSE Equity Cash'!$A:$A,$A280)=0,"",SUMIFS('Daily NSE Equity Cash'!$H:$H,'Daily NSE Equity Cash'!$A:$A,$A280))</f>
        <v/>
      </c>
      <c r="F280" s="4">
        <f>IF(SUMIFS('Daily BSE Equity Cash'!$H:$H,'Daily BSE Equity Cash'!$A:$A,$A280)=0,"",SUMIFS('Daily BSE Equity Cash'!$H:$H,'Daily BSE Equity Cash'!$A:$A,$A280))</f>
        <v/>
      </c>
      <c r="G280" s="4">
        <f>IF(OR(E280="",F280=""),"",E280+F280)</f>
        <v/>
      </c>
      <c r="H280" s="7">
        <f>IFERROR(IF(OR(E280="",INDEX(E:E,MATCH(DATE(YEAR($A280)-1,MONTH($A280),DAY($A280)),$A:$A,0))=""),"",E280/INDEX(E:E,MATCH(DATE(YEAR($A280)-1,MONTH($A280),DAY($A280)),$A:$A,0))-1),"")</f>
        <v/>
      </c>
      <c r="I280" s="7">
        <f>IFERROR(IF(OR(F280="",INDEX(F:F,MATCH(DATE(YEAR($A280)-1,MONTH($A280),DAY($A280)),$A:$A,0))=""),"",F280/INDEX(F:F,MATCH(DATE(YEAR($A280)-1,MONTH($A280),DAY($A280)),$A:$A,0))-1),"")</f>
        <v/>
      </c>
      <c r="J280" s="7">
        <f>IFERROR(IF(OR(G280="",INDEX(G:G,MATCH(DATE(YEAR($A280)-1,MONTH($A280),DAY($A280)),$A:$A,0))=""),"",G280/INDEX(G:G,MATCH(DATE(YEAR($A280)-1,MONTH($A280),DAY($A280)),$A:$A,0))-1),"")</f>
        <v/>
      </c>
      <c r="K280" s="7">
        <f>IF(OR(E280="",E279=""),"",E280/E279-1)</f>
        <v/>
      </c>
      <c r="L280" s="7">
        <f>IF(OR(F280="",F279=""),"",F280/F279-1)</f>
        <v/>
      </c>
      <c r="M280" s="7">
        <f>IF(OR(G280="",G279=""),"",G280/G279-1)</f>
        <v/>
      </c>
      <c r="N280" s="7">
        <f>IF(G280="","",E280/G280)</f>
        <v/>
      </c>
      <c r="O280" s="7">
        <f>IF(G280="","",F280/G280)</f>
        <v/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4">
        <f>IF(SUMIFS('Daily NSE Equity Cash'!$H:$H,'Daily NSE Equity Cash'!$A:$A,$A281)=0,"",SUMIFS('Daily NSE Equity Cash'!$H:$H,'Daily NSE Equity Cash'!$A:$A,$A281))</f>
        <v/>
      </c>
      <c r="F281" s="4">
        <f>IF(SUMIFS('Daily BSE Equity Cash'!$H:$H,'Daily BSE Equity Cash'!$A:$A,$A281)=0,"",SUMIFS('Daily BSE Equity Cash'!$H:$H,'Daily BSE Equity Cash'!$A:$A,$A281))</f>
        <v/>
      </c>
      <c r="G281" s="4">
        <f>IF(OR(E281="",F281=""),"",E281+F281)</f>
        <v/>
      </c>
      <c r="H281" s="7">
        <f>IFERROR(IF(OR(E281="",INDEX(E:E,MATCH(DATE(YEAR($A281)-1,MONTH($A281),DAY($A281)),$A:$A,0))=""),"",E281/INDEX(E:E,MATCH(DATE(YEAR($A281)-1,MONTH($A281),DAY($A281)),$A:$A,0))-1),"")</f>
        <v/>
      </c>
      <c r="I281" s="7">
        <f>IFERROR(IF(OR(F281="",INDEX(F:F,MATCH(DATE(YEAR($A281)-1,MONTH($A281),DAY($A281)),$A:$A,0))=""),"",F281/INDEX(F:F,MATCH(DATE(YEAR($A281)-1,MONTH($A281),DAY($A281)),$A:$A,0))-1),"")</f>
        <v/>
      </c>
      <c r="J281" s="7">
        <f>IFERROR(IF(OR(G281="",INDEX(G:G,MATCH(DATE(YEAR($A281)-1,MONTH($A281),DAY($A281)),$A:$A,0))=""),"",G281/INDEX(G:G,MATCH(DATE(YEAR($A281)-1,MONTH($A281),DAY($A281)),$A:$A,0))-1),"")</f>
        <v/>
      </c>
      <c r="K281" s="7">
        <f>IF(OR(E281="",E280=""),"",E281/E280-1)</f>
        <v/>
      </c>
      <c r="L281" s="7">
        <f>IF(OR(F281="",F280=""),"",F281/F280-1)</f>
        <v/>
      </c>
      <c r="M281" s="7">
        <f>IF(OR(G281="",G280=""),"",G281/G280-1)</f>
        <v/>
      </c>
      <c r="N281" s="7">
        <f>IF(G281="","",E281/G281)</f>
        <v/>
      </c>
      <c r="O281" s="7">
        <f>IF(G281="","",F281/G281)</f>
        <v/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4">
        <f>IF(SUMIFS('Daily NSE Equity Cash'!$H:$H,'Daily NSE Equity Cash'!$A:$A,$A282)=0,"",SUMIFS('Daily NSE Equity Cash'!$H:$H,'Daily NSE Equity Cash'!$A:$A,$A282))</f>
        <v/>
      </c>
      <c r="F282" s="4">
        <f>IF(SUMIFS('Daily BSE Equity Cash'!$H:$H,'Daily BSE Equity Cash'!$A:$A,$A282)=0,"",SUMIFS('Daily BSE Equity Cash'!$H:$H,'Daily BSE Equity Cash'!$A:$A,$A282))</f>
        <v/>
      </c>
      <c r="G282" s="4">
        <f>IF(OR(E282="",F282=""),"",E282+F282)</f>
        <v/>
      </c>
      <c r="H282" s="7">
        <f>IFERROR(IF(OR(E282="",INDEX(E:E,MATCH(DATE(YEAR($A282)-1,MONTH($A282),DAY($A282)),$A:$A,0))=""),"",E282/INDEX(E:E,MATCH(DATE(YEAR($A282)-1,MONTH($A282),DAY($A282)),$A:$A,0))-1),"")</f>
        <v/>
      </c>
      <c r="I282" s="7">
        <f>IFERROR(IF(OR(F282="",INDEX(F:F,MATCH(DATE(YEAR($A282)-1,MONTH($A282),DAY($A282)),$A:$A,0))=""),"",F282/INDEX(F:F,MATCH(DATE(YEAR($A282)-1,MONTH($A282),DAY($A282)),$A:$A,0))-1),"")</f>
        <v/>
      </c>
      <c r="J282" s="7">
        <f>IFERROR(IF(OR(G282="",INDEX(G:G,MATCH(DATE(YEAR($A282)-1,MONTH($A282),DAY($A282)),$A:$A,0))=""),"",G282/INDEX(G:G,MATCH(DATE(YEAR($A282)-1,MONTH($A282),DAY($A282)),$A:$A,0))-1),"")</f>
        <v/>
      </c>
      <c r="K282" s="7">
        <f>IF(OR(E282="",E281=""),"",E282/E281-1)</f>
        <v/>
      </c>
      <c r="L282" s="7">
        <f>IF(OR(F282="",F281=""),"",F282/F281-1)</f>
        <v/>
      </c>
      <c r="M282" s="7">
        <f>IF(OR(G282="",G281=""),"",G282/G281-1)</f>
        <v/>
      </c>
      <c r="N282" s="7">
        <f>IF(G282="","",E282/G282)</f>
        <v/>
      </c>
      <c r="O282" s="7">
        <f>IF(G282="","",F282/G282)</f>
        <v/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4">
        <f>IF(SUMIFS('Daily NSE Equity Cash'!$H:$H,'Daily NSE Equity Cash'!$A:$A,$A283)=0,"",SUMIFS('Daily NSE Equity Cash'!$H:$H,'Daily NSE Equity Cash'!$A:$A,$A283))</f>
        <v/>
      </c>
      <c r="F283" s="4">
        <f>IF(SUMIFS('Daily BSE Equity Cash'!$H:$H,'Daily BSE Equity Cash'!$A:$A,$A283)=0,"",SUMIFS('Daily BSE Equity Cash'!$H:$H,'Daily BSE Equity Cash'!$A:$A,$A283))</f>
        <v/>
      </c>
      <c r="G283" s="4">
        <f>IF(OR(E283="",F283=""),"",E283+F283)</f>
        <v/>
      </c>
      <c r="H283" s="7">
        <f>IFERROR(IF(OR(E283="",INDEX(E:E,MATCH(DATE(YEAR($A283)-1,MONTH($A283),DAY($A283)),$A:$A,0))=""),"",E283/INDEX(E:E,MATCH(DATE(YEAR($A283)-1,MONTH($A283),DAY($A283)),$A:$A,0))-1),"")</f>
        <v/>
      </c>
      <c r="I283" s="7">
        <f>IFERROR(IF(OR(F283="",INDEX(F:F,MATCH(DATE(YEAR($A283)-1,MONTH($A283),DAY($A283)),$A:$A,0))=""),"",F283/INDEX(F:F,MATCH(DATE(YEAR($A283)-1,MONTH($A283),DAY($A283)),$A:$A,0))-1),"")</f>
        <v/>
      </c>
      <c r="J283" s="7">
        <f>IFERROR(IF(OR(G283="",INDEX(G:G,MATCH(DATE(YEAR($A283)-1,MONTH($A283),DAY($A283)),$A:$A,0))=""),"",G283/INDEX(G:G,MATCH(DATE(YEAR($A283)-1,MONTH($A283),DAY($A283)),$A:$A,0))-1),"")</f>
        <v/>
      </c>
      <c r="K283" s="7">
        <f>IF(OR(E283="",E282=""),"",E283/E282-1)</f>
        <v/>
      </c>
      <c r="L283" s="7">
        <f>IF(OR(F283="",F282=""),"",F283/F282-1)</f>
        <v/>
      </c>
      <c r="M283" s="7">
        <f>IF(OR(G283="",G282=""),"",G283/G282-1)</f>
        <v/>
      </c>
      <c r="N283" s="7">
        <f>IF(G283="","",E283/G283)</f>
        <v/>
      </c>
      <c r="O283" s="7">
        <f>IF(G283="","",F283/G283)</f>
        <v/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4">
        <f>IF(SUMIFS('Daily NSE Equity Cash'!$H:$H,'Daily NSE Equity Cash'!$A:$A,$A284)=0,"",SUMIFS('Daily NSE Equity Cash'!$H:$H,'Daily NSE Equity Cash'!$A:$A,$A284))</f>
        <v/>
      </c>
      <c r="F284" s="4">
        <f>IF(SUMIFS('Daily BSE Equity Cash'!$H:$H,'Daily BSE Equity Cash'!$A:$A,$A284)=0,"",SUMIFS('Daily BSE Equity Cash'!$H:$H,'Daily BSE Equity Cash'!$A:$A,$A284))</f>
        <v/>
      </c>
      <c r="G284" s="4">
        <f>IF(OR(E284="",F284=""),"",E284+F284)</f>
        <v/>
      </c>
      <c r="H284" s="7">
        <f>IFERROR(IF(OR(E284="",INDEX(E:E,MATCH(DATE(YEAR($A284)-1,MONTH($A284),DAY($A284)),$A:$A,0))=""),"",E284/INDEX(E:E,MATCH(DATE(YEAR($A284)-1,MONTH($A284),DAY($A284)),$A:$A,0))-1),"")</f>
        <v/>
      </c>
      <c r="I284" s="7">
        <f>IFERROR(IF(OR(F284="",INDEX(F:F,MATCH(DATE(YEAR($A284)-1,MONTH($A284),DAY($A284)),$A:$A,0))=""),"",F284/INDEX(F:F,MATCH(DATE(YEAR($A284)-1,MONTH($A284),DAY($A284)),$A:$A,0))-1),"")</f>
        <v/>
      </c>
      <c r="J284" s="7">
        <f>IFERROR(IF(OR(G284="",INDEX(G:G,MATCH(DATE(YEAR($A284)-1,MONTH($A284),DAY($A284)),$A:$A,0))=""),"",G284/INDEX(G:G,MATCH(DATE(YEAR($A284)-1,MONTH($A284),DAY($A284)),$A:$A,0))-1),"")</f>
        <v/>
      </c>
      <c r="K284" s="7">
        <f>IF(OR(E284="",E283=""),"",E284/E283-1)</f>
        <v/>
      </c>
      <c r="L284" s="7">
        <f>IF(OR(F284="",F283=""),"",F284/F283-1)</f>
        <v/>
      </c>
      <c r="M284" s="7">
        <f>IF(OR(G284="",G283=""),"",G284/G283-1)</f>
        <v/>
      </c>
      <c r="N284" s="7">
        <f>IF(G284="","",E284/G284)</f>
        <v/>
      </c>
      <c r="O284" s="7">
        <f>IF(G284="","",F284/G284)</f>
        <v/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4">
        <f>IF(SUMIFS('Daily NSE Equity Cash'!$H:$H,'Daily NSE Equity Cash'!$A:$A,$A285)=0,"",SUMIFS('Daily NSE Equity Cash'!$H:$H,'Daily NSE Equity Cash'!$A:$A,$A285))</f>
        <v/>
      </c>
      <c r="F285" s="4">
        <f>IF(SUMIFS('Daily BSE Equity Cash'!$H:$H,'Daily BSE Equity Cash'!$A:$A,$A285)=0,"",SUMIFS('Daily BSE Equity Cash'!$H:$H,'Daily BSE Equity Cash'!$A:$A,$A285))</f>
        <v/>
      </c>
      <c r="G285" s="4">
        <f>IF(OR(E285="",F285=""),"",E285+F285)</f>
        <v/>
      </c>
      <c r="H285" s="7">
        <f>IFERROR(IF(OR(E285="",INDEX(E:E,MATCH(DATE(YEAR($A285)-1,MONTH($A285),DAY($A285)),$A:$A,0))=""),"",E285/INDEX(E:E,MATCH(DATE(YEAR($A285)-1,MONTH($A285),DAY($A285)),$A:$A,0))-1),"")</f>
        <v/>
      </c>
      <c r="I285" s="7">
        <f>IFERROR(IF(OR(F285="",INDEX(F:F,MATCH(DATE(YEAR($A285)-1,MONTH($A285),DAY($A285)),$A:$A,0))=""),"",F285/INDEX(F:F,MATCH(DATE(YEAR($A285)-1,MONTH($A285),DAY($A285)),$A:$A,0))-1),"")</f>
        <v/>
      </c>
      <c r="J285" s="7">
        <f>IFERROR(IF(OR(G285="",INDEX(G:G,MATCH(DATE(YEAR($A285)-1,MONTH($A285),DAY($A285)),$A:$A,0))=""),"",G285/INDEX(G:G,MATCH(DATE(YEAR($A285)-1,MONTH($A285),DAY($A285)),$A:$A,0))-1),"")</f>
        <v/>
      </c>
      <c r="K285" s="7">
        <f>IF(OR(E285="",E284=""),"",E285/E284-1)</f>
        <v/>
      </c>
      <c r="L285" s="7">
        <f>IF(OR(F285="",F284=""),"",F285/F284-1)</f>
        <v/>
      </c>
      <c r="M285" s="7">
        <f>IF(OR(G285="",G284=""),"",G285/G284-1)</f>
        <v/>
      </c>
      <c r="N285" s="7">
        <f>IF(G285="","",E285/G285)</f>
        <v/>
      </c>
      <c r="O285" s="7">
        <f>IF(G285="","",F285/G285)</f>
        <v/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4">
        <f>IF(SUMIFS('Daily NSE Equity Cash'!$H:$H,'Daily NSE Equity Cash'!$A:$A,$A286)=0,"",SUMIFS('Daily NSE Equity Cash'!$H:$H,'Daily NSE Equity Cash'!$A:$A,$A286))</f>
        <v/>
      </c>
      <c r="F286" s="4">
        <f>IF(SUMIFS('Daily BSE Equity Cash'!$H:$H,'Daily BSE Equity Cash'!$A:$A,$A286)=0,"",SUMIFS('Daily BSE Equity Cash'!$H:$H,'Daily BSE Equity Cash'!$A:$A,$A286))</f>
        <v/>
      </c>
      <c r="G286" s="4">
        <f>IF(OR(E286="",F286=""),"",E286+F286)</f>
        <v/>
      </c>
      <c r="H286" s="7">
        <f>IFERROR(IF(OR(E286="",INDEX(E:E,MATCH(DATE(YEAR($A286)-1,MONTH($A286),DAY($A286)),$A:$A,0))=""),"",E286/INDEX(E:E,MATCH(DATE(YEAR($A286)-1,MONTH($A286),DAY($A286)),$A:$A,0))-1),"")</f>
        <v/>
      </c>
      <c r="I286" s="7">
        <f>IFERROR(IF(OR(F286="",INDEX(F:F,MATCH(DATE(YEAR($A286)-1,MONTH($A286),DAY($A286)),$A:$A,0))=""),"",F286/INDEX(F:F,MATCH(DATE(YEAR($A286)-1,MONTH($A286),DAY($A286)),$A:$A,0))-1),"")</f>
        <v/>
      </c>
      <c r="J286" s="7">
        <f>IFERROR(IF(OR(G286="",INDEX(G:G,MATCH(DATE(YEAR($A286)-1,MONTH($A286),DAY($A286)),$A:$A,0))=""),"",G286/INDEX(G:G,MATCH(DATE(YEAR($A286)-1,MONTH($A286),DAY($A286)),$A:$A,0))-1),"")</f>
        <v/>
      </c>
      <c r="K286" s="7">
        <f>IF(OR(E286="",E285=""),"",E286/E285-1)</f>
        <v/>
      </c>
      <c r="L286" s="7">
        <f>IF(OR(F286="",F285=""),"",F286/F285-1)</f>
        <v/>
      </c>
      <c r="M286" s="7">
        <f>IF(OR(G286="",G285=""),"",G286/G285-1)</f>
        <v/>
      </c>
      <c r="N286" s="7">
        <f>IF(G286="","",E286/G286)</f>
        <v/>
      </c>
      <c r="O286" s="7">
        <f>IF(G286="","",F286/G286)</f>
        <v/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4">
        <f>IF(SUMIFS('Daily NSE Equity Cash'!$H:$H,'Daily NSE Equity Cash'!$A:$A,$A287)=0,"",SUMIFS('Daily NSE Equity Cash'!$H:$H,'Daily NSE Equity Cash'!$A:$A,$A287))</f>
        <v/>
      </c>
      <c r="F287" s="4">
        <f>IF(SUMIFS('Daily BSE Equity Cash'!$H:$H,'Daily BSE Equity Cash'!$A:$A,$A287)=0,"",SUMIFS('Daily BSE Equity Cash'!$H:$H,'Daily BSE Equity Cash'!$A:$A,$A287))</f>
        <v/>
      </c>
      <c r="G287" s="4">
        <f>IF(OR(E287="",F287=""),"",E287+F287)</f>
        <v/>
      </c>
      <c r="H287" s="7">
        <f>IFERROR(IF(OR(E287="",INDEX(E:E,MATCH(DATE(YEAR($A287)-1,MONTH($A287),DAY($A287)),$A:$A,0))=""),"",E287/INDEX(E:E,MATCH(DATE(YEAR($A287)-1,MONTH($A287),DAY($A287)),$A:$A,0))-1),"")</f>
        <v/>
      </c>
      <c r="I287" s="7">
        <f>IFERROR(IF(OR(F287="",INDEX(F:F,MATCH(DATE(YEAR($A287)-1,MONTH($A287),DAY($A287)),$A:$A,0))=""),"",F287/INDEX(F:F,MATCH(DATE(YEAR($A287)-1,MONTH($A287),DAY($A287)),$A:$A,0))-1),"")</f>
        <v/>
      </c>
      <c r="J287" s="7">
        <f>IFERROR(IF(OR(G287="",INDEX(G:G,MATCH(DATE(YEAR($A287)-1,MONTH($A287),DAY($A287)),$A:$A,0))=""),"",G287/INDEX(G:G,MATCH(DATE(YEAR($A287)-1,MONTH($A287),DAY($A287)),$A:$A,0))-1),"")</f>
        <v/>
      </c>
      <c r="K287" s="7">
        <f>IF(OR(E287="",E286=""),"",E287/E286-1)</f>
        <v/>
      </c>
      <c r="L287" s="7">
        <f>IF(OR(F287="",F286=""),"",F287/F286-1)</f>
        <v/>
      </c>
      <c r="M287" s="7">
        <f>IF(OR(G287="",G286=""),"",G287/G286-1)</f>
        <v/>
      </c>
      <c r="N287" s="7">
        <f>IF(G287="","",E287/G287)</f>
        <v/>
      </c>
      <c r="O287" s="7">
        <f>IF(G287="","",F287/G287)</f>
        <v/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4">
        <f>IF(SUMIFS('Daily NSE Equity Cash'!$H:$H,'Daily NSE Equity Cash'!$A:$A,$A288)=0,"",SUMIFS('Daily NSE Equity Cash'!$H:$H,'Daily NSE Equity Cash'!$A:$A,$A288))</f>
        <v/>
      </c>
      <c r="F288" s="4">
        <f>IF(SUMIFS('Daily BSE Equity Cash'!$H:$H,'Daily BSE Equity Cash'!$A:$A,$A288)=0,"",SUMIFS('Daily BSE Equity Cash'!$H:$H,'Daily BSE Equity Cash'!$A:$A,$A288))</f>
        <v/>
      </c>
      <c r="G288" s="4">
        <f>IF(OR(E288="",F288=""),"",E288+F288)</f>
        <v/>
      </c>
      <c r="H288" s="7">
        <f>IFERROR(IF(OR(E288="",INDEX(E:E,MATCH(DATE(YEAR($A288)-1,MONTH($A288),DAY($A288)),$A:$A,0))=""),"",E288/INDEX(E:E,MATCH(DATE(YEAR($A288)-1,MONTH($A288),DAY($A288)),$A:$A,0))-1),"")</f>
        <v/>
      </c>
      <c r="I288" s="7">
        <f>IFERROR(IF(OR(F288="",INDEX(F:F,MATCH(DATE(YEAR($A288)-1,MONTH($A288),DAY($A288)),$A:$A,0))=""),"",F288/INDEX(F:F,MATCH(DATE(YEAR($A288)-1,MONTH($A288),DAY($A288)),$A:$A,0))-1),"")</f>
        <v/>
      </c>
      <c r="J288" s="7">
        <f>IFERROR(IF(OR(G288="",INDEX(G:G,MATCH(DATE(YEAR($A288)-1,MONTH($A288),DAY($A288)),$A:$A,0))=""),"",G288/INDEX(G:G,MATCH(DATE(YEAR($A288)-1,MONTH($A288),DAY($A288)),$A:$A,0))-1),"")</f>
        <v/>
      </c>
      <c r="K288" s="7">
        <f>IF(OR(E288="",E287=""),"",E288/E287-1)</f>
        <v/>
      </c>
      <c r="L288" s="7">
        <f>IF(OR(F288="",F287=""),"",F288/F287-1)</f>
        <v/>
      </c>
      <c r="M288" s="7">
        <f>IF(OR(G288="",G287=""),"",G288/G287-1)</f>
        <v/>
      </c>
      <c r="N288" s="7">
        <f>IF(G288="","",E288/G288)</f>
        <v/>
      </c>
      <c r="O288" s="7">
        <f>IF(G288="","",F288/G288)</f>
        <v/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4">
        <f>IF(SUMIFS('Daily NSE Equity Cash'!$H:$H,'Daily NSE Equity Cash'!$A:$A,$A289)=0,"",SUMIFS('Daily NSE Equity Cash'!$H:$H,'Daily NSE Equity Cash'!$A:$A,$A289))</f>
        <v/>
      </c>
      <c r="F289" s="4">
        <f>IF(SUMIFS('Daily BSE Equity Cash'!$H:$H,'Daily BSE Equity Cash'!$A:$A,$A289)=0,"",SUMIFS('Daily BSE Equity Cash'!$H:$H,'Daily BSE Equity Cash'!$A:$A,$A289))</f>
        <v/>
      </c>
      <c r="G289" s="4">
        <f>IF(OR(E289="",F289=""),"",E289+F289)</f>
        <v/>
      </c>
      <c r="H289" s="7">
        <f>IFERROR(IF(OR(E289="",INDEX(E:E,MATCH(DATE(YEAR($A289)-1,MONTH($A289),DAY($A289)),$A:$A,0))=""),"",E289/INDEX(E:E,MATCH(DATE(YEAR($A289)-1,MONTH($A289),DAY($A289)),$A:$A,0))-1),"")</f>
        <v/>
      </c>
      <c r="I289" s="7">
        <f>IFERROR(IF(OR(F289="",INDEX(F:F,MATCH(DATE(YEAR($A289)-1,MONTH($A289),DAY($A289)),$A:$A,0))=""),"",F289/INDEX(F:F,MATCH(DATE(YEAR($A289)-1,MONTH($A289),DAY($A289)),$A:$A,0))-1),"")</f>
        <v/>
      </c>
      <c r="J289" s="7">
        <f>IFERROR(IF(OR(G289="",INDEX(G:G,MATCH(DATE(YEAR($A289)-1,MONTH($A289),DAY($A289)),$A:$A,0))=""),"",G289/INDEX(G:G,MATCH(DATE(YEAR($A289)-1,MONTH($A289),DAY($A289)),$A:$A,0))-1),"")</f>
        <v/>
      </c>
      <c r="K289" s="7">
        <f>IF(OR(E289="",E288=""),"",E289/E288-1)</f>
        <v/>
      </c>
      <c r="L289" s="7">
        <f>IF(OR(F289="",F288=""),"",F289/F288-1)</f>
        <v/>
      </c>
      <c r="M289" s="7">
        <f>IF(OR(G289="",G288=""),"",G289/G288-1)</f>
        <v/>
      </c>
      <c r="N289" s="7">
        <f>IF(G289="","",E289/G289)</f>
        <v/>
      </c>
      <c r="O289" s="7">
        <f>IF(G289="","",F289/G289)</f>
        <v/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4">
        <f>IF(SUMIFS('Daily NSE Equity Cash'!$H:$H,'Daily NSE Equity Cash'!$A:$A,$A290)=0,"",SUMIFS('Daily NSE Equity Cash'!$H:$H,'Daily NSE Equity Cash'!$A:$A,$A290))</f>
        <v/>
      </c>
      <c r="F290" s="4">
        <f>IF(SUMIFS('Daily BSE Equity Cash'!$H:$H,'Daily BSE Equity Cash'!$A:$A,$A290)=0,"",SUMIFS('Daily BSE Equity Cash'!$H:$H,'Daily BSE Equity Cash'!$A:$A,$A290))</f>
        <v/>
      </c>
      <c r="G290" s="4">
        <f>IF(OR(E290="",F290=""),"",E290+F290)</f>
        <v/>
      </c>
      <c r="H290" s="7">
        <f>IFERROR(IF(OR(E290="",INDEX(E:E,MATCH(DATE(YEAR($A290)-1,MONTH($A290),DAY($A290)),$A:$A,0))=""),"",E290/INDEX(E:E,MATCH(DATE(YEAR($A290)-1,MONTH($A290),DAY($A290)),$A:$A,0))-1),"")</f>
        <v/>
      </c>
      <c r="I290" s="7">
        <f>IFERROR(IF(OR(F290="",INDEX(F:F,MATCH(DATE(YEAR($A290)-1,MONTH($A290),DAY($A290)),$A:$A,0))=""),"",F290/INDEX(F:F,MATCH(DATE(YEAR($A290)-1,MONTH($A290),DAY($A290)),$A:$A,0))-1),"")</f>
        <v/>
      </c>
      <c r="J290" s="7">
        <f>IFERROR(IF(OR(G290="",INDEX(G:G,MATCH(DATE(YEAR($A290)-1,MONTH($A290),DAY($A290)),$A:$A,0))=""),"",G290/INDEX(G:G,MATCH(DATE(YEAR($A290)-1,MONTH($A290),DAY($A290)),$A:$A,0))-1),"")</f>
        <v/>
      </c>
      <c r="K290" s="7">
        <f>IF(OR(E290="",E289=""),"",E290/E289-1)</f>
        <v/>
      </c>
      <c r="L290" s="7">
        <f>IF(OR(F290="",F289=""),"",F290/F289-1)</f>
        <v/>
      </c>
      <c r="M290" s="7">
        <f>IF(OR(G290="",G289=""),"",G290/G289-1)</f>
        <v/>
      </c>
      <c r="N290" s="7">
        <f>IF(G290="","",E290/G290)</f>
        <v/>
      </c>
      <c r="O290" s="7">
        <f>IF(G290="","",F290/G290)</f>
        <v/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4">
        <f>IF(SUMIFS('Daily NSE Equity Cash'!$H:$H,'Daily NSE Equity Cash'!$A:$A,$A291)=0,"",SUMIFS('Daily NSE Equity Cash'!$H:$H,'Daily NSE Equity Cash'!$A:$A,$A291))</f>
        <v/>
      </c>
      <c r="F291" s="4">
        <f>IF(SUMIFS('Daily BSE Equity Cash'!$H:$H,'Daily BSE Equity Cash'!$A:$A,$A291)=0,"",SUMIFS('Daily BSE Equity Cash'!$H:$H,'Daily BSE Equity Cash'!$A:$A,$A291))</f>
        <v/>
      </c>
      <c r="G291" s="4">
        <f>IF(OR(E291="",F291=""),"",E291+F291)</f>
        <v/>
      </c>
      <c r="H291" s="7">
        <f>IFERROR(IF(OR(E291="",INDEX(E:E,MATCH(DATE(YEAR($A291)-1,MONTH($A291),DAY($A291)),$A:$A,0))=""),"",E291/INDEX(E:E,MATCH(DATE(YEAR($A291)-1,MONTH($A291),DAY($A291)),$A:$A,0))-1),"")</f>
        <v/>
      </c>
      <c r="I291" s="7">
        <f>IFERROR(IF(OR(F291="",INDEX(F:F,MATCH(DATE(YEAR($A291)-1,MONTH($A291),DAY($A291)),$A:$A,0))=""),"",F291/INDEX(F:F,MATCH(DATE(YEAR($A291)-1,MONTH($A291),DAY($A291)),$A:$A,0))-1),"")</f>
        <v/>
      </c>
      <c r="J291" s="7">
        <f>IFERROR(IF(OR(G291="",INDEX(G:G,MATCH(DATE(YEAR($A291)-1,MONTH($A291),DAY($A291)),$A:$A,0))=""),"",G291/INDEX(G:G,MATCH(DATE(YEAR($A291)-1,MONTH($A291),DAY($A291)),$A:$A,0))-1),"")</f>
        <v/>
      </c>
      <c r="K291" s="7">
        <f>IF(OR(E291="",E290=""),"",E291/E290-1)</f>
        <v/>
      </c>
      <c r="L291" s="7">
        <f>IF(OR(F291="",F290=""),"",F291/F290-1)</f>
        <v/>
      </c>
      <c r="M291" s="7">
        <f>IF(OR(G291="",G290=""),"",G291/G290-1)</f>
        <v/>
      </c>
      <c r="N291" s="7">
        <f>IF(G291="","",E291/G291)</f>
        <v/>
      </c>
      <c r="O291" s="7">
        <f>IF(G291="","",F291/G291)</f>
        <v/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4">
        <f>IF(SUMIFS('Daily NSE Equity Cash'!$H:$H,'Daily NSE Equity Cash'!$A:$A,$A292)=0,"",SUMIFS('Daily NSE Equity Cash'!$H:$H,'Daily NSE Equity Cash'!$A:$A,$A292))</f>
        <v/>
      </c>
      <c r="F292" s="4">
        <f>IF(SUMIFS('Daily BSE Equity Cash'!$H:$H,'Daily BSE Equity Cash'!$A:$A,$A292)=0,"",SUMIFS('Daily BSE Equity Cash'!$H:$H,'Daily BSE Equity Cash'!$A:$A,$A292))</f>
        <v/>
      </c>
      <c r="G292" s="4">
        <f>IF(OR(E292="",F292=""),"",E292+F292)</f>
        <v/>
      </c>
      <c r="H292" s="7">
        <f>IFERROR(IF(OR(E292="",INDEX(E:E,MATCH(DATE(YEAR($A292)-1,MONTH($A292),DAY($A292)),$A:$A,0))=""),"",E292/INDEX(E:E,MATCH(DATE(YEAR($A292)-1,MONTH($A292),DAY($A292)),$A:$A,0))-1),"")</f>
        <v/>
      </c>
      <c r="I292" s="7">
        <f>IFERROR(IF(OR(F292="",INDEX(F:F,MATCH(DATE(YEAR($A292)-1,MONTH($A292),DAY($A292)),$A:$A,0))=""),"",F292/INDEX(F:F,MATCH(DATE(YEAR($A292)-1,MONTH($A292),DAY($A292)),$A:$A,0))-1),"")</f>
        <v/>
      </c>
      <c r="J292" s="7">
        <f>IFERROR(IF(OR(G292="",INDEX(G:G,MATCH(DATE(YEAR($A292)-1,MONTH($A292),DAY($A292)),$A:$A,0))=""),"",G292/INDEX(G:G,MATCH(DATE(YEAR($A292)-1,MONTH($A292),DAY($A292)),$A:$A,0))-1),"")</f>
        <v/>
      </c>
      <c r="K292" s="7">
        <f>IF(OR(E292="",E291=""),"",E292/E291-1)</f>
        <v/>
      </c>
      <c r="L292" s="7">
        <f>IF(OR(F292="",F291=""),"",F292/F291-1)</f>
        <v/>
      </c>
      <c r="M292" s="7">
        <f>IF(OR(G292="",G291=""),"",G292/G291-1)</f>
        <v/>
      </c>
      <c r="N292" s="7">
        <f>IF(G292="","",E292/G292)</f>
        <v/>
      </c>
      <c r="O292" s="7">
        <f>IF(G292="","",F292/G292)</f>
        <v/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4">
        <f>IF(SUMIFS('Daily NSE Equity Cash'!$H:$H,'Daily NSE Equity Cash'!$A:$A,$A293)=0,"",SUMIFS('Daily NSE Equity Cash'!$H:$H,'Daily NSE Equity Cash'!$A:$A,$A293))</f>
        <v/>
      </c>
      <c r="F293" s="4">
        <f>IF(SUMIFS('Daily BSE Equity Cash'!$H:$H,'Daily BSE Equity Cash'!$A:$A,$A293)=0,"",SUMIFS('Daily BSE Equity Cash'!$H:$H,'Daily BSE Equity Cash'!$A:$A,$A293))</f>
        <v/>
      </c>
      <c r="G293" s="4">
        <f>IF(OR(E293="",F293=""),"",E293+F293)</f>
        <v/>
      </c>
      <c r="H293" s="7">
        <f>IFERROR(IF(OR(E293="",INDEX(E:E,MATCH(DATE(YEAR($A293)-1,MONTH($A293),DAY($A293)),$A:$A,0))=""),"",E293/INDEX(E:E,MATCH(DATE(YEAR($A293)-1,MONTH($A293),DAY($A293)),$A:$A,0))-1),"")</f>
        <v/>
      </c>
      <c r="I293" s="7">
        <f>IFERROR(IF(OR(F293="",INDEX(F:F,MATCH(DATE(YEAR($A293)-1,MONTH($A293),DAY($A293)),$A:$A,0))=""),"",F293/INDEX(F:F,MATCH(DATE(YEAR($A293)-1,MONTH($A293),DAY($A293)),$A:$A,0))-1),"")</f>
        <v/>
      </c>
      <c r="J293" s="7">
        <f>IFERROR(IF(OR(G293="",INDEX(G:G,MATCH(DATE(YEAR($A293)-1,MONTH($A293),DAY($A293)),$A:$A,0))=""),"",G293/INDEX(G:G,MATCH(DATE(YEAR($A293)-1,MONTH($A293),DAY($A293)),$A:$A,0))-1),"")</f>
        <v/>
      </c>
      <c r="K293" s="7">
        <f>IF(OR(E293="",E292=""),"",E293/E292-1)</f>
        <v/>
      </c>
      <c r="L293" s="7">
        <f>IF(OR(F293="",F292=""),"",F293/F292-1)</f>
        <v/>
      </c>
      <c r="M293" s="7">
        <f>IF(OR(G293="",G292=""),"",G293/G292-1)</f>
        <v/>
      </c>
      <c r="N293" s="7">
        <f>IF(G293="","",E293/G293)</f>
        <v/>
      </c>
      <c r="O293" s="7">
        <f>IF(G293="","",F293/G293)</f>
        <v/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4">
        <f>IF(SUMIFS('Daily NSE Equity Cash'!$H:$H,'Daily NSE Equity Cash'!$A:$A,$A294)=0,"",SUMIFS('Daily NSE Equity Cash'!$H:$H,'Daily NSE Equity Cash'!$A:$A,$A294))</f>
        <v/>
      </c>
      <c r="F294" s="4">
        <f>IF(SUMIFS('Daily BSE Equity Cash'!$H:$H,'Daily BSE Equity Cash'!$A:$A,$A294)=0,"",SUMIFS('Daily BSE Equity Cash'!$H:$H,'Daily BSE Equity Cash'!$A:$A,$A294))</f>
        <v/>
      </c>
      <c r="G294" s="4">
        <f>IF(OR(E294="",F294=""),"",E294+F294)</f>
        <v/>
      </c>
      <c r="H294" s="7">
        <f>IFERROR(IF(OR(E294="",INDEX(E:E,MATCH(DATE(YEAR($A294)-1,MONTH($A294),DAY($A294)),$A:$A,0))=""),"",E294/INDEX(E:E,MATCH(DATE(YEAR($A294)-1,MONTH($A294),DAY($A294)),$A:$A,0))-1),"")</f>
        <v/>
      </c>
      <c r="I294" s="7">
        <f>IFERROR(IF(OR(F294="",INDEX(F:F,MATCH(DATE(YEAR($A294)-1,MONTH($A294),DAY($A294)),$A:$A,0))=""),"",F294/INDEX(F:F,MATCH(DATE(YEAR($A294)-1,MONTH($A294),DAY($A294)),$A:$A,0))-1),"")</f>
        <v/>
      </c>
      <c r="J294" s="7">
        <f>IFERROR(IF(OR(G294="",INDEX(G:G,MATCH(DATE(YEAR($A294)-1,MONTH($A294),DAY($A294)),$A:$A,0))=""),"",G294/INDEX(G:G,MATCH(DATE(YEAR($A294)-1,MONTH($A294),DAY($A294)),$A:$A,0))-1),"")</f>
        <v/>
      </c>
      <c r="K294" s="7">
        <f>IF(OR(E294="",E293=""),"",E294/E293-1)</f>
        <v/>
      </c>
      <c r="L294" s="7">
        <f>IF(OR(F294="",F293=""),"",F294/F293-1)</f>
        <v/>
      </c>
      <c r="M294" s="7">
        <f>IF(OR(G294="",G293=""),"",G294/G293-1)</f>
        <v/>
      </c>
      <c r="N294" s="7">
        <f>IF(G294="","",E294/G294)</f>
        <v/>
      </c>
      <c r="O294" s="7">
        <f>IF(G294="","",F294/G294)</f>
        <v/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4">
        <f>IF(SUMIFS('Daily NSE Equity Cash'!$H:$H,'Daily NSE Equity Cash'!$A:$A,$A295)=0,"",SUMIFS('Daily NSE Equity Cash'!$H:$H,'Daily NSE Equity Cash'!$A:$A,$A295))</f>
        <v/>
      </c>
      <c r="F295" s="4">
        <f>IF(SUMIFS('Daily BSE Equity Cash'!$H:$H,'Daily BSE Equity Cash'!$A:$A,$A295)=0,"",SUMIFS('Daily BSE Equity Cash'!$H:$H,'Daily BSE Equity Cash'!$A:$A,$A295))</f>
        <v/>
      </c>
      <c r="G295" s="4">
        <f>IF(OR(E295="",F295=""),"",E295+F295)</f>
        <v/>
      </c>
      <c r="H295" s="7">
        <f>IFERROR(IF(OR(E295="",INDEX(E:E,MATCH(DATE(YEAR($A295)-1,MONTH($A295),DAY($A295)),$A:$A,0))=""),"",E295/INDEX(E:E,MATCH(DATE(YEAR($A295)-1,MONTH($A295),DAY($A295)),$A:$A,0))-1),"")</f>
        <v/>
      </c>
      <c r="I295" s="7">
        <f>IFERROR(IF(OR(F295="",INDEX(F:F,MATCH(DATE(YEAR($A295)-1,MONTH($A295),DAY($A295)),$A:$A,0))=""),"",F295/INDEX(F:F,MATCH(DATE(YEAR($A295)-1,MONTH($A295),DAY($A295)),$A:$A,0))-1),"")</f>
        <v/>
      </c>
      <c r="J295" s="7">
        <f>IFERROR(IF(OR(G295="",INDEX(G:G,MATCH(DATE(YEAR($A295)-1,MONTH($A295),DAY($A295)),$A:$A,0))=""),"",G295/INDEX(G:G,MATCH(DATE(YEAR($A295)-1,MONTH($A295),DAY($A295)),$A:$A,0))-1),"")</f>
        <v/>
      </c>
      <c r="K295" s="7">
        <f>IF(OR(E295="",E294=""),"",E295/E294-1)</f>
        <v/>
      </c>
      <c r="L295" s="7">
        <f>IF(OR(F295="",F294=""),"",F295/F294-1)</f>
        <v/>
      </c>
      <c r="M295" s="7">
        <f>IF(OR(G295="",G294=""),"",G295/G294-1)</f>
        <v/>
      </c>
      <c r="N295" s="7">
        <f>IF(G295="","",E295/G295)</f>
        <v/>
      </c>
      <c r="O295" s="7">
        <f>IF(G295="","",F295/G295)</f>
        <v/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4">
        <f>IF(SUMIFS('Daily NSE Equity Cash'!$H:$H,'Daily NSE Equity Cash'!$A:$A,$A296)=0,"",SUMIFS('Daily NSE Equity Cash'!$H:$H,'Daily NSE Equity Cash'!$A:$A,$A296))</f>
        <v/>
      </c>
      <c r="F296" s="4">
        <f>IF(SUMIFS('Daily BSE Equity Cash'!$H:$H,'Daily BSE Equity Cash'!$A:$A,$A296)=0,"",SUMIFS('Daily BSE Equity Cash'!$H:$H,'Daily BSE Equity Cash'!$A:$A,$A296))</f>
        <v/>
      </c>
      <c r="G296" s="4">
        <f>IF(OR(E296="",F296=""),"",E296+F296)</f>
        <v/>
      </c>
      <c r="H296" s="7">
        <f>IFERROR(IF(OR(E296="",INDEX(E:E,MATCH(DATE(YEAR($A296)-1,MONTH($A296),DAY($A296)),$A:$A,0))=""),"",E296/INDEX(E:E,MATCH(DATE(YEAR($A296)-1,MONTH($A296),DAY($A296)),$A:$A,0))-1),"")</f>
        <v/>
      </c>
      <c r="I296" s="7">
        <f>IFERROR(IF(OR(F296="",INDEX(F:F,MATCH(DATE(YEAR($A296)-1,MONTH($A296),DAY($A296)),$A:$A,0))=""),"",F296/INDEX(F:F,MATCH(DATE(YEAR($A296)-1,MONTH($A296),DAY($A296)),$A:$A,0))-1),"")</f>
        <v/>
      </c>
      <c r="J296" s="7">
        <f>IFERROR(IF(OR(G296="",INDEX(G:G,MATCH(DATE(YEAR($A296)-1,MONTH($A296),DAY($A296)),$A:$A,0))=""),"",G296/INDEX(G:G,MATCH(DATE(YEAR($A296)-1,MONTH($A296),DAY($A296)),$A:$A,0))-1),"")</f>
        <v/>
      </c>
      <c r="K296" s="7">
        <f>IF(OR(E296="",E295=""),"",E296/E295-1)</f>
        <v/>
      </c>
      <c r="L296" s="7">
        <f>IF(OR(F296="",F295=""),"",F296/F295-1)</f>
        <v/>
      </c>
      <c r="M296" s="7">
        <f>IF(OR(G296="",G295=""),"",G296/G295-1)</f>
        <v/>
      </c>
      <c r="N296" s="7">
        <f>IF(G296="","",E296/G296)</f>
        <v/>
      </c>
      <c r="O296" s="7">
        <f>IF(G296="","",F296/G296)</f>
        <v/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4">
        <f>IF(SUMIFS('Daily NSE Equity Cash'!$H:$H,'Daily NSE Equity Cash'!$A:$A,$A297)=0,"",SUMIFS('Daily NSE Equity Cash'!$H:$H,'Daily NSE Equity Cash'!$A:$A,$A297))</f>
        <v/>
      </c>
      <c r="F297" s="4">
        <f>IF(SUMIFS('Daily BSE Equity Cash'!$H:$H,'Daily BSE Equity Cash'!$A:$A,$A297)=0,"",SUMIFS('Daily BSE Equity Cash'!$H:$H,'Daily BSE Equity Cash'!$A:$A,$A297))</f>
        <v/>
      </c>
      <c r="G297" s="4">
        <f>IF(OR(E297="",F297=""),"",E297+F297)</f>
        <v/>
      </c>
      <c r="H297" s="7">
        <f>IFERROR(IF(OR(E297="",INDEX(E:E,MATCH(DATE(YEAR($A297)-1,MONTH($A297),DAY($A297)),$A:$A,0))=""),"",E297/INDEX(E:E,MATCH(DATE(YEAR($A297)-1,MONTH($A297),DAY($A297)),$A:$A,0))-1),"")</f>
        <v/>
      </c>
      <c r="I297" s="7">
        <f>IFERROR(IF(OR(F297="",INDEX(F:F,MATCH(DATE(YEAR($A297)-1,MONTH($A297),DAY($A297)),$A:$A,0))=""),"",F297/INDEX(F:F,MATCH(DATE(YEAR($A297)-1,MONTH($A297),DAY($A297)),$A:$A,0))-1),"")</f>
        <v/>
      </c>
      <c r="J297" s="7">
        <f>IFERROR(IF(OR(G297="",INDEX(G:G,MATCH(DATE(YEAR($A297)-1,MONTH($A297),DAY($A297)),$A:$A,0))=""),"",G297/INDEX(G:G,MATCH(DATE(YEAR($A297)-1,MONTH($A297),DAY($A297)),$A:$A,0))-1),"")</f>
        <v/>
      </c>
      <c r="K297" s="7">
        <f>IF(OR(E297="",E296=""),"",E297/E296-1)</f>
        <v/>
      </c>
      <c r="L297" s="7">
        <f>IF(OR(F297="",F296=""),"",F297/F296-1)</f>
        <v/>
      </c>
      <c r="M297" s="7">
        <f>IF(OR(G297="",G296=""),"",G297/G296-1)</f>
        <v/>
      </c>
      <c r="N297" s="7">
        <f>IF(G297="","",E297/G297)</f>
        <v/>
      </c>
      <c r="O297" s="7">
        <f>IF(G297="","",F297/G297)</f>
        <v/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4">
        <f>IF(SUMIFS('Daily NSE Equity Cash'!$H:$H,'Daily NSE Equity Cash'!$A:$A,$A298)=0,"",SUMIFS('Daily NSE Equity Cash'!$H:$H,'Daily NSE Equity Cash'!$A:$A,$A298))</f>
        <v/>
      </c>
      <c r="F298" s="4">
        <f>IF(SUMIFS('Daily BSE Equity Cash'!$H:$H,'Daily BSE Equity Cash'!$A:$A,$A298)=0,"",SUMIFS('Daily BSE Equity Cash'!$H:$H,'Daily BSE Equity Cash'!$A:$A,$A298))</f>
        <v/>
      </c>
      <c r="G298" s="4">
        <f>IF(OR(E298="",F298=""),"",E298+F298)</f>
        <v/>
      </c>
      <c r="H298" s="7">
        <f>IFERROR(IF(OR(E298="",INDEX(E:E,MATCH(DATE(YEAR($A298)-1,MONTH($A298),DAY($A298)),$A:$A,0))=""),"",E298/INDEX(E:E,MATCH(DATE(YEAR($A298)-1,MONTH($A298),DAY($A298)),$A:$A,0))-1),"")</f>
        <v/>
      </c>
      <c r="I298" s="7">
        <f>IFERROR(IF(OR(F298="",INDEX(F:F,MATCH(DATE(YEAR($A298)-1,MONTH($A298),DAY($A298)),$A:$A,0))=""),"",F298/INDEX(F:F,MATCH(DATE(YEAR($A298)-1,MONTH($A298),DAY($A298)),$A:$A,0))-1),"")</f>
        <v/>
      </c>
      <c r="J298" s="7">
        <f>IFERROR(IF(OR(G298="",INDEX(G:G,MATCH(DATE(YEAR($A298)-1,MONTH($A298),DAY($A298)),$A:$A,0))=""),"",G298/INDEX(G:G,MATCH(DATE(YEAR($A298)-1,MONTH($A298),DAY($A298)),$A:$A,0))-1),"")</f>
        <v/>
      </c>
      <c r="K298" s="7">
        <f>IF(OR(E298="",E297=""),"",E298/E297-1)</f>
        <v/>
      </c>
      <c r="L298" s="7">
        <f>IF(OR(F298="",F297=""),"",F298/F297-1)</f>
        <v/>
      </c>
      <c r="M298" s="7">
        <f>IF(OR(G298="",G297=""),"",G298/G297-1)</f>
        <v/>
      </c>
      <c r="N298" s="7">
        <f>IF(G298="","",E298/G298)</f>
        <v/>
      </c>
      <c r="O298" s="7">
        <f>IF(G298="","",F298/G298)</f>
        <v/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4">
        <f>IF(SUMIFS('Daily NSE Equity Cash'!$H:$H,'Daily NSE Equity Cash'!$A:$A,$A299)=0,"",SUMIFS('Daily NSE Equity Cash'!$H:$H,'Daily NSE Equity Cash'!$A:$A,$A299))</f>
        <v/>
      </c>
      <c r="F299" s="4">
        <f>IF(SUMIFS('Daily BSE Equity Cash'!$H:$H,'Daily BSE Equity Cash'!$A:$A,$A299)=0,"",SUMIFS('Daily BSE Equity Cash'!$H:$H,'Daily BSE Equity Cash'!$A:$A,$A299))</f>
        <v/>
      </c>
      <c r="G299" s="4">
        <f>IF(OR(E299="",F299=""),"",E299+F299)</f>
        <v/>
      </c>
      <c r="H299" s="7">
        <f>IFERROR(IF(OR(E299="",INDEX(E:E,MATCH(DATE(YEAR($A299)-1,MONTH($A299),DAY($A299)),$A:$A,0))=""),"",E299/INDEX(E:E,MATCH(DATE(YEAR($A299)-1,MONTH($A299),DAY($A299)),$A:$A,0))-1),"")</f>
        <v/>
      </c>
      <c r="I299" s="7">
        <f>IFERROR(IF(OR(F299="",INDEX(F:F,MATCH(DATE(YEAR($A299)-1,MONTH($A299),DAY($A299)),$A:$A,0))=""),"",F299/INDEX(F:F,MATCH(DATE(YEAR($A299)-1,MONTH($A299),DAY($A299)),$A:$A,0))-1),"")</f>
        <v/>
      </c>
      <c r="J299" s="7">
        <f>IFERROR(IF(OR(G299="",INDEX(G:G,MATCH(DATE(YEAR($A299)-1,MONTH($A299),DAY($A299)),$A:$A,0))=""),"",G299/INDEX(G:G,MATCH(DATE(YEAR($A299)-1,MONTH($A299),DAY($A299)),$A:$A,0))-1),"")</f>
        <v/>
      </c>
      <c r="K299" s="7">
        <f>IF(OR(E299="",E298=""),"",E299/E298-1)</f>
        <v/>
      </c>
      <c r="L299" s="7">
        <f>IF(OR(F299="",F298=""),"",F299/F298-1)</f>
        <v/>
      </c>
      <c r="M299" s="7">
        <f>IF(OR(G299="",G298=""),"",G299/G298-1)</f>
        <v/>
      </c>
      <c r="N299" s="7">
        <f>IF(G299="","",E299/G299)</f>
        <v/>
      </c>
      <c r="O299" s="7">
        <f>IF(G299="","",F299/G299)</f>
        <v/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4">
        <f>IF(SUMIFS('Daily NSE Equity Cash'!$H:$H,'Daily NSE Equity Cash'!$A:$A,$A300)=0,"",SUMIFS('Daily NSE Equity Cash'!$H:$H,'Daily NSE Equity Cash'!$A:$A,$A300))</f>
        <v/>
      </c>
      <c r="F300" s="4">
        <f>IF(SUMIFS('Daily BSE Equity Cash'!$H:$H,'Daily BSE Equity Cash'!$A:$A,$A300)=0,"",SUMIFS('Daily BSE Equity Cash'!$H:$H,'Daily BSE Equity Cash'!$A:$A,$A300))</f>
        <v/>
      </c>
      <c r="G300" s="4">
        <f>IF(OR(E300="",F300=""),"",E300+F300)</f>
        <v/>
      </c>
      <c r="H300" s="7">
        <f>IFERROR(IF(OR(E300="",INDEX(E:E,MATCH(DATE(YEAR($A300)-1,MONTH($A300),DAY($A300)),$A:$A,0))=""),"",E300/INDEX(E:E,MATCH(DATE(YEAR($A300)-1,MONTH($A300),DAY($A300)),$A:$A,0))-1),"")</f>
        <v/>
      </c>
      <c r="I300" s="7">
        <f>IFERROR(IF(OR(F300="",INDEX(F:F,MATCH(DATE(YEAR($A300)-1,MONTH($A300),DAY($A300)),$A:$A,0))=""),"",F300/INDEX(F:F,MATCH(DATE(YEAR($A300)-1,MONTH($A300),DAY($A300)),$A:$A,0))-1),"")</f>
        <v/>
      </c>
      <c r="J300" s="7">
        <f>IFERROR(IF(OR(G300="",INDEX(G:G,MATCH(DATE(YEAR($A300)-1,MONTH($A300),DAY($A300)),$A:$A,0))=""),"",G300/INDEX(G:G,MATCH(DATE(YEAR($A300)-1,MONTH($A300),DAY($A300)),$A:$A,0))-1),"")</f>
        <v/>
      </c>
      <c r="K300" s="7">
        <f>IF(OR(E300="",E299=""),"",E300/E299-1)</f>
        <v/>
      </c>
      <c r="L300" s="7">
        <f>IF(OR(F300="",F299=""),"",F300/F299-1)</f>
        <v/>
      </c>
      <c r="M300" s="7">
        <f>IF(OR(G300="",G299=""),"",G300/G299-1)</f>
        <v/>
      </c>
      <c r="N300" s="7">
        <f>IF(G300="","",E300/G300)</f>
        <v/>
      </c>
      <c r="O300" s="7">
        <f>IF(G300="","",F300/G300)</f>
        <v/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4">
        <f>IF(SUMIFS('Daily NSE Equity Cash'!$H:$H,'Daily NSE Equity Cash'!$A:$A,$A301)=0,"",SUMIFS('Daily NSE Equity Cash'!$H:$H,'Daily NSE Equity Cash'!$A:$A,$A301))</f>
        <v/>
      </c>
      <c r="F301" s="4">
        <f>IF(SUMIFS('Daily BSE Equity Cash'!$H:$H,'Daily BSE Equity Cash'!$A:$A,$A301)=0,"",SUMIFS('Daily BSE Equity Cash'!$H:$H,'Daily BSE Equity Cash'!$A:$A,$A301))</f>
        <v/>
      </c>
      <c r="G301" s="4">
        <f>IF(OR(E301="",F301=""),"",E301+F301)</f>
        <v/>
      </c>
      <c r="H301" s="7">
        <f>IFERROR(IF(OR(E301="",INDEX(E:E,MATCH(DATE(YEAR($A301)-1,MONTH($A301),DAY($A301)),$A:$A,0))=""),"",E301/INDEX(E:E,MATCH(DATE(YEAR($A301)-1,MONTH($A301),DAY($A301)),$A:$A,0))-1),"")</f>
        <v/>
      </c>
      <c r="I301" s="7">
        <f>IFERROR(IF(OR(F301="",INDEX(F:F,MATCH(DATE(YEAR($A301)-1,MONTH($A301),DAY($A301)),$A:$A,0))=""),"",F301/INDEX(F:F,MATCH(DATE(YEAR($A301)-1,MONTH($A301),DAY($A301)),$A:$A,0))-1),"")</f>
        <v/>
      </c>
      <c r="J301" s="7">
        <f>IFERROR(IF(OR(G301="",INDEX(G:G,MATCH(DATE(YEAR($A301)-1,MONTH($A301),DAY($A301)),$A:$A,0))=""),"",G301/INDEX(G:G,MATCH(DATE(YEAR($A301)-1,MONTH($A301),DAY($A301)),$A:$A,0))-1),"")</f>
        <v/>
      </c>
      <c r="K301" s="7">
        <f>IF(OR(E301="",E300=""),"",E301/E300-1)</f>
        <v/>
      </c>
      <c r="L301" s="7">
        <f>IF(OR(F301="",F300=""),"",F301/F300-1)</f>
        <v/>
      </c>
      <c r="M301" s="7">
        <f>IF(OR(G301="",G300=""),"",G301/G300-1)</f>
        <v/>
      </c>
      <c r="N301" s="7">
        <f>IF(G301="","",E301/G301)</f>
        <v/>
      </c>
      <c r="O301" s="7">
        <f>IF(G301="","",F301/G301)</f>
        <v/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4">
        <f>IF(SUMIFS('Daily NSE Equity Cash'!$H:$H,'Daily NSE Equity Cash'!$A:$A,$A302)=0,"",SUMIFS('Daily NSE Equity Cash'!$H:$H,'Daily NSE Equity Cash'!$A:$A,$A302))</f>
        <v/>
      </c>
      <c r="F302" s="4">
        <f>IF(SUMIFS('Daily BSE Equity Cash'!$H:$H,'Daily BSE Equity Cash'!$A:$A,$A302)=0,"",SUMIFS('Daily BSE Equity Cash'!$H:$H,'Daily BSE Equity Cash'!$A:$A,$A302))</f>
        <v/>
      </c>
      <c r="G302" s="4">
        <f>IF(OR(E302="",F302=""),"",E302+F302)</f>
        <v/>
      </c>
      <c r="H302" s="7">
        <f>IFERROR(IF(OR(E302="",INDEX(E:E,MATCH(DATE(YEAR($A302)-1,MONTH($A302),DAY($A302)),$A:$A,0))=""),"",E302/INDEX(E:E,MATCH(DATE(YEAR($A302)-1,MONTH($A302),DAY($A302)),$A:$A,0))-1),"")</f>
        <v/>
      </c>
      <c r="I302" s="7">
        <f>IFERROR(IF(OR(F302="",INDEX(F:F,MATCH(DATE(YEAR($A302)-1,MONTH($A302),DAY($A302)),$A:$A,0))=""),"",F302/INDEX(F:F,MATCH(DATE(YEAR($A302)-1,MONTH($A302),DAY($A302)),$A:$A,0))-1),"")</f>
        <v/>
      </c>
      <c r="J302" s="7">
        <f>IFERROR(IF(OR(G302="",INDEX(G:G,MATCH(DATE(YEAR($A302)-1,MONTH($A302),DAY($A302)),$A:$A,0))=""),"",G302/INDEX(G:G,MATCH(DATE(YEAR($A302)-1,MONTH($A302),DAY($A302)),$A:$A,0))-1),"")</f>
        <v/>
      </c>
      <c r="K302" s="7">
        <f>IF(OR(E302="",E301=""),"",E302/E301-1)</f>
        <v/>
      </c>
      <c r="L302" s="7">
        <f>IF(OR(F302="",F301=""),"",F302/F301-1)</f>
        <v/>
      </c>
      <c r="M302" s="7">
        <f>IF(OR(G302="",G301=""),"",G302/G301-1)</f>
        <v/>
      </c>
      <c r="N302" s="7">
        <f>IF(G302="","",E302/G302)</f>
        <v/>
      </c>
      <c r="O302" s="7">
        <f>IF(G302="","",F302/G302)</f>
        <v/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4">
        <f>IF(SUMIFS('Daily NSE Equity Cash'!$H:$H,'Daily NSE Equity Cash'!$A:$A,$A303)=0,"",SUMIFS('Daily NSE Equity Cash'!$H:$H,'Daily NSE Equity Cash'!$A:$A,$A303))</f>
        <v/>
      </c>
      <c r="F303" s="4">
        <f>IF(SUMIFS('Daily BSE Equity Cash'!$H:$H,'Daily BSE Equity Cash'!$A:$A,$A303)=0,"",SUMIFS('Daily BSE Equity Cash'!$H:$H,'Daily BSE Equity Cash'!$A:$A,$A303))</f>
        <v/>
      </c>
      <c r="G303" s="4">
        <f>IF(OR(E303="",F303=""),"",E303+F303)</f>
        <v/>
      </c>
      <c r="H303" s="7">
        <f>IFERROR(IF(OR(E303="",INDEX(E:E,MATCH(DATE(YEAR($A303)-1,MONTH($A303),DAY($A303)),$A:$A,0))=""),"",E303/INDEX(E:E,MATCH(DATE(YEAR($A303)-1,MONTH($A303),DAY($A303)),$A:$A,0))-1),"")</f>
        <v/>
      </c>
      <c r="I303" s="7">
        <f>IFERROR(IF(OR(F303="",INDEX(F:F,MATCH(DATE(YEAR($A303)-1,MONTH($A303),DAY($A303)),$A:$A,0))=""),"",F303/INDEX(F:F,MATCH(DATE(YEAR($A303)-1,MONTH($A303),DAY($A303)),$A:$A,0))-1),"")</f>
        <v/>
      </c>
      <c r="J303" s="7">
        <f>IFERROR(IF(OR(G303="",INDEX(G:G,MATCH(DATE(YEAR($A303)-1,MONTH($A303),DAY($A303)),$A:$A,0))=""),"",G303/INDEX(G:G,MATCH(DATE(YEAR($A303)-1,MONTH($A303),DAY($A303)),$A:$A,0))-1),"")</f>
        <v/>
      </c>
      <c r="K303" s="7">
        <f>IF(OR(E303="",E302=""),"",E303/E302-1)</f>
        <v/>
      </c>
      <c r="L303" s="7">
        <f>IF(OR(F303="",F302=""),"",F303/F302-1)</f>
        <v/>
      </c>
      <c r="M303" s="7">
        <f>IF(OR(G303="",G302=""),"",G303/G302-1)</f>
        <v/>
      </c>
      <c r="N303" s="7">
        <f>IF(G303="","",E303/G303)</f>
        <v/>
      </c>
      <c r="O303" s="7">
        <f>IF(G303="","",F303/G303)</f>
        <v/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4">
        <f>IF(SUMIFS('Daily NSE Equity Cash'!$H:$H,'Daily NSE Equity Cash'!$A:$A,$A304)=0,"",SUMIFS('Daily NSE Equity Cash'!$H:$H,'Daily NSE Equity Cash'!$A:$A,$A304))</f>
        <v/>
      </c>
      <c r="F304" s="4">
        <f>IF(SUMIFS('Daily BSE Equity Cash'!$H:$H,'Daily BSE Equity Cash'!$A:$A,$A304)=0,"",SUMIFS('Daily BSE Equity Cash'!$H:$H,'Daily BSE Equity Cash'!$A:$A,$A304))</f>
        <v/>
      </c>
      <c r="G304" s="4">
        <f>IF(OR(E304="",F304=""),"",E304+F304)</f>
        <v/>
      </c>
      <c r="H304" s="7">
        <f>IFERROR(IF(OR(E304="",INDEX(E:E,MATCH(DATE(YEAR($A304)-1,MONTH($A304),DAY($A304)),$A:$A,0))=""),"",E304/INDEX(E:E,MATCH(DATE(YEAR($A304)-1,MONTH($A304),DAY($A304)),$A:$A,0))-1),"")</f>
        <v/>
      </c>
      <c r="I304" s="7">
        <f>IFERROR(IF(OR(F304="",INDEX(F:F,MATCH(DATE(YEAR($A304)-1,MONTH($A304),DAY($A304)),$A:$A,0))=""),"",F304/INDEX(F:F,MATCH(DATE(YEAR($A304)-1,MONTH($A304),DAY($A304)),$A:$A,0))-1),"")</f>
        <v/>
      </c>
      <c r="J304" s="7">
        <f>IFERROR(IF(OR(G304="",INDEX(G:G,MATCH(DATE(YEAR($A304)-1,MONTH($A304),DAY($A304)),$A:$A,0))=""),"",G304/INDEX(G:G,MATCH(DATE(YEAR($A304)-1,MONTH($A304),DAY($A304)),$A:$A,0))-1),"")</f>
        <v/>
      </c>
      <c r="K304" s="7">
        <f>IF(OR(E304="",E303=""),"",E304/E303-1)</f>
        <v/>
      </c>
      <c r="L304" s="7">
        <f>IF(OR(F304="",F303=""),"",F304/F303-1)</f>
        <v/>
      </c>
      <c r="M304" s="7">
        <f>IF(OR(G304="",G303=""),"",G304/G303-1)</f>
        <v/>
      </c>
      <c r="N304" s="7">
        <f>IF(G304="","",E304/G304)</f>
        <v/>
      </c>
      <c r="O304" s="7">
        <f>IF(G304="","",F304/G304)</f>
        <v/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4">
        <f>IF(SUMIFS('Daily NSE Equity Cash'!$H:$H,'Daily NSE Equity Cash'!$A:$A,$A305)=0,"",SUMIFS('Daily NSE Equity Cash'!$H:$H,'Daily NSE Equity Cash'!$A:$A,$A305))</f>
        <v/>
      </c>
      <c r="F305" s="4">
        <f>IF(SUMIFS('Daily BSE Equity Cash'!$H:$H,'Daily BSE Equity Cash'!$A:$A,$A305)=0,"",SUMIFS('Daily BSE Equity Cash'!$H:$H,'Daily BSE Equity Cash'!$A:$A,$A305))</f>
        <v/>
      </c>
      <c r="G305" s="4">
        <f>IF(OR(E305="",F305=""),"",E305+F305)</f>
        <v/>
      </c>
      <c r="H305" s="7">
        <f>IFERROR(IF(OR(E305="",INDEX(E:E,MATCH(DATE(YEAR($A305)-1,MONTH($A305),DAY($A305)),$A:$A,0))=""),"",E305/INDEX(E:E,MATCH(DATE(YEAR($A305)-1,MONTH($A305),DAY($A305)),$A:$A,0))-1),"")</f>
        <v/>
      </c>
      <c r="I305" s="7">
        <f>IFERROR(IF(OR(F305="",INDEX(F:F,MATCH(DATE(YEAR($A305)-1,MONTH($A305),DAY($A305)),$A:$A,0))=""),"",F305/INDEX(F:F,MATCH(DATE(YEAR($A305)-1,MONTH($A305),DAY($A305)),$A:$A,0))-1),"")</f>
        <v/>
      </c>
      <c r="J305" s="7">
        <f>IFERROR(IF(OR(G305="",INDEX(G:G,MATCH(DATE(YEAR($A305)-1,MONTH($A305),DAY($A305)),$A:$A,0))=""),"",G305/INDEX(G:G,MATCH(DATE(YEAR($A305)-1,MONTH($A305),DAY($A305)),$A:$A,0))-1),"")</f>
        <v/>
      </c>
      <c r="K305" s="7">
        <f>IF(OR(E305="",E304=""),"",E305/E304-1)</f>
        <v/>
      </c>
      <c r="L305" s="7">
        <f>IF(OR(F305="",F304=""),"",F305/F304-1)</f>
        <v/>
      </c>
      <c r="M305" s="7">
        <f>IF(OR(G305="",G304=""),"",G305/G304-1)</f>
        <v/>
      </c>
      <c r="N305" s="7">
        <f>IF(G305="","",E305/G305)</f>
        <v/>
      </c>
      <c r="O305" s="7">
        <f>IF(G305="","",F305/G305)</f>
        <v/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4">
        <f>IF(SUMIFS('Daily NSE Equity Cash'!$H:$H,'Daily NSE Equity Cash'!$A:$A,$A306)=0,"",SUMIFS('Daily NSE Equity Cash'!$H:$H,'Daily NSE Equity Cash'!$A:$A,$A306))</f>
        <v/>
      </c>
      <c r="F306" s="4">
        <f>IF(SUMIFS('Daily BSE Equity Cash'!$H:$H,'Daily BSE Equity Cash'!$A:$A,$A306)=0,"",SUMIFS('Daily BSE Equity Cash'!$H:$H,'Daily BSE Equity Cash'!$A:$A,$A306))</f>
        <v/>
      </c>
      <c r="G306" s="4">
        <f>IF(OR(E306="",F306=""),"",E306+F306)</f>
        <v/>
      </c>
      <c r="H306" s="7">
        <f>IFERROR(IF(OR(E306="",INDEX(E:E,MATCH(DATE(YEAR($A306)-1,MONTH($A306),DAY($A306)),$A:$A,0))=""),"",E306/INDEX(E:E,MATCH(DATE(YEAR($A306)-1,MONTH($A306),DAY($A306)),$A:$A,0))-1),"")</f>
        <v/>
      </c>
      <c r="I306" s="7">
        <f>IFERROR(IF(OR(F306="",INDEX(F:F,MATCH(DATE(YEAR($A306)-1,MONTH($A306),DAY($A306)),$A:$A,0))=""),"",F306/INDEX(F:F,MATCH(DATE(YEAR($A306)-1,MONTH($A306),DAY($A306)),$A:$A,0))-1),"")</f>
        <v/>
      </c>
      <c r="J306" s="7">
        <f>IFERROR(IF(OR(G306="",INDEX(G:G,MATCH(DATE(YEAR($A306)-1,MONTH($A306),DAY($A306)),$A:$A,0))=""),"",G306/INDEX(G:G,MATCH(DATE(YEAR($A306)-1,MONTH($A306),DAY($A306)),$A:$A,0))-1),"")</f>
        <v/>
      </c>
      <c r="K306" s="7">
        <f>IF(OR(E306="",E305=""),"",E306/E305-1)</f>
        <v/>
      </c>
      <c r="L306" s="7">
        <f>IF(OR(F306="",F305=""),"",F306/F305-1)</f>
        <v/>
      </c>
      <c r="M306" s="7">
        <f>IF(OR(G306="",G305=""),"",G306/G305-1)</f>
        <v/>
      </c>
      <c r="N306" s="7">
        <f>IF(G306="","",E306/G306)</f>
        <v/>
      </c>
      <c r="O306" s="7">
        <f>IF(G306="","",F306/G306)</f>
        <v/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4">
        <f>IF(SUMIFS('Daily NSE Equity Cash'!$H:$H,'Daily NSE Equity Cash'!$A:$A,$A307)=0,"",SUMIFS('Daily NSE Equity Cash'!$H:$H,'Daily NSE Equity Cash'!$A:$A,$A307))</f>
        <v/>
      </c>
      <c r="F307" s="4">
        <f>IF(SUMIFS('Daily BSE Equity Cash'!$H:$H,'Daily BSE Equity Cash'!$A:$A,$A307)=0,"",SUMIFS('Daily BSE Equity Cash'!$H:$H,'Daily BSE Equity Cash'!$A:$A,$A307))</f>
        <v/>
      </c>
      <c r="G307" s="4">
        <f>IF(OR(E307="",F307=""),"",E307+F307)</f>
        <v/>
      </c>
      <c r="H307" s="7">
        <f>IFERROR(IF(OR(E307="",INDEX(E:E,MATCH(DATE(YEAR($A307)-1,MONTH($A307),DAY($A307)),$A:$A,0))=""),"",E307/INDEX(E:E,MATCH(DATE(YEAR($A307)-1,MONTH($A307),DAY($A307)),$A:$A,0))-1),"")</f>
        <v/>
      </c>
      <c r="I307" s="7">
        <f>IFERROR(IF(OR(F307="",INDEX(F:F,MATCH(DATE(YEAR($A307)-1,MONTH($A307),DAY($A307)),$A:$A,0))=""),"",F307/INDEX(F:F,MATCH(DATE(YEAR($A307)-1,MONTH($A307),DAY($A307)),$A:$A,0))-1),"")</f>
        <v/>
      </c>
      <c r="J307" s="7">
        <f>IFERROR(IF(OR(G307="",INDEX(G:G,MATCH(DATE(YEAR($A307)-1,MONTH($A307),DAY($A307)),$A:$A,0))=""),"",G307/INDEX(G:G,MATCH(DATE(YEAR($A307)-1,MONTH($A307),DAY($A307)),$A:$A,0))-1),"")</f>
        <v/>
      </c>
      <c r="K307" s="7">
        <f>IF(OR(E307="",E306=""),"",E307/E306-1)</f>
        <v/>
      </c>
      <c r="L307" s="7">
        <f>IF(OR(F307="",F306=""),"",F307/F306-1)</f>
        <v/>
      </c>
      <c r="M307" s="7">
        <f>IF(OR(G307="",G306=""),"",G307/G306-1)</f>
        <v/>
      </c>
      <c r="N307" s="7">
        <f>IF(G307="","",E307/G307)</f>
        <v/>
      </c>
      <c r="O307" s="7">
        <f>IF(G307="","",F307/G307)</f>
        <v/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4">
        <f>IF(SUMIFS('Daily NSE Equity Cash'!$H:$H,'Daily NSE Equity Cash'!$A:$A,$A308)=0,"",SUMIFS('Daily NSE Equity Cash'!$H:$H,'Daily NSE Equity Cash'!$A:$A,$A308))</f>
        <v/>
      </c>
      <c r="F308" s="4">
        <f>IF(SUMIFS('Daily BSE Equity Cash'!$H:$H,'Daily BSE Equity Cash'!$A:$A,$A308)=0,"",SUMIFS('Daily BSE Equity Cash'!$H:$H,'Daily BSE Equity Cash'!$A:$A,$A308))</f>
        <v/>
      </c>
      <c r="G308" s="4">
        <f>IF(OR(E308="",F308=""),"",E308+F308)</f>
        <v/>
      </c>
      <c r="H308" s="7">
        <f>IFERROR(IF(OR(E308="",INDEX(E:E,MATCH(DATE(YEAR($A308)-1,MONTH($A308),DAY($A308)),$A:$A,0))=""),"",E308/INDEX(E:E,MATCH(DATE(YEAR($A308)-1,MONTH($A308),DAY($A308)),$A:$A,0))-1),"")</f>
        <v/>
      </c>
      <c r="I308" s="7">
        <f>IFERROR(IF(OR(F308="",INDEX(F:F,MATCH(DATE(YEAR($A308)-1,MONTH($A308),DAY($A308)),$A:$A,0))=""),"",F308/INDEX(F:F,MATCH(DATE(YEAR($A308)-1,MONTH($A308),DAY($A308)),$A:$A,0))-1),"")</f>
        <v/>
      </c>
      <c r="J308" s="7">
        <f>IFERROR(IF(OR(G308="",INDEX(G:G,MATCH(DATE(YEAR($A308)-1,MONTH($A308),DAY($A308)),$A:$A,0))=""),"",G308/INDEX(G:G,MATCH(DATE(YEAR($A308)-1,MONTH($A308),DAY($A308)),$A:$A,0))-1),"")</f>
        <v/>
      </c>
      <c r="K308" s="7">
        <f>IF(OR(E308="",E307=""),"",E308/E307-1)</f>
        <v/>
      </c>
      <c r="L308" s="7">
        <f>IF(OR(F308="",F307=""),"",F308/F307-1)</f>
        <v/>
      </c>
      <c r="M308" s="7">
        <f>IF(OR(G308="",G307=""),"",G308/G307-1)</f>
        <v/>
      </c>
      <c r="N308" s="7">
        <f>IF(G308="","",E308/G308)</f>
        <v/>
      </c>
      <c r="O308" s="7">
        <f>IF(G308="","",F308/G308)</f>
        <v/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4">
        <f>IF(SUMIFS('Daily NSE Equity Cash'!$H:$H,'Daily NSE Equity Cash'!$A:$A,$A309)=0,"",SUMIFS('Daily NSE Equity Cash'!$H:$H,'Daily NSE Equity Cash'!$A:$A,$A309))</f>
        <v/>
      </c>
      <c r="F309" s="4">
        <f>IF(SUMIFS('Daily BSE Equity Cash'!$H:$H,'Daily BSE Equity Cash'!$A:$A,$A309)=0,"",SUMIFS('Daily BSE Equity Cash'!$H:$H,'Daily BSE Equity Cash'!$A:$A,$A309))</f>
        <v/>
      </c>
      <c r="G309" s="4">
        <f>IF(OR(E309="",F309=""),"",E309+F309)</f>
        <v/>
      </c>
      <c r="H309" s="7">
        <f>IFERROR(IF(OR(E309="",INDEX(E:E,MATCH(DATE(YEAR($A309)-1,MONTH($A309),DAY($A309)),$A:$A,0))=""),"",E309/INDEX(E:E,MATCH(DATE(YEAR($A309)-1,MONTH($A309),DAY($A309)),$A:$A,0))-1),"")</f>
        <v/>
      </c>
      <c r="I309" s="7">
        <f>IFERROR(IF(OR(F309="",INDEX(F:F,MATCH(DATE(YEAR($A309)-1,MONTH($A309),DAY($A309)),$A:$A,0))=""),"",F309/INDEX(F:F,MATCH(DATE(YEAR($A309)-1,MONTH($A309),DAY($A309)),$A:$A,0))-1),"")</f>
        <v/>
      </c>
      <c r="J309" s="7">
        <f>IFERROR(IF(OR(G309="",INDEX(G:G,MATCH(DATE(YEAR($A309)-1,MONTH($A309),DAY($A309)),$A:$A,0))=""),"",G309/INDEX(G:G,MATCH(DATE(YEAR($A309)-1,MONTH($A309),DAY($A309)),$A:$A,0))-1),"")</f>
        <v/>
      </c>
      <c r="K309" s="7">
        <f>IF(OR(E309="",E308=""),"",E309/E308-1)</f>
        <v/>
      </c>
      <c r="L309" s="7">
        <f>IF(OR(F309="",F308=""),"",F309/F308-1)</f>
        <v/>
      </c>
      <c r="M309" s="7">
        <f>IF(OR(G309="",G308=""),"",G309/G308-1)</f>
        <v/>
      </c>
      <c r="N309" s="7">
        <f>IF(G309="","",E309/G309)</f>
        <v/>
      </c>
      <c r="O309" s="7">
        <f>IF(G309="","",F309/G309)</f>
        <v/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4">
        <f>IF(SUMIFS('Daily NSE Equity Cash'!$H:$H,'Daily NSE Equity Cash'!$A:$A,$A310)=0,"",SUMIFS('Daily NSE Equity Cash'!$H:$H,'Daily NSE Equity Cash'!$A:$A,$A310))</f>
        <v/>
      </c>
      <c r="F310" s="4">
        <f>IF(SUMIFS('Daily BSE Equity Cash'!$H:$H,'Daily BSE Equity Cash'!$A:$A,$A310)=0,"",SUMIFS('Daily BSE Equity Cash'!$H:$H,'Daily BSE Equity Cash'!$A:$A,$A310))</f>
        <v/>
      </c>
      <c r="G310" s="4">
        <f>IF(OR(E310="",F310=""),"",E310+F310)</f>
        <v/>
      </c>
      <c r="H310" s="7">
        <f>IFERROR(IF(OR(E310="",INDEX(E:E,MATCH(DATE(YEAR($A310)-1,MONTH($A310),DAY($A310)),$A:$A,0))=""),"",E310/INDEX(E:E,MATCH(DATE(YEAR($A310)-1,MONTH($A310),DAY($A310)),$A:$A,0))-1),"")</f>
        <v/>
      </c>
      <c r="I310" s="7">
        <f>IFERROR(IF(OR(F310="",INDEX(F:F,MATCH(DATE(YEAR($A310)-1,MONTH($A310),DAY($A310)),$A:$A,0))=""),"",F310/INDEX(F:F,MATCH(DATE(YEAR($A310)-1,MONTH($A310),DAY($A310)),$A:$A,0))-1),"")</f>
        <v/>
      </c>
      <c r="J310" s="7">
        <f>IFERROR(IF(OR(G310="",INDEX(G:G,MATCH(DATE(YEAR($A310)-1,MONTH($A310),DAY($A310)),$A:$A,0))=""),"",G310/INDEX(G:G,MATCH(DATE(YEAR($A310)-1,MONTH($A310),DAY($A310)),$A:$A,0))-1),"")</f>
        <v/>
      </c>
      <c r="K310" s="7">
        <f>IF(OR(E310="",E309=""),"",E310/E309-1)</f>
        <v/>
      </c>
      <c r="L310" s="7">
        <f>IF(OR(F310="",F309=""),"",F310/F309-1)</f>
        <v/>
      </c>
      <c r="M310" s="7">
        <f>IF(OR(G310="",G309=""),"",G310/G309-1)</f>
        <v/>
      </c>
      <c r="N310" s="7">
        <f>IF(G310="","",E310/G310)</f>
        <v/>
      </c>
      <c r="O310" s="7">
        <f>IF(G310="","",F310/G310)</f>
        <v/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4">
        <f>IF(SUMIFS('Daily NSE Equity Cash'!$H:$H,'Daily NSE Equity Cash'!$A:$A,$A311)=0,"",SUMIFS('Daily NSE Equity Cash'!$H:$H,'Daily NSE Equity Cash'!$A:$A,$A311))</f>
        <v/>
      </c>
      <c r="F311" s="4">
        <f>IF(SUMIFS('Daily BSE Equity Cash'!$H:$H,'Daily BSE Equity Cash'!$A:$A,$A311)=0,"",SUMIFS('Daily BSE Equity Cash'!$H:$H,'Daily BSE Equity Cash'!$A:$A,$A311))</f>
        <v/>
      </c>
      <c r="G311" s="4">
        <f>IF(OR(E311="",F311=""),"",E311+F311)</f>
        <v/>
      </c>
      <c r="H311" s="7">
        <f>IFERROR(IF(OR(E311="",INDEX(E:E,MATCH(DATE(YEAR($A311)-1,MONTH($A311),DAY($A311)),$A:$A,0))=""),"",E311/INDEX(E:E,MATCH(DATE(YEAR($A311)-1,MONTH($A311),DAY($A311)),$A:$A,0))-1),"")</f>
        <v/>
      </c>
      <c r="I311" s="7">
        <f>IFERROR(IF(OR(F311="",INDEX(F:F,MATCH(DATE(YEAR($A311)-1,MONTH($A311),DAY($A311)),$A:$A,0))=""),"",F311/INDEX(F:F,MATCH(DATE(YEAR($A311)-1,MONTH($A311),DAY($A311)),$A:$A,0))-1),"")</f>
        <v/>
      </c>
      <c r="J311" s="7">
        <f>IFERROR(IF(OR(G311="",INDEX(G:G,MATCH(DATE(YEAR($A311)-1,MONTH($A311),DAY($A311)),$A:$A,0))=""),"",G311/INDEX(G:G,MATCH(DATE(YEAR($A311)-1,MONTH($A311),DAY($A311)),$A:$A,0))-1),"")</f>
        <v/>
      </c>
      <c r="K311" s="7">
        <f>IF(OR(E311="",E310=""),"",E311/E310-1)</f>
        <v/>
      </c>
      <c r="L311" s="7">
        <f>IF(OR(F311="",F310=""),"",F311/F310-1)</f>
        <v/>
      </c>
      <c r="M311" s="7">
        <f>IF(OR(G311="",G310=""),"",G311/G310-1)</f>
        <v/>
      </c>
      <c r="N311" s="7">
        <f>IF(G311="","",E311/G311)</f>
        <v/>
      </c>
      <c r="O311" s="7">
        <f>IF(G311="","",F311/G311)</f>
        <v/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4">
        <f>IF(SUMIFS('Daily NSE Equity Cash'!$H:$H,'Daily NSE Equity Cash'!$A:$A,$A312)=0,"",SUMIFS('Daily NSE Equity Cash'!$H:$H,'Daily NSE Equity Cash'!$A:$A,$A312))</f>
        <v/>
      </c>
      <c r="F312" s="4">
        <f>IF(SUMIFS('Daily BSE Equity Cash'!$H:$H,'Daily BSE Equity Cash'!$A:$A,$A312)=0,"",SUMIFS('Daily BSE Equity Cash'!$H:$H,'Daily BSE Equity Cash'!$A:$A,$A312))</f>
        <v/>
      </c>
      <c r="G312" s="4">
        <f>IF(OR(E312="",F312=""),"",E312+F312)</f>
        <v/>
      </c>
      <c r="H312" s="7">
        <f>IFERROR(IF(OR(E312="",INDEX(E:E,MATCH(DATE(YEAR($A312)-1,MONTH($A312),DAY($A312)),$A:$A,0))=""),"",E312/INDEX(E:E,MATCH(DATE(YEAR($A312)-1,MONTH($A312),DAY($A312)),$A:$A,0))-1),"")</f>
        <v/>
      </c>
      <c r="I312" s="7">
        <f>IFERROR(IF(OR(F312="",INDEX(F:F,MATCH(DATE(YEAR($A312)-1,MONTH($A312),DAY($A312)),$A:$A,0))=""),"",F312/INDEX(F:F,MATCH(DATE(YEAR($A312)-1,MONTH($A312),DAY($A312)),$A:$A,0))-1),"")</f>
        <v/>
      </c>
      <c r="J312" s="7">
        <f>IFERROR(IF(OR(G312="",INDEX(G:G,MATCH(DATE(YEAR($A312)-1,MONTH($A312),DAY($A312)),$A:$A,0))=""),"",G312/INDEX(G:G,MATCH(DATE(YEAR($A312)-1,MONTH($A312),DAY($A312)),$A:$A,0))-1),"")</f>
        <v/>
      </c>
      <c r="K312" s="7">
        <f>IF(OR(E312="",E311=""),"",E312/E311-1)</f>
        <v/>
      </c>
      <c r="L312" s="7">
        <f>IF(OR(F312="",F311=""),"",F312/F311-1)</f>
        <v/>
      </c>
      <c r="M312" s="7">
        <f>IF(OR(G312="",G311=""),"",G312/G311-1)</f>
        <v/>
      </c>
      <c r="N312" s="7">
        <f>IF(G312="","",E312/G312)</f>
        <v/>
      </c>
      <c r="O312" s="7">
        <f>IF(G312="","",F312/G312)</f>
        <v/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4">
        <f>IF(SUMIFS('Daily NSE Equity Cash'!$H:$H,'Daily NSE Equity Cash'!$A:$A,$A313)=0,"",SUMIFS('Daily NSE Equity Cash'!$H:$H,'Daily NSE Equity Cash'!$A:$A,$A313))</f>
        <v/>
      </c>
      <c r="F313" s="4">
        <f>IF(SUMIFS('Daily BSE Equity Cash'!$H:$H,'Daily BSE Equity Cash'!$A:$A,$A313)=0,"",SUMIFS('Daily BSE Equity Cash'!$H:$H,'Daily BSE Equity Cash'!$A:$A,$A313))</f>
        <v/>
      </c>
      <c r="G313" s="4">
        <f>IF(OR(E313="",F313=""),"",E313+F313)</f>
        <v/>
      </c>
      <c r="H313" s="7">
        <f>IFERROR(IF(OR(E313="",INDEX(E:E,MATCH(DATE(YEAR($A313)-1,MONTH($A313),DAY($A313)),$A:$A,0))=""),"",E313/INDEX(E:E,MATCH(DATE(YEAR($A313)-1,MONTH($A313),DAY($A313)),$A:$A,0))-1),"")</f>
        <v/>
      </c>
      <c r="I313" s="7">
        <f>IFERROR(IF(OR(F313="",INDEX(F:F,MATCH(DATE(YEAR($A313)-1,MONTH($A313),DAY($A313)),$A:$A,0))=""),"",F313/INDEX(F:F,MATCH(DATE(YEAR($A313)-1,MONTH($A313),DAY($A313)),$A:$A,0))-1),"")</f>
        <v/>
      </c>
      <c r="J313" s="7">
        <f>IFERROR(IF(OR(G313="",INDEX(G:G,MATCH(DATE(YEAR($A313)-1,MONTH($A313),DAY($A313)),$A:$A,0))=""),"",G313/INDEX(G:G,MATCH(DATE(YEAR($A313)-1,MONTH($A313),DAY($A313)),$A:$A,0))-1),"")</f>
        <v/>
      </c>
      <c r="K313" s="7">
        <f>IF(OR(E313="",E312=""),"",E313/E312-1)</f>
        <v/>
      </c>
      <c r="L313" s="7">
        <f>IF(OR(F313="",F312=""),"",F313/F312-1)</f>
        <v/>
      </c>
      <c r="M313" s="7">
        <f>IF(OR(G313="",G312=""),"",G313/G312-1)</f>
        <v/>
      </c>
      <c r="N313" s="7">
        <f>IF(G313="","",E313/G313)</f>
        <v/>
      </c>
      <c r="O313" s="7">
        <f>IF(G313="","",F313/G313)</f>
        <v/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4">
        <f>IF(SUMIFS('Daily NSE Equity Cash'!$H:$H,'Daily NSE Equity Cash'!$A:$A,$A314)=0,"",SUMIFS('Daily NSE Equity Cash'!$H:$H,'Daily NSE Equity Cash'!$A:$A,$A314))</f>
        <v/>
      </c>
      <c r="F314" s="4">
        <f>IF(SUMIFS('Daily BSE Equity Cash'!$H:$H,'Daily BSE Equity Cash'!$A:$A,$A314)=0,"",SUMIFS('Daily BSE Equity Cash'!$H:$H,'Daily BSE Equity Cash'!$A:$A,$A314))</f>
        <v/>
      </c>
      <c r="G314" s="4">
        <f>IF(OR(E314="",F314=""),"",E314+F314)</f>
        <v/>
      </c>
      <c r="H314" s="7">
        <f>IFERROR(IF(OR(E314="",INDEX(E:E,MATCH(DATE(YEAR($A314)-1,MONTH($A314),DAY($A314)),$A:$A,0))=""),"",E314/INDEX(E:E,MATCH(DATE(YEAR($A314)-1,MONTH($A314),DAY($A314)),$A:$A,0))-1),"")</f>
        <v/>
      </c>
      <c r="I314" s="7">
        <f>IFERROR(IF(OR(F314="",INDEX(F:F,MATCH(DATE(YEAR($A314)-1,MONTH($A314),DAY($A314)),$A:$A,0))=""),"",F314/INDEX(F:F,MATCH(DATE(YEAR($A314)-1,MONTH($A314),DAY($A314)),$A:$A,0))-1),"")</f>
        <v/>
      </c>
      <c r="J314" s="7">
        <f>IFERROR(IF(OR(G314="",INDEX(G:G,MATCH(DATE(YEAR($A314)-1,MONTH($A314),DAY($A314)),$A:$A,0))=""),"",G314/INDEX(G:G,MATCH(DATE(YEAR($A314)-1,MONTH($A314),DAY($A314)),$A:$A,0))-1),"")</f>
        <v/>
      </c>
      <c r="K314" s="7">
        <f>IF(OR(E314="",E313=""),"",E314/E313-1)</f>
        <v/>
      </c>
      <c r="L314" s="7">
        <f>IF(OR(F314="",F313=""),"",F314/F313-1)</f>
        <v/>
      </c>
      <c r="M314" s="7">
        <f>IF(OR(G314="",G313=""),"",G314/G313-1)</f>
        <v/>
      </c>
      <c r="N314" s="7">
        <f>IF(G314="","",E314/G314)</f>
        <v/>
      </c>
      <c r="O314" s="7">
        <f>IF(G314="","",F314/G314)</f>
        <v/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4">
        <f>IF(SUMIFS('Daily NSE Equity Cash'!$H:$H,'Daily NSE Equity Cash'!$A:$A,$A315)=0,"",SUMIFS('Daily NSE Equity Cash'!$H:$H,'Daily NSE Equity Cash'!$A:$A,$A315))</f>
        <v/>
      </c>
      <c r="F315" s="4">
        <f>IF(SUMIFS('Daily BSE Equity Cash'!$H:$H,'Daily BSE Equity Cash'!$A:$A,$A315)=0,"",SUMIFS('Daily BSE Equity Cash'!$H:$H,'Daily BSE Equity Cash'!$A:$A,$A315))</f>
        <v/>
      </c>
      <c r="G315" s="4">
        <f>IF(OR(E315="",F315=""),"",E315+F315)</f>
        <v/>
      </c>
      <c r="H315" s="7">
        <f>IFERROR(IF(OR(E315="",INDEX(E:E,MATCH(DATE(YEAR($A315)-1,MONTH($A315),DAY($A315)),$A:$A,0))=""),"",E315/INDEX(E:E,MATCH(DATE(YEAR($A315)-1,MONTH($A315),DAY($A315)),$A:$A,0))-1),"")</f>
        <v/>
      </c>
      <c r="I315" s="7">
        <f>IFERROR(IF(OR(F315="",INDEX(F:F,MATCH(DATE(YEAR($A315)-1,MONTH($A315),DAY($A315)),$A:$A,0))=""),"",F315/INDEX(F:F,MATCH(DATE(YEAR($A315)-1,MONTH($A315),DAY($A315)),$A:$A,0))-1),"")</f>
        <v/>
      </c>
      <c r="J315" s="7">
        <f>IFERROR(IF(OR(G315="",INDEX(G:G,MATCH(DATE(YEAR($A315)-1,MONTH($A315),DAY($A315)),$A:$A,0))=""),"",G315/INDEX(G:G,MATCH(DATE(YEAR($A315)-1,MONTH($A315),DAY($A315)),$A:$A,0))-1),"")</f>
        <v/>
      </c>
      <c r="K315" s="7">
        <f>IF(OR(E315="",E314=""),"",E315/E314-1)</f>
        <v/>
      </c>
      <c r="L315" s="7">
        <f>IF(OR(F315="",F314=""),"",F315/F314-1)</f>
        <v/>
      </c>
      <c r="M315" s="7">
        <f>IF(OR(G315="",G314=""),"",G315/G314-1)</f>
        <v/>
      </c>
      <c r="N315" s="7">
        <f>IF(G315="","",E315/G315)</f>
        <v/>
      </c>
      <c r="O315" s="7">
        <f>IF(G315="","",F315/G315)</f>
        <v/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4">
        <f>IF(SUMIFS('Daily NSE Equity Cash'!$H:$H,'Daily NSE Equity Cash'!$A:$A,$A316)=0,"",SUMIFS('Daily NSE Equity Cash'!$H:$H,'Daily NSE Equity Cash'!$A:$A,$A316))</f>
        <v/>
      </c>
      <c r="F316" s="4">
        <f>IF(SUMIFS('Daily BSE Equity Cash'!$H:$H,'Daily BSE Equity Cash'!$A:$A,$A316)=0,"",SUMIFS('Daily BSE Equity Cash'!$H:$H,'Daily BSE Equity Cash'!$A:$A,$A316))</f>
        <v/>
      </c>
      <c r="G316" s="4">
        <f>IF(OR(E316="",F316=""),"",E316+F316)</f>
        <v/>
      </c>
      <c r="H316" s="7">
        <f>IFERROR(IF(OR(E316="",INDEX(E:E,MATCH(DATE(YEAR($A316)-1,MONTH($A316),DAY($A316)),$A:$A,0))=""),"",E316/INDEX(E:E,MATCH(DATE(YEAR($A316)-1,MONTH($A316),DAY($A316)),$A:$A,0))-1),"")</f>
        <v/>
      </c>
      <c r="I316" s="7">
        <f>IFERROR(IF(OR(F316="",INDEX(F:F,MATCH(DATE(YEAR($A316)-1,MONTH($A316),DAY($A316)),$A:$A,0))=""),"",F316/INDEX(F:F,MATCH(DATE(YEAR($A316)-1,MONTH($A316),DAY($A316)),$A:$A,0))-1),"")</f>
        <v/>
      </c>
      <c r="J316" s="7">
        <f>IFERROR(IF(OR(G316="",INDEX(G:G,MATCH(DATE(YEAR($A316)-1,MONTH($A316),DAY($A316)),$A:$A,0))=""),"",G316/INDEX(G:G,MATCH(DATE(YEAR($A316)-1,MONTH($A316),DAY($A316)),$A:$A,0))-1),"")</f>
        <v/>
      </c>
      <c r="K316" s="7">
        <f>IF(OR(E316="",E315=""),"",E316/E315-1)</f>
        <v/>
      </c>
      <c r="L316" s="7">
        <f>IF(OR(F316="",F315=""),"",F316/F315-1)</f>
        <v/>
      </c>
      <c r="M316" s="7">
        <f>IF(OR(G316="",G315=""),"",G316/G315-1)</f>
        <v/>
      </c>
      <c r="N316" s="7">
        <f>IF(G316="","",E316/G316)</f>
        <v/>
      </c>
      <c r="O316" s="7">
        <f>IF(G316="","",F316/G316)</f>
        <v/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4">
        <f>IF(SUMIFS('Daily NSE Equity Cash'!$H:$H,'Daily NSE Equity Cash'!$A:$A,$A317)=0,"",SUMIFS('Daily NSE Equity Cash'!$H:$H,'Daily NSE Equity Cash'!$A:$A,$A317))</f>
        <v/>
      </c>
      <c r="F317" s="4">
        <f>IF(SUMIFS('Daily BSE Equity Cash'!$H:$H,'Daily BSE Equity Cash'!$A:$A,$A317)=0,"",SUMIFS('Daily BSE Equity Cash'!$H:$H,'Daily BSE Equity Cash'!$A:$A,$A317))</f>
        <v/>
      </c>
      <c r="G317" s="4">
        <f>IF(OR(E317="",F317=""),"",E317+F317)</f>
        <v/>
      </c>
      <c r="H317" s="7">
        <f>IFERROR(IF(OR(E317="",INDEX(E:E,MATCH(DATE(YEAR($A317)-1,MONTH($A317),DAY($A317)),$A:$A,0))=""),"",E317/INDEX(E:E,MATCH(DATE(YEAR($A317)-1,MONTH($A317),DAY($A317)),$A:$A,0))-1),"")</f>
        <v/>
      </c>
      <c r="I317" s="7">
        <f>IFERROR(IF(OR(F317="",INDEX(F:F,MATCH(DATE(YEAR($A317)-1,MONTH($A317),DAY($A317)),$A:$A,0))=""),"",F317/INDEX(F:F,MATCH(DATE(YEAR($A317)-1,MONTH($A317),DAY($A317)),$A:$A,0))-1),"")</f>
        <v/>
      </c>
      <c r="J317" s="7">
        <f>IFERROR(IF(OR(G317="",INDEX(G:G,MATCH(DATE(YEAR($A317)-1,MONTH($A317),DAY($A317)),$A:$A,0))=""),"",G317/INDEX(G:G,MATCH(DATE(YEAR($A317)-1,MONTH($A317),DAY($A317)),$A:$A,0))-1),"")</f>
        <v/>
      </c>
      <c r="K317" s="7">
        <f>IF(OR(E317="",E316=""),"",E317/E316-1)</f>
        <v/>
      </c>
      <c r="L317" s="7">
        <f>IF(OR(F317="",F316=""),"",F317/F316-1)</f>
        <v/>
      </c>
      <c r="M317" s="7">
        <f>IF(OR(G317="",G316=""),"",G317/G316-1)</f>
        <v/>
      </c>
      <c r="N317" s="7">
        <f>IF(G317="","",E317/G317)</f>
        <v/>
      </c>
      <c r="O317" s="7">
        <f>IF(G317="","",F317/G317)</f>
        <v/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4">
        <f>IF(SUMIFS('Daily NSE Equity Cash'!$H:$H,'Daily NSE Equity Cash'!$A:$A,$A318)=0,"",SUMIFS('Daily NSE Equity Cash'!$H:$H,'Daily NSE Equity Cash'!$A:$A,$A318))</f>
        <v/>
      </c>
      <c r="F318" s="4">
        <f>IF(SUMIFS('Daily BSE Equity Cash'!$H:$H,'Daily BSE Equity Cash'!$A:$A,$A318)=0,"",SUMIFS('Daily BSE Equity Cash'!$H:$H,'Daily BSE Equity Cash'!$A:$A,$A318))</f>
        <v/>
      </c>
      <c r="G318" s="4">
        <f>IF(OR(E318="",F318=""),"",E318+F318)</f>
        <v/>
      </c>
      <c r="H318" s="7">
        <f>IFERROR(IF(OR(E318="",INDEX(E:E,MATCH(DATE(YEAR($A318)-1,MONTH($A318),DAY($A318)),$A:$A,0))=""),"",E318/INDEX(E:E,MATCH(DATE(YEAR($A318)-1,MONTH($A318),DAY($A318)),$A:$A,0))-1),"")</f>
        <v/>
      </c>
      <c r="I318" s="7">
        <f>IFERROR(IF(OR(F318="",INDEX(F:F,MATCH(DATE(YEAR($A318)-1,MONTH($A318),DAY($A318)),$A:$A,0))=""),"",F318/INDEX(F:F,MATCH(DATE(YEAR($A318)-1,MONTH($A318),DAY($A318)),$A:$A,0))-1),"")</f>
        <v/>
      </c>
      <c r="J318" s="7">
        <f>IFERROR(IF(OR(G318="",INDEX(G:G,MATCH(DATE(YEAR($A318)-1,MONTH($A318),DAY($A318)),$A:$A,0))=""),"",G318/INDEX(G:G,MATCH(DATE(YEAR($A318)-1,MONTH($A318),DAY($A318)),$A:$A,0))-1),"")</f>
        <v/>
      </c>
      <c r="K318" s="7">
        <f>IF(OR(E318="",E317=""),"",E318/E317-1)</f>
        <v/>
      </c>
      <c r="L318" s="7">
        <f>IF(OR(F318="",F317=""),"",F318/F317-1)</f>
        <v/>
      </c>
      <c r="M318" s="7">
        <f>IF(OR(G318="",G317=""),"",G318/G317-1)</f>
        <v/>
      </c>
      <c r="N318" s="7">
        <f>IF(G318="","",E318/G318)</f>
        <v/>
      </c>
      <c r="O318" s="7">
        <f>IF(G318="","",F318/G318)</f>
        <v/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4">
        <f>IF(SUMIFS('Daily NSE Equity Cash'!$H:$H,'Daily NSE Equity Cash'!$A:$A,$A319)=0,"",SUMIFS('Daily NSE Equity Cash'!$H:$H,'Daily NSE Equity Cash'!$A:$A,$A319))</f>
        <v/>
      </c>
      <c r="F319" s="4">
        <f>IF(SUMIFS('Daily BSE Equity Cash'!$H:$H,'Daily BSE Equity Cash'!$A:$A,$A319)=0,"",SUMIFS('Daily BSE Equity Cash'!$H:$H,'Daily BSE Equity Cash'!$A:$A,$A319))</f>
        <v/>
      </c>
      <c r="G319" s="4">
        <f>IF(OR(E319="",F319=""),"",E319+F319)</f>
        <v/>
      </c>
      <c r="H319" s="7">
        <f>IFERROR(IF(OR(E319="",INDEX(E:E,MATCH(DATE(YEAR($A319)-1,MONTH($A319),DAY($A319)),$A:$A,0))=""),"",E319/INDEX(E:E,MATCH(DATE(YEAR($A319)-1,MONTH($A319),DAY($A319)),$A:$A,0))-1),"")</f>
        <v/>
      </c>
      <c r="I319" s="7">
        <f>IFERROR(IF(OR(F319="",INDEX(F:F,MATCH(DATE(YEAR($A319)-1,MONTH($A319),DAY($A319)),$A:$A,0))=""),"",F319/INDEX(F:F,MATCH(DATE(YEAR($A319)-1,MONTH($A319),DAY($A319)),$A:$A,0))-1),"")</f>
        <v/>
      </c>
      <c r="J319" s="7">
        <f>IFERROR(IF(OR(G319="",INDEX(G:G,MATCH(DATE(YEAR($A319)-1,MONTH($A319),DAY($A319)),$A:$A,0))=""),"",G319/INDEX(G:G,MATCH(DATE(YEAR($A319)-1,MONTH($A319),DAY($A319)),$A:$A,0))-1),"")</f>
        <v/>
      </c>
      <c r="K319" s="7">
        <f>IF(OR(E319="",E318=""),"",E319/E318-1)</f>
        <v/>
      </c>
      <c r="L319" s="7">
        <f>IF(OR(F319="",F318=""),"",F319/F318-1)</f>
        <v/>
      </c>
      <c r="M319" s="7">
        <f>IF(OR(G319="",G318=""),"",G319/G318-1)</f>
        <v/>
      </c>
      <c r="N319" s="7">
        <f>IF(G319="","",E319/G319)</f>
        <v/>
      </c>
      <c r="O319" s="7">
        <f>IF(G319="","",F319/G319)</f>
        <v/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4">
        <f>IF(SUMIFS('Daily NSE Equity Cash'!$H:$H,'Daily NSE Equity Cash'!$A:$A,$A320)=0,"",SUMIFS('Daily NSE Equity Cash'!$H:$H,'Daily NSE Equity Cash'!$A:$A,$A320))</f>
        <v/>
      </c>
      <c r="F320" s="4">
        <f>IF(SUMIFS('Daily BSE Equity Cash'!$H:$H,'Daily BSE Equity Cash'!$A:$A,$A320)=0,"",SUMIFS('Daily BSE Equity Cash'!$H:$H,'Daily BSE Equity Cash'!$A:$A,$A320))</f>
        <v/>
      </c>
      <c r="G320" s="4">
        <f>IF(OR(E320="",F320=""),"",E320+F320)</f>
        <v/>
      </c>
      <c r="H320" s="7">
        <f>IFERROR(IF(OR(E320="",INDEX(E:E,MATCH(DATE(YEAR($A320)-1,MONTH($A320),DAY($A320)),$A:$A,0))=""),"",E320/INDEX(E:E,MATCH(DATE(YEAR($A320)-1,MONTH($A320),DAY($A320)),$A:$A,0))-1),"")</f>
        <v/>
      </c>
      <c r="I320" s="7">
        <f>IFERROR(IF(OR(F320="",INDEX(F:F,MATCH(DATE(YEAR($A320)-1,MONTH($A320),DAY($A320)),$A:$A,0))=""),"",F320/INDEX(F:F,MATCH(DATE(YEAR($A320)-1,MONTH($A320),DAY($A320)),$A:$A,0))-1),"")</f>
        <v/>
      </c>
      <c r="J320" s="7">
        <f>IFERROR(IF(OR(G320="",INDEX(G:G,MATCH(DATE(YEAR($A320)-1,MONTH($A320),DAY($A320)),$A:$A,0))=""),"",G320/INDEX(G:G,MATCH(DATE(YEAR($A320)-1,MONTH($A320),DAY($A320)),$A:$A,0))-1),"")</f>
        <v/>
      </c>
      <c r="K320" s="7">
        <f>IF(OR(E320="",E319=""),"",E320/E319-1)</f>
        <v/>
      </c>
      <c r="L320" s="7">
        <f>IF(OR(F320="",F319=""),"",F320/F319-1)</f>
        <v/>
      </c>
      <c r="M320" s="7">
        <f>IF(OR(G320="",G319=""),"",G320/G319-1)</f>
        <v/>
      </c>
      <c r="N320" s="7">
        <f>IF(G320="","",E320/G320)</f>
        <v/>
      </c>
      <c r="O320" s="7">
        <f>IF(G320="","",F320/G320)</f>
        <v/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4">
        <f>IF(SUMIFS('Daily NSE Equity Cash'!$H:$H,'Daily NSE Equity Cash'!$A:$A,$A321)=0,"",SUMIFS('Daily NSE Equity Cash'!$H:$H,'Daily NSE Equity Cash'!$A:$A,$A321))</f>
        <v/>
      </c>
      <c r="F321" s="4">
        <f>IF(SUMIFS('Daily BSE Equity Cash'!$H:$H,'Daily BSE Equity Cash'!$A:$A,$A321)=0,"",SUMIFS('Daily BSE Equity Cash'!$H:$H,'Daily BSE Equity Cash'!$A:$A,$A321))</f>
        <v/>
      </c>
      <c r="G321" s="4">
        <f>IF(OR(E321="",F321=""),"",E321+F321)</f>
        <v/>
      </c>
      <c r="H321" s="7">
        <f>IFERROR(IF(OR(E321="",INDEX(E:E,MATCH(DATE(YEAR($A321)-1,MONTH($A321),DAY($A321)),$A:$A,0))=""),"",E321/INDEX(E:E,MATCH(DATE(YEAR($A321)-1,MONTH($A321),DAY($A321)),$A:$A,0))-1),"")</f>
        <v/>
      </c>
      <c r="I321" s="7">
        <f>IFERROR(IF(OR(F321="",INDEX(F:F,MATCH(DATE(YEAR($A321)-1,MONTH($A321),DAY($A321)),$A:$A,0))=""),"",F321/INDEX(F:F,MATCH(DATE(YEAR($A321)-1,MONTH($A321),DAY($A321)),$A:$A,0))-1),"")</f>
        <v/>
      </c>
      <c r="J321" s="7">
        <f>IFERROR(IF(OR(G321="",INDEX(G:G,MATCH(DATE(YEAR($A321)-1,MONTH($A321),DAY($A321)),$A:$A,0))=""),"",G321/INDEX(G:G,MATCH(DATE(YEAR($A321)-1,MONTH($A321),DAY($A321)),$A:$A,0))-1),"")</f>
        <v/>
      </c>
      <c r="K321" s="7">
        <f>IF(OR(E321="",E320=""),"",E321/E320-1)</f>
        <v/>
      </c>
      <c r="L321" s="7">
        <f>IF(OR(F321="",F320=""),"",F321/F320-1)</f>
        <v/>
      </c>
      <c r="M321" s="7">
        <f>IF(OR(G321="",G320=""),"",G321/G320-1)</f>
        <v/>
      </c>
      <c r="N321" s="7">
        <f>IF(G321="","",E321/G321)</f>
        <v/>
      </c>
      <c r="O321" s="7">
        <f>IF(G321="","",F321/G321)</f>
        <v/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4">
        <f>IF(SUMIFS('Daily NSE Equity Cash'!$H:$H,'Daily NSE Equity Cash'!$A:$A,$A322)=0,"",SUMIFS('Daily NSE Equity Cash'!$H:$H,'Daily NSE Equity Cash'!$A:$A,$A322))</f>
        <v/>
      </c>
      <c r="F322" s="4">
        <f>IF(SUMIFS('Daily BSE Equity Cash'!$H:$H,'Daily BSE Equity Cash'!$A:$A,$A322)=0,"",SUMIFS('Daily BSE Equity Cash'!$H:$H,'Daily BSE Equity Cash'!$A:$A,$A322))</f>
        <v/>
      </c>
      <c r="G322" s="4">
        <f>IF(OR(E322="",F322=""),"",E322+F322)</f>
        <v/>
      </c>
      <c r="H322" s="7">
        <f>IFERROR(IF(OR(E322="",INDEX(E:E,MATCH(DATE(YEAR($A322)-1,MONTH($A322),DAY($A322)),$A:$A,0))=""),"",E322/INDEX(E:E,MATCH(DATE(YEAR($A322)-1,MONTH($A322),DAY($A322)),$A:$A,0))-1),"")</f>
        <v/>
      </c>
      <c r="I322" s="7">
        <f>IFERROR(IF(OR(F322="",INDEX(F:F,MATCH(DATE(YEAR($A322)-1,MONTH($A322),DAY($A322)),$A:$A,0))=""),"",F322/INDEX(F:F,MATCH(DATE(YEAR($A322)-1,MONTH($A322),DAY($A322)),$A:$A,0))-1),"")</f>
        <v/>
      </c>
      <c r="J322" s="7">
        <f>IFERROR(IF(OR(G322="",INDEX(G:G,MATCH(DATE(YEAR($A322)-1,MONTH($A322),DAY($A322)),$A:$A,0))=""),"",G322/INDEX(G:G,MATCH(DATE(YEAR($A322)-1,MONTH($A322),DAY($A322)),$A:$A,0))-1),"")</f>
        <v/>
      </c>
      <c r="K322" s="7">
        <f>IF(OR(E322="",E321=""),"",E322/E321-1)</f>
        <v/>
      </c>
      <c r="L322" s="7">
        <f>IF(OR(F322="",F321=""),"",F322/F321-1)</f>
        <v/>
      </c>
      <c r="M322" s="7">
        <f>IF(OR(G322="",G321=""),"",G322/G321-1)</f>
        <v/>
      </c>
      <c r="N322" s="7">
        <f>IF(G322="","",E322/G322)</f>
        <v/>
      </c>
      <c r="O322" s="7">
        <f>IF(G322="","",F322/G322)</f>
        <v/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4">
        <f>IF(SUMIFS('Daily NSE Equity Cash'!$H:$H,'Daily NSE Equity Cash'!$A:$A,$A323)=0,"",SUMIFS('Daily NSE Equity Cash'!$H:$H,'Daily NSE Equity Cash'!$A:$A,$A323))</f>
        <v/>
      </c>
      <c r="F323" s="4">
        <f>IF(SUMIFS('Daily BSE Equity Cash'!$H:$H,'Daily BSE Equity Cash'!$A:$A,$A323)=0,"",SUMIFS('Daily BSE Equity Cash'!$H:$H,'Daily BSE Equity Cash'!$A:$A,$A323))</f>
        <v/>
      </c>
      <c r="G323" s="4">
        <f>IF(OR(E323="",F323=""),"",E323+F323)</f>
        <v/>
      </c>
      <c r="H323" s="7">
        <f>IFERROR(IF(OR(E323="",INDEX(E:E,MATCH(DATE(YEAR($A323)-1,MONTH($A323),DAY($A323)),$A:$A,0))=""),"",E323/INDEX(E:E,MATCH(DATE(YEAR($A323)-1,MONTH($A323),DAY($A323)),$A:$A,0))-1),"")</f>
        <v/>
      </c>
      <c r="I323" s="7">
        <f>IFERROR(IF(OR(F323="",INDEX(F:F,MATCH(DATE(YEAR($A323)-1,MONTH($A323),DAY($A323)),$A:$A,0))=""),"",F323/INDEX(F:F,MATCH(DATE(YEAR($A323)-1,MONTH($A323),DAY($A323)),$A:$A,0))-1),"")</f>
        <v/>
      </c>
      <c r="J323" s="7">
        <f>IFERROR(IF(OR(G323="",INDEX(G:G,MATCH(DATE(YEAR($A323)-1,MONTH($A323),DAY($A323)),$A:$A,0))=""),"",G323/INDEX(G:G,MATCH(DATE(YEAR($A323)-1,MONTH($A323),DAY($A323)),$A:$A,0))-1),"")</f>
        <v/>
      </c>
      <c r="K323" s="7">
        <f>IF(OR(E323="",E322=""),"",E323/E322-1)</f>
        <v/>
      </c>
      <c r="L323" s="7">
        <f>IF(OR(F323="",F322=""),"",F323/F322-1)</f>
        <v/>
      </c>
      <c r="M323" s="7">
        <f>IF(OR(G323="",G322=""),"",G323/G322-1)</f>
        <v/>
      </c>
      <c r="N323" s="7">
        <f>IF(G323="","",E323/G323)</f>
        <v/>
      </c>
      <c r="O323" s="7">
        <f>IF(G323="","",F323/G323)</f>
        <v/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4">
        <f>IF(SUMIFS('Daily NSE Equity Cash'!$H:$H,'Daily NSE Equity Cash'!$A:$A,$A324)=0,"",SUMIFS('Daily NSE Equity Cash'!$H:$H,'Daily NSE Equity Cash'!$A:$A,$A324))</f>
        <v/>
      </c>
      <c r="F324" s="4">
        <f>IF(SUMIFS('Daily BSE Equity Cash'!$H:$H,'Daily BSE Equity Cash'!$A:$A,$A324)=0,"",SUMIFS('Daily BSE Equity Cash'!$H:$H,'Daily BSE Equity Cash'!$A:$A,$A324))</f>
        <v/>
      </c>
      <c r="G324" s="4">
        <f>IF(OR(E324="",F324=""),"",E324+F324)</f>
        <v/>
      </c>
      <c r="H324" s="7">
        <f>IFERROR(IF(OR(E324="",INDEX(E:E,MATCH(DATE(YEAR($A324)-1,MONTH($A324),DAY($A324)),$A:$A,0))=""),"",E324/INDEX(E:E,MATCH(DATE(YEAR($A324)-1,MONTH($A324),DAY($A324)),$A:$A,0))-1),"")</f>
        <v/>
      </c>
      <c r="I324" s="7">
        <f>IFERROR(IF(OR(F324="",INDEX(F:F,MATCH(DATE(YEAR($A324)-1,MONTH($A324),DAY($A324)),$A:$A,0))=""),"",F324/INDEX(F:F,MATCH(DATE(YEAR($A324)-1,MONTH($A324),DAY($A324)),$A:$A,0))-1),"")</f>
        <v/>
      </c>
      <c r="J324" s="7">
        <f>IFERROR(IF(OR(G324="",INDEX(G:G,MATCH(DATE(YEAR($A324)-1,MONTH($A324),DAY($A324)),$A:$A,0))=""),"",G324/INDEX(G:G,MATCH(DATE(YEAR($A324)-1,MONTH($A324),DAY($A324)),$A:$A,0))-1),"")</f>
        <v/>
      </c>
      <c r="K324" s="7">
        <f>IF(OR(E324="",E323=""),"",E324/E323-1)</f>
        <v/>
      </c>
      <c r="L324" s="7">
        <f>IF(OR(F324="",F323=""),"",F324/F323-1)</f>
        <v/>
      </c>
      <c r="M324" s="7">
        <f>IF(OR(G324="",G323=""),"",G324/G323-1)</f>
        <v/>
      </c>
      <c r="N324" s="7">
        <f>IF(G324="","",E324/G324)</f>
        <v/>
      </c>
      <c r="O324" s="7">
        <f>IF(G324="","",F324/G324)</f>
        <v/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4">
        <f>IF(SUMIFS('Daily NSE Equity Cash'!$H:$H,'Daily NSE Equity Cash'!$A:$A,$A325)=0,"",SUMIFS('Daily NSE Equity Cash'!$H:$H,'Daily NSE Equity Cash'!$A:$A,$A325))</f>
        <v/>
      </c>
      <c r="F325" s="4">
        <f>IF(SUMIFS('Daily BSE Equity Cash'!$H:$H,'Daily BSE Equity Cash'!$A:$A,$A325)=0,"",SUMIFS('Daily BSE Equity Cash'!$H:$H,'Daily BSE Equity Cash'!$A:$A,$A325))</f>
        <v/>
      </c>
      <c r="G325" s="4">
        <f>IF(OR(E325="",F325=""),"",E325+F325)</f>
        <v/>
      </c>
      <c r="H325" s="7">
        <f>IFERROR(IF(OR(E325="",INDEX(E:E,MATCH(DATE(YEAR($A325)-1,MONTH($A325),DAY($A325)),$A:$A,0))=""),"",E325/INDEX(E:E,MATCH(DATE(YEAR($A325)-1,MONTH($A325),DAY($A325)),$A:$A,0))-1),"")</f>
        <v/>
      </c>
      <c r="I325" s="7">
        <f>IFERROR(IF(OR(F325="",INDEX(F:F,MATCH(DATE(YEAR($A325)-1,MONTH($A325),DAY($A325)),$A:$A,0))=""),"",F325/INDEX(F:F,MATCH(DATE(YEAR($A325)-1,MONTH($A325),DAY($A325)),$A:$A,0))-1),"")</f>
        <v/>
      </c>
      <c r="J325" s="7">
        <f>IFERROR(IF(OR(G325="",INDEX(G:G,MATCH(DATE(YEAR($A325)-1,MONTH($A325),DAY($A325)),$A:$A,0))=""),"",G325/INDEX(G:G,MATCH(DATE(YEAR($A325)-1,MONTH($A325),DAY($A325)),$A:$A,0))-1),"")</f>
        <v/>
      </c>
      <c r="K325" s="7">
        <f>IF(OR(E325="",E324=""),"",E325/E324-1)</f>
        <v/>
      </c>
      <c r="L325" s="7">
        <f>IF(OR(F325="",F324=""),"",F325/F324-1)</f>
        <v/>
      </c>
      <c r="M325" s="7">
        <f>IF(OR(G325="",G324=""),"",G325/G324-1)</f>
        <v/>
      </c>
      <c r="N325" s="7">
        <f>IF(G325="","",E325/G325)</f>
        <v/>
      </c>
      <c r="O325" s="7">
        <f>IF(G325="","",F325/G325)</f>
        <v/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4">
        <f>IF(SUMIFS('Daily NSE Equity Cash'!$H:$H,'Daily NSE Equity Cash'!$A:$A,$A326)=0,"",SUMIFS('Daily NSE Equity Cash'!$H:$H,'Daily NSE Equity Cash'!$A:$A,$A326))</f>
        <v/>
      </c>
      <c r="F326" s="4">
        <f>IF(SUMIFS('Daily BSE Equity Cash'!$H:$H,'Daily BSE Equity Cash'!$A:$A,$A326)=0,"",SUMIFS('Daily BSE Equity Cash'!$H:$H,'Daily BSE Equity Cash'!$A:$A,$A326))</f>
        <v/>
      </c>
      <c r="G326" s="4">
        <f>IF(OR(E326="",F326=""),"",E326+F326)</f>
        <v/>
      </c>
      <c r="H326" s="7">
        <f>IFERROR(IF(OR(E326="",INDEX(E:E,MATCH(DATE(YEAR($A326)-1,MONTH($A326),DAY($A326)),$A:$A,0))=""),"",E326/INDEX(E:E,MATCH(DATE(YEAR($A326)-1,MONTH($A326),DAY($A326)),$A:$A,0))-1),"")</f>
        <v/>
      </c>
      <c r="I326" s="7">
        <f>IFERROR(IF(OR(F326="",INDEX(F:F,MATCH(DATE(YEAR($A326)-1,MONTH($A326),DAY($A326)),$A:$A,0))=""),"",F326/INDEX(F:F,MATCH(DATE(YEAR($A326)-1,MONTH($A326),DAY($A326)),$A:$A,0))-1),"")</f>
        <v/>
      </c>
      <c r="J326" s="7">
        <f>IFERROR(IF(OR(G326="",INDEX(G:G,MATCH(DATE(YEAR($A326)-1,MONTH($A326),DAY($A326)),$A:$A,0))=""),"",G326/INDEX(G:G,MATCH(DATE(YEAR($A326)-1,MONTH($A326),DAY($A326)),$A:$A,0))-1),"")</f>
        <v/>
      </c>
      <c r="K326" s="7">
        <f>IF(OR(E326="",E325=""),"",E326/E325-1)</f>
        <v/>
      </c>
      <c r="L326" s="7">
        <f>IF(OR(F326="",F325=""),"",F326/F325-1)</f>
        <v/>
      </c>
      <c r="M326" s="7">
        <f>IF(OR(G326="",G325=""),"",G326/G325-1)</f>
        <v/>
      </c>
      <c r="N326" s="7">
        <f>IF(G326="","",E326/G326)</f>
        <v/>
      </c>
      <c r="O326" s="7">
        <f>IF(G326="","",F326/G326)</f>
        <v/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4">
        <f>IF(SUMIFS('Daily NSE Equity Cash'!$H:$H,'Daily NSE Equity Cash'!$A:$A,$A327)=0,"",SUMIFS('Daily NSE Equity Cash'!$H:$H,'Daily NSE Equity Cash'!$A:$A,$A327))</f>
        <v/>
      </c>
      <c r="F327" s="4">
        <f>IF(SUMIFS('Daily BSE Equity Cash'!$H:$H,'Daily BSE Equity Cash'!$A:$A,$A327)=0,"",SUMIFS('Daily BSE Equity Cash'!$H:$H,'Daily BSE Equity Cash'!$A:$A,$A327))</f>
        <v/>
      </c>
      <c r="G327" s="4">
        <f>IF(OR(E327="",F327=""),"",E327+F327)</f>
        <v/>
      </c>
      <c r="H327" s="7">
        <f>IFERROR(IF(OR(E327="",INDEX(E:E,MATCH(DATE(YEAR($A327)-1,MONTH($A327),DAY($A327)),$A:$A,0))=""),"",E327/INDEX(E:E,MATCH(DATE(YEAR($A327)-1,MONTH($A327),DAY($A327)),$A:$A,0))-1),"")</f>
        <v/>
      </c>
      <c r="I327" s="7">
        <f>IFERROR(IF(OR(F327="",INDEX(F:F,MATCH(DATE(YEAR($A327)-1,MONTH($A327),DAY($A327)),$A:$A,0))=""),"",F327/INDEX(F:F,MATCH(DATE(YEAR($A327)-1,MONTH($A327),DAY($A327)),$A:$A,0))-1),"")</f>
        <v/>
      </c>
      <c r="J327" s="7">
        <f>IFERROR(IF(OR(G327="",INDEX(G:G,MATCH(DATE(YEAR($A327)-1,MONTH($A327),DAY($A327)),$A:$A,0))=""),"",G327/INDEX(G:G,MATCH(DATE(YEAR($A327)-1,MONTH($A327),DAY($A327)),$A:$A,0))-1),"")</f>
        <v/>
      </c>
      <c r="K327" s="7">
        <f>IF(OR(E327="",E326=""),"",E327/E326-1)</f>
        <v/>
      </c>
      <c r="L327" s="7">
        <f>IF(OR(F327="",F326=""),"",F327/F326-1)</f>
        <v/>
      </c>
      <c r="M327" s="7">
        <f>IF(OR(G327="",G326=""),"",G327/G326-1)</f>
        <v/>
      </c>
      <c r="N327" s="7">
        <f>IF(G327="","",E327/G327)</f>
        <v/>
      </c>
      <c r="O327" s="7">
        <f>IF(G327="","",F327/G327)</f>
        <v/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4">
        <f>IF(SUMIFS('Daily NSE Equity Cash'!$H:$H,'Daily NSE Equity Cash'!$A:$A,$A328)=0,"",SUMIFS('Daily NSE Equity Cash'!$H:$H,'Daily NSE Equity Cash'!$A:$A,$A328))</f>
        <v/>
      </c>
      <c r="F328" s="4">
        <f>IF(SUMIFS('Daily BSE Equity Cash'!$H:$H,'Daily BSE Equity Cash'!$A:$A,$A328)=0,"",SUMIFS('Daily BSE Equity Cash'!$H:$H,'Daily BSE Equity Cash'!$A:$A,$A328))</f>
        <v/>
      </c>
      <c r="G328" s="4">
        <f>IF(OR(E328="",F328=""),"",E328+F328)</f>
        <v/>
      </c>
      <c r="H328" s="7">
        <f>IFERROR(IF(OR(E328="",INDEX(E:E,MATCH(DATE(YEAR($A328)-1,MONTH($A328),DAY($A328)),$A:$A,0))=""),"",E328/INDEX(E:E,MATCH(DATE(YEAR($A328)-1,MONTH($A328),DAY($A328)),$A:$A,0))-1),"")</f>
        <v/>
      </c>
      <c r="I328" s="7">
        <f>IFERROR(IF(OR(F328="",INDEX(F:F,MATCH(DATE(YEAR($A328)-1,MONTH($A328),DAY($A328)),$A:$A,0))=""),"",F328/INDEX(F:F,MATCH(DATE(YEAR($A328)-1,MONTH($A328),DAY($A328)),$A:$A,0))-1),"")</f>
        <v/>
      </c>
      <c r="J328" s="7">
        <f>IFERROR(IF(OR(G328="",INDEX(G:G,MATCH(DATE(YEAR($A328)-1,MONTH($A328),DAY($A328)),$A:$A,0))=""),"",G328/INDEX(G:G,MATCH(DATE(YEAR($A328)-1,MONTH($A328),DAY($A328)),$A:$A,0))-1),"")</f>
        <v/>
      </c>
      <c r="K328" s="7">
        <f>IF(OR(E328="",E327=""),"",E328/E327-1)</f>
        <v/>
      </c>
      <c r="L328" s="7">
        <f>IF(OR(F328="",F327=""),"",F328/F327-1)</f>
        <v/>
      </c>
      <c r="M328" s="7">
        <f>IF(OR(G328="",G327=""),"",G328/G327-1)</f>
        <v/>
      </c>
      <c r="N328" s="7">
        <f>IF(G328="","",E328/G328)</f>
        <v/>
      </c>
      <c r="O328" s="7">
        <f>IF(G328="","",F328/G328)</f>
        <v/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4">
        <f>IF(SUMIFS('Daily NSE Equity Cash'!$H:$H,'Daily NSE Equity Cash'!$A:$A,$A329)=0,"",SUMIFS('Daily NSE Equity Cash'!$H:$H,'Daily NSE Equity Cash'!$A:$A,$A329))</f>
        <v/>
      </c>
      <c r="F329" s="4">
        <f>IF(SUMIFS('Daily BSE Equity Cash'!$H:$H,'Daily BSE Equity Cash'!$A:$A,$A329)=0,"",SUMIFS('Daily BSE Equity Cash'!$H:$H,'Daily BSE Equity Cash'!$A:$A,$A329))</f>
        <v/>
      </c>
      <c r="G329" s="4">
        <f>IF(OR(E329="",F329=""),"",E329+F329)</f>
        <v/>
      </c>
      <c r="H329" s="7">
        <f>IFERROR(IF(OR(E329="",INDEX(E:E,MATCH(DATE(YEAR($A329)-1,MONTH($A329),DAY($A329)),$A:$A,0))=""),"",E329/INDEX(E:E,MATCH(DATE(YEAR($A329)-1,MONTH($A329),DAY($A329)),$A:$A,0))-1),"")</f>
        <v/>
      </c>
      <c r="I329" s="7">
        <f>IFERROR(IF(OR(F329="",INDEX(F:F,MATCH(DATE(YEAR($A329)-1,MONTH($A329),DAY($A329)),$A:$A,0))=""),"",F329/INDEX(F:F,MATCH(DATE(YEAR($A329)-1,MONTH($A329),DAY($A329)),$A:$A,0))-1),"")</f>
        <v/>
      </c>
      <c r="J329" s="7">
        <f>IFERROR(IF(OR(G329="",INDEX(G:G,MATCH(DATE(YEAR($A329)-1,MONTH($A329),DAY($A329)),$A:$A,0))=""),"",G329/INDEX(G:G,MATCH(DATE(YEAR($A329)-1,MONTH($A329),DAY($A329)),$A:$A,0))-1),"")</f>
        <v/>
      </c>
      <c r="K329" s="7">
        <f>IF(OR(E329="",E328=""),"",E329/E328-1)</f>
        <v/>
      </c>
      <c r="L329" s="7">
        <f>IF(OR(F329="",F328=""),"",F329/F328-1)</f>
        <v/>
      </c>
      <c r="M329" s="7">
        <f>IF(OR(G329="",G328=""),"",G329/G328-1)</f>
        <v/>
      </c>
      <c r="N329" s="7">
        <f>IF(G329="","",E329/G329)</f>
        <v/>
      </c>
      <c r="O329" s="7">
        <f>IF(G329="","",F329/G329)</f>
        <v/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4">
        <f>IF(SUMIFS('Daily NSE Equity Cash'!$H:$H,'Daily NSE Equity Cash'!$A:$A,$A330)=0,"",SUMIFS('Daily NSE Equity Cash'!$H:$H,'Daily NSE Equity Cash'!$A:$A,$A330))</f>
        <v/>
      </c>
      <c r="F330" s="4">
        <f>IF(SUMIFS('Daily BSE Equity Cash'!$H:$H,'Daily BSE Equity Cash'!$A:$A,$A330)=0,"",SUMIFS('Daily BSE Equity Cash'!$H:$H,'Daily BSE Equity Cash'!$A:$A,$A330))</f>
        <v/>
      </c>
      <c r="G330" s="4">
        <f>IF(OR(E330="",F330=""),"",E330+F330)</f>
        <v/>
      </c>
      <c r="H330" s="7">
        <f>IFERROR(IF(OR(E330="",INDEX(E:E,MATCH(DATE(YEAR($A330)-1,MONTH($A330),DAY($A330)),$A:$A,0))=""),"",E330/INDEX(E:E,MATCH(DATE(YEAR($A330)-1,MONTH($A330),DAY($A330)),$A:$A,0))-1),"")</f>
        <v/>
      </c>
      <c r="I330" s="7">
        <f>IFERROR(IF(OR(F330="",INDEX(F:F,MATCH(DATE(YEAR($A330)-1,MONTH($A330),DAY($A330)),$A:$A,0))=""),"",F330/INDEX(F:F,MATCH(DATE(YEAR($A330)-1,MONTH($A330),DAY($A330)),$A:$A,0))-1),"")</f>
        <v/>
      </c>
      <c r="J330" s="7">
        <f>IFERROR(IF(OR(G330="",INDEX(G:G,MATCH(DATE(YEAR($A330)-1,MONTH($A330),DAY($A330)),$A:$A,0))=""),"",G330/INDEX(G:G,MATCH(DATE(YEAR($A330)-1,MONTH($A330),DAY($A330)),$A:$A,0))-1),"")</f>
        <v/>
      </c>
      <c r="K330" s="7">
        <f>IF(OR(E330="",E329=""),"",E330/E329-1)</f>
        <v/>
      </c>
      <c r="L330" s="7">
        <f>IF(OR(F330="",F329=""),"",F330/F329-1)</f>
        <v/>
      </c>
      <c r="M330" s="7">
        <f>IF(OR(G330="",G329=""),"",G330/G329-1)</f>
        <v/>
      </c>
      <c r="N330" s="7">
        <f>IF(G330="","",E330/G330)</f>
        <v/>
      </c>
      <c r="O330" s="7">
        <f>IF(G330="","",F330/G330)</f>
        <v/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4">
        <f>IF(SUMIFS('Daily NSE Equity Cash'!$H:$H,'Daily NSE Equity Cash'!$A:$A,$A331)=0,"",SUMIFS('Daily NSE Equity Cash'!$H:$H,'Daily NSE Equity Cash'!$A:$A,$A331))</f>
        <v/>
      </c>
      <c r="F331" s="4">
        <f>IF(SUMIFS('Daily BSE Equity Cash'!$H:$H,'Daily BSE Equity Cash'!$A:$A,$A331)=0,"",SUMIFS('Daily BSE Equity Cash'!$H:$H,'Daily BSE Equity Cash'!$A:$A,$A331))</f>
        <v/>
      </c>
      <c r="G331" s="4">
        <f>IF(OR(E331="",F331=""),"",E331+F331)</f>
        <v/>
      </c>
      <c r="H331" s="7">
        <f>IFERROR(IF(OR(E331="",INDEX(E:E,MATCH(DATE(YEAR($A331)-1,MONTH($A331),DAY($A331)),$A:$A,0))=""),"",E331/INDEX(E:E,MATCH(DATE(YEAR($A331)-1,MONTH($A331),DAY($A331)),$A:$A,0))-1),"")</f>
        <v/>
      </c>
      <c r="I331" s="7">
        <f>IFERROR(IF(OR(F331="",INDEX(F:F,MATCH(DATE(YEAR($A331)-1,MONTH($A331),DAY($A331)),$A:$A,0))=""),"",F331/INDEX(F:F,MATCH(DATE(YEAR($A331)-1,MONTH($A331),DAY($A331)),$A:$A,0))-1),"")</f>
        <v/>
      </c>
      <c r="J331" s="7">
        <f>IFERROR(IF(OR(G331="",INDEX(G:G,MATCH(DATE(YEAR($A331)-1,MONTH($A331),DAY($A331)),$A:$A,0))=""),"",G331/INDEX(G:G,MATCH(DATE(YEAR($A331)-1,MONTH($A331),DAY($A331)),$A:$A,0))-1),"")</f>
        <v/>
      </c>
      <c r="K331" s="7">
        <f>IF(OR(E331="",E330=""),"",E331/E330-1)</f>
        <v/>
      </c>
      <c r="L331" s="7">
        <f>IF(OR(F331="",F330=""),"",F331/F330-1)</f>
        <v/>
      </c>
      <c r="M331" s="7">
        <f>IF(OR(G331="",G330=""),"",G331/G330-1)</f>
        <v/>
      </c>
      <c r="N331" s="7">
        <f>IF(G331="","",E331/G331)</f>
        <v/>
      </c>
      <c r="O331" s="7">
        <f>IF(G331="","",F331/G331)</f>
        <v/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4">
        <f>IF(SUMIFS('Daily NSE Equity Cash'!$H:$H,'Daily NSE Equity Cash'!$A:$A,$A332)=0,"",SUMIFS('Daily NSE Equity Cash'!$H:$H,'Daily NSE Equity Cash'!$A:$A,$A332))</f>
        <v/>
      </c>
      <c r="F332" s="4">
        <f>IF(SUMIFS('Daily BSE Equity Cash'!$H:$H,'Daily BSE Equity Cash'!$A:$A,$A332)=0,"",SUMIFS('Daily BSE Equity Cash'!$H:$H,'Daily BSE Equity Cash'!$A:$A,$A332))</f>
        <v/>
      </c>
      <c r="G332" s="4">
        <f>IF(OR(E332="",F332=""),"",E332+F332)</f>
        <v/>
      </c>
      <c r="H332" s="7">
        <f>IFERROR(IF(OR(E332="",INDEX(E:E,MATCH(DATE(YEAR($A332)-1,MONTH($A332),DAY($A332)),$A:$A,0))=""),"",E332/INDEX(E:E,MATCH(DATE(YEAR($A332)-1,MONTH($A332),DAY($A332)),$A:$A,0))-1),"")</f>
        <v/>
      </c>
      <c r="I332" s="7">
        <f>IFERROR(IF(OR(F332="",INDEX(F:F,MATCH(DATE(YEAR($A332)-1,MONTH($A332),DAY($A332)),$A:$A,0))=""),"",F332/INDEX(F:F,MATCH(DATE(YEAR($A332)-1,MONTH($A332),DAY($A332)),$A:$A,0))-1),"")</f>
        <v/>
      </c>
      <c r="J332" s="7">
        <f>IFERROR(IF(OR(G332="",INDEX(G:G,MATCH(DATE(YEAR($A332)-1,MONTH($A332),DAY($A332)),$A:$A,0))=""),"",G332/INDEX(G:G,MATCH(DATE(YEAR($A332)-1,MONTH($A332),DAY($A332)),$A:$A,0))-1),"")</f>
        <v/>
      </c>
      <c r="K332" s="7">
        <f>IF(OR(E332="",E331=""),"",E332/E331-1)</f>
        <v/>
      </c>
      <c r="L332" s="7">
        <f>IF(OR(F332="",F331=""),"",F332/F331-1)</f>
        <v/>
      </c>
      <c r="M332" s="7">
        <f>IF(OR(G332="",G331=""),"",G332/G331-1)</f>
        <v/>
      </c>
      <c r="N332" s="7">
        <f>IF(G332="","",E332/G332)</f>
        <v/>
      </c>
      <c r="O332" s="7">
        <f>IF(G332="","",F332/G332)</f>
        <v/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4">
        <f>IF(SUMIFS('Daily NSE Equity Cash'!$H:$H,'Daily NSE Equity Cash'!$A:$A,$A333)=0,"",SUMIFS('Daily NSE Equity Cash'!$H:$H,'Daily NSE Equity Cash'!$A:$A,$A333))</f>
        <v/>
      </c>
      <c r="F333" s="4">
        <f>IF(SUMIFS('Daily BSE Equity Cash'!$H:$H,'Daily BSE Equity Cash'!$A:$A,$A333)=0,"",SUMIFS('Daily BSE Equity Cash'!$H:$H,'Daily BSE Equity Cash'!$A:$A,$A333))</f>
        <v/>
      </c>
      <c r="G333" s="4">
        <f>IF(OR(E333="",F333=""),"",E333+F333)</f>
        <v/>
      </c>
      <c r="H333" s="7">
        <f>IFERROR(IF(OR(E333="",INDEX(E:E,MATCH(DATE(YEAR($A333)-1,MONTH($A333),DAY($A333)),$A:$A,0))=""),"",E333/INDEX(E:E,MATCH(DATE(YEAR($A333)-1,MONTH($A333),DAY($A333)),$A:$A,0))-1),"")</f>
        <v/>
      </c>
      <c r="I333" s="7">
        <f>IFERROR(IF(OR(F333="",INDEX(F:F,MATCH(DATE(YEAR($A333)-1,MONTH($A333),DAY($A333)),$A:$A,0))=""),"",F333/INDEX(F:F,MATCH(DATE(YEAR($A333)-1,MONTH($A333),DAY($A333)),$A:$A,0))-1),"")</f>
        <v/>
      </c>
      <c r="J333" s="7">
        <f>IFERROR(IF(OR(G333="",INDEX(G:G,MATCH(DATE(YEAR($A333)-1,MONTH($A333),DAY($A333)),$A:$A,0))=""),"",G333/INDEX(G:G,MATCH(DATE(YEAR($A333)-1,MONTH($A333),DAY($A333)),$A:$A,0))-1),"")</f>
        <v/>
      </c>
      <c r="K333" s="7">
        <f>IF(OR(E333="",E332=""),"",E333/E332-1)</f>
        <v/>
      </c>
      <c r="L333" s="7">
        <f>IF(OR(F333="",F332=""),"",F333/F332-1)</f>
        <v/>
      </c>
      <c r="M333" s="7">
        <f>IF(OR(G333="",G332=""),"",G333/G332-1)</f>
        <v/>
      </c>
      <c r="N333" s="7">
        <f>IF(G333="","",E333/G333)</f>
        <v/>
      </c>
      <c r="O333" s="7">
        <f>IF(G333="","",F333/G333)</f>
        <v/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4">
        <f>IF(SUMIFS('Daily NSE Equity Cash'!$H:$H,'Daily NSE Equity Cash'!$A:$A,$A334)=0,"",SUMIFS('Daily NSE Equity Cash'!$H:$H,'Daily NSE Equity Cash'!$A:$A,$A334))</f>
        <v/>
      </c>
      <c r="F334" s="4">
        <f>IF(SUMIFS('Daily BSE Equity Cash'!$H:$H,'Daily BSE Equity Cash'!$A:$A,$A334)=0,"",SUMIFS('Daily BSE Equity Cash'!$H:$H,'Daily BSE Equity Cash'!$A:$A,$A334))</f>
        <v/>
      </c>
      <c r="G334" s="4">
        <f>IF(OR(E334="",F334=""),"",E334+F334)</f>
        <v/>
      </c>
      <c r="H334" s="7">
        <f>IFERROR(IF(OR(E334="",INDEX(E:E,MATCH(DATE(YEAR($A334)-1,MONTH($A334),DAY($A334)),$A:$A,0))=""),"",E334/INDEX(E:E,MATCH(DATE(YEAR($A334)-1,MONTH($A334),DAY($A334)),$A:$A,0))-1),"")</f>
        <v/>
      </c>
      <c r="I334" s="7">
        <f>IFERROR(IF(OR(F334="",INDEX(F:F,MATCH(DATE(YEAR($A334)-1,MONTH($A334),DAY($A334)),$A:$A,0))=""),"",F334/INDEX(F:F,MATCH(DATE(YEAR($A334)-1,MONTH($A334),DAY($A334)),$A:$A,0))-1),"")</f>
        <v/>
      </c>
      <c r="J334" s="7">
        <f>IFERROR(IF(OR(G334="",INDEX(G:G,MATCH(DATE(YEAR($A334)-1,MONTH($A334),DAY($A334)),$A:$A,0))=""),"",G334/INDEX(G:G,MATCH(DATE(YEAR($A334)-1,MONTH($A334),DAY($A334)),$A:$A,0))-1),"")</f>
        <v/>
      </c>
      <c r="K334" s="7">
        <f>IF(OR(E334="",E333=""),"",E334/E333-1)</f>
        <v/>
      </c>
      <c r="L334" s="7">
        <f>IF(OR(F334="",F333=""),"",F334/F333-1)</f>
        <v/>
      </c>
      <c r="M334" s="7">
        <f>IF(OR(G334="",G333=""),"",G334/G333-1)</f>
        <v/>
      </c>
      <c r="N334" s="7">
        <f>IF(G334="","",E334/G334)</f>
        <v/>
      </c>
      <c r="O334" s="7">
        <f>IF(G334="","",F334/G334)</f>
        <v/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4">
        <f>IF(SUMIFS('Daily NSE Equity Cash'!$H:$H,'Daily NSE Equity Cash'!$A:$A,$A335)=0,"",SUMIFS('Daily NSE Equity Cash'!$H:$H,'Daily NSE Equity Cash'!$A:$A,$A335))</f>
        <v/>
      </c>
      <c r="F335" s="4">
        <f>IF(SUMIFS('Daily BSE Equity Cash'!$H:$H,'Daily BSE Equity Cash'!$A:$A,$A335)=0,"",SUMIFS('Daily BSE Equity Cash'!$H:$H,'Daily BSE Equity Cash'!$A:$A,$A335))</f>
        <v/>
      </c>
      <c r="G335" s="4">
        <f>IF(OR(E335="",F335=""),"",E335+F335)</f>
        <v/>
      </c>
      <c r="H335" s="7">
        <f>IFERROR(IF(OR(E335="",INDEX(E:E,MATCH(DATE(YEAR($A335)-1,MONTH($A335),DAY($A335)),$A:$A,0))=""),"",E335/INDEX(E:E,MATCH(DATE(YEAR($A335)-1,MONTH($A335),DAY($A335)),$A:$A,0))-1),"")</f>
        <v/>
      </c>
      <c r="I335" s="7">
        <f>IFERROR(IF(OR(F335="",INDEX(F:F,MATCH(DATE(YEAR($A335)-1,MONTH($A335),DAY($A335)),$A:$A,0))=""),"",F335/INDEX(F:F,MATCH(DATE(YEAR($A335)-1,MONTH($A335),DAY($A335)),$A:$A,0))-1),"")</f>
        <v/>
      </c>
      <c r="J335" s="7">
        <f>IFERROR(IF(OR(G335="",INDEX(G:G,MATCH(DATE(YEAR($A335)-1,MONTH($A335),DAY($A335)),$A:$A,0))=""),"",G335/INDEX(G:G,MATCH(DATE(YEAR($A335)-1,MONTH($A335),DAY($A335)),$A:$A,0))-1),"")</f>
        <v/>
      </c>
      <c r="K335" s="7">
        <f>IF(OR(E335="",E334=""),"",E335/E334-1)</f>
        <v/>
      </c>
      <c r="L335" s="7">
        <f>IF(OR(F335="",F334=""),"",F335/F334-1)</f>
        <v/>
      </c>
      <c r="M335" s="7">
        <f>IF(OR(G335="",G334=""),"",G335/G334-1)</f>
        <v/>
      </c>
      <c r="N335" s="7">
        <f>IF(G335="","",E335/G335)</f>
        <v/>
      </c>
      <c r="O335" s="7">
        <f>IF(G335="","",F335/G335)</f>
        <v/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4">
        <f>IF(SUMIFS('Daily NSE Equity Cash'!$H:$H,'Daily NSE Equity Cash'!$A:$A,$A336)=0,"",SUMIFS('Daily NSE Equity Cash'!$H:$H,'Daily NSE Equity Cash'!$A:$A,$A336))</f>
        <v/>
      </c>
      <c r="F336" s="4">
        <f>IF(SUMIFS('Daily BSE Equity Cash'!$H:$H,'Daily BSE Equity Cash'!$A:$A,$A336)=0,"",SUMIFS('Daily BSE Equity Cash'!$H:$H,'Daily BSE Equity Cash'!$A:$A,$A336))</f>
        <v/>
      </c>
      <c r="G336" s="4">
        <f>IF(OR(E336="",F336=""),"",E336+F336)</f>
        <v/>
      </c>
      <c r="H336" s="7">
        <f>IFERROR(IF(OR(E336="",INDEX(E:E,MATCH(DATE(YEAR($A336)-1,MONTH($A336),DAY($A336)),$A:$A,0))=""),"",E336/INDEX(E:E,MATCH(DATE(YEAR($A336)-1,MONTH($A336),DAY($A336)),$A:$A,0))-1),"")</f>
        <v/>
      </c>
      <c r="I336" s="7">
        <f>IFERROR(IF(OR(F336="",INDEX(F:F,MATCH(DATE(YEAR($A336)-1,MONTH($A336),DAY($A336)),$A:$A,0))=""),"",F336/INDEX(F:F,MATCH(DATE(YEAR($A336)-1,MONTH($A336),DAY($A336)),$A:$A,0))-1),"")</f>
        <v/>
      </c>
      <c r="J336" s="7">
        <f>IFERROR(IF(OR(G336="",INDEX(G:G,MATCH(DATE(YEAR($A336)-1,MONTH($A336),DAY($A336)),$A:$A,0))=""),"",G336/INDEX(G:G,MATCH(DATE(YEAR($A336)-1,MONTH($A336),DAY($A336)),$A:$A,0))-1),"")</f>
        <v/>
      </c>
      <c r="K336" s="7">
        <f>IF(OR(E336="",E335=""),"",E336/E335-1)</f>
        <v/>
      </c>
      <c r="L336" s="7">
        <f>IF(OR(F336="",F335=""),"",F336/F335-1)</f>
        <v/>
      </c>
      <c r="M336" s="7">
        <f>IF(OR(G336="",G335=""),"",G336/G335-1)</f>
        <v/>
      </c>
      <c r="N336" s="7">
        <f>IF(G336="","",E336/G336)</f>
        <v/>
      </c>
      <c r="O336" s="7">
        <f>IF(G336="","",F336/G336)</f>
        <v/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4">
        <f>IF(SUMIFS('Daily NSE Equity Cash'!$H:$H,'Daily NSE Equity Cash'!$A:$A,$A337)=0,"",SUMIFS('Daily NSE Equity Cash'!$H:$H,'Daily NSE Equity Cash'!$A:$A,$A337))</f>
        <v/>
      </c>
      <c r="F337" s="4">
        <f>IF(SUMIFS('Daily BSE Equity Cash'!$H:$H,'Daily BSE Equity Cash'!$A:$A,$A337)=0,"",SUMIFS('Daily BSE Equity Cash'!$H:$H,'Daily BSE Equity Cash'!$A:$A,$A337))</f>
        <v/>
      </c>
      <c r="G337" s="4">
        <f>IF(OR(E337="",F337=""),"",E337+F337)</f>
        <v/>
      </c>
      <c r="H337" s="7">
        <f>IFERROR(IF(OR(E337="",INDEX(E:E,MATCH(DATE(YEAR($A337)-1,MONTH($A337),DAY($A337)),$A:$A,0))=""),"",E337/INDEX(E:E,MATCH(DATE(YEAR($A337)-1,MONTH($A337),DAY($A337)),$A:$A,0))-1),"")</f>
        <v/>
      </c>
      <c r="I337" s="7">
        <f>IFERROR(IF(OR(F337="",INDEX(F:F,MATCH(DATE(YEAR($A337)-1,MONTH($A337),DAY($A337)),$A:$A,0))=""),"",F337/INDEX(F:F,MATCH(DATE(YEAR($A337)-1,MONTH($A337),DAY($A337)),$A:$A,0))-1),"")</f>
        <v/>
      </c>
      <c r="J337" s="7">
        <f>IFERROR(IF(OR(G337="",INDEX(G:G,MATCH(DATE(YEAR($A337)-1,MONTH($A337),DAY($A337)),$A:$A,0))=""),"",G337/INDEX(G:G,MATCH(DATE(YEAR($A337)-1,MONTH($A337),DAY($A337)),$A:$A,0))-1),"")</f>
        <v/>
      </c>
      <c r="K337" s="7">
        <f>IF(OR(E337="",E336=""),"",E337/E336-1)</f>
        <v/>
      </c>
      <c r="L337" s="7">
        <f>IF(OR(F337="",F336=""),"",F337/F336-1)</f>
        <v/>
      </c>
      <c r="M337" s="7">
        <f>IF(OR(G337="",G336=""),"",G337/G336-1)</f>
        <v/>
      </c>
      <c r="N337" s="7">
        <f>IF(G337="","",E337/G337)</f>
        <v/>
      </c>
      <c r="O337" s="7">
        <f>IF(G337="","",F337/G337)</f>
        <v/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4">
        <f>IF(SUMIFS('Daily NSE Equity Cash'!$H:$H,'Daily NSE Equity Cash'!$A:$A,$A338)=0,"",SUMIFS('Daily NSE Equity Cash'!$H:$H,'Daily NSE Equity Cash'!$A:$A,$A338))</f>
        <v/>
      </c>
      <c r="F338" s="4">
        <f>IF(SUMIFS('Daily BSE Equity Cash'!$H:$H,'Daily BSE Equity Cash'!$A:$A,$A338)=0,"",SUMIFS('Daily BSE Equity Cash'!$H:$H,'Daily BSE Equity Cash'!$A:$A,$A338))</f>
        <v/>
      </c>
      <c r="G338" s="4">
        <f>IF(OR(E338="",F338=""),"",E338+F338)</f>
        <v/>
      </c>
      <c r="H338" s="7">
        <f>IFERROR(IF(OR(E338="",INDEX(E:E,MATCH(DATE(YEAR($A338)-1,MONTH($A338),DAY($A338)),$A:$A,0))=""),"",E338/INDEX(E:E,MATCH(DATE(YEAR($A338)-1,MONTH($A338),DAY($A338)),$A:$A,0))-1),"")</f>
        <v/>
      </c>
      <c r="I338" s="7">
        <f>IFERROR(IF(OR(F338="",INDEX(F:F,MATCH(DATE(YEAR($A338)-1,MONTH($A338),DAY($A338)),$A:$A,0))=""),"",F338/INDEX(F:F,MATCH(DATE(YEAR($A338)-1,MONTH($A338),DAY($A338)),$A:$A,0))-1),"")</f>
        <v/>
      </c>
      <c r="J338" s="7">
        <f>IFERROR(IF(OR(G338="",INDEX(G:G,MATCH(DATE(YEAR($A338)-1,MONTH($A338),DAY($A338)),$A:$A,0))=""),"",G338/INDEX(G:G,MATCH(DATE(YEAR($A338)-1,MONTH($A338),DAY($A338)),$A:$A,0))-1),"")</f>
        <v/>
      </c>
      <c r="K338" s="7">
        <f>IF(OR(E338="",E337=""),"",E338/E337-1)</f>
        <v/>
      </c>
      <c r="L338" s="7">
        <f>IF(OR(F338="",F337=""),"",F338/F337-1)</f>
        <v/>
      </c>
      <c r="M338" s="7">
        <f>IF(OR(G338="",G337=""),"",G338/G337-1)</f>
        <v/>
      </c>
      <c r="N338" s="7">
        <f>IF(G338="","",E338/G338)</f>
        <v/>
      </c>
      <c r="O338" s="7">
        <f>IF(G338="","",F338/G338)</f>
        <v/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4">
        <f>IF(SUMIFS('Daily NSE Equity Cash'!$H:$H,'Daily NSE Equity Cash'!$A:$A,$A339)=0,"",SUMIFS('Daily NSE Equity Cash'!$H:$H,'Daily NSE Equity Cash'!$A:$A,$A339))</f>
        <v/>
      </c>
      <c r="F339" s="4">
        <f>IF(SUMIFS('Daily BSE Equity Cash'!$H:$H,'Daily BSE Equity Cash'!$A:$A,$A339)=0,"",SUMIFS('Daily BSE Equity Cash'!$H:$H,'Daily BSE Equity Cash'!$A:$A,$A339))</f>
        <v/>
      </c>
      <c r="G339" s="4">
        <f>IF(OR(E339="",F339=""),"",E339+F339)</f>
        <v/>
      </c>
      <c r="H339" s="7">
        <f>IFERROR(IF(OR(E339="",INDEX(E:E,MATCH(DATE(YEAR($A339)-1,MONTH($A339),DAY($A339)),$A:$A,0))=""),"",E339/INDEX(E:E,MATCH(DATE(YEAR($A339)-1,MONTH($A339),DAY($A339)),$A:$A,0))-1),"")</f>
        <v/>
      </c>
      <c r="I339" s="7">
        <f>IFERROR(IF(OR(F339="",INDEX(F:F,MATCH(DATE(YEAR($A339)-1,MONTH($A339),DAY($A339)),$A:$A,0))=""),"",F339/INDEX(F:F,MATCH(DATE(YEAR($A339)-1,MONTH($A339),DAY($A339)),$A:$A,0))-1),"")</f>
        <v/>
      </c>
      <c r="J339" s="7">
        <f>IFERROR(IF(OR(G339="",INDEX(G:G,MATCH(DATE(YEAR($A339)-1,MONTH($A339),DAY($A339)),$A:$A,0))=""),"",G339/INDEX(G:G,MATCH(DATE(YEAR($A339)-1,MONTH($A339),DAY($A339)),$A:$A,0))-1),"")</f>
        <v/>
      </c>
      <c r="K339" s="7">
        <f>IF(OR(E339="",E338=""),"",E339/E338-1)</f>
        <v/>
      </c>
      <c r="L339" s="7">
        <f>IF(OR(F339="",F338=""),"",F339/F338-1)</f>
        <v/>
      </c>
      <c r="M339" s="7">
        <f>IF(OR(G339="",G338=""),"",G339/G338-1)</f>
        <v/>
      </c>
      <c r="N339" s="7">
        <f>IF(G339="","",E339/G339)</f>
        <v/>
      </c>
      <c r="O339" s="7">
        <f>IF(G339="","",F339/G339)</f>
        <v/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4">
        <f>IF(SUMIFS('Daily NSE Equity Cash'!$H:$H,'Daily NSE Equity Cash'!$A:$A,$A340)=0,"",SUMIFS('Daily NSE Equity Cash'!$H:$H,'Daily NSE Equity Cash'!$A:$A,$A340))</f>
        <v/>
      </c>
      <c r="F340" s="4">
        <f>IF(SUMIFS('Daily BSE Equity Cash'!$H:$H,'Daily BSE Equity Cash'!$A:$A,$A340)=0,"",SUMIFS('Daily BSE Equity Cash'!$H:$H,'Daily BSE Equity Cash'!$A:$A,$A340))</f>
        <v/>
      </c>
      <c r="G340" s="4">
        <f>IF(OR(E340="",F340=""),"",E340+F340)</f>
        <v/>
      </c>
      <c r="H340" s="7">
        <f>IFERROR(IF(OR(E340="",INDEX(E:E,MATCH(DATE(YEAR($A340)-1,MONTH($A340),DAY($A340)),$A:$A,0))=""),"",E340/INDEX(E:E,MATCH(DATE(YEAR($A340)-1,MONTH($A340),DAY($A340)),$A:$A,0))-1),"")</f>
        <v/>
      </c>
      <c r="I340" s="7">
        <f>IFERROR(IF(OR(F340="",INDEX(F:F,MATCH(DATE(YEAR($A340)-1,MONTH($A340),DAY($A340)),$A:$A,0))=""),"",F340/INDEX(F:F,MATCH(DATE(YEAR($A340)-1,MONTH($A340),DAY($A340)),$A:$A,0))-1),"")</f>
        <v/>
      </c>
      <c r="J340" s="7">
        <f>IFERROR(IF(OR(G340="",INDEX(G:G,MATCH(DATE(YEAR($A340)-1,MONTH($A340),DAY($A340)),$A:$A,0))=""),"",G340/INDEX(G:G,MATCH(DATE(YEAR($A340)-1,MONTH($A340),DAY($A340)),$A:$A,0))-1),"")</f>
        <v/>
      </c>
      <c r="K340" s="7">
        <f>IF(OR(E340="",E339=""),"",E340/E339-1)</f>
        <v/>
      </c>
      <c r="L340" s="7">
        <f>IF(OR(F340="",F339=""),"",F340/F339-1)</f>
        <v/>
      </c>
      <c r="M340" s="7">
        <f>IF(OR(G340="",G339=""),"",G340/G339-1)</f>
        <v/>
      </c>
      <c r="N340" s="7">
        <f>IF(G340="","",E340/G340)</f>
        <v/>
      </c>
      <c r="O340" s="7">
        <f>IF(G340="","",F340/G340)</f>
        <v/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4">
        <f>IF(SUMIFS('Daily NSE Equity Cash'!$H:$H,'Daily NSE Equity Cash'!$A:$A,$A341)=0,"",SUMIFS('Daily NSE Equity Cash'!$H:$H,'Daily NSE Equity Cash'!$A:$A,$A341))</f>
        <v/>
      </c>
      <c r="F341" s="4">
        <f>IF(SUMIFS('Daily BSE Equity Cash'!$H:$H,'Daily BSE Equity Cash'!$A:$A,$A341)=0,"",SUMIFS('Daily BSE Equity Cash'!$H:$H,'Daily BSE Equity Cash'!$A:$A,$A341))</f>
        <v/>
      </c>
      <c r="G341" s="4">
        <f>IF(OR(E341="",F341=""),"",E341+F341)</f>
        <v/>
      </c>
      <c r="H341" s="7">
        <f>IFERROR(IF(OR(E341="",INDEX(E:E,MATCH(DATE(YEAR($A341)-1,MONTH($A341),DAY($A341)),$A:$A,0))=""),"",E341/INDEX(E:E,MATCH(DATE(YEAR($A341)-1,MONTH($A341),DAY($A341)),$A:$A,0))-1),"")</f>
        <v/>
      </c>
      <c r="I341" s="7">
        <f>IFERROR(IF(OR(F341="",INDEX(F:F,MATCH(DATE(YEAR($A341)-1,MONTH($A341),DAY($A341)),$A:$A,0))=""),"",F341/INDEX(F:F,MATCH(DATE(YEAR($A341)-1,MONTH($A341),DAY($A341)),$A:$A,0))-1),"")</f>
        <v/>
      </c>
      <c r="J341" s="7">
        <f>IFERROR(IF(OR(G341="",INDEX(G:G,MATCH(DATE(YEAR($A341)-1,MONTH($A341),DAY($A341)),$A:$A,0))=""),"",G341/INDEX(G:G,MATCH(DATE(YEAR($A341)-1,MONTH($A341),DAY($A341)),$A:$A,0))-1),"")</f>
        <v/>
      </c>
      <c r="K341" s="7">
        <f>IF(OR(E341="",E340=""),"",E341/E340-1)</f>
        <v/>
      </c>
      <c r="L341" s="7">
        <f>IF(OR(F341="",F340=""),"",F341/F340-1)</f>
        <v/>
      </c>
      <c r="M341" s="7">
        <f>IF(OR(G341="",G340=""),"",G341/G340-1)</f>
        <v/>
      </c>
      <c r="N341" s="7">
        <f>IF(G341="","",E341/G341)</f>
        <v/>
      </c>
      <c r="O341" s="7">
        <f>IF(G341="","",F341/G341)</f>
        <v/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4">
        <f>IF(SUMIFS('Daily NSE Equity Cash'!$H:$H,'Daily NSE Equity Cash'!$A:$A,$A342)=0,"",SUMIFS('Daily NSE Equity Cash'!$H:$H,'Daily NSE Equity Cash'!$A:$A,$A342))</f>
        <v/>
      </c>
      <c r="F342" s="4">
        <f>IF(SUMIFS('Daily BSE Equity Cash'!$H:$H,'Daily BSE Equity Cash'!$A:$A,$A342)=0,"",SUMIFS('Daily BSE Equity Cash'!$H:$H,'Daily BSE Equity Cash'!$A:$A,$A342))</f>
        <v/>
      </c>
      <c r="G342" s="4">
        <f>IF(OR(E342="",F342=""),"",E342+F342)</f>
        <v/>
      </c>
      <c r="H342" s="7">
        <f>IFERROR(IF(OR(E342="",INDEX(E:E,MATCH(DATE(YEAR($A342)-1,MONTH($A342),DAY($A342)),$A:$A,0))=""),"",E342/INDEX(E:E,MATCH(DATE(YEAR($A342)-1,MONTH($A342),DAY($A342)),$A:$A,0))-1),"")</f>
        <v/>
      </c>
      <c r="I342" s="7">
        <f>IFERROR(IF(OR(F342="",INDEX(F:F,MATCH(DATE(YEAR($A342)-1,MONTH($A342),DAY($A342)),$A:$A,0))=""),"",F342/INDEX(F:F,MATCH(DATE(YEAR($A342)-1,MONTH($A342),DAY($A342)),$A:$A,0))-1),"")</f>
        <v/>
      </c>
      <c r="J342" s="7">
        <f>IFERROR(IF(OR(G342="",INDEX(G:G,MATCH(DATE(YEAR($A342)-1,MONTH($A342),DAY($A342)),$A:$A,0))=""),"",G342/INDEX(G:G,MATCH(DATE(YEAR($A342)-1,MONTH($A342),DAY($A342)),$A:$A,0))-1),"")</f>
        <v/>
      </c>
      <c r="K342" s="7">
        <f>IF(OR(E342="",E341=""),"",E342/E341-1)</f>
        <v/>
      </c>
      <c r="L342" s="7">
        <f>IF(OR(F342="",F341=""),"",F342/F341-1)</f>
        <v/>
      </c>
      <c r="M342" s="7">
        <f>IF(OR(G342="",G341=""),"",G342/G341-1)</f>
        <v/>
      </c>
      <c r="N342" s="7">
        <f>IF(G342="","",E342/G342)</f>
        <v/>
      </c>
      <c r="O342" s="7">
        <f>IF(G342="","",F342/G342)</f>
        <v/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4">
        <f>IF(SUMIFS('Daily NSE Equity Cash'!$H:$H,'Daily NSE Equity Cash'!$A:$A,$A343)=0,"",SUMIFS('Daily NSE Equity Cash'!$H:$H,'Daily NSE Equity Cash'!$A:$A,$A343))</f>
        <v/>
      </c>
      <c r="F343" s="4">
        <f>IF(SUMIFS('Daily BSE Equity Cash'!$H:$H,'Daily BSE Equity Cash'!$A:$A,$A343)=0,"",SUMIFS('Daily BSE Equity Cash'!$H:$H,'Daily BSE Equity Cash'!$A:$A,$A343))</f>
        <v/>
      </c>
      <c r="G343" s="4">
        <f>IF(OR(E343="",F343=""),"",E343+F343)</f>
        <v/>
      </c>
      <c r="H343" s="7">
        <f>IFERROR(IF(OR(E343="",INDEX(E:E,MATCH(DATE(YEAR($A343)-1,MONTH($A343),DAY($A343)),$A:$A,0))=""),"",E343/INDEX(E:E,MATCH(DATE(YEAR($A343)-1,MONTH($A343),DAY($A343)),$A:$A,0))-1),"")</f>
        <v/>
      </c>
      <c r="I343" s="7">
        <f>IFERROR(IF(OR(F343="",INDEX(F:F,MATCH(DATE(YEAR($A343)-1,MONTH($A343),DAY($A343)),$A:$A,0))=""),"",F343/INDEX(F:F,MATCH(DATE(YEAR($A343)-1,MONTH($A343),DAY($A343)),$A:$A,0))-1),"")</f>
        <v/>
      </c>
      <c r="J343" s="7">
        <f>IFERROR(IF(OR(G343="",INDEX(G:G,MATCH(DATE(YEAR($A343)-1,MONTH($A343),DAY($A343)),$A:$A,0))=""),"",G343/INDEX(G:G,MATCH(DATE(YEAR($A343)-1,MONTH($A343),DAY($A343)),$A:$A,0))-1),"")</f>
        <v/>
      </c>
      <c r="K343" s="7">
        <f>IF(OR(E343="",E342=""),"",E343/E342-1)</f>
        <v/>
      </c>
      <c r="L343" s="7">
        <f>IF(OR(F343="",F342=""),"",F343/F342-1)</f>
        <v/>
      </c>
      <c r="M343" s="7">
        <f>IF(OR(G343="",G342=""),"",G343/G342-1)</f>
        <v/>
      </c>
      <c r="N343" s="7">
        <f>IF(G343="","",E343/G343)</f>
        <v/>
      </c>
      <c r="O343" s="7">
        <f>IF(G343="","",F343/G343)</f>
        <v/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4">
        <f>IF(SUMIFS('Daily NSE Equity Cash'!$H:$H,'Daily NSE Equity Cash'!$A:$A,$A344)=0,"",SUMIFS('Daily NSE Equity Cash'!$H:$H,'Daily NSE Equity Cash'!$A:$A,$A344))</f>
        <v/>
      </c>
      <c r="F344" s="4">
        <f>IF(SUMIFS('Daily BSE Equity Cash'!$H:$H,'Daily BSE Equity Cash'!$A:$A,$A344)=0,"",SUMIFS('Daily BSE Equity Cash'!$H:$H,'Daily BSE Equity Cash'!$A:$A,$A344))</f>
        <v/>
      </c>
      <c r="G344" s="4">
        <f>IF(OR(E344="",F344=""),"",E344+F344)</f>
        <v/>
      </c>
      <c r="H344" s="7">
        <f>IFERROR(IF(OR(E344="",INDEX(E:E,MATCH(DATE(YEAR($A344)-1,MONTH($A344),DAY($A344)),$A:$A,0))=""),"",E344/INDEX(E:E,MATCH(DATE(YEAR($A344)-1,MONTH($A344),DAY($A344)),$A:$A,0))-1),"")</f>
        <v/>
      </c>
      <c r="I344" s="7">
        <f>IFERROR(IF(OR(F344="",INDEX(F:F,MATCH(DATE(YEAR($A344)-1,MONTH($A344),DAY($A344)),$A:$A,0))=""),"",F344/INDEX(F:F,MATCH(DATE(YEAR($A344)-1,MONTH($A344),DAY($A344)),$A:$A,0))-1),"")</f>
        <v/>
      </c>
      <c r="J344" s="7">
        <f>IFERROR(IF(OR(G344="",INDEX(G:G,MATCH(DATE(YEAR($A344)-1,MONTH($A344),DAY($A344)),$A:$A,0))=""),"",G344/INDEX(G:G,MATCH(DATE(YEAR($A344)-1,MONTH($A344),DAY($A344)),$A:$A,0))-1),"")</f>
        <v/>
      </c>
      <c r="K344" s="7">
        <f>IF(OR(E344="",E343=""),"",E344/E343-1)</f>
        <v/>
      </c>
      <c r="L344" s="7">
        <f>IF(OR(F344="",F343=""),"",F344/F343-1)</f>
        <v/>
      </c>
      <c r="M344" s="7">
        <f>IF(OR(G344="",G343=""),"",G344/G343-1)</f>
        <v/>
      </c>
      <c r="N344" s="7">
        <f>IF(G344="","",E344/G344)</f>
        <v/>
      </c>
      <c r="O344" s="7">
        <f>IF(G344="","",F344/G344)</f>
        <v/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4">
        <f>IF(SUMIFS('Daily NSE Equity Cash'!$H:$H,'Daily NSE Equity Cash'!$A:$A,$A345)=0,"",SUMIFS('Daily NSE Equity Cash'!$H:$H,'Daily NSE Equity Cash'!$A:$A,$A345))</f>
        <v/>
      </c>
      <c r="F345" s="4">
        <f>IF(SUMIFS('Daily BSE Equity Cash'!$H:$H,'Daily BSE Equity Cash'!$A:$A,$A345)=0,"",SUMIFS('Daily BSE Equity Cash'!$H:$H,'Daily BSE Equity Cash'!$A:$A,$A345))</f>
        <v/>
      </c>
      <c r="G345" s="4">
        <f>IF(OR(E345="",F345=""),"",E345+F345)</f>
        <v/>
      </c>
      <c r="H345" s="7">
        <f>IFERROR(IF(OR(E345="",INDEX(E:E,MATCH(DATE(YEAR($A345)-1,MONTH($A345),DAY($A345)),$A:$A,0))=""),"",E345/INDEX(E:E,MATCH(DATE(YEAR($A345)-1,MONTH($A345),DAY($A345)),$A:$A,0))-1),"")</f>
        <v/>
      </c>
      <c r="I345" s="7">
        <f>IFERROR(IF(OR(F345="",INDEX(F:F,MATCH(DATE(YEAR($A345)-1,MONTH($A345),DAY($A345)),$A:$A,0))=""),"",F345/INDEX(F:F,MATCH(DATE(YEAR($A345)-1,MONTH($A345),DAY($A345)),$A:$A,0))-1),"")</f>
        <v/>
      </c>
      <c r="J345" s="7">
        <f>IFERROR(IF(OR(G345="",INDEX(G:G,MATCH(DATE(YEAR($A345)-1,MONTH($A345),DAY($A345)),$A:$A,0))=""),"",G345/INDEX(G:G,MATCH(DATE(YEAR($A345)-1,MONTH($A345),DAY($A345)),$A:$A,0))-1),"")</f>
        <v/>
      </c>
      <c r="K345" s="7">
        <f>IF(OR(E345="",E344=""),"",E345/E344-1)</f>
        <v/>
      </c>
      <c r="L345" s="7">
        <f>IF(OR(F345="",F344=""),"",F345/F344-1)</f>
        <v/>
      </c>
      <c r="M345" s="7">
        <f>IF(OR(G345="",G344=""),"",G345/G344-1)</f>
        <v/>
      </c>
      <c r="N345" s="7">
        <f>IF(G345="","",E345/G345)</f>
        <v/>
      </c>
      <c r="O345" s="7">
        <f>IF(G345="","",F345/G345)</f>
        <v/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4">
        <f>IF(SUMIFS('Daily NSE Equity Cash'!$H:$H,'Daily NSE Equity Cash'!$A:$A,$A346)=0,"",SUMIFS('Daily NSE Equity Cash'!$H:$H,'Daily NSE Equity Cash'!$A:$A,$A346))</f>
        <v/>
      </c>
      <c r="F346" s="4">
        <f>IF(SUMIFS('Daily BSE Equity Cash'!$H:$H,'Daily BSE Equity Cash'!$A:$A,$A346)=0,"",SUMIFS('Daily BSE Equity Cash'!$H:$H,'Daily BSE Equity Cash'!$A:$A,$A346))</f>
        <v/>
      </c>
      <c r="G346" s="4">
        <f>IF(OR(E346="",F346=""),"",E346+F346)</f>
        <v/>
      </c>
      <c r="H346" s="7">
        <f>IFERROR(IF(OR(E346="",INDEX(E:E,MATCH(DATE(YEAR($A346)-1,MONTH($A346),DAY($A346)),$A:$A,0))=""),"",E346/INDEX(E:E,MATCH(DATE(YEAR($A346)-1,MONTH($A346),DAY($A346)),$A:$A,0))-1),"")</f>
        <v/>
      </c>
      <c r="I346" s="7">
        <f>IFERROR(IF(OR(F346="",INDEX(F:F,MATCH(DATE(YEAR($A346)-1,MONTH($A346),DAY($A346)),$A:$A,0))=""),"",F346/INDEX(F:F,MATCH(DATE(YEAR($A346)-1,MONTH($A346),DAY($A346)),$A:$A,0))-1),"")</f>
        <v/>
      </c>
      <c r="J346" s="7">
        <f>IFERROR(IF(OR(G346="",INDEX(G:G,MATCH(DATE(YEAR($A346)-1,MONTH($A346),DAY($A346)),$A:$A,0))=""),"",G346/INDEX(G:G,MATCH(DATE(YEAR($A346)-1,MONTH($A346),DAY($A346)),$A:$A,0))-1),"")</f>
        <v/>
      </c>
      <c r="K346" s="7">
        <f>IF(OR(E346="",E345=""),"",E346/E345-1)</f>
        <v/>
      </c>
      <c r="L346" s="7">
        <f>IF(OR(F346="",F345=""),"",F346/F345-1)</f>
        <v/>
      </c>
      <c r="M346" s="7">
        <f>IF(OR(G346="",G345=""),"",G346/G345-1)</f>
        <v/>
      </c>
      <c r="N346" s="7">
        <f>IF(G346="","",E346/G346)</f>
        <v/>
      </c>
      <c r="O346" s="7">
        <f>IF(G346="","",F346/G346)</f>
        <v/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4">
        <f>IF(SUMIFS('Daily NSE Equity Cash'!$H:$H,'Daily NSE Equity Cash'!$A:$A,$A347)=0,"",SUMIFS('Daily NSE Equity Cash'!$H:$H,'Daily NSE Equity Cash'!$A:$A,$A347))</f>
        <v/>
      </c>
      <c r="F347" s="4">
        <f>IF(SUMIFS('Daily BSE Equity Cash'!$H:$H,'Daily BSE Equity Cash'!$A:$A,$A347)=0,"",SUMIFS('Daily BSE Equity Cash'!$H:$H,'Daily BSE Equity Cash'!$A:$A,$A347))</f>
        <v/>
      </c>
      <c r="G347" s="4">
        <f>IF(OR(E347="",F347=""),"",E347+F347)</f>
        <v/>
      </c>
      <c r="H347" s="7">
        <f>IFERROR(IF(OR(E347="",INDEX(E:E,MATCH(DATE(YEAR($A347)-1,MONTH($A347),DAY($A347)),$A:$A,0))=""),"",E347/INDEX(E:E,MATCH(DATE(YEAR($A347)-1,MONTH($A347),DAY($A347)),$A:$A,0))-1),"")</f>
        <v/>
      </c>
      <c r="I347" s="7">
        <f>IFERROR(IF(OR(F347="",INDEX(F:F,MATCH(DATE(YEAR($A347)-1,MONTH($A347),DAY($A347)),$A:$A,0))=""),"",F347/INDEX(F:F,MATCH(DATE(YEAR($A347)-1,MONTH($A347),DAY($A347)),$A:$A,0))-1),"")</f>
        <v/>
      </c>
      <c r="J347" s="7">
        <f>IFERROR(IF(OR(G347="",INDEX(G:G,MATCH(DATE(YEAR($A347)-1,MONTH($A347),DAY($A347)),$A:$A,0))=""),"",G347/INDEX(G:G,MATCH(DATE(YEAR($A347)-1,MONTH($A347),DAY($A347)),$A:$A,0))-1),"")</f>
        <v/>
      </c>
      <c r="K347" s="7">
        <f>IF(OR(E347="",E346=""),"",E347/E346-1)</f>
        <v/>
      </c>
      <c r="L347" s="7">
        <f>IF(OR(F347="",F346=""),"",F347/F346-1)</f>
        <v/>
      </c>
      <c r="M347" s="7">
        <f>IF(OR(G347="",G346=""),"",G347/G346-1)</f>
        <v/>
      </c>
      <c r="N347" s="7">
        <f>IF(G347="","",E347/G347)</f>
        <v/>
      </c>
      <c r="O347" s="7">
        <f>IF(G347="","",F347/G347)</f>
        <v/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4">
        <f>IF(SUMIFS('Daily NSE Equity Cash'!$H:$H,'Daily NSE Equity Cash'!$A:$A,$A348)=0,"",SUMIFS('Daily NSE Equity Cash'!$H:$H,'Daily NSE Equity Cash'!$A:$A,$A348))</f>
        <v/>
      </c>
      <c r="F348" s="4">
        <f>IF(SUMIFS('Daily BSE Equity Cash'!$H:$H,'Daily BSE Equity Cash'!$A:$A,$A348)=0,"",SUMIFS('Daily BSE Equity Cash'!$H:$H,'Daily BSE Equity Cash'!$A:$A,$A348))</f>
        <v/>
      </c>
      <c r="G348" s="4">
        <f>IF(OR(E348="",F348=""),"",E348+F348)</f>
        <v/>
      </c>
      <c r="H348" s="7">
        <f>IFERROR(IF(OR(E348="",INDEX(E:E,MATCH(DATE(YEAR($A348)-1,MONTH($A348),DAY($A348)),$A:$A,0))=""),"",E348/INDEX(E:E,MATCH(DATE(YEAR($A348)-1,MONTH($A348),DAY($A348)),$A:$A,0))-1),"")</f>
        <v/>
      </c>
      <c r="I348" s="7">
        <f>IFERROR(IF(OR(F348="",INDEX(F:F,MATCH(DATE(YEAR($A348)-1,MONTH($A348),DAY($A348)),$A:$A,0))=""),"",F348/INDEX(F:F,MATCH(DATE(YEAR($A348)-1,MONTH($A348),DAY($A348)),$A:$A,0))-1),"")</f>
        <v/>
      </c>
      <c r="J348" s="7">
        <f>IFERROR(IF(OR(G348="",INDEX(G:G,MATCH(DATE(YEAR($A348)-1,MONTH($A348),DAY($A348)),$A:$A,0))=""),"",G348/INDEX(G:G,MATCH(DATE(YEAR($A348)-1,MONTH($A348),DAY($A348)),$A:$A,0))-1),"")</f>
        <v/>
      </c>
      <c r="K348" s="7">
        <f>IF(OR(E348="",E347=""),"",E348/E347-1)</f>
        <v/>
      </c>
      <c r="L348" s="7">
        <f>IF(OR(F348="",F347=""),"",F348/F347-1)</f>
        <v/>
      </c>
      <c r="M348" s="7">
        <f>IF(OR(G348="",G347=""),"",G348/G347-1)</f>
        <v/>
      </c>
      <c r="N348" s="7">
        <f>IF(G348="","",E348/G348)</f>
        <v/>
      </c>
      <c r="O348" s="7">
        <f>IF(G348="","",F348/G348)</f>
        <v/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4">
        <f>IF(SUMIFS('Daily NSE Equity Cash'!$H:$H,'Daily NSE Equity Cash'!$A:$A,$A349)=0,"",SUMIFS('Daily NSE Equity Cash'!$H:$H,'Daily NSE Equity Cash'!$A:$A,$A349))</f>
        <v/>
      </c>
      <c r="F349" s="4">
        <f>IF(SUMIFS('Daily BSE Equity Cash'!$H:$H,'Daily BSE Equity Cash'!$A:$A,$A349)=0,"",SUMIFS('Daily BSE Equity Cash'!$H:$H,'Daily BSE Equity Cash'!$A:$A,$A349))</f>
        <v/>
      </c>
      <c r="G349" s="4">
        <f>IF(OR(E349="",F349=""),"",E349+F349)</f>
        <v/>
      </c>
      <c r="H349" s="7">
        <f>IFERROR(IF(OR(E349="",INDEX(E:E,MATCH(DATE(YEAR($A349)-1,MONTH($A349),DAY($A349)),$A:$A,0))=""),"",E349/INDEX(E:E,MATCH(DATE(YEAR($A349)-1,MONTH($A349),DAY($A349)),$A:$A,0))-1),"")</f>
        <v/>
      </c>
      <c r="I349" s="7">
        <f>IFERROR(IF(OR(F349="",INDEX(F:F,MATCH(DATE(YEAR($A349)-1,MONTH($A349),DAY($A349)),$A:$A,0))=""),"",F349/INDEX(F:F,MATCH(DATE(YEAR($A349)-1,MONTH($A349),DAY($A349)),$A:$A,0))-1),"")</f>
        <v/>
      </c>
      <c r="J349" s="7">
        <f>IFERROR(IF(OR(G349="",INDEX(G:G,MATCH(DATE(YEAR($A349)-1,MONTH($A349),DAY($A349)),$A:$A,0))=""),"",G349/INDEX(G:G,MATCH(DATE(YEAR($A349)-1,MONTH($A349),DAY($A349)),$A:$A,0))-1),"")</f>
        <v/>
      </c>
      <c r="K349" s="7">
        <f>IF(OR(E349="",E348=""),"",E349/E348-1)</f>
        <v/>
      </c>
      <c r="L349" s="7">
        <f>IF(OR(F349="",F348=""),"",F349/F348-1)</f>
        <v/>
      </c>
      <c r="M349" s="7">
        <f>IF(OR(G349="",G348=""),"",G349/G348-1)</f>
        <v/>
      </c>
      <c r="N349" s="7">
        <f>IF(G349="","",E349/G349)</f>
        <v/>
      </c>
      <c r="O349" s="7">
        <f>IF(G349="","",F349/G349)</f>
        <v/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4">
        <f>IF(SUMIFS('Daily NSE Equity Cash'!$H:$H,'Daily NSE Equity Cash'!$A:$A,$A350)=0,"",SUMIFS('Daily NSE Equity Cash'!$H:$H,'Daily NSE Equity Cash'!$A:$A,$A350))</f>
        <v/>
      </c>
      <c r="F350" s="4">
        <f>IF(SUMIFS('Daily BSE Equity Cash'!$H:$H,'Daily BSE Equity Cash'!$A:$A,$A350)=0,"",SUMIFS('Daily BSE Equity Cash'!$H:$H,'Daily BSE Equity Cash'!$A:$A,$A350))</f>
        <v/>
      </c>
      <c r="G350" s="4">
        <f>IF(OR(E350="",F350=""),"",E350+F350)</f>
        <v/>
      </c>
      <c r="H350" s="7">
        <f>IFERROR(IF(OR(E350="",INDEX(E:E,MATCH(DATE(YEAR($A350)-1,MONTH($A350),DAY($A350)),$A:$A,0))=""),"",E350/INDEX(E:E,MATCH(DATE(YEAR($A350)-1,MONTH($A350),DAY($A350)),$A:$A,0))-1),"")</f>
        <v/>
      </c>
      <c r="I350" s="7">
        <f>IFERROR(IF(OR(F350="",INDEX(F:F,MATCH(DATE(YEAR($A350)-1,MONTH($A350),DAY($A350)),$A:$A,0))=""),"",F350/INDEX(F:F,MATCH(DATE(YEAR($A350)-1,MONTH($A350),DAY($A350)),$A:$A,0))-1),"")</f>
        <v/>
      </c>
      <c r="J350" s="7">
        <f>IFERROR(IF(OR(G350="",INDEX(G:G,MATCH(DATE(YEAR($A350)-1,MONTH($A350),DAY($A350)),$A:$A,0))=""),"",G350/INDEX(G:G,MATCH(DATE(YEAR($A350)-1,MONTH($A350),DAY($A350)),$A:$A,0))-1),"")</f>
        <v/>
      </c>
      <c r="K350" s="7">
        <f>IF(OR(E350="",E349=""),"",E350/E349-1)</f>
        <v/>
      </c>
      <c r="L350" s="7">
        <f>IF(OR(F350="",F349=""),"",F350/F349-1)</f>
        <v/>
      </c>
      <c r="M350" s="7">
        <f>IF(OR(G350="",G349=""),"",G350/G349-1)</f>
        <v/>
      </c>
      <c r="N350" s="7">
        <f>IF(G350="","",E350/G350)</f>
        <v/>
      </c>
      <c r="O350" s="7">
        <f>IF(G350="","",F350/G350)</f>
        <v/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4">
        <f>IF(SUMIFS('Daily NSE Equity Cash'!$H:$H,'Daily NSE Equity Cash'!$A:$A,$A351)=0,"",SUMIFS('Daily NSE Equity Cash'!$H:$H,'Daily NSE Equity Cash'!$A:$A,$A351))</f>
        <v/>
      </c>
      <c r="F351" s="4">
        <f>IF(SUMIFS('Daily BSE Equity Cash'!$H:$H,'Daily BSE Equity Cash'!$A:$A,$A351)=0,"",SUMIFS('Daily BSE Equity Cash'!$H:$H,'Daily BSE Equity Cash'!$A:$A,$A351))</f>
        <v/>
      </c>
      <c r="G351" s="4">
        <f>IF(OR(E351="",F351=""),"",E351+F351)</f>
        <v/>
      </c>
      <c r="H351" s="7">
        <f>IFERROR(IF(OR(E351="",INDEX(E:E,MATCH(DATE(YEAR($A351)-1,MONTH($A351),DAY($A351)),$A:$A,0))=""),"",E351/INDEX(E:E,MATCH(DATE(YEAR($A351)-1,MONTH($A351),DAY($A351)),$A:$A,0))-1),"")</f>
        <v/>
      </c>
      <c r="I351" s="7">
        <f>IFERROR(IF(OR(F351="",INDEX(F:F,MATCH(DATE(YEAR($A351)-1,MONTH($A351),DAY($A351)),$A:$A,0))=""),"",F351/INDEX(F:F,MATCH(DATE(YEAR($A351)-1,MONTH($A351),DAY($A351)),$A:$A,0))-1),"")</f>
        <v/>
      </c>
      <c r="J351" s="7">
        <f>IFERROR(IF(OR(G351="",INDEX(G:G,MATCH(DATE(YEAR($A351)-1,MONTH($A351),DAY($A351)),$A:$A,0))=""),"",G351/INDEX(G:G,MATCH(DATE(YEAR($A351)-1,MONTH($A351),DAY($A351)),$A:$A,0))-1),"")</f>
        <v/>
      </c>
      <c r="K351" s="7">
        <f>IF(OR(E351="",E350=""),"",E351/E350-1)</f>
        <v/>
      </c>
      <c r="L351" s="7">
        <f>IF(OR(F351="",F350=""),"",F351/F350-1)</f>
        <v/>
      </c>
      <c r="M351" s="7">
        <f>IF(OR(G351="",G350=""),"",G351/G350-1)</f>
        <v/>
      </c>
      <c r="N351" s="7">
        <f>IF(G351="","",E351/G351)</f>
        <v/>
      </c>
      <c r="O351" s="7">
        <f>IF(G351="","",F351/G351)</f>
        <v/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4">
        <f>IF(SUMIFS('Daily NSE Equity Cash'!$H:$H,'Daily NSE Equity Cash'!$A:$A,$A352)=0,"",SUMIFS('Daily NSE Equity Cash'!$H:$H,'Daily NSE Equity Cash'!$A:$A,$A352))</f>
        <v/>
      </c>
      <c r="F352" s="4">
        <f>IF(SUMIFS('Daily BSE Equity Cash'!$H:$H,'Daily BSE Equity Cash'!$A:$A,$A352)=0,"",SUMIFS('Daily BSE Equity Cash'!$H:$H,'Daily BSE Equity Cash'!$A:$A,$A352))</f>
        <v/>
      </c>
      <c r="G352" s="4">
        <f>IF(OR(E352="",F352=""),"",E352+F352)</f>
        <v/>
      </c>
      <c r="H352" s="7">
        <f>IFERROR(IF(OR(E352="",INDEX(E:E,MATCH(DATE(YEAR($A352)-1,MONTH($A352),DAY($A352)),$A:$A,0))=""),"",E352/INDEX(E:E,MATCH(DATE(YEAR($A352)-1,MONTH($A352),DAY($A352)),$A:$A,0))-1),"")</f>
        <v/>
      </c>
      <c r="I352" s="7">
        <f>IFERROR(IF(OR(F352="",INDEX(F:F,MATCH(DATE(YEAR($A352)-1,MONTH($A352),DAY($A352)),$A:$A,0))=""),"",F352/INDEX(F:F,MATCH(DATE(YEAR($A352)-1,MONTH($A352),DAY($A352)),$A:$A,0))-1),"")</f>
        <v/>
      </c>
      <c r="J352" s="7">
        <f>IFERROR(IF(OR(G352="",INDEX(G:G,MATCH(DATE(YEAR($A352)-1,MONTH($A352),DAY($A352)),$A:$A,0))=""),"",G352/INDEX(G:G,MATCH(DATE(YEAR($A352)-1,MONTH($A352),DAY($A352)),$A:$A,0))-1),"")</f>
        <v/>
      </c>
      <c r="K352" s="7">
        <f>IF(OR(E352="",E351=""),"",E352/E351-1)</f>
        <v/>
      </c>
      <c r="L352" s="7">
        <f>IF(OR(F352="",F351=""),"",F352/F351-1)</f>
        <v/>
      </c>
      <c r="M352" s="7">
        <f>IF(OR(G352="",G351=""),"",G352/G351-1)</f>
        <v/>
      </c>
      <c r="N352" s="7">
        <f>IF(G352="","",E352/G352)</f>
        <v/>
      </c>
      <c r="O352" s="7">
        <f>IF(G352="","",F352/G352)</f>
        <v/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4">
        <f>IF(SUMIFS('Daily NSE Equity Cash'!$H:$H,'Daily NSE Equity Cash'!$A:$A,$A353)=0,"",SUMIFS('Daily NSE Equity Cash'!$H:$H,'Daily NSE Equity Cash'!$A:$A,$A353))</f>
        <v/>
      </c>
      <c r="F353" s="4">
        <f>IF(SUMIFS('Daily BSE Equity Cash'!$H:$H,'Daily BSE Equity Cash'!$A:$A,$A353)=0,"",SUMIFS('Daily BSE Equity Cash'!$H:$H,'Daily BSE Equity Cash'!$A:$A,$A353))</f>
        <v/>
      </c>
      <c r="G353" s="4">
        <f>IF(OR(E353="",F353=""),"",E353+F353)</f>
        <v/>
      </c>
      <c r="H353" s="7">
        <f>IFERROR(IF(OR(E353="",INDEX(E:E,MATCH(DATE(YEAR($A353)-1,MONTH($A353),DAY($A353)),$A:$A,0))=""),"",E353/INDEX(E:E,MATCH(DATE(YEAR($A353)-1,MONTH($A353),DAY($A353)),$A:$A,0))-1),"")</f>
        <v/>
      </c>
      <c r="I353" s="7">
        <f>IFERROR(IF(OR(F353="",INDEX(F:F,MATCH(DATE(YEAR($A353)-1,MONTH($A353),DAY($A353)),$A:$A,0))=""),"",F353/INDEX(F:F,MATCH(DATE(YEAR($A353)-1,MONTH($A353),DAY($A353)),$A:$A,0))-1),"")</f>
        <v/>
      </c>
      <c r="J353" s="7">
        <f>IFERROR(IF(OR(G353="",INDEX(G:G,MATCH(DATE(YEAR($A353)-1,MONTH($A353),DAY($A353)),$A:$A,0))=""),"",G353/INDEX(G:G,MATCH(DATE(YEAR($A353)-1,MONTH($A353),DAY($A353)),$A:$A,0))-1),"")</f>
        <v/>
      </c>
      <c r="K353" s="7">
        <f>IF(OR(E353="",E352=""),"",E353/E352-1)</f>
        <v/>
      </c>
      <c r="L353" s="7">
        <f>IF(OR(F353="",F352=""),"",F353/F352-1)</f>
        <v/>
      </c>
      <c r="M353" s="7">
        <f>IF(OR(G353="",G352=""),"",G353/G352-1)</f>
        <v/>
      </c>
      <c r="N353" s="7">
        <f>IF(G353="","",E353/G353)</f>
        <v/>
      </c>
      <c r="O353" s="7">
        <f>IF(G353="","",F353/G353)</f>
        <v/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4">
        <f>IF(SUMIFS('Daily NSE Equity Cash'!$H:$H,'Daily NSE Equity Cash'!$A:$A,$A354)=0,"",SUMIFS('Daily NSE Equity Cash'!$H:$H,'Daily NSE Equity Cash'!$A:$A,$A354))</f>
        <v/>
      </c>
      <c r="F354" s="4">
        <f>IF(SUMIFS('Daily BSE Equity Cash'!$H:$H,'Daily BSE Equity Cash'!$A:$A,$A354)=0,"",SUMIFS('Daily BSE Equity Cash'!$H:$H,'Daily BSE Equity Cash'!$A:$A,$A354))</f>
        <v/>
      </c>
      <c r="G354" s="4">
        <f>IF(OR(E354="",F354=""),"",E354+F354)</f>
        <v/>
      </c>
      <c r="H354" s="7">
        <f>IFERROR(IF(OR(E354="",INDEX(E:E,MATCH(DATE(YEAR($A354)-1,MONTH($A354),DAY($A354)),$A:$A,0))=""),"",E354/INDEX(E:E,MATCH(DATE(YEAR($A354)-1,MONTH($A354),DAY($A354)),$A:$A,0))-1),"")</f>
        <v/>
      </c>
      <c r="I354" s="7">
        <f>IFERROR(IF(OR(F354="",INDEX(F:F,MATCH(DATE(YEAR($A354)-1,MONTH($A354),DAY($A354)),$A:$A,0))=""),"",F354/INDEX(F:F,MATCH(DATE(YEAR($A354)-1,MONTH($A354),DAY($A354)),$A:$A,0))-1),"")</f>
        <v/>
      </c>
      <c r="J354" s="7">
        <f>IFERROR(IF(OR(G354="",INDEX(G:G,MATCH(DATE(YEAR($A354)-1,MONTH($A354),DAY($A354)),$A:$A,0))=""),"",G354/INDEX(G:G,MATCH(DATE(YEAR($A354)-1,MONTH($A354),DAY($A354)),$A:$A,0))-1),"")</f>
        <v/>
      </c>
      <c r="K354" s="7">
        <f>IF(OR(E354="",E353=""),"",E354/E353-1)</f>
        <v/>
      </c>
      <c r="L354" s="7">
        <f>IF(OR(F354="",F353=""),"",F354/F353-1)</f>
        <v/>
      </c>
      <c r="M354" s="7">
        <f>IF(OR(G354="",G353=""),"",G354/G353-1)</f>
        <v/>
      </c>
      <c r="N354" s="7">
        <f>IF(G354="","",E354/G354)</f>
        <v/>
      </c>
      <c r="O354" s="7">
        <f>IF(G354="","",F354/G354)</f>
        <v/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4">
        <f>IF(SUMIFS('Daily NSE Equity Cash'!$H:$H,'Daily NSE Equity Cash'!$A:$A,$A355)=0,"",SUMIFS('Daily NSE Equity Cash'!$H:$H,'Daily NSE Equity Cash'!$A:$A,$A355))</f>
        <v/>
      </c>
      <c r="F355" s="4">
        <f>IF(SUMIFS('Daily BSE Equity Cash'!$H:$H,'Daily BSE Equity Cash'!$A:$A,$A355)=0,"",SUMIFS('Daily BSE Equity Cash'!$H:$H,'Daily BSE Equity Cash'!$A:$A,$A355))</f>
        <v/>
      </c>
      <c r="G355" s="4">
        <f>IF(OR(E355="",F355=""),"",E355+F355)</f>
        <v/>
      </c>
      <c r="H355" s="7">
        <f>IFERROR(IF(OR(E355="",INDEX(E:E,MATCH(DATE(YEAR($A355)-1,MONTH($A355),DAY($A355)),$A:$A,0))=""),"",E355/INDEX(E:E,MATCH(DATE(YEAR($A355)-1,MONTH($A355),DAY($A355)),$A:$A,0))-1),"")</f>
        <v/>
      </c>
      <c r="I355" s="7">
        <f>IFERROR(IF(OR(F355="",INDEX(F:F,MATCH(DATE(YEAR($A355)-1,MONTH($A355),DAY($A355)),$A:$A,0))=""),"",F355/INDEX(F:F,MATCH(DATE(YEAR($A355)-1,MONTH($A355),DAY($A355)),$A:$A,0))-1),"")</f>
        <v/>
      </c>
      <c r="J355" s="7">
        <f>IFERROR(IF(OR(G355="",INDEX(G:G,MATCH(DATE(YEAR($A355)-1,MONTH($A355),DAY($A355)),$A:$A,0))=""),"",G355/INDEX(G:G,MATCH(DATE(YEAR($A355)-1,MONTH($A355),DAY($A355)),$A:$A,0))-1),"")</f>
        <v/>
      </c>
      <c r="K355" s="7">
        <f>IF(OR(E355="",E354=""),"",E355/E354-1)</f>
        <v/>
      </c>
      <c r="L355" s="7">
        <f>IF(OR(F355="",F354=""),"",F355/F354-1)</f>
        <v/>
      </c>
      <c r="M355" s="7">
        <f>IF(OR(G355="",G354=""),"",G355/G354-1)</f>
        <v/>
      </c>
      <c r="N355" s="7">
        <f>IF(G355="","",E355/G355)</f>
        <v/>
      </c>
      <c r="O355" s="7">
        <f>IF(G355="","",F355/G355)</f>
        <v/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4">
        <f>IF(SUMIFS('Daily NSE Equity Cash'!$H:$H,'Daily NSE Equity Cash'!$A:$A,$A356)=0,"",SUMIFS('Daily NSE Equity Cash'!$H:$H,'Daily NSE Equity Cash'!$A:$A,$A356))</f>
        <v/>
      </c>
      <c r="F356" s="4">
        <f>IF(SUMIFS('Daily BSE Equity Cash'!$H:$H,'Daily BSE Equity Cash'!$A:$A,$A356)=0,"",SUMIFS('Daily BSE Equity Cash'!$H:$H,'Daily BSE Equity Cash'!$A:$A,$A356))</f>
        <v/>
      </c>
      <c r="G356" s="4">
        <f>IF(OR(E356="",F356=""),"",E356+F356)</f>
        <v/>
      </c>
      <c r="H356" s="7">
        <f>IFERROR(IF(OR(E356="",INDEX(E:E,MATCH(DATE(YEAR($A356)-1,MONTH($A356),DAY($A356)),$A:$A,0))=""),"",E356/INDEX(E:E,MATCH(DATE(YEAR($A356)-1,MONTH($A356),DAY($A356)),$A:$A,0))-1),"")</f>
        <v/>
      </c>
      <c r="I356" s="7">
        <f>IFERROR(IF(OR(F356="",INDEX(F:F,MATCH(DATE(YEAR($A356)-1,MONTH($A356),DAY($A356)),$A:$A,0))=""),"",F356/INDEX(F:F,MATCH(DATE(YEAR($A356)-1,MONTH($A356),DAY($A356)),$A:$A,0))-1),"")</f>
        <v/>
      </c>
      <c r="J356" s="7">
        <f>IFERROR(IF(OR(G356="",INDEX(G:G,MATCH(DATE(YEAR($A356)-1,MONTH($A356),DAY($A356)),$A:$A,0))=""),"",G356/INDEX(G:G,MATCH(DATE(YEAR($A356)-1,MONTH($A356),DAY($A356)),$A:$A,0))-1),"")</f>
        <v/>
      </c>
      <c r="K356" s="7">
        <f>IF(OR(E356="",E355=""),"",E356/E355-1)</f>
        <v/>
      </c>
      <c r="L356" s="7">
        <f>IF(OR(F356="",F355=""),"",F356/F355-1)</f>
        <v/>
      </c>
      <c r="M356" s="7">
        <f>IF(OR(G356="",G355=""),"",G356/G355-1)</f>
        <v/>
      </c>
      <c r="N356" s="7">
        <f>IF(G356="","",E356/G356)</f>
        <v/>
      </c>
      <c r="O356" s="7">
        <f>IF(G356="","",F356/G356)</f>
        <v/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4">
        <f>IF(SUMIFS('Daily NSE Equity Cash'!$H:$H,'Daily NSE Equity Cash'!$A:$A,$A357)=0,"",SUMIFS('Daily NSE Equity Cash'!$H:$H,'Daily NSE Equity Cash'!$A:$A,$A357))</f>
        <v/>
      </c>
      <c r="F357" s="4">
        <f>IF(SUMIFS('Daily BSE Equity Cash'!$H:$H,'Daily BSE Equity Cash'!$A:$A,$A357)=0,"",SUMIFS('Daily BSE Equity Cash'!$H:$H,'Daily BSE Equity Cash'!$A:$A,$A357))</f>
        <v/>
      </c>
      <c r="G357" s="4">
        <f>IF(OR(E357="",F357=""),"",E357+F357)</f>
        <v/>
      </c>
      <c r="H357" s="7">
        <f>IFERROR(IF(OR(E357="",INDEX(E:E,MATCH(DATE(YEAR($A357)-1,MONTH($A357),DAY($A357)),$A:$A,0))=""),"",E357/INDEX(E:E,MATCH(DATE(YEAR($A357)-1,MONTH($A357),DAY($A357)),$A:$A,0))-1),"")</f>
        <v/>
      </c>
      <c r="I357" s="7">
        <f>IFERROR(IF(OR(F357="",INDEX(F:F,MATCH(DATE(YEAR($A357)-1,MONTH($A357),DAY($A357)),$A:$A,0))=""),"",F357/INDEX(F:F,MATCH(DATE(YEAR($A357)-1,MONTH($A357),DAY($A357)),$A:$A,0))-1),"")</f>
        <v/>
      </c>
      <c r="J357" s="7">
        <f>IFERROR(IF(OR(G357="",INDEX(G:G,MATCH(DATE(YEAR($A357)-1,MONTH($A357),DAY($A357)),$A:$A,0))=""),"",G357/INDEX(G:G,MATCH(DATE(YEAR($A357)-1,MONTH($A357),DAY($A357)),$A:$A,0))-1),"")</f>
        <v/>
      </c>
      <c r="K357" s="7">
        <f>IF(OR(E357="",E356=""),"",E357/E356-1)</f>
        <v/>
      </c>
      <c r="L357" s="7">
        <f>IF(OR(F357="",F356=""),"",F357/F356-1)</f>
        <v/>
      </c>
      <c r="M357" s="7">
        <f>IF(OR(G357="",G356=""),"",G357/G356-1)</f>
        <v/>
      </c>
      <c r="N357" s="7">
        <f>IF(G357="","",E357/G357)</f>
        <v/>
      </c>
      <c r="O357" s="7">
        <f>IF(G357="","",F357/G357)</f>
        <v/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4">
        <f>IF(SUMIFS('Daily NSE Equity Cash'!$H:$H,'Daily NSE Equity Cash'!$A:$A,$A358)=0,"",SUMIFS('Daily NSE Equity Cash'!$H:$H,'Daily NSE Equity Cash'!$A:$A,$A358))</f>
        <v/>
      </c>
      <c r="F358" s="4">
        <f>IF(SUMIFS('Daily BSE Equity Cash'!$H:$H,'Daily BSE Equity Cash'!$A:$A,$A358)=0,"",SUMIFS('Daily BSE Equity Cash'!$H:$H,'Daily BSE Equity Cash'!$A:$A,$A358))</f>
        <v/>
      </c>
      <c r="G358" s="4">
        <f>IF(OR(E358="",F358=""),"",E358+F358)</f>
        <v/>
      </c>
      <c r="H358" s="7">
        <f>IFERROR(IF(OR(E358="",INDEX(E:E,MATCH(DATE(YEAR($A358)-1,MONTH($A358),DAY($A358)),$A:$A,0))=""),"",E358/INDEX(E:E,MATCH(DATE(YEAR($A358)-1,MONTH($A358),DAY($A358)),$A:$A,0))-1),"")</f>
        <v/>
      </c>
      <c r="I358" s="7">
        <f>IFERROR(IF(OR(F358="",INDEX(F:F,MATCH(DATE(YEAR($A358)-1,MONTH($A358),DAY($A358)),$A:$A,0))=""),"",F358/INDEX(F:F,MATCH(DATE(YEAR($A358)-1,MONTH($A358),DAY($A358)),$A:$A,0))-1),"")</f>
        <v/>
      </c>
      <c r="J358" s="7">
        <f>IFERROR(IF(OR(G358="",INDEX(G:G,MATCH(DATE(YEAR($A358)-1,MONTH($A358),DAY($A358)),$A:$A,0))=""),"",G358/INDEX(G:G,MATCH(DATE(YEAR($A358)-1,MONTH($A358),DAY($A358)),$A:$A,0))-1),"")</f>
        <v/>
      </c>
      <c r="K358" s="7">
        <f>IF(OR(E358="",E357=""),"",E358/E357-1)</f>
        <v/>
      </c>
      <c r="L358" s="7">
        <f>IF(OR(F358="",F357=""),"",F358/F357-1)</f>
        <v/>
      </c>
      <c r="M358" s="7">
        <f>IF(OR(G358="",G357=""),"",G358/G357-1)</f>
        <v/>
      </c>
      <c r="N358" s="7">
        <f>IF(G358="","",E358/G358)</f>
        <v/>
      </c>
      <c r="O358" s="7">
        <f>IF(G358="","",F358/G358)</f>
        <v/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4">
        <f>IF(SUMIFS('Daily NSE Equity Cash'!$H:$H,'Daily NSE Equity Cash'!$A:$A,$A359)=0,"",SUMIFS('Daily NSE Equity Cash'!$H:$H,'Daily NSE Equity Cash'!$A:$A,$A359))</f>
        <v/>
      </c>
      <c r="F359" s="4">
        <f>IF(SUMIFS('Daily BSE Equity Cash'!$H:$H,'Daily BSE Equity Cash'!$A:$A,$A359)=0,"",SUMIFS('Daily BSE Equity Cash'!$H:$H,'Daily BSE Equity Cash'!$A:$A,$A359))</f>
        <v/>
      </c>
      <c r="G359" s="4">
        <f>IF(OR(E359="",F359=""),"",E359+F359)</f>
        <v/>
      </c>
      <c r="H359" s="7">
        <f>IFERROR(IF(OR(E359="",INDEX(E:E,MATCH(DATE(YEAR($A359)-1,MONTH($A359),DAY($A359)),$A:$A,0))=""),"",E359/INDEX(E:E,MATCH(DATE(YEAR($A359)-1,MONTH($A359),DAY($A359)),$A:$A,0))-1),"")</f>
        <v/>
      </c>
      <c r="I359" s="7">
        <f>IFERROR(IF(OR(F359="",INDEX(F:F,MATCH(DATE(YEAR($A359)-1,MONTH($A359),DAY($A359)),$A:$A,0))=""),"",F359/INDEX(F:F,MATCH(DATE(YEAR($A359)-1,MONTH($A359),DAY($A359)),$A:$A,0))-1),"")</f>
        <v/>
      </c>
      <c r="J359" s="7">
        <f>IFERROR(IF(OR(G359="",INDEX(G:G,MATCH(DATE(YEAR($A359)-1,MONTH($A359),DAY($A359)),$A:$A,0))=""),"",G359/INDEX(G:G,MATCH(DATE(YEAR($A359)-1,MONTH($A359),DAY($A359)),$A:$A,0))-1),"")</f>
        <v/>
      </c>
      <c r="K359" s="7">
        <f>IF(OR(E359="",E358=""),"",E359/E358-1)</f>
        <v/>
      </c>
      <c r="L359" s="7">
        <f>IF(OR(F359="",F358=""),"",F359/F358-1)</f>
        <v/>
      </c>
      <c r="M359" s="7">
        <f>IF(OR(G359="",G358=""),"",G359/G358-1)</f>
        <v/>
      </c>
      <c r="N359" s="7">
        <f>IF(G359="","",E359/G359)</f>
        <v/>
      </c>
      <c r="O359" s="7">
        <f>IF(G359="","",F359/G359)</f>
        <v/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4">
        <f>IF(SUMIFS('Daily NSE Equity Cash'!$H:$H,'Daily NSE Equity Cash'!$A:$A,$A360)=0,"",SUMIFS('Daily NSE Equity Cash'!$H:$H,'Daily NSE Equity Cash'!$A:$A,$A360))</f>
        <v/>
      </c>
      <c r="F360" s="4">
        <f>IF(SUMIFS('Daily BSE Equity Cash'!$H:$H,'Daily BSE Equity Cash'!$A:$A,$A360)=0,"",SUMIFS('Daily BSE Equity Cash'!$H:$H,'Daily BSE Equity Cash'!$A:$A,$A360))</f>
        <v/>
      </c>
      <c r="G360" s="4">
        <f>IF(OR(E360="",F360=""),"",E360+F360)</f>
        <v/>
      </c>
      <c r="H360" s="7">
        <f>IFERROR(IF(OR(E360="",INDEX(E:E,MATCH(DATE(YEAR($A360)-1,MONTH($A360),DAY($A360)),$A:$A,0))=""),"",E360/INDEX(E:E,MATCH(DATE(YEAR($A360)-1,MONTH($A360),DAY($A360)),$A:$A,0))-1),"")</f>
        <v/>
      </c>
      <c r="I360" s="7">
        <f>IFERROR(IF(OR(F360="",INDEX(F:F,MATCH(DATE(YEAR($A360)-1,MONTH($A360),DAY($A360)),$A:$A,0))=""),"",F360/INDEX(F:F,MATCH(DATE(YEAR($A360)-1,MONTH($A360),DAY($A360)),$A:$A,0))-1),"")</f>
        <v/>
      </c>
      <c r="J360" s="7">
        <f>IFERROR(IF(OR(G360="",INDEX(G:G,MATCH(DATE(YEAR($A360)-1,MONTH($A360),DAY($A360)),$A:$A,0))=""),"",G360/INDEX(G:G,MATCH(DATE(YEAR($A360)-1,MONTH($A360),DAY($A360)),$A:$A,0))-1),"")</f>
        <v/>
      </c>
      <c r="K360" s="7">
        <f>IF(OR(E360="",E359=""),"",E360/E359-1)</f>
        <v/>
      </c>
      <c r="L360" s="7">
        <f>IF(OR(F360="",F359=""),"",F360/F359-1)</f>
        <v/>
      </c>
      <c r="M360" s="7">
        <f>IF(OR(G360="",G359=""),"",G360/G359-1)</f>
        <v/>
      </c>
      <c r="N360" s="7">
        <f>IF(G360="","",E360/G360)</f>
        <v/>
      </c>
      <c r="O360" s="7">
        <f>IF(G360="","",F360/G360)</f>
        <v/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4">
        <f>IF(SUMIFS('Daily NSE Equity Cash'!$H:$H,'Daily NSE Equity Cash'!$A:$A,$A361)=0,"",SUMIFS('Daily NSE Equity Cash'!$H:$H,'Daily NSE Equity Cash'!$A:$A,$A361))</f>
        <v/>
      </c>
      <c r="F361" s="4">
        <f>IF(SUMIFS('Daily BSE Equity Cash'!$H:$H,'Daily BSE Equity Cash'!$A:$A,$A361)=0,"",SUMIFS('Daily BSE Equity Cash'!$H:$H,'Daily BSE Equity Cash'!$A:$A,$A361))</f>
        <v/>
      </c>
      <c r="G361" s="4">
        <f>IF(OR(E361="",F361=""),"",E361+F361)</f>
        <v/>
      </c>
      <c r="H361" s="7">
        <f>IFERROR(IF(OR(E361="",INDEX(E:E,MATCH(DATE(YEAR($A361)-1,MONTH($A361),DAY($A361)),$A:$A,0))=""),"",E361/INDEX(E:E,MATCH(DATE(YEAR($A361)-1,MONTH($A361),DAY($A361)),$A:$A,0))-1),"")</f>
        <v/>
      </c>
      <c r="I361" s="7">
        <f>IFERROR(IF(OR(F361="",INDEX(F:F,MATCH(DATE(YEAR($A361)-1,MONTH($A361),DAY($A361)),$A:$A,0))=""),"",F361/INDEX(F:F,MATCH(DATE(YEAR($A361)-1,MONTH($A361),DAY($A361)),$A:$A,0))-1),"")</f>
        <v/>
      </c>
      <c r="J361" s="7">
        <f>IFERROR(IF(OR(G361="",INDEX(G:G,MATCH(DATE(YEAR($A361)-1,MONTH($A361),DAY($A361)),$A:$A,0))=""),"",G361/INDEX(G:G,MATCH(DATE(YEAR($A361)-1,MONTH($A361),DAY($A361)),$A:$A,0))-1),"")</f>
        <v/>
      </c>
      <c r="K361" s="7">
        <f>IF(OR(E361="",E360=""),"",E361/E360-1)</f>
        <v/>
      </c>
      <c r="L361" s="7">
        <f>IF(OR(F361="",F360=""),"",F361/F360-1)</f>
        <v/>
      </c>
      <c r="M361" s="7">
        <f>IF(OR(G361="",G360=""),"",G361/G360-1)</f>
        <v/>
      </c>
      <c r="N361" s="7">
        <f>IF(G361="","",E361/G361)</f>
        <v/>
      </c>
      <c r="O361" s="7">
        <f>IF(G361="","",F361/G361)</f>
        <v/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4">
        <f>IF(SUMIFS('Daily NSE Equity Cash'!$H:$H,'Daily NSE Equity Cash'!$A:$A,$A362)=0,"",SUMIFS('Daily NSE Equity Cash'!$H:$H,'Daily NSE Equity Cash'!$A:$A,$A362))</f>
        <v/>
      </c>
      <c r="F362" s="4">
        <f>IF(SUMIFS('Daily BSE Equity Cash'!$H:$H,'Daily BSE Equity Cash'!$A:$A,$A362)=0,"",SUMIFS('Daily BSE Equity Cash'!$H:$H,'Daily BSE Equity Cash'!$A:$A,$A362))</f>
        <v/>
      </c>
      <c r="G362" s="4">
        <f>IF(OR(E362="",F362=""),"",E362+F362)</f>
        <v/>
      </c>
      <c r="H362" s="7">
        <f>IFERROR(IF(OR(E362="",INDEX(E:E,MATCH(DATE(YEAR($A362)-1,MONTH($A362),DAY($A362)),$A:$A,0))=""),"",E362/INDEX(E:E,MATCH(DATE(YEAR($A362)-1,MONTH($A362),DAY($A362)),$A:$A,0))-1),"")</f>
        <v/>
      </c>
      <c r="I362" s="7">
        <f>IFERROR(IF(OR(F362="",INDEX(F:F,MATCH(DATE(YEAR($A362)-1,MONTH($A362),DAY($A362)),$A:$A,0))=""),"",F362/INDEX(F:F,MATCH(DATE(YEAR($A362)-1,MONTH($A362),DAY($A362)),$A:$A,0))-1),"")</f>
        <v/>
      </c>
      <c r="J362" s="7">
        <f>IFERROR(IF(OR(G362="",INDEX(G:G,MATCH(DATE(YEAR($A362)-1,MONTH($A362),DAY($A362)),$A:$A,0))=""),"",G362/INDEX(G:G,MATCH(DATE(YEAR($A362)-1,MONTH($A362),DAY($A362)),$A:$A,0))-1),"")</f>
        <v/>
      </c>
      <c r="K362" s="7">
        <f>IF(OR(E362="",E361=""),"",E362/E361-1)</f>
        <v/>
      </c>
      <c r="L362" s="7">
        <f>IF(OR(F362="",F361=""),"",F362/F361-1)</f>
        <v/>
      </c>
      <c r="M362" s="7">
        <f>IF(OR(G362="",G361=""),"",G362/G361-1)</f>
        <v/>
      </c>
      <c r="N362" s="7">
        <f>IF(G362="","",E362/G362)</f>
        <v/>
      </c>
      <c r="O362" s="7">
        <f>IF(G362="","",F362/G362)</f>
        <v/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4">
        <f>IF(SUMIFS('Daily NSE Equity Cash'!$H:$H,'Daily NSE Equity Cash'!$A:$A,$A363)=0,"",SUMIFS('Daily NSE Equity Cash'!$H:$H,'Daily NSE Equity Cash'!$A:$A,$A363))</f>
        <v/>
      </c>
      <c r="F363" s="4">
        <f>IF(SUMIFS('Daily BSE Equity Cash'!$H:$H,'Daily BSE Equity Cash'!$A:$A,$A363)=0,"",SUMIFS('Daily BSE Equity Cash'!$H:$H,'Daily BSE Equity Cash'!$A:$A,$A363))</f>
        <v/>
      </c>
      <c r="G363" s="4">
        <f>IF(OR(E363="",F363=""),"",E363+F363)</f>
        <v/>
      </c>
      <c r="H363" s="7">
        <f>IFERROR(IF(OR(E363="",INDEX(E:E,MATCH(DATE(YEAR($A363)-1,MONTH($A363),DAY($A363)),$A:$A,0))=""),"",E363/INDEX(E:E,MATCH(DATE(YEAR($A363)-1,MONTH($A363),DAY($A363)),$A:$A,0))-1),"")</f>
        <v/>
      </c>
      <c r="I363" s="7">
        <f>IFERROR(IF(OR(F363="",INDEX(F:F,MATCH(DATE(YEAR($A363)-1,MONTH($A363),DAY($A363)),$A:$A,0))=""),"",F363/INDEX(F:F,MATCH(DATE(YEAR($A363)-1,MONTH($A363),DAY($A363)),$A:$A,0))-1),"")</f>
        <v/>
      </c>
      <c r="J363" s="7">
        <f>IFERROR(IF(OR(G363="",INDEX(G:G,MATCH(DATE(YEAR($A363)-1,MONTH($A363),DAY($A363)),$A:$A,0))=""),"",G363/INDEX(G:G,MATCH(DATE(YEAR($A363)-1,MONTH($A363),DAY($A363)),$A:$A,0))-1),"")</f>
        <v/>
      </c>
      <c r="K363" s="7">
        <f>IF(OR(E363="",E362=""),"",E363/E362-1)</f>
        <v/>
      </c>
      <c r="L363" s="7">
        <f>IF(OR(F363="",F362=""),"",F363/F362-1)</f>
        <v/>
      </c>
      <c r="M363" s="7">
        <f>IF(OR(G363="",G362=""),"",G363/G362-1)</f>
        <v/>
      </c>
      <c r="N363" s="7">
        <f>IF(G363="","",E363/G363)</f>
        <v/>
      </c>
      <c r="O363" s="7">
        <f>IF(G363="","",F363/G363)</f>
        <v/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4">
        <f>IF(SUMIFS('Daily NSE Equity Cash'!$H:$H,'Daily NSE Equity Cash'!$A:$A,$A364)=0,"",SUMIFS('Daily NSE Equity Cash'!$H:$H,'Daily NSE Equity Cash'!$A:$A,$A364))</f>
        <v/>
      </c>
      <c r="F364" s="4">
        <f>IF(SUMIFS('Daily BSE Equity Cash'!$H:$H,'Daily BSE Equity Cash'!$A:$A,$A364)=0,"",SUMIFS('Daily BSE Equity Cash'!$H:$H,'Daily BSE Equity Cash'!$A:$A,$A364))</f>
        <v/>
      </c>
      <c r="G364" s="4">
        <f>IF(OR(E364="",F364=""),"",E364+F364)</f>
        <v/>
      </c>
      <c r="H364" s="7">
        <f>IFERROR(IF(OR(E364="",INDEX(E:E,MATCH(DATE(YEAR($A364)-1,MONTH($A364),DAY($A364)),$A:$A,0))=""),"",E364/INDEX(E:E,MATCH(DATE(YEAR($A364)-1,MONTH($A364),DAY($A364)),$A:$A,0))-1),"")</f>
        <v/>
      </c>
      <c r="I364" s="7">
        <f>IFERROR(IF(OR(F364="",INDEX(F:F,MATCH(DATE(YEAR($A364)-1,MONTH($A364),DAY($A364)),$A:$A,0))=""),"",F364/INDEX(F:F,MATCH(DATE(YEAR($A364)-1,MONTH($A364),DAY($A364)),$A:$A,0))-1),"")</f>
        <v/>
      </c>
      <c r="J364" s="7">
        <f>IFERROR(IF(OR(G364="",INDEX(G:G,MATCH(DATE(YEAR($A364)-1,MONTH($A364),DAY($A364)),$A:$A,0))=""),"",G364/INDEX(G:G,MATCH(DATE(YEAR($A364)-1,MONTH($A364),DAY($A364)),$A:$A,0))-1),"")</f>
        <v/>
      </c>
      <c r="K364" s="7">
        <f>IF(OR(E364="",E363=""),"",E364/E363-1)</f>
        <v/>
      </c>
      <c r="L364" s="7">
        <f>IF(OR(F364="",F363=""),"",F364/F363-1)</f>
        <v/>
      </c>
      <c r="M364" s="7">
        <f>IF(OR(G364="",G363=""),"",G364/G363-1)</f>
        <v/>
      </c>
      <c r="N364" s="7">
        <f>IF(G364="","",E364/G364)</f>
        <v/>
      </c>
      <c r="O364" s="7">
        <f>IF(G364="","",F364/G364)</f>
        <v/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4">
        <f>IF(SUMIFS('Daily NSE Equity Cash'!$H:$H,'Daily NSE Equity Cash'!$A:$A,$A365)=0,"",SUMIFS('Daily NSE Equity Cash'!$H:$H,'Daily NSE Equity Cash'!$A:$A,$A365))</f>
        <v/>
      </c>
      <c r="F365" s="4">
        <f>IF(SUMIFS('Daily BSE Equity Cash'!$H:$H,'Daily BSE Equity Cash'!$A:$A,$A365)=0,"",SUMIFS('Daily BSE Equity Cash'!$H:$H,'Daily BSE Equity Cash'!$A:$A,$A365))</f>
        <v/>
      </c>
      <c r="G365" s="4">
        <f>IF(OR(E365="",F365=""),"",E365+F365)</f>
        <v/>
      </c>
      <c r="H365" s="7">
        <f>IFERROR(IF(OR(E365="",INDEX(E:E,MATCH(DATE(YEAR($A365)-1,MONTH($A365),DAY($A365)),$A:$A,0))=""),"",E365/INDEX(E:E,MATCH(DATE(YEAR($A365)-1,MONTH($A365),DAY($A365)),$A:$A,0))-1),"")</f>
        <v/>
      </c>
      <c r="I365" s="7">
        <f>IFERROR(IF(OR(F365="",INDEX(F:F,MATCH(DATE(YEAR($A365)-1,MONTH($A365),DAY($A365)),$A:$A,0))=""),"",F365/INDEX(F:F,MATCH(DATE(YEAR($A365)-1,MONTH($A365),DAY($A365)),$A:$A,0))-1),"")</f>
        <v/>
      </c>
      <c r="J365" s="7">
        <f>IFERROR(IF(OR(G365="",INDEX(G:G,MATCH(DATE(YEAR($A365)-1,MONTH($A365),DAY($A365)),$A:$A,0))=""),"",G365/INDEX(G:G,MATCH(DATE(YEAR($A365)-1,MONTH($A365),DAY($A365)),$A:$A,0))-1),"")</f>
        <v/>
      </c>
      <c r="K365" s="7">
        <f>IF(OR(E365="",E364=""),"",E365/E364-1)</f>
        <v/>
      </c>
      <c r="L365" s="7">
        <f>IF(OR(F365="",F364=""),"",F365/F364-1)</f>
        <v/>
      </c>
      <c r="M365" s="7">
        <f>IF(OR(G365="",G364=""),"",G365/G364-1)</f>
        <v/>
      </c>
      <c r="N365" s="7">
        <f>IF(G365="","",E365/G365)</f>
        <v/>
      </c>
      <c r="O365" s="7">
        <f>IF(G365="","",F365/G365)</f>
        <v/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4">
        <f>IF(SUMIFS('Daily NSE Equity Cash'!$H:$H,'Daily NSE Equity Cash'!$A:$A,$A366)=0,"",SUMIFS('Daily NSE Equity Cash'!$H:$H,'Daily NSE Equity Cash'!$A:$A,$A366))</f>
        <v/>
      </c>
      <c r="F366" s="4">
        <f>IF(SUMIFS('Daily BSE Equity Cash'!$H:$H,'Daily BSE Equity Cash'!$A:$A,$A366)=0,"",SUMIFS('Daily BSE Equity Cash'!$H:$H,'Daily BSE Equity Cash'!$A:$A,$A366))</f>
        <v/>
      </c>
      <c r="G366" s="4">
        <f>IF(OR(E366="",F366=""),"",E366+F366)</f>
        <v/>
      </c>
      <c r="H366" s="7">
        <f>IFERROR(IF(OR(E366="",INDEX(E:E,MATCH(DATE(YEAR($A366)-1,MONTH($A366),DAY($A366)),$A:$A,0))=""),"",E366/INDEX(E:E,MATCH(DATE(YEAR($A366)-1,MONTH($A366),DAY($A366)),$A:$A,0))-1),"")</f>
        <v/>
      </c>
      <c r="I366" s="7">
        <f>IFERROR(IF(OR(F366="",INDEX(F:F,MATCH(DATE(YEAR($A366)-1,MONTH($A366),DAY($A366)),$A:$A,0))=""),"",F366/INDEX(F:F,MATCH(DATE(YEAR($A366)-1,MONTH($A366),DAY($A366)),$A:$A,0))-1),"")</f>
        <v/>
      </c>
      <c r="J366" s="7">
        <f>IFERROR(IF(OR(G366="",INDEX(G:G,MATCH(DATE(YEAR($A366)-1,MONTH($A366),DAY($A366)),$A:$A,0))=""),"",G366/INDEX(G:G,MATCH(DATE(YEAR($A366)-1,MONTH($A366),DAY($A366)),$A:$A,0))-1),"")</f>
        <v/>
      </c>
      <c r="K366" s="7">
        <f>IF(OR(E366="",E365=""),"",E366/E365-1)</f>
        <v/>
      </c>
      <c r="L366" s="7">
        <f>IF(OR(F366="",F365=""),"",F366/F365-1)</f>
        <v/>
      </c>
      <c r="M366" s="7">
        <f>IF(OR(G366="",G365=""),"",G366/G365-1)</f>
        <v/>
      </c>
      <c r="N366" s="7">
        <f>IF(G366="","",E366/G366)</f>
        <v/>
      </c>
      <c r="O366" s="7">
        <f>IF(G366="","",F366/G366)</f>
        <v/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4">
        <f>IF(SUMIFS('Daily NSE Equity Cash'!$H:$H,'Daily NSE Equity Cash'!$A:$A,$A367)=0,"",SUMIFS('Daily NSE Equity Cash'!$H:$H,'Daily NSE Equity Cash'!$A:$A,$A367))</f>
        <v/>
      </c>
      <c r="F367" s="4">
        <f>IF(SUMIFS('Daily BSE Equity Cash'!$H:$H,'Daily BSE Equity Cash'!$A:$A,$A367)=0,"",SUMIFS('Daily BSE Equity Cash'!$H:$H,'Daily BSE Equity Cash'!$A:$A,$A367))</f>
        <v/>
      </c>
      <c r="G367" s="4">
        <f>IF(OR(E367="",F367=""),"",E367+F367)</f>
        <v/>
      </c>
      <c r="H367" s="7">
        <f>IFERROR(IF(OR(E367="",INDEX(E:E,MATCH(DATE(YEAR($A367)-1,MONTH($A367),DAY($A367)),$A:$A,0))=""),"",E367/INDEX(E:E,MATCH(DATE(YEAR($A367)-1,MONTH($A367),DAY($A367)),$A:$A,0))-1),"")</f>
        <v/>
      </c>
      <c r="I367" s="7">
        <f>IFERROR(IF(OR(F367="",INDEX(F:F,MATCH(DATE(YEAR($A367)-1,MONTH($A367),DAY($A367)),$A:$A,0))=""),"",F367/INDEX(F:F,MATCH(DATE(YEAR($A367)-1,MONTH($A367),DAY($A367)),$A:$A,0))-1),"")</f>
        <v/>
      </c>
      <c r="J367" s="7">
        <f>IFERROR(IF(OR(G367="",INDEX(G:G,MATCH(DATE(YEAR($A367)-1,MONTH($A367),DAY($A367)),$A:$A,0))=""),"",G367/INDEX(G:G,MATCH(DATE(YEAR($A367)-1,MONTH($A367),DAY($A367)),$A:$A,0))-1),"")</f>
        <v/>
      </c>
      <c r="K367" s="7">
        <f>IF(OR(E367="",E366=""),"",E367/E366-1)</f>
        <v/>
      </c>
      <c r="L367" s="7">
        <f>IF(OR(F367="",F366=""),"",F367/F366-1)</f>
        <v/>
      </c>
      <c r="M367" s="7">
        <f>IF(OR(G367="",G366=""),"",G367/G366-1)</f>
        <v/>
      </c>
      <c r="N367" s="7">
        <f>IF(G367="","",E367/G367)</f>
        <v/>
      </c>
      <c r="O367" s="7">
        <f>IF(G367="","",F367/G367)</f>
        <v/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4">
        <f>IF(SUMIFS('Daily NSE Equity Cash'!$H:$H,'Daily NSE Equity Cash'!$A:$A,$A368)=0,"",SUMIFS('Daily NSE Equity Cash'!$H:$H,'Daily NSE Equity Cash'!$A:$A,$A368))</f>
        <v/>
      </c>
      <c r="F368" s="4">
        <f>IF(SUMIFS('Daily BSE Equity Cash'!$H:$H,'Daily BSE Equity Cash'!$A:$A,$A368)=0,"",SUMIFS('Daily BSE Equity Cash'!$H:$H,'Daily BSE Equity Cash'!$A:$A,$A368))</f>
        <v/>
      </c>
      <c r="G368" s="4">
        <f>IF(OR(E368="",F368=""),"",E368+F368)</f>
        <v/>
      </c>
      <c r="H368" s="7">
        <f>IFERROR(IF(OR(E368="",INDEX(E:E,MATCH(DATE(YEAR($A368)-1,MONTH($A368),DAY($A368)),$A:$A,0))=""),"",E368/INDEX(E:E,MATCH(DATE(YEAR($A368)-1,MONTH($A368),DAY($A368)),$A:$A,0))-1),"")</f>
        <v/>
      </c>
      <c r="I368" s="7">
        <f>IFERROR(IF(OR(F368="",INDEX(F:F,MATCH(DATE(YEAR($A368)-1,MONTH($A368),DAY($A368)),$A:$A,0))=""),"",F368/INDEX(F:F,MATCH(DATE(YEAR($A368)-1,MONTH($A368),DAY($A368)),$A:$A,0))-1),"")</f>
        <v/>
      </c>
      <c r="J368" s="7">
        <f>IFERROR(IF(OR(G368="",INDEX(G:G,MATCH(DATE(YEAR($A368)-1,MONTH($A368),DAY($A368)),$A:$A,0))=""),"",G368/INDEX(G:G,MATCH(DATE(YEAR($A368)-1,MONTH($A368),DAY($A368)),$A:$A,0))-1),"")</f>
        <v/>
      </c>
      <c r="K368" s="7">
        <f>IF(OR(E368="",E367=""),"",E368/E367-1)</f>
        <v/>
      </c>
      <c r="L368" s="7">
        <f>IF(OR(F368="",F367=""),"",F368/F367-1)</f>
        <v/>
      </c>
      <c r="M368" s="7">
        <f>IF(OR(G368="",G367=""),"",G368/G367-1)</f>
        <v/>
      </c>
      <c r="N368" s="7">
        <f>IF(G368="","",E368/G368)</f>
        <v/>
      </c>
      <c r="O368" s="7">
        <f>IF(G368="","",F368/G368)</f>
        <v/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4">
        <f>IF(SUMIFS('Daily NSE Equity Cash'!$H:$H,'Daily NSE Equity Cash'!$A:$A,$A369)=0,"",SUMIFS('Daily NSE Equity Cash'!$H:$H,'Daily NSE Equity Cash'!$A:$A,$A369))</f>
        <v/>
      </c>
      <c r="F369" s="4">
        <f>IF(SUMIFS('Daily BSE Equity Cash'!$H:$H,'Daily BSE Equity Cash'!$A:$A,$A369)=0,"",SUMIFS('Daily BSE Equity Cash'!$H:$H,'Daily BSE Equity Cash'!$A:$A,$A369))</f>
        <v/>
      </c>
      <c r="G369" s="4">
        <f>IF(OR(E369="",F369=""),"",E369+F369)</f>
        <v/>
      </c>
      <c r="H369" s="7">
        <f>IFERROR(IF(OR(E369="",INDEX(E:E,MATCH(DATE(YEAR($A369)-1,MONTH($A369),DAY($A369)),$A:$A,0))=""),"",E369/INDEX(E:E,MATCH(DATE(YEAR($A369)-1,MONTH($A369),DAY($A369)),$A:$A,0))-1),"")</f>
        <v/>
      </c>
      <c r="I369" s="7">
        <f>IFERROR(IF(OR(F369="",INDEX(F:F,MATCH(DATE(YEAR($A369)-1,MONTH($A369),DAY($A369)),$A:$A,0))=""),"",F369/INDEX(F:F,MATCH(DATE(YEAR($A369)-1,MONTH($A369),DAY($A369)),$A:$A,0))-1),"")</f>
        <v/>
      </c>
      <c r="J369" s="7">
        <f>IFERROR(IF(OR(G369="",INDEX(G:G,MATCH(DATE(YEAR($A369)-1,MONTH($A369),DAY($A369)),$A:$A,0))=""),"",G369/INDEX(G:G,MATCH(DATE(YEAR($A369)-1,MONTH($A369),DAY($A369)),$A:$A,0))-1),"")</f>
        <v/>
      </c>
      <c r="K369" s="7">
        <f>IF(OR(E369="",E368=""),"",E369/E368-1)</f>
        <v/>
      </c>
      <c r="L369" s="7">
        <f>IF(OR(F369="",F368=""),"",F369/F368-1)</f>
        <v/>
      </c>
      <c r="M369" s="7">
        <f>IF(OR(G369="",G368=""),"",G369/G368-1)</f>
        <v/>
      </c>
      <c r="N369" s="7">
        <f>IF(G369="","",E369/G369)</f>
        <v/>
      </c>
      <c r="O369" s="7">
        <f>IF(G369="","",F369/G369)</f>
        <v/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4">
        <f>IF(SUMIFS('Daily NSE Equity Cash'!$H:$H,'Daily NSE Equity Cash'!$A:$A,$A370)=0,"",SUMIFS('Daily NSE Equity Cash'!$H:$H,'Daily NSE Equity Cash'!$A:$A,$A370))</f>
        <v/>
      </c>
      <c r="F370" s="4">
        <f>IF(SUMIFS('Daily BSE Equity Cash'!$H:$H,'Daily BSE Equity Cash'!$A:$A,$A370)=0,"",SUMIFS('Daily BSE Equity Cash'!$H:$H,'Daily BSE Equity Cash'!$A:$A,$A370))</f>
        <v/>
      </c>
      <c r="G370" s="4">
        <f>IF(OR(E370="",F370=""),"",E370+F370)</f>
        <v/>
      </c>
      <c r="H370" s="7">
        <f>IFERROR(IF(OR(E370="",INDEX(E:E,MATCH(DATE(YEAR($A370)-1,MONTH($A370),DAY($A370)),$A:$A,0))=""),"",E370/INDEX(E:E,MATCH(DATE(YEAR($A370)-1,MONTH($A370),DAY($A370)),$A:$A,0))-1),"")</f>
        <v/>
      </c>
      <c r="I370" s="7">
        <f>IFERROR(IF(OR(F370="",INDEX(F:F,MATCH(DATE(YEAR($A370)-1,MONTH($A370),DAY($A370)),$A:$A,0))=""),"",F370/INDEX(F:F,MATCH(DATE(YEAR($A370)-1,MONTH($A370),DAY($A370)),$A:$A,0))-1),"")</f>
        <v/>
      </c>
      <c r="J370" s="7">
        <f>IFERROR(IF(OR(G370="",INDEX(G:G,MATCH(DATE(YEAR($A370)-1,MONTH($A370),DAY($A370)),$A:$A,0))=""),"",G370/INDEX(G:G,MATCH(DATE(YEAR($A370)-1,MONTH($A370),DAY($A370)),$A:$A,0))-1),"")</f>
        <v/>
      </c>
      <c r="K370" s="7">
        <f>IF(OR(E370="",E369=""),"",E370/E369-1)</f>
        <v/>
      </c>
      <c r="L370" s="7">
        <f>IF(OR(F370="",F369=""),"",F370/F369-1)</f>
        <v/>
      </c>
      <c r="M370" s="7">
        <f>IF(OR(G370="",G369=""),"",G370/G369-1)</f>
        <v/>
      </c>
      <c r="N370" s="7">
        <f>IF(G370="","",E370/G370)</f>
        <v/>
      </c>
      <c r="O370" s="7">
        <f>IF(G370="","",F370/G370)</f>
        <v/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4">
        <f>IF(SUMIFS('Daily NSE Equity Cash'!$H:$H,'Daily NSE Equity Cash'!$A:$A,$A371)=0,"",SUMIFS('Daily NSE Equity Cash'!$H:$H,'Daily NSE Equity Cash'!$A:$A,$A371))</f>
        <v/>
      </c>
      <c r="F371" s="4">
        <f>IF(SUMIFS('Daily BSE Equity Cash'!$H:$H,'Daily BSE Equity Cash'!$A:$A,$A371)=0,"",SUMIFS('Daily BSE Equity Cash'!$H:$H,'Daily BSE Equity Cash'!$A:$A,$A371))</f>
        <v/>
      </c>
      <c r="G371" s="4">
        <f>IF(OR(E371="",F371=""),"",E371+F371)</f>
        <v/>
      </c>
      <c r="H371" s="7">
        <f>IFERROR(IF(OR(E371="",INDEX(E:E,MATCH(DATE(YEAR($A371)-1,MONTH($A371),DAY($A371)),$A:$A,0))=""),"",E371/INDEX(E:E,MATCH(DATE(YEAR($A371)-1,MONTH($A371),DAY($A371)),$A:$A,0))-1),"")</f>
        <v/>
      </c>
      <c r="I371" s="7">
        <f>IFERROR(IF(OR(F371="",INDEX(F:F,MATCH(DATE(YEAR($A371)-1,MONTH($A371),DAY($A371)),$A:$A,0))=""),"",F371/INDEX(F:F,MATCH(DATE(YEAR($A371)-1,MONTH($A371),DAY($A371)),$A:$A,0))-1),"")</f>
        <v/>
      </c>
      <c r="J371" s="7">
        <f>IFERROR(IF(OR(G371="",INDEX(G:G,MATCH(DATE(YEAR($A371)-1,MONTH($A371),DAY($A371)),$A:$A,0))=""),"",G371/INDEX(G:G,MATCH(DATE(YEAR($A371)-1,MONTH($A371),DAY($A371)),$A:$A,0))-1),"")</f>
        <v/>
      </c>
      <c r="K371" s="7">
        <f>IF(OR(E371="",E370=""),"",E371/E370-1)</f>
        <v/>
      </c>
      <c r="L371" s="7">
        <f>IF(OR(F371="",F370=""),"",F371/F370-1)</f>
        <v/>
      </c>
      <c r="M371" s="7">
        <f>IF(OR(G371="",G370=""),"",G371/G370-1)</f>
        <v/>
      </c>
      <c r="N371" s="7">
        <f>IF(G371="","",E371/G371)</f>
        <v/>
      </c>
      <c r="O371" s="7">
        <f>IF(G371="","",F371/G371)</f>
        <v/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4">
        <f>IF(SUMIFS('Daily NSE Equity Cash'!$H:$H,'Daily NSE Equity Cash'!$A:$A,$A372)=0,"",SUMIFS('Daily NSE Equity Cash'!$H:$H,'Daily NSE Equity Cash'!$A:$A,$A372))</f>
        <v/>
      </c>
      <c r="F372" s="4">
        <f>IF(SUMIFS('Daily BSE Equity Cash'!$H:$H,'Daily BSE Equity Cash'!$A:$A,$A372)=0,"",SUMIFS('Daily BSE Equity Cash'!$H:$H,'Daily BSE Equity Cash'!$A:$A,$A372))</f>
        <v/>
      </c>
      <c r="G372" s="4">
        <f>IF(OR(E372="",F372=""),"",E372+F372)</f>
        <v/>
      </c>
      <c r="H372" s="7">
        <f>IFERROR(IF(OR(E372="",INDEX(E:E,MATCH(DATE(YEAR($A372)-1,MONTH($A372),DAY($A372)),$A:$A,0))=""),"",E372/INDEX(E:E,MATCH(DATE(YEAR($A372)-1,MONTH($A372),DAY($A372)),$A:$A,0))-1),"")</f>
        <v/>
      </c>
      <c r="I372" s="7">
        <f>IFERROR(IF(OR(F372="",INDEX(F:F,MATCH(DATE(YEAR($A372)-1,MONTH($A372),DAY($A372)),$A:$A,0))=""),"",F372/INDEX(F:F,MATCH(DATE(YEAR($A372)-1,MONTH($A372),DAY($A372)),$A:$A,0))-1),"")</f>
        <v/>
      </c>
      <c r="J372" s="7">
        <f>IFERROR(IF(OR(G372="",INDEX(G:G,MATCH(DATE(YEAR($A372)-1,MONTH($A372),DAY($A372)),$A:$A,0))=""),"",G372/INDEX(G:G,MATCH(DATE(YEAR($A372)-1,MONTH($A372),DAY($A372)),$A:$A,0))-1),"")</f>
        <v/>
      </c>
      <c r="K372" s="7">
        <f>IF(OR(E372="",E371=""),"",E372/E371-1)</f>
        <v/>
      </c>
      <c r="L372" s="7">
        <f>IF(OR(F372="",F371=""),"",F372/F371-1)</f>
        <v/>
      </c>
      <c r="M372" s="7">
        <f>IF(OR(G372="",G371=""),"",G372/G371-1)</f>
        <v/>
      </c>
      <c r="N372" s="7">
        <f>IF(G372="","",E372/G372)</f>
        <v/>
      </c>
      <c r="O372" s="7">
        <f>IF(G372="","",F372/G372)</f>
        <v/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4">
        <f>IF(SUMIFS('Daily NSE Equity Cash'!$H:$H,'Daily NSE Equity Cash'!$A:$A,$A373)=0,"",SUMIFS('Daily NSE Equity Cash'!$H:$H,'Daily NSE Equity Cash'!$A:$A,$A373))</f>
        <v/>
      </c>
      <c r="F373" s="4">
        <f>IF(SUMIFS('Daily BSE Equity Cash'!$H:$H,'Daily BSE Equity Cash'!$A:$A,$A373)=0,"",SUMIFS('Daily BSE Equity Cash'!$H:$H,'Daily BSE Equity Cash'!$A:$A,$A373))</f>
        <v/>
      </c>
      <c r="G373" s="4">
        <f>IF(OR(E373="",F373=""),"",E373+F373)</f>
        <v/>
      </c>
      <c r="H373" s="7">
        <f>IFERROR(IF(OR(E373="",INDEX(E:E,MATCH(DATE(YEAR($A373)-1,MONTH($A373),DAY($A373)),$A:$A,0))=""),"",E373/INDEX(E:E,MATCH(DATE(YEAR($A373)-1,MONTH($A373),DAY($A373)),$A:$A,0))-1),"")</f>
        <v/>
      </c>
      <c r="I373" s="7">
        <f>IFERROR(IF(OR(F373="",INDEX(F:F,MATCH(DATE(YEAR($A373)-1,MONTH($A373),DAY($A373)),$A:$A,0))=""),"",F373/INDEX(F:F,MATCH(DATE(YEAR($A373)-1,MONTH($A373),DAY($A373)),$A:$A,0))-1),"")</f>
        <v/>
      </c>
      <c r="J373" s="7">
        <f>IFERROR(IF(OR(G373="",INDEX(G:G,MATCH(DATE(YEAR($A373)-1,MONTH($A373),DAY($A373)),$A:$A,0))=""),"",G373/INDEX(G:G,MATCH(DATE(YEAR($A373)-1,MONTH($A373),DAY($A373)),$A:$A,0))-1),"")</f>
        <v/>
      </c>
      <c r="K373" s="7">
        <f>IF(OR(E373="",E372=""),"",E373/E372-1)</f>
        <v/>
      </c>
      <c r="L373" s="7">
        <f>IF(OR(F373="",F372=""),"",F373/F372-1)</f>
        <v/>
      </c>
      <c r="M373" s="7">
        <f>IF(OR(G373="",G372=""),"",G373/G372-1)</f>
        <v/>
      </c>
      <c r="N373" s="7">
        <f>IF(G373="","",E373/G373)</f>
        <v/>
      </c>
      <c r="O373" s="7">
        <f>IF(G373="","",F373/G373)</f>
        <v/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4">
        <f>IF(SUMIFS('Daily NSE Equity Cash'!$H:$H,'Daily NSE Equity Cash'!$A:$A,$A374)=0,"",SUMIFS('Daily NSE Equity Cash'!$H:$H,'Daily NSE Equity Cash'!$A:$A,$A374))</f>
        <v/>
      </c>
      <c r="F374" s="4">
        <f>IF(SUMIFS('Daily BSE Equity Cash'!$H:$H,'Daily BSE Equity Cash'!$A:$A,$A374)=0,"",SUMIFS('Daily BSE Equity Cash'!$H:$H,'Daily BSE Equity Cash'!$A:$A,$A374))</f>
        <v/>
      </c>
      <c r="G374" s="4">
        <f>IF(OR(E374="",F374=""),"",E374+F374)</f>
        <v/>
      </c>
      <c r="H374" s="7">
        <f>IFERROR(IF(OR(E374="",INDEX(E:E,MATCH(DATE(YEAR($A374)-1,MONTH($A374),DAY($A374)),$A:$A,0))=""),"",E374/INDEX(E:E,MATCH(DATE(YEAR($A374)-1,MONTH($A374),DAY($A374)),$A:$A,0))-1),"")</f>
        <v/>
      </c>
      <c r="I374" s="7">
        <f>IFERROR(IF(OR(F374="",INDEX(F:F,MATCH(DATE(YEAR($A374)-1,MONTH($A374),DAY($A374)),$A:$A,0))=""),"",F374/INDEX(F:F,MATCH(DATE(YEAR($A374)-1,MONTH($A374),DAY($A374)),$A:$A,0))-1),"")</f>
        <v/>
      </c>
      <c r="J374" s="7">
        <f>IFERROR(IF(OR(G374="",INDEX(G:G,MATCH(DATE(YEAR($A374)-1,MONTH($A374),DAY($A374)),$A:$A,0))=""),"",G374/INDEX(G:G,MATCH(DATE(YEAR($A374)-1,MONTH($A374),DAY($A374)),$A:$A,0))-1),"")</f>
        <v/>
      </c>
      <c r="K374" s="7">
        <f>IF(OR(E374="",E373=""),"",E374/E373-1)</f>
        <v/>
      </c>
      <c r="L374" s="7">
        <f>IF(OR(F374="",F373=""),"",F374/F373-1)</f>
        <v/>
      </c>
      <c r="M374" s="7">
        <f>IF(OR(G374="",G373=""),"",G374/G373-1)</f>
        <v/>
      </c>
      <c r="N374" s="7">
        <f>IF(G374="","",E374/G374)</f>
        <v/>
      </c>
      <c r="O374" s="7">
        <f>IF(G374="","",F374/G374)</f>
        <v/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4">
        <f>IF(SUMIFS('Daily NSE Equity Cash'!$H:$H,'Daily NSE Equity Cash'!$A:$A,$A375)=0,"",SUMIFS('Daily NSE Equity Cash'!$H:$H,'Daily NSE Equity Cash'!$A:$A,$A375))</f>
        <v/>
      </c>
      <c r="F375" s="4">
        <f>IF(SUMIFS('Daily BSE Equity Cash'!$H:$H,'Daily BSE Equity Cash'!$A:$A,$A375)=0,"",SUMIFS('Daily BSE Equity Cash'!$H:$H,'Daily BSE Equity Cash'!$A:$A,$A375))</f>
        <v/>
      </c>
      <c r="G375" s="4">
        <f>IF(OR(E375="",F375=""),"",E375+F375)</f>
        <v/>
      </c>
      <c r="H375" s="7">
        <f>IFERROR(IF(OR(E375="",INDEX(E:E,MATCH(DATE(YEAR($A375)-1,MONTH($A375),DAY($A375)),$A:$A,0))=""),"",E375/INDEX(E:E,MATCH(DATE(YEAR($A375)-1,MONTH($A375),DAY($A375)),$A:$A,0))-1),"")</f>
        <v/>
      </c>
      <c r="I375" s="7">
        <f>IFERROR(IF(OR(F375="",INDEX(F:F,MATCH(DATE(YEAR($A375)-1,MONTH($A375),DAY($A375)),$A:$A,0))=""),"",F375/INDEX(F:F,MATCH(DATE(YEAR($A375)-1,MONTH($A375),DAY($A375)),$A:$A,0))-1),"")</f>
        <v/>
      </c>
      <c r="J375" s="7">
        <f>IFERROR(IF(OR(G375="",INDEX(G:G,MATCH(DATE(YEAR($A375)-1,MONTH($A375),DAY($A375)),$A:$A,0))=""),"",G375/INDEX(G:G,MATCH(DATE(YEAR($A375)-1,MONTH($A375),DAY($A375)),$A:$A,0))-1),"")</f>
        <v/>
      </c>
      <c r="K375" s="7">
        <f>IF(OR(E375="",E374=""),"",E375/E374-1)</f>
        <v/>
      </c>
      <c r="L375" s="7">
        <f>IF(OR(F375="",F374=""),"",F375/F374-1)</f>
        <v/>
      </c>
      <c r="M375" s="7">
        <f>IF(OR(G375="",G374=""),"",G375/G374-1)</f>
        <v/>
      </c>
      <c r="N375" s="7">
        <f>IF(G375="","",E375/G375)</f>
        <v/>
      </c>
      <c r="O375" s="7">
        <f>IF(G375="","",F375/G375)</f>
        <v/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4">
        <f>IF(SUMIFS('Daily NSE Equity Cash'!$H:$H,'Daily NSE Equity Cash'!$A:$A,$A376)=0,"",SUMIFS('Daily NSE Equity Cash'!$H:$H,'Daily NSE Equity Cash'!$A:$A,$A376))</f>
        <v/>
      </c>
      <c r="F376" s="4">
        <f>IF(SUMIFS('Daily BSE Equity Cash'!$H:$H,'Daily BSE Equity Cash'!$A:$A,$A376)=0,"",SUMIFS('Daily BSE Equity Cash'!$H:$H,'Daily BSE Equity Cash'!$A:$A,$A376))</f>
        <v/>
      </c>
      <c r="G376" s="4">
        <f>IF(OR(E376="",F376=""),"",E376+F376)</f>
        <v/>
      </c>
      <c r="H376" s="7">
        <f>IFERROR(IF(OR(E376="",INDEX(E:E,MATCH(DATE(YEAR($A376)-1,MONTH($A376),DAY($A376)),$A:$A,0))=""),"",E376/INDEX(E:E,MATCH(DATE(YEAR($A376)-1,MONTH($A376),DAY($A376)),$A:$A,0))-1),"")</f>
        <v/>
      </c>
      <c r="I376" s="7">
        <f>IFERROR(IF(OR(F376="",INDEX(F:F,MATCH(DATE(YEAR($A376)-1,MONTH($A376),DAY($A376)),$A:$A,0))=""),"",F376/INDEX(F:F,MATCH(DATE(YEAR($A376)-1,MONTH($A376),DAY($A376)),$A:$A,0))-1),"")</f>
        <v/>
      </c>
      <c r="J376" s="7">
        <f>IFERROR(IF(OR(G376="",INDEX(G:G,MATCH(DATE(YEAR($A376)-1,MONTH($A376),DAY($A376)),$A:$A,0))=""),"",G376/INDEX(G:G,MATCH(DATE(YEAR($A376)-1,MONTH($A376),DAY($A376)),$A:$A,0))-1),"")</f>
        <v/>
      </c>
      <c r="K376" s="7">
        <f>IF(OR(E376="",E375=""),"",E376/E375-1)</f>
        <v/>
      </c>
      <c r="L376" s="7">
        <f>IF(OR(F376="",F375=""),"",F376/F375-1)</f>
        <v/>
      </c>
      <c r="M376" s="7">
        <f>IF(OR(G376="",G375=""),"",G376/G375-1)</f>
        <v/>
      </c>
      <c r="N376" s="7">
        <f>IF(G376="","",E376/G376)</f>
        <v/>
      </c>
      <c r="O376" s="7">
        <f>IF(G376="","",F376/G376)</f>
        <v/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4">
        <f>IF(SUMIFS('Daily NSE Equity Cash'!$H:$H,'Daily NSE Equity Cash'!$A:$A,$A377)=0,"",SUMIFS('Daily NSE Equity Cash'!$H:$H,'Daily NSE Equity Cash'!$A:$A,$A377))</f>
        <v/>
      </c>
      <c r="F377" s="4">
        <f>IF(SUMIFS('Daily BSE Equity Cash'!$H:$H,'Daily BSE Equity Cash'!$A:$A,$A377)=0,"",SUMIFS('Daily BSE Equity Cash'!$H:$H,'Daily BSE Equity Cash'!$A:$A,$A377))</f>
        <v/>
      </c>
      <c r="G377" s="4">
        <f>IF(OR(E377="",F377=""),"",E377+F377)</f>
        <v/>
      </c>
      <c r="H377" s="7">
        <f>IFERROR(IF(OR(E377="",INDEX(E:E,MATCH(DATE(YEAR($A377)-1,MONTH($A377),DAY($A377)),$A:$A,0))=""),"",E377/INDEX(E:E,MATCH(DATE(YEAR($A377)-1,MONTH($A377),DAY($A377)),$A:$A,0))-1),"")</f>
        <v/>
      </c>
      <c r="I377" s="7">
        <f>IFERROR(IF(OR(F377="",INDEX(F:F,MATCH(DATE(YEAR($A377)-1,MONTH($A377),DAY($A377)),$A:$A,0))=""),"",F377/INDEX(F:F,MATCH(DATE(YEAR($A377)-1,MONTH($A377),DAY($A377)),$A:$A,0))-1),"")</f>
        <v/>
      </c>
      <c r="J377" s="7">
        <f>IFERROR(IF(OR(G377="",INDEX(G:G,MATCH(DATE(YEAR($A377)-1,MONTH($A377),DAY($A377)),$A:$A,0))=""),"",G377/INDEX(G:G,MATCH(DATE(YEAR($A377)-1,MONTH($A377),DAY($A377)),$A:$A,0))-1),"")</f>
        <v/>
      </c>
      <c r="K377" s="7">
        <f>IF(OR(E377="",E376=""),"",E377/E376-1)</f>
        <v/>
      </c>
      <c r="L377" s="7">
        <f>IF(OR(F377="",F376=""),"",F377/F376-1)</f>
        <v/>
      </c>
      <c r="M377" s="7">
        <f>IF(OR(G377="",G376=""),"",G377/G376-1)</f>
        <v/>
      </c>
      <c r="N377" s="7">
        <f>IF(G377="","",E377/G377)</f>
        <v/>
      </c>
      <c r="O377" s="7">
        <f>IF(G377="","",F377/G377)</f>
        <v/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4">
        <f>IF(SUMIFS('Daily NSE Equity Cash'!$H:$H,'Daily NSE Equity Cash'!$A:$A,$A378)=0,"",SUMIFS('Daily NSE Equity Cash'!$H:$H,'Daily NSE Equity Cash'!$A:$A,$A378))</f>
        <v/>
      </c>
      <c r="F378" s="4">
        <f>IF(SUMIFS('Daily BSE Equity Cash'!$H:$H,'Daily BSE Equity Cash'!$A:$A,$A378)=0,"",SUMIFS('Daily BSE Equity Cash'!$H:$H,'Daily BSE Equity Cash'!$A:$A,$A378))</f>
        <v/>
      </c>
      <c r="G378" s="4">
        <f>IF(OR(E378="",F378=""),"",E378+F378)</f>
        <v/>
      </c>
      <c r="H378" s="7">
        <f>IFERROR(IF(OR(E378="",INDEX(E:E,MATCH(DATE(YEAR($A378)-1,MONTH($A378),DAY($A378)),$A:$A,0))=""),"",E378/INDEX(E:E,MATCH(DATE(YEAR($A378)-1,MONTH($A378),DAY($A378)),$A:$A,0))-1),"")</f>
        <v/>
      </c>
      <c r="I378" s="7">
        <f>IFERROR(IF(OR(F378="",INDEX(F:F,MATCH(DATE(YEAR($A378)-1,MONTH($A378),DAY($A378)),$A:$A,0))=""),"",F378/INDEX(F:F,MATCH(DATE(YEAR($A378)-1,MONTH($A378),DAY($A378)),$A:$A,0))-1),"")</f>
        <v/>
      </c>
      <c r="J378" s="7">
        <f>IFERROR(IF(OR(G378="",INDEX(G:G,MATCH(DATE(YEAR($A378)-1,MONTH($A378),DAY($A378)),$A:$A,0))=""),"",G378/INDEX(G:G,MATCH(DATE(YEAR($A378)-1,MONTH($A378),DAY($A378)),$A:$A,0))-1),"")</f>
        <v/>
      </c>
      <c r="K378" s="7">
        <f>IF(OR(E378="",E377=""),"",E378/E377-1)</f>
        <v/>
      </c>
      <c r="L378" s="7">
        <f>IF(OR(F378="",F377=""),"",F378/F377-1)</f>
        <v/>
      </c>
      <c r="M378" s="7">
        <f>IF(OR(G378="",G377=""),"",G378/G377-1)</f>
        <v/>
      </c>
      <c r="N378" s="7">
        <f>IF(G378="","",E378/G378)</f>
        <v/>
      </c>
      <c r="O378" s="7">
        <f>IF(G378="","",F378/G378)</f>
        <v/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4">
        <f>IF(SUMIFS('Daily NSE Equity Cash'!$H:$H,'Daily NSE Equity Cash'!$A:$A,$A379)=0,"",SUMIFS('Daily NSE Equity Cash'!$H:$H,'Daily NSE Equity Cash'!$A:$A,$A379))</f>
        <v/>
      </c>
      <c r="F379" s="4">
        <f>IF(SUMIFS('Daily BSE Equity Cash'!$H:$H,'Daily BSE Equity Cash'!$A:$A,$A379)=0,"",SUMIFS('Daily BSE Equity Cash'!$H:$H,'Daily BSE Equity Cash'!$A:$A,$A379))</f>
        <v/>
      </c>
      <c r="G379" s="4">
        <f>IF(OR(E379="",F379=""),"",E379+F379)</f>
        <v/>
      </c>
      <c r="H379" s="7">
        <f>IFERROR(IF(OR(E379="",INDEX(E:E,MATCH(DATE(YEAR($A379)-1,MONTH($A379),DAY($A379)),$A:$A,0))=""),"",E379/INDEX(E:E,MATCH(DATE(YEAR($A379)-1,MONTH($A379),DAY($A379)),$A:$A,0))-1),"")</f>
        <v/>
      </c>
      <c r="I379" s="7">
        <f>IFERROR(IF(OR(F379="",INDEX(F:F,MATCH(DATE(YEAR($A379)-1,MONTH($A379),DAY($A379)),$A:$A,0))=""),"",F379/INDEX(F:F,MATCH(DATE(YEAR($A379)-1,MONTH($A379),DAY($A379)),$A:$A,0))-1),"")</f>
        <v/>
      </c>
      <c r="J379" s="7">
        <f>IFERROR(IF(OR(G379="",INDEX(G:G,MATCH(DATE(YEAR($A379)-1,MONTH($A379),DAY($A379)),$A:$A,0))=""),"",G379/INDEX(G:G,MATCH(DATE(YEAR($A379)-1,MONTH($A379),DAY($A379)),$A:$A,0))-1),"")</f>
        <v/>
      </c>
      <c r="K379" s="7">
        <f>IF(OR(E379="",E378=""),"",E379/E378-1)</f>
        <v/>
      </c>
      <c r="L379" s="7">
        <f>IF(OR(F379="",F378=""),"",F379/F378-1)</f>
        <v/>
      </c>
      <c r="M379" s="7">
        <f>IF(OR(G379="",G378=""),"",G379/G378-1)</f>
        <v/>
      </c>
      <c r="N379" s="7">
        <f>IF(G379="","",E379/G379)</f>
        <v/>
      </c>
      <c r="O379" s="7">
        <f>IF(G379="","",F379/G379)</f>
        <v/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4">
        <f>IF(SUMIFS('Daily NSE Equity Cash'!$H:$H,'Daily NSE Equity Cash'!$A:$A,$A380)=0,"",SUMIFS('Daily NSE Equity Cash'!$H:$H,'Daily NSE Equity Cash'!$A:$A,$A380))</f>
        <v/>
      </c>
      <c r="F380" s="4">
        <f>IF(SUMIFS('Daily BSE Equity Cash'!$H:$H,'Daily BSE Equity Cash'!$A:$A,$A380)=0,"",SUMIFS('Daily BSE Equity Cash'!$H:$H,'Daily BSE Equity Cash'!$A:$A,$A380))</f>
        <v/>
      </c>
      <c r="G380" s="4">
        <f>IF(OR(E380="",F380=""),"",E380+F380)</f>
        <v/>
      </c>
      <c r="H380" s="7">
        <f>IFERROR(IF(OR(E380="",INDEX(E:E,MATCH(DATE(YEAR($A380)-1,MONTH($A380),DAY($A380)),$A:$A,0))=""),"",E380/INDEX(E:E,MATCH(DATE(YEAR($A380)-1,MONTH($A380),DAY($A380)),$A:$A,0))-1),"")</f>
        <v/>
      </c>
      <c r="I380" s="7">
        <f>IFERROR(IF(OR(F380="",INDEX(F:F,MATCH(DATE(YEAR($A380)-1,MONTH($A380),DAY($A380)),$A:$A,0))=""),"",F380/INDEX(F:F,MATCH(DATE(YEAR($A380)-1,MONTH($A380),DAY($A380)),$A:$A,0))-1),"")</f>
        <v/>
      </c>
      <c r="J380" s="7">
        <f>IFERROR(IF(OR(G380="",INDEX(G:G,MATCH(DATE(YEAR($A380)-1,MONTH($A380),DAY($A380)),$A:$A,0))=""),"",G380/INDEX(G:G,MATCH(DATE(YEAR($A380)-1,MONTH($A380),DAY($A380)),$A:$A,0))-1),"")</f>
        <v/>
      </c>
      <c r="K380" s="7">
        <f>IF(OR(E380="",E379=""),"",E380/E379-1)</f>
        <v/>
      </c>
      <c r="L380" s="7">
        <f>IF(OR(F380="",F379=""),"",F380/F379-1)</f>
        <v/>
      </c>
      <c r="M380" s="7">
        <f>IF(OR(G380="",G379=""),"",G380/G379-1)</f>
        <v/>
      </c>
      <c r="N380" s="7">
        <f>IF(G380="","",E380/G380)</f>
        <v/>
      </c>
      <c r="O380" s="7">
        <f>IF(G380="","",F380/G380)</f>
        <v/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4">
        <f>IF(SUMIFS('Daily NSE Equity Cash'!$H:$H,'Daily NSE Equity Cash'!$A:$A,$A381)=0,"",SUMIFS('Daily NSE Equity Cash'!$H:$H,'Daily NSE Equity Cash'!$A:$A,$A381))</f>
        <v/>
      </c>
      <c r="F381" s="4">
        <f>IF(SUMIFS('Daily BSE Equity Cash'!$H:$H,'Daily BSE Equity Cash'!$A:$A,$A381)=0,"",SUMIFS('Daily BSE Equity Cash'!$H:$H,'Daily BSE Equity Cash'!$A:$A,$A381))</f>
        <v/>
      </c>
      <c r="G381" s="4">
        <f>IF(OR(E381="",F381=""),"",E381+F381)</f>
        <v/>
      </c>
      <c r="H381" s="7">
        <f>IFERROR(IF(OR(E381="",INDEX(E:E,MATCH(DATE(YEAR($A381)-1,MONTH($A381),DAY($A381)),$A:$A,0))=""),"",E381/INDEX(E:E,MATCH(DATE(YEAR($A381)-1,MONTH($A381),DAY($A381)),$A:$A,0))-1),"")</f>
        <v/>
      </c>
      <c r="I381" s="7">
        <f>IFERROR(IF(OR(F381="",INDEX(F:F,MATCH(DATE(YEAR($A381)-1,MONTH($A381),DAY($A381)),$A:$A,0))=""),"",F381/INDEX(F:F,MATCH(DATE(YEAR($A381)-1,MONTH($A381),DAY($A381)),$A:$A,0))-1),"")</f>
        <v/>
      </c>
      <c r="J381" s="7">
        <f>IFERROR(IF(OR(G381="",INDEX(G:G,MATCH(DATE(YEAR($A381)-1,MONTH($A381),DAY($A381)),$A:$A,0))=""),"",G381/INDEX(G:G,MATCH(DATE(YEAR($A381)-1,MONTH($A381),DAY($A381)),$A:$A,0))-1),"")</f>
        <v/>
      </c>
      <c r="K381" s="7">
        <f>IF(OR(E381="",E380=""),"",E381/E380-1)</f>
        <v/>
      </c>
      <c r="L381" s="7">
        <f>IF(OR(F381="",F380=""),"",F381/F380-1)</f>
        <v/>
      </c>
      <c r="M381" s="7">
        <f>IF(OR(G381="",G380=""),"",G381/G380-1)</f>
        <v/>
      </c>
      <c r="N381" s="7">
        <f>IF(G381="","",E381/G381)</f>
        <v/>
      </c>
      <c r="O381" s="7">
        <f>IF(G381="","",F381/G381)</f>
        <v/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4">
        <f>IF(SUMIFS('Daily NSE Equity Cash'!$H:$H,'Daily NSE Equity Cash'!$A:$A,$A382)=0,"",SUMIFS('Daily NSE Equity Cash'!$H:$H,'Daily NSE Equity Cash'!$A:$A,$A382))</f>
        <v/>
      </c>
      <c r="F382" s="4">
        <f>IF(SUMIFS('Daily BSE Equity Cash'!$H:$H,'Daily BSE Equity Cash'!$A:$A,$A382)=0,"",SUMIFS('Daily BSE Equity Cash'!$H:$H,'Daily BSE Equity Cash'!$A:$A,$A382))</f>
        <v/>
      </c>
      <c r="G382" s="4">
        <f>IF(OR(E382="",F382=""),"",E382+F382)</f>
        <v/>
      </c>
      <c r="H382" s="7">
        <f>IFERROR(IF(OR(E382="",INDEX(E:E,MATCH(DATE(YEAR($A382)-1,MONTH($A382),DAY($A382)),$A:$A,0))=""),"",E382/INDEX(E:E,MATCH(DATE(YEAR($A382)-1,MONTH($A382),DAY($A382)),$A:$A,0))-1),"")</f>
        <v/>
      </c>
      <c r="I382" s="7">
        <f>IFERROR(IF(OR(F382="",INDEX(F:F,MATCH(DATE(YEAR($A382)-1,MONTH($A382),DAY($A382)),$A:$A,0))=""),"",F382/INDEX(F:F,MATCH(DATE(YEAR($A382)-1,MONTH($A382),DAY($A382)),$A:$A,0))-1),"")</f>
        <v/>
      </c>
      <c r="J382" s="7">
        <f>IFERROR(IF(OR(G382="",INDEX(G:G,MATCH(DATE(YEAR($A382)-1,MONTH($A382),DAY($A382)),$A:$A,0))=""),"",G382/INDEX(G:G,MATCH(DATE(YEAR($A382)-1,MONTH($A382),DAY($A382)),$A:$A,0))-1),"")</f>
        <v/>
      </c>
      <c r="K382" s="7">
        <f>IF(OR(E382="",E381=""),"",E382/E381-1)</f>
        <v/>
      </c>
      <c r="L382" s="7">
        <f>IF(OR(F382="",F381=""),"",F382/F381-1)</f>
        <v/>
      </c>
      <c r="M382" s="7">
        <f>IF(OR(G382="",G381=""),"",G382/G381-1)</f>
        <v/>
      </c>
      <c r="N382" s="7">
        <f>IF(G382="","",E382/G382)</f>
        <v/>
      </c>
      <c r="O382" s="7">
        <f>IF(G382="","",F382/G382)</f>
        <v/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4">
        <f>IF(SUMIFS('Daily NSE Equity Cash'!$H:$H,'Daily NSE Equity Cash'!$A:$A,$A383)=0,"",SUMIFS('Daily NSE Equity Cash'!$H:$H,'Daily NSE Equity Cash'!$A:$A,$A383))</f>
        <v/>
      </c>
      <c r="F383" s="4">
        <f>IF(SUMIFS('Daily BSE Equity Cash'!$H:$H,'Daily BSE Equity Cash'!$A:$A,$A383)=0,"",SUMIFS('Daily BSE Equity Cash'!$H:$H,'Daily BSE Equity Cash'!$A:$A,$A383))</f>
        <v/>
      </c>
      <c r="G383" s="4">
        <f>IF(OR(E383="",F383=""),"",E383+F383)</f>
        <v/>
      </c>
      <c r="H383" s="7">
        <f>IFERROR(IF(OR(E383="",INDEX(E:E,MATCH(DATE(YEAR($A383)-1,MONTH($A383),DAY($A383)),$A:$A,0))=""),"",E383/INDEX(E:E,MATCH(DATE(YEAR($A383)-1,MONTH($A383),DAY($A383)),$A:$A,0))-1),"")</f>
        <v/>
      </c>
      <c r="I383" s="7">
        <f>IFERROR(IF(OR(F383="",INDEX(F:F,MATCH(DATE(YEAR($A383)-1,MONTH($A383),DAY($A383)),$A:$A,0))=""),"",F383/INDEX(F:F,MATCH(DATE(YEAR($A383)-1,MONTH($A383),DAY($A383)),$A:$A,0))-1),"")</f>
        <v/>
      </c>
      <c r="J383" s="7">
        <f>IFERROR(IF(OR(G383="",INDEX(G:G,MATCH(DATE(YEAR($A383)-1,MONTH($A383),DAY($A383)),$A:$A,0))=""),"",G383/INDEX(G:G,MATCH(DATE(YEAR($A383)-1,MONTH($A383),DAY($A383)),$A:$A,0))-1),"")</f>
        <v/>
      </c>
      <c r="K383" s="7">
        <f>IF(OR(E383="",E382=""),"",E383/E382-1)</f>
        <v/>
      </c>
      <c r="L383" s="7">
        <f>IF(OR(F383="",F382=""),"",F383/F382-1)</f>
        <v/>
      </c>
      <c r="M383" s="7">
        <f>IF(OR(G383="",G382=""),"",G383/G382-1)</f>
        <v/>
      </c>
      <c r="N383" s="7">
        <f>IF(G383="","",E383/G383)</f>
        <v/>
      </c>
      <c r="O383" s="7">
        <f>IF(G383="","",F383/G383)</f>
        <v/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4">
        <f>IF(SUMIFS('Daily NSE Equity Cash'!$H:$H,'Daily NSE Equity Cash'!$A:$A,$A384)=0,"",SUMIFS('Daily NSE Equity Cash'!$H:$H,'Daily NSE Equity Cash'!$A:$A,$A384))</f>
        <v/>
      </c>
      <c r="F384" s="4">
        <f>IF(SUMIFS('Daily BSE Equity Cash'!$H:$H,'Daily BSE Equity Cash'!$A:$A,$A384)=0,"",SUMIFS('Daily BSE Equity Cash'!$H:$H,'Daily BSE Equity Cash'!$A:$A,$A384))</f>
        <v/>
      </c>
      <c r="G384" s="4">
        <f>IF(OR(E384="",F384=""),"",E384+F384)</f>
        <v/>
      </c>
      <c r="H384" s="7">
        <f>IFERROR(IF(OR(E384="",INDEX(E:E,MATCH(DATE(YEAR($A384)-1,MONTH($A384),DAY($A384)),$A:$A,0))=""),"",E384/INDEX(E:E,MATCH(DATE(YEAR($A384)-1,MONTH($A384),DAY($A384)),$A:$A,0))-1),"")</f>
        <v/>
      </c>
      <c r="I384" s="7">
        <f>IFERROR(IF(OR(F384="",INDEX(F:F,MATCH(DATE(YEAR($A384)-1,MONTH($A384),DAY($A384)),$A:$A,0))=""),"",F384/INDEX(F:F,MATCH(DATE(YEAR($A384)-1,MONTH($A384),DAY($A384)),$A:$A,0))-1),"")</f>
        <v/>
      </c>
      <c r="J384" s="7">
        <f>IFERROR(IF(OR(G384="",INDEX(G:G,MATCH(DATE(YEAR($A384)-1,MONTH($A384),DAY($A384)),$A:$A,0))=""),"",G384/INDEX(G:G,MATCH(DATE(YEAR($A384)-1,MONTH($A384),DAY($A384)),$A:$A,0))-1),"")</f>
        <v/>
      </c>
      <c r="K384" s="7">
        <f>IF(OR(E384="",E383=""),"",E384/E383-1)</f>
        <v/>
      </c>
      <c r="L384" s="7">
        <f>IF(OR(F384="",F383=""),"",F384/F383-1)</f>
        <v/>
      </c>
      <c r="M384" s="7">
        <f>IF(OR(G384="",G383=""),"",G384/G383-1)</f>
        <v/>
      </c>
      <c r="N384" s="7">
        <f>IF(G384="","",E384/G384)</f>
        <v/>
      </c>
      <c r="O384" s="7">
        <f>IF(G384="","",F384/G384)</f>
        <v/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4">
        <f>IF(SUMIFS('Daily NSE Equity Cash'!$H:$H,'Daily NSE Equity Cash'!$A:$A,$A385)=0,"",SUMIFS('Daily NSE Equity Cash'!$H:$H,'Daily NSE Equity Cash'!$A:$A,$A385))</f>
        <v/>
      </c>
      <c r="F385" s="4">
        <f>IF(SUMIFS('Daily BSE Equity Cash'!$H:$H,'Daily BSE Equity Cash'!$A:$A,$A385)=0,"",SUMIFS('Daily BSE Equity Cash'!$H:$H,'Daily BSE Equity Cash'!$A:$A,$A385))</f>
        <v/>
      </c>
      <c r="G385" s="4">
        <f>IF(OR(E385="",F385=""),"",E385+F385)</f>
        <v/>
      </c>
      <c r="H385" s="7">
        <f>IFERROR(IF(OR(E385="",INDEX(E:E,MATCH(DATE(YEAR($A385)-1,MONTH($A385),DAY($A385)),$A:$A,0))=""),"",E385/INDEX(E:E,MATCH(DATE(YEAR($A385)-1,MONTH($A385),DAY($A385)),$A:$A,0))-1),"")</f>
        <v/>
      </c>
      <c r="I385" s="7">
        <f>IFERROR(IF(OR(F385="",INDEX(F:F,MATCH(DATE(YEAR($A385)-1,MONTH($A385),DAY($A385)),$A:$A,0))=""),"",F385/INDEX(F:F,MATCH(DATE(YEAR($A385)-1,MONTH($A385),DAY($A385)),$A:$A,0))-1),"")</f>
        <v/>
      </c>
      <c r="J385" s="7">
        <f>IFERROR(IF(OR(G385="",INDEX(G:G,MATCH(DATE(YEAR($A385)-1,MONTH($A385),DAY($A385)),$A:$A,0))=""),"",G385/INDEX(G:G,MATCH(DATE(YEAR($A385)-1,MONTH($A385),DAY($A385)),$A:$A,0))-1),"")</f>
        <v/>
      </c>
      <c r="K385" s="7">
        <f>IF(OR(E385="",E384=""),"",E385/E384-1)</f>
        <v/>
      </c>
      <c r="L385" s="7">
        <f>IF(OR(F385="",F384=""),"",F385/F384-1)</f>
        <v/>
      </c>
      <c r="M385" s="7">
        <f>IF(OR(G385="",G384=""),"",G385/G384-1)</f>
        <v/>
      </c>
      <c r="N385" s="7">
        <f>IF(G385="","",E385/G385)</f>
        <v/>
      </c>
      <c r="O385" s="7">
        <f>IF(G385="","",F385/G385)</f>
        <v/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4">
        <f>IF(SUMIFS('Daily NSE Equity Cash'!$H:$H,'Daily NSE Equity Cash'!$A:$A,$A386)=0,"",SUMIFS('Daily NSE Equity Cash'!$H:$H,'Daily NSE Equity Cash'!$A:$A,$A386))</f>
        <v/>
      </c>
      <c r="F386" s="4">
        <f>IF(SUMIFS('Daily BSE Equity Cash'!$H:$H,'Daily BSE Equity Cash'!$A:$A,$A386)=0,"",SUMIFS('Daily BSE Equity Cash'!$H:$H,'Daily BSE Equity Cash'!$A:$A,$A386))</f>
        <v/>
      </c>
      <c r="G386" s="4">
        <f>IF(OR(E386="",F386=""),"",E386+F386)</f>
        <v/>
      </c>
      <c r="H386" s="7">
        <f>IFERROR(IF(OR(E386="",INDEX(E:E,MATCH(DATE(YEAR($A386)-1,MONTH($A386),DAY($A386)),$A:$A,0))=""),"",E386/INDEX(E:E,MATCH(DATE(YEAR($A386)-1,MONTH($A386),DAY($A386)),$A:$A,0))-1),"")</f>
        <v/>
      </c>
      <c r="I386" s="7">
        <f>IFERROR(IF(OR(F386="",INDEX(F:F,MATCH(DATE(YEAR($A386)-1,MONTH($A386),DAY($A386)),$A:$A,0))=""),"",F386/INDEX(F:F,MATCH(DATE(YEAR($A386)-1,MONTH($A386),DAY($A386)),$A:$A,0))-1),"")</f>
        <v/>
      </c>
      <c r="J386" s="7">
        <f>IFERROR(IF(OR(G386="",INDEX(G:G,MATCH(DATE(YEAR($A386)-1,MONTH($A386),DAY($A386)),$A:$A,0))=""),"",G386/INDEX(G:G,MATCH(DATE(YEAR($A386)-1,MONTH($A386),DAY($A386)),$A:$A,0))-1),"")</f>
        <v/>
      </c>
      <c r="K386" s="7">
        <f>IF(OR(E386="",E385=""),"",E386/E385-1)</f>
        <v/>
      </c>
      <c r="L386" s="7">
        <f>IF(OR(F386="",F385=""),"",F386/F385-1)</f>
        <v/>
      </c>
      <c r="M386" s="7">
        <f>IF(OR(G386="",G385=""),"",G386/G385-1)</f>
        <v/>
      </c>
      <c r="N386" s="7">
        <f>IF(G386="","",E386/G386)</f>
        <v/>
      </c>
      <c r="O386" s="7">
        <f>IF(G386="","",F386/G386)</f>
        <v/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4">
        <f>IF(SUMIFS('Daily NSE Equity Cash'!$H:$H,'Daily NSE Equity Cash'!$A:$A,$A387)=0,"",SUMIFS('Daily NSE Equity Cash'!$H:$H,'Daily NSE Equity Cash'!$A:$A,$A387))</f>
        <v/>
      </c>
      <c r="F387" s="4">
        <f>IF(SUMIFS('Daily BSE Equity Cash'!$H:$H,'Daily BSE Equity Cash'!$A:$A,$A387)=0,"",SUMIFS('Daily BSE Equity Cash'!$H:$H,'Daily BSE Equity Cash'!$A:$A,$A387))</f>
        <v/>
      </c>
      <c r="G387" s="4">
        <f>IF(OR(E387="",F387=""),"",E387+F387)</f>
        <v/>
      </c>
      <c r="H387" s="7">
        <f>IFERROR(IF(OR(E387="",INDEX(E:E,MATCH(DATE(YEAR($A387)-1,MONTH($A387),DAY($A387)),$A:$A,0))=""),"",E387/INDEX(E:E,MATCH(DATE(YEAR($A387)-1,MONTH($A387),DAY($A387)),$A:$A,0))-1),"")</f>
        <v/>
      </c>
      <c r="I387" s="7">
        <f>IFERROR(IF(OR(F387="",INDEX(F:F,MATCH(DATE(YEAR($A387)-1,MONTH($A387),DAY($A387)),$A:$A,0))=""),"",F387/INDEX(F:F,MATCH(DATE(YEAR($A387)-1,MONTH($A387),DAY($A387)),$A:$A,0))-1),"")</f>
        <v/>
      </c>
      <c r="J387" s="7">
        <f>IFERROR(IF(OR(G387="",INDEX(G:G,MATCH(DATE(YEAR($A387)-1,MONTH($A387),DAY($A387)),$A:$A,0))=""),"",G387/INDEX(G:G,MATCH(DATE(YEAR($A387)-1,MONTH($A387),DAY($A387)),$A:$A,0))-1),"")</f>
        <v/>
      </c>
      <c r="K387" s="7">
        <f>IF(OR(E387="",E386=""),"",E387/E386-1)</f>
        <v/>
      </c>
      <c r="L387" s="7">
        <f>IF(OR(F387="",F386=""),"",F387/F386-1)</f>
        <v/>
      </c>
      <c r="M387" s="7">
        <f>IF(OR(G387="",G386=""),"",G387/G386-1)</f>
        <v/>
      </c>
      <c r="N387" s="7">
        <f>IF(G387="","",E387/G387)</f>
        <v/>
      </c>
      <c r="O387" s="7">
        <f>IF(G387="","",F387/G387)</f>
        <v/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4">
        <f>IF(SUMIFS('Daily NSE Equity Cash'!$H:$H,'Daily NSE Equity Cash'!$A:$A,$A388)=0,"",SUMIFS('Daily NSE Equity Cash'!$H:$H,'Daily NSE Equity Cash'!$A:$A,$A388))</f>
        <v/>
      </c>
      <c r="F388" s="4">
        <f>IF(SUMIFS('Daily BSE Equity Cash'!$H:$H,'Daily BSE Equity Cash'!$A:$A,$A388)=0,"",SUMIFS('Daily BSE Equity Cash'!$H:$H,'Daily BSE Equity Cash'!$A:$A,$A388))</f>
        <v/>
      </c>
      <c r="G388" s="4">
        <f>IF(OR(E388="",F388=""),"",E388+F388)</f>
        <v/>
      </c>
      <c r="H388" s="7">
        <f>IFERROR(IF(OR(E388="",INDEX(E:E,MATCH(DATE(YEAR($A388)-1,MONTH($A388),DAY($A388)),$A:$A,0))=""),"",E388/INDEX(E:E,MATCH(DATE(YEAR($A388)-1,MONTH($A388),DAY($A388)),$A:$A,0))-1),"")</f>
        <v/>
      </c>
      <c r="I388" s="7">
        <f>IFERROR(IF(OR(F388="",INDEX(F:F,MATCH(DATE(YEAR($A388)-1,MONTH($A388),DAY($A388)),$A:$A,0))=""),"",F388/INDEX(F:F,MATCH(DATE(YEAR($A388)-1,MONTH($A388),DAY($A388)),$A:$A,0))-1),"")</f>
        <v/>
      </c>
      <c r="J388" s="7">
        <f>IFERROR(IF(OR(G388="",INDEX(G:G,MATCH(DATE(YEAR($A388)-1,MONTH($A388),DAY($A388)),$A:$A,0))=""),"",G388/INDEX(G:G,MATCH(DATE(YEAR($A388)-1,MONTH($A388),DAY($A388)),$A:$A,0))-1),"")</f>
        <v/>
      </c>
      <c r="K388" s="7">
        <f>IF(OR(E388="",E387=""),"",E388/E387-1)</f>
        <v/>
      </c>
      <c r="L388" s="7">
        <f>IF(OR(F388="",F387=""),"",F388/F387-1)</f>
        <v/>
      </c>
      <c r="M388" s="7">
        <f>IF(OR(G388="",G387=""),"",G388/G387-1)</f>
        <v/>
      </c>
      <c r="N388" s="7">
        <f>IF(G388="","",E388/G388)</f>
        <v/>
      </c>
      <c r="O388" s="7">
        <f>IF(G388="","",F388/G388)</f>
        <v/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4">
        <f>IF(SUMIFS('Daily NSE Equity Cash'!$H:$H,'Daily NSE Equity Cash'!$A:$A,$A389)=0,"",SUMIFS('Daily NSE Equity Cash'!$H:$H,'Daily NSE Equity Cash'!$A:$A,$A389))</f>
        <v/>
      </c>
      <c r="F389" s="4">
        <f>IF(SUMIFS('Daily BSE Equity Cash'!$H:$H,'Daily BSE Equity Cash'!$A:$A,$A389)=0,"",SUMIFS('Daily BSE Equity Cash'!$H:$H,'Daily BSE Equity Cash'!$A:$A,$A389))</f>
        <v/>
      </c>
      <c r="G389" s="4">
        <f>IF(OR(E389="",F389=""),"",E389+F389)</f>
        <v/>
      </c>
      <c r="H389" s="7">
        <f>IFERROR(IF(OR(E389="",INDEX(E:E,MATCH(DATE(YEAR($A389)-1,MONTH($A389),DAY($A389)),$A:$A,0))=""),"",E389/INDEX(E:E,MATCH(DATE(YEAR($A389)-1,MONTH($A389),DAY($A389)),$A:$A,0))-1),"")</f>
        <v/>
      </c>
      <c r="I389" s="7">
        <f>IFERROR(IF(OR(F389="",INDEX(F:F,MATCH(DATE(YEAR($A389)-1,MONTH($A389),DAY($A389)),$A:$A,0))=""),"",F389/INDEX(F:F,MATCH(DATE(YEAR($A389)-1,MONTH($A389),DAY($A389)),$A:$A,0))-1),"")</f>
        <v/>
      </c>
      <c r="J389" s="7">
        <f>IFERROR(IF(OR(G389="",INDEX(G:G,MATCH(DATE(YEAR($A389)-1,MONTH($A389),DAY($A389)),$A:$A,0))=""),"",G389/INDEX(G:G,MATCH(DATE(YEAR($A389)-1,MONTH($A389),DAY($A389)),$A:$A,0))-1),"")</f>
        <v/>
      </c>
      <c r="K389" s="7">
        <f>IF(OR(E389="",E388=""),"",E389/E388-1)</f>
        <v/>
      </c>
      <c r="L389" s="7">
        <f>IF(OR(F389="",F388=""),"",F389/F388-1)</f>
        <v/>
      </c>
      <c r="M389" s="7">
        <f>IF(OR(G389="",G388=""),"",G389/G388-1)</f>
        <v/>
      </c>
      <c r="N389" s="7">
        <f>IF(G389="","",E389/G389)</f>
        <v/>
      </c>
      <c r="O389" s="7">
        <f>IF(G389="","",F389/G389)</f>
        <v/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4">
        <f>IF(SUMIFS('Daily NSE Equity Cash'!$H:$H,'Daily NSE Equity Cash'!$A:$A,$A390)=0,"",SUMIFS('Daily NSE Equity Cash'!$H:$H,'Daily NSE Equity Cash'!$A:$A,$A390))</f>
        <v/>
      </c>
      <c r="F390" s="4">
        <f>IF(SUMIFS('Daily BSE Equity Cash'!$H:$H,'Daily BSE Equity Cash'!$A:$A,$A390)=0,"",SUMIFS('Daily BSE Equity Cash'!$H:$H,'Daily BSE Equity Cash'!$A:$A,$A390))</f>
        <v/>
      </c>
      <c r="G390" s="4">
        <f>IF(OR(E390="",F390=""),"",E390+F390)</f>
        <v/>
      </c>
      <c r="H390" s="7">
        <f>IFERROR(IF(OR(E390="",INDEX(E:E,MATCH(DATE(YEAR($A390)-1,MONTH($A390),DAY($A390)),$A:$A,0))=""),"",E390/INDEX(E:E,MATCH(DATE(YEAR($A390)-1,MONTH($A390),DAY($A390)),$A:$A,0))-1),"")</f>
        <v/>
      </c>
      <c r="I390" s="7">
        <f>IFERROR(IF(OR(F390="",INDEX(F:F,MATCH(DATE(YEAR($A390)-1,MONTH($A390),DAY($A390)),$A:$A,0))=""),"",F390/INDEX(F:F,MATCH(DATE(YEAR($A390)-1,MONTH($A390),DAY($A390)),$A:$A,0))-1),"")</f>
        <v/>
      </c>
      <c r="J390" s="7">
        <f>IFERROR(IF(OR(G390="",INDEX(G:G,MATCH(DATE(YEAR($A390)-1,MONTH($A390),DAY($A390)),$A:$A,0))=""),"",G390/INDEX(G:G,MATCH(DATE(YEAR($A390)-1,MONTH($A390),DAY($A390)),$A:$A,0))-1),"")</f>
        <v/>
      </c>
      <c r="K390" s="7">
        <f>IF(OR(E390="",E389=""),"",E390/E389-1)</f>
        <v/>
      </c>
      <c r="L390" s="7">
        <f>IF(OR(F390="",F389=""),"",F390/F389-1)</f>
        <v/>
      </c>
      <c r="M390" s="7">
        <f>IF(OR(G390="",G389=""),"",G390/G389-1)</f>
        <v/>
      </c>
      <c r="N390" s="7">
        <f>IF(G390="","",E390/G390)</f>
        <v/>
      </c>
      <c r="O390" s="7">
        <f>IF(G390="","",F390/G390)</f>
        <v/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4">
        <f>IF(SUMIFS('Daily NSE Equity Cash'!$H:$H,'Daily NSE Equity Cash'!$A:$A,$A391)=0,"",SUMIFS('Daily NSE Equity Cash'!$H:$H,'Daily NSE Equity Cash'!$A:$A,$A391))</f>
        <v/>
      </c>
      <c r="F391" s="4">
        <f>IF(SUMIFS('Daily BSE Equity Cash'!$H:$H,'Daily BSE Equity Cash'!$A:$A,$A391)=0,"",SUMIFS('Daily BSE Equity Cash'!$H:$H,'Daily BSE Equity Cash'!$A:$A,$A391))</f>
        <v/>
      </c>
      <c r="G391" s="4">
        <f>IF(OR(E391="",F391=""),"",E391+F391)</f>
        <v/>
      </c>
      <c r="H391" s="7">
        <f>IFERROR(IF(OR(E391="",INDEX(E:E,MATCH(DATE(YEAR($A391)-1,MONTH($A391),DAY($A391)),$A:$A,0))=""),"",E391/INDEX(E:E,MATCH(DATE(YEAR($A391)-1,MONTH($A391),DAY($A391)),$A:$A,0))-1),"")</f>
        <v/>
      </c>
      <c r="I391" s="7">
        <f>IFERROR(IF(OR(F391="",INDEX(F:F,MATCH(DATE(YEAR($A391)-1,MONTH($A391),DAY($A391)),$A:$A,0))=""),"",F391/INDEX(F:F,MATCH(DATE(YEAR($A391)-1,MONTH($A391),DAY($A391)),$A:$A,0))-1),"")</f>
        <v/>
      </c>
      <c r="J391" s="7">
        <f>IFERROR(IF(OR(G391="",INDEX(G:G,MATCH(DATE(YEAR($A391)-1,MONTH($A391),DAY($A391)),$A:$A,0))=""),"",G391/INDEX(G:G,MATCH(DATE(YEAR($A391)-1,MONTH($A391),DAY($A391)),$A:$A,0))-1),"")</f>
        <v/>
      </c>
      <c r="K391" s="7">
        <f>IF(OR(E391="",E390=""),"",E391/E390-1)</f>
        <v/>
      </c>
      <c r="L391" s="7">
        <f>IF(OR(F391="",F390=""),"",F391/F390-1)</f>
        <v/>
      </c>
      <c r="M391" s="7">
        <f>IF(OR(G391="",G390=""),"",G391/G390-1)</f>
        <v/>
      </c>
      <c r="N391" s="7">
        <f>IF(G391="","",E391/G391)</f>
        <v/>
      </c>
      <c r="O391" s="7">
        <f>IF(G391="","",F391/G391)</f>
        <v/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4">
        <f>IF(SUMIFS('Daily NSE Equity Cash'!$H:$H,'Daily NSE Equity Cash'!$A:$A,$A392)=0,"",SUMIFS('Daily NSE Equity Cash'!$H:$H,'Daily NSE Equity Cash'!$A:$A,$A392))</f>
        <v/>
      </c>
      <c r="F392" s="4">
        <f>IF(SUMIFS('Daily BSE Equity Cash'!$H:$H,'Daily BSE Equity Cash'!$A:$A,$A392)=0,"",SUMIFS('Daily BSE Equity Cash'!$H:$H,'Daily BSE Equity Cash'!$A:$A,$A392))</f>
        <v/>
      </c>
      <c r="G392" s="4">
        <f>IF(OR(E392="",F392=""),"",E392+F392)</f>
        <v/>
      </c>
      <c r="H392" s="7">
        <f>IFERROR(IF(OR(E392="",INDEX(E:E,MATCH(DATE(YEAR($A392)-1,MONTH($A392),DAY($A392)),$A:$A,0))=""),"",E392/INDEX(E:E,MATCH(DATE(YEAR($A392)-1,MONTH($A392),DAY($A392)),$A:$A,0))-1),"")</f>
        <v/>
      </c>
      <c r="I392" s="7">
        <f>IFERROR(IF(OR(F392="",INDEX(F:F,MATCH(DATE(YEAR($A392)-1,MONTH($A392),DAY($A392)),$A:$A,0))=""),"",F392/INDEX(F:F,MATCH(DATE(YEAR($A392)-1,MONTH($A392),DAY($A392)),$A:$A,0))-1),"")</f>
        <v/>
      </c>
      <c r="J392" s="7">
        <f>IFERROR(IF(OR(G392="",INDEX(G:G,MATCH(DATE(YEAR($A392)-1,MONTH($A392),DAY($A392)),$A:$A,0))=""),"",G392/INDEX(G:G,MATCH(DATE(YEAR($A392)-1,MONTH($A392),DAY($A392)),$A:$A,0))-1),"")</f>
        <v/>
      </c>
      <c r="K392" s="7">
        <f>IF(OR(E392="",E391=""),"",E392/E391-1)</f>
        <v/>
      </c>
      <c r="L392" s="7">
        <f>IF(OR(F392="",F391=""),"",F392/F391-1)</f>
        <v/>
      </c>
      <c r="M392" s="7">
        <f>IF(OR(G392="",G391=""),"",G392/G391-1)</f>
        <v/>
      </c>
      <c r="N392" s="7">
        <f>IF(G392="","",E392/G392)</f>
        <v/>
      </c>
      <c r="O392" s="7">
        <f>IF(G392="","",F392/G392)</f>
        <v/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4">
        <f>IF(SUMIFS('Daily NSE Equity Cash'!$H:$H,'Daily NSE Equity Cash'!$A:$A,$A393)=0,"",SUMIFS('Daily NSE Equity Cash'!$H:$H,'Daily NSE Equity Cash'!$A:$A,$A393))</f>
        <v/>
      </c>
      <c r="F393" s="4">
        <f>IF(SUMIFS('Daily BSE Equity Cash'!$H:$H,'Daily BSE Equity Cash'!$A:$A,$A393)=0,"",SUMIFS('Daily BSE Equity Cash'!$H:$H,'Daily BSE Equity Cash'!$A:$A,$A393))</f>
        <v/>
      </c>
      <c r="G393" s="4">
        <f>IF(OR(E393="",F393=""),"",E393+F393)</f>
        <v/>
      </c>
      <c r="H393" s="7">
        <f>IFERROR(IF(OR(E393="",INDEX(E:E,MATCH(DATE(YEAR($A393)-1,MONTH($A393),DAY($A393)),$A:$A,0))=""),"",E393/INDEX(E:E,MATCH(DATE(YEAR($A393)-1,MONTH($A393),DAY($A393)),$A:$A,0))-1),"")</f>
        <v/>
      </c>
      <c r="I393" s="7">
        <f>IFERROR(IF(OR(F393="",INDEX(F:F,MATCH(DATE(YEAR($A393)-1,MONTH($A393),DAY($A393)),$A:$A,0))=""),"",F393/INDEX(F:F,MATCH(DATE(YEAR($A393)-1,MONTH($A393),DAY($A393)),$A:$A,0))-1),"")</f>
        <v/>
      </c>
      <c r="J393" s="7">
        <f>IFERROR(IF(OR(G393="",INDEX(G:G,MATCH(DATE(YEAR($A393)-1,MONTH($A393),DAY($A393)),$A:$A,0))=""),"",G393/INDEX(G:G,MATCH(DATE(YEAR($A393)-1,MONTH($A393),DAY($A393)),$A:$A,0))-1),"")</f>
        <v/>
      </c>
      <c r="K393" s="7">
        <f>IF(OR(E393="",E392=""),"",E393/E392-1)</f>
        <v/>
      </c>
      <c r="L393" s="7">
        <f>IF(OR(F393="",F392=""),"",F393/F392-1)</f>
        <v/>
      </c>
      <c r="M393" s="7">
        <f>IF(OR(G393="",G392=""),"",G393/G392-1)</f>
        <v/>
      </c>
      <c r="N393" s="7">
        <f>IF(G393="","",E393/G393)</f>
        <v/>
      </c>
      <c r="O393" s="7">
        <f>IF(G393="","",F393/G393)</f>
        <v/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4">
        <f>IF(SUMIFS('Daily NSE Equity Cash'!$H:$H,'Daily NSE Equity Cash'!$A:$A,$A394)=0,"",SUMIFS('Daily NSE Equity Cash'!$H:$H,'Daily NSE Equity Cash'!$A:$A,$A394))</f>
        <v/>
      </c>
      <c r="F394" s="4">
        <f>IF(SUMIFS('Daily BSE Equity Cash'!$H:$H,'Daily BSE Equity Cash'!$A:$A,$A394)=0,"",SUMIFS('Daily BSE Equity Cash'!$H:$H,'Daily BSE Equity Cash'!$A:$A,$A394))</f>
        <v/>
      </c>
      <c r="G394" s="4">
        <f>IF(OR(E394="",F394=""),"",E394+F394)</f>
        <v/>
      </c>
      <c r="H394" s="7">
        <f>IFERROR(IF(OR(E394="",INDEX(E:E,MATCH(DATE(YEAR($A394)-1,MONTH($A394),DAY($A394)),$A:$A,0))=""),"",E394/INDEX(E:E,MATCH(DATE(YEAR($A394)-1,MONTH($A394),DAY($A394)),$A:$A,0))-1),"")</f>
        <v/>
      </c>
      <c r="I394" s="7">
        <f>IFERROR(IF(OR(F394="",INDEX(F:F,MATCH(DATE(YEAR($A394)-1,MONTH($A394),DAY($A394)),$A:$A,0))=""),"",F394/INDEX(F:F,MATCH(DATE(YEAR($A394)-1,MONTH($A394),DAY($A394)),$A:$A,0))-1),"")</f>
        <v/>
      </c>
      <c r="J394" s="7">
        <f>IFERROR(IF(OR(G394="",INDEX(G:G,MATCH(DATE(YEAR($A394)-1,MONTH($A394),DAY($A394)),$A:$A,0))=""),"",G394/INDEX(G:G,MATCH(DATE(YEAR($A394)-1,MONTH($A394),DAY($A394)),$A:$A,0))-1),"")</f>
        <v/>
      </c>
      <c r="K394" s="7">
        <f>IF(OR(E394="",E393=""),"",E394/E393-1)</f>
        <v/>
      </c>
      <c r="L394" s="7">
        <f>IF(OR(F394="",F393=""),"",F394/F393-1)</f>
        <v/>
      </c>
      <c r="M394" s="7">
        <f>IF(OR(G394="",G393=""),"",G394/G393-1)</f>
        <v/>
      </c>
      <c r="N394" s="7">
        <f>IF(G394="","",E394/G394)</f>
        <v/>
      </c>
      <c r="O394" s="7">
        <f>IF(G394="","",F394/G394)</f>
        <v/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4">
        <f>IF(SUMIFS('Daily NSE Equity Cash'!$H:$H,'Daily NSE Equity Cash'!$A:$A,$A395)=0,"",SUMIFS('Daily NSE Equity Cash'!$H:$H,'Daily NSE Equity Cash'!$A:$A,$A395))</f>
        <v/>
      </c>
      <c r="F395" s="4">
        <f>IF(SUMIFS('Daily BSE Equity Cash'!$H:$H,'Daily BSE Equity Cash'!$A:$A,$A395)=0,"",SUMIFS('Daily BSE Equity Cash'!$H:$H,'Daily BSE Equity Cash'!$A:$A,$A395))</f>
        <v/>
      </c>
      <c r="G395" s="4">
        <f>IF(OR(E395="",F395=""),"",E395+F395)</f>
        <v/>
      </c>
      <c r="H395" s="7">
        <f>IFERROR(IF(OR(E395="",INDEX(E:E,MATCH(DATE(YEAR($A395)-1,MONTH($A395),DAY($A395)),$A:$A,0))=""),"",E395/INDEX(E:E,MATCH(DATE(YEAR($A395)-1,MONTH($A395),DAY($A395)),$A:$A,0))-1),"")</f>
        <v/>
      </c>
      <c r="I395" s="7">
        <f>IFERROR(IF(OR(F395="",INDEX(F:F,MATCH(DATE(YEAR($A395)-1,MONTH($A395),DAY($A395)),$A:$A,0))=""),"",F395/INDEX(F:F,MATCH(DATE(YEAR($A395)-1,MONTH($A395),DAY($A395)),$A:$A,0))-1),"")</f>
        <v/>
      </c>
      <c r="J395" s="7">
        <f>IFERROR(IF(OR(G395="",INDEX(G:G,MATCH(DATE(YEAR($A395)-1,MONTH($A395),DAY($A395)),$A:$A,0))=""),"",G395/INDEX(G:G,MATCH(DATE(YEAR($A395)-1,MONTH($A395),DAY($A395)),$A:$A,0))-1),"")</f>
        <v/>
      </c>
      <c r="K395" s="7">
        <f>IF(OR(E395="",E394=""),"",E395/E394-1)</f>
        <v/>
      </c>
      <c r="L395" s="7">
        <f>IF(OR(F395="",F394=""),"",F395/F394-1)</f>
        <v/>
      </c>
      <c r="M395" s="7">
        <f>IF(OR(G395="",G394=""),"",G395/G394-1)</f>
        <v/>
      </c>
      <c r="N395" s="7">
        <f>IF(G395="","",E395/G395)</f>
        <v/>
      </c>
      <c r="O395" s="7">
        <f>IF(G395="","",F395/G395)</f>
        <v/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4">
        <f>IF(SUMIFS('Daily NSE Equity Cash'!$H:$H,'Daily NSE Equity Cash'!$A:$A,$A396)=0,"",SUMIFS('Daily NSE Equity Cash'!$H:$H,'Daily NSE Equity Cash'!$A:$A,$A396))</f>
        <v/>
      </c>
      <c r="F396" s="4">
        <f>IF(SUMIFS('Daily BSE Equity Cash'!$H:$H,'Daily BSE Equity Cash'!$A:$A,$A396)=0,"",SUMIFS('Daily BSE Equity Cash'!$H:$H,'Daily BSE Equity Cash'!$A:$A,$A396))</f>
        <v/>
      </c>
      <c r="G396" s="4">
        <f>IF(OR(E396="",F396=""),"",E396+F396)</f>
        <v/>
      </c>
      <c r="H396" s="7">
        <f>IFERROR(IF(OR(E396="",INDEX(E:E,MATCH(DATE(YEAR($A396)-1,MONTH($A396),DAY($A396)),$A:$A,0))=""),"",E396/INDEX(E:E,MATCH(DATE(YEAR($A396)-1,MONTH($A396),DAY($A396)),$A:$A,0))-1),"")</f>
        <v/>
      </c>
      <c r="I396" s="7">
        <f>IFERROR(IF(OR(F396="",INDEX(F:F,MATCH(DATE(YEAR($A396)-1,MONTH($A396),DAY($A396)),$A:$A,0))=""),"",F396/INDEX(F:F,MATCH(DATE(YEAR($A396)-1,MONTH($A396),DAY($A396)),$A:$A,0))-1),"")</f>
        <v/>
      </c>
      <c r="J396" s="7">
        <f>IFERROR(IF(OR(G396="",INDEX(G:G,MATCH(DATE(YEAR($A396)-1,MONTH($A396),DAY($A396)),$A:$A,0))=""),"",G396/INDEX(G:G,MATCH(DATE(YEAR($A396)-1,MONTH($A396),DAY($A396)),$A:$A,0))-1),"")</f>
        <v/>
      </c>
      <c r="K396" s="7">
        <f>IF(OR(E396="",E395=""),"",E396/E395-1)</f>
        <v/>
      </c>
      <c r="L396" s="7">
        <f>IF(OR(F396="",F395=""),"",F396/F395-1)</f>
        <v/>
      </c>
      <c r="M396" s="7">
        <f>IF(OR(G396="",G395=""),"",G396/G395-1)</f>
        <v/>
      </c>
      <c r="N396" s="7">
        <f>IF(G396="","",E396/G396)</f>
        <v/>
      </c>
      <c r="O396" s="7">
        <f>IF(G396="","",F396/G396)</f>
        <v/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4">
        <f>IF(SUMIFS('Daily NSE Equity Cash'!$H:$H,'Daily NSE Equity Cash'!$A:$A,$A397)=0,"",SUMIFS('Daily NSE Equity Cash'!$H:$H,'Daily NSE Equity Cash'!$A:$A,$A397))</f>
        <v/>
      </c>
      <c r="F397" s="4">
        <f>IF(SUMIFS('Daily BSE Equity Cash'!$H:$H,'Daily BSE Equity Cash'!$A:$A,$A397)=0,"",SUMIFS('Daily BSE Equity Cash'!$H:$H,'Daily BSE Equity Cash'!$A:$A,$A397))</f>
        <v/>
      </c>
      <c r="G397" s="4">
        <f>IF(OR(E397="",F397=""),"",E397+F397)</f>
        <v/>
      </c>
      <c r="H397" s="7">
        <f>IFERROR(IF(OR(E397="",INDEX(E:E,MATCH(DATE(YEAR($A397)-1,MONTH($A397),DAY($A397)),$A:$A,0))=""),"",E397/INDEX(E:E,MATCH(DATE(YEAR($A397)-1,MONTH($A397),DAY($A397)),$A:$A,0))-1),"")</f>
        <v/>
      </c>
      <c r="I397" s="7">
        <f>IFERROR(IF(OR(F397="",INDEX(F:F,MATCH(DATE(YEAR($A397)-1,MONTH($A397),DAY($A397)),$A:$A,0))=""),"",F397/INDEX(F:F,MATCH(DATE(YEAR($A397)-1,MONTH($A397),DAY($A397)),$A:$A,0))-1),"")</f>
        <v/>
      </c>
      <c r="J397" s="7">
        <f>IFERROR(IF(OR(G397="",INDEX(G:G,MATCH(DATE(YEAR($A397)-1,MONTH($A397),DAY($A397)),$A:$A,0))=""),"",G397/INDEX(G:G,MATCH(DATE(YEAR($A397)-1,MONTH($A397),DAY($A397)),$A:$A,0))-1),"")</f>
        <v/>
      </c>
      <c r="K397" s="7">
        <f>IF(OR(E397="",E396=""),"",E397/E396-1)</f>
        <v/>
      </c>
      <c r="L397" s="7">
        <f>IF(OR(F397="",F396=""),"",F397/F396-1)</f>
        <v/>
      </c>
      <c r="M397" s="7">
        <f>IF(OR(G397="",G396=""),"",G397/G396-1)</f>
        <v/>
      </c>
      <c r="N397" s="7">
        <f>IF(G397="","",E397/G397)</f>
        <v/>
      </c>
      <c r="O397" s="7">
        <f>IF(G397="","",F397/G397)</f>
        <v/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4">
        <f>IF(SUMIFS('Daily NSE Equity Cash'!$H:$H,'Daily NSE Equity Cash'!$A:$A,$A398)=0,"",SUMIFS('Daily NSE Equity Cash'!$H:$H,'Daily NSE Equity Cash'!$A:$A,$A398))</f>
        <v/>
      </c>
      <c r="F398" s="4">
        <f>IF(SUMIFS('Daily BSE Equity Cash'!$H:$H,'Daily BSE Equity Cash'!$A:$A,$A398)=0,"",SUMIFS('Daily BSE Equity Cash'!$H:$H,'Daily BSE Equity Cash'!$A:$A,$A398))</f>
        <v/>
      </c>
      <c r="G398" s="4">
        <f>IF(OR(E398="",F398=""),"",E398+F398)</f>
        <v/>
      </c>
      <c r="H398" s="7">
        <f>IFERROR(IF(OR(E398="",INDEX(E:E,MATCH(DATE(YEAR($A398)-1,MONTH($A398),DAY($A398)),$A:$A,0))=""),"",E398/INDEX(E:E,MATCH(DATE(YEAR($A398)-1,MONTH($A398),DAY($A398)),$A:$A,0))-1),"")</f>
        <v/>
      </c>
      <c r="I398" s="7">
        <f>IFERROR(IF(OR(F398="",INDEX(F:F,MATCH(DATE(YEAR($A398)-1,MONTH($A398),DAY($A398)),$A:$A,0))=""),"",F398/INDEX(F:F,MATCH(DATE(YEAR($A398)-1,MONTH($A398),DAY($A398)),$A:$A,0))-1),"")</f>
        <v/>
      </c>
      <c r="J398" s="7">
        <f>IFERROR(IF(OR(G398="",INDEX(G:G,MATCH(DATE(YEAR($A398)-1,MONTH($A398),DAY($A398)),$A:$A,0))=""),"",G398/INDEX(G:G,MATCH(DATE(YEAR($A398)-1,MONTH($A398),DAY($A398)),$A:$A,0))-1),"")</f>
        <v/>
      </c>
      <c r="K398" s="7">
        <f>IF(OR(E398="",E397=""),"",E398/E397-1)</f>
        <v/>
      </c>
      <c r="L398" s="7">
        <f>IF(OR(F398="",F397=""),"",F398/F397-1)</f>
        <v/>
      </c>
      <c r="M398" s="7">
        <f>IF(OR(G398="",G397=""),"",G398/G397-1)</f>
        <v/>
      </c>
      <c r="N398" s="7">
        <f>IF(G398="","",E398/G398)</f>
        <v/>
      </c>
      <c r="O398" s="7">
        <f>IF(G398="","",F398/G398)</f>
        <v/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4">
        <f>IF(SUMIFS('Daily NSE Equity Cash'!$H:$H,'Daily NSE Equity Cash'!$A:$A,$A399)=0,"",SUMIFS('Daily NSE Equity Cash'!$H:$H,'Daily NSE Equity Cash'!$A:$A,$A399))</f>
        <v/>
      </c>
      <c r="F399" s="4">
        <f>IF(SUMIFS('Daily BSE Equity Cash'!$H:$H,'Daily BSE Equity Cash'!$A:$A,$A399)=0,"",SUMIFS('Daily BSE Equity Cash'!$H:$H,'Daily BSE Equity Cash'!$A:$A,$A399))</f>
        <v/>
      </c>
      <c r="G399" s="4">
        <f>IF(OR(E399="",F399=""),"",E399+F399)</f>
        <v/>
      </c>
      <c r="H399" s="7">
        <f>IFERROR(IF(OR(E399="",INDEX(E:E,MATCH(DATE(YEAR($A399)-1,MONTH($A399),DAY($A399)),$A:$A,0))=""),"",E399/INDEX(E:E,MATCH(DATE(YEAR($A399)-1,MONTH($A399),DAY($A399)),$A:$A,0))-1),"")</f>
        <v/>
      </c>
      <c r="I399" s="7">
        <f>IFERROR(IF(OR(F399="",INDEX(F:F,MATCH(DATE(YEAR($A399)-1,MONTH($A399),DAY($A399)),$A:$A,0))=""),"",F399/INDEX(F:F,MATCH(DATE(YEAR($A399)-1,MONTH($A399),DAY($A399)),$A:$A,0))-1),"")</f>
        <v/>
      </c>
      <c r="J399" s="7">
        <f>IFERROR(IF(OR(G399="",INDEX(G:G,MATCH(DATE(YEAR($A399)-1,MONTH($A399),DAY($A399)),$A:$A,0))=""),"",G399/INDEX(G:G,MATCH(DATE(YEAR($A399)-1,MONTH($A399),DAY($A399)),$A:$A,0))-1),"")</f>
        <v/>
      </c>
      <c r="K399" s="7">
        <f>IF(OR(E399="",E398=""),"",E399/E398-1)</f>
        <v/>
      </c>
      <c r="L399" s="7">
        <f>IF(OR(F399="",F398=""),"",F399/F398-1)</f>
        <v/>
      </c>
      <c r="M399" s="7">
        <f>IF(OR(G399="",G398=""),"",G399/G398-1)</f>
        <v/>
      </c>
      <c r="N399" s="7">
        <f>IF(G399="","",E399/G399)</f>
        <v/>
      </c>
      <c r="O399" s="7">
        <f>IF(G399="","",F399/G399)</f>
        <v/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4">
        <f>IF(SUMIFS('Daily NSE Equity Cash'!$H:$H,'Daily NSE Equity Cash'!$A:$A,$A400)=0,"",SUMIFS('Daily NSE Equity Cash'!$H:$H,'Daily NSE Equity Cash'!$A:$A,$A400))</f>
        <v/>
      </c>
      <c r="F400" s="4">
        <f>IF(SUMIFS('Daily BSE Equity Cash'!$H:$H,'Daily BSE Equity Cash'!$A:$A,$A400)=0,"",SUMIFS('Daily BSE Equity Cash'!$H:$H,'Daily BSE Equity Cash'!$A:$A,$A400))</f>
        <v/>
      </c>
      <c r="G400" s="4">
        <f>IF(OR(E400="",F400=""),"",E400+F400)</f>
        <v/>
      </c>
      <c r="H400" s="7">
        <f>IFERROR(IF(OR(E400="",INDEX(E:E,MATCH(DATE(YEAR($A400)-1,MONTH($A400),DAY($A400)),$A:$A,0))=""),"",E400/INDEX(E:E,MATCH(DATE(YEAR($A400)-1,MONTH($A400),DAY($A400)),$A:$A,0))-1),"")</f>
        <v/>
      </c>
      <c r="I400" s="7">
        <f>IFERROR(IF(OR(F400="",INDEX(F:F,MATCH(DATE(YEAR($A400)-1,MONTH($A400),DAY($A400)),$A:$A,0))=""),"",F400/INDEX(F:F,MATCH(DATE(YEAR($A400)-1,MONTH($A400),DAY($A400)),$A:$A,0))-1),"")</f>
        <v/>
      </c>
      <c r="J400" s="7">
        <f>IFERROR(IF(OR(G400="",INDEX(G:G,MATCH(DATE(YEAR($A400)-1,MONTH($A400),DAY($A400)),$A:$A,0))=""),"",G400/INDEX(G:G,MATCH(DATE(YEAR($A400)-1,MONTH($A400),DAY($A400)),$A:$A,0))-1),"")</f>
        <v/>
      </c>
      <c r="K400" s="7">
        <f>IF(OR(E400="",E399=""),"",E400/E399-1)</f>
        <v/>
      </c>
      <c r="L400" s="7">
        <f>IF(OR(F400="",F399=""),"",F400/F399-1)</f>
        <v/>
      </c>
      <c r="M400" s="7">
        <f>IF(OR(G400="",G399=""),"",G400/G399-1)</f>
        <v/>
      </c>
      <c r="N400" s="7">
        <f>IF(G400="","",E400/G400)</f>
        <v/>
      </c>
      <c r="O400" s="7">
        <f>IF(G400="","",F400/G400)</f>
        <v/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4">
        <f>IF(SUMIFS('Daily NSE Equity Cash'!$H:$H,'Daily NSE Equity Cash'!$A:$A,$A401)=0,"",SUMIFS('Daily NSE Equity Cash'!$H:$H,'Daily NSE Equity Cash'!$A:$A,$A401))</f>
        <v/>
      </c>
      <c r="F401" s="4">
        <f>IF(SUMIFS('Daily BSE Equity Cash'!$H:$H,'Daily BSE Equity Cash'!$A:$A,$A401)=0,"",SUMIFS('Daily BSE Equity Cash'!$H:$H,'Daily BSE Equity Cash'!$A:$A,$A401))</f>
        <v/>
      </c>
      <c r="G401" s="4">
        <f>IF(OR(E401="",F401=""),"",E401+F401)</f>
        <v/>
      </c>
      <c r="H401" s="7">
        <f>IFERROR(IF(OR(E401="",INDEX(E:E,MATCH(DATE(YEAR($A401)-1,MONTH($A401),DAY($A401)),$A:$A,0))=""),"",E401/INDEX(E:E,MATCH(DATE(YEAR($A401)-1,MONTH($A401),DAY($A401)),$A:$A,0))-1),"")</f>
        <v/>
      </c>
      <c r="I401" s="7">
        <f>IFERROR(IF(OR(F401="",INDEX(F:F,MATCH(DATE(YEAR($A401)-1,MONTH($A401),DAY($A401)),$A:$A,0))=""),"",F401/INDEX(F:F,MATCH(DATE(YEAR($A401)-1,MONTH($A401),DAY($A401)),$A:$A,0))-1),"")</f>
        <v/>
      </c>
      <c r="J401" s="7">
        <f>IFERROR(IF(OR(G401="",INDEX(G:G,MATCH(DATE(YEAR($A401)-1,MONTH($A401),DAY($A401)),$A:$A,0))=""),"",G401/INDEX(G:G,MATCH(DATE(YEAR($A401)-1,MONTH($A401),DAY($A401)),$A:$A,0))-1),"")</f>
        <v/>
      </c>
      <c r="K401" s="7">
        <f>IF(OR(E401="",E400=""),"",E401/E400-1)</f>
        <v/>
      </c>
      <c r="L401" s="7">
        <f>IF(OR(F401="",F400=""),"",F401/F400-1)</f>
        <v/>
      </c>
      <c r="M401" s="7">
        <f>IF(OR(G401="",G400=""),"",G401/G400-1)</f>
        <v/>
      </c>
      <c r="N401" s="7">
        <f>IF(G401="","",E401/G401)</f>
        <v/>
      </c>
      <c r="O401" s="7">
        <f>IF(G401="","",F401/G401)</f>
        <v/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4">
        <f>IF(SUMIFS('Daily NSE Equity Cash'!$H:$H,'Daily NSE Equity Cash'!$A:$A,$A402)=0,"",SUMIFS('Daily NSE Equity Cash'!$H:$H,'Daily NSE Equity Cash'!$A:$A,$A402))</f>
        <v/>
      </c>
      <c r="F402" s="4">
        <f>IF(SUMIFS('Daily BSE Equity Cash'!$H:$H,'Daily BSE Equity Cash'!$A:$A,$A402)=0,"",SUMIFS('Daily BSE Equity Cash'!$H:$H,'Daily BSE Equity Cash'!$A:$A,$A402))</f>
        <v/>
      </c>
      <c r="G402" s="4">
        <f>IF(OR(E402="",F402=""),"",E402+F402)</f>
        <v/>
      </c>
      <c r="H402" s="7">
        <f>IFERROR(IF(OR(E402="",INDEX(E:E,MATCH(DATE(YEAR($A402)-1,MONTH($A402),DAY($A402)),$A:$A,0))=""),"",E402/INDEX(E:E,MATCH(DATE(YEAR($A402)-1,MONTH($A402),DAY($A402)),$A:$A,0))-1),"")</f>
        <v/>
      </c>
      <c r="I402" s="7">
        <f>IFERROR(IF(OR(F402="",INDEX(F:F,MATCH(DATE(YEAR($A402)-1,MONTH($A402),DAY($A402)),$A:$A,0))=""),"",F402/INDEX(F:F,MATCH(DATE(YEAR($A402)-1,MONTH($A402),DAY($A402)),$A:$A,0))-1),"")</f>
        <v/>
      </c>
      <c r="J402" s="7">
        <f>IFERROR(IF(OR(G402="",INDEX(G:G,MATCH(DATE(YEAR($A402)-1,MONTH($A402),DAY($A402)),$A:$A,0))=""),"",G402/INDEX(G:G,MATCH(DATE(YEAR($A402)-1,MONTH($A402),DAY($A402)),$A:$A,0))-1),"")</f>
        <v/>
      </c>
      <c r="K402" s="7">
        <f>IF(OR(E402="",E401=""),"",E402/E401-1)</f>
        <v/>
      </c>
      <c r="L402" s="7">
        <f>IF(OR(F402="",F401=""),"",F402/F401-1)</f>
        <v/>
      </c>
      <c r="M402" s="7">
        <f>IF(OR(G402="",G401=""),"",G402/G401-1)</f>
        <v/>
      </c>
      <c r="N402" s="7">
        <f>IF(G402="","",E402/G402)</f>
        <v/>
      </c>
      <c r="O402" s="7">
        <f>IF(G402="","",F402/G402)</f>
        <v/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4">
        <f>IF(SUMIFS('Daily NSE Equity Cash'!$H:$H,'Daily NSE Equity Cash'!$A:$A,$A403)=0,"",SUMIFS('Daily NSE Equity Cash'!$H:$H,'Daily NSE Equity Cash'!$A:$A,$A403))</f>
        <v/>
      </c>
      <c r="F403" s="4">
        <f>IF(SUMIFS('Daily BSE Equity Cash'!$H:$H,'Daily BSE Equity Cash'!$A:$A,$A403)=0,"",SUMIFS('Daily BSE Equity Cash'!$H:$H,'Daily BSE Equity Cash'!$A:$A,$A403))</f>
        <v/>
      </c>
      <c r="G403" s="4">
        <f>IF(OR(E403="",F403=""),"",E403+F403)</f>
        <v/>
      </c>
      <c r="H403" s="7">
        <f>IFERROR(IF(OR(E403="",INDEX(E:E,MATCH(DATE(YEAR($A403)-1,MONTH($A403),DAY($A403)),$A:$A,0))=""),"",E403/INDEX(E:E,MATCH(DATE(YEAR($A403)-1,MONTH($A403),DAY($A403)),$A:$A,0))-1),"")</f>
        <v/>
      </c>
      <c r="I403" s="7">
        <f>IFERROR(IF(OR(F403="",INDEX(F:F,MATCH(DATE(YEAR($A403)-1,MONTH($A403),DAY($A403)),$A:$A,0))=""),"",F403/INDEX(F:F,MATCH(DATE(YEAR($A403)-1,MONTH($A403),DAY($A403)),$A:$A,0))-1),"")</f>
        <v/>
      </c>
      <c r="J403" s="7">
        <f>IFERROR(IF(OR(G403="",INDEX(G:G,MATCH(DATE(YEAR($A403)-1,MONTH($A403),DAY($A403)),$A:$A,0))=""),"",G403/INDEX(G:G,MATCH(DATE(YEAR($A403)-1,MONTH($A403),DAY($A403)),$A:$A,0))-1),"")</f>
        <v/>
      </c>
      <c r="K403" s="7">
        <f>IF(OR(E403="",E402=""),"",E403/E402-1)</f>
        <v/>
      </c>
      <c r="L403" s="7">
        <f>IF(OR(F403="",F402=""),"",F403/F402-1)</f>
        <v/>
      </c>
      <c r="M403" s="7">
        <f>IF(OR(G403="",G402=""),"",G403/G402-1)</f>
        <v/>
      </c>
      <c r="N403" s="7">
        <f>IF(G403="","",E403/G403)</f>
        <v/>
      </c>
      <c r="O403" s="7">
        <f>IF(G403="","",F403/G403)</f>
        <v/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4">
        <f>IF(SUMIFS('Daily NSE Equity Cash'!$H:$H,'Daily NSE Equity Cash'!$A:$A,$A404)=0,"",SUMIFS('Daily NSE Equity Cash'!$H:$H,'Daily NSE Equity Cash'!$A:$A,$A404))</f>
        <v/>
      </c>
      <c r="F404" s="4">
        <f>IF(SUMIFS('Daily BSE Equity Cash'!$H:$H,'Daily BSE Equity Cash'!$A:$A,$A404)=0,"",SUMIFS('Daily BSE Equity Cash'!$H:$H,'Daily BSE Equity Cash'!$A:$A,$A404))</f>
        <v/>
      </c>
      <c r="G404" s="4">
        <f>IF(OR(E404="",F404=""),"",E404+F404)</f>
        <v/>
      </c>
      <c r="H404" s="7">
        <f>IFERROR(IF(OR(E404="",INDEX(E:E,MATCH(DATE(YEAR($A404)-1,MONTH($A404),DAY($A404)),$A:$A,0))=""),"",E404/INDEX(E:E,MATCH(DATE(YEAR($A404)-1,MONTH($A404),DAY($A404)),$A:$A,0))-1),"")</f>
        <v/>
      </c>
      <c r="I404" s="7">
        <f>IFERROR(IF(OR(F404="",INDEX(F:F,MATCH(DATE(YEAR($A404)-1,MONTH($A404),DAY($A404)),$A:$A,0))=""),"",F404/INDEX(F:F,MATCH(DATE(YEAR($A404)-1,MONTH($A404),DAY($A404)),$A:$A,0))-1),"")</f>
        <v/>
      </c>
      <c r="J404" s="7">
        <f>IFERROR(IF(OR(G404="",INDEX(G:G,MATCH(DATE(YEAR($A404)-1,MONTH($A404),DAY($A404)),$A:$A,0))=""),"",G404/INDEX(G:G,MATCH(DATE(YEAR($A404)-1,MONTH($A404),DAY($A404)),$A:$A,0))-1),"")</f>
        <v/>
      </c>
      <c r="K404" s="7">
        <f>IF(OR(E404="",E403=""),"",E404/E403-1)</f>
        <v/>
      </c>
      <c r="L404" s="7">
        <f>IF(OR(F404="",F403=""),"",F404/F403-1)</f>
        <v/>
      </c>
      <c r="M404" s="7">
        <f>IF(OR(G404="",G403=""),"",G404/G403-1)</f>
        <v/>
      </c>
      <c r="N404" s="7">
        <f>IF(G404="","",E404/G404)</f>
        <v/>
      </c>
      <c r="O404" s="7">
        <f>IF(G404="","",F404/G404)</f>
        <v/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4">
        <f>IF(SUMIFS('Daily NSE Equity Cash'!$H:$H,'Daily NSE Equity Cash'!$A:$A,$A405)=0,"",SUMIFS('Daily NSE Equity Cash'!$H:$H,'Daily NSE Equity Cash'!$A:$A,$A405))</f>
        <v/>
      </c>
      <c r="F405" s="4">
        <f>IF(SUMIFS('Daily BSE Equity Cash'!$H:$H,'Daily BSE Equity Cash'!$A:$A,$A405)=0,"",SUMIFS('Daily BSE Equity Cash'!$H:$H,'Daily BSE Equity Cash'!$A:$A,$A405))</f>
        <v/>
      </c>
      <c r="G405" s="4">
        <f>IF(OR(E405="",F405=""),"",E405+F405)</f>
        <v/>
      </c>
      <c r="H405" s="7">
        <f>IFERROR(IF(OR(E405="",INDEX(E:E,MATCH(DATE(YEAR($A405)-1,MONTH($A405),DAY($A405)),$A:$A,0))=""),"",E405/INDEX(E:E,MATCH(DATE(YEAR($A405)-1,MONTH($A405),DAY($A405)),$A:$A,0))-1),"")</f>
        <v/>
      </c>
      <c r="I405" s="7">
        <f>IFERROR(IF(OR(F405="",INDEX(F:F,MATCH(DATE(YEAR($A405)-1,MONTH($A405),DAY($A405)),$A:$A,0))=""),"",F405/INDEX(F:F,MATCH(DATE(YEAR($A405)-1,MONTH($A405),DAY($A405)),$A:$A,0))-1),"")</f>
        <v/>
      </c>
      <c r="J405" s="7">
        <f>IFERROR(IF(OR(G405="",INDEX(G:G,MATCH(DATE(YEAR($A405)-1,MONTH($A405),DAY($A405)),$A:$A,0))=""),"",G405/INDEX(G:G,MATCH(DATE(YEAR($A405)-1,MONTH($A405),DAY($A405)),$A:$A,0))-1),"")</f>
        <v/>
      </c>
      <c r="K405" s="7">
        <f>IF(OR(E405="",E404=""),"",E405/E404-1)</f>
        <v/>
      </c>
      <c r="L405" s="7">
        <f>IF(OR(F405="",F404=""),"",F405/F404-1)</f>
        <v/>
      </c>
      <c r="M405" s="7">
        <f>IF(OR(G405="",G404=""),"",G405/G404-1)</f>
        <v/>
      </c>
      <c r="N405" s="7">
        <f>IF(G405="","",E405/G405)</f>
        <v/>
      </c>
      <c r="O405" s="7">
        <f>IF(G405="","",F405/G405)</f>
        <v/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4">
        <f>IF(SUMIFS('Daily NSE Equity Cash'!$H:$H,'Daily NSE Equity Cash'!$A:$A,$A406)=0,"",SUMIFS('Daily NSE Equity Cash'!$H:$H,'Daily NSE Equity Cash'!$A:$A,$A406))</f>
        <v/>
      </c>
      <c r="F406" s="4">
        <f>IF(SUMIFS('Daily BSE Equity Cash'!$H:$H,'Daily BSE Equity Cash'!$A:$A,$A406)=0,"",SUMIFS('Daily BSE Equity Cash'!$H:$H,'Daily BSE Equity Cash'!$A:$A,$A406))</f>
        <v/>
      </c>
      <c r="G406" s="4">
        <f>IF(OR(E406="",F406=""),"",E406+F406)</f>
        <v/>
      </c>
      <c r="H406" s="7">
        <f>IFERROR(IF(OR(E406="",INDEX(E:E,MATCH(DATE(YEAR($A406)-1,MONTH($A406),DAY($A406)),$A:$A,0))=""),"",E406/INDEX(E:E,MATCH(DATE(YEAR($A406)-1,MONTH($A406),DAY($A406)),$A:$A,0))-1),"")</f>
        <v/>
      </c>
      <c r="I406" s="7">
        <f>IFERROR(IF(OR(F406="",INDEX(F:F,MATCH(DATE(YEAR($A406)-1,MONTH($A406),DAY($A406)),$A:$A,0))=""),"",F406/INDEX(F:F,MATCH(DATE(YEAR($A406)-1,MONTH($A406),DAY($A406)),$A:$A,0))-1),"")</f>
        <v/>
      </c>
      <c r="J406" s="7">
        <f>IFERROR(IF(OR(G406="",INDEX(G:G,MATCH(DATE(YEAR($A406)-1,MONTH($A406),DAY($A406)),$A:$A,0))=""),"",G406/INDEX(G:G,MATCH(DATE(YEAR($A406)-1,MONTH($A406),DAY($A406)),$A:$A,0))-1),"")</f>
        <v/>
      </c>
      <c r="K406" s="7">
        <f>IF(OR(E406="",E405=""),"",E406/E405-1)</f>
        <v/>
      </c>
      <c r="L406" s="7">
        <f>IF(OR(F406="",F405=""),"",F406/F405-1)</f>
        <v/>
      </c>
      <c r="M406" s="7">
        <f>IF(OR(G406="",G405=""),"",G406/G405-1)</f>
        <v/>
      </c>
      <c r="N406" s="7">
        <f>IF(G406="","",E406/G406)</f>
        <v/>
      </c>
      <c r="O406" s="7">
        <f>IF(G406="","",F406/G406)</f>
        <v/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4">
        <f>IF(SUMIFS('Daily NSE Equity Cash'!$H:$H,'Daily NSE Equity Cash'!$A:$A,$A407)=0,"",SUMIFS('Daily NSE Equity Cash'!$H:$H,'Daily NSE Equity Cash'!$A:$A,$A407))</f>
        <v/>
      </c>
      <c r="F407" s="4">
        <f>IF(SUMIFS('Daily BSE Equity Cash'!$H:$H,'Daily BSE Equity Cash'!$A:$A,$A407)=0,"",SUMIFS('Daily BSE Equity Cash'!$H:$H,'Daily BSE Equity Cash'!$A:$A,$A407))</f>
        <v/>
      </c>
      <c r="G407" s="4">
        <f>IF(OR(E407="",F407=""),"",E407+F407)</f>
        <v/>
      </c>
      <c r="H407" s="7">
        <f>IFERROR(IF(OR(E407="",INDEX(E:E,MATCH(DATE(YEAR($A407)-1,MONTH($A407),DAY($A407)),$A:$A,0))=""),"",E407/INDEX(E:E,MATCH(DATE(YEAR($A407)-1,MONTH($A407),DAY($A407)),$A:$A,0))-1),"")</f>
        <v/>
      </c>
      <c r="I407" s="7">
        <f>IFERROR(IF(OR(F407="",INDEX(F:F,MATCH(DATE(YEAR($A407)-1,MONTH($A407),DAY($A407)),$A:$A,0))=""),"",F407/INDEX(F:F,MATCH(DATE(YEAR($A407)-1,MONTH($A407),DAY($A407)),$A:$A,0))-1),"")</f>
        <v/>
      </c>
      <c r="J407" s="7">
        <f>IFERROR(IF(OR(G407="",INDEX(G:G,MATCH(DATE(YEAR($A407)-1,MONTH($A407),DAY($A407)),$A:$A,0))=""),"",G407/INDEX(G:G,MATCH(DATE(YEAR($A407)-1,MONTH($A407),DAY($A407)),$A:$A,0))-1),"")</f>
        <v/>
      </c>
      <c r="K407" s="7">
        <f>IF(OR(E407="",E406=""),"",E407/E406-1)</f>
        <v/>
      </c>
      <c r="L407" s="7">
        <f>IF(OR(F407="",F406=""),"",F407/F406-1)</f>
        <v/>
      </c>
      <c r="M407" s="7">
        <f>IF(OR(G407="",G406=""),"",G407/G406-1)</f>
        <v/>
      </c>
      <c r="N407" s="7">
        <f>IF(G407="","",E407/G407)</f>
        <v/>
      </c>
      <c r="O407" s="7">
        <f>IF(G407="","",F407/G407)</f>
        <v/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4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/>
      </c>
      <c r="G408" s="4">
        <f>IF(OR(E408="",F408=""),"",E408+F408)</f>
        <v/>
      </c>
      <c r="H408" s="7">
        <f>IFERROR(IF(OR(E408="",INDEX(E:E,MATCH(DATE(YEAR($A408)-1,MONTH($A408),DAY($A408)),$A:$A,0))=""),"",E408/INDEX(E:E,MATCH(DATE(YEAR($A408)-1,MONTH($A408),DAY($A408)),$A:$A,0))-1),"")</f>
        <v/>
      </c>
      <c r="I408" s="7">
        <f>IFERROR(IF(OR(F408="",INDEX(F:F,MATCH(DATE(YEAR($A408)-1,MONTH($A408),DAY($A408)),$A:$A,0))=""),"",F408/INDEX(F:F,MATCH(DATE(YEAR($A408)-1,MONTH($A408),DAY($A408)),$A:$A,0))-1),"")</f>
        <v/>
      </c>
      <c r="J408" s="7">
        <f>IFERROR(IF(OR(G408="",INDEX(G:G,MATCH(DATE(YEAR($A408)-1,MONTH($A408),DAY($A408)),$A:$A,0))=""),"",G408/INDEX(G:G,MATCH(DATE(YEAR($A408)-1,MONTH($A408),DAY($A408)),$A:$A,0))-1),"")</f>
        <v/>
      </c>
      <c r="K408" s="7">
        <f>IF(OR(E408="",E407=""),"",E408/E407-1)</f>
        <v/>
      </c>
      <c r="L408" s="7">
        <f>IF(OR(F408="",F407=""),"",F408/F407-1)</f>
        <v/>
      </c>
      <c r="M408" s="7">
        <f>IF(OR(G408="",G407=""),"",G408/G407-1)</f>
        <v/>
      </c>
      <c r="N408" s="7">
        <f>IF(G408="","",E408/G408)</f>
        <v/>
      </c>
      <c r="O408" s="7">
        <f>IF(G408="","",F408/G408)</f>
        <v/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4">
        <f>IF(SUMIFS('Daily NSE Equity Cash'!$H:$H,'Daily NSE Equity Cash'!$A:$A,$A409)=0,"",SUMIFS('Daily NSE Equity Cash'!$H:$H,'Daily NSE Equity Cash'!$A:$A,$A409))</f>
        <v/>
      </c>
      <c r="F409" s="4">
        <f>IF(SUMIFS('Daily BSE Equity Cash'!$H:$H,'Daily BSE Equity Cash'!$A:$A,$A409)=0,"",SUMIFS('Daily BSE Equity Cash'!$H:$H,'Daily BSE Equity Cash'!$A:$A,$A409))</f>
        <v/>
      </c>
      <c r="G409" s="4">
        <f>IF(OR(E409="",F409=""),"",E409+F409)</f>
        <v/>
      </c>
      <c r="H409" s="7">
        <f>IFERROR(IF(OR(E409="",INDEX(E:E,MATCH(DATE(YEAR($A409)-1,MONTH($A409),DAY($A409)),$A:$A,0))=""),"",E409/INDEX(E:E,MATCH(DATE(YEAR($A409)-1,MONTH($A409),DAY($A409)),$A:$A,0))-1),"")</f>
        <v/>
      </c>
      <c r="I409" s="7">
        <f>IFERROR(IF(OR(F409="",INDEX(F:F,MATCH(DATE(YEAR($A409)-1,MONTH($A409),DAY($A409)),$A:$A,0))=""),"",F409/INDEX(F:F,MATCH(DATE(YEAR($A409)-1,MONTH($A409),DAY($A409)),$A:$A,0))-1),"")</f>
        <v/>
      </c>
      <c r="J409" s="7">
        <f>IFERROR(IF(OR(G409="",INDEX(G:G,MATCH(DATE(YEAR($A409)-1,MONTH($A409),DAY($A409)),$A:$A,0))=""),"",G409/INDEX(G:G,MATCH(DATE(YEAR($A409)-1,MONTH($A409),DAY($A409)),$A:$A,0))-1),"")</f>
        <v/>
      </c>
      <c r="K409" s="7">
        <f>IF(OR(E409="",E408=""),"",E409/E408-1)</f>
        <v/>
      </c>
      <c r="L409" s="7">
        <f>IF(OR(F409="",F408=""),"",F409/F408-1)</f>
        <v/>
      </c>
      <c r="M409" s="7">
        <f>IF(OR(G409="",G408=""),"",G409/G408-1)</f>
        <v/>
      </c>
      <c r="N409" s="7">
        <f>IF(G409="","",E409/G409)</f>
        <v/>
      </c>
      <c r="O409" s="7">
        <f>IF(G409="","",F409/G409)</f>
        <v/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4">
        <f>IF(SUMIFS('Daily NSE Equity Cash'!$H:$H,'Daily NSE Equity Cash'!$A:$A,$A410)=0,"",SUMIFS('Daily NSE Equity Cash'!$H:$H,'Daily NSE Equity Cash'!$A:$A,$A410))</f>
        <v/>
      </c>
      <c r="F410" s="4">
        <f>IF(SUMIFS('Daily BSE Equity Cash'!$H:$H,'Daily BSE Equity Cash'!$A:$A,$A410)=0,"",SUMIFS('Daily BSE Equity Cash'!$H:$H,'Daily BSE Equity Cash'!$A:$A,$A410))</f>
        <v/>
      </c>
      <c r="G410" s="4">
        <f>IF(OR(E410="",F410=""),"",E410+F410)</f>
        <v/>
      </c>
      <c r="H410" s="7">
        <f>IFERROR(IF(OR(E410="",INDEX(E:E,MATCH(DATE(YEAR($A410)-1,MONTH($A410),DAY($A410)),$A:$A,0))=""),"",E410/INDEX(E:E,MATCH(DATE(YEAR($A410)-1,MONTH($A410),DAY($A410)),$A:$A,0))-1),"")</f>
        <v/>
      </c>
      <c r="I410" s="7">
        <f>IFERROR(IF(OR(F410="",INDEX(F:F,MATCH(DATE(YEAR($A410)-1,MONTH($A410),DAY($A410)),$A:$A,0))=""),"",F410/INDEX(F:F,MATCH(DATE(YEAR($A410)-1,MONTH($A410),DAY($A410)),$A:$A,0))-1),"")</f>
        <v/>
      </c>
      <c r="J410" s="7">
        <f>IFERROR(IF(OR(G410="",INDEX(G:G,MATCH(DATE(YEAR($A410)-1,MONTH($A410),DAY($A410)),$A:$A,0))=""),"",G410/INDEX(G:G,MATCH(DATE(YEAR($A410)-1,MONTH($A410),DAY($A410)),$A:$A,0))-1),"")</f>
        <v/>
      </c>
      <c r="K410" s="7">
        <f>IF(OR(E410="",E409=""),"",E410/E409-1)</f>
        <v/>
      </c>
      <c r="L410" s="7">
        <f>IF(OR(F410="",F409=""),"",F410/F409-1)</f>
        <v/>
      </c>
      <c r="M410" s="7">
        <f>IF(OR(G410="",G409=""),"",G410/G409-1)</f>
        <v/>
      </c>
      <c r="N410" s="7">
        <f>IF(G410="","",E410/G410)</f>
        <v/>
      </c>
      <c r="O410" s="7">
        <f>IF(G410="","",F410/G410)</f>
        <v/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4">
        <f>IF(SUMIFS('Daily NSE Equity Cash'!$H:$H,'Daily NSE Equity Cash'!$A:$A,$A411)=0,"",SUMIFS('Daily NSE Equity Cash'!$H:$H,'Daily NSE Equity Cash'!$A:$A,$A411))</f>
        <v/>
      </c>
      <c r="F411" s="4">
        <f>IF(SUMIFS('Daily BSE Equity Cash'!$H:$H,'Daily BSE Equity Cash'!$A:$A,$A411)=0,"",SUMIFS('Daily BSE Equity Cash'!$H:$H,'Daily BSE Equity Cash'!$A:$A,$A411))</f>
        <v/>
      </c>
      <c r="G411" s="4">
        <f>IF(OR(E411="",F411=""),"",E411+F411)</f>
        <v/>
      </c>
      <c r="H411" s="7">
        <f>IFERROR(IF(OR(E411="",INDEX(E:E,MATCH(DATE(YEAR($A411)-1,MONTH($A411),DAY($A411)),$A:$A,0))=""),"",E411/INDEX(E:E,MATCH(DATE(YEAR($A411)-1,MONTH($A411),DAY($A411)),$A:$A,0))-1),"")</f>
        <v/>
      </c>
      <c r="I411" s="7">
        <f>IFERROR(IF(OR(F411="",INDEX(F:F,MATCH(DATE(YEAR($A411)-1,MONTH($A411),DAY($A411)),$A:$A,0))=""),"",F411/INDEX(F:F,MATCH(DATE(YEAR($A411)-1,MONTH($A411),DAY($A411)),$A:$A,0))-1),"")</f>
        <v/>
      </c>
      <c r="J411" s="7">
        <f>IFERROR(IF(OR(G411="",INDEX(G:G,MATCH(DATE(YEAR($A411)-1,MONTH($A411),DAY($A411)),$A:$A,0))=""),"",G411/INDEX(G:G,MATCH(DATE(YEAR($A411)-1,MONTH($A411),DAY($A411)),$A:$A,0))-1),"")</f>
        <v/>
      </c>
      <c r="K411" s="7">
        <f>IF(OR(E411="",E410=""),"",E411/E410-1)</f>
        <v/>
      </c>
      <c r="L411" s="7">
        <f>IF(OR(F411="",F410=""),"",F411/F410-1)</f>
        <v/>
      </c>
      <c r="M411" s="7">
        <f>IF(OR(G411="",G410=""),"",G411/G410-1)</f>
        <v/>
      </c>
      <c r="N411" s="7">
        <f>IF(G411="","",E411/G411)</f>
        <v/>
      </c>
      <c r="O411" s="7">
        <f>IF(G411="","",F411/G411)</f>
        <v/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4">
        <f>IF(SUMIFS('Daily NSE Equity Cash'!$H:$H,'Daily NSE Equity Cash'!$A:$A,$A412)=0,"",SUMIFS('Daily NSE Equity Cash'!$H:$H,'Daily NSE Equity Cash'!$A:$A,$A412))</f>
        <v/>
      </c>
      <c r="F412" s="4">
        <f>IF(SUMIFS('Daily BSE Equity Cash'!$H:$H,'Daily BSE Equity Cash'!$A:$A,$A412)=0,"",SUMIFS('Daily BSE Equity Cash'!$H:$H,'Daily BSE Equity Cash'!$A:$A,$A412))</f>
        <v/>
      </c>
      <c r="G412" s="4">
        <f>IF(OR(E412="",F412=""),"",E412+F412)</f>
        <v/>
      </c>
      <c r="H412" s="7">
        <f>IFERROR(IF(OR(E412="",INDEX(E:E,MATCH(DATE(YEAR($A412)-1,MONTH($A412),DAY($A412)),$A:$A,0))=""),"",E412/INDEX(E:E,MATCH(DATE(YEAR($A412)-1,MONTH($A412),DAY($A412)),$A:$A,0))-1),"")</f>
        <v/>
      </c>
      <c r="I412" s="7">
        <f>IFERROR(IF(OR(F412="",INDEX(F:F,MATCH(DATE(YEAR($A412)-1,MONTH($A412),DAY($A412)),$A:$A,0))=""),"",F412/INDEX(F:F,MATCH(DATE(YEAR($A412)-1,MONTH($A412),DAY($A412)),$A:$A,0))-1),"")</f>
        <v/>
      </c>
      <c r="J412" s="7">
        <f>IFERROR(IF(OR(G412="",INDEX(G:G,MATCH(DATE(YEAR($A412)-1,MONTH($A412),DAY($A412)),$A:$A,0))=""),"",G412/INDEX(G:G,MATCH(DATE(YEAR($A412)-1,MONTH($A412),DAY($A412)),$A:$A,0))-1),"")</f>
        <v/>
      </c>
      <c r="K412" s="7">
        <f>IF(OR(E412="",E411=""),"",E412/E411-1)</f>
        <v/>
      </c>
      <c r="L412" s="7">
        <f>IF(OR(F412="",F411=""),"",F412/F411-1)</f>
        <v/>
      </c>
      <c r="M412" s="7">
        <f>IF(OR(G412="",G411=""),"",G412/G411-1)</f>
        <v/>
      </c>
      <c r="N412" s="7">
        <f>IF(G412="","",E412/G412)</f>
        <v/>
      </c>
      <c r="O412" s="7">
        <f>IF(G412="","",F412/G412)</f>
        <v/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4">
        <f>IF(SUMIFS('Daily NSE Equity Cash'!$H:$H,'Daily NSE Equity Cash'!$A:$A,$A413)=0,"",SUMIFS('Daily NSE Equity Cash'!$H:$H,'Daily NSE Equity Cash'!$A:$A,$A413))</f>
        <v/>
      </c>
      <c r="F413" s="4">
        <f>IF(SUMIFS('Daily BSE Equity Cash'!$H:$H,'Daily BSE Equity Cash'!$A:$A,$A413)=0,"",SUMIFS('Daily BSE Equity Cash'!$H:$H,'Daily BSE Equity Cash'!$A:$A,$A413))</f>
        <v/>
      </c>
      <c r="G413" s="4">
        <f>IF(OR(E413="",F413=""),"",E413+F413)</f>
        <v/>
      </c>
      <c r="H413" s="7">
        <f>IFERROR(IF(OR(E413="",INDEX(E:E,MATCH(DATE(YEAR($A413)-1,MONTH($A413),DAY($A413)),$A:$A,0))=""),"",E413/INDEX(E:E,MATCH(DATE(YEAR($A413)-1,MONTH($A413),DAY($A413)),$A:$A,0))-1),"")</f>
        <v/>
      </c>
      <c r="I413" s="7">
        <f>IFERROR(IF(OR(F413="",INDEX(F:F,MATCH(DATE(YEAR($A413)-1,MONTH($A413),DAY($A413)),$A:$A,0))=""),"",F413/INDEX(F:F,MATCH(DATE(YEAR($A413)-1,MONTH($A413),DAY($A413)),$A:$A,0))-1),"")</f>
        <v/>
      </c>
      <c r="J413" s="7">
        <f>IFERROR(IF(OR(G413="",INDEX(G:G,MATCH(DATE(YEAR($A413)-1,MONTH($A413),DAY($A413)),$A:$A,0))=""),"",G413/INDEX(G:G,MATCH(DATE(YEAR($A413)-1,MONTH($A413),DAY($A413)),$A:$A,0))-1),"")</f>
        <v/>
      </c>
      <c r="K413" s="7">
        <f>IF(OR(E413="",E412=""),"",E413/E412-1)</f>
        <v/>
      </c>
      <c r="L413" s="7">
        <f>IF(OR(F413="",F412=""),"",F413/F412-1)</f>
        <v/>
      </c>
      <c r="M413" s="7">
        <f>IF(OR(G413="",G412=""),"",G413/G412-1)</f>
        <v/>
      </c>
      <c r="N413" s="7">
        <f>IF(G413="","",E413/G413)</f>
        <v/>
      </c>
      <c r="O413" s="7">
        <f>IF(G413="","",F413/G413)</f>
        <v/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4">
        <f>IF(SUMIFS('Daily NSE Equity Cash'!$H:$H,'Daily NSE Equity Cash'!$A:$A,$A414)=0,"",SUMIFS('Daily NSE Equity Cash'!$H:$H,'Daily NSE Equity Cash'!$A:$A,$A414))</f>
        <v/>
      </c>
      <c r="F414" s="4">
        <f>IF(SUMIFS('Daily BSE Equity Cash'!$H:$H,'Daily BSE Equity Cash'!$A:$A,$A414)=0,"",SUMIFS('Daily BSE Equity Cash'!$H:$H,'Daily BSE Equity Cash'!$A:$A,$A414))</f>
        <v/>
      </c>
      <c r="G414" s="4">
        <f>IF(OR(E414="",F414=""),"",E414+F414)</f>
        <v/>
      </c>
      <c r="H414" s="7">
        <f>IFERROR(IF(OR(E414="",INDEX(E:E,MATCH(DATE(YEAR($A414)-1,MONTH($A414),DAY($A414)),$A:$A,0))=""),"",E414/INDEX(E:E,MATCH(DATE(YEAR($A414)-1,MONTH($A414),DAY($A414)),$A:$A,0))-1),"")</f>
        <v/>
      </c>
      <c r="I414" s="7">
        <f>IFERROR(IF(OR(F414="",INDEX(F:F,MATCH(DATE(YEAR($A414)-1,MONTH($A414),DAY($A414)),$A:$A,0))=""),"",F414/INDEX(F:F,MATCH(DATE(YEAR($A414)-1,MONTH($A414),DAY($A414)),$A:$A,0))-1),"")</f>
        <v/>
      </c>
      <c r="J414" s="7">
        <f>IFERROR(IF(OR(G414="",INDEX(G:G,MATCH(DATE(YEAR($A414)-1,MONTH($A414),DAY($A414)),$A:$A,0))=""),"",G414/INDEX(G:G,MATCH(DATE(YEAR($A414)-1,MONTH($A414),DAY($A414)),$A:$A,0))-1),"")</f>
        <v/>
      </c>
      <c r="K414" s="7">
        <f>IF(OR(E414="",E413=""),"",E414/E413-1)</f>
        <v/>
      </c>
      <c r="L414" s="7">
        <f>IF(OR(F414="",F413=""),"",F414/F413-1)</f>
        <v/>
      </c>
      <c r="M414" s="7">
        <f>IF(OR(G414="",G413=""),"",G414/G413-1)</f>
        <v/>
      </c>
      <c r="N414" s="7">
        <f>IF(G414="","",E414/G414)</f>
        <v/>
      </c>
      <c r="O414" s="7">
        <f>IF(G414="","",F414/G414)</f>
        <v/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4">
        <f>IF(SUMIFS('Daily NSE Equity Cash'!$H:$H,'Daily NSE Equity Cash'!$A:$A,$A415)=0,"",SUMIFS('Daily NSE Equity Cash'!$H:$H,'Daily NSE Equity Cash'!$A:$A,$A415))</f>
        <v/>
      </c>
      <c r="F415" s="4">
        <f>IF(SUMIFS('Daily BSE Equity Cash'!$H:$H,'Daily BSE Equity Cash'!$A:$A,$A415)=0,"",SUMIFS('Daily BSE Equity Cash'!$H:$H,'Daily BSE Equity Cash'!$A:$A,$A415))</f>
        <v/>
      </c>
      <c r="G415" s="4">
        <f>IF(OR(E415="",F415=""),"",E415+F415)</f>
        <v/>
      </c>
      <c r="H415" s="7">
        <f>IFERROR(IF(OR(E415="",INDEX(E:E,MATCH(DATE(YEAR($A415)-1,MONTH($A415),DAY($A415)),$A:$A,0))=""),"",E415/INDEX(E:E,MATCH(DATE(YEAR($A415)-1,MONTH($A415),DAY($A415)),$A:$A,0))-1),"")</f>
        <v/>
      </c>
      <c r="I415" s="7">
        <f>IFERROR(IF(OR(F415="",INDEX(F:F,MATCH(DATE(YEAR($A415)-1,MONTH($A415),DAY($A415)),$A:$A,0))=""),"",F415/INDEX(F:F,MATCH(DATE(YEAR($A415)-1,MONTH($A415),DAY($A415)),$A:$A,0))-1),"")</f>
        <v/>
      </c>
      <c r="J415" s="7">
        <f>IFERROR(IF(OR(G415="",INDEX(G:G,MATCH(DATE(YEAR($A415)-1,MONTH($A415),DAY($A415)),$A:$A,0))=""),"",G415/INDEX(G:G,MATCH(DATE(YEAR($A415)-1,MONTH($A415),DAY($A415)),$A:$A,0))-1),"")</f>
        <v/>
      </c>
      <c r="K415" s="7">
        <f>IF(OR(E415="",E414=""),"",E415/E414-1)</f>
        <v/>
      </c>
      <c r="L415" s="7">
        <f>IF(OR(F415="",F414=""),"",F415/F414-1)</f>
        <v/>
      </c>
      <c r="M415" s="7">
        <f>IF(OR(G415="",G414=""),"",G415/G414-1)</f>
        <v/>
      </c>
      <c r="N415" s="7">
        <f>IF(G415="","",E415/G415)</f>
        <v/>
      </c>
      <c r="O415" s="7">
        <f>IF(G415="","",F415/G415)</f>
        <v/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4">
        <f>IF(SUMIFS('Daily NSE Equity Cash'!$H:$H,'Daily NSE Equity Cash'!$A:$A,$A416)=0,"",SUMIFS('Daily NSE Equity Cash'!$H:$H,'Daily NSE Equity Cash'!$A:$A,$A416))</f>
        <v/>
      </c>
      <c r="F416" s="4">
        <f>IF(SUMIFS('Daily BSE Equity Cash'!$H:$H,'Daily BSE Equity Cash'!$A:$A,$A416)=0,"",SUMIFS('Daily BSE Equity Cash'!$H:$H,'Daily BSE Equity Cash'!$A:$A,$A416))</f>
        <v/>
      </c>
      <c r="G416" s="4">
        <f>IF(OR(E416="",F416=""),"",E416+F416)</f>
        <v/>
      </c>
      <c r="H416" s="7">
        <f>IFERROR(IF(OR(E416="",INDEX(E:E,MATCH(DATE(YEAR($A416)-1,MONTH($A416),DAY($A416)),$A:$A,0))=""),"",E416/INDEX(E:E,MATCH(DATE(YEAR($A416)-1,MONTH($A416),DAY($A416)),$A:$A,0))-1),"")</f>
        <v/>
      </c>
      <c r="I416" s="7">
        <f>IFERROR(IF(OR(F416="",INDEX(F:F,MATCH(DATE(YEAR($A416)-1,MONTH($A416),DAY($A416)),$A:$A,0))=""),"",F416/INDEX(F:F,MATCH(DATE(YEAR($A416)-1,MONTH($A416),DAY($A416)),$A:$A,0))-1),"")</f>
        <v/>
      </c>
      <c r="J416" s="7">
        <f>IFERROR(IF(OR(G416="",INDEX(G:G,MATCH(DATE(YEAR($A416)-1,MONTH($A416),DAY($A416)),$A:$A,0))=""),"",G416/INDEX(G:G,MATCH(DATE(YEAR($A416)-1,MONTH($A416),DAY($A416)),$A:$A,0))-1),"")</f>
        <v/>
      </c>
      <c r="K416" s="7">
        <f>IF(OR(E416="",E415=""),"",E416/E415-1)</f>
        <v/>
      </c>
      <c r="L416" s="7">
        <f>IF(OR(F416="",F415=""),"",F416/F415-1)</f>
        <v/>
      </c>
      <c r="M416" s="7">
        <f>IF(OR(G416="",G415=""),"",G416/G415-1)</f>
        <v/>
      </c>
      <c r="N416" s="7">
        <f>IF(G416="","",E416/G416)</f>
        <v/>
      </c>
      <c r="O416" s="7">
        <f>IF(G416="","",F416/G416)</f>
        <v/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4">
        <f>IF(SUMIFS('Daily NSE Equity Cash'!$H:$H,'Daily NSE Equity Cash'!$A:$A,$A417)=0,"",SUMIFS('Daily NSE Equity Cash'!$H:$H,'Daily NSE Equity Cash'!$A:$A,$A417))</f>
        <v/>
      </c>
      <c r="F417" s="4">
        <f>IF(SUMIFS('Daily BSE Equity Cash'!$H:$H,'Daily BSE Equity Cash'!$A:$A,$A417)=0,"",SUMIFS('Daily BSE Equity Cash'!$H:$H,'Daily BSE Equity Cash'!$A:$A,$A417))</f>
        <v/>
      </c>
      <c r="G417" s="4">
        <f>IF(OR(E417="",F417=""),"",E417+F417)</f>
        <v/>
      </c>
      <c r="H417" s="7">
        <f>IFERROR(IF(OR(E417="",INDEX(E:E,MATCH(DATE(YEAR($A417)-1,MONTH($A417),DAY($A417)),$A:$A,0))=""),"",E417/INDEX(E:E,MATCH(DATE(YEAR($A417)-1,MONTH($A417),DAY($A417)),$A:$A,0))-1),"")</f>
        <v/>
      </c>
      <c r="I417" s="7">
        <f>IFERROR(IF(OR(F417="",INDEX(F:F,MATCH(DATE(YEAR($A417)-1,MONTH($A417),DAY($A417)),$A:$A,0))=""),"",F417/INDEX(F:F,MATCH(DATE(YEAR($A417)-1,MONTH($A417),DAY($A417)),$A:$A,0))-1),"")</f>
        <v/>
      </c>
      <c r="J417" s="7">
        <f>IFERROR(IF(OR(G417="",INDEX(G:G,MATCH(DATE(YEAR($A417)-1,MONTH($A417),DAY($A417)),$A:$A,0))=""),"",G417/INDEX(G:G,MATCH(DATE(YEAR($A417)-1,MONTH($A417),DAY($A417)),$A:$A,0))-1),"")</f>
        <v/>
      </c>
      <c r="K417" s="7">
        <f>IF(OR(E417="",E416=""),"",E417/E416-1)</f>
        <v/>
      </c>
      <c r="L417" s="7">
        <f>IF(OR(F417="",F416=""),"",F417/F416-1)</f>
        <v/>
      </c>
      <c r="M417" s="7">
        <f>IF(OR(G417="",G416=""),"",G417/G416-1)</f>
        <v/>
      </c>
      <c r="N417" s="7">
        <f>IF(G417="","",E417/G417)</f>
        <v/>
      </c>
      <c r="O417" s="7">
        <f>IF(G417="","",F417/G417)</f>
        <v/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4">
        <f>IF(SUMIFS('Daily NSE Equity Cash'!$H:$H,'Daily NSE Equity Cash'!$A:$A,$A418)=0,"",SUMIFS('Daily NSE Equity Cash'!$H:$H,'Daily NSE Equity Cash'!$A:$A,$A418))</f>
        <v/>
      </c>
      <c r="F418" s="4">
        <f>IF(SUMIFS('Daily BSE Equity Cash'!$H:$H,'Daily BSE Equity Cash'!$A:$A,$A418)=0,"",SUMIFS('Daily BSE Equity Cash'!$H:$H,'Daily BSE Equity Cash'!$A:$A,$A418))</f>
        <v/>
      </c>
      <c r="G418" s="4">
        <f>IF(OR(E418="",F418=""),"",E418+F418)</f>
        <v/>
      </c>
      <c r="H418" s="7">
        <f>IFERROR(IF(OR(E418="",INDEX(E:E,MATCH(DATE(YEAR($A418)-1,MONTH($A418),DAY($A418)),$A:$A,0))=""),"",E418/INDEX(E:E,MATCH(DATE(YEAR($A418)-1,MONTH($A418),DAY($A418)),$A:$A,0))-1),"")</f>
        <v/>
      </c>
      <c r="I418" s="7">
        <f>IFERROR(IF(OR(F418="",INDEX(F:F,MATCH(DATE(YEAR($A418)-1,MONTH($A418),DAY($A418)),$A:$A,0))=""),"",F418/INDEX(F:F,MATCH(DATE(YEAR($A418)-1,MONTH($A418),DAY($A418)),$A:$A,0))-1),"")</f>
        <v/>
      </c>
      <c r="J418" s="7">
        <f>IFERROR(IF(OR(G418="",INDEX(G:G,MATCH(DATE(YEAR($A418)-1,MONTH($A418),DAY($A418)),$A:$A,0))=""),"",G418/INDEX(G:G,MATCH(DATE(YEAR($A418)-1,MONTH($A418),DAY($A418)),$A:$A,0))-1),"")</f>
        <v/>
      </c>
      <c r="K418" s="7">
        <f>IF(OR(E418="",E417=""),"",E418/E417-1)</f>
        <v/>
      </c>
      <c r="L418" s="7">
        <f>IF(OR(F418="",F417=""),"",F418/F417-1)</f>
        <v/>
      </c>
      <c r="M418" s="7">
        <f>IF(OR(G418="",G417=""),"",G418/G417-1)</f>
        <v/>
      </c>
      <c r="N418" s="7">
        <f>IF(G418="","",E418/G418)</f>
        <v/>
      </c>
      <c r="O418" s="7">
        <f>IF(G418="","",F418/G418)</f>
        <v/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4">
        <f>IF(SUMIFS('Daily NSE Equity Cash'!$H:$H,'Daily NSE Equity Cash'!$A:$A,$A419)=0,"",SUMIFS('Daily NSE Equity Cash'!$H:$H,'Daily NSE Equity Cash'!$A:$A,$A419))</f>
        <v/>
      </c>
      <c r="F419" s="4">
        <f>IF(SUMIFS('Daily BSE Equity Cash'!$H:$H,'Daily BSE Equity Cash'!$A:$A,$A419)=0,"",SUMIFS('Daily BSE Equity Cash'!$H:$H,'Daily BSE Equity Cash'!$A:$A,$A419))</f>
        <v/>
      </c>
      <c r="G419" s="4">
        <f>IF(OR(E419="",F419=""),"",E419+F419)</f>
        <v/>
      </c>
      <c r="H419" s="7">
        <f>IFERROR(IF(OR(E419="",INDEX(E:E,MATCH(DATE(YEAR($A419)-1,MONTH($A419),DAY($A419)),$A:$A,0))=""),"",E419/INDEX(E:E,MATCH(DATE(YEAR($A419)-1,MONTH($A419),DAY($A419)),$A:$A,0))-1),"")</f>
        <v/>
      </c>
      <c r="I419" s="7">
        <f>IFERROR(IF(OR(F419="",INDEX(F:F,MATCH(DATE(YEAR($A419)-1,MONTH($A419),DAY($A419)),$A:$A,0))=""),"",F419/INDEX(F:F,MATCH(DATE(YEAR($A419)-1,MONTH($A419),DAY($A419)),$A:$A,0))-1),"")</f>
        <v/>
      </c>
      <c r="J419" s="7">
        <f>IFERROR(IF(OR(G419="",INDEX(G:G,MATCH(DATE(YEAR($A419)-1,MONTH($A419),DAY($A419)),$A:$A,0))=""),"",G419/INDEX(G:G,MATCH(DATE(YEAR($A419)-1,MONTH($A419),DAY($A419)),$A:$A,0))-1),"")</f>
        <v/>
      </c>
      <c r="K419" s="7">
        <f>IF(OR(E419="",E418=""),"",E419/E418-1)</f>
        <v/>
      </c>
      <c r="L419" s="7">
        <f>IF(OR(F419="",F418=""),"",F419/F418-1)</f>
        <v/>
      </c>
      <c r="M419" s="7">
        <f>IF(OR(G419="",G418=""),"",G419/G418-1)</f>
        <v/>
      </c>
      <c r="N419" s="7">
        <f>IF(G419="","",E419/G419)</f>
        <v/>
      </c>
      <c r="O419" s="7">
        <f>IF(G419="","",F419/G419)</f>
        <v/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4">
        <f>IF(SUMIFS('Daily NSE Equity Cash'!$H:$H,'Daily NSE Equity Cash'!$A:$A,$A420)=0,"",SUMIFS('Daily NSE Equity Cash'!$H:$H,'Daily NSE Equity Cash'!$A:$A,$A420))</f>
        <v/>
      </c>
      <c r="F420" s="4">
        <f>IF(SUMIFS('Daily BSE Equity Cash'!$H:$H,'Daily BSE Equity Cash'!$A:$A,$A420)=0,"",SUMIFS('Daily BSE Equity Cash'!$H:$H,'Daily BSE Equity Cash'!$A:$A,$A420))</f>
        <v/>
      </c>
      <c r="G420" s="4">
        <f>IF(OR(E420="",F420=""),"",E420+F420)</f>
        <v/>
      </c>
      <c r="H420" s="7">
        <f>IFERROR(IF(OR(E420="",INDEX(E:E,MATCH(DATE(YEAR($A420)-1,MONTH($A420),DAY($A420)),$A:$A,0))=""),"",E420/INDEX(E:E,MATCH(DATE(YEAR($A420)-1,MONTH($A420),DAY($A420)),$A:$A,0))-1),"")</f>
        <v/>
      </c>
      <c r="I420" s="7">
        <f>IFERROR(IF(OR(F420="",INDEX(F:F,MATCH(DATE(YEAR($A420)-1,MONTH($A420),DAY($A420)),$A:$A,0))=""),"",F420/INDEX(F:F,MATCH(DATE(YEAR($A420)-1,MONTH($A420),DAY($A420)),$A:$A,0))-1),"")</f>
        <v/>
      </c>
      <c r="J420" s="7">
        <f>IFERROR(IF(OR(G420="",INDEX(G:G,MATCH(DATE(YEAR($A420)-1,MONTH($A420),DAY($A420)),$A:$A,0))=""),"",G420/INDEX(G:G,MATCH(DATE(YEAR($A420)-1,MONTH($A420),DAY($A420)),$A:$A,0))-1),"")</f>
        <v/>
      </c>
      <c r="K420" s="7">
        <f>IF(OR(E420="",E419=""),"",E420/E419-1)</f>
        <v/>
      </c>
      <c r="L420" s="7">
        <f>IF(OR(F420="",F419=""),"",F420/F419-1)</f>
        <v/>
      </c>
      <c r="M420" s="7">
        <f>IF(OR(G420="",G419=""),"",G420/G419-1)</f>
        <v/>
      </c>
      <c r="N420" s="7">
        <f>IF(G420="","",E420/G420)</f>
        <v/>
      </c>
      <c r="O420" s="7">
        <f>IF(G420="","",F420/G420)</f>
        <v/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4">
        <f>IF(SUMIFS('Daily NSE Equity Cash'!$H:$H,'Daily NSE Equity Cash'!$A:$A,$A421)=0,"",SUMIFS('Daily NSE Equity Cash'!$H:$H,'Daily NSE Equity Cash'!$A:$A,$A421))</f>
        <v/>
      </c>
      <c r="F421" s="4">
        <f>IF(SUMIFS('Daily BSE Equity Cash'!$H:$H,'Daily BSE Equity Cash'!$A:$A,$A421)=0,"",SUMIFS('Daily BSE Equity Cash'!$H:$H,'Daily BSE Equity Cash'!$A:$A,$A421))</f>
        <v/>
      </c>
      <c r="G421" s="4">
        <f>IF(OR(E421="",F421=""),"",E421+F421)</f>
        <v/>
      </c>
      <c r="H421" s="7">
        <f>IFERROR(IF(OR(E421="",INDEX(E:E,MATCH(DATE(YEAR($A421)-1,MONTH($A421),DAY($A421)),$A:$A,0))=""),"",E421/INDEX(E:E,MATCH(DATE(YEAR($A421)-1,MONTH($A421),DAY($A421)),$A:$A,0))-1),"")</f>
        <v/>
      </c>
      <c r="I421" s="7">
        <f>IFERROR(IF(OR(F421="",INDEX(F:F,MATCH(DATE(YEAR($A421)-1,MONTH($A421),DAY($A421)),$A:$A,0))=""),"",F421/INDEX(F:F,MATCH(DATE(YEAR($A421)-1,MONTH($A421),DAY($A421)),$A:$A,0))-1),"")</f>
        <v/>
      </c>
      <c r="J421" s="7">
        <f>IFERROR(IF(OR(G421="",INDEX(G:G,MATCH(DATE(YEAR($A421)-1,MONTH($A421),DAY($A421)),$A:$A,0))=""),"",G421/INDEX(G:G,MATCH(DATE(YEAR($A421)-1,MONTH($A421),DAY($A421)),$A:$A,0))-1),"")</f>
        <v/>
      </c>
      <c r="K421" s="7">
        <f>IF(OR(E421="",E420=""),"",E421/E420-1)</f>
        <v/>
      </c>
      <c r="L421" s="7">
        <f>IF(OR(F421="",F420=""),"",F421/F420-1)</f>
        <v/>
      </c>
      <c r="M421" s="7">
        <f>IF(OR(G421="",G420=""),"",G421/G420-1)</f>
        <v/>
      </c>
      <c r="N421" s="7">
        <f>IF(G421="","",E421/G421)</f>
        <v/>
      </c>
      <c r="O421" s="7">
        <f>IF(G421="","",F421/G421)</f>
        <v/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4">
        <f>IF(SUMIFS('Daily NSE Equity Cash'!$H:$H,'Daily NSE Equity Cash'!$A:$A,$A422)=0,"",SUMIFS('Daily NSE Equity Cash'!$H:$H,'Daily NSE Equity Cash'!$A:$A,$A422))</f>
        <v/>
      </c>
      <c r="F422" s="4">
        <f>IF(SUMIFS('Daily BSE Equity Cash'!$H:$H,'Daily BSE Equity Cash'!$A:$A,$A422)=0,"",SUMIFS('Daily BSE Equity Cash'!$H:$H,'Daily BSE Equity Cash'!$A:$A,$A422))</f>
        <v/>
      </c>
      <c r="G422" s="4">
        <f>IF(OR(E422="",F422=""),"",E422+F422)</f>
        <v/>
      </c>
      <c r="H422" s="7">
        <f>IFERROR(IF(OR(E422="",INDEX(E:E,MATCH(DATE(YEAR($A422)-1,MONTH($A422),DAY($A422)),$A:$A,0))=""),"",E422/INDEX(E:E,MATCH(DATE(YEAR($A422)-1,MONTH($A422),DAY($A422)),$A:$A,0))-1),"")</f>
        <v/>
      </c>
      <c r="I422" s="7">
        <f>IFERROR(IF(OR(F422="",INDEX(F:F,MATCH(DATE(YEAR($A422)-1,MONTH($A422),DAY($A422)),$A:$A,0))=""),"",F422/INDEX(F:F,MATCH(DATE(YEAR($A422)-1,MONTH($A422),DAY($A422)),$A:$A,0))-1),"")</f>
        <v/>
      </c>
      <c r="J422" s="7">
        <f>IFERROR(IF(OR(G422="",INDEX(G:G,MATCH(DATE(YEAR($A422)-1,MONTH($A422),DAY($A422)),$A:$A,0))=""),"",G422/INDEX(G:G,MATCH(DATE(YEAR($A422)-1,MONTH($A422),DAY($A422)),$A:$A,0))-1),"")</f>
        <v/>
      </c>
      <c r="K422" s="7">
        <f>IF(OR(E422="",E421=""),"",E422/E421-1)</f>
        <v/>
      </c>
      <c r="L422" s="7">
        <f>IF(OR(F422="",F421=""),"",F422/F421-1)</f>
        <v/>
      </c>
      <c r="M422" s="7">
        <f>IF(OR(G422="",G421=""),"",G422/G421-1)</f>
        <v/>
      </c>
      <c r="N422" s="7">
        <f>IF(G422="","",E422/G422)</f>
        <v/>
      </c>
      <c r="O422" s="7">
        <f>IF(G422="","",F422/G422)</f>
        <v/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4">
        <f>IF(SUMIFS('Daily NSE Equity Cash'!$H:$H,'Daily NSE Equity Cash'!$A:$A,$A423)=0,"",SUMIFS('Daily NSE Equity Cash'!$H:$H,'Daily NSE Equity Cash'!$A:$A,$A423))</f>
        <v/>
      </c>
      <c r="F423" s="4">
        <f>IF(SUMIFS('Daily BSE Equity Cash'!$H:$H,'Daily BSE Equity Cash'!$A:$A,$A423)=0,"",SUMIFS('Daily BSE Equity Cash'!$H:$H,'Daily BSE Equity Cash'!$A:$A,$A423))</f>
        <v/>
      </c>
      <c r="G423" s="4">
        <f>IF(OR(E423="",F423=""),"",E423+F423)</f>
        <v/>
      </c>
      <c r="H423" s="7">
        <f>IFERROR(IF(OR(E423="",INDEX(E:E,MATCH(DATE(YEAR($A423)-1,MONTH($A423),DAY($A423)),$A:$A,0))=""),"",E423/INDEX(E:E,MATCH(DATE(YEAR($A423)-1,MONTH($A423),DAY($A423)),$A:$A,0))-1),"")</f>
        <v/>
      </c>
      <c r="I423" s="7">
        <f>IFERROR(IF(OR(F423="",INDEX(F:F,MATCH(DATE(YEAR($A423)-1,MONTH($A423),DAY($A423)),$A:$A,0))=""),"",F423/INDEX(F:F,MATCH(DATE(YEAR($A423)-1,MONTH($A423),DAY($A423)),$A:$A,0))-1),"")</f>
        <v/>
      </c>
      <c r="J423" s="7">
        <f>IFERROR(IF(OR(G423="",INDEX(G:G,MATCH(DATE(YEAR($A423)-1,MONTH($A423),DAY($A423)),$A:$A,0))=""),"",G423/INDEX(G:G,MATCH(DATE(YEAR($A423)-1,MONTH($A423),DAY($A423)),$A:$A,0))-1),"")</f>
        <v/>
      </c>
      <c r="K423" s="7">
        <f>IF(OR(E423="",E422=""),"",E423/E422-1)</f>
        <v/>
      </c>
      <c r="L423" s="7">
        <f>IF(OR(F423="",F422=""),"",F423/F422-1)</f>
        <v/>
      </c>
      <c r="M423" s="7">
        <f>IF(OR(G423="",G422=""),"",G423/G422-1)</f>
        <v/>
      </c>
      <c r="N423" s="7">
        <f>IF(G423="","",E423/G423)</f>
        <v/>
      </c>
      <c r="O423" s="7">
        <f>IF(G423="","",F423/G423)</f>
        <v/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4">
        <f>IF(SUMIFS('Daily NSE Equity Cash'!$H:$H,'Daily NSE Equity Cash'!$A:$A,$A424)=0,"",SUMIFS('Daily NSE Equity Cash'!$H:$H,'Daily NSE Equity Cash'!$A:$A,$A424))</f>
        <v/>
      </c>
      <c r="F424" s="4">
        <f>IF(SUMIFS('Daily BSE Equity Cash'!$H:$H,'Daily BSE Equity Cash'!$A:$A,$A424)=0,"",SUMIFS('Daily BSE Equity Cash'!$H:$H,'Daily BSE Equity Cash'!$A:$A,$A424))</f>
        <v/>
      </c>
      <c r="G424" s="4">
        <f>IF(OR(E424="",F424=""),"",E424+F424)</f>
        <v/>
      </c>
      <c r="H424" s="7">
        <f>IFERROR(IF(OR(E424="",INDEX(E:E,MATCH(DATE(YEAR($A424)-1,MONTH($A424),DAY($A424)),$A:$A,0))=""),"",E424/INDEX(E:E,MATCH(DATE(YEAR($A424)-1,MONTH($A424),DAY($A424)),$A:$A,0))-1),"")</f>
        <v/>
      </c>
      <c r="I424" s="7">
        <f>IFERROR(IF(OR(F424="",INDEX(F:F,MATCH(DATE(YEAR($A424)-1,MONTH($A424),DAY($A424)),$A:$A,0))=""),"",F424/INDEX(F:F,MATCH(DATE(YEAR($A424)-1,MONTH($A424),DAY($A424)),$A:$A,0))-1),"")</f>
        <v/>
      </c>
      <c r="J424" s="7">
        <f>IFERROR(IF(OR(G424="",INDEX(G:G,MATCH(DATE(YEAR($A424)-1,MONTH($A424),DAY($A424)),$A:$A,0))=""),"",G424/INDEX(G:G,MATCH(DATE(YEAR($A424)-1,MONTH($A424),DAY($A424)),$A:$A,0))-1),"")</f>
        <v/>
      </c>
      <c r="K424" s="7">
        <f>IF(OR(E424="",E423=""),"",E424/E423-1)</f>
        <v/>
      </c>
      <c r="L424" s="7">
        <f>IF(OR(F424="",F423=""),"",F424/F423-1)</f>
        <v/>
      </c>
      <c r="M424" s="7">
        <f>IF(OR(G424="",G423=""),"",G424/G423-1)</f>
        <v/>
      </c>
      <c r="N424" s="7">
        <f>IF(G424="","",E424/G424)</f>
        <v/>
      </c>
      <c r="O424" s="7">
        <f>IF(G424="","",F424/G424)</f>
        <v/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4">
        <f>IF(SUMIFS('Daily NSE Equity Cash'!$H:$H,'Daily NSE Equity Cash'!$A:$A,$A425)=0,"",SUMIFS('Daily NSE Equity Cash'!$H:$H,'Daily NSE Equity Cash'!$A:$A,$A425))</f>
        <v/>
      </c>
      <c r="F425" s="4">
        <f>IF(SUMIFS('Daily BSE Equity Cash'!$H:$H,'Daily BSE Equity Cash'!$A:$A,$A425)=0,"",SUMIFS('Daily BSE Equity Cash'!$H:$H,'Daily BSE Equity Cash'!$A:$A,$A425))</f>
        <v/>
      </c>
      <c r="G425" s="4">
        <f>IF(OR(E425="",F425=""),"",E425+F425)</f>
        <v/>
      </c>
      <c r="H425" s="7">
        <f>IFERROR(IF(OR(E425="",INDEX(E:E,MATCH(DATE(YEAR($A425)-1,MONTH($A425),DAY($A425)),$A:$A,0))=""),"",E425/INDEX(E:E,MATCH(DATE(YEAR($A425)-1,MONTH($A425),DAY($A425)),$A:$A,0))-1),"")</f>
        <v/>
      </c>
      <c r="I425" s="7">
        <f>IFERROR(IF(OR(F425="",INDEX(F:F,MATCH(DATE(YEAR($A425)-1,MONTH($A425),DAY($A425)),$A:$A,0))=""),"",F425/INDEX(F:F,MATCH(DATE(YEAR($A425)-1,MONTH($A425),DAY($A425)),$A:$A,0))-1),"")</f>
        <v/>
      </c>
      <c r="J425" s="7">
        <f>IFERROR(IF(OR(G425="",INDEX(G:G,MATCH(DATE(YEAR($A425)-1,MONTH($A425),DAY($A425)),$A:$A,0))=""),"",G425/INDEX(G:G,MATCH(DATE(YEAR($A425)-1,MONTH($A425),DAY($A425)),$A:$A,0))-1),"")</f>
        <v/>
      </c>
      <c r="K425" s="7">
        <f>IF(OR(E425="",E424=""),"",E425/E424-1)</f>
        <v/>
      </c>
      <c r="L425" s="7">
        <f>IF(OR(F425="",F424=""),"",F425/F424-1)</f>
        <v/>
      </c>
      <c r="M425" s="7">
        <f>IF(OR(G425="",G424=""),"",G425/G424-1)</f>
        <v/>
      </c>
      <c r="N425" s="7">
        <f>IF(G425="","",E425/G425)</f>
        <v/>
      </c>
      <c r="O425" s="7">
        <f>IF(G425="","",F425/G425)</f>
        <v/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4">
        <f>IF(SUMIFS('Daily NSE Equity Cash'!$H:$H,'Daily NSE Equity Cash'!$A:$A,$A426)=0,"",SUMIFS('Daily NSE Equity Cash'!$H:$H,'Daily NSE Equity Cash'!$A:$A,$A426))</f>
        <v/>
      </c>
      <c r="F426" s="4">
        <f>IF(SUMIFS('Daily BSE Equity Cash'!$H:$H,'Daily BSE Equity Cash'!$A:$A,$A426)=0,"",SUMIFS('Daily BSE Equity Cash'!$H:$H,'Daily BSE Equity Cash'!$A:$A,$A426))</f>
        <v/>
      </c>
      <c r="G426" s="4">
        <f>IF(OR(E426="",F426=""),"",E426+F426)</f>
        <v/>
      </c>
      <c r="H426" s="7">
        <f>IFERROR(IF(OR(E426="",INDEX(E:E,MATCH(DATE(YEAR($A426)-1,MONTH($A426),DAY($A426)),$A:$A,0))=""),"",E426/INDEX(E:E,MATCH(DATE(YEAR($A426)-1,MONTH($A426),DAY($A426)),$A:$A,0))-1),"")</f>
        <v/>
      </c>
      <c r="I426" s="7">
        <f>IFERROR(IF(OR(F426="",INDEX(F:F,MATCH(DATE(YEAR($A426)-1,MONTH($A426),DAY($A426)),$A:$A,0))=""),"",F426/INDEX(F:F,MATCH(DATE(YEAR($A426)-1,MONTH($A426),DAY($A426)),$A:$A,0))-1),"")</f>
        <v/>
      </c>
      <c r="J426" s="7">
        <f>IFERROR(IF(OR(G426="",INDEX(G:G,MATCH(DATE(YEAR($A426)-1,MONTH($A426),DAY($A426)),$A:$A,0))=""),"",G426/INDEX(G:G,MATCH(DATE(YEAR($A426)-1,MONTH($A426),DAY($A426)),$A:$A,0))-1),"")</f>
        <v/>
      </c>
      <c r="K426" s="7">
        <f>IF(OR(E426="",E425=""),"",E426/E425-1)</f>
        <v/>
      </c>
      <c r="L426" s="7">
        <f>IF(OR(F426="",F425=""),"",F426/F425-1)</f>
        <v/>
      </c>
      <c r="M426" s="7">
        <f>IF(OR(G426="",G425=""),"",G426/G425-1)</f>
        <v/>
      </c>
      <c r="N426" s="7">
        <f>IF(G426="","",E426/G426)</f>
        <v/>
      </c>
      <c r="O426" s="7">
        <f>IF(G426="","",F426/G426)</f>
        <v/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4">
        <f>IF(SUMIFS('Daily NSE Equity Cash'!$H:$H,'Daily NSE Equity Cash'!$A:$A,$A427)=0,"",SUMIFS('Daily NSE Equity Cash'!$H:$H,'Daily NSE Equity Cash'!$A:$A,$A427))</f>
        <v/>
      </c>
      <c r="F427" s="4">
        <f>IF(SUMIFS('Daily BSE Equity Cash'!$H:$H,'Daily BSE Equity Cash'!$A:$A,$A427)=0,"",SUMIFS('Daily BSE Equity Cash'!$H:$H,'Daily BSE Equity Cash'!$A:$A,$A427))</f>
        <v/>
      </c>
      <c r="G427" s="4">
        <f>IF(OR(E427="",F427=""),"",E427+F427)</f>
        <v/>
      </c>
      <c r="H427" s="7">
        <f>IFERROR(IF(OR(E427="",INDEX(E:E,MATCH(DATE(YEAR($A427)-1,MONTH($A427),DAY($A427)),$A:$A,0))=""),"",E427/INDEX(E:E,MATCH(DATE(YEAR($A427)-1,MONTH($A427),DAY($A427)),$A:$A,0))-1),"")</f>
        <v/>
      </c>
      <c r="I427" s="7">
        <f>IFERROR(IF(OR(F427="",INDEX(F:F,MATCH(DATE(YEAR($A427)-1,MONTH($A427),DAY($A427)),$A:$A,0))=""),"",F427/INDEX(F:F,MATCH(DATE(YEAR($A427)-1,MONTH($A427),DAY($A427)),$A:$A,0))-1),"")</f>
        <v/>
      </c>
      <c r="J427" s="7">
        <f>IFERROR(IF(OR(G427="",INDEX(G:G,MATCH(DATE(YEAR($A427)-1,MONTH($A427),DAY($A427)),$A:$A,0))=""),"",G427/INDEX(G:G,MATCH(DATE(YEAR($A427)-1,MONTH($A427),DAY($A427)),$A:$A,0))-1),"")</f>
        <v/>
      </c>
      <c r="K427" s="7">
        <f>IF(OR(E427="",E426=""),"",E427/E426-1)</f>
        <v/>
      </c>
      <c r="L427" s="7">
        <f>IF(OR(F427="",F426=""),"",F427/F426-1)</f>
        <v/>
      </c>
      <c r="M427" s="7">
        <f>IF(OR(G427="",G426=""),"",G427/G426-1)</f>
        <v/>
      </c>
      <c r="N427" s="7">
        <f>IF(G427="","",E427/G427)</f>
        <v/>
      </c>
      <c r="O427" s="7">
        <f>IF(G427="","",F427/G427)</f>
        <v/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4">
        <f>IF(SUMIFS('Daily NSE Equity Cash'!$H:$H,'Daily NSE Equity Cash'!$A:$A,$A428)=0,"",SUMIFS('Daily NSE Equity Cash'!$H:$H,'Daily NSE Equity Cash'!$A:$A,$A428))</f>
        <v/>
      </c>
      <c r="F428" s="4">
        <f>IF(SUMIFS('Daily BSE Equity Cash'!$H:$H,'Daily BSE Equity Cash'!$A:$A,$A428)=0,"",SUMIFS('Daily BSE Equity Cash'!$H:$H,'Daily BSE Equity Cash'!$A:$A,$A428))</f>
        <v/>
      </c>
      <c r="G428" s="4">
        <f>IF(OR(E428="",F428=""),"",E428+F428)</f>
        <v/>
      </c>
      <c r="H428" s="7">
        <f>IFERROR(IF(OR(E428="",INDEX(E:E,MATCH(DATE(YEAR($A428)-1,MONTH($A428),DAY($A428)),$A:$A,0))=""),"",E428/INDEX(E:E,MATCH(DATE(YEAR($A428)-1,MONTH($A428),DAY($A428)),$A:$A,0))-1),"")</f>
        <v/>
      </c>
      <c r="I428" s="7">
        <f>IFERROR(IF(OR(F428="",INDEX(F:F,MATCH(DATE(YEAR($A428)-1,MONTH($A428),DAY($A428)),$A:$A,0))=""),"",F428/INDEX(F:F,MATCH(DATE(YEAR($A428)-1,MONTH($A428),DAY($A428)),$A:$A,0))-1),"")</f>
        <v/>
      </c>
      <c r="J428" s="7">
        <f>IFERROR(IF(OR(G428="",INDEX(G:G,MATCH(DATE(YEAR($A428)-1,MONTH($A428),DAY($A428)),$A:$A,0))=""),"",G428/INDEX(G:G,MATCH(DATE(YEAR($A428)-1,MONTH($A428),DAY($A428)),$A:$A,0))-1),"")</f>
        <v/>
      </c>
      <c r="K428" s="7">
        <f>IF(OR(E428="",E427=""),"",E428/E427-1)</f>
        <v/>
      </c>
      <c r="L428" s="7">
        <f>IF(OR(F428="",F427=""),"",F428/F427-1)</f>
        <v/>
      </c>
      <c r="M428" s="7">
        <f>IF(OR(G428="",G427=""),"",G428/G427-1)</f>
        <v/>
      </c>
      <c r="N428" s="7">
        <f>IF(G428="","",E428/G428)</f>
        <v/>
      </c>
      <c r="O428" s="7">
        <f>IF(G428="","",F428/G428)</f>
        <v/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4">
        <f>IF(SUMIFS('Daily NSE Equity Cash'!$H:$H,'Daily NSE Equity Cash'!$A:$A,$A429)=0,"",SUMIFS('Daily NSE Equity Cash'!$H:$H,'Daily NSE Equity Cash'!$A:$A,$A429))</f>
        <v/>
      </c>
      <c r="F429" s="4">
        <f>IF(SUMIFS('Daily BSE Equity Cash'!$H:$H,'Daily BSE Equity Cash'!$A:$A,$A429)=0,"",SUMIFS('Daily BSE Equity Cash'!$H:$H,'Daily BSE Equity Cash'!$A:$A,$A429))</f>
        <v/>
      </c>
      <c r="G429" s="4">
        <f>IF(OR(E429="",F429=""),"",E429+F429)</f>
        <v/>
      </c>
      <c r="H429" s="7">
        <f>IFERROR(IF(OR(E429="",INDEX(E:E,MATCH(DATE(YEAR($A429)-1,MONTH($A429),DAY($A429)),$A:$A,0))=""),"",E429/INDEX(E:E,MATCH(DATE(YEAR($A429)-1,MONTH($A429),DAY($A429)),$A:$A,0))-1),"")</f>
        <v/>
      </c>
      <c r="I429" s="7">
        <f>IFERROR(IF(OR(F429="",INDEX(F:F,MATCH(DATE(YEAR($A429)-1,MONTH($A429),DAY($A429)),$A:$A,0))=""),"",F429/INDEX(F:F,MATCH(DATE(YEAR($A429)-1,MONTH($A429),DAY($A429)),$A:$A,0))-1),"")</f>
        <v/>
      </c>
      <c r="J429" s="7">
        <f>IFERROR(IF(OR(G429="",INDEX(G:G,MATCH(DATE(YEAR($A429)-1,MONTH($A429),DAY($A429)),$A:$A,0))=""),"",G429/INDEX(G:G,MATCH(DATE(YEAR($A429)-1,MONTH($A429),DAY($A429)),$A:$A,0))-1),"")</f>
        <v/>
      </c>
      <c r="K429" s="7">
        <f>IF(OR(E429="",E428=""),"",E429/E428-1)</f>
        <v/>
      </c>
      <c r="L429" s="7">
        <f>IF(OR(F429="",F428=""),"",F429/F428-1)</f>
        <v/>
      </c>
      <c r="M429" s="7">
        <f>IF(OR(G429="",G428=""),"",G429/G428-1)</f>
        <v/>
      </c>
      <c r="N429" s="7">
        <f>IF(G429="","",E429/G429)</f>
        <v/>
      </c>
      <c r="O429" s="7">
        <f>IF(G429="","",F429/G429)</f>
        <v/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4">
        <f>IF(SUMIFS('Daily NSE Equity Cash'!$H:$H,'Daily NSE Equity Cash'!$A:$A,$A430)=0,"",SUMIFS('Daily NSE Equity Cash'!$H:$H,'Daily NSE Equity Cash'!$A:$A,$A430))</f>
        <v/>
      </c>
      <c r="F430" s="4">
        <f>IF(SUMIFS('Daily BSE Equity Cash'!$H:$H,'Daily BSE Equity Cash'!$A:$A,$A430)=0,"",SUMIFS('Daily BSE Equity Cash'!$H:$H,'Daily BSE Equity Cash'!$A:$A,$A430))</f>
        <v/>
      </c>
      <c r="G430" s="4">
        <f>IF(OR(E430="",F430=""),"",E430+F430)</f>
        <v/>
      </c>
      <c r="H430" s="7">
        <f>IFERROR(IF(OR(E430="",INDEX(E:E,MATCH(DATE(YEAR($A430)-1,MONTH($A430),DAY($A430)),$A:$A,0))=""),"",E430/INDEX(E:E,MATCH(DATE(YEAR($A430)-1,MONTH($A430),DAY($A430)),$A:$A,0))-1),"")</f>
        <v/>
      </c>
      <c r="I430" s="7">
        <f>IFERROR(IF(OR(F430="",INDEX(F:F,MATCH(DATE(YEAR($A430)-1,MONTH($A430),DAY($A430)),$A:$A,0))=""),"",F430/INDEX(F:F,MATCH(DATE(YEAR($A430)-1,MONTH($A430),DAY($A430)),$A:$A,0))-1),"")</f>
        <v/>
      </c>
      <c r="J430" s="7">
        <f>IFERROR(IF(OR(G430="",INDEX(G:G,MATCH(DATE(YEAR($A430)-1,MONTH($A430),DAY($A430)),$A:$A,0))=""),"",G430/INDEX(G:G,MATCH(DATE(YEAR($A430)-1,MONTH($A430),DAY($A430)),$A:$A,0))-1),"")</f>
        <v/>
      </c>
      <c r="K430" s="7">
        <f>IF(OR(E430="",E429=""),"",E430/E429-1)</f>
        <v/>
      </c>
      <c r="L430" s="7">
        <f>IF(OR(F430="",F429=""),"",F430/F429-1)</f>
        <v/>
      </c>
      <c r="M430" s="7">
        <f>IF(OR(G430="",G429=""),"",G430/G429-1)</f>
        <v/>
      </c>
      <c r="N430" s="7">
        <f>IF(G430="","",E430/G430)</f>
        <v/>
      </c>
      <c r="O430" s="7">
        <f>IF(G430="","",F430/G430)</f>
        <v/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4">
        <f>IF(SUMIFS('Daily NSE Equity Cash'!$H:$H,'Daily NSE Equity Cash'!$A:$A,$A431)=0,"",SUMIFS('Daily NSE Equity Cash'!$H:$H,'Daily NSE Equity Cash'!$A:$A,$A431))</f>
        <v/>
      </c>
      <c r="F431" s="4">
        <f>IF(SUMIFS('Daily BSE Equity Cash'!$H:$H,'Daily BSE Equity Cash'!$A:$A,$A431)=0,"",SUMIFS('Daily BSE Equity Cash'!$H:$H,'Daily BSE Equity Cash'!$A:$A,$A431))</f>
        <v/>
      </c>
      <c r="G431" s="4">
        <f>IF(OR(E431="",F431=""),"",E431+F431)</f>
        <v/>
      </c>
      <c r="H431" s="7">
        <f>IFERROR(IF(OR(E431="",INDEX(E:E,MATCH(DATE(YEAR($A431)-1,MONTH($A431),DAY($A431)),$A:$A,0))=""),"",E431/INDEX(E:E,MATCH(DATE(YEAR($A431)-1,MONTH($A431),DAY($A431)),$A:$A,0))-1),"")</f>
        <v/>
      </c>
      <c r="I431" s="7">
        <f>IFERROR(IF(OR(F431="",INDEX(F:F,MATCH(DATE(YEAR($A431)-1,MONTH($A431),DAY($A431)),$A:$A,0))=""),"",F431/INDEX(F:F,MATCH(DATE(YEAR($A431)-1,MONTH($A431),DAY($A431)),$A:$A,0))-1),"")</f>
        <v/>
      </c>
      <c r="J431" s="7">
        <f>IFERROR(IF(OR(G431="",INDEX(G:G,MATCH(DATE(YEAR($A431)-1,MONTH($A431),DAY($A431)),$A:$A,0))=""),"",G431/INDEX(G:G,MATCH(DATE(YEAR($A431)-1,MONTH($A431),DAY($A431)),$A:$A,0))-1),"")</f>
        <v/>
      </c>
      <c r="K431" s="7">
        <f>IF(OR(E431="",E430=""),"",E431/E430-1)</f>
        <v/>
      </c>
      <c r="L431" s="7">
        <f>IF(OR(F431="",F430=""),"",F431/F430-1)</f>
        <v/>
      </c>
      <c r="M431" s="7">
        <f>IF(OR(G431="",G430=""),"",G431/G430-1)</f>
        <v/>
      </c>
      <c r="N431" s="7">
        <f>IF(G431="","",E431/G431)</f>
        <v/>
      </c>
      <c r="O431" s="7">
        <f>IF(G431="","",F431/G431)</f>
        <v/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4">
        <f>IF(SUMIFS('Daily NSE Equity Cash'!$H:$H,'Daily NSE Equity Cash'!$A:$A,$A432)=0,"",SUMIFS('Daily NSE Equity Cash'!$H:$H,'Daily NSE Equity Cash'!$A:$A,$A432))</f>
        <v/>
      </c>
      <c r="F432" s="4">
        <f>IF(SUMIFS('Daily BSE Equity Cash'!$H:$H,'Daily BSE Equity Cash'!$A:$A,$A432)=0,"",SUMIFS('Daily BSE Equity Cash'!$H:$H,'Daily BSE Equity Cash'!$A:$A,$A432))</f>
        <v/>
      </c>
      <c r="G432" s="4">
        <f>IF(OR(E432="",F432=""),"",E432+F432)</f>
        <v/>
      </c>
      <c r="H432" s="7">
        <f>IFERROR(IF(OR(E432="",INDEX(E:E,MATCH(DATE(YEAR($A432)-1,MONTH($A432),DAY($A432)),$A:$A,0))=""),"",E432/INDEX(E:E,MATCH(DATE(YEAR($A432)-1,MONTH($A432),DAY($A432)),$A:$A,0))-1),"")</f>
        <v/>
      </c>
      <c r="I432" s="7">
        <f>IFERROR(IF(OR(F432="",INDEX(F:F,MATCH(DATE(YEAR($A432)-1,MONTH($A432),DAY($A432)),$A:$A,0))=""),"",F432/INDEX(F:F,MATCH(DATE(YEAR($A432)-1,MONTH($A432),DAY($A432)),$A:$A,0))-1),"")</f>
        <v/>
      </c>
      <c r="J432" s="7">
        <f>IFERROR(IF(OR(G432="",INDEX(G:G,MATCH(DATE(YEAR($A432)-1,MONTH($A432),DAY($A432)),$A:$A,0))=""),"",G432/INDEX(G:G,MATCH(DATE(YEAR($A432)-1,MONTH($A432),DAY($A432)),$A:$A,0))-1),"")</f>
        <v/>
      </c>
      <c r="K432" s="7">
        <f>IF(OR(E432="",E431=""),"",E432/E431-1)</f>
        <v/>
      </c>
      <c r="L432" s="7">
        <f>IF(OR(F432="",F431=""),"",F432/F431-1)</f>
        <v/>
      </c>
      <c r="M432" s="7">
        <f>IF(OR(G432="",G431=""),"",G432/G431-1)</f>
        <v/>
      </c>
      <c r="N432" s="7">
        <f>IF(G432="","",E432/G432)</f>
        <v/>
      </c>
      <c r="O432" s="7">
        <f>IF(G432="","",F432/G432)</f>
        <v/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4">
        <f>IF(SUMIFS('Daily NSE Equity Cash'!$H:$H,'Daily NSE Equity Cash'!$A:$A,$A433)=0,"",SUMIFS('Daily NSE Equity Cash'!$H:$H,'Daily NSE Equity Cash'!$A:$A,$A433))</f>
        <v/>
      </c>
      <c r="F433" s="4">
        <f>IF(SUMIFS('Daily BSE Equity Cash'!$H:$H,'Daily BSE Equity Cash'!$A:$A,$A433)=0,"",SUMIFS('Daily BSE Equity Cash'!$H:$H,'Daily BSE Equity Cash'!$A:$A,$A433))</f>
        <v/>
      </c>
      <c r="G433" s="4">
        <f>IF(OR(E433="",F433=""),"",E433+F433)</f>
        <v/>
      </c>
      <c r="H433" s="7">
        <f>IFERROR(IF(OR(E433="",INDEX(E:E,MATCH(DATE(YEAR($A433)-1,MONTH($A433),DAY($A433)),$A:$A,0))=""),"",E433/INDEX(E:E,MATCH(DATE(YEAR($A433)-1,MONTH($A433),DAY($A433)),$A:$A,0))-1),"")</f>
        <v/>
      </c>
      <c r="I433" s="7">
        <f>IFERROR(IF(OR(F433="",INDEX(F:F,MATCH(DATE(YEAR($A433)-1,MONTH($A433),DAY($A433)),$A:$A,0))=""),"",F433/INDEX(F:F,MATCH(DATE(YEAR($A433)-1,MONTH($A433),DAY($A433)),$A:$A,0))-1),"")</f>
        <v/>
      </c>
      <c r="J433" s="7">
        <f>IFERROR(IF(OR(G433="",INDEX(G:G,MATCH(DATE(YEAR($A433)-1,MONTH($A433),DAY($A433)),$A:$A,0))=""),"",G433/INDEX(G:G,MATCH(DATE(YEAR($A433)-1,MONTH($A433),DAY($A433)),$A:$A,0))-1),"")</f>
        <v/>
      </c>
      <c r="K433" s="7">
        <f>IF(OR(E433="",E432=""),"",E433/E432-1)</f>
        <v/>
      </c>
      <c r="L433" s="7">
        <f>IF(OR(F433="",F432=""),"",F433/F432-1)</f>
        <v/>
      </c>
      <c r="M433" s="7">
        <f>IF(OR(G433="",G432=""),"",G433/G432-1)</f>
        <v/>
      </c>
      <c r="N433" s="7">
        <f>IF(G433="","",E433/G433)</f>
        <v/>
      </c>
      <c r="O433" s="7">
        <f>IF(G433="","",F433/G433)</f>
        <v/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4">
        <f>IF(SUMIFS('Daily NSE Equity Cash'!$H:$H,'Daily NSE Equity Cash'!$A:$A,$A434)=0,"",SUMIFS('Daily NSE Equity Cash'!$H:$H,'Daily NSE Equity Cash'!$A:$A,$A434))</f>
        <v/>
      </c>
      <c r="F434" s="4">
        <f>IF(SUMIFS('Daily BSE Equity Cash'!$H:$H,'Daily BSE Equity Cash'!$A:$A,$A434)=0,"",SUMIFS('Daily BSE Equity Cash'!$H:$H,'Daily BSE Equity Cash'!$A:$A,$A434))</f>
        <v/>
      </c>
      <c r="G434" s="4">
        <f>IF(OR(E434="",F434=""),"",E434+F434)</f>
        <v/>
      </c>
      <c r="H434" s="7">
        <f>IFERROR(IF(OR(E434="",INDEX(E:E,MATCH(DATE(YEAR($A434)-1,MONTH($A434),DAY($A434)),$A:$A,0))=""),"",E434/INDEX(E:E,MATCH(DATE(YEAR($A434)-1,MONTH($A434),DAY($A434)),$A:$A,0))-1),"")</f>
        <v/>
      </c>
      <c r="I434" s="7">
        <f>IFERROR(IF(OR(F434="",INDEX(F:F,MATCH(DATE(YEAR($A434)-1,MONTH($A434),DAY($A434)),$A:$A,0))=""),"",F434/INDEX(F:F,MATCH(DATE(YEAR($A434)-1,MONTH($A434),DAY($A434)),$A:$A,0))-1),"")</f>
        <v/>
      </c>
      <c r="J434" s="7">
        <f>IFERROR(IF(OR(G434="",INDEX(G:G,MATCH(DATE(YEAR($A434)-1,MONTH($A434),DAY($A434)),$A:$A,0))=""),"",G434/INDEX(G:G,MATCH(DATE(YEAR($A434)-1,MONTH($A434),DAY($A434)),$A:$A,0))-1),"")</f>
        <v/>
      </c>
      <c r="K434" s="7">
        <f>IF(OR(E434="",E433=""),"",E434/E433-1)</f>
        <v/>
      </c>
      <c r="L434" s="7">
        <f>IF(OR(F434="",F433=""),"",F434/F433-1)</f>
        <v/>
      </c>
      <c r="M434" s="7">
        <f>IF(OR(G434="",G433=""),"",G434/G433-1)</f>
        <v/>
      </c>
      <c r="N434" s="7">
        <f>IF(G434="","",E434/G434)</f>
        <v/>
      </c>
      <c r="O434" s="7">
        <f>IF(G434="","",F434/G434)</f>
        <v/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4">
        <f>IF(SUMIFS('Daily NSE Equity Cash'!$H:$H,'Daily NSE Equity Cash'!$A:$A,$A435)=0,"",SUMIFS('Daily NSE Equity Cash'!$H:$H,'Daily NSE Equity Cash'!$A:$A,$A435))</f>
        <v/>
      </c>
      <c r="F435" s="4">
        <f>IF(SUMIFS('Daily BSE Equity Cash'!$H:$H,'Daily BSE Equity Cash'!$A:$A,$A435)=0,"",SUMIFS('Daily BSE Equity Cash'!$H:$H,'Daily BSE Equity Cash'!$A:$A,$A435))</f>
        <v/>
      </c>
      <c r="G435" s="4">
        <f>IF(OR(E435="",F435=""),"",E435+F435)</f>
        <v/>
      </c>
      <c r="H435" s="7">
        <f>IFERROR(IF(OR(E435="",INDEX(E:E,MATCH(DATE(YEAR($A435)-1,MONTH($A435),DAY($A435)),$A:$A,0))=""),"",E435/INDEX(E:E,MATCH(DATE(YEAR($A435)-1,MONTH($A435),DAY($A435)),$A:$A,0))-1),"")</f>
        <v/>
      </c>
      <c r="I435" s="7">
        <f>IFERROR(IF(OR(F435="",INDEX(F:F,MATCH(DATE(YEAR($A435)-1,MONTH($A435),DAY($A435)),$A:$A,0))=""),"",F435/INDEX(F:F,MATCH(DATE(YEAR($A435)-1,MONTH($A435),DAY($A435)),$A:$A,0))-1),"")</f>
        <v/>
      </c>
      <c r="J435" s="7">
        <f>IFERROR(IF(OR(G435="",INDEX(G:G,MATCH(DATE(YEAR($A435)-1,MONTH($A435),DAY($A435)),$A:$A,0))=""),"",G435/INDEX(G:G,MATCH(DATE(YEAR($A435)-1,MONTH($A435),DAY($A435)),$A:$A,0))-1),"")</f>
        <v/>
      </c>
      <c r="K435" s="7">
        <f>IF(OR(E435="",E434=""),"",E435/E434-1)</f>
        <v/>
      </c>
      <c r="L435" s="7">
        <f>IF(OR(F435="",F434=""),"",F435/F434-1)</f>
        <v/>
      </c>
      <c r="M435" s="7">
        <f>IF(OR(G435="",G434=""),"",G435/G434-1)</f>
        <v/>
      </c>
      <c r="N435" s="7">
        <f>IF(G435="","",E435/G435)</f>
        <v/>
      </c>
      <c r="O435" s="7">
        <f>IF(G435="","",F435/G435)</f>
        <v/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4">
        <f>IF(SUMIFS('Daily NSE Equity Cash'!$H:$H,'Daily NSE Equity Cash'!$A:$A,$A436)=0,"",SUMIFS('Daily NSE Equity Cash'!$H:$H,'Daily NSE Equity Cash'!$A:$A,$A436))</f>
        <v/>
      </c>
      <c r="F436" s="4">
        <f>IF(SUMIFS('Daily BSE Equity Cash'!$H:$H,'Daily BSE Equity Cash'!$A:$A,$A436)=0,"",SUMIFS('Daily BSE Equity Cash'!$H:$H,'Daily BSE Equity Cash'!$A:$A,$A436))</f>
        <v/>
      </c>
      <c r="G436" s="4">
        <f>IF(OR(E436="",F436=""),"",E436+F436)</f>
        <v/>
      </c>
      <c r="H436" s="7">
        <f>IFERROR(IF(OR(E436="",INDEX(E:E,MATCH(DATE(YEAR($A436)-1,MONTH($A436),DAY($A436)),$A:$A,0))=""),"",E436/INDEX(E:E,MATCH(DATE(YEAR($A436)-1,MONTH($A436),DAY($A436)),$A:$A,0))-1),"")</f>
        <v/>
      </c>
      <c r="I436" s="7">
        <f>IFERROR(IF(OR(F436="",INDEX(F:F,MATCH(DATE(YEAR($A436)-1,MONTH($A436),DAY($A436)),$A:$A,0))=""),"",F436/INDEX(F:F,MATCH(DATE(YEAR($A436)-1,MONTH($A436),DAY($A436)),$A:$A,0))-1),"")</f>
        <v/>
      </c>
      <c r="J436" s="7">
        <f>IFERROR(IF(OR(G436="",INDEX(G:G,MATCH(DATE(YEAR($A436)-1,MONTH($A436),DAY($A436)),$A:$A,0))=""),"",G436/INDEX(G:G,MATCH(DATE(YEAR($A436)-1,MONTH($A436),DAY($A436)),$A:$A,0))-1),"")</f>
        <v/>
      </c>
      <c r="K436" s="7">
        <f>IF(OR(E436="",E435=""),"",E436/E435-1)</f>
        <v/>
      </c>
      <c r="L436" s="7">
        <f>IF(OR(F436="",F435=""),"",F436/F435-1)</f>
        <v/>
      </c>
      <c r="M436" s="7">
        <f>IF(OR(G436="",G435=""),"",G436/G435-1)</f>
        <v/>
      </c>
      <c r="N436" s="7">
        <f>IF(G436="","",E436/G436)</f>
        <v/>
      </c>
      <c r="O436" s="7">
        <f>IF(G436="","",F436/G436)</f>
        <v/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4">
        <f>IF(SUMIFS('Daily NSE Equity Cash'!$H:$H,'Daily NSE Equity Cash'!$A:$A,$A437)=0,"",SUMIFS('Daily NSE Equity Cash'!$H:$H,'Daily NSE Equity Cash'!$A:$A,$A437))</f>
        <v/>
      </c>
      <c r="F437" s="4">
        <f>IF(SUMIFS('Daily BSE Equity Cash'!$H:$H,'Daily BSE Equity Cash'!$A:$A,$A437)=0,"",SUMIFS('Daily BSE Equity Cash'!$H:$H,'Daily BSE Equity Cash'!$A:$A,$A437))</f>
        <v/>
      </c>
      <c r="G437" s="4">
        <f>IF(OR(E437="",F437=""),"",E437+F437)</f>
        <v/>
      </c>
      <c r="H437" s="7">
        <f>IFERROR(IF(OR(E437="",INDEX(E:E,MATCH(DATE(YEAR($A437)-1,MONTH($A437),DAY($A437)),$A:$A,0))=""),"",E437/INDEX(E:E,MATCH(DATE(YEAR($A437)-1,MONTH($A437),DAY($A437)),$A:$A,0))-1),"")</f>
        <v/>
      </c>
      <c r="I437" s="7">
        <f>IFERROR(IF(OR(F437="",INDEX(F:F,MATCH(DATE(YEAR($A437)-1,MONTH($A437),DAY($A437)),$A:$A,0))=""),"",F437/INDEX(F:F,MATCH(DATE(YEAR($A437)-1,MONTH($A437),DAY($A437)),$A:$A,0))-1),"")</f>
        <v/>
      </c>
      <c r="J437" s="7">
        <f>IFERROR(IF(OR(G437="",INDEX(G:G,MATCH(DATE(YEAR($A437)-1,MONTH($A437),DAY($A437)),$A:$A,0))=""),"",G437/INDEX(G:G,MATCH(DATE(YEAR($A437)-1,MONTH($A437),DAY($A437)),$A:$A,0))-1),"")</f>
        <v/>
      </c>
      <c r="K437" s="7">
        <f>IF(OR(E437="",E436=""),"",E437/E436-1)</f>
        <v/>
      </c>
      <c r="L437" s="7">
        <f>IF(OR(F437="",F436=""),"",F437/F436-1)</f>
        <v/>
      </c>
      <c r="M437" s="7">
        <f>IF(OR(G437="",G436=""),"",G437/G436-1)</f>
        <v/>
      </c>
      <c r="N437" s="7">
        <f>IF(G437="","",E437/G437)</f>
        <v/>
      </c>
      <c r="O437" s="7">
        <f>IF(G437="","",F437/G437)</f>
        <v/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4">
        <f>IF(SUMIFS('Daily NSE Equity Cash'!$H:$H,'Daily NSE Equity Cash'!$A:$A,$A438)=0,"",SUMIFS('Daily NSE Equity Cash'!$H:$H,'Daily NSE Equity Cash'!$A:$A,$A438))</f>
        <v/>
      </c>
      <c r="F438" s="4">
        <f>IF(SUMIFS('Daily BSE Equity Cash'!$H:$H,'Daily BSE Equity Cash'!$A:$A,$A438)=0,"",SUMIFS('Daily BSE Equity Cash'!$H:$H,'Daily BSE Equity Cash'!$A:$A,$A438))</f>
        <v/>
      </c>
      <c r="G438" s="4">
        <f>IF(OR(E438="",F438=""),"",E438+F438)</f>
        <v/>
      </c>
      <c r="H438" s="7">
        <f>IFERROR(IF(OR(E438="",INDEX(E:E,MATCH(DATE(YEAR($A438)-1,MONTH($A438),DAY($A438)),$A:$A,0))=""),"",E438/INDEX(E:E,MATCH(DATE(YEAR($A438)-1,MONTH($A438),DAY($A438)),$A:$A,0))-1),"")</f>
        <v/>
      </c>
      <c r="I438" s="7">
        <f>IFERROR(IF(OR(F438="",INDEX(F:F,MATCH(DATE(YEAR($A438)-1,MONTH($A438),DAY($A438)),$A:$A,0))=""),"",F438/INDEX(F:F,MATCH(DATE(YEAR($A438)-1,MONTH($A438),DAY($A438)),$A:$A,0))-1),"")</f>
        <v/>
      </c>
      <c r="J438" s="7">
        <f>IFERROR(IF(OR(G438="",INDEX(G:G,MATCH(DATE(YEAR($A438)-1,MONTH($A438),DAY($A438)),$A:$A,0))=""),"",G438/INDEX(G:G,MATCH(DATE(YEAR($A438)-1,MONTH($A438),DAY($A438)),$A:$A,0))-1),"")</f>
        <v/>
      </c>
      <c r="K438" s="7">
        <f>IF(OR(E438="",E437=""),"",E438/E437-1)</f>
        <v/>
      </c>
      <c r="L438" s="7">
        <f>IF(OR(F438="",F437=""),"",F438/F437-1)</f>
        <v/>
      </c>
      <c r="M438" s="7">
        <f>IF(OR(G438="",G437=""),"",G438/G437-1)</f>
        <v/>
      </c>
      <c r="N438" s="7">
        <f>IF(G438="","",E438/G438)</f>
        <v/>
      </c>
      <c r="O438" s="7">
        <f>IF(G438="","",F438/G438)</f>
        <v/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4">
        <f>IF(SUMIFS('Daily NSE Equity Cash'!$H:$H,'Daily NSE Equity Cash'!$A:$A,$A439)=0,"",SUMIFS('Daily NSE Equity Cash'!$H:$H,'Daily NSE Equity Cash'!$A:$A,$A439))</f>
        <v/>
      </c>
      <c r="F439" s="4">
        <f>IF(SUMIFS('Daily BSE Equity Cash'!$H:$H,'Daily BSE Equity Cash'!$A:$A,$A439)=0,"",SUMIFS('Daily BSE Equity Cash'!$H:$H,'Daily BSE Equity Cash'!$A:$A,$A439))</f>
        <v/>
      </c>
      <c r="G439" s="4">
        <f>IF(OR(E439="",F439=""),"",E439+F439)</f>
        <v/>
      </c>
      <c r="H439" s="7">
        <f>IFERROR(IF(OR(E439="",INDEX(E:E,MATCH(DATE(YEAR($A439)-1,MONTH($A439),DAY($A439)),$A:$A,0))=""),"",E439/INDEX(E:E,MATCH(DATE(YEAR($A439)-1,MONTH($A439),DAY($A439)),$A:$A,0))-1),"")</f>
        <v/>
      </c>
      <c r="I439" s="7">
        <f>IFERROR(IF(OR(F439="",INDEX(F:F,MATCH(DATE(YEAR($A439)-1,MONTH($A439),DAY($A439)),$A:$A,0))=""),"",F439/INDEX(F:F,MATCH(DATE(YEAR($A439)-1,MONTH($A439),DAY($A439)),$A:$A,0))-1),"")</f>
        <v/>
      </c>
      <c r="J439" s="7">
        <f>IFERROR(IF(OR(G439="",INDEX(G:G,MATCH(DATE(YEAR($A439)-1,MONTH($A439),DAY($A439)),$A:$A,0))=""),"",G439/INDEX(G:G,MATCH(DATE(YEAR($A439)-1,MONTH($A439),DAY($A439)),$A:$A,0))-1),"")</f>
        <v/>
      </c>
      <c r="K439" s="7">
        <f>IF(OR(E439="",E438=""),"",E439/E438-1)</f>
        <v/>
      </c>
      <c r="L439" s="7">
        <f>IF(OR(F439="",F438=""),"",F439/F438-1)</f>
        <v/>
      </c>
      <c r="M439" s="7">
        <f>IF(OR(G439="",G438=""),"",G439/G438-1)</f>
        <v/>
      </c>
      <c r="N439" s="7">
        <f>IF(G439="","",E439/G439)</f>
        <v/>
      </c>
      <c r="O439" s="7">
        <f>IF(G439="","",F439/G439)</f>
        <v/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4">
        <f>IF(SUMIFS('Daily NSE Equity Cash'!$H:$H,'Daily NSE Equity Cash'!$A:$A,$A440)=0,"",SUMIFS('Daily NSE Equity Cash'!$H:$H,'Daily NSE Equity Cash'!$A:$A,$A440))</f>
        <v/>
      </c>
      <c r="F440" s="4">
        <f>IF(SUMIFS('Daily BSE Equity Cash'!$H:$H,'Daily BSE Equity Cash'!$A:$A,$A440)=0,"",SUMIFS('Daily BSE Equity Cash'!$H:$H,'Daily BSE Equity Cash'!$A:$A,$A440))</f>
        <v/>
      </c>
      <c r="G440" s="4">
        <f>IF(OR(E440="",F440=""),"",E440+F440)</f>
        <v/>
      </c>
      <c r="H440" s="7">
        <f>IFERROR(IF(OR(E440="",INDEX(E:E,MATCH(DATE(YEAR($A440)-1,MONTH($A440),DAY($A440)),$A:$A,0))=""),"",E440/INDEX(E:E,MATCH(DATE(YEAR($A440)-1,MONTH($A440),DAY($A440)),$A:$A,0))-1),"")</f>
        <v/>
      </c>
      <c r="I440" s="7">
        <f>IFERROR(IF(OR(F440="",INDEX(F:F,MATCH(DATE(YEAR($A440)-1,MONTH($A440),DAY($A440)),$A:$A,0))=""),"",F440/INDEX(F:F,MATCH(DATE(YEAR($A440)-1,MONTH($A440),DAY($A440)),$A:$A,0))-1),"")</f>
        <v/>
      </c>
      <c r="J440" s="7">
        <f>IFERROR(IF(OR(G440="",INDEX(G:G,MATCH(DATE(YEAR($A440)-1,MONTH($A440),DAY($A440)),$A:$A,0))=""),"",G440/INDEX(G:G,MATCH(DATE(YEAR($A440)-1,MONTH($A440),DAY($A440)),$A:$A,0))-1),"")</f>
        <v/>
      </c>
      <c r="K440" s="7">
        <f>IF(OR(E440="",E439=""),"",E440/E439-1)</f>
        <v/>
      </c>
      <c r="L440" s="7">
        <f>IF(OR(F440="",F439=""),"",F440/F439-1)</f>
        <v/>
      </c>
      <c r="M440" s="7">
        <f>IF(OR(G440="",G439=""),"",G440/G439-1)</f>
        <v/>
      </c>
      <c r="N440" s="7">
        <f>IF(G440="","",E440/G440)</f>
        <v/>
      </c>
      <c r="O440" s="7">
        <f>IF(G440="","",F440/G440)</f>
        <v/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4">
        <f>IF(SUMIFS('Daily NSE Equity Cash'!$H:$H,'Daily NSE Equity Cash'!$A:$A,$A441)=0,"",SUMIFS('Daily NSE Equity Cash'!$H:$H,'Daily NSE Equity Cash'!$A:$A,$A441))</f>
        <v/>
      </c>
      <c r="F441" s="4">
        <f>IF(SUMIFS('Daily BSE Equity Cash'!$H:$H,'Daily BSE Equity Cash'!$A:$A,$A441)=0,"",SUMIFS('Daily BSE Equity Cash'!$H:$H,'Daily BSE Equity Cash'!$A:$A,$A441))</f>
        <v/>
      </c>
      <c r="G441" s="4">
        <f>IF(OR(E441="",F441=""),"",E441+F441)</f>
        <v/>
      </c>
      <c r="H441" s="7">
        <f>IFERROR(IF(OR(E441="",INDEX(E:E,MATCH(DATE(YEAR($A441)-1,MONTH($A441),DAY($A441)),$A:$A,0))=""),"",E441/INDEX(E:E,MATCH(DATE(YEAR($A441)-1,MONTH($A441),DAY($A441)),$A:$A,0))-1),"")</f>
        <v/>
      </c>
      <c r="I441" s="7">
        <f>IFERROR(IF(OR(F441="",INDEX(F:F,MATCH(DATE(YEAR($A441)-1,MONTH($A441),DAY($A441)),$A:$A,0))=""),"",F441/INDEX(F:F,MATCH(DATE(YEAR($A441)-1,MONTH($A441),DAY($A441)),$A:$A,0))-1),"")</f>
        <v/>
      </c>
      <c r="J441" s="7">
        <f>IFERROR(IF(OR(G441="",INDEX(G:G,MATCH(DATE(YEAR($A441)-1,MONTH($A441),DAY($A441)),$A:$A,0))=""),"",G441/INDEX(G:G,MATCH(DATE(YEAR($A441)-1,MONTH($A441),DAY($A441)),$A:$A,0))-1),"")</f>
        <v/>
      </c>
      <c r="K441" s="7">
        <f>IF(OR(E441="",E440=""),"",E441/E440-1)</f>
        <v/>
      </c>
      <c r="L441" s="7">
        <f>IF(OR(F441="",F440=""),"",F441/F440-1)</f>
        <v/>
      </c>
      <c r="M441" s="7">
        <f>IF(OR(G441="",G440=""),"",G441/G440-1)</f>
        <v/>
      </c>
      <c r="N441" s="7">
        <f>IF(G441="","",E441/G441)</f>
        <v/>
      </c>
      <c r="O441" s="7">
        <f>IF(G441="","",F441/G441)</f>
        <v/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4">
        <f>IF(SUMIFS('Daily NSE Equity Cash'!$H:$H,'Daily NSE Equity Cash'!$A:$A,$A442)=0,"",SUMIFS('Daily NSE Equity Cash'!$H:$H,'Daily NSE Equity Cash'!$A:$A,$A442))</f>
        <v/>
      </c>
      <c r="F442" s="4">
        <f>IF(SUMIFS('Daily BSE Equity Cash'!$H:$H,'Daily BSE Equity Cash'!$A:$A,$A442)=0,"",SUMIFS('Daily BSE Equity Cash'!$H:$H,'Daily BSE Equity Cash'!$A:$A,$A442))</f>
        <v/>
      </c>
      <c r="G442" s="4">
        <f>IF(OR(E442="",F442=""),"",E442+F442)</f>
        <v/>
      </c>
      <c r="H442" s="7">
        <f>IFERROR(IF(OR(E442="",INDEX(E:E,MATCH(DATE(YEAR($A442)-1,MONTH($A442),DAY($A442)),$A:$A,0))=""),"",E442/INDEX(E:E,MATCH(DATE(YEAR($A442)-1,MONTH($A442),DAY($A442)),$A:$A,0))-1),"")</f>
        <v/>
      </c>
      <c r="I442" s="7">
        <f>IFERROR(IF(OR(F442="",INDEX(F:F,MATCH(DATE(YEAR($A442)-1,MONTH($A442),DAY($A442)),$A:$A,0))=""),"",F442/INDEX(F:F,MATCH(DATE(YEAR($A442)-1,MONTH($A442),DAY($A442)),$A:$A,0))-1),"")</f>
        <v/>
      </c>
      <c r="J442" s="7">
        <f>IFERROR(IF(OR(G442="",INDEX(G:G,MATCH(DATE(YEAR($A442)-1,MONTH($A442),DAY($A442)),$A:$A,0))=""),"",G442/INDEX(G:G,MATCH(DATE(YEAR($A442)-1,MONTH($A442),DAY($A442)),$A:$A,0))-1),"")</f>
        <v/>
      </c>
      <c r="K442" s="7">
        <f>IF(OR(E442="",E441=""),"",E442/E441-1)</f>
        <v/>
      </c>
      <c r="L442" s="7">
        <f>IF(OR(F442="",F441=""),"",F442/F441-1)</f>
        <v/>
      </c>
      <c r="M442" s="7">
        <f>IF(OR(G442="",G441=""),"",G442/G441-1)</f>
        <v/>
      </c>
      <c r="N442" s="7">
        <f>IF(G442="","",E442/G442)</f>
        <v/>
      </c>
      <c r="O442" s="7">
        <f>IF(G442="","",F442/G442)</f>
        <v/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4">
        <f>IF(SUMIFS('Daily NSE Equity Cash'!$H:$H,'Daily NSE Equity Cash'!$A:$A,$A443)=0,"",SUMIFS('Daily NSE Equity Cash'!$H:$H,'Daily NSE Equity Cash'!$A:$A,$A443))</f>
        <v/>
      </c>
      <c r="F443" s="4">
        <f>IF(SUMIFS('Daily BSE Equity Cash'!$H:$H,'Daily BSE Equity Cash'!$A:$A,$A443)=0,"",SUMIFS('Daily BSE Equity Cash'!$H:$H,'Daily BSE Equity Cash'!$A:$A,$A443))</f>
        <v/>
      </c>
      <c r="G443" s="4">
        <f>IF(OR(E443="",F443=""),"",E443+F443)</f>
        <v/>
      </c>
      <c r="H443" s="7">
        <f>IFERROR(IF(OR(E443="",INDEX(E:E,MATCH(DATE(YEAR($A443)-1,MONTH($A443),DAY($A443)),$A:$A,0))=""),"",E443/INDEX(E:E,MATCH(DATE(YEAR($A443)-1,MONTH($A443),DAY($A443)),$A:$A,0))-1),"")</f>
        <v/>
      </c>
      <c r="I443" s="7">
        <f>IFERROR(IF(OR(F443="",INDEX(F:F,MATCH(DATE(YEAR($A443)-1,MONTH($A443),DAY($A443)),$A:$A,0))=""),"",F443/INDEX(F:F,MATCH(DATE(YEAR($A443)-1,MONTH($A443),DAY($A443)),$A:$A,0))-1),"")</f>
        <v/>
      </c>
      <c r="J443" s="7">
        <f>IFERROR(IF(OR(G443="",INDEX(G:G,MATCH(DATE(YEAR($A443)-1,MONTH($A443),DAY($A443)),$A:$A,0))=""),"",G443/INDEX(G:G,MATCH(DATE(YEAR($A443)-1,MONTH($A443),DAY($A443)),$A:$A,0))-1),"")</f>
        <v/>
      </c>
      <c r="K443" s="7">
        <f>IF(OR(E443="",E442=""),"",E443/E442-1)</f>
        <v/>
      </c>
      <c r="L443" s="7">
        <f>IF(OR(F443="",F442=""),"",F443/F442-1)</f>
        <v/>
      </c>
      <c r="M443" s="7">
        <f>IF(OR(G443="",G442=""),"",G443/G442-1)</f>
        <v/>
      </c>
      <c r="N443" s="7">
        <f>IF(G443="","",E443/G443)</f>
        <v/>
      </c>
      <c r="O443" s="7">
        <f>IF(G443="","",F443/G443)</f>
        <v/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4">
        <f>IF(SUMIFS('Daily NSE Equity Cash'!$H:$H,'Daily NSE Equity Cash'!$A:$A,$A444)=0,"",SUMIFS('Daily NSE Equity Cash'!$H:$H,'Daily NSE Equity Cash'!$A:$A,$A444))</f>
        <v/>
      </c>
      <c r="F444" s="4">
        <f>IF(SUMIFS('Daily BSE Equity Cash'!$H:$H,'Daily BSE Equity Cash'!$A:$A,$A444)=0,"",SUMIFS('Daily BSE Equity Cash'!$H:$H,'Daily BSE Equity Cash'!$A:$A,$A444))</f>
        <v/>
      </c>
      <c r="G444" s="4">
        <f>IF(OR(E444="",F444=""),"",E444+F444)</f>
        <v/>
      </c>
      <c r="H444" s="7">
        <f>IFERROR(IF(OR(E444="",INDEX(E:E,MATCH(DATE(YEAR($A444)-1,MONTH($A444),DAY($A444)),$A:$A,0))=""),"",E444/INDEX(E:E,MATCH(DATE(YEAR($A444)-1,MONTH($A444),DAY($A444)),$A:$A,0))-1),"")</f>
        <v/>
      </c>
      <c r="I444" s="7">
        <f>IFERROR(IF(OR(F444="",INDEX(F:F,MATCH(DATE(YEAR($A444)-1,MONTH($A444),DAY($A444)),$A:$A,0))=""),"",F444/INDEX(F:F,MATCH(DATE(YEAR($A444)-1,MONTH($A444),DAY($A444)),$A:$A,0))-1),"")</f>
        <v/>
      </c>
      <c r="J444" s="7">
        <f>IFERROR(IF(OR(G444="",INDEX(G:G,MATCH(DATE(YEAR($A444)-1,MONTH($A444),DAY($A444)),$A:$A,0))=""),"",G444/INDEX(G:G,MATCH(DATE(YEAR($A444)-1,MONTH($A444),DAY($A444)),$A:$A,0))-1),"")</f>
        <v/>
      </c>
      <c r="K444" s="7">
        <f>IF(OR(E444="",E443=""),"",E444/E443-1)</f>
        <v/>
      </c>
      <c r="L444" s="7">
        <f>IF(OR(F444="",F443=""),"",F444/F443-1)</f>
        <v/>
      </c>
      <c r="M444" s="7">
        <f>IF(OR(G444="",G443=""),"",G444/G443-1)</f>
        <v/>
      </c>
      <c r="N444" s="7">
        <f>IF(G444="","",E444/G444)</f>
        <v/>
      </c>
      <c r="O444" s="7">
        <f>IF(G444="","",F444/G444)</f>
        <v/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4">
        <f>IF(SUMIFS('Daily NSE Equity Cash'!$H:$H,'Daily NSE Equity Cash'!$A:$A,$A445)=0,"",SUMIFS('Daily NSE Equity Cash'!$H:$H,'Daily NSE Equity Cash'!$A:$A,$A445))</f>
        <v/>
      </c>
      <c r="F445" s="4">
        <f>IF(SUMIFS('Daily BSE Equity Cash'!$H:$H,'Daily BSE Equity Cash'!$A:$A,$A445)=0,"",SUMIFS('Daily BSE Equity Cash'!$H:$H,'Daily BSE Equity Cash'!$A:$A,$A445))</f>
        <v/>
      </c>
      <c r="G445" s="4">
        <f>IF(OR(E445="",F445=""),"",E445+F445)</f>
        <v/>
      </c>
      <c r="H445" s="7">
        <f>IFERROR(IF(OR(E445="",INDEX(E:E,MATCH(DATE(YEAR($A445)-1,MONTH($A445),DAY($A445)),$A:$A,0))=""),"",E445/INDEX(E:E,MATCH(DATE(YEAR($A445)-1,MONTH($A445),DAY($A445)),$A:$A,0))-1),"")</f>
        <v/>
      </c>
      <c r="I445" s="7">
        <f>IFERROR(IF(OR(F445="",INDEX(F:F,MATCH(DATE(YEAR($A445)-1,MONTH($A445),DAY($A445)),$A:$A,0))=""),"",F445/INDEX(F:F,MATCH(DATE(YEAR($A445)-1,MONTH($A445),DAY($A445)),$A:$A,0))-1),"")</f>
        <v/>
      </c>
      <c r="J445" s="7">
        <f>IFERROR(IF(OR(G445="",INDEX(G:G,MATCH(DATE(YEAR($A445)-1,MONTH($A445),DAY($A445)),$A:$A,0))=""),"",G445/INDEX(G:G,MATCH(DATE(YEAR($A445)-1,MONTH($A445),DAY($A445)),$A:$A,0))-1),"")</f>
        <v/>
      </c>
      <c r="K445" s="7">
        <f>IF(OR(E445="",E444=""),"",E445/E444-1)</f>
        <v/>
      </c>
      <c r="L445" s="7">
        <f>IF(OR(F445="",F444=""),"",F445/F444-1)</f>
        <v/>
      </c>
      <c r="M445" s="7">
        <f>IF(OR(G445="",G444=""),"",G445/G444-1)</f>
        <v/>
      </c>
      <c r="N445" s="7">
        <f>IF(G445="","",E445/G445)</f>
        <v/>
      </c>
      <c r="O445" s="7">
        <f>IF(G445="","",F445/G445)</f>
        <v/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4">
        <f>IF(SUMIFS('Daily NSE Equity Cash'!$H:$H,'Daily NSE Equity Cash'!$A:$A,$A446)=0,"",SUMIFS('Daily NSE Equity Cash'!$H:$H,'Daily NSE Equity Cash'!$A:$A,$A446))</f>
        <v/>
      </c>
      <c r="F446" s="4">
        <f>IF(SUMIFS('Daily BSE Equity Cash'!$H:$H,'Daily BSE Equity Cash'!$A:$A,$A446)=0,"",SUMIFS('Daily BSE Equity Cash'!$H:$H,'Daily BSE Equity Cash'!$A:$A,$A446))</f>
        <v/>
      </c>
      <c r="G446" s="4">
        <f>IF(OR(E446="",F446=""),"",E446+F446)</f>
        <v/>
      </c>
      <c r="H446" s="7">
        <f>IFERROR(IF(OR(E446="",INDEX(E:E,MATCH(DATE(YEAR($A446)-1,MONTH($A446),DAY($A446)),$A:$A,0))=""),"",E446/INDEX(E:E,MATCH(DATE(YEAR($A446)-1,MONTH($A446),DAY($A446)),$A:$A,0))-1),"")</f>
        <v/>
      </c>
      <c r="I446" s="7">
        <f>IFERROR(IF(OR(F446="",INDEX(F:F,MATCH(DATE(YEAR($A446)-1,MONTH($A446),DAY($A446)),$A:$A,0))=""),"",F446/INDEX(F:F,MATCH(DATE(YEAR($A446)-1,MONTH($A446),DAY($A446)),$A:$A,0))-1),"")</f>
        <v/>
      </c>
      <c r="J446" s="7">
        <f>IFERROR(IF(OR(G446="",INDEX(G:G,MATCH(DATE(YEAR($A446)-1,MONTH($A446),DAY($A446)),$A:$A,0))=""),"",G446/INDEX(G:G,MATCH(DATE(YEAR($A446)-1,MONTH($A446),DAY($A446)),$A:$A,0))-1),"")</f>
        <v/>
      </c>
      <c r="K446" s="7">
        <f>IF(OR(E446="",E445=""),"",E446/E445-1)</f>
        <v/>
      </c>
      <c r="L446" s="7">
        <f>IF(OR(F446="",F445=""),"",F446/F445-1)</f>
        <v/>
      </c>
      <c r="M446" s="7">
        <f>IF(OR(G446="",G445=""),"",G446/G445-1)</f>
        <v/>
      </c>
      <c r="N446" s="7">
        <f>IF(G446="","",E446/G446)</f>
        <v/>
      </c>
      <c r="O446" s="7">
        <f>IF(G446="","",F446/G446)</f>
        <v/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4">
        <f>IF(SUMIFS('Daily NSE Equity Cash'!$H:$H,'Daily NSE Equity Cash'!$A:$A,$A447)=0,"",SUMIFS('Daily NSE Equity Cash'!$H:$H,'Daily NSE Equity Cash'!$A:$A,$A447))</f>
        <v/>
      </c>
      <c r="F447" s="4">
        <f>IF(SUMIFS('Daily BSE Equity Cash'!$H:$H,'Daily BSE Equity Cash'!$A:$A,$A447)=0,"",SUMIFS('Daily BSE Equity Cash'!$H:$H,'Daily BSE Equity Cash'!$A:$A,$A447))</f>
        <v/>
      </c>
      <c r="G447" s="4">
        <f>IF(OR(E447="",F447=""),"",E447+F447)</f>
        <v/>
      </c>
      <c r="H447" s="7">
        <f>IFERROR(IF(OR(E447="",INDEX(E:E,MATCH(DATE(YEAR($A447)-1,MONTH($A447),DAY($A447)),$A:$A,0))=""),"",E447/INDEX(E:E,MATCH(DATE(YEAR($A447)-1,MONTH($A447),DAY($A447)),$A:$A,0))-1),"")</f>
        <v/>
      </c>
      <c r="I447" s="7">
        <f>IFERROR(IF(OR(F447="",INDEX(F:F,MATCH(DATE(YEAR($A447)-1,MONTH($A447),DAY($A447)),$A:$A,0))=""),"",F447/INDEX(F:F,MATCH(DATE(YEAR($A447)-1,MONTH($A447),DAY($A447)),$A:$A,0))-1),"")</f>
        <v/>
      </c>
      <c r="J447" s="7">
        <f>IFERROR(IF(OR(G447="",INDEX(G:G,MATCH(DATE(YEAR($A447)-1,MONTH($A447),DAY($A447)),$A:$A,0))=""),"",G447/INDEX(G:G,MATCH(DATE(YEAR($A447)-1,MONTH($A447),DAY($A447)),$A:$A,0))-1),"")</f>
        <v/>
      </c>
      <c r="K447" s="7">
        <f>IF(OR(E447="",E446=""),"",E447/E446-1)</f>
        <v/>
      </c>
      <c r="L447" s="7">
        <f>IF(OR(F447="",F446=""),"",F447/F446-1)</f>
        <v/>
      </c>
      <c r="M447" s="7">
        <f>IF(OR(G447="",G446=""),"",G447/G446-1)</f>
        <v/>
      </c>
      <c r="N447" s="7">
        <f>IF(G447="","",E447/G447)</f>
        <v/>
      </c>
      <c r="O447" s="7">
        <f>IF(G447="","",F447/G447)</f>
        <v/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4">
        <f>IF(SUMIFS('Daily NSE Equity Cash'!$H:$H,'Daily NSE Equity Cash'!$A:$A,$A448)=0,"",SUMIFS('Daily NSE Equity Cash'!$H:$H,'Daily NSE Equity Cash'!$A:$A,$A448))</f>
        <v/>
      </c>
      <c r="F448" s="4">
        <f>IF(SUMIFS('Daily BSE Equity Cash'!$H:$H,'Daily BSE Equity Cash'!$A:$A,$A448)=0,"",SUMIFS('Daily BSE Equity Cash'!$H:$H,'Daily BSE Equity Cash'!$A:$A,$A448))</f>
        <v/>
      </c>
      <c r="G448" s="4">
        <f>IF(OR(E448="",F448=""),"",E448+F448)</f>
        <v/>
      </c>
      <c r="H448" s="7">
        <f>IFERROR(IF(OR(E448="",INDEX(E:E,MATCH(DATE(YEAR($A448)-1,MONTH($A448),DAY($A448)),$A:$A,0))=""),"",E448/INDEX(E:E,MATCH(DATE(YEAR($A448)-1,MONTH($A448),DAY($A448)),$A:$A,0))-1),"")</f>
        <v/>
      </c>
      <c r="I448" s="7">
        <f>IFERROR(IF(OR(F448="",INDEX(F:F,MATCH(DATE(YEAR($A448)-1,MONTH($A448),DAY($A448)),$A:$A,0))=""),"",F448/INDEX(F:F,MATCH(DATE(YEAR($A448)-1,MONTH($A448),DAY($A448)),$A:$A,0))-1),"")</f>
        <v/>
      </c>
      <c r="J448" s="7">
        <f>IFERROR(IF(OR(G448="",INDEX(G:G,MATCH(DATE(YEAR($A448)-1,MONTH($A448),DAY($A448)),$A:$A,0))=""),"",G448/INDEX(G:G,MATCH(DATE(YEAR($A448)-1,MONTH($A448),DAY($A448)),$A:$A,0))-1),"")</f>
        <v/>
      </c>
      <c r="K448" s="7">
        <f>IF(OR(E448="",E447=""),"",E448/E447-1)</f>
        <v/>
      </c>
      <c r="L448" s="7">
        <f>IF(OR(F448="",F447=""),"",F448/F447-1)</f>
        <v/>
      </c>
      <c r="M448" s="7">
        <f>IF(OR(G448="",G447=""),"",G448/G447-1)</f>
        <v/>
      </c>
      <c r="N448" s="7">
        <f>IF(G448="","",E448/G448)</f>
        <v/>
      </c>
      <c r="O448" s="7">
        <f>IF(G448="","",F448/G448)</f>
        <v/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4">
        <f>IF(SUMIFS('Daily NSE Equity Cash'!$H:$H,'Daily NSE Equity Cash'!$A:$A,$A449)=0,"",SUMIFS('Daily NSE Equity Cash'!$H:$H,'Daily NSE Equity Cash'!$A:$A,$A449))</f>
        <v/>
      </c>
      <c r="F449" s="4">
        <f>IF(SUMIFS('Daily BSE Equity Cash'!$H:$H,'Daily BSE Equity Cash'!$A:$A,$A449)=0,"",SUMIFS('Daily BSE Equity Cash'!$H:$H,'Daily BSE Equity Cash'!$A:$A,$A449))</f>
        <v/>
      </c>
      <c r="G449" s="4">
        <f>IF(OR(E449="",F449=""),"",E449+F449)</f>
        <v/>
      </c>
      <c r="H449" s="7">
        <f>IFERROR(IF(OR(E449="",INDEX(E:E,MATCH(DATE(YEAR($A449)-1,MONTH($A449),DAY($A449)),$A:$A,0))=""),"",E449/INDEX(E:E,MATCH(DATE(YEAR($A449)-1,MONTH($A449),DAY($A449)),$A:$A,0))-1),"")</f>
        <v/>
      </c>
      <c r="I449" s="7">
        <f>IFERROR(IF(OR(F449="",INDEX(F:F,MATCH(DATE(YEAR($A449)-1,MONTH($A449),DAY($A449)),$A:$A,0))=""),"",F449/INDEX(F:F,MATCH(DATE(YEAR($A449)-1,MONTH($A449),DAY($A449)),$A:$A,0))-1),"")</f>
        <v/>
      </c>
      <c r="J449" s="7">
        <f>IFERROR(IF(OR(G449="",INDEX(G:G,MATCH(DATE(YEAR($A449)-1,MONTH($A449),DAY($A449)),$A:$A,0))=""),"",G449/INDEX(G:G,MATCH(DATE(YEAR($A449)-1,MONTH($A449),DAY($A449)),$A:$A,0))-1),"")</f>
        <v/>
      </c>
      <c r="K449" s="7">
        <f>IF(OR(E449="",E448=""),"",E449/E448-1)</f>
        <v/>
      </c>
      <c r="L449" s="7">
        <f>IF(OR(F449="",F448=""),"",F449/F448-1)</f>
        <v/>
      </c>
      <c r="M449" s="7">
        <f>IF(OR(G449="",G448=""),"",G449/G448-1)</f>
        <v/>
      </c>
      <c r="N449" s="7">
        <f>IF(G449="","",E449/G449)</f>
        <v/>
      </c>
      <c r="O449" s="7">
        <f>IF(G449="","",F449/G449)</f>
        <v/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4">
        <f>IF(SUMIFS('Daily NSE Equity Cash'!$H:$H,'Daily NSE Equity Cash'!$A:$A,$A450)=0,"",SUMIFS('Daily NSE Equity Cash'!$H:$H,'Daily NSE Equity Cash'!$A:$A,$A450))</f>
        <v/>
      </c>
      <c r="F450" s="4">
        <f>IF(SUMIFS('Daily BSE Equity Cash'!$H:$H,'Daily BSE Equity Cash'!$A:$A,$A450)=0,"",SUMIFS('Daily BSE Equity Cash'!$H:$H,'Daily BSE Equity Cash'!$A:$A,$A450))</f>
        <v/>
      </c>
      <c r="G450" s="4">
        <f>IF(OR(E450="",F450=""),"",E450+F450)</f>
        <v/>
      </c>
      <c r="H450" s="7">
        <f>IFERROR(IF(OR(E450="",INDEX(E:E,MATCH(DATE(YEAR($A450)-1,MONTH($A450),DAY($A450)),$A:$A,0))=""),"",E450/INDEX(E:E,MATCH(DATE(YEAR($A450)-1,MONTH($A450),DAY($A450)),$A:$A,0))-1),"")</f>
        <v/>
      </c>
      <c r="I450" s="7">
        <f>IFERROR(IF(OR(F450="",INDEX(F:F,MATCH(DATE(YEAR($A450)-1,MONTH($A450),DAY($A450)),$A:$A,0))=""),"",F450/INDEX(F:F,MATCH(DATE(YEAR($A450)-1,MONTH($A450),DAY($A450)),$A:$A,0))-1),"")</f>
        <v/>
      </c>
      <c r="J450" s="7">
        <f>IFERROR(IF(OR(G450="",INDEX(G:G,MATCH(DATE(YEAR($A450)-1,MONTH($A450),DAY($A450)),$A:$A,0))=""),"",G450/INDEX(G:G,MATCH(DATE(YEAR($A450)-1,MONTH($A450),DAY($A450)),$A:$A,0))-1),"")</f>
        <v/>
      </c>
      <c r="K450" s="7">
        <f>IF(OR(E450="",E449=""),"",E450/E449-1)</f>
        <v/>
      </c>
      <c r="L450" s="7">
        <f>IF(OR(F450="",F449=""),"",F450/F449-1)</f>
        <v/>
      </c>
      <c r="M450" s="7">
        <f>IF(OR(G450="",G449=""),"",G450/G449-1)</f>
        <v/>
      </c>
      <c r="N450" s="7">
        <f>IF(G450="","",E450/G450)</f>
        <v/>
      </c>
      <c r="O450" s="7">
        <f>IF(G450="","",F450/G450)</f>
        <v/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4">
        <f>IF(SUMIFS('Daily NSE Equity Cash'!$H:$H,'Daily NSE Equity Cash'!$A:$A,$A451)=0,"",SUMIFS('Daily NSE Equity Cash'!$H:$H,'Daily NSE Equity Cash'!$A:$A,$A451))</f>
        <v/>
      </c>
      <c r="F451" s="4">
        <f>IF(SUMIFS('Daily BSE Equity Cash'!$H:$H,'Daily BSE Equity Cash'!$A:$A,$A451)=0,"",SUMIFS('Daily BSE Equity Cash'!$H:$H,'Daily BSE Equity Cash'!$A:$A,$A451))</f>
        <v/>
      </c>
      <c r="G451" s="4">
        <f>IF(OR(E451="",F451=""),"",E451+F451)</f>
        <v/>
      </c>
      <c r="H451" s="7">
        <f>IFERROR(IF(OR(E451="",INDEX(E:E,MATCH(DATE(YEAR($A451)-1,MONTH($A451),DAY($A451)),$A:$A,0))=""),"",E451/INDEX(E:E,MATCH(DATE(YEAR($A451)-1,MONTH($A451),DAY($A451)),$A:$A,0))-1),"")</f>
        <v/>
      </c>
      <c r="I451" s="7">
        <f>IFERROR(IF(OR(F451="",INDEX(F:F,MATCH(DATE(YEAR($A451)-1,MONTH($A451),DAY($A451)),$A:$A,0))=""),"",F451/INDEX(F:F,MATCH(DATE(YEAR($A451)-1,MONTH($A451),DAY($A451)),$A:$A,0))-1),"")</f>
        <v/>
      </c>
      <c r="J451" s="7">
        <f>IFERROR(IF(OR(G451="",INDEX(G:G,MATCH(DATE(YEAR($A451)-1,MONTH($A451),DAY($A451)),$A:$A,0))=""),"",G451/INDEX(G:G,MATCH(DATE(YEAR($A451)-1,MONTH($A451),DAY($A451)),$A:$A,0))-1),"")</f>
        <v/>
      </c>
      <c r="K451" s="7">
        <f>IF(OR(E451="",E450=""),"",E451/E450-1)</f>
        <v/>
      </c>
      <c r="L451" s="7">
        <f>IF(OR(F451="",F450=""),"",F451/F450-1)</f>
        <v/>
      </c>
      <c r="M451" s="7">
        <f>IF(OR(G451="",G450=""),"",G451/G450-1)</f>
        <v/>
      </c>
      <c r="N451" s="7">
        <f>IF(G451="","",E451/G451)</f>
        <v/>
      </c>
      <c r="O451" s="7">
        <f>IF(G451="","",F451/G451)</f>
        <v/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4">
        <f>IF(SUMIFS('Daily NSE Equity Cash'!$H:$H,'Daily NSE Equity Cash'!$A:$A,$A452)=0,"",SUMIFS('Daily NSE Equity Cash'!$H:$H,'Daily NSE Equity Cash'!$A:$A,$A452))</f>
        <v/>
      </c>
      <c r="F452" s="4">
        <f>IF(SUMIFS('Daily BSE Equity Cash'!$H:$H,'Daily BSE Equity Cash'!$A:$A,$A452)=0,"",SUMIFS('Daily BSE Equity Cash'!$H:$H,'Daily BSE Equity Cash'!$A:$A,$A452))</f>
        <v/>
      </c>
      <c r="G452" s="4">
        <f>IF(OR(E452="",F452=""),"",E452+F452)</f>
        <v/>
      </c>
      <c r="H452" s="7">
        <f>IFERROR(IF(OR(E452="",INDEX(E:E,MATCH(DATE(YEAR($A452)-1,MONTH($A452),DAY($A452)),$A:$A,0))=""),"",E452/INDEX(E:E,MATCH(DATE(YEAR($A452)-1,MONTH($A452),DAY($A452)),$A:$A,0))-1),"")</f>
        <v/>
      </c>
      <c r="I452" s="7">
        <f>IFERROR(IF(OR(F452="",INDEX(F:F,MATCH(DATE(YEAR($A452)-1,MONTH($A452),DAY($A452)),$A:$A,0))=""),"",F452/INDEX(F:F,MATCH(DATE(YEAR($A452)-1,MONTH($A452),DAY($A452)),$A:$A,0))-1),"")</f>
        <v/>
      </c>
      <c r="J452" s="7">
        <f>IFERROR(IF(OR(G452="",INDEX(G:G,MATCH(DATE(YEAR($A452)-1,MONTH($A452),DAY($A452)),$A:$A,0))=""),"",G452/INDEX(G:G,MATCH(DATE(YEAR($A452)-1,MONTH($A452),DAY($A452)),$A:$A,0))-1),"")</f>
        <v/>
      </c>
      <c r="K452" s="7">
        <f>IF(OR(E452="",E451=""),"",E452/E451-1)</f>
        <v/>
      </c>
      <c r="L452" s="7">
        <f>IF(OR(F452="",F451=""),"",F452/F451-1)</f>
        <v/>
      </c>
      <c r="M452" s="7">
        <f>IF(OR(G452="",G451=""),"",G452/G451-1)</f>
        <v/>
      </c>
      <c r="N452" s="7">
        <f>IF(G452="","",E452/G452)</f>
        <v/>
      </c>
      <c r="O452" s="7">
        <f>IF(G452="","",F452/G452)</f>
        <v/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4">
        <f>IF(SUMIFS('Daily NSE Equity Cash'!$H:$H,'Daily NSE Equity Cash'!$A:$A,$A453)=0,"",SUMIFS('Daily NSE Equity Cash'!$H:$H,'Daily NSE Equity Cash'!$A:$A,$A453))</f>
        <v/>
      </c>
      <c r="F453" s="4">
        <f>IF(SUMIFS('Daily BSE Equity Cash'!$H:$H,'Daily BSE Equity Cash'!$A:$A,$A453)=0,"",SUMIFS('Daily BSE Equity Cash'!$H:$H,'Daily BSE Equity Cash'!$A:$A,$A453))</f>
        <v/>
      </c>
      <c r="G453" s="4">
        <f>IF(OR(E453="",F453=""),"",E453+F453)</f>
        <v/>
      </c>
      <c r="H453" s="7">
        <f>IFERROR(IF(OR(E453="",INDEX(E:E,MATCH(DATE(YEAR($A453)-1,MONTH($A453),DAY($A453)),$A:$A,0))=""),"",E453/INDEX(E:E,MATCH(DATE(YEAR($A453)-1,MONTH($A453),DAY($A453)),$A:$A,0))-1),"")</f>
        <v/>
      </c>
      <c r="I453" s="7">
        <f>IFERROR(IF(OR(F453="",INDEX(F:F,MATCH(DATE(YEAR($A453)-1,MONTH($A453),DAY($A453)),$A:$A,0))=""),"",F453/INDEX(F:F,MATCH(DATE(YEAR($A453)-1,MONTH($A453),DAY($A453)),$A:$A,0))-1),"")</f>
        <v/>
      </c>
      <c r="J453" s="7">
        <f>IFERROR(IF(OR(G453="",INDEX(G:G,MATCH(DATE(YEAR($A453)-1,MONTH($A453),DAY($A453)),$A:$A,0))=""),"",G453/INDEX(G:G,MATCH(DATE(YEAR($A453)-1,MONTH($A453),DAY($A453)),$A:$A,0))-1),"")</f>
        <v/>
      </c>
      <c r="K453" s="7">
        <f>IF(OR(E453="",E452=""),"",E453/E452-1)</f>
        <v/>
      </c>
      <c r="L453" s="7">
        <f>IF(OR(F453="",F452=""),"",F453/F452-1)</f>
        <v/>
      </c>
      <c r="M453" s="7">
        <f>IF(OR(G453="",G452=""),"",G453/G452-1)</f>
        <v/>
      </c>
      <c r="N453" s="7">
        <f>IF(G453="","",E453/G453)</f>
        <v/>
      </c>
      <c r="O453" s="7">
        <f>IF(G453="","",F453/G453)</f>
        <v/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4">
        <f>IF(SUMIFS('Daily NSE Equity Cash'!$H:$H,'Daily NSE Equity Cash'!$A:$A,$A454)=0,"",SUMIFS('Daily NSE Equity Cash'!$H:$H,'Daily NSE Equity Cash'!$A:$A,$A454))</f>
        <v/>
      </c>
      <c r="F454" s="4">
        <f>IF(SUMIFS('Daily BSE Equity Cash'!$H:$H,'Daily BSE Equity Cash'!$A:$A,$A454)=0,"",SUMIFS('Daily BSE Equity Cash'!$H:$H,'Daily BSE Equity Cash'!$A:$A,$A454))</f>
        <v/>
      </c>
      <c r="G454" s="4">
        <f>IF(OR(E454="",F454=""),"",E454+F454)</f>
        <v/>
      </c>
      <c r="H454" s="7">
        <f>IFERROR(IF(OR(E454="",INDEX(E:E,MATCH(DATE(YEAR($A454)-1,MONTH($A454),DAY($A454)),$A:$A,0))=""),"",E454/INDEX(E:E,MATCH(DATE(YEAR($A454)-1,MONTH($A454),DAY($A454)),$A:$A,0))-1),"")</f>
        <v/>
      </c>
      <c r="I454" s="7">
        <f>IFERROR(IF(OR(F454="",INDEX(F:F,MATCH(DATE(YEAR($A454)-1,MONTH($A454),DAY($A454)),$A:$A,0))=""),"",F454/INDEX(F:F,MATCH(DATE(YEAR($A454)-1,MONTH($A454),DAY($A454)),$A:$A,0))-1),"")</f>
        <v/>
      </c>
      <c r="J454" s="7">
        <f>IFERROR(IF(OR(G454="",INDEX(G:G,MATCH(DATE(YEAR($A454)-1,MONTH($A454),DAY($A454)),$A:$A,0))=""),"",G454/INDEX(G:G,MATCH(DATE(YEAR($A454)-1,MONTH($A454),DAY($A454)),$A:$A,0))-1),"")</f>
        <v/>
      </c>
      <c r="K454" s="7">
        <f>IF(OR(E454="",E453=""),"",E454/E453-1)</f>
        <v/>
      </c>
      <c r="L454" s="7">
        <f>IF(OR(F454="",F453=""),"",F454/F453-1)</f>
        <v/>
      </c>
      <c r="M454" s="7">
        <f>IF(OR(G454="",G453=""),"",G454/G453-1)</f>
        <v/>
      </c>
      <c r="N454" s="7">
        <f>IF(G454="","",E454/G454)</f>
        <v/>
      </c>
      <c r="O454" s="7">
        <f>IF(G454="","",F454/G454)</f>
        <v/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4">
        <f>IF(SUMIFS('Daily NSE Equity Cash'!$H:$H,'Daily NSE Equity Cash'!$A:$A,$A455)=0,"",SUMIFS('Daily NSE Equity Cash'!$H:$H,'Daily NSE Equity Cash'!$A:$A,$A455))</f>
        <v/>
      </c>
      <c r="F455" s="4">
        <f>IF(SUMIFS('Daily BSE Equity Cash'!$H:$H,'Daily BSE Equity Cash'!$A:$A,$A455)=0,"",SUMIFS('Daily BSE Equity Cash'!$H:$H,'Daily BSE Equity Cash'!$A:$A,$A455))</f>
        <v/>
      </c>
      <c r="G455" s="4">
        <f>IF(OR(E455="",F455=""),"",E455+F455)</f>
        <v/>
      </c>
      <c r="H455" s="7">
        <f>IFERROR(IF(OR(E455="",INDEX(E:E,MATCH(DATE(YEAR($A455)-1,MONTH($A455),DAY($A455)),$A:$A,0))=""),"",E455/INDEX(E:E,MATCH(DATE(YEAR($A455)-1,MONTH($A455),DAY($A455)),$A:$A,0))-1),"")</f>
        <v/>
      </c>
      <c r="I455" s="7">
        <f>IFERROR(IF(OR(F455="",INDEX(F:F,MATCH(DATE(YEAR($A455)-1,MONTH($A455),DAY($A455)),$A:$A,0))=""),"",F455/INDEX(F:F,MATCH(DATE(YEAR($A455)-1,MONTH($A455),DAY($A455)),$A:$A,0))-1),"")</f>
        <v/>
      </c>
      <c r="J455" s="7">
        <f>IFERROR(IF(OR(G455="",INDEX(G:G,MATCH(DATE(YEAR($A455)-1,MONTH($A455),DAY($A455)),$A:$A,0))=""),"",G455/INDEX(G:G,MATCH(DATE(YEAR($A455)-1,MONTH($A455),DAY($A455)),$A:$A,0))-1),"")</f>
        <v/>
      </c>
      <c r="K455" s="7">
        <f>IF(OR(E455="",E454=""),"",E455/E454-1)</f>
        <v/>
      </c>
      <c r="L455" s="7">
        <f>IF(OR(F455="",F454=""),"",F455/F454-1)</f>
        <v/>
      </c>
      <c r="M455" s="7">
        <f>IF(OR(G455="",G454=""),"",G455/G454-1)</f>
        <v/>
      </c>
      <c r="N455" s="7">
        <f>IF(G455="","",E455/G455)</f>
        <v/>
      </c>
      <c r="O455" s="7">
        <f>IF(G455="","",F455/G455)</f>
        <v/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4">
        <f>IF(SUMIFS('Daily NSE Equity Cash'!$H:$H,'Daily NSE Equity Cash'!$A:$A,$A456)=0,"",SUMIFS('Daily NSE Equity Cash'!$H:$H,'Daily NSE Equity Cash'!$A:$A,$A456))</f>
        <v/>
      </c>
      <c r="F456" s="4">
        <f>IF(SUMIFS('Daily BSE Equity Cash'!$H:$H,'Daily BSE Equity Cash'!$A:$A,$A456)=0,"",SUMIFS('Daily BSE Equity Cash'!$H:$H,'Daily BSE Equity Cash'!$A:$A,$A456))</f>
        <v/>
      </c>
      <c r="G456" s="4">
        <f>IF(OR(E456="",F456=""),"",E456+F456)</f>
        <v/>
      </c>
      <c r="H456" s="7">
        <f>IFERROR(IF(OR(E456="",INDEX(E:E,MATCH(DATE(YEAR($A456)-1,MONTH($A456),DAY($A456)),$A:$A,0))=""),"",E456/INDEX(E:E,MATCH(DATE(YEAR($A456)-1,MONTH($A456),DAY($A456)),$A:$A,0))-1),"")</f>
        <v/>
      </c>
      <c r="I456" s="7">
        <f>IFERROR(IF(OR(F456="",INDEX(F:F,MATCH(DATE(YEAR($A456)-1,MONTH($A456),DAY($A456)),$A:$A,0))=""),"",F456/INDEX(F:F,MATCH(DATE(YEAR($A456)-1,MONTH($A456),DAY($A456)),$A:$A,0))-1),"")</f>
        <v/>
      </c>
      <c r="J456" s="7">
        <f>IFERROR(IF(OR(G456="",INDEX(G:G,MATCH(DATE(YEAR($A456)-1,MONTH($A456),DAY($A456)),$A:$A,0))=""),"",G456/INDEX(G:G,MATCH(DATE(YEAR($A456)-1,MONTH($A456),DAY($A456)),$A:$A,0))-1),"")</f>
        <v/>
      </c>
      <c r="K456" s="7">
        <f>IF(OR(E456="",E455=""),"",E456/E455-1)</f>
        <v/>
      </c>
      <c r="L456" s="7">
        <f>IF(OR(F456="",F455=""),"",F456/F455-1)</f>
        <v/>
      </c>
      <c r="M456" s="7">
        <f>IF(OR(G456="",G455=""),"",G456/G455-1)</f>
        <v/>
      </c>
      <c r="N456" s="7">
        <f>IF(G456="","",E456/G456)</f>
        <v/>
      </c>
      <c r="O456" s="7">
        <f>IF(G456="","",F456/G456)</f>
        <v/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4">
        <f>IF(SUMIFS('Daily NSE Equity Cash'!$H:$H,'Daily NSE Equity Cash'!$A:$A,$A457)=0,"",SUMIFS('Daily NSE Equity Cash'!$H:$H,'Daily NSE Equity Cash'!$A:$A,$A457))</f>
        <v/>
      </c>
      <c r="F457" s="4">
        <f>IF(SUMIFS('Daily BSE Equity Cash'!$H:$H,'Daily BSE Equity Cash'!$A:$A,$A457)=0,"",SUMIFS('Daily BSE Equity Cash'!$H:$H,'Daily BSE Equity Cash'!$A:$A,$A457))</f>
        <v/>
      </c>
      <c r="G457" s="4">
        <f>IF(OR(E457="",F457=""),"",E457+F457)</f>
        <v/>
      </c>
      <c r="H457" s="7">
        <f>IFERROR(IF(OR(E457="",INDEX(E:E,MATCH(DATE(YEAR($A457)-1,MONTH($A457),DAY($A457)),$A:$A,0))=""),"",E457/INDEX(E:E,MATCH(DATE(YEAR($A457)-1,MONTH($A457),DAY($A457)),$A:$A,0))-1),"")</f>
        <v/>
      </c>
      <c r="I457" s="7">
        <f>IFERROR(IF(OR(F457="",INDEX(F:F,MATCH(DATE(YEAR($A457)-1,MONTH($A457),DAY($A457)),$A:$A,0))=""),"",F457/INDEX(F:F,MATCH(DATE(YEAR($A457)-1,MONTH($A457),DAY($A457)),$A:$A,0))-1),"")</f>
        <v/>
      </c>
      <c r="J457" s="7">
        <f>IFERROR(IF(OR(G457="",INDEX(G:G,MATCH(DATE(YEAR($A457)-1,MONTH($A457),DAY($A457)),$A:$A,0))=""),"",G457/INDEX(G:G,MATCH(DATE(YEAR($A457)-1,MONTH($A457),DAY($A457)),$A:$A,0))-1),"")</f>
        <v/>
      </c>
      <c r="K457" s="7">
        <f>IF(OR(E457="",E456=""),"",E457/E456-1)</f>
        <v/>
      </c>
      <c r="L457" s="7">
        <f>IF(OR(F457="",F456=""),"",F457/F456-1)</f>
        <v/>
      </c>
      <c r="M457" s="7">
        <f>IF(OR(G457="",G456=""),"",G457/G456-1)</f>
        <v/>
      </c>
      <c r="N457" s="7">
        <f>IF(G457="","",E457/G457)</f>
        <v/>
      </c>
      <c r="O457" s="7">
        <f>IF(G457="","",F457/G457)</f>
        <v/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4">
        <f>IF(SUMIFS('Daily NSE Equity Cash'!$H:$H,'Daily NSE Equity Cash'!$A:$A,$A458)=0,"",SUMIFS('Daily NSE Equity Cash'!$H:$H,'Daily NSE Equity Cash'!$A:$A,$A458))</f>
        <v/>
      </c>
      <c r="F458" s="4">
        <f>IF(SUMIFS('Daily BSE Equity Cash'!$H:$H,'Daily BSE Equity Cash'!$A:$A,$A458)=0,"",SUMIFS('Daily BSE Equity Cash'!$H:$H,'Daily BSE Equity Cash'!$A:$A,$A458))</f>
        <v/>
      </c>
      <c r="G458" s="4">
        <f>IF(OR(E458="",F458=""),"",E458+F458)</f>
        <v/>
      </c>
      <c r="H458" s="7">
        <f>IFERROR(IF(OR(E458="",INDEX(E:E,MATCH(DATE(YEAR($A458)-1,MONTH($A458),DAY($A458)),$A:$A,0))=""),"",E458/INDEX(E:E,MATCH(DATE(YEAR($A458)-1,MONTH($A458),DAY($A458)),$A:$A,0))-1),"")</f>
        <v/>
      </c>
      <c r="I458" s="7">
        <f>IFERROR(IF(OR(F458="",INDEX(F:F,MATCH(DATE(YEAR($A458)-1,MONTH($A458),DAY($A458)),$A:$A,0))=""),"",F458/INDEX(F:F,MATCH(DATE(YEAR($A458)-1,MONTH($A458),DAY($A458)),$A:$A,0))-1),"")</f>
        <v/>
      </c>
      <c r="J458" s="7">
        <f>IFERROR(IF(OR(G458="",INDEX(G:G,MATCH(DATE(YEAR($A458)-1,MONTH($A458),DAY($A458)),$A:$A,0))=""),"",G458/INDEX(G:G,MATCH(DATE(YEAR($A458)-1,MONTH($A458),DAY($A458)),$A:$A,0))-1),"")</f>
        <v/>
      </c>
      <c r="K458" s="7">
        <f>IF(OR(E458="",E457=""),"",E458/E457-1)</f>
        <v/>
      </c>
      <c r="L458" s="7">
        <f>IF(OR(F458="",F457=""),"",F458/F457-1)</f>
        <v/>
      </c>
      <c r="M458" s="7">
        <f>IF(OR(G458="",G457=""),"",G458/G457-1)</f>
        <v/>
      </c>
      <c r="N458" s="7">
        <f>IF(G458="","",E458/G458)</f>
        <v/>
      </c>
      <c r="O458" s="7">
        <f>IF(G458="","",F458/G458)</f>
        <v/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4">
        <f>IF(SUMIFS('Daily NSE Equity Cash'!$H:$H,'Daily NSE Equity Cash'!$A:$A,$A459)=0,"",SUMIFS('Daily NSE Equity Cash'!$H:$H,'Daily NSE Equity Cash'!$A:$A,$A459))</f>
        <v/>
      </c>
      <c r="F459" s="4">
        <f>IF(SUMIFS('Daily BSE Equity Cash'!$H:$H,'Daily BSE Equity Cash'!$A:$A,$A459)=0,"",SUMIFS('Daily BSE Equity Cash'!$H:$H,'Daily BSE Equity Cash'!$A:$A,$A459))</f>
        <v/>
      </c>
      <c r="G459" s="4">
        <f>IF(OR(E459="",F459=""),"",E459+F459)</f>
        <v/>
      </c>
      <c r="H459" s="7">
        <f>IFERROR(IF(OR(E459="",INDEX(E:E,MATCH(DATE(YEAR($A459)-1,MONTH($A459),DAY($A459)),$A:$A,0))=""),"",E459/INDEX(E:E,MATCH(DATE(YEAR($A459)-1,MONTH($A459),DAY($A459)),$A:$A,0))-1),"")</f>
        <v/>
      </c>
      <c r="I459" s="7">
        <f>IFERROR(IF(OR(F459="",INDEX(F:F,MATCH(DATE(YEAR($A459)-1,MONTH($A459),DAY($A459)),$A:$A,0))=""),"",F459/INDEX(F:F,MATCH(DATE(YEAR($A459)-1,MONTH($A459),DAY($A459)),$A:$A,0))-1),"")</f>
        <v/>
      </c>
      <c r="J459" s="7">
        <f>IFERROR(IF(OR(G459="",INDEX(G:G,MATCH(DATE(YEAR($A459)-1,MONTH($A459),DAY($A459)),$A:$A,0))=""),"",G459/INDEX(G:G,MATCH(DATE(YEAR($A459)-1,MONTH($A459),DAY($A459)),$A:$A,0))-1),"")</f>
        <v/>
      </c>
      <c r="K459" s="7">
        <f>IF(OR(E459="",E458=""),"",E459/E458-1)</f>
        <v/>
      </c>
      <c r="L459" s="7">
        <f>IF(OR(F459="",F458=""),"",F459/F458-1)</f>
        <v/>
      </c>
      <c r="M459" s="7">
        <f>IF(OR(G459="",G458=""),"",G459/G458-1)</f>
        <v/>
      </c>
      <c r="N459" s="7">
        <f>IF(G459="","",E459/G459)</f>
        <v/>
      </c>
      <c r="O459" s="7">
        <f>IF(G459="","",F459/G459)</f>
        <v/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4">
        <f>IF(SUMIFS('Daily NSE Equity Cash'!$H:$H,'Daily NSE Equity Cash'!$A:$A,$A460)=0,"",SUMIFS('Daily NSE Equity Cash'!$H:$H,'Daily NSE Equity Cash'!$A:$A,$A460))</f>
        <v/>
      </c>
      <c r="F460" s="4">
        <f>IF(SUMIFS('Daily BSE Equity Cash'!$H:$H,'Daily BSE Equity Cash'!$A:$A,$A460)=0,"",SUMIFS('Daily BSE Equity Cash'!$H:$H,'Daily BSE Equity Cash'!$A:$A,$A460))</f>
        <v/>
      </c>
      <c r="G460" s="4">
        <f>IF(OR(E460="",F460=""),"",E460+F460)</f>
        <v/>
      </c>
      <c r="H460" s="7">
        <f>IFERROR(IF(OR(E460="",INDEX(E:E,MATCH(DATE(YEAR($A460)-1,MONTH($A460),DAY($A460)),$A:$A,0))=""),"",E460/INDEX(E:E,MATCH(DATE(YEAR($A460)-1,MONTH($A460),DAY($A460)),$A:$A,0))-1),"")</f>
        <v/>
      </c>
      <c r="I460" s="7">
        <f>IFERROR(IF(OR(F460="",INDEX(F:F,MATCH(DATE(YEAR($A460)-1,MONTH($A460),DAY($A460)),$A:$A,0))=""),"",F460/INDEX(F:F,MATCH(DATE(YEAR($A460)-1,MONTH($A460),DAY($A460)),$A:$A,0))-1),"")</f>
        <v/>
      </c>
      <c r="J460" s="7">
        <f>IFERROR(IF(OR(G460="",INDEX(G:G,MATCH(DATE(YEAR($A460)-1,MONTH($A460),DAY($A460)),$A:$A,0))=""),"",G460/INDEX(G:G,MATCH(DATE(YEAR($A460)-1,MONTH($A460),DAY($A460)),$A:$A,0))-1),"")</f>
        <v/>
      </c>
      <c r="K460" s="7">
        <f>IF(OR(E460="",E459=""),"",E460/E459-1)</f>
        <v/>
      </c>
      <c r="L460" s="7">
        <f>IF(OR(F460="",F459=""),"",F460/F459-1)</f>
        <v/>
      </c>
      <c r="M460" s="7">
        <f>IF(OR(G460="",G459=""),"",G460/G459-1)</f>
        <v/>
      </c>
      <c r="N460" s="7">
        <f>IF(G460="","",E460/G460)</f>
        <v/>
      </c>
      <c r="O460" s="7">
        <f>IF(G460="","",F460/G460)</f>
        <v/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4">
        <f>IF(SUMIFS('Daily NSE Equity Cash'!$H:$H,'Daily NSE Equity Cash'!$A:$A,$A461)=0,"",SUMIFS('Daily NSE Equity Cash'!$H:$H,'Daily NSE Equity Cash'!$A:$A,$A461))</f>
        <v/>
      </c>
      <c r="F461" s="4">
        <f>IF(SUMIFS('Daily BSE Equity Cash'!$H:$H,'Daily BSE Equity Cash'!$A:$A,$A461)=0,"",SUMIFS('Daily BSE Equity Cash'!$H:$H,'Daily BSE Equity Cash'!$A:$A,$A461))</f>
        <v/>
      </c>
      <c r="G461" s="4">
        <f>IF(OR(E461="",F461=""),"",E461+F461)</f>
        <v/>
      </c>
      <c r="H461" s="7">
        <f>IFERROR(IF(OR(E461="",INDEX(E:E,MATCH(DATE(YEAR($A461)-1,MONTH($A461),DAY($A461)),$A:$A,0))=""),"",E461/INDEX(E:E,MATCH(DATE(YEAR($A461)-1,MONTH($A461),DAY($A461)),$A:$A,0))-1),"")</f>
        <v/>
      </c>
      <c r="I461" s="7">
        <f>IFERROR(IF(OR(F461="",INDEX(F:F,MATCH(DATE(YEAR($A461)-1,MONTH($A461),DAY($A461)),$A:$A,0))=""),"",F461/INDEX(F:F,MATCH(DATE(YEAR($A461)-1,MONTH($A461),DAY($A461)),$A:$A,0))-1),"")</f>
        <v/>
      </c>
      <c r="J461" s="7">
        <f>IFERROR(IF(OR(G461="",INDEX(G:G,MATCH(DATE(YEAR($A461)-1,MONTH($A461),DAY($A461)),$A:$A,0))=""),"",G461/INDEX(G:G,MATCH(DATE(YEAR($A461)-1,MONTH($A461),DAY($A461)),$A:$A,0))-1),"")</f>
        <v/>
      </c>
      <c r="K461" s="7">
        <f>IF(OR(E461="",E460=""),"",E461/E460-1)</f>
        <v/>
      </c>
      <c r="L461" s="7">
        <f>IF(OR(F461="",F460=""),"",F461/F460-1)</f>
        <v/>
      </c>
      <c r="M461" s="7">
        <f>IF(OR(G461="",G460=""),"",G461/G460-1)</f>
        <v/>
      </c>
      <c r="N461" s="7">
        <f>IF(G461="","",E461/G461)</f>
        <v/>
      </c>
      <c r="O461" s="7">
        <f>IF(G461="","",F461/G461)</f>
        <v/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4">
        <f>IF(SUMIFS('Daily NSE Equity Cash'!$H:$H,'Daily NSE Equity Cash'!$A:$A,$A462)=0,"",SUMIFS('Daily NSE Equity Cash'!$H:$H,'Daily NSE Equity Cash'!$A:$A,$A462))</f>
        <v/>
      </c>
      <c r="F462" s="4">
        <f>IF(SUMIFS('Daily BSE Equity Cash'!$H:$H,'Daily BSE Equity Cash'!$A:$A,$A462)=0,"",SUMIFS('Daily BSE Equity Cash'!$H:$H,'Daily BSE Equity Cash'!$A:$A,$A462))</f>
        <v/>
      </c>
      <c r="G462" s="4">
        <f>IF(OR(E462="",F462=""),"",E462+F462)</f>
        <v/>
      </c>
      <c r="H462" s="7">
        <f>IFERROR(IF(OR(E462="",INDEX(E:E,MATCH(DATE(YEAR($A462)-1,MONTH($A462),DAY($A462)),$A:$A,0))=""),"",E462/INDEX(E:E,MATCH(DATE(YEAR($A462)-1,MONTH($A462),DAY($A462)),$A:$A,0))-1),"")</f>
        <v/>
      </c>
      <c r="I462" s="7">
        <f>IFERROR(IF(OR(F462="",INDEX(F:F,MATCH(DATE(YEAR($A462)-1,MONTH($A462),DAY($A462)),$A:$A,0))=""),"",F462/INDEX(F:F,MATCH(DATE(YEAR($A462)-1,MONTH($A462),DAY($A462)),$A:$A,0))-1),"")</f>
        <v/>
      </c>
      <c r="J462" s="7">
        <f>IFERROR(IF(OR(G462="",INDEX(G:G,MATCH(DATE(YEAR($A462)-1,MONTH($A462),DAY($A462)),$A:$A,0))=""),"",G462/INDEX(G:G,MATCH(DATE(YEAR($A462)-1,MONTH($A462),DAY($A462)),$A:$A,0))-1),"")</f>
        <v/>
      </c>
      <c r="K462" s="7">
        <f>IF(OR(E462="",E461=""),"",E462/E461-1)</f>
        <v/>
      </c>
      <c r="L462" s="7">
        <f>IF(OR(F462="",F461=""),"",F462/F461-1)</f>
        <v/>
      </c>
      <c r="M462" s="7">
        <f>IF(OR(G462="",G461=""),"",G462/G461-1)</f>
        <v/>
      </c>
      <c r="N462" s="7">
        <f>IF(G462="","",E462/G462)</f>
        <v/>
      </c>
      <c r="O462" s="7">
        <f>IF(G462="","",F462/G462)</f>
        <v/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4">
        <f>IF(SUMIFS('Daily NSE Equity Cash'!$H:$H,'Daily NSE Equity Cash'!$A:$A,$A463)=0,"",SUMIFS('Daily NSE Equity Cash'!$H:$H,'Daily NSE Equity Cash'!$A:$A,$A463))</f>
        <v/>
      </c>
      <c r="F463" s="4">
        <f>IF(SUMIFS('Daily BSE Equity Cash'!$H:$H,'Daily BSE Equity Cash'!$A:$A,$A463)=0,"",SUMIFS('Daily BSE Equity Cash'!$H:$H,'Daily BSE Equity Cash'!$A:$A,$A463))</f>
        <v/>
      </c>
      <c r="G463" s="4">
        <f>IF(OR(E463="",F463=""),"",E463+F463)</f>
        <v/>
      </c>
      <c r="H463" s="7">
        <f>IFERROR(IF(OR(E463="",INDEX(E:E,MATCH(DATE(YEAR($A463)-1,MONTH($A463),DAY($A463)),$A:$A,0))=""),"",E463/INDEX(E:E,MATCH(DATE(YEAR($A463)-1,MONTH($A463),DAY($A463)),$A:$A,0))-1),"")</f>
        <v/>
      </c>
      <c r="I463" s="7">
        <f>IFERROR(IF(OR(F463="",INDEX(F:F,MATCH(DATE(YEAR($A463)-1,MONTH($A463),DAY($A463)),$A:$A,0))=""),"",F463/INDEX(F:F,MATCH(DATE(YEAR($A463)-1,MONTH($A463),DAY($A463)),$A:$A,0))-1),"")</f>
        <v/>
      </c>
      <c r="J463" s="7">
        <f>IFERROR(IF(OR(G463="",INDEX(G:G,MATCH(DATE(YEAR($A463)-1,MONTH($A463),DAY($A463)),$A:$A,0))=""),"",G463/INDEX(G:G,MATCH(DATE(YEAR($A463)-1,MONTH($A463),DAY($A463)),$A:$A,0))-1),"")</f>
        <v/>
      </c>
      <c r="K463" s="7">
        <f>IF(OR(E463="",E462=""),"",E463/E462-1)</f>
        <v/>
      </c>
      <c r="L463" s="7">
        <f>IF(OR(F463="",F462=""),"",F463/F462-1)</f>
        <v/>
      </c>
      <c r="M463" s="7">
        <f>IF(OR(G463="",G462=""),"",G463/G462-1)</f>
        <v/>
      </c>
      <c r="N463" s="7">
        <f>IF(G463="","",E463/G463)</f>
        <v/>
      </c>
      <c r="O463" s="7">
        <f>IF(G463="","",F463/G463)</f>
        <v/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4">
        <f>IF(SUMIFS('Daily NSE Equity Cash'!$H:$H,'Daily NSE Equity Cash'!$A:$A,$A464)=0,"",SUMIFS('Daily NSE Equity Cash'!$H:$H,'Daily NSE Equity Cash'!$A:$A,$A464))</f>
        <v/>
      </c>
      <c r="F464" s="4">
        <f>IF(SUMIFS('Daily BSE Equity Cash'!$H:$H,'Daily BSE Equity Cash'!$A:$A,$A464)=0,"",SUMIFS('Daily BSE Equity Cash'!$H:$H,'Daily BSE Equity Cash'!$A:$A,$A464))</f>
        <v/>
      </c>
      <c r="G464" s="4">
        <f>IF(OR(E464="",F464=""),"",E464+F464)</f>
        <v/>
      </c>
      <c r="H464" s="7">
        <f>IFERROR(IF(OR(E464="",INDEX(E:E,MATCH(DATE(YEAR($A464)-1,MONTH($A464),DAY($A464)),$A:$A,0))=""),"",E464/INDEX(E:E,MATCH(DATE(YEAR($A464)-1,MONTH($A464),DAY($A464)),$A:$A,0))-1),"")</f>
        <v/>
      </c>
      <c r="I464" s="7">
        <f>IFERROR(IF(OR(F464="",INDEX(F:F,MATCH(DATE(YEAR($A464)-1,MONTH($A464),DAY($A464)),$A:$A,0))=""),"",F464/INDEX(F:F,MATCH(DATE(YEAR($A464)-1,MONTH($A464),DAY($A464)),$A:$A,0))-1),"")</f>
        <v/>
      </c>
      <c r="J464" s="7">
        <f>IFERROR(IF(OR(G464="",INDEX(G:G,MATCH(DATE(YEAR($A464)-1,MONTH($A464),DAY($A464)),$A:$A,0))=""),"",G464/INDEX(G:G,MATCH(DATE(YEAR($A464)-1,MONTH($A464),DAY($A464)),$A:$A,0))-1),"")</f>
        <v/>
      </c>
      <c r="K464" s="7">
        <f>IF(OR(E464="",E463=""),"",E464/E463-1)</f>
        <v/>
      </c>
      <c r="L464" s="7">
        <f>IF(OR(F464="",F463=""),"",F464/F463-1)</f>
        <v/>
      </c>
      <c r="M464" s="7">
        <f>IF(OR(G464="",G463=""),"",G464/G463-1)</f>
        <v/>
      </c>
      <c r="N464" s="7">
        <f>IF(G464="","",E464/G464)</f>
        <v/>
      </c>
      <c r="O464" s="7">
        <f>IF(G464="","",F464/G464)</f>
        <v/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4">
        <f>IF(SUMIFS('Daily NSE Equity Cash'!$H:$H,'Daily NSE Equity Cash'!$A:$A,$A465)=0,"",SUMIFS('Daily NSE Equity Cash'!$H:$H,'Daily NSE Equity Cash'!$A:$A,$A465))</f>
        <v/>
      </c>
      <c r="F465" s="4">
        <f>IF(SUMIFS('Daily BSE Equity Cash'!$H:$H,'Daily BSE Equity Cash'!$A:$A,$A465)=0,"",SUMIFS('Daily BSE Equity Cash'!$H:$H,'Daily BSE Equity Cash'!$A:$A,$A465))</f>
        <v/>
      </c>
      <c r="G465" s="4">
        <f>IF(OR(E465="",F465=""),"",E465+F465)</f>
        <v/>
      </c>
      <c r="H465" s="7">
        <f>IFERROR(IF(OR(E465="",INDEX(E:E,MATCH(DATE(YEAR($A465)-1,MONTH($A465),DAY($A465)),$A:$A,0))=""),"",E465/INDEX(E:E,MATCH(DATE(YEAR($A465)-1,MONTH($A465),DAY($A465)),$A:$A,0))-1),"")</f>
        <v/>
      </c>
      <c r="I465" s="7">
        <f>IFERROR(IF(OR(F465="",INDEX(F:F,MATCH(DATE(YEAR($A465)-1,MONTH($A465),DAY($A465)),$A:$A,0))=""),"",F465/INDEX(F:F,MATCH(DATE(YEAR($A465)-1,MONTH($A465),DAY($A465)),$A:$A,0))-1),"")</f>
        <v/>
      </c>
      <c r="J465" s="7">
        <f>IFERROR(IF(OR(G465="",INDEX(G:G,MATCH(DATE(YEAR($A465)-1,MONTH($A465),DAY($A465)),$A:$A,0))=""),"",G465/INDEX(G:G,MATCH(DATE(YEAR($A465)-1,MONTH($A465),DAY($A465)),$A:$A,0))-1),"")</f>
        <v/>
      </c>
      <c r="K465" s="7">
        <f>IF(OR(E465="",E464=""),"",E465/E464-1)</f>
        <v/>
      </c>
      <c r="L465" s="7">
        <f>IF(OR(F465="",F464=""),"",F465/F464-1)</f>
        <v/>
      </c>
      <c r="M465" s="7">
        <f>IF(OR(G465="",G464=""),"",G465/G464-1)</f>
        <v/>
      </c>
      <c r="N465" s="7">
        <f>IF(G465="","",E465/G465)</f>
        <v/>
      </c>
      <c r="O465" s="7">
        <f>IF(G465="","",F465/G465)</f>
        <v/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4">
        <f>IF(SUMIFS('Daily NSE Equity Cash'!$H:$H,'Daily NSE Equity Cash'!$A:$A,$A466)=0,"",SUMIFS('Daily NSE Equity Cash'!$H:$H,'Daily NSE Equity Cash'!$A:$A,$A466))</f>
        <v/>
      </c>
      <c r="F466" s="4">
        <f>IF(SUMIFS('Daily BSE Equity Cash'!$H:$H,'Daily BSE Equity Cash'!$A:$A,$A466)=0,"",SUMIFS('Daily BSE Equity Cash'!$H:$H,'Daily BSE Equity Cash'!$A:$A,$A466))</f>
        <v/>
      </c>
      <c r="G466" s="4">
        <f>IF(OR(E466="",F466=""),"",E466+F466)</f>
        <v/>
      </c>
      <c r="H466" s="7">
        <f>IFERROR(IF(OR(E466="",INDEX(E:E,MATCH(DATE(YEAR($A466)-1,MONTH($A466),DAY($A466)),$A:$A,0))=""),"",E466/INDEX(E:E,MATCH(DATE(YEAR($A466)-1,MONTH($A466),DAY($A466)),$A:$A,0))-1),"")</f>
        <v/>
      </c>
      <c r="I466" s="7">
        <f>IFERROR(IF(OR(F466="",INDEX(F:F,MATCH(DATE(YEAR($A466)-1,MONTH($A466),DAY($A466)),$A:$A,0))=""),"",F466/INDEX(F:F,MATCH(DATE(YEAR($A466)-1,MONTH($A466),DAY($A466)),$A:$A,0))-1),"")</f>
        <v/>
      </c>
      <c r="J466" s="7">
        <f>IFERROR(IF(OR(G466="",INDEX(G:G,MATCH(DATE(YEAR($A466)-1,MONTH($A466),DAY($A466)),$A:$A,0))=""),"",G466/INDEX(G:G,MATCH(DATE(YEAR($A466)-1,MONTH($A466),DAY($A466)),$A:$A,0))-1),"")</f>
        <v/>
      </c>
      <c r="K466" s="7">
        <f>IF(OR(E466="",E465=""),"",E466/E465-1)</f>
        <v/>
      </c>
      <c r="L466" s="7">
        <f>IF(OR(F466="",F465=""),"",F466/F465-1)</f>
        <v/>
      </c>
      <c r="M466" s="7">
        <f>IF(OR(G466="",G465=""),"",G466/G465-1)</f>
        <v/>
      </c>
      <c r="N466" s="7">
        <f>IF(G466="","",E466/G466)</f>
        <v/>
      </c>
      <c r="O466" s="7">
        <f>IF(G466="","",F466/G466)</f>
        <v/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4">
        <f>IF(SUMIFS('Daily NSE Equity Cash'!$H:$H,'Daily NSE Equity Cash'!$A:$A,$A467)=0,"",SUMIFS('Daily NSE Equity Cash'!$H:$H,'Daily NSE Equity Cash'!$A:$A,$A467))</f>
        <v/>
      </c>
      <c r="F467" s="4">
        <f>IF(SUMIFS('Daily BSE Equity Cash'!$H:$H,'Daily BSE Equity Cash'!$A:$A,$A467)=0,"",SUMIFS('Daily BSE Equity Cash'!$H:$H,'Daily BSE Equity Cash'!$A:$A,$A467))</f>
        <v/>
      </c>
      <c r="G467" s="4">
        <f>IF(OR(E467="",F467=""),"",E467+F467)</f>
        <v/>
      </c>
      <c r="H467" s="7">
        <f>IFERROR(IF(OR(E467="",INDEX(E:E,MATCH(DATE(YEAR($A467)-1,MONTH($A467),DAY($A467)),$A:$A,0))=""),"",E467/INDEX(E:E,MATCH(DATE(YEAR($A467)-1,MONTH($A467),DAY($A467)),$A:$A,0))-1),"")</f>
        <v/>
      </c>
      <c r="I467" s="7">
        <f>IFERROR(IF(OR(F467="",INDEX(F:F,MATCH(DATE(YEAR($A467)-1,MONTH($A467),DAY($A467)),$A:$A,0))=""),"",F467/INDEX(F:F,MATCH(DATE(YEAR($A467)-1,MONTH($A467),DAY($A467)),$A:$A,0))-1),"")</f>
        <v/>
      </c>
      <c r="J467" s="7">
        <f>IFERROR(IF(OR(G467="",INDEX(G:G,MATCH(DATE(YEAR($A467)-1,MONTH($A467),DAY($A467)),$A:$A,0))=""),"",G467/INDEX(G:G,MATCH(DATE(YEAR($A467)-1,MONTH($A467),DAY($A467)),$A:$A,0))-1),"")</f>
        <v/>
      </c>
      <c r="K467" s="7">
        <f>IF(OR(E467="",E466=""),"",E467/E466-1)</f>
        <v/>
      </c>
      <c r="L467" s="7">
        <f>IF(OR(F467="",F466=""),"",F467/F466-1)</f>
        <v/>
      </c>
      <c r="M467" s="7">
        <f>IF(OR(G467="",G466=""),"",G467/G466-1)</f>
        <v/>
      </c>
      <c r="N467" s="7">
        <f>IF(G467="","",E467/G467)</f>
        <v/>
      </c>
      <c r="O467" s="7">
        <f>IF(G467="","",F467/G467)</f>
        <v/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4">
        <f>IF(SUMIFS('Daily NSE Equity Cash'!$H:$H,'Daily NSE Equity Cash'!$A:$A,$A468)=0,"",SUMIFS('Daily NSE Equity Cash'!$H:$H,'Daily NSE Equity Cash'!$A:$A,$A468))</f>
        <v/>
      </c>
      <c r="F468" s="4">
        <f>IF(SUMIFS('Daily BSE Equity Cash'!$H:$H,'Daily BSE Equity Cash'!$A:$A,$A468)=0,"",SUMIFS('Daily BSE Equity Cash'!$H:$H,'Daily BSE Equity Cash'!$A:$A,$A468))</f>
        <v/>
      </c>
      <c r="G468" s="4">
        <f>IF(OR(E468="",F468=""),"",E468+F468)</f>
        <v/>
      </c>
      <c r="H468" s="7">
        <f>IFERROR(IF(OR(E468="",INDEX(E:E,MATCH(DATE(YEAR($A468)-1,MONTH($A468),DAY($A468)),$A:$A,0))=""),"",E468/INDEX(E:E,MATCH(DATE(YEAR($A468)-1,MONTH($A468),DAY($A468)),$A:$A,0))-1),"")</f>
        <v/>
      </c>
      <c r="I468" s="7">
        <f>IFERROR(IF(OR(F468="",INDEX(F:F,MATCH(DATE(YEAR($A468)-1,MONTH($A468),DAY($A468)),$A:$A,0))=""),"",F468/INDEX(F:F,MATCH(DATE(YEAR($A468)-1,MONTH($A468),DAY($A468)),$A:$A,0))-1),"")</f>
        <v/>
      </c>
      <c r="J468" s="7">
        <f>IFERROR(IF(OR(G468="",INDEX(G:G,MATCH(DATE(YEAR($A468)-1,MONTH($A468),DAY($A468)),$A:$A,0))=""),"",G468/INDEX(G:G,MATCH(DATE(YEAR($A468)-1,MONTH($A468),DAY($A468)),$A:$A,0))-1),"")</f>
        <v/>
      </c>
      <c r="K468" s="7">
        <f>IF(OR(E468="",E467=""),"",E468/E467-1)</f>
        <v/>
      </c>
      <c r="L468" s="7">
        <f>IF(OR(F468="",F467=""),"",F468/F467-1)</f>
        <v/>
      </c>
      <c r="M468" s="7">
        <f>IF(OR(G468="",G467=""),"",G468/G467-1)</f>
        <v/>
      </c>
      <c r="N468" s="7">
        <f>IF(G468="","",E468/G468)</f>
        <v/>
      </c>
      <c r="O468" s="7">
        <f>IF(G468="","",F468/G468)</f>
        <v/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4">
        <f>IF(SUMIFS('Daily NSE Equity Cash'!$H:$H,'Daily NSE Equity Cash'!$A:$A,$A469)=0,"",SUMIFS('Daily NSE Equity Cash'!$H:$H,'Daily NSE Equity Cash'!$A:$A,$A469))</f>
        <v/>
      </c>
      <c r="F469" s="4">
        <f>IF(SUMIFS('Daily BSE Equity Cash'!$H:$H,'Daily BSE Equity Cash'!$A:$A,$A469)=0,"",SUMIFS('Daily BSE Equity Cash'!$H:$H,'Daily BSE Equity Cash'!$A:$A,$A469))</f>
        <v/>
      </c>
      <c r="G469" s="4">
        <f>IF(OR(E469="",F469=""),"",E469+F469)</f>
        <v/>
      </c>
      <c r="H469" s="7">
        <f>IFERROR(IF(OR(E469="",INDEX(E:E,MATCH(DATE(YEAR($A469)-1,MONTH($A469),DAY($A469)),$A:$A,0))=""),"",E469/INDEX(E:E,MATCH(DATE(YEAR($A469)-1,MONTH($A469),DAY($A469)),$A:$A,0))-1),"")</f>
        <v/>
      </c>
      <c r="I469" s="7">
        <f>IFERROR(IF(OR(F469="",INDEX(F:F,MATCH(DATE(YEAR($A469)-1,MONTH($A469),DAY($A469)),$A:$A,0))=""),"",F469/INDEX(F:F,MATCH(DATE(YEAR($A469)-1,MONTH($A469),DAY($A469)),$A:$A,0))-1),"")</f>
        <v/>
      </c>
      <c r="J469" s="7">
        <f>IFERROR(IF(OR(G469="",INDEX(G:G,MATCH(DATE(YEAR($A469)-1,MONTH($A469),DAY($A469)),$A:$A,0))=""),"",G469/INDEX(G:G,MATCH(DATE(YEAR($A469)-1,MONTH($A469),DAY($A469)),$A:$A,0))-1),"")</f>
        <v/>
      </c>
      <c r="K469" s="7">
        <f>IF(OR(E469="",E468=""),"",E469/E468-1)</f>
        <v/>
      </c>
      <c r="L469" s="7">
        <f>IF(OR(F469="",F468=""),"",F469/F468-1)</f>
        <v/>
      </c>
      <c r="M469" s="7">
        <f>IF(OR(G469="",G468=""),"",G469/G468-1)</f>
        <v/>
      </c>
      <c r="N469" s="7">
        <f>IF(G469="","",E469/G469)</f>
        <v/>
      </c>
      <c r="O469" s="7">
        <f>IF(G469="","",F469/G469)</f>
        <v/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4">
        <f>IF(SUMIFS('Daily NSE Equity Cash'!$H:$H,'Daily NSE Equity Cash'!$A:$A,$A470)=0,"",SUMIFS('Daily NSE Equity Cash'!$H:$H,'Daily NSE Equity Cash'!$A:$A,$A470))</f>
        <v/>
      </c>
      <c r="F470" s="4">
        <f>IF(SUMIFS('Daily BSE Equity Cash'!$H:$H,'Daily BSE Equity Cash'!$A:$A,$A470)=0,"",SUMIFS('Daily BSE Equity Cash'!$H:$H,'Daily BSE Equity Cash'!$A:$A,$A470))</f>
        <v/>
      </c>
      <c r="G470" s="4">
        <f>IF(OR(E470="",F470=""),"",E470+F470)</f>
        <v/>
      </c>
      <c r="H470" s="7">
        <f>IFERROR(IF(OR(E470="",INDEX(E:E,MATCH(DATE(YEAR($A470)-1,MONTH($A470),DAY($A470)),$A:$A,0))=""),"",E470/INDEX(E:E,MATCH(DATE(YEAR($A470)-1,MONTH($A470),DAY($A470)),$A:$A,0))-1),"")</f>
        <v/>
      </c>
      <c r="I470" s="7">
        <f>IFERROR(IF(OR(F470="",INDEX(F:F,MATCH(DATE(YEAR($A470)-1,MONTH($A470),DAY($A470)),$A:$A,0))=""),"",F470/INDEX(F:F,MATCH(DATE(YEAR($A470)-1,MONTH($A470),DAY($A470)),$A:$A,0))-1),"")</f>
        <v/>
      </c>
      <c r="J470" s="7">
        <f>IFERROR(IF(OR(G470="",INDEX(G:G,MATCH(DATE(YEAR($A470)-1,MONTH($A470),DAY($A470)),$A:$A,0))=""),"",G470/INDEX(G:G,MATCH(DATE(YEAR($A470)-1,MONTH($A470),DAY($A470)),$A:$A,0))-1),"")</f>
        <v/>
      </c>
      <c r="K470" s="7">
        <f>IF(OR(E470="",E469=""),"",E470/E469-1)</f>
        <v/>
      </c>
      <c r="L470" s="7">
        <f>IF(OR(F470="",F469=""),"",F470/F469-1)</f>
        <v/>
      </c>
      <c r="M470" s="7">
        <f>IF(OR(G470="",G469=""),"",G470/G469-1)</f>
        <v/>
      </c>
      <c r="N470" s="7">
        <f>IF(G470="","",E470/G470)</f>
        <v/>
      </c>
      <c r="O470" s="7">
        <f>IF(G470="","",F470/G470)</f>
        <v/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4">
        <f>IF(SUMIFS('Daily NSE Equity Cash'!$H:$H,'Daily NSE Equity Cash'!$A:$A,$A471)=0,"",SUMIFS('Daily NSE Equity Cash'!$H:$H,'Daily NSE Equity Cash'!$A:$A,$A471))</f>
        <v/>
      </c>
      <c r="F471" s="4">
        <f>IF(SUMIFS('Daily BSE Equity Cash'!$H:$H,'Daily BSE Equity Cash'!$A:$A,$A471)=0,"",SUMIFS('Daily BSE Equity Cash'!$H:$H,'Daily BSE Equity Cash'!$A:$A,$A471))</f>
        <v/>
      </c>
      <c r="G471" s="4">
        <f>IF(OR(E471="",F471=""),"",E471+F471)</f>
        <v/>
      </c>
      <c r="H471" s="7">
        <f>IFERROR(IF(OR(E471="",INDEX(E:E,MATCH(DATE(YEAR($A471)-1,MONTH($A471),DAY($A471)),$A:$A,0))=""),"",E471/INDEX(E:E,MATCH(DATE(YEAR($A471)-1,MONTH($A471),DAY($A471)),$A:$A,0))-1),"")</f>
        <v/>
      </c>
      <c r="I471" s="7">
        <f>IFERROR(IF(OR(F471="",INDEX(F:F,MATCH(DATE(YEAR($A471)-1,MONTH($A471),DAY($A471)),$A:$A,0))=""),"",F471/INDEX(F:F,MATCH(DATE(YEAR($A471)-1,MONTH($A471),DAY($A471)),$A:$A,0))-1),"")</f>
        <v/>
      </c>
      <c r="J471" s="7">
        <f>IFERROR(IF(OR(G471="",INDEX(G:G,MATCH(DATE(YEAR($A471)-1,MONTH($A471),DAY($A471)),$A:$A,0))=""),"",G471/INDEX(G:G,MATCH(DATE(YEAR($A471)-1,MONTH($A471),DAY($A471)),$A:$A,0))-1),"")</f>
        <v/>
      </c>
      <c r="K471" s="7">
        <f>IF(OR(E471="",E470=""),"",E471/E470-1)</f>
        <v/>
      </c>
      <c r="L471" s="7">
        <f>IF(OR(F471="",F470=""),"",F471/F470-1)</f>
        <v/>
      </c>
      <c r="M471" s="7">
        <f>IF(OR(G471="",G470=""),"",G471/G470-1)</f>
        <v/>
      </c>
      <c r="N471" s="7">
        <f>IF(G471="","",E471/G471)</f>
        <v/>
      </c>
      <c r="O471" s="7">
        <f>IF(G471="","",F471/G471)</f>
        <v/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4">
        <f>IF(SUMIFS('Daily NSE Equity Cash'!$H:$H,'Daily NSE Equity Cash'!$A:$A,$A472)=0,"",SUMIFS('Daily NSE Equity Cash'!$H:$H,'Daily NSE Equity Cash'!$A:$A,$A472))</f>
        <v/>
      </c>
      <c r="F472" s="4">
        <f>IF(SUMIFS('Daily BSE Equity Cash'!$H:$H,'Daily BSE Equity Cash'!$A:$A,$A472)=0,"",SUMIFS('Daily BSE Equity Cash'!$H:$H,'Daily BSE Equity Cash'!$A:$A,$A472))</f>
        <v/>
      </c>
      <c r="G472" s="4">
        <f>IF(OR(E472="",F472=""),"",E472+F472)</f>
        <v/>
      </c>
      <c r="H472" s="7">
        <f>IFERROR(IF(OR(E472="",INDEX(E:E,MATCH(DATE(YEAR($A472)-1,MONTH($A472),DAY($A472)),$A:$A,0))=""),"",E472/INDEX(E:E,MATCH(DATE(YEAR($A472)-1,MONTH($A472),DAY($A472)),$A:$A,0))-1),"")</f>
        <v/>
      </c>
      <c r="I472" s="7">
        <f>IFERROR(IF(OR(F472="",INDEX(F:F,MATCH(DATE(YEAR($A472)-1,MONTH($A472),DAY($A472)),$A:$A,0))=""),"",F472/INDEX(F:F,MATCH(DATE(YEAR($A472)-1,MONTH($A472),DAY($A472)),$A:$A,0))-1),"")</f>
        <v/>
      </c>
      <c r="J472" s="7">
        <f>IFERROR(IF(OR(G472="",INDEX(G:G,MATCH(DATE(YEAR($A472)-1,MONTH($A472),DAY($A472)),$A:$A,0))=""),"",G472/INDEX(G:G,MATCH(DATE(YEAR($A472)-1,MONTH($A472),DAY($A472)),$A:$A,0))-1),"")</f>
        <v/>
      </c>
      <c r="K472" s="7">
        <f>IF(OR(E472="",E471=""),"",E472/E471-1)</f>
        <v/>
      </c>
      <c r="L472" s="7">
        <f>IF(OR(F472="",F471=""),"",F472/F471-1)</f>
        <v/>
      </c>
      <c r="M472" s="7">
        <f>IF(OR(G472="",G471=""),"",G472/G471-1)</f>
        <v/>
      </c>
      <c r="N472" s="7">
        <f>IF(G472="","",E472/G472)</f>
        <v/>
      </c>
      <c r="O472" s="7">
        <f>IF(G472="","",F472/G472)</f>
        <v/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4">
        <f>IF(SUMIFS('Daily NSE Equity Cash'!$H:$H,'Daily NSE Equity Cash'!$A:$A,$A473)=0,"",SUMIFS('Daily NSE Equity Cash'!$H:$H,'Daily NSE Equity Cash'!$A:$A,$A473))</f>
        <v/>
      </c>
      <c r="F473" s="4">
        <f>IF(SUMIFS('Daily BSE Equity Cash'!$H:$H,'Daily BSE Equity Cash'!$A:$A,$A473)=0,"",SUMIFS('Daily BSE Equity Cash'!$H:$H,'Daily BSE Equity Cash'!$A:$A,$A473))</f>
        <v/>
      </c>
      <c r="G473" s="4">
        <f>IF(OR(E473="",F473=""),"",E473+F473)</f>
        <v/>
      </c>
      <c r="H473" s="7">
        <f>IFERROR(IF(OR(E473="",INDEX(E:E,MATCH(DATE(YEAR($A473)-1,MONTH($A473),DAY($A473)),$A:$A,0))=""),"",E473/INDEX(E:E,MATCH(DATE(YEAR($A473)-1,MONTH($A473),DAY($A473)),$A:$A,0))-1),"")</f>
        <v/>
      </c>
      <c r="I473" s="7">
        <f>IFERROR(IF(OR(F473="",INDEX(F:F,MATCH(DATE(YEAR($A473)-1,MONTH($A473),DAY($A473)),$A:$A,0))=""),"",F473/INDEX(F:F,MATCH(DATE(YEAR($A473)-1,MONTH($A473),DAY($A473)),$A:$A,0))-1),"")</f>
        <v/>
      </c>
      <c r="J473" s="7">
        <f>IFERROR(IF(OR(G473="",INDEX(G:G,MATCH(DATE(YEAR($A473)-1,MONTH($A473),DAY($A473)),$A:$A,0))=""),"",G473/INDEX(G:G,MATCH(DATE(YEAR($A473)-1,MONTH($A473),DAY($A473)),$A:$A,0))-1),"")</f>
        <v/>
      </c>
      <c r="K473" s="7">
        <f>IF(OR(E473="",E472=""),"",E473/E472-1)</f>
        <v/>
      </c>
      <c r="L473" s="7">
        <f>IF(OR(F473="",F472=""),"",F473/F472-1)</f>
        <v/>
      </c>
      <c r="M473" s="7">
        <f>IF(OR(G473="",G472=""),"",G473/G472-1)</f>
        <v/>
      </c>
      <c r="N473" s="7">
        <f>IF(G473="","",E473/G473)</f>
        <v/>
      </c>
      <c r="O473" s="7">
        <f>IF(G473="","",F473/G473)</f>
        <v/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4">
        <f>IF(SUMIFS('Daily NSE Equity Cash'!$H:$H,'Daily NSE Equity Cash'!$A:$A,$A474)=0,"",SUMIFS('Daily NSE Equity Cash'!$H:$H,'Daily NSE Equity Cash'!$A:$A,$A474))</f>
        <v/>
      </c>
      <c r="F474" s="4">
        <f>IF(SUMIFS('Daily BSE Equity Cash'!$H:$H,'Daily BSE Equity Cash'!$A:$A,$A474)=0,"",SUMIFS('Daily BSE Equity Cash'!$H:$H,'Daily BSE Equity Cash'!$A:$A,$A474))</f>
        <v/>
      </c>
      <c r="G474" s="4">
        <f>IF(OR(E474="",F474=""),"",E474+F474)</f>
        <v/>
      </c>
      <c r="H474" s="7">
        <f>IFERROR(IF(OR(E474="",INDEX(E:E,MATCH(DATE(YEAR($A474)-1,MONTH($A474),DAY($A474)),$A:$A,0))=""),"",E474/INDEX(E:E,MATCH(DATE(YEAR($A474)-1,MONTH($A474),DAY($A474)),$A:$A,0))-1),"")</f>
        <v/>
      </c>
      <c r="I474" s="7">
        <f>IFERROR(IF(OR(F474="",INDEX(F:F,MATCH(DATE(YEAR($A474)-1,MONTH($A474),DAY($A474)),$A:$A,0))=""),"",F474/INDEX(F:F,MATCH(DATE(YEAR($A474)-1,MONTH($A474),DAY($A474)),$A:$A,0))-1),"")</f>
        <v/>
      </c>
      <c r="J474" s="7">
        <f>IFERROR(IF(OR(G474="",INDEX(G:G,MATCH(DATE(YEAR($A474)-1,MONTH($A474),DAY($A474)),$A:$A,0))=""),"",G474/INDEX(G:G,MATCH(DATE(YEAR($A474)-1,MONTH($A474),DAY($A474)),$A:$A,0))-1),"")</f>
        <v/>
      </c>
      <c r="K474" s="7">
        <f>IF(OR(E474="",E473=""),"",E474/E473-1)</f>
        <v/>
      </c>
      <c r="L474" s="7">
        <f>IF(OR(F474="",F473=""),"",F474/F473-1)</f>
        <v/>
      </c>
      <c r="M474" s="7">
        <f>IF(OR(G474="",G473=""),"",G474/G473-1)</f>
        <v/>
      </c>
      <c r="N474" s="7">
        <f>IF(G474="","",E474/G474)</f>
        <v/>
      </c>
      <c r="O474" s="7">
        <f>IF(G474="","",F474/G474)</f>
        <v/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4">
        <f>IF(SUMIFS('Daily NSE Equity Cash'!$H:$H,'Daily NSE Equity Cash'!$A:$A,$A475)=0,"",SUMIFS('Daily NSE Equity Cash'!$H:$H,'Daily NSE Equity Cash'!$A:$A,$A475))</f>
        <v/>
      </c>
      <c r="F475" s="4">
        <f>IF(SUMIFS('Daily BSE Equity Cash'!$H:$H,'Daily BSE Equity Cash'!$A:$A,$A475)=0,"",SUMIFS('Daily BSE Equity Cash'!$H:$H,'Daily BSE Equity Cash'!$A:$A,$A475))</f>
        <v/>
      </c>
      <c r="G475" s="4">
        <f>IF(OR(E475="",F475=""),"",E475+F475)</f>
        <v/>
      </c>
      <c r="H475" s="7">
        <f>IFERROR(IF(OR(E475="",INDEX(E:E,MATCH(DATE(YEAR($A475)-1,MONTH($A475),DAY($A475)),$A:$A,0))=""),"",E475/INDEX(E:E,MATCH(DATE(YEAR($A475)-1,MONTH($A475),DAY($A475)),$A:$A,0))-1),"")</f>
        <v/>
      </c>
      <c r="I475" s="7">
        <f>IFERROR(IF(OR(F475="",INDEX(F:F,MATCH(DATE(YEAR($A475)-1,MONTH($A475),DAY($A475)),$A:$A,0))=""),"",F475/INDEX(F:F,MATCH(DATE(YEAR($A475)-1,MONTH($A475),DAY($A475)),$A:$A,0))-1),"")</f>
        <v/>
      </c>
      <c r="J475" s="7">
        <f>IFERROR(IF(OR(G475="",INDEX(G:G,MATCH(DATE(YEAR($A475)-1,MONTH($A475),DAY($A475)),$A:$A,0))=""),"",G475/INDEX(G:G,MATCH(DATE(YEAR($A475)-1,MONTH($A475),DAY($A475)),$A:$A,0))-1),"")</f>
        <v/>
      </c>
      <c r="K475" s="7">
        <f>IF(OR(E475="",E474=""),"",E475/E474-1)</f>
        <v/>
      </c>
      <c r="L475" s="7">
        <f>IF(OR(F475="",F474=""),"",F475/F474-1)</f>
        <v/>
      </c>
      <c r="M475" s="7">
        <f>IF(OR(G475="",G474=""),"",G475/G474-1)</f>
        <v/>
      </c>
      <c r="N475" s="7">
        <f>IF(G475="","",E475/G475)</f>
        <v/>
      </c>
      <c r="O475" s="7">
        <f>IF(G475="","",F475/G475)</f>
        <v/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4">
        <f>IF(SUMIFS('Daily NSE Equity Cash'!$H:$H,'Daily NSE Equity Cash'!$A:$A,$A476)=0,"",SUMIFS('Daily NSE Equity Cash'!$H:$H,'Daily NSE Equity Cash'!$A:$A,$A476))</f>
        <v/>
      </c>
      <c r="F476" s="4">
        <f>IF(SUMIFS('Daily BSE Equity Cash'!$H:$H,'Daily BSE Equity Cash'!$A:$A,$A476)=0,"",SUMIFS('Daily BSE Equity Cash'!$H:$H,'Daily BSE Equity Cash'!$A:$A,$A476))</f>
        <v/>
      </c>
      <c r="G476" s="4">
        <f>IF(OR(E476="",F476=""),"",E476+F476)</f>
        <v/>
      </c>
      <c r="H476" s="7">
        <f>IFERROR(IF(OR(E476="",INDEX(E:E,MATCH(DATE(YEAR($A476)-1,MONTH($A476),DAY($A476)),$A:$A,0))=""),"",E476/INDEX(E:E,MATCH(DATE(YEAR($A476)-1,MONTH($A476),DAY($A476)),$A:$A,0))-1),"")</f>
        <v/>
      </c>
      <c r="I476" s="7">
        <f>IFERROR(IF(OR(F476="",INDEX(F:F,MATCH(DATE(YEAR($A476)-1,MONTH($A476),DAY($A476)),$A:$A,0))=""),"",F476/INDEX(F:F,MATCH(DATE(YEAR($A476)-1,MONTH($A476),DAY($A476)),$A:$A,0))-1),"")</f>
        <v/>
      </c>
      <c r="J476" s="7">
        <f>IFERROR(IF(OR(G476="",INDEX(G:G,MATCH(DATE(YEAR($A476)-1,MONTH($A476),DAY($A476)),$A:$A,0))=""),"",G476/INDEX(G:G,MATCH(DATE(YEAR($A476)-1,MONTH($A476),DAY($A476)),$A:$A,0))-1),"")</f>
        <v/>
      </c>
      <c r="K476" s="7">
        <f>IF(OR(E476="",E475=""),"",E476/E475-1)</f>
        <v/>
      </c>
      <c r="L476" s="7">
        <f>IF(OR(F476="",F475=""),"",F476/F475-1)</f>
        <v/>
      </c>
      <c r="M476" s="7">
        <f>IF(OR(G476="",G475=""),"",G476/G475-1)</f>
        <v/>
      </c>
      <c r="N476" s="7">
        <f>IF(G476="","",E476/G476)</f>
        <v/>
      </c>
      <c r="O476" s="7">
        <f>IF(G476="","",F476/G476)</f>
        <v/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4">
        <f>IF(SUMIFS('Daily NSE Equity Cash'!$H:$H,'Daily NSE Equity Cash'!$A:$A,$A477)=0,"",SUMIFS('Daily NSE Equity Cash'!$H:$H,'Daily NSE Equity Cash'!$A:$A,$A477))</f>
        <v/>
      </c>
      <c r="F477" s="4">
        <f>IF(SUMIFS('Daily BSE Equity Cash'!$H:$H,'Daily BSE Equity Cash'!$A:$A,$A477)=0,"",SUMIFS('Daily BSE Equity Cash'!$H:$H,'Daily BSE Equity Cash'!$A:$A,$A477))</f>
        <v/>
      </c>
      <c r="G477" s="4">
        <f>IF(OR(E477="",F477=""),"",E477+F477)</f>
        <v/>
      </c>
      <c r="H477" s="7">
        <f>IFERROR(IF(OR(E477="",INDEX(E:E,MATCH(DATE(YEAR($A477)-1,MONTH($A477),DAY($A477)),$A:$A,0))=""),"",E477/INDEX(E:E,MATCH(DATE(YEAR($A477)-1,MONTH($A477),DAY($A477)),$A:$A,0))-1),"")</f>
        <v/>
      </c>
      <c r="I477" s="7">
        <f>IFERROR(IF(OR(F477="",INDEX(F:F,MATCH(DATE(YEAR($A477)-1,MONTH($A477),DAY($A477)),$A:$A,0))=""),"",F477/INDEX(F:F,MATCH(DATE(YEAR($A477)-1,MONTH($A477),DAY($A477)),$A:$A,0))-1),"")</f>
        <v/>
      </c>
      <c r="J477" s="7">
        <f>IFERROR(IF(OR(G477="",INDEX(G:G,MATCH(DATE(YEAR($A477)-1,MONTH($A477),DAY($A477)),$A:$A,0))=""),"",G477/INDEX(G:G,MATCH(DATE(YEAR($A477)-1,MONTH($A477),DAY($A477)),$A:$A,0))-1),"")</f>
        <v/>
      </c>
      <c r="K477" s="7">
        <f>IF(OR(E477="",E476=""),"",E477/E476-1)</f>
        <v/>
      </c>
      <c r="L477" s="7">
        <f>IF(OR(F477="",F476=""),"",F477/F476-1)</f>
        <v/>
      </c>
      <c r="M477" s="7">
        <f>IF(OR(G477="",G476=""),"",G477/G476-1)</f>
        <v/>
      </c>
      <c r="N477" s="7">
        <f>IF(G477="","",E477/G477)</f>
        <v/>
      </c>
      <c r="O477" s="7">
        <f>IF(G477="","",F477/G477)</f>
        <v/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4">
        <f>IF(SUMIFS('Daily NSE Equity Cash'!$H:$H,'Daily NSE Equity Cash'!$A:$A,$A478)=0,"",SUMIFS('Daily NSE Equity Cash'!$H:$H,'Daily NSE Equity Cash'!$A:$A,$A478))</f>
        <v/>
      </c>
      <c r="F478" s="4">
        <f>IF(SUMIFS('Daily BSE Equity Cash'!$H:$H,'Daily BSE Equity Cash'!$A:$A,$A478)=0,"",SUMIFS('Daily BSE Equity Cash'!$H:$H,'Daily BSE Equity Cash'!$A:$A,$A478))</f>
        <v/>
      </c>
      <c r="G478" s="4">
        <f>IF(OR(E478="",F478=""),"",E478+F478)</f>
        <v/>
      </c>
      <c r="H478" s="7">
        <f>IFERROR(IF(OR(E478="",INDEX(E:E,MATCH(DATE(YEAR($A478)-1,MONTH($A478),DAY($A478)),$A:$A,0))=""),"",E478/INDEX(E:E,MATCH(DATE(YEAR($A478)-1,MONTH($A478),DAY($A478)),$A:$A,0))-1),"")</f>
        <v/>
      </c>
      <c r="I478" s="7">
        <f>IFERROR(IF(OR(F478="",INDEX(F:F,MATCH(DATE(YEAR($A478)-1,MONTH($A478),DAY($A478)),$A:$A,0))=""),"",F478/INDEX(F:F,MATCH(DATE(YEAR($A478)-1,MONTH($A478),DAY($A478)),$A:$A,0))-1),"")</f>
        <v/>
      </c>
      <c r="J478" s="7">
        <f>IFERROR(IF(OR(G478="",INDEX(G:G,MATCH(DATE(YEAR($A478)-1,MONTH($A478),DAY($A478)),$A:$A,0))=""),"",G478/INDEX(G:G,MATCH(DATE(YEAR($A478)-1,MONTH($A478),DAY($A478)),$A:$A,0))-1),"")</f>
        <v/>
      </c>
      <c r="K478" s="7">
        <f>IF(OR(E478="",E477=""),"",E478/E477-1)</f>
        <v/>
      </c>
      <c r="L478" s="7">
        <f>IF(OR(F478="",F477=""),"",F478/F477-1)</f>
        <v/>
      </c>
      <c r="M478" s="7">
        <f>IF(OR(G478="",G477=""),"",G478/G477-1)</f>
        <v/>
      </c>
      <c r="N478" s="7">
        <f>IF(G478="","",E478/G478)</f>
        <v/>
      </c>
      <c r="O478" s="7">
        <f>IF(G478="","",F478/G478)</f>
        <v/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4">
        <f>IF(SUMIFS('Daily NSE Equity Cash'!$H:$H,'Daily NSE Equity Cash'!$A:$A,$A479)=0,"",SUMIFS('Daily NSE Equity Cash'!$H:$H,'Daily NSE Equity Cash'!$A:$A,$A479))</f>
        <v/>
      </c>
      <c r="F479" s="4">
        <f>IF(SUMIFS('Daily BSE Equity Cash'!$H:$H,'Daily BSE Equity Cash'!$A:$A,$A479)=0,"",SUMIFS('Daily BSE Equity Cash'!$H:$H,'Daily BSE Equity Cash'!$A:$A,$A479))</f>
        <v/>
      </c>
      <c r="G479" s="4">
        <f>IF(OR(E479="",F479=""),"",E479+F479)</f>
        <v/>
      </c>
      <c r="H479" s="7">
        <f>IFERROR(IF(OR(E479="",INDEX(E:E,MATCH(DATE(YEAR($A479)-1,MONTH($A479),DAY($A479)),$A:$A,0))=""),"",E479/INDEX(E:E,MATCH(DATE(YEAR($A479)-1,MONTH($A479),DAY($A479)),$A:$A,0))-1),"")</f>
        <v/>
      </c>
      <c r="I479" s="7">
        <f>IFERROR(IF(OR(F479="",INDEX(F:F,MATCH(DATE(YEAR($A479)-1,MONTH($A479),DAY($A479)),$A:$A,0))=""),"",F479/INDEX(F:F,MATCH(DATE(YEAR($A479)-1,MONTH($A479),DAY($A479)),$A:$A,0))-1),"")</f>
        <v/>
      </c>
      <c r="J479" s="7">
        <f>IFERROR(IF(OR(G479="",INDEX(G:G,MATCH(DATE(YEAR($A479)-1,MONTH($A479),DAY($A479)),$A:$A,0))=""),"",G479/INDEX(G:G,MATCH(DATE(YEAR($A479)-1,MONTH($A479),DAY($A479)),$A:$A,0))-1),"")</f>
        <v/>
      </c>
      <c r="K479" s="7">
        <f>IF(OR(E479="",E478=""),"",E479/E478-1)</f>
        <v/>
      </c>
      <c r="L479" s="7">
        <f>IF(OR(F479="",F478=""),"",F479/F478-1)</f>
        <v/>
      </c>
      <c r="M479" s="7">
        <f>IF(OR(G479="",G478=""),"",G479/G478-1)</f>
        <v/>
      </c>
      <c r="N479" s="7">
        <f>IF(G479="","",E479/G479)</f>
        <v/>
      </c>
      <c r="O479" s="7">
        <f>IF(G479="","",F479/G479)</f>
        <v/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4">
        <f>IF(SUMIFS('Daily NSE Equity Cash'!$H:$H,'Daily NSE Equity Cash'!$A:$A,$A480)=0,"",SUMIFS('Daily NSE Equity Cash'!$H:$H,'Daily NSE Equity Cash'!$A:$A,$A480))</f>
        <v/>
      </c>
      <c r="F480" s="4">
        <f>IF(SUMIFS('Daily BSE Equity Cash'!$H:$H,'Daily BSE Equity Cash'!$A:$A,$A480)=0,"",SUMIFS('Daily BSE Equity Cash'!$H:$H,'Daily BSE Equity Cash'!$A:$A,$A480))</f>
        <v/>
      </c>
      <c r="G480" s="4">
        <f>IF(OR(E480="",F480=""),"",E480+F480)</f>
        <v/>
      </c>
      <c r="H480" s="7">
        <f>IFERROR(IF(OR(E480="",INDEX(E:E,MATCH(DATE(YEAR($A480)-1,MONTH($A480),DAY($A480)),$A:$A,0))=""),"",E480/INDEX(E:E,MATCH(DATE(YEAR($A480)-1,MONTH($A480),DAY($A480)),$A:$A,0))-1),"")</f>
        <v/>
      </c>
      <c r="I480" s="7">
        <f>IFERROR(IF(OR(F480="",INDEX(F:F,MATCH(DATE(YEAR($A480)-1,MONTH($A480),DAY($A480)),$A:$A,0))=""),"",F480/INDEX(F:F,MATCH(DATE(YEAR($A480)-1,MONTH($A480),DAY($A480)),$A:$A,0))-1),"")</f>
        <v/>
      </c>
      <c r="J480" s="7">
        <f>IFERROR(IF(OR(G480="",INDEX(G:G,MATCH(DATE(YEAR($A480)-1,MONTH($A480),DAY($A480)),$A:$A,0))=""),"",G480/INDEX(G:G,MATCH(DATE(YEAR($A480)-1,MONTH($A480),DAY($A480)),$A:$A,0))-1),"")</f>
        <v/>
      </c>
      <c r="K480" s="7">
        <f>IF(OR(E480="",E479=""),"",E480/E479-1)</f>
        <v/>
      </c>
      <c r="L480" s="7">
        <f>IF(OR(F480="",F479=""),"",F480/F479-1)</f>
        <v/>
      </c>
      <c r="M480" s="7">
        <f>IF(OR(G480="",G479=""),"",G480/G479-1)</f>
        <v/>
      </c>
      <c r="N480" s="7">
        <f>IF(G480="","",E480/G480)</f>
        <v/>
      </c>
      <c r="O480" s="7">
        <f>IF(G480="","",F480/G480)</f>
        <v/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4">
        <f>IF(SUMIFS('Daily NSE Equity Cash'!$H:$H,'Daily NSE Equity Cash'!$A:$A,$A481)=0,"",SUMIFS('Daily NSE Equity Cash'!$H:$H,'Daily NSE Equity Cash'!$A:$A,$A481))</f>
        <v/>
      </c>
      <c r="F481" s="4">
        <f>IF(SUMIFS('Daily BSE Equity Cash'!$H:$H,'Daily BSE Equity Cash'!$A:$A,$A481)=0,"",SUMIFS('Daily BSE Equity Cash'!$H:$H,'Daily BSE Equity Cash'!$A:$A,$A481))</f>
        <v/>
      </c>
      <c r="G481" s="4">
        <f>IF(OR(E481="",F481=""),"",E481+F481)</f>
        <v/>
      </c>
      <c r="H481" s="7">
        <f>IFERROR(IF(OR(E481="",INDEX(E:E,MATCH(DATE(YEAR($A481)-1,MONTH($A481),DAY($A481)),$A:$A,0))=""),"",E481/INDEX(E:E,MATCH(DATE(YEAR($A481)-1,MONTH($A481),DAY($A481)),$A:$A,0))-1),"")</f>
        <v/>
      </c>
      <c r="I481" s="7">
        <f>IFERROR(IF(OR(F481="",INDEX(F:F,MATCH(DATE(YEAR($A481)-1,MONTH($A481),DAY($A481)),$A:$A,0))=""),"",F481/INDEX(F:F,MATCH(DATE(YEAR($A481)-1,MONTH($A481),DAY($A481)),$A:$A,0))-1),"")</f>
        <v/>
      </c>
      <c r="J481" s="7">
        <f>IFERROR(IF(OR(G481="",INDEX(G:G,MATCH(DATE(YEAR($A481)-1,MONTH($A481),DAY($A481)),$A:$A,0))=""),"",G481/INDEX(G:G,MATCH(DATE(YEAR($A481)-1,MONTH($A481),DAY($A481)),$A:$A,0))-1),"")</f>
        <v/>
      </c>
      <c r="K481" s="7">
        <f>IF(OR(E481="",E480=""),"",E481/E480-1)</f>
        <v/>
      </c>
      <c r="L481" s="7">
        <f>IF(OR(F481="",F480=""),"",F481/F480-1)</f>
        <v/>
      </c>
      <c r="M481" s="7">
        <f>IF(OR(G481="",G480=""),"",G481/G480-1)</f>
        <v/>
      </c>
      <c r="N481" s="7">
        <f>IF(G481="","",E481/G481)</f>
        <v/>
      </c>
      <c r="O481" s="7">
        <f>IF(G481="","",F481/G481)</f>
        <v/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4">
        <f>IF(SUMIFS('Daily NSE Equity Cash'!$H:$H,'Daily NSE Equity Cash'!$A:$A,$A482)=0,"",SUMIFS('Daily NSE Equity Cash'!$H:$H,'Daily NSE Equity Cash'!$A:$A,$A482))</f>
        <v/>
      </c>
      <c r="F482" s="4">
        <f>IF(SUMIFS('Daily BSE Equity Cash'!$H:$H,'Daily BSE Equity Cash'!$A:$A,$A482)=0,"",SUMIFS('Daily BSE Equity Cash'!$H:$H,'Daily BSE Equity Cash'!$A:$A,$A482))</f>
        <v/>
      </c>
      <c r="G482" s="4">
        <f>IF(OR(E482="",F482=""),"",E482+F482)</f>
        <v/>
      </c>
      <c r="H482" s="7">
        <f>IFERROR(IF(OR(E482="",INDEX(E:E,MATCH(DATE(YEAR($A482)-1,MONTH($A482),DAY($A482)),$A:$A,0))=""),"",E482/INDEX(E:E,MATCH(DATE(YEAR($A482)-1,MONTH($A482),DAY($A482)),$A:$A,0))-1),"")</f>
        <v/>
      </c>
      <c r="I482" s="7">
        <f>IFERROR(IF(OR(F482="",INDEX(F:F,MATCH(DATE(YEAR($A482)-1,MONTH($A482),DAY($A482)),$A:$A,0))=""),"",F482/INDEX(F:F,MATCH(DATE(YEAR($A482)-1,MONTH($A482),DAY($A482)),$A:$A,0))-1),"")</f>
        <v/>
      </c>
      <c r="J482" s="7">
        <f>IFERROR(IF(OR(G482="",INDEX(G:G,MATCH(DATE(YEAR($A482)-1,MONTH($A482),DAY($A482)),$A:$A,0))=""),"",G482/INDEX(G:G,MATCH(DATE(YEAR($A482)-1,MONTH($A482),DAY($A482)),$A:$A,0))-1),"")</f>
        <v/>
      </c>
      <c r="K482" s="7">
        <f>IF(OR(E482="",E481=""),"",E482/E481-1)</f>
        <v/>
      </c>
      <c r="L482" s="7">
        <f>IF(OR(F482="",F481=""),"",F482/F481-1)</f>
        <v/>
      </c>
      <c r="M482" s="7">
        <f>IF(OR(G482="",G481=""),"",G482/G481-1)</f>
        <v/>
      </c>
      <c r="N482" s="7">
        <f>IF(G482="","",E482/G482)</f>
        <v/>
      </c>
      <c r="O482" s="7">
        <f>IF(G482="","",F482/G482)</f>
        <v/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4">
        <f>IF(SUMIFS('Daily NSE Equity Cash'!$H:$H,'Daily NSE Equity Cash'!$A:$A,$A483)=0,"",SUMIFS('Daily NSE Equity Cash'!$H:$H,'Daily NSE Equity Cash'!$A:$A,$A483))</f>
        <v/>
      </c>
      <c r="F483" s="4">
        <f>IF(SUMIFS('Daily BSE Equity Cash'!$H:$H,'Daily BSE Equity Cash'!$A:$A,$A483)=0,"",SUMIFS('Daily BSE Equity Cash'!$H:$H,'Daily BSE Equity Cash'!$A:$A,$A483))</f>
        <v/>
      </c>
      <c r="G483" s="4">
        <f>IF(OR(E483="",F483=""),"",E483+F483)</f>
        <v/>
      </c>
      <c r="H483" s="7">
        <f>IFERROR(IF(OR(E483="",INDEX(E:E,MATCH(DATE(YEAR($A483)-1,MONTH($A483),DAY($A483)),$A:$A,0))=""),"",E483/INDEX(E:E,MATCH(DATE(YEAR($A483)-1,MONTH($A483),DAY($A483)),$A:$A,0))-1),"")</f>
        <v/>
      </c>
      <c r="I483" s="7">
        <f>IFERROR(IF(OR(F483="",INDEX(F:F,MATCH(DATE(YEAR($A483)-1,MONTH($A483),DAY($A483)),$A:$A,0))=""),"",F483/INDEX(F:F,MATCH(DATE(YEAR($A483)-1,MONTH($A483),DAY($A483)),$A:$A,0))-1),"")</f>
        <v/>
      </c>
      <c r="J483" s="7">
        <f>IFERROR(IF(OR(G483="",INDEX(G:G,MATCH(DATE(YEAR($A483)-1,MONTH($A483),DAY($A483)),$A:$A,0))=""),"",G483/INDEX(G:G,MATCH(DATE(YEAR($A483)-1,MONTH($A483),DAY($A483)),$A:$A,0))-1),"")</f>
        <v/>
      </c>
      <c r="K483" s="7">
        <f>IF(OR(E483="",E482=""),"",E483/E482-1)</f>
        <v/>
      </c>
      <c r="L483" s="7">
        <f>IF(OR(F483="",F482=""),"",F483/F482-1)</f>
        <v/>
      </c>
      <c r="M483" s="7">
        <f>IF(OR(G483="",G482=""),"",G483/G482-1)</f>
        <v/>
      </c>
      <c r="N483" s="7">
        <f>IF(G483="","",E483/G483)</f>
        <v/>
      </c>
      <c r="O483" s="7">
        <f>IF(G483="","",F483/G483)</f>
        <v/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4">
        <f>IF(SUMIFS('Daily NSE Equity Cash'!$H:$H,'Daily NSE Equity Cash'!$A:$A,$A484)=0,"",SUMIFS('Daily NSE Equity Cash'!$H:$H,'Daily NSE Equity Cash'!$A:$A,$A484))</f>
        <v/>
      </c>
      <c r="F484" s="4">
        <f>IF(SUMIFS('Daily BSE Equity Cash'!$H:$H,'Daily BSE Equity Cash'!$A:$A,$A484)=0,"",SUMIFS('Daily BSE Equity Cash'!$H:$H,'Daily BSE Equity Cash'!$A:$A,$A484))</f>
        <v/>
      </c>
      <c r="G484" s="4">
        <f>IF(OR(E484="",F484=""),"",E484+F484)</f>
        <v/>
      </c>
      <c r="H484" s="7">
        <f>IFERROR(IF(OR(E484="",INDEX(E:E,MATCH(DATE(YEAR($A484)-1,MONTH($A484),DAY($A484)),$A:$A,0))=""),"",E484/INDEX(E:E,MATCH(DATE(YEAR($A484)-1,MONTH($A484),DAY($A484)),$A:$A,0))-1),"")</f>
        <v/>
      </c>
      <c r="I484" s="7">
        <f>IFERROR(IF(OR(F484="",INDEX(F:F,MATCH(DATE(YEAR($A484)-1,MONTH($A484),DAY($A484)),$A:$A,0))=""),"",F484/INDEX(F:F,MATCH(DATE(YEAR($A484)-1,MONTH($A484),DAY($A484)),$A:$A,0))-1),"")</f>
        <v/>
      </c>
      <c r="J484" s="7">
        <f>IFERROR(IF(OR(G484="",INDEX(G:G,MATCH(DATE(YEAR($A484)-1,MONTH($A484),DAY($A484)),$A:$A,0))=""),"",G484/INDEX(G:G,MATCH(DATE(YEAR($A484)-1,MONTH($A484),DAY($A484)),$A:$A,0))-1),"")</f>
        <v/>
      </c>
      <c r="K484" s="7">
        <f>IF(OR(E484="",E483=""),"",E484/E483-1)</f>
        <v/>
      </c>
      <c r="L484" s="7">
        <f>IF(OR(F484="",F483=""),"",F484/F483-1)</f>
        <v/>
      </c>
      <c r="M484" s="7">
        <f>IF(OR(G484="",G483=""),"",G484/G483-1)</f>
        <v/>
      </c>
      <c r="N484" s="7">
        <f>IF(G484="","",E484/G484)</f>
        <v/>
      </c>
      <c r="O484" s="7">
        <f>IF(G484="","",F484/G484)</f>
        <v/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4">
        <f>IF(SUMIFS('Daily NSE Equity Cash'!$H:$H,'Daily NSE Equity Cash'!$A:$A,$A485)=0,"",SUMIFS('Daily NSE Equity Cash'!$H:$H,'Daily NSE Equity Cash'!$A:$A,$A485))</f>
        <v/>
      </c>
      <c r="F485" s="4">
        <f>IF(SUMIFS('Daily BSE Equity Cash'!$H:$H,'Daily BSE Equity Cash'!$A:$A,$A485)=0,"",SUMIFS('Daily BSE Equity Cash'!$H:$H,'Daily BSE Equity Cash'!$A:$A,$A485))</f>
        <v/>
      </c>
      <c r="G485" s="4">
        <f>IF(OR(E485="",F485=""),"",E485+F485)</f>
        <v/>
      </c>
      <c r="H485" s="7">
        <f>IFERROR(IF(OR(E485="",INDEX(E:E,MATCH(DATE(YEAR($A485)-1,MONTH($A485),DAY($A485)),$A:$A,0))=""),"",E485/INDEX(E:E,MATCH(DATE(YEAR($A485)-1,MONTH($A485),DAY($A485)),$A:$A,0))-1),"")</f>
        <v/>
      </c>
      <c r="I485" s="7">
        <f>IFERROR(IF(OR(F485="",INDEX(F:F,MATCH(DATE(YEAR($A485)-1,MONTH($A485),DAY($A485)),$A:$A,0))=""),"",F485/INDEX(F:F,MATCH(DATE(YEAR($A485)-1,MONTH($A485),DAY($A485)),$A:$A,0))-1),"")</f>
        <v/>
      </c>
      <c r="J485" s="7">
        <f>IFERROR(IF(OR(G485="",INDEX(G:G,MATCH(DATE(YEAR($A485)-1,MONTH($A485),DAY($A485)),$A:$A,0))=""),"",G485/INDEX(G:G,MATCH(DATE(YEAR($A485)-1,MONTH($A485),DAY($A485)),$A:$A,0))-1),"")</f>
        <v/>
      </c>
      <c r="K485" s="7">
        <f>IF(OR(E485="",E484=""),"",E485/E484-1)</f>
        <v/>
      </c>
      <c r="L485" s="7">
        <f>IF(OR(F485="",F484=""),"",F485/F484-1)</f>
        <v/>
      </c>
      <c r="M485" s="7">
        <f>IF(OR(G485="",G484=""),"",G485/G484-1)</f>
        <v/>
      </c>
      <c r="N485" s="7">
        <f>IF(G485="","",E485/G485)</f>
        <v/>
      </c>
      <c r="O485" s="7">
        <f>IF(G485="","",F485/G485)</f>
        <v/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4">
        <f>IF(SUMIFS('Daily NSE Equity Cash'!$H:$H,'Daily NSE Equity Cash'!$A:$A,$A486)=0,"",SUMIFS('Daily NSE Equity Cash'!$H:$H,'Daily NSE Equity Cash'!$A:$A,$A486))</f>
        <v/>
      </c>
      <c r="F486" s="4">
        <f>IF(SUMIFS('Daily BSE Equity Cash'!$H:$H,'Daily BSE Equity Cash'!$A:$A,$A486)=0,"",SUMIFS('Daily BSE Equity Cash'!$H:$H,'Daily BSE Equity Cash'!$A:$A,$A486))</f>
        <v/>
      </c>
      <c r="G486" s="4">
        <f>IF(OR(E486="",F486=""),"",E486+F486)</f>
        <v/>
      </c>
      <c r="H486" s="7">
        <f>IFERROR(IF(OR(E486="",INDEX(E:E,MATCH(DATE(YEAR($A486)-1,MONTH($A486),DAY($A486)),$A:$A,0))=""),"",E486/INDEX(E:E,MATCH(DATE(YEAR($A486)-1,MONTH($A486),DAY($A486)),$A:$A,0))-1),"")</f>
        <v/>
      </c>
      <c r="I486" s="7">
        <f>IFERROR(IF(OR(F486="",INDEX(F:F,MATCH(DATE(YEAR($A486)-1,MONTH($A486),DAY($A486)),$A:$A,0))=""),"",F486/INDEX(F:F,MATCH(DATE(YEAR($A486)-1,MONTH($A486),DAY($A486)),$A:$A,0))-1),"")</f>
        <v/>
      </c>
      <c r="J486" s="7">
        <f>IFERROR(IF(OR(G486="",INDEX(G:G,MATCH(DATE(YEAR($A486)-1,MONTH($A486),DAY($A486)),$A:$A,0))=""),"",G486/INDEX(G:G,MATCH(DATE(YEAR($A486)-1,MONTH($A486),DAY($A486)),$A:$A,0))-1),"")</f>
        <v/>
      </c>
      <c r="K486" s="7">
        <f>IF(OR(E486="",E485=""),"",E486/E485-1)</f>
        <v/>
      </c>
      <c r="L486" s="7">
        <f>IF(OR(F486="",F485=""),"",F486/F485-1)</f>
        <v/>
      </c>
      <c r="M486" s="7">
        <f>IF(OR(G486="",G485=""),"",G486/G485-1)</f>
        <v/>
      </c>
      <c r="N486" s="7">
        <f>IF(G486="","",E486/G486)</f>
        <v/>
      </c>
      <c r="O486" s="7">
        <f>IF(G486="","",F486/G486)</f>
        <v/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4">
        <f>IF(SUMIFS('Daily NSE Equity Cash'!$H:$H,'Daily NSE Equity Cash'!$A:$A,$A487)=0,"",SUMIFS('Daily NSE Equity Cash'!$H:$H,'Daily NSE Equity Cash'!$A:$A,$A487))</f>
        <v/>
      </c>
      <c r="F487" s="4">
        <f>IF(SUMIFS('Daily BSE Equity Cash'!$H:$H,'Daily BSE Equity Cash'!$A:$A,$A487)=0,"",SUMIFS('Daily BSE Equity Cash'!$H:$H,'Daily BSE Equity Cash'!$A:$A,$A487))</f>
        <v/>
      </c>
      <c r="G487" s="4">
        <f>IF(OR(E487="",F487=""),"",E487+F487)</f>
        <v/>
      </c>
      <c r="H487" s="7">
        <f>IFERROR(IF(OR(E487="",INDEX(E:E,MATCH(DATE(YEAR($A487)-1,MONTH($A487),DAY($A487)),$A:$A,0))=""),"",E487/INDEX(E:E,MATCH(DATE(YEAR($A487)-1,MONTH($A487),DAY($A487)),$A:$A,0))-1),"")</f>
        <v/>
      </c>
      <c r="I487" s="7">
        <f>IFERROR(IF(OR(F487="",INDEX(F:F,MATCH(DATE(YEAR($A487)-1,MONTH($A487),DAY($A487)),$A:$A,0))=""),"",F487/INDEX(F:F,MATCH(DATE(YEAR($A487)-1,MONTH($A487),DAY($A487)),$A:$A,0))-1),"")</f>
        <v/>
      </c>
      <c r="J487" s="7">
        <f>IFERROR(IF(OR(G487="",INDEX(G:G,MATCH(DATE(YEAR($A487)-1,MONTH($A487),DAY($A487)),$A:$A,0))=""),"",G487/INDEX(G:G,MATCH(DATE(YEAR($A487)-1,MONTH($A487),DAY($A487)),$A:$A,0))-1),"")</f>
        <v/>
      </c>
      <c r="K487" s="7">
        <f>IF(OR(E487="",E486=""),"",E487/E486-1)</f>
        <v/>
      </c>
      <c r="L487" s="7">
        <f>IF(OR(F487="",F486=""),"",F487/F486-1)</f>
        <v/>
      </c>
      <c r="M487" s="7">
        <f>IF(OR(G487="",G486=""),"",G487/G486-1)</f>
        <v/>
      </c>
      <c r="N487" s="7">
        <f>IF(G487="","",E487/G487)</f>
        <v/>
      </c>
      <c r="O487" s="7">
        <f>IF(G487="","",F487/G487)</f>
        <v/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4">
        <f>IF(SUMIFS('Daily NSE Equity Cash'!$H:$H,'Daily NSE Equity Cash'!$A:$A,$A488)=0,"",SUMIFS('Daily NSE Equity Cash'!$H:$H,'Daily NSE Equity Cash'!$A:$A,$A488))</f>
        <v/>
      </c>
      <c r="F488" s="4">
        <f>IF(SUMIFS('Daily BSE Equity Cash'!$H:$H,'Daily BSE Equity Cash'!$A:$A,$A488)=0,"",SUMIFS('Daily BSE Equity Cash'!$H:$H,'Daily BSE Equity Cash'!$A:$A,$A488))</f>
        <v/>
      </c>
      <c r="G488" s="4">
        <f>IF(OR(E488="",F488=""),"",E488+F488)</f>
        <v/>
      </c>
      <c r="H488" s="7">
        <f>IFERROR(IF(OR(E488="",INDEX(E:E,MATCH(DATE(YEAR($A488)-1,MONTH($A488),DAY($A488)),$A:$A,0))=""),"",E488/INDEX(E:E,MATCH(DATE(YEAR($A488)-1,MONTH($A488),DAY($A488)),$A:$A,0))-1),"")</f>
        <v/>
      </c>
      <c r="I488" s="7">
        <f>IFERROR(IF(OR(F488="",INDEX(F:F,MATCH(DATE(YEAR($A488)-1,MONTH($A488),DAY($A488)),$A:$A,0))=""),"",F488/INDEX(F:F,MATCH(DATE(YEAR($A488)-1,MONTH($A488),DAY($A488)),$A:$A,0))-1),"")</f>
        <v/>
      </c>
      <c r="J488" s="7">
        <f>IFERROR(IF(OR(G488="",INDEX(G:G,MATCH(DATE(YEAR($A488)-1,MONTH($A488),DAY($A488)),$A:$A,0))=""),"",G488/INDEX(G:G,MATCH(DATE(YEAR($A488)-1,MONTH($A488),DAY($A488)),$A:$A,0))-1),"")</f>
        <v/>
      </c>
      <c r="K488" s="7">
        <f>IF(OR(E488="",E487=""),"",E488/E487-1)</f>
        <v/>
      </c>
      <c r="L488" s="7">
        <f>IF(OR(F488="",F487=""),"",F488/F487-1)</f>
        <v/>
      </c>
      <c r="M488" s="7">
        <f>IF(OR(G488="",G487=""),"",G488/G487-1)</f>
        <v/>
      </c>
      <c r="N488" s="7">
        <f>IF(G488="","",E488/G488)</f>
        <v/>
      </c>
      <c r="O488" s="7">
        <f>IF(G488="","",F488/G488)</f>
        <v/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4">
        <f>IF(SUMIFS('Daily NSE Equity Cash'!$H:$H,'Daily NSE Equity Cash'!$A:$A,$A489)=0,"",SUMIFS('Daily NSE Equity Cash'!$H:$H,'Daily NSE Equity Cash'!$A:$A,$A489))</f>
        <v/>
      </c>
      <c r="F489" s="4">
        <f>IF(SUMIFS('Daily BSE Equity Cash'!$H:$H,'Daily BSE Equity Cash'!$A:$A,$A489)=0,"",SUMIFS('Daily BSE Equity Cash'!$H:$H,'Daily BSE Equity Cash'!$A:$A,$A489))</f>
        <v/>
      </c>
      <c r="G489" s="4">
        <f>IF(OR(E489="",F489=""),"",E489+F489)</f>
        <v/>
      </c>
      <c r="H489" s="7">
        <f>IFERROR(IF(OR(E489="",INDEX(E:E,MATCH(DATE(YEAR($A489)-1,MONTH($A489),DAY($A489)),$A:$A,0))=""),"",E489/INDEX(E:E,MATCH(DATE(YEAR($A489)-1,MONTH($A489),DAY($A489)),$A:$A,0))-1),"")</f>
        <v/>
      </c>
      <c r="I489" s="7">
        <f>IFERROR(IF(OR(F489="",INDEX(F:F,MATCH(DATE(YEAR($A489)-1,MONTH($A489),DAY($A489)),$A:$A,0))=""),"",F489/INDEX(F:F,MATCH(DATE(YEAR($A489)-1,MONTH($A489),DAY($A489)),$A:$A,0))-1),"")</f>
        <v/>
      </c>
      <c r="J489" s="7">
        <f>IFERROR(IF(OR(G489="",INDEX(G:G,MATCH(DATE(YEAR($A489)-1,MONTH($A489),DAY($A489)),$A:$A,0))=""),"",G489/INDEX(G:G,MATCH(DATE(YEAR($A489)-1,MONTH($A489),DAY($A489)),$A:$A,0))-1),"")</f>
        <v/>
      </c>
      <c r="K489" s="7">
        <f>IF(OR(E489="",E488=""),"",E489/E488-1)</f>
        <v/>
      </c>
      <c r="L489" s="7">
        <f>IF(OR(F489="",F488=""),"",F489/F488-1)</f>
        <v/>
      </c>
      <c r="M489" s="7">
        <f>IF(OR(G489="",G488=""),"",G489/G488-1)</f>
        <v/>
      </c>
      <c r="N489" s="7">
        <f>IF(G489="","",E489/G489)</f>
        <v/>
      </c>
      <c r="O489" s="7">
        <f>IF(G489="","",F489/G489)</f>
        <v/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4">
        <f>IF(SUMIFS('Daily NSE Equity Cash'!$H:$H,'Daily NSE Equity Cash'!$A:$A,$A490)=0,"",SUMIFS('Daily NSE Equity Cash'!$H:$H,'Daily NSE Equity Cash'!$A:$A,$A490))</f>
        <v/>
      </c>
      <c r="F490" s="4">
        <f>IF(SUMIFS('Daily BSE Equity Cash'!$H:$H,'Daily BSE Equity Cash'!$A:$A,$A490)=0,"",SUMIFS('Daily BSE Equity Cash'!$H:$H,'Daily BSE Equity Cash'!$A:$A,$A490))</f>
        <v/>
      </c>
      <c r="G490" s="4">
        <f>IF(OR(E490="",F490=""),"",E490+F490)</f>
        <v/>
      </c>
      <c r="H490" s="7">
        <f>IFERROR(IF(OR(E490="",INDEX(E:E,MATCH(DATE(YEAR($A490)-1,MONTH($A490),DAY($A490)),$A:$A,0))=""),"",E490/INDEX(E:E,MATCH(DATE(YEAR($A490)-1,MONTH($A490),DAY($A490)),$A:$A,0))-1),"")</f>
        <v/>
      </c>
      <c r="I490" s="7">
        <f>IFERROR(IF(OR(F490="",INDEX(F:F,MATCH(DATE(YEAR($A490)-1,MONTH($A490),DAY($A490)),$A:$A,0))=""),"",F490/INDEX(F:F,MATCH(DATE(YEAR($A490)-1,MONTH($A490),DAY($A490)),$A:$A,0))-1),"")</f>
        <v/>
      </c>
      <c r="J490" s="7">
        <f>IFERROR(IF(OR(G490="",INDEX(G:G,MATCH(DATE(YEAR($A490)-1,MONTH($A490),DAY($A490)),$A:$A,0))=""),"",G490/INDEX(G:G,MATCH(DATE(YEAR($A490)-1,MONTH($A490),DAY($A490)),$A:$A,0))-1),"")</f>
        <v/>
      </c>
      <c r="K490" s="7">
        <f>IF(OR(E490="",E489=""),"",E490/E489-1)</f>
        <v/>
      </c>
      <c r="L490" s="7">
        <f>IF(OR(F490="",F489=""),"",F490/F489-1)</f>
        <v/>
      </c>
      <c r="M490" s="7">
        <f>IF(OR(G490="",G489=""),"",G490/G489-1)</f>
        <v/>
      </c>
      <c r="N490" s="7">
        <f>IF(G490="","",E490/G490)</f>
        <v/>
      </c>
      <c r="O490" s="7">
        <f>IF(G490="","",F490/G490)</f>
        <v/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4">
        <f>IF(SUMIFS('Daily NSE Equity Cash'!$H:$H,'Daily NSE Equity Cash'!$A:$A,$A491)=0,"",SUMIFS('Daily NSE Equity Cash'!$H:$H,'Daily NSE Equity Cash'!$A:$A,$A491))</f>
        <v/>
      </c>
      <c r="F491" s="4">
        <f>IF(SUMIFS('Daily BSE Equity Cash'!$H:$H,'Daily BSE Equity Cash'!$A:$A,$A491)=0,"",SUMIFS('Daily BSE Equity Cash'!$H:$H,'Daily BSE Equity Cash'!$A:$A,$A491))</f>
        <v/>
      </c>
      <c r="G491" s="4">
        <f>IF(OR(E491="",F491=""),"",E491+F491)</f>
        <v/>
      </c>
      <c r="H491" s="7">
        <f>IFERROR(IF(OR(E491="",INDEX(E:E,MATCH(DATE(YEAR($A491)-1,MONTH($A491),DAY($A491)),$A:$A,0))=""),"",E491/INDEX(E:E,MATCH(DATE(YEAR($A491)-1,MONTH($A491),DAY($A491)),$A:$A,0))-1),"")</f>
        <v/>
      </c>
      <c r="I491" s="7">
        <f>IFERROR(IF(OR(F491="",INDEX(F:F,MATCH(DATE(YEAR($A491)-1,MONTH($A491),DAY($A491)),$A:$A,0))=""),"",F491/INDEX(F:F,MATCH(DATE(YEAR($A491)-1,MONTH($A491),DAY($A491)),$A:$A,0))-1),"")</f>
        <v/>
      </c>
      <c r="J491" s="7">
        <f>IFERROR(IF(OR(G491="",INDEX(G:G,MATCH(DATE(YEAR($A491)-1,MONTH($A491),DAY($A491)),$A:$A,0))=""),"",G491/INDEX(G:G,MATCH(DATE(YEAR($A491)-1,MONTH($A491),DAY($A491)),$A:$A,0))-1),"")</f>
        <v/>
      </c>
      <c r="K491" s="7">
        <f>IF(OR(E491="",E490=""),"",E491/E490-1)</f>
        <v/>
      </c>
      <c r="L491" s="7">
        <f>IF(OR(F491="",F490=""),"",F491/F490-1)</f>
        <v/>
      </c>
      <c r="M491" s="7">
        <f>IF(OR(G491="",G490=""),"",G491/G490-1)</f>
        <v/>
      </c>
      <c r="N491" s="7">
        <f>IF(G491="","",E491/G491)</f>
        <v/>
      </c>
      <c r="O491" s="7">
        <f>IF(G491="","",F491/G491)</f>
        <v/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4">
        <f>IF(SUMIFS('Daily NSE Equity Cash'!$H:$H,'Daily NSE Equity Cash'!$A:$A,$A492)=0,"",SUMIFS('Daily NSE Equity Cash'!$H:$H,'Daily NSE Equity Cash'!$A:$A,$A492))</f>
        <v/>
      </c>
      <c r="F492" s="4">
        <f>IF(SUMIFS('Daily BSE Equity Cash'!$H:$H,'Daily BSE Equity Cash'!$A:$A,$A492)=0,"",SUMIFS('Daily BSE Equity Cash'!$H:$H,'Daily BSE Equity Cash'!$A:$A,$A492))</f>
        <v/>
      </c>
      <c r="G492" s="4">
        <f>IF(OR(E492="",F492=""),"",E492+F492)</f>
        <v/>
      </c>
      <c r="H492" s="7">
        <f>IFERROR(IF(OR(E492="",INDEX(E:E,MATCH(DATE(YEAR($A492)-1,MONTH($A492),DAY($A492)),$A:$A,0))=""),"",E492/INDEX(E:E,MATCH(DATE(YEAR($A492)-1,MONTH($A492),DAY($A492)),$A:$A,0))-1),"")</f>
        <v/>
      </c>
      <c r="I492" s="7">
        <f>IFERROR(IF(OR(F492="",INDEX(F:F,MATCH(DATE(YEAR($A492)-1,MONTH($A492),DAY($A492)),$A:$A,0))=""),"",F492/INDEX(F:F,MATCH(DATE(YEAR($A492)-1,MONTH($A492),DAY($A492)),$A:$A,0))-1),"")</f>
        <v/>
      </c>
      <c r="J492" s="7">
        <f>IFERROR(IF(OR(G492="",INDEX(G:G,MATCH(DATE(YEAR($A492)-1,MONTH($A492),DAY($A492)),$A:$A,0))=""),"",G492/INDEX(G:G,MATCH(DATE(YEAR($A492)-1,MONTH($A492),DAY($A492)),$A:$A,0))-1),"")</f>
        <v/>
      </c>
      <c r="K492" s="7">
        <f>IF(OR(E492="",E491=""),"",E492/E491-1)</f>
        <v/>
      </c>
      <c r="L492" s="7">
        <f>IF(OR(F492="",F491=""),"",F492/F491-1)</f>
        <v/>
      </c>
      <c r="M492" s="7">
        <f>IF(OR(G492="",G491=""),"",G492/G491-1)</f>
        <v/>
      </c>
      <c r="N492" s="7">
        <f>IF(G492="","",E492/G492)</f>
        <v/>
      </c>
      <c r="O492" s="7">
        <f>IF(G492="","",F492/G492)</f>
        <v/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4">
        <f>IF(SUMIFS('Daily NSE Equity Cash'!$H:$H,'Daily NSE Equity Cash'!$A:$A,$A493)=0,"",SUMIFS('Daily NSE Equity Cash'!$H:$H,'Daily NSE Equity Cash'!$A:$A,$A493))</f>
        <v/>
      </c>
      <c r="F493" s="4">
        <f>IF(SUMIFS('Daily BSE Equity Cash'!$H:$H,'Daily BSE Equity Cash'!$A:$A,$A493)=0,"",SUMIFS('Daily BSE Equity Cash'!$H:$H,'Daily BSE Equity Cash'!$A:$A,$A493))</f>
        <v/>
      </c>
      <c r="G493" s="4">
        <f>IF(OR(E493="",F493=""),"",E493+F493)</f>
        <v/>
      </c>
      <c r="H493" s="7">
        <f>IFERROR(IF(OR(E493="",INDEX(E:E,MATCH(DATE(YEAR($A493)-1,MONTH($A493),DAY($A493)),$A:$A,0))=""),"",E493/INDEX(E:E,MATCH(DATE(YEAR($A493)-1,MONTH($A493),DAY($A493)),$A:$A,0))-1),"")</f>
        <v/>
      </c>
      <c r="I493" s="7">
        <f>IFERROR(IF(OR(F493="",INDEX(F:F,MATCH(DATE(YEAR($A493)-1,MONTH($A493),DAY($A493)),$A:$A,0))=""),"",F493/INDEX(F:F,MATCH(DATE(YEAR($A493)-1,MONTH($A493),DAY($A493)),$A:$A,0))-1),"")</f>
        <v/>
      </c>
      <c r="J493" s="7">
        <f>IFERROR(IF(OR(G493="",INDEX(G:G,MATCH(DATE(YEAR($A493)-1,MONTH($A493),DAY($A493)),$A:$A,0))=""),"",G493/INDEX(G:G,MATCH(DATE(YEAR($A493)-1,MONTH($A493),DAY($A493)),$A:$A,0))-1),"")</f>
        <v/>
      </c>
      <c r="K493" s="7">
        <f>IF(OR(E493="",E492=""),"",E493/E492-1)</f>
        <v/>
      </c>
      <c r="L493" s="7">
        <f>IF(OR(F493="",F492=""),"",F493/F492-1)</f>
        <v/>
      </c>
      <c r="M493" s="7">
        <f>IF(OR(G493="",G492=""),"",G493/G492-1)</f>
        <v/>
      </c>
      <c r="N493" s="7">
        <f>IF(G493="","",E493/G493)</f>
        <v/>
      </c>
      <c r="O493" s="7">
        <f>IF(G493="","",F493/G493)</f>
        <v/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4">
        <f>IF(SUMIFS('Daily NSE Equity Cash'!$H:$H,'Daily NSE Equity Cash'!$A:$A,$A494)=0,"",SUMIFS('Daily NSE Equity Cash'!$H:$H,'Daily NSE Equity Cash'!$A:$A,$A494))</f>
        <v/>
      </c>
      <c r="F494" s="4">
        <f>IF(SUMIFS('Daily BSE Equity Cash'!$H:$H,'Daily BSE Equity Cash'!$A:$A,$A494)=0,"",SUMIFS('Daily BSE Equity Cash'!$H:$H,'Daily BSE Equity Cash'!$A:$A,$A494))</f>
        <v/>
      </c>
      <c r="G494" s="4">
        <f>IF(OR(E494="",F494=""),"",E494+F494)</f>
        <v/>
      </c>
      <c r="H494" s="7">
        <f>IFERROR(IF(OR(E494="",INDEX(E:E,MATCH(DATE(YEAR($A494)-1,MONTH($A494),DAY($A494)),$A:$A,0))=""),"",E494/INDEX(E:E,MATCH(DATE(YEAR($A494)-1,MONTH($A494),DAY($A494)),$A:$A,0))-1),"")</f>
        <v/>
      </c>
      <c r="I494" s="7">
        <f>IFERROR(IF(OR(F494="",INDEX(F:F,MATCH(DATE(YEAR($A494)-1,MONTH($A494),DAY($A494)),$A:$A,0))=""),"",F494/INDEX(F:F,MATCH(DATE(YEAR($A494)-1,MONTH($A494),DAY($A494)),$A:$A,0))-1),"")</f>
        <v/>
      </c>
      <c r="J494" s="7">
        <f>IFERROR(IF(OR(G494="",INDEX(G:G,MATCH(DATE(YEAR($A494)-1,MONTH($A494),DAY($A494)),$A:$A,0))=""),"",G494/INDEX(G:G,MATCH(DATE(YEAR($A494)-1,MONTH($A494),DAY($A494)),$A:$A,0))-1),"")</f>
        <v/>
      </c>
      <c r="K494" s="7">
        <f>IF(OR(E494="",E493=""),"",E494/E493-1)</f>
        <v/>
      </c>
      <c r="L494" s="7">
        <f>IF(OR(F494="",F493=""),"",F494/F493-1)</f>
        <v/>
      </c>
      <c r="M494" s="7">
        <f>IF(OR(G494="",G493=""),"",G494/G493-1)</f>
        <v/>
      </c>
      <c r="N494" s="7">
        <f>IF(G494="","",E494/G494)</f>
        <v/>
      </c>
      <c r="O494" s="7">
        <f>IF(G494="","",F494/G494)</f>
        <v/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4">
        <f>IF(SUMIFS('Daily NSE Equity Cash'!$H:$H,'Daily NSE Equity Cash'!$A:$A,$A495)=0,"",SUMIFS('Daily NSE Equity Cash'!$H:$H,'Daily NSE Equity Cash'!$A:$A,$A495))</f>
        <v/>
      </c>
      <c r="F495" s="4">
        <f>IF(SUMIFS('Daily BSE Equity Cash'!$H:$H,'Daily BSE Equity Cash'!$A:$A,$A495)=0,"",SUMIFS('Daily BSE Equity Cash'!$H:$H,'Daily BSE Equity Cash'!$A:$A,$A495))</f>
        <v/>
      </c>
      <c r="G495" s="4">
        <f>IF(OR(E495="",F495=""),"",E495+F495)</f>
        <v/>
      </c>
      <c r="H495" s="7">
        <f>IFERROR(IF(OR(E495="",INDEX(E:E,MATCH(DATE(YEAR($A495)-1,MONTH($A495),DAY($A495)),$A:$A,0))=""),"",E495/INDEX(E:E,MATCH(DATE(YEAR($A495)-1,MONTH($A495),DAY($A495)),$A:$A,0))-1),"")</f>
        <v/>
      </c>
      <c r="I495" s="7">
        <f>IFERROR(IF(OR(F495="",INDEX(F:F,MATCH(DATE(YEAR($A495)-1,MONTH($A495),DAY($A495)),$A:$A,0))=""),"",F495/INDEX(F:F,MATCH(DATE(YEAR($A495)-1,MONTH($A495),DAY($A495)),$A:$A,0))-1),"")</f>
        <v/>
      </c>
      <c r="J495" s="7">
        <f>IFERROR(IF(OR(G495="",INDEX(G:G,MATCH(DATE(YEAR($A495)-1,MONTH($A495),DAY($A495)),$A:$A,0))=""),"",G495/INDEX(G:G,MATCH(DATE(YEAR($A495)-1,MONTH($A495),DAY($A495)),$A:$A,0))-1),"")</f>
        <v/>
      </c>
      <c r="K495" s="7">
        <f>IF(OR(E495="",E494=""),"",E495/E494-1)</f>
        <v/>
      </c>
      <c r="L495" s="7">
        <f>IF(OR(F495="",F494=""),"",F495/F494-1)</f>
        <v/>
      </c>
      <c r="M495" s="7">
        <f>IF(OR(G495="",G494=""),"",G495/G494-1)</f>
        <v/>
      </c>
      <c r="N495" s="7">
        <f>IF(G495="","",E495/G495)</f>
        <v/>
      </c>
      <c r="O495" s="7">
        <f>IF(G495="","",F495/G495)</f>
        <v/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4">
        <f>IF(SUMIFS('Daily NSE Equity Cash'!$H:$H,'Daily NSE Equity Cash'!$A:$A,$A496)=0,"",SUMIFS('Daily NSE Equity Cash'!$H:$H,'Daily NSE Equity Cash'!$A:$A,$A496))</f>
        <v/>
      </c>
      <c r="F496" s="4">
        <f>IF(SUMIFS('Daily BSE Equity Cash'!$H:$H,'Daily BSE Equity Cash'!$A:$A,$A496)=0,"",SUMIFS('Daily BSE Equity Cash'!$H:$H,'Daily BSE Equity Cash'!$A:$A,$A496))</f>
        <v/>
      </c>
      <c r="G496" s="4">
        <f>IF(OR(E496="",F496=""),"",E496+F496)</f>
        <v/>
      </c>
      <c r="H496" s="7">
        <f>IFERROR(IF(OR(E496="",INDEX(E:E,MATCH(DATE(YEAR($A496)-1,MONTH($A496),DAY($A496)),$A:$A,0))=""),"",E496/INDEX(E:E,MATCH(DATE(YEAR($A496)-1,MONTH($A496),DAY($A496)),$A:$A,0))-1),"")</f>
        <v/>
      </c>
      <c r="I496" s="7">
        <f>IFERROR(IF(OR(F496="",INDEX(F:F,MATCH(DATE(YEAR($A496)-1,MONTH($A496),DAY($A496)),$A:$A,0))=""),"",F496/INDEX(F:F,MATCH(DATE(YEAR($A496)-1,MONTH($A496),DAY($A496)),$A:$A,0))-1),"")</f>
        <v/>
      </c>
      <c r="J496" s="7">
        <f>IFERROR(IF(OR(G496="",INDEX(G:G,MATCH(DATE(YEAR($A496)-1,MONTH($A496),DAY($A496)),$A:$A,0))=""),"",G496/INDEX(G:G,MATCH(DATE(YEAR($A496)-1,MONTH($A496),DAY($A496)),$A:$A,0))-1),"")</f>
        <v/>
      </c>
      <c r="K496" s="7">
        <f>IF(OR(E496="",E495=""),"",E496/E495-1)</f>
        <v/>
      </c>
      <c r="L496" s="7">
        <f>IF(OR(F496="",F495=""),"",F496/F495-1)</f>
        <v/>
      </c>
      <c r="M496" s="7">
        <f>IF(OR(G496="",G495=""),"",G496/G495-1)</f>
        <v/>
      </c>
      <c r="N496" s="7">
        <f>IF(G496="","",E496/G496)</f>
        <v/>
      </c>
      <c r="O496" s="7">
        <f>IF(G496="","",F496/G496)</f>
        <v/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4">
        <f>IF(SUMIFS('Daily NSE Equity Cash'!$H:$H,'Daily NSE Equity Cash'!$A:$A,$A497)=0,"",SUMIFS('Daily NSE Equity Cash'!$H:$H,'Daily NSE Equity Cash'!$A:$A,$A497))</f>
        <v/>
      </c>
      <c r="F497" s="4">
        <f>IF(SUMIFS('Daily BSE Equity Cash'!$H:$H,'Daily BSE Equity Cash'!$A:$A,$A497)=0,"",SUMIFS('Daily BSE Equity Cash'!$H:$H,'Daily BSE Equity Cash'!$A:$A,$A497))</f>
        <v/>
      </c>
      <c r="G497" s="4">
        <f>IF(OR(E497="",F497=""),"",E497+F497)</f>
        <v/>
      </c>
      <c r="H497" s="7">
        <f>IFERROR(IF(OR(E497="",INDEX(E:E,MATCH(DATE(YEAR($A497)-1,MONTH($A497),DAY($A497)),$A:$A,0))=""),"",E497/INDEX(E:E,MATCH(DATE(YEAR($A497)-1,MONTH($A497),DAY($A497)),$A:$A,0))-1),"")</f>
        <v/>
      </c>
      <c r="I497" s="7">
        <f>IFERROR(IF(OR(F497="",INDEX(F:F,MATCH(DATE(YEAR($A497)-1,MONTH($A497),DAY($A497)),$A:$A,0))=""),"",F497/INDEX(F:F,MATCH(DATE(YEAR($A497)-1,MONTH($A497),DAY($A497)),$A:$A,0))-1),"")</f>
        <v/>
      </c>
      <c r="J497" s="7">
        <f>IFERROR(IF(OR(G497="",INDEX(G:G,MATCH(DATE(YEAR($A497)-1,MONTH($A497),DAY($A497)),$A:$A,0))=""),"",G497/INDEX(G:G,MATCH(DATE(YEAR($A497)-1,MONTH($A497),DAY($A497)),$A:$A,0))-1),"")</f>
        <v/>
      </c>
      <c r="K497" s="7">
        <f>IF(OR(E497="",E496=""),"",E497/E496-1)</f>
        <v/>
      </c>
      <c r="L497" s="7">
        <f>IF(OR(F497="",F496=""),"",F497/F496-1)</f>
        <v/>
      </c>
      <c r="M497" s="7">
        <f>IF(OR(G497="",G496=""),"",G497/G496-1)</f>
        <v/>
      </c>
      <c r="N497" s="7">
        <f>IF(G497="","",E497/G497)</f>
        <v/>
      </c>
      <c r="O497" s="7">
        <f>IF(G497="","",F497/G497)</f>
        <v/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4">
        <f>IF(SUMIFS('Daily NSE Equity Cash'!$H:$H,'Daily NSE Equity Cash'!$A:$A,$A498)=0,"",SUMIFS('Daily NSE Equity Cash'!$H:$H,'Daily NSE Equity Cash'!$A:$A,$A498))</f>
        <v/>
      </c>
      <c r="F498" s="4">
        <f>IF(SUMIFS('Daily BSE Equity Cash'!$H:$H,'Daily BSE Equity Cash'!$A:$A,$A498)=0,"",SUMIFS('Daily BSE Equity Cash'!$H:$H,'Daily BSE Equity Cash'!$A:$A,$A498))</f>
        <v/>
      </c>
      <c r="G498" s="4">
        <f>IF(OR(E498="",F498=""),"",E498+F498)</f>
        <v/>
      </c>
      <c r="H498" s="7">
        <f>IFERROR(IF(OR(E498="",INDEX(E:E,MATCH(DATE(YEAR($A498)-1,MONTH($A498),DAY($A498)),$A:$A,0))=""),"",E498/INDEX(E:E,MATCH(DATE(YEAR($A498)-1,MONTH($A498),DAY($A498)),$A:$A,0))-1),"")</f>
        <v/>
      </c>
      <c r="I498" s="7">
        <f>IFERROR(IF(OR(F498="",INDEX(F:F,MATCH(DATE(YEAR($A498)-1,MONTH($A498),DAY($A498)),$A:$A,0))=""),"",F498/INDEX(F:F,MATCH(DATE(YEAR($A498)-1,MONTH($A498),DAY($A498)),$A:$A,0))-1),"")</f>
        <v/>
      </c>
      <c r="J498" s="7">
        <f>IFERROR(IF(OR(G498="",INDEX(G:G,MATCH(DATE(YEAR($A498)-1,MONTH($A498),DAY($A498)),$A:$A,0))=""),"",G498/INDEX(G:G,MATCH(DATE(YEAR($A498)-1,MONTH($A498),DAY($A498)),$A:$A,0))-1),"")</f>
        <v/>
      </c>
      <c r="K498" s="7">
        <f>IF(OR(E498="",E497=""),"",E498/E497-1)</f>
        <v/>
      </c>
      <c r="L498" s="7">
        <f>IF(OR(F498="",F497=""),"",F498/F497-1)</f>
        <v/>
      </c>
      <c r="M498" s="7">
        <f>IF(OR(G498="",G497=""),"",G498/G497-1)</f>
        <v/>
      </c>
      <c r="N498" s="7">
        <f>IF(G498="","",E498/G498)</f>
        <v/>
      </c>
      <c r="O498" s="7">
        <f>IF(G498="","",F498/G498)</f>
        <v/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4">
        <f>IF(SUMIFS('Daily NSE Equity Cash'!$H:$H,'Daily NSE Equity Cash'!$A:$A,$A499)=0,"",SUMIFS('Daily NSE Equity Cash'!$H:$H,'Daily NSE Equity Cash'!$A:$A,$A499))</f>
        <v/>
      </c>
      <c r="F499" s="4">
        <f>IF(SUMIFS('Daily BSE Equity Cash'!$H:$H,'Daily BSE Equity Cash'!$A:$A,$A499)=0,"",SUMIFS('Daily BSE Equity Cash'!$H:$H,'Daily BSE Equity Cash'!$A:$A,$A499))</f>
        <v/>
      </c>
      <c r="G499" s="4">
        <f>IF(OR(E499="",F499=""),"",E499+F499)</f>
        <v/>
      </c>
      <c r="H499" s="7">
        <f>IFERROR(IF(OR(E499="",INDEX(E:E,MATCH(DATE(YEAR($A499)-1,MONTH($A499),DAY($A499)),$A:$A,0))=""),"",E499/INDEX(E:E,MATCH(DATE(YEAR($A499)-1,MONTH($A499),DAY($A499)),$A:$A,0))-1),"")</f>
        <v/>
      </c>
      <c r="I499" s="7">
        <f>IFERROR(IF(OR(F499="",INDEX(F:F,MATCH(DATE(YEAR($A499)-1,MONTH($A499),DAY($A499)),$A:$A,0))=""),"",F499/INDEX(F:F,MATCH(DATE(YEAR($A499)-1,MONTH($A499),DAY($A499)),$A:$A,0))-1),"")</f>
        <v/>
      </c>
      <c r="J499" s="7">
        <f>IFERROR(IF(OR(G499="",INDEX(G:G,MATCH(DATE(YEAR($A499)-1,MONTH($A499),DAY($A499)),$A:$A,0))=""),"",G499/INDEX(G:G,MATCH(DATE(YEAR($A499)-1,MONTH($A499),DAY($A499)),$A:$A,0))-1),"")</f>
        <v/>
      </c>
      <c r="K499" s="7">
        <f>IF(OR(E499="",E498=""),"",E499/E498-1)</f>
        <v/>
      </c>
      <c r="L499" s="7">
        <f>IF(OR(F499="",F498=""),"",F499/F498-1)</f>
        <v/>
      </c>
      <c r="M499" s="7">
        <f>IF(OR(G499="",G498=""),"",G499/G498-1)</f>
        <v/>
      </c>
      <c r="N499" s="7">
        <f>IF(G499="","",E499/G499)</f>
        <v/>
      </c>
      <c r="O499" s="7">
        <f>IF(G499="","",F499/G499)</f>
        <v/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4">
        <f>IF(SUMIFS('Daily NSE Equity Cash'!$H:$H,'Daily NSE Equity Cash'!$A:$A,$A500)=0,"",SUMIFS('Daily NSE Equity Cash'!$H:$H,'Daily NSE Equity Cash'!$A:$A,$A500))</f>
        <v/>
      </c>
      <c r="F500" s="4">
        <f>IF(SUMIFS('Daily BSE Equity Cash'!$H:$H,'Daily BSE Equity Cash'!$A:$A,$A500)=0,"",SUMIFS('Daily BSE Equity Cash'!$H:$H,'Daily BSE Equity Cash'!$A:$A,$A500))</f>
        <v/>
      </c>
      <c r="G500" s="4">
        <f>IF(OR(E500="",F500=""),"",E500+F500)</f>
        <v/>
      </c>
      <c r="H500" s="7">
        <f>IFERROR(IF(OR(E500="",INDEX(E:E,MATCH(DATE(YEAR($A500)-1,MONTH($A500),DAY($A500)),$A:$A,0))=""),"",E500/INDEX(E:E,MATCH(DATE(YEAR($A500)-1,MONTH($A500),DAY($A500)),$A:$A,0))-1),"")</f>
        <v/>
      </c>
      <c r="I500" s="7">
        <f>IFERROR(IF(OR(F500="",INDEX(F:F,MATCH(DATE(YEAR($A500)-1,MONTH($A500),DAY($A500)),$A:$A,0))=""),"",F500/INDEX(F:F,MATCH(DATE(YEAR($A500)-1,MONTH($A500),DAY($A500)),$A:$A,0))-1),"")</f>
        <v/>
      </c>
      <c r="J500" s="7">
        <f>IFERROR(IF(OR(G500="",INDEX(G:G,MATCH(DATE(YEAR($A500)-1,MONTH($A500),DAY($A500)),$A:$A,0))=""),"",G500/INDEX(G:G,MATCH(DATE(YEAR($A500)-1,MONTH($A500),DAY($A500)),$A:$A,0))-1),"")</f>
        <v/>
      </c>
      <c r="K500" s="7">
        <f>IF(OR(E500="",E499=""),"",E500/E499-1)</f>
        <v/>
      </c>
      <c r="L500" s="7">
        <f>IF(OR(F500="",F499=""),"",F500/F499-1)</f>
        <v/>
      </c>
      <c r="M500" s="7">
        <f>IF(OR(G500="",G499=""),"",G500/G499-1)</f>
        <v/>
      </c>
      <c r="N500" s="7">
        <f>IF(G500="","",E500/G500)</f>
        <v/>
      </c>
      <c r="O500" s="7">
        <f>IF(G500="","",F500/G500)</f>
        <v/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4">
        <f>IF(SUMIFS('Daily NSE Equity Cash'!$H:$H,'Daily NSE Equity Cash'!$A:$A,$A501)=0,"",SUMIFS('Daily NSE Equity Cash'!$H:$H,'Daily NSE Equity Cash'!$A:$A,$A501))</f>
        <v/>
      </c>
      <c r="F501" s="4">
        <f>IF(SUMIFS('Daily BSE Equity Cash'!$H:$H,'Daily BSE Equity Cash'!$A:$A,$A501)=0,"",SUMIFS('Daily BSE Equity Cash'!$H:$H,'Daily BSE Equity Cash'!$A:$A,$A501))</f>
        <v/>
      </c>
      <c r="G501" s="4">
        <f>IF(OR(E501="",F501=""),"",E501+F501)</f>
        <v/>
      </c>
      <c r="H501" s="7">
        <f>IFERROR(IF(OR(E501="",INDEX(E:E,MATCH(DATE(YEAR($A501)-1,MONTH($A501),DAY($A501)),$A:$A,0))=""),"",E501/INDEX(E:E,MATCH(DATE(YEAR($A501)-1,MONTH($A501),DAY($A501)),$A:$A,0))-1),"")</f>
        <v/>
      </c>
      <c r="I501" s="7">
        <f>IFERROR(IF(OR(F501="",INDEX(F:F,MATCH(DATE(YEAR($A501)-1,MONTH($A501),DAY($A501)),$A:$A,0))=""),"",F501/INDEX(F:F,MATCH(DATE(YEAR($A501)-1,MONTH($A501),DAY($A501)),$A:$A,0))-1),"")</f>
        <v/>
      </c>
      <c r="J501" s="7">
        <f>IFERROR(IF(OR(G501="",INDEX(G:G,MATCH(DATE(YEAR($A501)-1,MONTH($A501),DAY($A501)),$A:$A,0))=""),"",G501/INDEX(G:G,MATCH(DATE(YEAR($A501)-1,MONTH($A501),DAY($A501)),$A:$A,0))-1),"")</f>
        <v/>
      </c>
      <c r="K501" s="7">
        <f>IF(OR(E501="",E500=""),"",E501/E500-1)</f>
        <v/>
      </c>
      <c r="L501" s="7">
        <f>IF(OR(F501="",F500=""),"",F501/F500-1)</f>
        <v/>
      </c>
      <c r="M501" s="7">
        <f>IF(OR(G501="",G500=""),"",G501/G500-1)</f>
        <v/>
      </c>
      <c r="N501" s="7">
        <f>IF(G501="","",E501/G501)</f>
        <v/>
      </c>
      <c r="O501" s="7">
        <f>IF(G501="","",F501/G501)</f>
        <v/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4">
        <f>IF(SUMIFS('Daily NSE Equity Cash'!$H:$H,'Daily NSE Equity Cash'!$A:$A,$A502)=0,"",SUMIFS('Daily NSE Equity Cash'!$H:$H,'Daily NSE Equity Cash'!$A:$A,$A502))</f>
        <v/>
      </c>
      <c r="F502" s="4">
        <f>IF(SUMIFS('Daily BSE Equity Cash'!$H:$H,'Daily BSE Equity Cash'!$A:$A,$A502)=0,"",SUMIFS('Daily BSE Equity Cash'!$H:$H,'Daily BSE Equity Cash'!$A:$A,$A502))</f>
        <v/>
      </c>
      <c r="G502" s="4">
        <f>IF(OR(E502="",F502=""),"",E502+F502)</f>
        <v/>
      </c>
      <c r="H502" s="7">
        <f>IFERROR(IF(OR(E502="",INDEX(E:E,MATCH(DATE(YEAR($A502)-1,MONTH($A502),DAY($A502)),$A:$A,0))=""),"",E502/INDEX(E:E,MATCH(DATE(YEAR($A502)-1,MONTH($A502),DAY($A502)),$A:$A,0))-1),"")</f>
        <v/>
      </c>
      <c r="I502" s="7">
        <f>IFERROR(IF(OR(F502="",INDEX(F:F,MATCH(DATE(YEAR($A502)-1,MONTH($A502),DAY($A502)),$A:$A,0))=""),"",F502/INDEX(F:F,MATCH(DATE(YEAR($A502)-1,MONTH($A502),DAY($A502)),$A:$A,0))-1),"")</f>
        <v/>
      </c>
      <c r="J502" s="7">
        <f>IFERROR(IF(OR(G502="",INDEX(G:G,MATCH(DATE(YEAR($A502)-1,MONTH($A502),DAY($A502)),$A:$A,0))=""),"",G502/INDEX(G:G,MATCH(DATE(YEAR($A502)-1,MONTH($A502),DAY($A502)),$A:$A,0))-1),"")</f>
        <v/>
      </c>
      <c r="K502" s="7">
        <f>IF(OR(E502="",E501=""),"",E502/E501-1)</f>
        <v/>
      </c>
      <c r="L502" s="7">
        <f>IF(OR(F502="",F501=""),"",F502/F501-1)</f>
        <v/>
      </c>
      <c r="M502" s="7">
        <f>IF(OR(G502="",G501=""),"",G502/G501-1)</f>
        <v/>
      </c>
      <c r="N502" s="7">
        <f>IF(G502="","",E502/G502)</f>
        <v/>
      </c>
      <c r="O502" s="7">
        <f>IF(G502="","",F502/G502)</f>
        <v/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4">
        <f>IF(SUMIFS('Daily NSE Equity Cash'!$H:$H,'Daily NSE Equity Cash'!$A:$A,$A503)=0,"",SUMIFS('Daily NSE Equity Cash'!$H:$H,'Daily NSE Equity Cash'!$A:$A,$A503))</f>
        <v/>
      </c>
      <c r="F503" s="4">
        <f>IF(SUMIFS('Daily BSE Equity Cash'!$H:$H,'Daily BSE Equity Cash'!$A:$A,$A503)=0,"",SUMIFS('Daily BSE Equity Cash'!$H:$H,'Daily BSE Equity Cash'!$A:$A,$A503))</f>
        <v/>
      </c>
      <c r="G503" s="4">
        <f>IF(OR(E503="",F503=""),"",E503+F503)</f>
        <v/>
      </c>
      <c r="H503" s="7">
        <f>IFERROR(IF(OR(E503="",INDEX(E:E,MATCH(DATE(YEAR($A503)-1,MONTH($A503),DAY($A503)),$A:$A,0))=""),"",E503/INDEX(E:E,MATCH(DATE(YEAR($A503)-1,MONTH($A503),DAY($A503)),$A:$A,0))-1),"")</f>
        <v/>
      </c>
      <c r="I503" s="7">
        <f>IFERROR(IF(OR(F503="",INDEX(F:F,MATCH(DATE(YEAR($A503)-1,MONTH($A503),DAY($A503)),$A:$A,0))=""),"",F503/INDEX(F:F,MATCH(DATE(YEAR($A503)-1,MONTH($A503),DAY($A503)),$A:$A,0))-1),"")</f>
        <v/>
      </c>
      <c r="J503" s="7">
        <f>IFERROR(IF(OR(G503="",INDEX(G:G,MATCH(DATE(YEAR($A503)-1,MONTH($A503),DAY($A503)),$A:$A,0))=""),"",G503/INDEX(G:G,MATCH(DATE(YEAR($A503)-1,MONTH($A503),DAY($A503)),$A:$A,0))-1),"")</f>
        <v/>
      </c>
      <c r="K503" s="7">
        <f>IF(OR(E503="",E502=""),"",E503/E502-1)</f>
        <v/>
      </c>
      <c r="L503" s="7">
        <f>IF(OR(F503="",F502=""),"",F503/F502-1)</f>
        <v/>
      </c>
      <c r="M503" s="7">
        <f>IF(OR(G503="",G502=""),"",G503/G502-1)</f>
        <v/>
      </c>
      <c r="N503" s="7">
        <f>IF(G503="","",E503/G503)</f>
        <v/>
      </c>
      <c r="O503" s="7">
        <f>IF(G503="","",F503/G503)</f>
        <v/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4">
        <f>IF(SUMIFS('Daily NSE Equity Cash'!$H:$H,'Daily NSE Equity Cash'!$A:$A,$A504)=0,"",SUMIFS('Daily NSE Equity Cash'!$H:$H,'Daily NSE Equity Cash'!$A:$A,$A504))</f>
        <v/>
      </c>
      <c r="F504" s="4">
        <f>IF(SUMIFS('Daily BSE Equity Cash'!$H:$H,'Daily BSE Equity Cash'!$A:$A,$A504)=0,"",SUMIFS('Daily BSE Equity Cash'!$H:$H,'Daily BSE Equity Cash'!$A:$A,$A504))</f>
        <v/>
      </c>
      <c r="G504" s="4">
        <f>IF(OR(E504="",F504=""),"",E504+F504)</f>
        <v/>
      </c>
      <c r="H504" s="7">
        <f>IFERROR(IF(OR(E504="",INDEX(E:E,MATCH(DATE(YEAR($A504)-1,MONTH($A504),DAY($A504)),$A:$A,0))=""),"",E504/INDEX(E:E,MATCH(DATE(YEAR($A504)-1,MONTH($A504),DAY($A504)),$A:$A,0))-1),"")</f>
        <v/>
      </c>
      <c r="I504" s="7">
        <f>IFERROR(IF(OR(F504="",INDEX(F:F,MATCH(DATE(YEAR($A504)-1,MONTH($A504),DAY($A504)),$A:$A,0))=""),"",F504/INDEX(F:F,MATCH(DATE(YEAR($A504)-1,MONTH($A504),DAY($A504)),$A:$A,0))-1),"")</f>
        <v/>
      </c>
      <c r="J504" s="7">
        <f>IFERROR(IF(OR(G504="",INDEX(G:G,MATCH(DATE(YEAR($A504)-1,MONTH($A504),DAY($A504)),$A:$A,0))=""),"",G504/INDEX(G:G,MATCH(DATE(YEAR($A504)-1,MONTH($A504),DAY($A504)),$A:$A,0))-1),"")</f>
        <v/>
      </c>
      <c r="K504" s="7">
        <f>IF(OR(E504="",E503=""),"",E504/E503-1)</f>
        <v/>
      </c>
      <c r="L504" s="7">
        <f>IF(OR(F504="",F503=""),"",F504/F503-1)</f>
        <v/>
      </c>
      <c r="M504" s="7">
        <f>IF(OR(G504="",G503=""),"",G504/G503-1)</f>
        <v/>
      </c>
      <c r="N504" s="7">
        <f>IF(G504="","",E504/G504)</f>
        <v/>
      </c>
      <c r="O504" s="7">
        <f>IF(G504="","",F504/G504)</f>
        <v/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4">
        <f>IF(SUMIFS('Daily NSE Equity Cash'!$H:$H,'Daily NSE Equity Cash'!$A:$A,$A505)=0,"",SUMIFS('Daily NSE Equity Cash'!$H:$H,'Daily NSE Equity Cash'!$A:$A,$A505))</f>
        <v/>
      </c>
      <c r="F505" s="4">
        <f>IF(SUMIFS('Daily BSE Equity Cash'!$H:$H,'Daily BSE Equity Cash'!$A:$A,$A505)=0,"",SUMIFS('Daily BSE Equity Cash'!$H:$H,'Daily BSE Equity Cash'!$A:$A,$A505))</f>
        <v/>
      </c>
      <c r="G505" s="4">
        <f>IF(OR(E505="",F505=""),"",E505+F505)</f>
        <v/>
      </c>
      <c r="H505" s="7">
        <f>IFERROR(IF(OR(E505="",INDEX(E:E,MATCH(DATE(YEAR($A505)-1,MONTH($A505),DAY($A505)),$A:$A,0))=""),"",E505/INDEX(E:E,MATCH(DATE(YEAR($A505)-1,MONTH($A505),DAY($A505)),$A:$A,0))-1),"")</f>
        <v/>
      </c>
      <c r="I505" s="7">
        <f>IFERROR(IF(OR(F505="",INDEX(F:F,MATCH(DATE(YEAR($A505)-1,MONTH($A505),DAY($A505)),$A:$A,0))=""),"",F505/INDEX(F:F,MATCH(DATE(YEAR($A505)-1,MONTH($A505),DAY($A505)),$A:$A,0))-1),"")</f>
        <v/>
      </c>
      <c r="J505" s="7">
        <f>IFERROR(IF(OR(G505="",INDEX(G:G,MATCH(DATE(YEAR($A505)-1,MONTH($A505),DAY($A505)),$A:$A,0))=""),"",G505/INDEX(G:G,MATCH(DATE(YEAR($A505)-1,MONTH($A505),DAY($A505)),$A:$A,0))-1),"")</f>
        <v/>
      </c>
      <c r="K505" s="7">
        <f>IF(OR(E505="",E504=""),"",E505/E504-1)</f>
        <v/>
      </c>
      <c r="L505" s="7">
        <f>IF(OR(F505="",F504=""),"",F505/F504-1)</f>
        <v/>
      </c>
      <c r="M505" s="7">
        <f>IF(OR(G505="",G504=""),"",G505/G504-1)</f>
        <v/>
      </c>
      <c r="N505" s="7">
        <f>IF(G505="","",E505/G505)</f>
        <v/>
      </c>
      <c r="O505" s="7">
        <f>IF(G505="","",F505/G505)</f>
        <v/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4">
        <f>IF(SUMIFS('Daily NSE Equity Cash'!$H:$H,'Daily NSE Equity Cash'!$A:$A,$A506)=0,"",SUMIFS('Daily NSE Equity Cash'!$H:$H,'Daily NSE Equity Cash'!$A:$A,$A506))</f>
        <v/>
      </c>
      <c r="F506" s="4">
        <f>IF(SUMIFS('Daily BSE Equity Cash'!$H:$H,'Daily BSE Equity Cash'!$A:$A,$A506)=0,"",SUMIFS('Daily BSE Equity Cash'!$H:$H,'Daily BSE Equity Cash'!$A:$A,$A506))</f>
        <v/>
      </c>
      <c r="G506" s="4">
        <f>IF(OR(E506="",F506=""),"",E506+F506)</f>
        <v/>
      </c>
      <c r="H506" s="7">
        <f>IFERROR(IF(OR(E506="",INDEX(E:E,MATCH(DATE(YEAR($A506)-1,MONTH($A506),DAY($A506)),$A:$A,0))=""),"",E506/INDEX(E:E,MATCH(DATE(YEAR($A506)-1,MONTH($A506),DAY($A506)),$A:$A,0))-1),"")</f>
        <v/>
      </c>
      <c r="I506" s="7">
        <f>IFERROR(IF(OR(F506="",INDEX(F:F,MATCH(DATE(YEAR($A506)-1,MONTH($A506),DAY($A506)),$A:$A,0))=""),"",F506/INDEX(F:F,MATCH(DATE(YEAR($A506)-1,MONTH($A506),DAY($A506)),$A:$A,0))-1),"")</f>
        <v/>
      </c>
      <c r="J506" s="7">
        <f>IFERROR(IF(OR(G506="",INDEX(G:G,MATCH(DATE(YEAR($A506)-1,MONTH($A506),DAY($A506)),$A:$A,0))=""),"",G506/INDEX(G:G,MATCH(DATE(YEAR($A506)-1,MONTH($A506),DAY($A506)),$A:$A,0))-1),"")</f>
        <v/>
      </c>
      <c r="K506" s="7">
        <f>IF(OR(E506="",E505=""),"",E506/E505-1)</f>
        <v/>
      </c>
      <c r="L506" s="7">
        <f>IF(OR(F506="",F505=""),"",F506/F505-1)</f>
        <v/>
      </c>
      <c r="M506" s="7">
        <f>IF(OR(G506="",G505=""),"",G506/G505-1)</f>
        <v/>
      </c>
      <c r="N506" s="7">
        <f>IF(G506="","",E506/G506)</f>
        <v/>
      </c>
      <c r="O506" s="7">
        <f>IF(G506="","",F506/G506)</f>
        <v/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4">
        <f>IF(SUMIFS('Daily NSE Equity Cash'!$H:$H,'Daily NSE Equity Cash'!$A:$A,$A507)=0,"",SUMIFS('Daily NSE Equity Cash'!$H:$H,'Daily NSE Equity Cash'!$A:$A,$A507))</f>
        <v/>
      </c>
      <c r="F507" s="4">
        <f>IF(SUMIFS('Daily BSE Equity Cash'!$H:$H,'Daily BSE Equity Cash'!$A:$A,$A507)=0,"",SUMIFS('Daily BSE Equity Cash'!$H:$H,'Daily BSE Equity Cash'!$A:$A,$A507))</f>
        <v/>
      </c>
      <c r="G507" s="4">
        <f>IF(OR(E507="",F507=""),"",E507+F507)</f>
        <v/>
      </c>
      <c r="H507" s="7">
        <f>IFERROR(IF(OR(E507="",INDEX(E:E,MATCH(DATE(YEAR($A507)-1,MONTH($A507),DAY($A507)),$A:$A,0))=""),"",E507/INDEX(E:E,MATCH(DATE(YEAR($A507)-1,MONTH($A507),DAY($A507)),$A:$A,0))-1),"")</f>
        <v/>
      </c>
      <c r="I507" s="7">
        <f>IFERROR(IF(OR(F507="",INDEX(F:F,MATCH(DATE(YEAR($A507)-1,MONTH($A507),DAY($A507)),$A:$A,0))=""),"",F507/INDEX(F:F,MATCH(DATE(YEAR($A507)-1,MONTH($A507),DAY($A507)),$A:$A,0))-1),"")</f>
        <v/>
      </c>
      <c r="J507" s="7">
        <f>IFERROR(IF(OR(G507="",INDEX(G:G,MATCH(DATE(YEAR($A507)-1,MONTH($A507),DAY($A507)),$A:$A,0))=""),"",G507/INDEX(G:G,MATCH(DATE(YEAR($A507)-1,MONTH($A507),DAY($A507)),$A:$A,0))-1),"")</f>
        <v/>
      </c>
      <c r="K507" s="7">
        <f>IF(OR(E507="",E506=""),"",E507/E506-1)</f>
        <v/>
      </c>
      <c r="L507" s="7">
        <f>IF(OR(F507="",F506=""),"",F507/F506-1)</f>
        <v/>
      </c>
      <c r="M507" s="7">
        <f>IF(OR(G507="",G506=""),"",G507/G506-1)</f>
        <v/>
      </c>
      <c r="N507" s="7">
        <f>IF(G507="","",E507/G507)</f>
        <v/>
      </c>
      <c r="O507" s="7">
        <f>IF(G507="","",F507/G507)</f>
        <v/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4">
        <f>IF(SUMIFS('Daily NSE Equity Cash'!$H:$H,'Daily NSE Equity Cash'!$A:$A,$A508)=0,"",SUMIFS('Daily NSE Equity Cash'!$H:$H,'Daily NSE Equity Cash'!$A:$A,$A508))</f>
        <v/>
      </c>
      <c r="F508" s="4">
        <f>IF(SUMIFS('Daily BSE Equity Cash'!$H:$H,'Daily BSE Equity Cash'!$A:$A,$A508)=0,"",SUMIFS('Daily BSE Equity Cash'!$H:$H,'Daily BSE Equity Cash'!$A:$A,$A508))</f>
        <v/>
      </c>
      <c r="G508" s="4">
        <f>IF(OR(E508="",F508=""),"",E508+F508)</f>
        <v/>
      </c>
      <c r="H508" s="7">
        <f>IFERROR(IF(OR(E508="",INDEX(E:E,MATCH(DATE(YEAR($A508)-1,MONTH($A508),DAY($A508)),$A:$A,0))=""),"",E508/INDEX(E:E,MATCH(DATE(YEAR($A508)-1,MONTH($A508),DAY($A508)),$A:$A,0))-1),"")</f>
        <v/>
      </c>
      <c r="I508" s="7">
        <f>IFERROR(IF(OR(F508="",INDEX(F:F,MATCH(DATE(YEAR($A508)-1,MONTH($A508),DAY($A508)),$A:$A,0))=""),"",F508/INDEX(F:F,MATCH(DATE(YEAR($A508)-1,MONTH($A508),DAY($A508)),$A:$A,0))-1),"")</f>
        <v/>
      </c>
      <c r="J508" s="7">
        <f>IFERROR(IF(OR(G508="",INDEX(G:G,MATCH(DATE(YEAR($A508)-1,MONTH($A508),DAY($A508)),$A:$A,0))=""),"",G508/INDEX(G:G,MATCH(DATE(YEAR($A508)-1,MONTH($A508),DAY($A508)),$A:$A,0))-1),"")</f>
        <v/>
      </c>
      <c r="K508" s="7">
        <f>IF(OR(E508="",E507=""),"",E508/E507-1)</f>
        <v/>
      </c>
      <c r="L508" s="7">
        <f>IF(OR(F508="",F507=""),"",F508/F507-1)</f>
        <v/>
      </c>
      <c r="M508" s="7">
        <f>IF(OR(G508="",G507=""),"",G508/G507-1)</f>
        <v/>
      </c>
      <c r="N508" s="7">
        <f>IF(G508="","",E508/G508)</f>
        <v/>
      </c>
      <c r="O508" s="7">
        <f>IF(G508="","",F508/G508)</f>
        <v/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4">
        <f>IF(SUMIFS('Daily NSE Equity Cash'!$H:$H,'Daily NSE Equity Cash'!$A:$A,$A509)=0,"",SUMIFS('Daily NSE Equity Cash'!$H:$H,'Daily NSE Equity Cash'!$A:$A,$A509))</f>
        <v/>
      </c>
      <c r="F509" s="4">
        <f>IF(SUMIFS('Daily BSE Equity Cash'!$H:$H,'Daily BSE Equity Cash'!$A:$A,$A509)=0,"",SUMIFS('Daily BSE Equity Cash'!$H:$H,'Daily BSE Equity Cash'!$A:$A,$A509))</f>
        <v/>
      </c>
      <c r="G509" s="4">
        <f>IF(OR(E509="",F509=""),"",E509+F509)</f>
        <v/>
      </c>
      <c r="H509" s="7">
        <f>IFERROR(IF(OR(E509="",INDEX(E:E,MATCH(DATE(YEAR($A509)-1,MONTH($A509),DAY($A509)),$A:$A,0))=""),"",E509/INDEX(E:E,MATCH(DATE(YEAR($A509)-1,MONTH($A509),DAY($A509)),$A:$A,0))-1),"")</f>
        <v/>
      </c>
      <c r="I509" s="7">
        <f>IFERROR(IF(OR(F509="",INDEX(F:F,MATCH(DATE(YEAR($A509)-1,MONTH($A509),DAY($A509)),$A:$A,0))=""),"",F509/INDEX(F:F,MATCH(DATE(YEAR($A509)-1,MONTH($A509),DAY($A509)),$A:$A,0))-1),"")</f>
        <v/>
      </c>
      <c r="J509" s="7">
        <f>IFERROR(IF(OR(G509="",INDEX(G:G,MATCH(DATE(YEAR($A509)-1,MONTH($A509),DAY($A509)),$A:$A,0))=""),"",G509/INDEX(G:G,MATCH(DATE(YEAR($A509)-1,MONTH($A509),DAY($A509)),$A:$A,0))-1),"")</f>
        <v/>
      </c>
      <c r="K509" s="7">
        <f>IF(OR(E509="",E508=""),"",E509/E508-1)</f>
        <v/>
      </c>
      <c r="L509" s="7">
        <f>IF(OR(F509="",F508=""),"",F509/F508-1)</f>
        <v/>
      </c>
      <c r="M509" s="7">
        <f>IF(OR(G509="",G508=""),"",G509/G508-1)</f>
        <v/>
      </c>
      <c r="N509" s="7">
        <f>IF(G509="","",E509/G509)</f>
        <v/>
      </c>
      <c r="O509" s="7">
        <f>IF(G509="","",F509/G509)</f>
        <v/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4">
        <f>IF(SUMIFS('Daily NSE Equity Cash'!$H:$H,'Daily NSE Equity Cash'!$A:$A,$A510)=0,"",SUMIFS('Daily NSE Equity Cash'!$H:$H,'Daily NSE Equity Cash'!$A:$A,$A510))</f>
        <v/>
      </c>
      <c r="F510" s="4">
        <f>IF(SUMIFS('Daily BSE Equity Cash'!$H:$H,'Daily BSE Equity Cash'!$A:$A,$A510)=0,"",SUMIFS('Daily BSE Equity Cash'!$H:$H,'Daily BSE Equity Cash'!$A:$A,$A510))</f>
        <v/>
      </c>
      <c r="G510" s="4">
        <f>IF(OR(E510="",F510=""),"",E510+F510)</f>
        <v/>
      </c>
      <c r="H510" s="7">
        <f>IFERROR(IF(OR(E510="",INDEX(E:E,MATCH(DATE(YEAR($A510)-1,MONTH($A510),DAY($A510)),$A:$A,0))=""),"",E510/INDEX(E:E,MATCH(DATE(YEAR($A510)-1,MONTH($A510),DAY($A510)),$A:$A,0))-1),"")</f>
        <v/>
      </c>
      <c r="I510" s="7">
        <f>IFERROR(IF(OR(F510="",INDEX(F:F,MATCH(DATE(YEAR($A510)-1,MONTH($A510),DAY($A510)),$A:$A,0))=""),"",F510/INDEX(F:F,MATCH(DATE(YEAR($A510)-1,MONTH($A510),DAY($A510)),$A:$A,0))-1),"")</f>
        <v/>
      </c>
      <c r="J510" s="7">
        <f>IFERROR(IF(OR(G510="",INDEX(G:G,MATCH(DATE(YEAR($A510)-1,MONTH($A510),DAY($A510)),$A:$A,0))=""),"",G510/INDEX(G:G,MATCH(DATE(YEAR($A510)-1,MONTH($A510),DAY($A510)),$A:$A,0))-1),"")</f>
        <v/>
      </c>
      <c r="K510" s="7">
        <f>IF(OR(E510="",E509=""),"",E510/E509-1)</f>
        <v/>
      </c>
      <c r="L510" s="7">
        <f>IF(OR(F510="",F509=""),"",F510/F509-1)</f>
        <v/>
      </c>
      <c r="M510" s="7">
        <f>IF(OR(G510="",G509=""),"",G510/G509-1)</f>
        <v/>
      </c>
      <c r="N510" s="7">
        <f>IF(G510="","",E510/G510)</f>
        <v/>
      </c>
      <c r="O510" s="7">
        <f>IF(G510="","",F510/G510)</f>
        <v/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4">
        <f>IF(SUMIFS('Daily NSE Equity Cash'!$H:$H,'Daily NSE Equity Cash'!$A:$A,$A511)=0,"",SUMIFS('Daily NSE Equity Cash'!$H:$H,'Daily NSE Equity Cash'!$A:$A,$A511))</f>
        <v/>
      </c>
      <c r="F511" s="4">
        <f>IF(SUMIFS('Daily BSE Equity Cash'!$H:$H,'Daily BSE Equity Cash'!$A:$A,$A511)=0,"",SUMIFS('Daily BSE Equity Cash'!$H:$H,'Daily BSE Equity Cash'!$A:$A,$A511))</f>
        <v/>
      </c>
      <c r="G511" s="4">
        <f>IF(OR(E511="",F511=""),"",E511+F511)</f>
        <v/>
      </c>
      <c r="H511" s="7">
        <f>IFERROR(IF(OR(E511="",INDEX(E:E,MATCH(DATE(YEAR($A511)-1,MONTH($A511),DAY($A511)),$A:$A,0))=""),"",E511/INDEX(E:E,MATCH(DATE(YEAR($A511)-1,MONTH($A511),DAY($A511)),$A:$A,0))-1),"")</f>
        <v/>
      </c>
      <c r="I511" s="7">
        <f>IFERROR(IF(OR(F511="",INDEX(F:F,MATCH(DATE(YEAR($A511)-1,MONTH($A511),DAY($A511)),$A:$A,0))=""),"",F511/INDEX(F:F,MATCH(DATE(YEAR($A511)-1,MONTH($A511),DAY($A511)),$A:$A,0))-1),"")</f>
        <v/>
      </c>
      <c r="J511" s="7">
        <f>IFERROR(IF(OR(G511="",INDEX(G:G,MATCH(DATE(YEAR($A511)-1,MONTH($A511),DAY($A511)),$A:$A,0))=""),"",G511/INDEX(G:G,MATCH(DATE(YEAR($A511)-1,MONTH($A511),DAY($A511)),$A:$A,0))-1),"")</f>
        <v/>
      </c>
      <c r="K511" s="7">
        <f>IF(OR(E511="",E510=""),"",E511/E510-1)</f>
        <v/>
      </c>
      <c r="L511" s="7">
        <f>IF(OR(F511="",F510=""),"",F511/F510-1)</f>
        <v/>
      </c>
      <c r="M511" s="7">
        <f>IF(OR(G511="",G510=""),"",G511/G510-1)</f>
        <v/>
      </c>
      <c r="N511" s="7">
        <f>IF(G511="","",E511/G511)</f>
        <v/>
      </c>
      <c r="O511" s="7">
        <f>IF(G511="","",F511/G511)</f>
        <v/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4">
        <f>IF(SUMIFS('Daily NSE Equity Cash'!$H:$H,'Daily NSE Equity Cash'!$A:$A,$A512)=0,"",SUMIFS('Daily NSE Equity Cash'!$H:$H,'Daily NSE Equity Cash'!$A:$A,$A512))</f>
        <v/>
      </c>
      <c r="F512" s="4">
        <f>IF(SUMIFS('Daily BSE Equity Cash'!$H:$H,'Daily BSE Equity Cash'!$A:$A,$A512)=0,"",SUMIFS('Daily BSE Equity Cash'!$H:$H,'Daily BSE Equity Cash'!$A:$A,$A512))</f>
        <v/>
      </c>
      <c r="G512" s="4">
        <f>IF(OR(E512="",F512=""),"",E512+F512)</f>
        <v/>
      </c>
      <c r="H512" s="7">
        <f>IFERROR(IF(OR(E512="",INDEX(E:E,MATCH(DATE(YEAR($A512)-1,MONTH($A512),DAY($A512)),$A:$A,0))=""),"",E512/INDEX(E:E,MATCH(DATE(YEAR($A512)-1,MONTH($A512),DAY($A512)),$A:$A,0))-1),"")</f>
        <v/>
      </c>
      <c r="I512" s="7">
        <f>IFERROR(IF(OR(F512="",INDEX(F:F,MATCH(DATE(YEAR($A512)-1,MONTH($A512),DAY($A512)),$A:$A,0))=""),"",F512/INDEX(F:F,MATCH(DATE(YEAR($A512)-1,MONTH($A512),DAY($A512)),$A:$A,0))-1),"")</f>
        <v/>
      </c>
      <c r="J512" s="7">
        <f>IFERROR(IF(OR(G512="",INDEX(G:G,MATCH(DATE(YEAR($A512)-1,MONTH($A512),DAY($A512)),$A:$A,0))=""),"",G512/INDEX(G:G,MATCH(DATE(YEAR($A512)-1,MONTH($A512),DAY($A512)),$A:$A,0))-1),"")</f>
        <v/>
      </c>
      <c r="K512" s="7">
        <f>IF(OR(E512="",E511=""),"",E512/E511-1)</f>
        <v/>
      </c>
      <c r="L512" s="7">
        <f>IF(OR(F512="",F511=""),"",F512/F511-1)</f>
        <v/>
      </c>
      <c r="M512" s="7">
        <f>IF(OR(G512="",G511=""),"",G512/G511-1)</f>
        <v/>
      </c>
      <c r="N512" s="7">
        <f>IF(G512="","",E512/G512)</f>
        <v/>
      </c>
      <c r="O512" s="7">
        <f>IF(G512="","",F512/G512)</f>
        <v/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4">
        <f>IF(SUMIFS('Daily NSE Equity Cash'!$H:$H,'Daily NSE Equity Cash'!$A:$A,$A513)=0,"",SUMIFS('Daily NSE Equity Cash'!$H:$H,'Daily NSE Equity Cash'!$A:$A,$A513))</f>
        <v/>
      </c>
      <c r="F513" s="4">
        <f>IF(SUMIFS('Daily BSE Equity Cash'!$H:$H,'Daily BSE Equity Cash'!$A:$A,$A513)=0,"",SUMIFS('Daily BSE Equity Cash'!$H:$H,'Daily BSE Equity Cash'!$A:$A,$A513))</f>
        <v/>
      </c>
      <c r="G513" s="4">
        <f>IF(OR(E513="",F513=""),"",E513+F513)</f>
        <v/>
      </c>
      <c r="H513" s="7">
        <f>IFERROR(IF(OR(E513="",INDEX(E:E,MATCH(DATE(YEAR($A513)-1,MONTH($A513),DAY($A513)),$A:$A,0))=""),"",E513/INDEX(E:E,MATCH(DATE(YEAR($A513)-1,MONTH($A513),DAY($A513)),$A:$A,0))-1),"")</f>
        <v/>
      </c>
      <c r="I513" s="7">
        <f>IFERROR(IF(OR(F513="",INDEX(F:F,MATCH(DATE(YEAR($A513)-1,MONTH($A513),DAY($A513)),$A:$A,0))=""),"",F513/INDEX(F:F,MATCH(DATE(YEAR($A513)-1,MONTH($A513),DAY($A513)),$A:$A,0))-1),"")</f>
        <v/>
      </c>
      <c r="J513" s="7">
        <f>IFERROR(IF(OR(G513="",INDEX(G:G,MATCH(DATE(YEAR($A513)-1,MONTH($A513),DAY($A513)),$A:$A,0))=""),"",G513/INDEX(G:G,MATCH(DATE(YEAR($A513)-1,MONTH($A513),DAY($A513)),$A:$A,0))-1),"")</f>
        <v/>
      </c>
      <c r="K513" s="7">
        <f>IF(OR(E513="",E512=""),"",E513/E512-1)</f>
        <v/>
      </c>
      <c r="L513" s="7">
        <f>IF(OR(F513="",F512=""),"",F513/F512-1)</f>
        <v/>
      </c>
      <c r="M513" s="7">
        <f>IF(OR(G513="",G512=""),"",G513/G512-1)</f>
        <v/>
      </c>
      <c r="N513" s="7">
        <f>IF(G513="","",E513/G513)</f>
        <v/>
      </c>
      <c r="O513" s="7">
        <f>IF(G513="","",F513/G513)</f>
        <v/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4">
        <f>IF(SUMIFS('Daily NSE Equity Cash'!$H:$H,'Daily NSE Equity Cash'!$A:$A,$A514)=0,"",SUMIFS('Daily NSE Equity Cash'!$H:$H,'Daily NSE Equity Cash'!$A:$A,$A514))</f>
        <v/>
      </c>
      <c r="F514" s="4">
        <f>IF(SUMIFS('Daily BSE Equity Cash'!$H:$H,'Daily BSE Equity Cash'!$A:$A,$A514)=0,"",SUMIFS('Daily BSE Equity Cash'!$H:$H,'Daily BSE Equity Cash'!$A:$A,$A514))</f>
        <v/>
      </c>
      <c r="G514" s="4">
        <f>IF(OR(E514="",F514=""),"",E514+F514)</f>
        <v/>
      </c>
      <c r="H514" s="7">
        <f>IFERROR(IF(OR(E514="",INDEX(E:E,MATCH(DATE(YEAR($A514)-1,MONTH($A514),DAY($A514)),$A:$A,0))=""),"",E514/INDEX(E:E,MATCH(DATE(YEAR($A514)-1,MONTH($A514),DAY($A514)),$A:$A,0))-1),"")</f>
        <v/>
      </c>
      <c r="I514" s="7">
        <f>IFERROR(IF(OR(F514="",INDEX(F:F,MATCH(DATE(YEAR($A514)-1,MONTH($A514),DAY($A514)),$A:$A,0))=""),"",F514/INDEX(F:F,MATCH(DATE(YEAR($A514)-1,MONTH($A514),DAY($A514)),$A:$A,0))-1),"")</f>
        <v/>
      </c>
      <c r="J514" s="7">
        <f>IFERROR(IF(OR(G514="",INDEX(G:G,MATCH(DATE(YEAR($A514)-1,MONTH($A514),DAY($A514)),$A:$A,0))=""),"",G514/INDEX(G:G,MATCH(DATE(YEAR($A514)-1,MONTH($A514),DAY($A514)),$A:$A,0))-1),"")</f>
        <v/>
      </c>
      <c r="K514" s="7">
        <f>IF(OR(E514="",E513=""),"",E514/E513-1)</f>
        <v/>
      </c>
      <c r="L514" s="7">
        <f>IF(OR(F514="",F513=""),"",F514/F513-1)</f>
        <v/>
      </c>
      <c r="M514" s="7">
        <f>IF(OR(G514="",G513=""),"",G514/G513-1)</f>
        <v/>
      </c>
      <c r="N514" s="7">
        <f>IF(G514="","",E514/G514)</f>
        <v/>
      </c>
      <c r="O514" s="7">
        <f>IF(G514="","",F514/G514)</f>
        <v/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4">
        <f>IF(SUMIFS('Daily NSE Equity Cash'!$H:$H,'Daily NSE Equity Cash'!$A:$A,$A515)=0,"",SUMIFS('Daily NSE Equity Cash'!$H:$H,'Daily NSE Equity Cash'!$A:$A,$A515))</f>
        <v/>
      </c>
      <c r="F515" s="4">
        <f>IF(SUMIFS('Daily BSE Equity Cash'!$H:$H,'Daily BSE Equity Cash'!$A:$A,$A515)=0,"",SUMIFS('Daily BSE Equity Cash'!$H:$H,'Daily BSE Equity Cash'!$A:$A,$A515))</f>
        <v/>
      </c>
      <c r="G515" s="4">
        <f>IF(OR(E515="",F515=""),"",E515+F515)</f>
        <v/>
      </c>
      <c r="H515" s="7">
        <f>IFERROR(IF(OR(E515="",INDEX(E:E,MATCH(DATE(YEAR($A515)-1,MONTH($A515),DAY($A515)),$A:$A,0))=""),"",E515/INDEX(E:E,MATCH(DATE(YEAR($A515)-1,MONTH($A515),DAY($A515)),$A:$A,0))-1),"")</f>
        <v/>
      </c>
      <c r="I515" s="7">
        <f>IFERROR(IF(OR(F515="",INDEX(F:F,MATCH(DATE(YEAR($A515)-1,MONTH($A515),DAY($A515)),$A:$A,0))=""),"",F515/INDEX(F:F,MATCH(DATE(YEAR($A515)-1,MONTH($A515),DAY($A515)),$A:$A,0))-1),"")</f>
        <v/>
      </c>
      <c r="J515" s="7">
        <f>IFERROR(IF(OR(G515="",INDEX(G:G,MATCH(DATE(YEAR($A515)-1,MONTH($A515),DAY($A515)),$A:$A,0))=""),"",G515/INDEX(G:G,MATCH(DATE(YEAR($A515)-1,MONTH($A515),DAY($A515)),$A:$A,0))-1),"")</f>
        <v/>
      </c>
      <c r="K515" s="7">
        <f>IF(OR(E515="",E514=""),"",E515/E514-1)</f>
        <v/>
      </c>
      <c r="L515" s="7">
        <f>IF(OR(F515="",F514=""),"",F515/F514-1)</f>
        <v/>
      </c>
      <c r="M515" s="7">
        <f>IF(OR(G515="",G514=""),"",G515/G514-1)</f>
        <v/>
      </c>
      <c r="N515" s="7">
        <f>IF(G515="","",E515/G515)</f>
        <v/>
      </c>
      <c r="O515" s="7">
        <f>IF(G515="","",F515/G515)</f>
        <v/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4">
        <f>IF(SUMIFS('Daily NSE Equity Cash'!$H:$H,'Daily NSE Equity Cash'!$A:$A,$A516)=0,"",SUMIFS('Daily NSE Equity Cash'!$H:$H,'Daily NSE Equity Cash'!$A:$A,$A516))</f>
        <v/>
      </c>
      <c r="F516" s="4">
        <f>IF(SUMIFS('Daily BSE Equity Cash'!$H:$H,'Daily BSE Equity Cash'!$A:$A,$A516)=0,"",SUMIFS('Daily BSE Equity Cash'!$H:$H,'Daily BSE Equity Cash'!$A:$A,$A516))</f>
        <v/>
      </c>
      <c r="G516" s="4">
        <f>IF(OR(E516="",F516=""),"",E516+F516)</f>
        <v/>
      </c>
      <c r="H516" s="7">
        <f>IFERROR(IF(OR(E516="",INDEX(E:E,MATCH(DATE(YEAR($A516)-1,MONTH($A516),DAY($A516)),$A:$A,0))=""),"",E516/INDEX(E:E,MATCH(DATE(YEAR($A516)-1,MONTH($A516),DAY($A516)),$A:$A,0))-1),"")</f>
        <v/>
      </c>
      <c r="I516" s="7">
        <f>IFERROR(IF(OR(F516="",INDEX(F:F,MATCH(DATE(YEAR($A516)-1,MONTH($A516),DAY($A516)),$A:$A,0))=""),"",F516/INDEX(F:F,MATCH(DATE(YEAR($A516)-1,MONTH($A516),DAY($A516)),$A:$A,0))-1),"")</f>
        <v/>
      </c>
      <c r="J516" s="7">
        <f>IFERROR(IF(OR(G516="",INDEX(G:G,MATCH(DATE(YEAR($A516)-1,MONTH($A516),DAY($A516)),$A:$A,0))=""),"",G516/INDEX(G:G,MATCH(DATE(YEAR($A516)-1,MONTH($A516),DAY($A516)),$A:$A,0))-1),"")</f>
        <v/>
      </c>
      <c r="K516" s="7">
        <f>IF(OR(E516="",E515=""),"",E516/E515-1)</f>
        <v/>
      </c>
      <c r="L516" s="7">
        <f>IF(OR(F516="",F515=""),"",F516/F515-1)</f>
        <v/>
      </c>
      <c r="M516" s="7">
        <f>IF(OR(G516="",G515=""),"",G516/G515-1)</f>
        <v/>
      </c>
      <c r="N516" s="7">
        <f>IF(G516="","",E516/G516)</f>
        <v/>
      </c>
      <c r="O516" s="7">
        <f>IF(G516="","",F516/G516)</f>
        <v/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4">
        <f>IF(SUMIFS('Daily NSE Equity Cash'!$H:$H,'Daily NSE Equity Cash'!$A:$A,$A517)=0,"",SUMIFS('Daily NSE Equity Cash'!$H:$H,'Daily NSE Equity Cash'!$A:$A,$A517))</f>
        <v/>
      </c>
      <c r="F517" s="4">
        <f>IF(SUMIFS('Daily BSE Equity Cash'!$H:$H,'Daily BSE Equity Cash'!$A:$A,$A517)=0,"",SUMIFS('Daily BSE Equity Cash'!$H:$H,'Daily BSE Equity Cash'!$A:$A,$A517))</f>
        <v/>
      </c>
      <c r="G517" s="4">
        <f>IF(OR(E517="",F517=""),"",E517+F517)</f>
        <v/>
      </c>
      <c r="H517" s="7">
        <f>IFERROR(IF(OR(E517="",INDEX(E:E,MATCH(DATE(YEAR($A517)-1,MONTH($A517),DAY($A517)),$A:$A,0))=""),"",E517/INDEX(E:E,MATCH(DATE(YEAR($A517)-1,MONTH($A517),DAY($A517)),$A:$A,0))-1),"")</f>
        <v/>
      </c>
      <c r="I517" s="7">
        <f>IFERROR(IF(OR(F517="",INDEX(F:F,MATCH(DATE(YEAR($A517)-1,MONTH($A517),DAY($A517)),$A:$A,0))=""),"",F517/INDEX(F:F,MATCH(DATE(YEAR($A517)-1,MONTH($A517),DAY($A517)),$A:$A,0))-1),"")</f>
        <v/>
      </c>
      <c r="J517" s="7">
        <f>IFERROR(IF(OR(G517="",INDEX(G:G,MATCH(DATE(YEAR($A517)-1,MONTH($A517),DAY($A517)),$A:$A,0))=""),"",G517/INDEX(G:G,MATCH(DATE(YEAR($A517)-1,MONTH($A517),DAY($A517)),$A:$A,0))-1),"")</f>
        <v/>
      </c>
      <c r="K517" s="7">
        <f>IF(OR(E517="",E516=""),"",E517/E516-1)</f>
        <v/>
      </c>
      <c r="L517" s="7">
        <f>IF(OR(F517="",F516=""),"",F517/F516-1)</f>
        <v/>
      </c>
      <c r="M517" s="7">
        <f>IF(OR(G517="",G516=""),"",G517/G516-1)</f>
        <v/>
      </c>
      <c r="N517" s="7">
        <f>IF(G517="","",E517/G517)</f>
        <v/>
      </c>
      <c r="O517" s="7">
        <f>IF(G517="","",F517/G517)</f>
        <v/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4">
        <f>IF(SUMIFS('Daily NSE Equity Cash'!$H:$H,'Daily NSE Equity Cash'!$A:$A,$A518)=0,"",SUMIFS('Daily NSE Equity Cash'!$H:$H,'Daily NSE Equity Cash'!$A:$A,$A518))</f>
        <v/>
      </c>
      <c r="F518" s="4">
        <f>IF(SUMIFS('Daily BSE Equity Cash'!$H:$H,'Daily BSE Equity Cash'!$A:$A,$A518)=0,"",SUMIFS('Daily BSE Equity Cash'!$H:$H,'Daily BSE Equity Cash'!$A:$A,$A518))</f>
        <v/>
      </c>
      <c r="G518" s="4">
        <f>IF(OR(E518="",F518=""),"",E518+F518)</f>
        <v/>
      </c>
      <c r="H518" s="7">
        <f>IFERROR(IF(OR(E518="",INDEX(E:E,MATCH(DATE(YEAR($A518)-1,MONTH($A518),DAY($A518)),$A:$A,0))=""),"",E518/INDEX(E:E,MATCH(DATE(YEAR($A518)-1,MONTH($A518),DAY($A518)),$A:$A,0))-1),"")</f>
        <v/>
      </c>
      <c r="I518" s="7">
        <f>IFERROR(IF(OR(F518="",INDEX(F:F,MATCH(DATE(YEAR($A518)-1,MONTH($A518),DAY($A518)),$A:$A,0))=""),"",F518/INDEX(F:F,MATCH(DATE(YEAR($A518)-1,MONTH($A518),DAY($A518)),$A:$A,0))-1),"")</f>
        <v/>
      </c>
      <c r="J518" s="7">
        <f>IFERROR(IF(OR(G518="",INDEX(G:G,MATCH(DATE(YEAR($A518)-1,MONTH($A518),DAY($A518)),$A:$A,0))=""),"",G518/INDEX(G:G,MATCH(DATE(YEAR($A518)-1,MONTH($A518),DAY($A518)),$A:$A,0))-1),"")</f>
        <v/>
      </c>
      <c r="K518" s="7">
        <f>IF(OR(E518="",E517=""),"",E518/E517-1)</f>
        <v/>
      </c>
      <c r="L518" s="7">
        <f>IF(OR(F518="",F517=""),"",F518/F517-1)</f>
        <v/>
      </c>
      <c r="M518" s="7">
        <f>IF(OR(G518="",G517=""),"",G518/G517-1)</f>
        <v/>
      </c>
      <c r="N518" s="7">
        <f>IF(G518="","",E518/G518)</f>
        <v/>
      </c>
      <c r="O518" s="7">
        <f>IF(G518="","",F518/G518)</f>
        <v/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4">
        <f>IF(SUMIFS('Daily NSE Equity Cash'!$H:$H,'Daily NSE Equity Cash'!$A:$A,$A519)=0,"",SUMIFS('Daily NSE Equity Cash'!$H:$H,'Daily NSE Equity Cash'!$A:$A,$A519))</f>
        <v/>
      </c>
      <c r="F519" s="4">
        <f>IF(SUMIFS('Daily BSE Equity Cash'!$H:$H,'Daily BSE Equity Cash'!$A:$A,$A519)=0,"",SUMIFS('Daily BSE Equity Cash'!$H:$H,'Daily BSE Equity Cash'!$A:$A,$A519))</f>
        <v/>
      </c>
      <c r="G519" s="4">
        <f>IF(OR(E519="",F519=""),"",E519+F519)</f>
        <v/>
      </c>
      <c r="H519" s="7">
        <f>IFERROR(IF(OR(E519="",INDEX(E:E,MATCH(DATE(YEAR($A519)-1,MONTH($A519),DAY($A519)),$A:$A,0))=""),"",E519/INDEX(E:E,MATCH(DATE(YEAR($A519)-1,MONTH($A519),DAY($A519)),$A:$A,0))-1),"")</f>
        <v/>
      </c>
      <c r="I519" s="7">
        <f>IFERROR(IF(OR(F519="",INDEX(F:F,MATCH(DATE(YEAR($A519)-1,MONTH($A519),DAY($A519)),$A:$A,0))=""),"",F519/INDEX(F:F,MATCH(DATE(YEAR($A519)-1,MONTH($A519),DAY($A519)),$A:$A,0))-1),"")</f>
        <v/>
      </c>
      <c r="J519" s="7">
        <f>IFERROR(IF(OR(G519="",INDEX(G:G,MATCH(DATE(YEAR($A519)-1,MONTH($A519),DAY($A519)),$A:$A,0))=""),"",G519/INDEX(G:G,MATCH(DATE(YEAR($A519)-1,MONTH($A519),DAY($A519)),$A:$A,0))-1),"")</f>
        <v/>
      </c>
      <c r="K519" s="7">
        <f>IF(OR(E519="",E518=""),"",E519/E518-1)</f>
        <v/>
      </c>
      <c r="L519" s="7">
        <f>IF(OR(F519="",F518=""),"",F519/F518-1)</f>
        <v/>
      </c>
      <c r="M519" s="7">
        <f>IF(OR(G519="",G518=""),"",G519/G518-1)</f>
        <v/>
      </c>
      <c r="N519" s="7">
        <f>IF(G519="","",E519/G519)</f>
        <v/>
      </c>
      <c r="O519" s="7">
        <f>IF(G519="","",F519/G519)</f>
        <v/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4">
        <f>IF(SUMIFS('Daily NSE Equity Cash'!$H:$H,'Daily NSE Equity Cash'!$A:$A,$A520)=0,"",SUMIFS('Daily NSE Equity Cash'!$H:$H,'Daily NSE Equity Cash'!$A:$A,$A520))</f>
        <v/>
      </c>
      <c r="F520" s="4">
        <f>IF(SUMIFS('Daily BSE Equity Cash'!$H:$H,'Daily BSE Equity Cash'!$A:$A,$A520)=0,"",SUMIFS('Daily BSE Equity Cash'!$H:$H,'Daily BSE Equity Cash'!$A:$A,$A520))</f>
        <v/>
      </c>
      <c r="G520" s="4">
        <f>IF(OR(E520="",F520=""),"",E520+F520)</f>
        <v/>
      </c>
      <c r="H520" s="7">
        <f>IFERROR(IF(OR(E520="",INDEX(E:E,MATCH(DATE(YEAR($A520)-1,MONTH($A520),DAY($A520)),$A:$A,0))=""),"",E520/INDEX(E:E,MATCH(DATE(YEAR($A520)-1,MONTH($A520),DAY($A520)),$A:$A,0))-1),"")</f>
        <v/>
      </c>
      <c r="I520" s="7">
        <f>IFERROR(IF(OR(F520="",INDEX(F:F,MATCH(DATE(YEAR($A520)-1,MONTH($A520),DAY($A520)),$A:$A,0))=""),"",F520/INDEX(F:F,MATCH(DATE(YEAR($A520)-1,MONTH($A520),DAY($A520)),$A:$A,0))-1),"")</f>
        <v/>
      </c>
      <c r="J520" s="7">
        <f>IFERROR(IF(OR(G520="",INDEX(G:G,MATCH(DATE(YEAR($A520)-1,MONTH($A520),DAY($A520)),$A:$A,0))=""),"",G520/INDEX(G:G,MATCH(DATE(YEAR($A520)-1,MONTH($A520),DAY($A520)),$A:$A,0))-1),"")</f>
        <v/>
      </c>
      <c r="K520" s="7">
        <f>IF(OR(E520="",E519=""),"",E520/E519-1)</f>
        <v/>
      </c>
      <c r="L520" s="7">
        <f>IF(OR(F520="",F519=""),"",F520/F519-1)</f>
        <v/>
      </c>
      <c r="M520" s="7">
        <f>IF(OR(G520="",G519=""),"",G520/G519-1)</f>
        <v/>
      </c>
      <c r="N520" s="7">
        <f>IF(G520="","",E520/G520)</f>
        <v/>
      </c>
      <c r="O520" s="7">
        <f>IF(G520="","",F520/G520)</f>
        <v/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4">
        <f>IF(SUMIFS('Daily NSE Equity Cash'!$H:$H,'Daily NSE Equity Cash'!$A:$A,$A521)=0,"",SUMIFS('Daily NSE Equity Cash'!$H:$H,'Daily NSE Equity Cash'!$A:$A,$A521))</f>
        <v/>
      </c>
      <c r="F521" s="4">
        <f>IF(SUMIFS('Daily BSE Equity Cash'!$H:$H,'Daily BSE Equity Cash'!$A:$A,$A521)=0,"",SUMIFS('Daily BSE Equity Cash'!$H:$H,'Daily BSE Equity Cash'!$A:$A,$A521))</f>
        <v/>
      </c>
      <c r="G521" s="4">
        <f>IF(OR(E521="",F521=""),"",E521+F521)</f>
        <v/>
      </c>
      <c r="H521" s="7">
        <f>IFERROR(IF(OR(E521="",INDEX(E:E,MATCH(DATE(YEAR($A521)-1,MONTH($A521),DAY($A521)),$A:$A,0))=""),"",E521/INDEX(E:E,MATCH(DATE(YEAR($A521)-1,MONTH($A521),DAY($A521)),$A:$A,0))-1),"")</f>
        <v/>
      </c>
      <c r="I521" s="7">
        <f>IFERROR(IF(OR(F521="",INDEX(F:F,MATCH(DATE(YEAR($A521)-1,MONTH($A521),DAY($A521)),$A:$A,0))=""),"",F521/INDEX(F:F,MATCH(DATE(YEAR($A521)-1,MONTH($A521),DAY($A521)),$A:$A,0))-1),"")</f>
        <v/>
      </c>
      <c r="J521" s="7">
        <f>IFERROR(IF(OR(G521="",INDEX(G:G,MATCH(DATE(YEAR($A521)-1,MONTH($A521),DAY($A521)),$A:$A,0))=""),"",G521/INDEX(G:G,MATCH(DATE(YEAR($A521)-1,MONTH($A521),DAY($A521)),$A:$A,0))-1),"")</f>
        <v/>
      </c>
      <c r="K521" s="7">
        <f>IF(OR(E521="",E520=""),"",E521/E520-1)</f>
        <v/>
      </c>
      <c r="L521" s="7">
        <f>IF(OR(F521="",F520=""),"",F521/F520-1)</f>
        <v/>
      </c>
      <c r="M521" s="7">
        <f>IF(OR(G521="",G520=""),"",G521/G520-1)</f>
        <v/>
      </c>
      <c r="N521" s="7">
        <f>IF(G521="","",E521/G521)</f>
        <v/>
      </c>
      <c r="O521" s="7">
        <f>IF(G521="","",F521/G521)</f>
        <v/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4">
        <f>IF(SUMIFS('Daily NSE Equity Cash'!$H:$H,'Daily NSE Equity Cash'!$A:$A,$A522)=0,"",SUMIFS('Daily NSE Equity Cash'!$H:$H,'Daily NSE Equity Cash'!$A:$A,$A522))</f>
        <v/>
      </c>
      <c r="F522" s="4">
        <f>IF(SUMIFS('Daily BSE Equity Cash'!$H:$H,'Daily BSE Equity Cash'!$A:$A,$A522)=0,"",SUMIFS('Daily BSE Equity Cash'!$H:$H,'Daily BSE Equity Cash'!$A:$A,$A522))</f>
        <v/>
      </c>
      <c r="G522" s="4">
        <f>IF(OR(E522="",F522=""),"",E522+F522)</f>
        <v/>
      </c>
      <c r="H522" s="7">
        <f>IFERROR(IF(OR(E522="",INDEX(E:E,MATCH(DATE(YEAR($A522)-1,MONTH($A522),DAY($A522)),$A:$A,0))=""),"",E522/INDEX(E:E,MATCH(DATE(YEAR($A522)-1,MONTH($A522),DAY($A522)),$A:$A,0))-1),"")</f>
        <v/>
      </c>
      <c r="I522" s="7">
        <f>IFERROR(IF(OR(F522="",INDEX(F:F,MATCH(DATE(YEAR($A522)-1,MONTH($A522),DAY($A522)),$A:$A,0))=""),"",F522/INDEX(F:F,MATCH(DATE(YEAR($A522)-1,MONTH($A522),DAY($A522)),$A:$A,0))-1),"")</f>
        <v/>
      </c>
      <c r="J522" s="7">
        <f>IFERROR(IF(OR(G522="",INDEX(G:G,MATCH(DATE(YEAR($A522)-1,MONTH($A522),DAY($A522)),$A:$A,0))=""),"",G522/INDEX(G:G,MATCH(DATE(YEAR($A522)-1,MONTH($A522),DAY($A522)),$A:$A,0))-1),"")</f>
        <v/>
      </c>
      <c r="K522" s="7">
        <f>IF(OR(E522="",E521=""),"",E522/E521-1)</f>
        <v/>
      </c>
      <c r="L522" s="7">
        <f>IF(OR(F522="",F521=""),"",F522/F521-1)</f>
        <v/>
      </c>
      <c r="M522" s="7">
        <f>IF(OR(G522="",G521=""),"",G522/G521-1)</f>
        <v/>
      </c>
      <c r="N522" s="7">
        <f>IF(G522="","",E522/G522)</f>
        <v/>
      </c>
      <c r="O522" s="7">
        <f>IF(G522="","",F522/G522)</f>
        <v/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4">
        <f>IF(SUMIFS('Daily NSE Equity Cash'!$H:$H,'Daily NSE Equity Cash'!$A:$A,$A523)=0,"",SUMIFS('Daily NSE Equity Cash'!$H:$H,'Daily NSE Equity Cash'!$A:$A,$A523))</f>
        <v/>
      </c>
      <c r="F523" s="4">
        <f>IF(SUMIFS('Daily BSE Equity Cash'!$H:$H,'Daily BSE Equity Cash'!$A:$A,$A523)=0,"",SUMIFS('Daily BSE Equity Cash'!$H:$H,'Daily BSE Equity Cash'!$A:$A,$A523))</f>
        <v/>
      </c>
      <c r="G523" s="4">
        <f>IF(OR(E523="",F523=""),"",E523+F523)</f>
        <v/>
      </c>
      <c r="H523" s="7">
        <f>IFERROR(IF(OR(E523="",INDEX(E:E,MATCH(DATE(YEAR($A523)-1,MONTH($A523),DAY($A523)),$A:$A,0))=""),"",E523/INDEX(E:E,MATCH(DATE(YEAR($A523)-1,MONTH($A523),DAY($A523)),$A:$A,0))-1),"")</f>
        <v/>
      </c>
      <c r="I523" s="7">
        <f>IFERROR(IF(OR(F523="",INDEX(F:F,MATCH(DATE(YEAR($A523)-1,MONTH($A523),DAY($A523)),$A:$A,0))=""),"",F523/INDEX(F:F,MATCH(DATE(YEAR($A523)-1,MONTH($A523),DAY($A523)),$A:$A,0))-1),"")</f>
        <v/>
      </c>
      <c r="J523" s="7">
        <f>IFERROR(IF(OR(G523="",INDEX(G:G,MATCH(DATE(YEAR($A523)-1,MONTH($A523),DAY($A523)),$A:$A,0))=""),"",G523/INDEX(G:G,MATCH(DATE(YEAR($A523)-1,MONTH($A523),DAY($A523)),$A:$A,0))-1),"")</f>
        <v/>
      </c>
      <c r="K523" s="7">
        <f>IF(OR(E523="",E522=""),"",E523/E522-1)</f>
        <v/>
      </c>
      <c r="L523" s="7">
        <f>IF(OR(F523="",F522=""),"",F523/F522-1)</f>
        <v/>
      </c>
      <c r="M523" s="7">
        <f>IF(OR(G523="",G522=""),"",G523/G522-1)</f>
        <v/>
      </c>
      <c r="N523" s="7">
        <f>IF(G523="","",E523/G523)</f>
        <v/>
      </c>
      <c r="O523" s="7">
        <f>IF(G523="","",F523/G523)</f>
        <v/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4">
        <f>IF(SUMIFS('Daily NSE Equity Cash'!$H:$H,'Daily NSE Equity Cash'!$A:$A,$A524)=0,"",SUMIFS('Daily NSE Equity Cash'!$H:$H,'Daily NSE Equity Cash'!$A:$A,$A524))</f>
        <v/>
      </c>
      <c r="F524" s="4">
        <f>IF(SUMIFS('Daily BSE Equity Cash'!$H:$H,'Daily BSE Equity Cash'!$A:$A,$A524)=0,"",SUMIFS('Daily BSE Equity Cash'!$H:$H,'Daily BSE Equity Cash'!$A:$A,$A524))</f>
        <v/>
      </c>
      <c r="G524" s="4">
        <f>IF(OR(E524="",F524=""),"",E524+F524)</f>
        <v/>
      </c>
      <c r="H524" s="7">
        <f>IFERROR(IF(OR(E524="",INDEX(E:E,MATCH(DATE(YEAR($A524)-1,MONTH($A524),DAY($A524)),$A:$A,0))=""),"",E524/INDEX(E:E,MATCH(DATE(YEAR($A524)-1,MONTH($A524),DAY($A524)),$A:$A,0))-1),"")</f>
        <v/>
      </c>
      <c r="I524" s="7">
        <f>IFERROR(IF(OR(F524="",INDEX(F:F,MATCH(DATE(YEAR($A524)-1,MONTH($A524),DAY($A524)),$A:$A,0))=""),"",F524/INDEX(F:F,MATCH(DATE(YEAR($A524)-1,MONTH($A524),DAY($A524)),$A:$A,0))-1),"")</f>
        <v/>
      </c>
      <c r="J524" s="7">
        <f>IFERROR(IF(OR(G524="",INDEX(G:G,MATCH(DATE(YEAR($A524)-1,MONTH($A524),DAY($A524)),$A:$A,0))=""),"",G524/INDEX(G:G,MATCH(DATE(YEAR($A524)-1,MONTH($A524),DAY($A524)),$A:$A,0))-1),"")</f>
        <v/>
      </c>
      <c r="K524" s="7">
        <f>IF(OR(E524="",E523=""),"",E524/E523-1)</f>
        <v/>
      </c>
      <c r="L524" s="7">
        <f>IF(OR(F524="",F523=""),"",F524/F523-1)</f>
        <v/>
      </c>
      <c r="M524" s="7">
        <f>IF(OR(G524="",G523=""),"",G524/G523-1)</f>
        <v/>
      </c>
      <c r="N524" s="7">
        <f>IF(G524="","",E524/G524)</f>
        <v/>
      </c>
      <c r="O524" s="7">
        <f>IF(G524="","",F524/G524)</f>
        <v/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4">
        <f>IF(SUMIFS('Daily NSE Equity Cash'!$H:$H,'Daily NSE Equity Cash'!$A:$A,$A525)=0,"",SUMIFS('Daily NSE Equity Cash'!$H:$H,'Daily NSE Equity Cash'!$A:$A,$A525))</f>
        <v/>
      </c>
      <c r="F525" s="4">
        <f>IF(SUMIFS('Daily BSE Equity Cash'!$H:$H,'Daily BSE Equity Cash'!$A:$A,$A525)=0,"",SUMIFS('Daily BSE Equity Cash'!$H:$H,'Daily BSE Equity Cash'!$A:$A,$A525))</f>
        <v/>
      </c>
      <c r="G525" s="4">
        <f>IF(OR(E525="",F525=""),"",E525+F525)</f>
        <v/>
      </c>
      <c r="H525" s="7">
        <f>IFERROR(IF(OR(E525="",INDEX(E:E,MATCH(DATE(YEAR($A525)-1,MONTH($A525),DAY($A525)),$A:$A,0))=""),"",E525/INDEX(E:E,MATCH(DATE(YEAR($A525)-1,MONTH($A525),DAY($A525)),$A:$A,0))-1),"")</f>
        <v/>
      </c>
      <c r="I525" s="7">
        <f>IFERROR(IF(OR(F525="",INDEX(F:F,MATCH(DATE(YEAR($A525)-1,MONTH($A525),DAY($A525)),$A:$A,0))=""),"",F525/INDEX(F:F,MATCH(DATE(YEAR($A525)-1,MONTH($A525),DAY($A525)),$A:$A,0))-1),"")</f>
        <v/>
      </c>
      <c r="J525" s="7">
        <f>IFERROR(IF(OR(G525="",INDEX(G:G,MATCH(DATE(YEAR($A525)-1,MONTH($A525),DAY($A525)),$A:$A,0))=""),"",G525/INDEX(G:G,MATCH(DATE(YEAR($A525)-1,MONTH($A525),DAY($A525)),$A:$A,0))-1),"")</f>
        <v/>
      </c>
      <c r="K525" s="7">
        <f>IF(OR(E525="",E524=""),"",E525/E524-1)</f>
        <v/>
      </c>
      <c r="L525" s="7">
        <f>IF(OR(F525="",F524=""),"",F525/F524-1)</f>
        <v/>
      </c>
      <c r="M525" s="7">
        <f>IF(OR(G525="",G524=""),"",G525/G524-1)</f>
        <v/>
      </c>
      <c r="N525" s="7">
        <f>IF(G525="","",E525/G525)</f>
        <v/>
      </c>
      <c r="O525" s="7">
        <f>IF(G525="","",F525/G525)</f>
        <v/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4">
        <f>IF(SUMIFS('Daily NSE Equity Cash'!$H:$H,'Daily NSE Equity Cash'!$A:$A,$A526)=0,"",SUMIFS('Daily NSE Equity Cash'!$H:$H,'Daily NSE Equity Cash'!$A:$A,$A526))</f>
        <v/>
      </c>
      <c r="F526" s="4">
        <f>IF(SUMIFS('Daily BSE Equity Cash'!$H:$H,'Daily BSE Equity Cash'!$A:$A,$A526)=0,"",SUMIFS('Daily BSE Equity Cash'!$H:$H,'Daily BSE Equity Cash'!$A:$A,$A526))</f>
        <v/>
      </c>
      <c r="G526" s="4">
        <f>IF(OR(E526="",F526=""),"",E526+F526)</f>
        <v/>
      </c>
      <c r="H526" s="7">
        <f>IFERROR(IF(OR(E526="",INDEX(E:E,MATCH(DATE(YEAR($A526)-1,MONTH($A526),DAY($A526)),$A:$A,0))=""),"",E526/INDEX(E:E,MATCH(DATE(YEAR($A526)-1,MONTH($A526),DAY($A526)),$A:$A,0))-1),"")</f>
        <v/>
      </c>
      <c r="I526" s="7">
        <f>IFERROR(IF(OR(F526="",INDEX(F:F,MATCH(DATE(YEAR($A526)-1,MONTH($A526),DAY($A526)),$A:$A,0))=""),"",F526/INDEX(F:F,MATCH(DATE(YEAR($A526)-1,MONTH($A526),DAY($A526)),$A:$A,0))-1),"")</f>
        <v/>
      </c>
      <c r="J526" s="7">
        <f>IFERROR(IF(OR(G526="",INDEX(G:G,MATCH(DATE(YEAR($A526)-1,MONTH($A526),DAY($A526)),$A:$A,0))=""),"",G526/INDEX(G:G,MATCH(DATE(YEAR($A526)-1,MONTH($A526),DAY($A526)),$A:$A,0))-1),"")</f>
        <v/>
      </c>
      <c r="K526" s="7">
        <f>IF(OR(E526="",E525=""),"",E526/E525-1)</f>
        <v/>
      </c>
      <c r="L526" s="7">
        <f>IF(OR(F526="",F525=""),"",F526/F525-1)</f>
        <v/>
      </c>
      <c r="M526" s="7">
        <f>IF(OR(G526="",G525=""),"",G526/G525-1)</f>
        <v/>
      </c>
      <c r="N526" s="7">
        <f>IF(G526="","",E526/G526)</f>
        <v/>
      </c>
      <c r="O526" s="7">
        <f>IF(G526="","",F526/G526)</f>
        <v/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4">
        <f>IF(SUMIFS('Daily NSE Equity Cash'!$H:$H,'Daily NSE Equity Cash'!$A:$A,$A527)=0,"",SUMIFS('Daily NSE Equity Cash'!$H:$H,'Daily NSE Equity Cash'!$A:$A,$A527))</f>
        <v/>
      </c>
      <c r="F527" s="4">
        <f>IF(SUMIFS('Daily BSE Equity Cash'!$H:$H,'Daily BSE Equity Cash'!$A:$A,$A527)=0,"",SUMIFS('Daily BSE Equity Cash'!$H:$H,'Daily BSE Equity Cash'!$A:$A,$A527))</f>
        <v/>
      </c>
      <c r="G527" s="4">
        <f>IF(OR(E527="",F527=""),"",E527+F527)</f>
        <v/>
      </c>
      <c r="H527" s="7">
        <f>IFERROR(IF(OR(E527="",INDEX(E:E,MATCH(DATE(YEAR($A527)-1,MONTH($A527),DAY($A527)),$A:$A,0))=""),"",E527/INDEX(E:E,MATCH(DATE(YEAR($A527)-1,MONTH($A527),DAY($A527)),$A:$A,0))-1),"")</f>
        <v/>
      </c>
      <c r="I527" s="7">
        <f>IFERROR(IF(OR(F527="",INDEX(F:F,MATCH(DATE(YEAR($A527)-1,MONTH($A527),DAY($A527)),$A:$A,0))=""),"",F527/INDEX(F:F,MATCH(DATE(YEAR($A527)-1,MONTH($A527),DAY($A527)),$A:$A,0))-1),"")</f>
        <v/>
      </c>
      <c r="J527" s="7">
        <f>IFERROR(IF(OR(G527="",INDEX(G:G,MATCH(DATE(YEAR($A527)-1,MONTH($A527),DAY($A527)),$A:$A,0))=""),"",G527/INDEX(G:G,MATCH(DATE(YEAR($A527)-1,MONTH($A527),DAY($A527)),$A:$A,0))-1),"")</f>
        <v/>
      </c>
      <c r="K527" s="7">
        <f>IF(OR(E527="",E526=""),"",E527/E526-1)</f>
        <v/>
      </c>
      <c r="L527" s="7">
        <f>IF(OR(F527="",F526=""),"",F527/F526-1)</f>
        <v/>
      </c>
      <c r="M527" s="7">
        <f>IF(OR(G527="",G526=""),"",G527/G526-1)</f>
        <v/>
      </c>
      <c r="N527" s="7">
        <f>IF(G527="","",E527/G527)</f>
        <v/>
      </c>
      <c r="O527" s="7">
        <f>IF(G527="","",F527/G527)</f>
        <v/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4">
        <f>IF(SUMIFS('Daily NSE Equity Cash'!$H:$H,'Daily NSE Equity Cash'!$A:$A,$A528)=0,"",SUMIFS('Daily NSE Equity Cash'!$H:$H,'Daily NSE Equity Cash'!$A:$A,$A528))</f>
        <v/>
      </c>
      <c r="F528" s="4">
        <f>IF(SUMIFS('Daily BSE Equity Cash'!$H:$H,'Daily BSE Equity Cash'!$A:$A,$A528)=0,"",SUMIFS('Daily BSE Equity Cash'!$H:$H,'Daily BSE Equity Cash'!$A:$A,$A528))</f>
        <v/>
      </c>
      <c r="G528" s="4">
        <f>IF(OR(E528="",F528=""),"",E528+F528)</f>
        <v/>
      </c>
      <c r="H528" s="7">
        <f>IFERROR(IF(OR(E528="",INDEX(E:E,MATCH(DATE(YEAR($A528)-1,MONTH($A528),DAY($A528)),$A:$A,0))=""),"",E528/INDEX(E:E,MATCH(DATE(YEAR($A528)-1,MONTH($A528),DAY($A528)),$A:$A,0))-1),"")</f>
        <v/>
      </c>
      <c r="I528" s="7">
        <f>IFERROR(IF(OR(F528="",INDEX(F:F,MATCH(DATE(YEAR($A528)-1,MONTH($A528),DAY($A528)),$A:$A,0))=""),"",F528/INDEX(F:F,MATCH(DATE(YEAR($A528)-1,MONTH($A528),DAY($A528)),$A:$A,0))-1),"")</f>
        <v/>
      </c>
      <c r="J528" s="7">
        <f>IFERROR(IF(OR(G528="",INDEX(G:G,MATCH(DATE(YEAR($A528)-1,MONTH($A528),DAY($A528)),$A:$A,0))=""),"",G528/INDEX(G:G,MATCH(DATE(YEAR($A528)-1,MONTH($A528),DAY($A528)),$A:$A,0))-1),"")</f>
        <v/>
      </c>
      <c r="K528" s="7">
        <f>IF(OR(E528="",E527=""),"",E528/E527-1)</f>
        <v/>
      </c>
      <c r="L528" s="7">
        <f>IF(OR(F528="",F527=""),"",F528/F527-1)</f>
        <v/>
      </c>
      <c r="M528" s="7">
        <f>IF(OR(G528="",G527=""),"",G528/G527-1)</f>
        <v/>
      </c>
      <c r="N528" s="7">
        <f>IF(G528="","",E528/G528)</f>
        <v/>
      </c>
      <c r="O528" s="7">
        <f>IF(G528="","",F528/G528)</f>
        <v/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4">
        <f>IF(SUMIFS('Daily NSE Equity Cash'!$H:$H,'Daily NSE Equity Cash'!$A:$A,$A529)=0,"",SUMIFS('Daily NSE Equity Cash'!$H:$H,'Daily NSE Equity Cash'!$A:$A,$A529))</f>
        <v/>
      </c>
      <c r="F529" s="4">
        <f>IF(SUMIFS('Daily BSE Equity Cash'!$H:$H,'Daily BSE Equity Cash'!$A:$A,$A529)=0,"",SUMIFS('Daily BSE Equity Cash'!$H:$H,'Daily BSE Equity Cash'!$A:$A,$A529))</f>
        <v/>
      </c>
      <c r="G529" s="4">
        <f>IF(OR(E529="",F529=""),"",E529+F529)</f>
        <v/>
      </c>
      <c r="H529" s="7">
        <f>IFERROR(IF(OR(E529="",INDEX(E:E,MATCH(DATE(YEAR($A529)-1,MONTH($A529),DAY($A529)),$A:$A,0))=""),"",E529/INDEX(E:E,MATCH(DATE(YEAR($A529)-1,MONTH($A529),DAY($A529)),$A:$A,0))-1),"")</f>
        <v/>
      </c>
      <c r="I529" s="7">
        <f>IFERROR(IF(OR(F529="",INDEX(F:F,MATCH(DATE(YEAR($A529)-1,MONTH($A529),DAY($A529)),$A:$A,0))=""),"",F529/INDEX(F:F,MATCH(DATE(YEAR($A529)-1,MONTH($A529),DAY($A529)),$A:$A,0))-1),"")</f>
        <v/>
      </c>
      <c r="J529" s="7">
        <f>IFERROR(IF(OR(G529="",INDEX(G:G,MATCH(DATE(YEAR($A529)-1,MONTH($A529),DAY($A529)),$A:$A,0))=""),"",G529/INDEX(G:G,MATCH(DATE(YEAR($A529)-1,MONTH($A529),DAY($A529)),$A:$A,0))-1),"")</f>
        <v/>
      </c>
      <c r="K529" s="7">
        <f>IF(OR(E529="",E528=""),"",E529/E528-1)</f>
        <v/>
      </c>
      <c r="L529" s="7">
        <f>IF(OR(F529="",F528=""),"",F529/F528-1)</f>
        <v/>
      </c>
      <c r="M529" s="7">
        <f>IF(OR(G529="",G528=""),"",G529/G528-1)</f>
        <v/>
      </c>
      <c r="N529" s="7">
        <f>IF(G529="","",E529/G529)</f>
        <v/>
      </c>
      <c r="O529" s="7">
        <f>IF(G529="","",F529/G529)</f>
        <v/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4">
        <f>IF(SUMIFS('Daily NSE Equity Cash'!$H:$H,'Daily NSE Equity Cash'!$A:$A,$A530)=0,"",SUMIFS('Daily NSE Equity Cash'!$H:$H,'Daily NSE Equity Cash'!$A:$A,$A530))</f>
        <v/>
      </c>
      <c r="F530" s="4">
        <f>IF(SUMIFS('Daily BSE Equity Cash'!$H:$H,'Daily BSE Equity Cash'!$A:$A,$A530)=0,"",SUMIFS('Daily BSE Equity Cash'!$H:$H,'Daily BSE Equity Cash'!$A:$A,$A530))</f>
        <v/>
      </c>
      <c r="G530" s="4">
        <f>IF(OR(E530="",F530=""),"",E530+F530)</f>
        <v/>
      </c>
      <c r="H530" s="7">
        <f>IFERROR(IF(OR(E530="",INDEX(E:E,MATCH(DATE(YEAR($A530)-1,MONTH($A530),DAY($A530)),$A:$A,0))=""),"",E530/INDEX(E:E,MATCH(DATE(YEAR($A530)-1,MONTH($A530),DAY($A530)),$A:$A,0))-1),"")</f>
        <v/>
      </c>
      <c r="I530" s="7">
        <f>IFERROR(IF(OR(F530="",INDEX(F:F,MATCH(DATE(YEAR($A530)-1,MONTH($A530),DAY($A530)),$A:$A,0))=""),"",F530/INDEX(F:F,MATCH(DATE(YEAR($A530)-1,MONTH($A530),DAY($A530)),$A:$A,0))-1),"")</f>
        <v/>
      </c>
      <c r="J530" s="7">
        <f>IFERROR(IF(OR(G530="",INDEX(G:G,MATCH(DATE(YEAR($A530)-1,MONTH($A530),DAY($A530)),$A:$A,0))=""),"",G530/INDEX(G:G,MATCH(DATE(YEAR($A530)-1,MONTH($A530),DAY($A530)),$A:$A,0))-1),"")</f>
        <v/>
      </c>
      <c r="K530" s="7">
        <f>IF(OR(E530="",E529=""),"",E530/E529-1)</f>
        <v/>
      </c>
      <c r="L530" s="7">
        <f>IF(OR(F530="",F529=""),"",F530/F529-1)</f>
        <v/>
      </c>
      <c r="M530" s="7">
        <f>IF(OR(G530="",G529=""),"",G530/G529-1)</f>
        <v/>
      </c>
      <c r="N530" s="7">
        <f>IF(G530="","",E530/G530)</f>
        <v/>
      </c>
      <c r="O530" s="7">
        <f>IF(G530="","",F530/G530)</f>
        <v/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4">
        <f>IF(SUMIFS('Daily NSE Equity Cash'!$H:$H,'Daily NSE Equity Cash'!$A:$A,$A531)=0,"",SUMIFS('Daily NSE Equity Cash'!$H:$H,'Daily NSE Equity Cash'!$A:$A,$A531))</f>
        <v/>
      </c>
      <c r="F531" s="4">
        <f>IF(SUMIFS('Daily BSE Equity Cash'!$H:$H,'Daily BSE Equity Cash'!$A:$A,$A531)=0,"",SUMIFS('Daily BSE Equity Cash'!$H:$H,'Daily BSE Equity Cash'!$A:$A,$A531))</f>
        <v/>
      </c>
      <c r="G531" s="4">
        <f>IF(OR(E531="",F531=""),"",E531+F531)</f>
        <v/>
      </c>
      <c r="H531" s="7">
        <f>IFERROR(IF(OR(E531="",INDEX(E:E,MATCH(DATE(YEAR($A531)-1,MONTH($A531),DAY($A531)),$A:$A,0))=""),"",E531/INDEX(E:E,MATCH(DATE(YEAR($A531)-1,MONTH($A531),DAY($A531)),$A:$A,0))-1),"")</f>
        <v/>
      </c>
      <c r="I531" s="7">
        <f>IFERROR(IF(OR(F531="",INDEX(F:F,MATCH(DATE(YEAR($A531)-1,MONTH($A531),DAY($A531)),$A:$A,0))=""),"",F531/INDEX(F:F,MATCH(DATE(YEAR($A531)-1,MONTH($A531),DAY($A531)),$A:$A,0))-1),"")</f>
        <v/>
      </c>
      <c r="J531" s="7">
        <f>IFERROR(IF(OR(G531="",INDEX(G:G,MATCH(DATE(YEAR($A531)-1,MONTH($A531),DAY($A531)),$A:$A,0))=""),"",G531/INDEX(G:G,MATCH(DATE(YEAR($A531)-1,MONTH($A531),DAY($A531)),$A:$A,0))-1),"")</f>
        <v/>
      </c>
      <c r="K531" s="7">
        <f>IF(OR(E531="",E530=""),"",E531/E530-1)</f>
        <v/>
      </c>
      <c r="L531" s="7">
        <f>IF(OR(F531="",F530=""),"",F531/F530-1)</f>
        <v/>
      </c>
      <c r="M531" s="7">
        <f>IF(OR(G531="",G530=""),"",G531/G530-1)</f>
        <v/>
      </c>
      <c r="N531" s="7">
        <f>IF(G531="","",E531/G531)</f>
        <v/>
      </c>
      <c r="O531" s="7">
        <f>IF(G531="","",F531/G531)</f>
        <v/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4">
        <f>IF(SUMIFS('Daily NSE Equity Cash'!$H:$H,'Daily NSE Equity Cash'!$A:$A,$A532)=0,"",SUMIFS('Daily NSE Equity Cash'!$H:$H,'Daily NSE Equity Cash'!$A:$A,$A532))</f>
        <v/>
      </c>
      <c r="F532" s="4">
        <f>IF(SUMIFS('Daily BSE Equity Cash'!$H:$H,'Daily BSE Equity Cash'!$A:$A,$A532)=0,"",SUMIFS('Daily BSE Equity Cash'!$H:$H,'Daily BSE Equity Cash'!$A:$A,$A532))</f>
        <v/>
      </c>
      <c r="G532" s="4">
        <f>IF(OR(E532="",F532=""),"",E532+F532)</f>
        <v/>
      </c>
      <c r="H532" s="7">
        <f>IFERROR(IF(OR(E532="",INDEX(E:E,MATCH(DATE(YEAR($A532)-1,MONTH($A532),DAY($A532)),$A:$A,0))=""),"",E532/INDEX(E:E,MATCH(DATE(YEAR($A532)-1,MONTH($A532),DAY($A532)),$A:$A,0))-1),"")</f>
        <v/>
      </c>
      <c r="I532" s="7">
        <f>IFERROR(IF(OR(F532="",INDEX(F:F,MATCH(DATE(YEAR($A532)-1,MONTH($A532),DAY($A532)),$A:$A,0))=""),"",F532/INDEX(F:F,MATCH(DATE(YEAR($A532)-1,MONTH($A532),DAY($A532)),$A:$A,0))-1),"")</f>
        <v/>
      </c>
      <c r="J532" s="7">
        <f>IFERROR(IF(OR(G532="",INDEX(G:G,MATCH(DATE(YEAR($A532)-1,MONTH($A532),DAY($A532)),$A:$A,0))=""),"",G532/INDEX(G:G,MATCH(DATE(YEAR($A532)-1,MONTH($A532),DAY($A532)),$A:$A,0))-1),"")</f>
        <v/>
      </c>
      <c r="K532" s="7">
        <f>IF(OR(E532="",E531=""),"",E532/E531-1)</f>
        <v/>
      </c>
      <c r="L532" s="7">
        <f>IF(OR(F532="",F531=""),"",F532/F531-1)</f>
        <v/>
      </c>
      <c r="M532" s="7">
        <f>IF(OR(G532="",G531=""),"",G532/G531-1)</f>
        <v/>
      </c>
      <c r="N532" s="7">
        <f>IF(G532="","",E532/G532)</f>
        <v/>
      </c>
      <c r="O532" s="7">
        <f>IF(G532="","",F532/G532)</f>
        <v/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4">
        <f>IF(SUMIFS('Daily NSE Equity Cash'!$H:$H,'Daily NSE Equity Cash'!$A:$A,$A533)=0,"",SUMIFS('Daily NSE Equity Cash'!$H:$H,'Daily NSE Equity Cash'!$A:$A,$A533))</f>
        <v/>
      </c>
      <c r="F533" s="4">
        <f>IF(SUMIFS('Daily BSE Equity Cash'!$H:$H,'Daily BSE Equity Cash'!$A:$A,$A533)=0,"",SUMIFS('Daily BSE Equity Cash'!$H:$H,'Daily BSE Equity Cash'!$A:$A,$A533))</f>
        <v/>
      </c>
      <c r="G533" s="4">
        <f>IF(OR(E533="",F533=""),"",E533+F533)</f>
        <v/>
      </c>
      <c r="H533" s="7">
        <f>IFERROR(IF(OR(E533="",INDEX(E:E,MATCH(DATE(YEAR($A533)-1,MONTH($A533),DAY($A533)),$A:$A,0))=""),"",E533/INDEX(E:E,MATCH(DATE(YEAR($A533)-1,MONTH($A533),DAY($A533)),$A:$A,0))-1),"")</f>
        <v/>
      </c>
      <c r="I533" s="7">
        <f>IFERROR(IF(OR(F533="",INDEX(F:F,MATCH(DATE(YEAR($A533)-1,MONTH($A533),DAY($A533)),$A:$A,0))=""),"",F533/INDEX(F:F,MATCH(DATE(YEAR($A533)-1,MONTH($A533),DAY($A533)),$A:$A,0))-1),"")</f>
        <v/>
      </c>
      <c r="J533" s="7">
        <f>IFERROR(IF(OR(G533="",INDEX(G:G,MATCH(DATE(YEAR($A533)-1,MONTH($A533),DAY($A533)),$A:$A,0))=""),"",G533/INDEX(G:G,MATCH(DATE(YEAR($A533)-1,MONTH($A533),DAY($A533)),$A:$A,0))-1),"")</f>
        <v/>
      </c>
      <c r="K533" s="7">
        <f>IF(OR(E533="",E532=""),"",E533/E532-1)</f>
        <v/>
      </c>
      <c r="L533" s="7">
        <f>IF(OR(F533="",F532=""),"",F533/F532-1)</f>
        <v/>
      </c>
      <c r="M533" s="7">
        <f>IF(OR(G533="",G532=""),"",G533/G532-1)</f>
        <v/>
      </c>
      <c r="N533" s="7">
        <f>IF(G533="","",E533/G533)</f>
        <v/>
      </c>
      <c r="O533" s="7">
        <f>IF(G533="","",F533/G533)</f>
        <v/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4">
        <f>IF(SUMIFS('Daily NSE Equity Cash'!$H:$H,'Daily NSE Equity Cash'!$A:$A,$A534)=0,"",SUMIFS('Daily NSE Equity Cash'!$H:$H,'Daily NSE Equity Cash'!$A:$A,$A534))</f>
        <v/>
      </c>
      <c r="F534" s="4">
        <f>IF(SUMIFS('Daily BSE Equity Cash'!$H:$H,'Daily BSE Equity Cash'!$A:$A,$A534)=0,"",SUMIFS('Daily BSE Equity Cash'!$H:$H,'Daily BSE Equity Cash'!$A:$A,$A534))</f>
        <v/>
      </c>
      <c r="G534" s="4">
        <f>IF(OR(E534="",F534=""),"",E534+F534)</f>
        <v/>
      </c>
      <c r="H534" s="7">
        <f>IFERROR(IF(OR(E534="",INDEX(E:E,MATCH(DATE(YEAR($A534)-1,MONTH($A534),DAY($A534)),$A:$A,0))=""),"",E534/INDEX(E:E,MATCH(DATE(YEAR($A534)-1,MONTH($A534),DAY($A534)),$A:$A,0))-1),"")</f>
        <v/>
      </c>
      <c r="I534" s="7">
        <f>IFERROR(IF(OR(F534="",INDEX(F:F,MATCH(DATE(YEAR($A534)-1,MONTH($A534),DAY($A534)),$A:$A,0))=""),"",F534/INDEX(F:F,MATCH(DATE(YEAR($A534)-1,MONTH($A534),DAY($A534)),$A:$A,0))-1),"")</f>
        <v/>
      </c>
      <c r="J534" s="7">
        <f>IFERROR(IF(OR(G534="",INDEX(G:G,MATCH(DATE(YEAR($A534)-1,MONTH($A534),DAY($A534)),$A:$A,0))=""),"",G534/INDEX(G:G,MATCH(DATE(YEAR($A534)-1,MONTH($A534),DAY($A534)),$A:$A,0))-1),"")</f>
        <v/>
      </c>
      <c r="K534" s="7">
        <f>IF(OR(E534="",E533=""),"",E534/E533-1)</f>
        <v/>
      </c>
      <c r="L534" s="7">
        <f>IF(OR(F534="",F533=""),"",F534/F533-1)</f>
        <v/>
      </c>
      <c r="M534" s="7">
        <f>IF(OR(G534="",G533=""),"",G534/G533-1)</f>
        <v/>
      </c>
      <c r="N534" s="7">
        <f>IF(G534="","",E534/G534)</f>
        <v/>
      </c>
      <c r="O534" s="7">
        <f>IF(G534="","",F534/G534)</f>
        <v/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4">
        <f>IF(SUMIFS('Daily NSE Equity Cash'!$H:$H,'Daily NSE Equity Cash'!$A:$A,$A535)=0,"",SUMIFS('Daily NSE Equity Cash'!$H:$H,'Daily NSE Equity Cash'!$A:$A,$A535))</f>
        <v/>
      </c>
      <c r="F535" s="4">
        <f>IF(SUMIFS('Daily BSE Equity Cash'!$H:$H,'Daily BSE Equity Cash'!$A:$A,$A535)=0,"",SUMIFS('Daily BSE Equity Cash'!$H:$H,'Daily BSE Equity Cash'!$A:$A,$A535))</f>
        <v/>
      </c>
      <c r="G535" s="4">
        <f>IF(OR(E535="",F535=""),"",E535+F535)</f>
        <v/>
      </c>
      <c r="H535" s="7">
        <f>IFERROR(IF(OR(E535="",INDEX(E:E,MATCH(DATE(YEAR($A535)-1,MONTH($A535),DAY($A535)),$A:$A,0))=""),"",E535/INDEX(E:E,MATCH(DATE(YEAR($A535)-1,MONTH($A535),DAY($A535)),$A:$A,0))-1),"")</f>
        <v/>
      </c>
      <c r="I535" s="7">
        <f>IFERROR(IF(OR(F535="",INDEX(F:F,MATCH(DATE(YEAR($A535)-1,MONTH($A535),DAY($A535)),$A:$A,0))=""),"",F535/INDEX(F:F,MATCH(DATE(YEAR($A535)-1,MONTH($A535),DAY($A535)),$A:$A,0))-1),"")</f>
        <v/>
      </c>
      <c r="J535" s="7">
        <f>IFERROR(IF(OR(G535="",INDEX(G:G,MATCH(DATE(YEAR($A535)-1,MONTH($A535),DAY($A535)),$A:$A,0))=""),"",G535/INDEX(G:G,MATCH(DATE(YEAR($A535)-1,MONTH($A535),DAY($A535)),$A:$A,0))-1),"")</f>
        <v/>
      </c>
      <c r="K535" s="7">
        <f>IF(OR(E535="",E534=""),"",E535/E534-1)</f>
        <v/>
      </c>
      <c r="L535" s="7">
        <f>IF(OR(F535="",F534=""),"",F535/F534-1)</f>
        <v/>
      </c>
      <c r="M535" s="7">
        <f>IF(OR(G535="",G534=""),"",G535/G534-1)</f>
        <v/>
      </c>
      <c r="N535" s="7">
        <f>IF(G535="","",E535/G535)</f>
        <v/>
      </c>
      <c r="O535" s="7">
        <f>IF(G535="","",F535/G535)</f>
        <v/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4">
        <f>IF(SUMIFS('Daily NSE Equity Cash'!$H:$H,'Daily NSE Equity Cash'!$A:$A,$A536)=0,"",SUMIFS('Daily NSE Equity Cash'!$H:$H,'Daily NSE Equity Cash'!$A:$A,$A536))</f>
        <v/>
      </c>
      <c r="F536" s="4">
        <f>IF(SUMIFS('Daily BSE Equity Cash'!$H:$H,'Daily BSE Equity Cash'!$A:$A,$A536)=0,"",SUMIFS('Daily BSE Equity Cash'!$H:$H,'Daily BSE Equity Cash'!$A:$A,$A536))</f>
        <v/>
      </c>
      <c r="G536" s="4">
        <f>IF(OR(E536="",F536=""),"",E536+F536)</f>
        <v/>
      </c>
      <c r="H536" s="7">
        <f>IFERROR(IF(OR(E536="",INDEX(E:E,MATCH(DATE(YEAR($A536)-1,MONTH($A536),DAY($A536)),$A:$A,0))=""),"",E536/INDEX(E:E,MATCH(DATE(YEAR($A536)-1,MONTH($A536),DAY($A536)),$A:$A,0))-1),"")</f>
        <v/>
      </c>
      <c r="I536" s="7">
        <f>IFERROR(IF(OR(F536="",INDEX(F:F,MATCH(DATE(YEAR($A536)-1,MONTH($A536),DAY($A536)),$A:$A,0))=""),"",F536/INDEX(F:F,MATCH(DATE(YEAR($A536)-1,MONTH($A536),DAY($A536)),$A:$A,0))-1),"")</f>
        <v/>
      </c>
      <c r="J536" s="7">
        <f>IFERROR(IF(OR(G536="",INDEX(G:G,MATCH(DATE(YEAR($A536)-1,MONTH($A536),DAY($A536)),$A:$A,0))=""),"",G536/INDEX(G:G,MATCH(DATE(YEAR($A536)-1,MONTH($A536),DAY($A536)),$A:$A,0))-1),"")</f>
        <v/>
      </c>
      <c r="K536" s="7">
        <f>IF(OR(E536="",E535=""),"",E536/E535-1)</f>
        <v/>
      </c>
      <c r="L536" s="7">
        <f>IF(OR(F536="",F535=""),"",F536/F535-1)</f>
        <v/>
      </c>
      <c r="M536" s="7">
        <f>IF(OR(G536="",G535=""),"",G536/G535-1)</f>
        <v/>
      </c>
      <c r="N536" s="7">
        <f>IF(G536="","",E536/G536)</f>
        <v/>
      </c>
      <c r="O536" s="7">
        <f>IF(G536="","",F536/G536)</f>
        <v/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4">
        <f>IF(SUMIFS('Daily NSE Equity Cash'!$H:$H,'Daily NSE Equity Cash'!$A:$A,$A537)=0,"",SUMIFS('Daily NSE Equity Cash'!$H:$H,'Daily NSE Equity Cash'!$A:$A,$A537))</f>
        <v/>
      </c>
      <c r="F537" s="4">
        <f>IF(SUMIFS('Daily BSE Equity Cash'!$H:$H,'Daily BSE Equity Cash'!$A:$A,$A537)=0,"",SUMIFS('Daily BSE Equity Cash'!$H:$H,'Daily BSE Equity Cash'!$A:$A,$A537))</f>
        <v/>
      </c>
      <c r="G537" s="4">
        <f>IF(OR(E537="",F537=""),"",E537+F537)</f>
        <v/>
      </c>
      <c r="H537" s="7">
        <f>IFERROR(IF(OR(E537="",INDEX(E:E,MATCH(DATE(YEAR($A537)-1,MONTH($A537),DAY($A537)),$A:$A,0))=""),"",E537/INDEX(E:E,MATCH(DATE(YEAR($A537)-1,MONTH($A537),DAY($A537)),$A:$A,0))-1),"")</f>
        <v/>
      </c>
      <c r="I537" s="7">
        <f>IFERROR(IF(OR(F537="",INDEX(F:F,MATCH(DATE(YEAR($A537)-1,MONTH($A537),DAY($A537)),$A:$A,0))=""),"",F537/INDEX(F:F,MATCH(DATE(YEAR($A537)-1,MONTH($A537),DAY($A537)),$A:$A,0))-1),"")</f>
        <v/>
      </c>
      <c r="J537" s="7">
        <f>IFERROR(IF(OR(G537="",INDEX(G:G,MATCH(DATE(YEAR($A537)-1,MONTH($A537),DAY($A537)),$A:$A,0))=""),"",G537/INDEX(G:G,MATCH(DATE(YEAR($A537)-1,MONTH($A537),DAY($A537)),$A:$A,0))-1),"")</f>
        <v/>
      </c>
      <c r="K537" s="7">
        <f>IF(OR(E537="",E536=""),"",E537/E536-1)</f>
        <v/>
      </c>
      <c r="L537" s="7">
        <f>IF(OR(F537="",F536=""),"",F537/F536-1)</f>
        <v/>
      </c>
      <c r="M537" s="7">
        <f>IF(OR(G537="",G536=""),"",G537/G536-1)</f>
        <v/>
      </c>
      <c r="N537" s="7">
        <f>IF(G537="","",E537/G537)</f>
        <v/>
      </c>
      <c r="O537" s="7">
        <f>IF(G537="","",F537/G537)</f>
        <v/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4">
        <f>IF(SUMIFS('Daily NSE Equity Cash'!$H:$H,'Daily NSE Equity Cash'!$A:$A,$A538)=0,"",SUMIFS('Daily NSE Equity Cash'!$H:$H,'Daily NSE Equity Cash'!$A:$A,$A538))</f>
        <v/>
      </c>
      <c r="F538" s="4">
        <f>IF(SUMIFS('Daily BSE Equity Cash'!$H:$H,'Daily BSE Equity Cash'!$A:$A,$A538)=0,"",SUMIFS('Daily BSE Equity Cash'!$H:$H,'Daily BSE Equity Cash'!$A:$A,$A538))</f>
        <v/>
      </c>
      <c r="G538" s="4">
        <f>IF(OR(E538="",F538=""),"",E538+F538)</f>
        <v/>
      </c>
      <c r="H538" s="7">
        <f>IFERROR(IF(OR(E538="",INDEX(E:E,MATCH(DATE(YEAR($A538)-1,MONTH($A538),DAY($A538)),$A:$A,0))=""),"",E538/INDEX(E:E,MATCH(DATE(YEAR($A538)-1,MONTH($A538),DAY($A538)),$A:$A,0))-1),"")</f>
        <v/>
      </c>
      <c r="I538" s="7">
        <f>IFERROR(IF(OR(F538="",INDEX(F:F,MATCH(DATE(YEAR($A538)-1,MONTH($A538),DAY($A538)),$A:$A,0))=""),"",F538/INDEX(F:F,MATCH(DATE(YEAR($A538)-1,MONTH($A538),DAY($A538)),$A:$A,0))-1),"")</f>
        <v/>
      </c>
      <c r="J538" s="7">
        <f>IFERROR(IF(OR(G538="",INDEX(G:G,MATCH(DATE(YEAR($A538)-1,MONTH($A538),DAY($A538)),$A:$A,0))=""),"",G538/INDEX(G:G,MATCH(DATE(YEAR($A538)-1,MONTH($A538),DAY($A538)),$A:$A,0))-1),"")</f>
        <v/>
      </c>
      <c r="K538" s="7">
        <f>IF(OR(E538="",E537=""),"",E538/E537-1)</f>
        <v/>
      </c>
      <c r="L538" s="7">
        <f>IF(OR(F538="",F537=""),"",F538/F537-1)</f>
        <v/>
      </c>
      <c r="M538" s="7">
        <f>IF(OR(G538="",G537=""),"",G538/G537-1)</f>
        <v/>
      </c>
      <c r="N538" s="7">
        <f>IF(G538="","",E538/G538)</f>
        <v/>
      </c>
      <c r="O538" s="7">
        <f>IF(G538="","",F538/G538)</f>
        <v/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4">
        <f>IF(SUMIFS('Daily NSE Equity Cash'!$H:$H,'Daily NSE Equity Cash'!$A:$A,$A539)=0,"",SUMIFS('Daily NSE Equity Cash'!$H:$H,'Daily NSE Equity Cash'!$A:$A,$A539))</f>
        <v/>
      </c>
      <c r="F539" s="4">
        <f>IF(SUMIFS('Daily BSE Equity Cash'!$H:$H,'Daily BSE Equity Cash'!$A:$A,$A539)=0,"",SUMIFS('Daily BSE Equity Cash'!$H:$H,'Daily BSE Equity Cash'!$A:$A,$A539))</f>
        <v/>
      </c>
      <c r="G539" s="4">
        <f>IF(OR(E539="",F539=""),"",E539+F539)</f>
        <v/>
      </c>
      <c r="H539" s="7">
        <f>IFERROR(IF(OR(E539="",INDEX(E:E,MATCH(DATE(YEAR($A539)-1,MONTH($A539),DAY($A539)),$A:$A,0))=""),"",E539/INDEX(E:E,MATCH(DATE(YEAR($A539)-1,MONTH($A539),DAY($A539)),$A:$A,0))-1),"")</f>
        <v/>
      </c>
      <c r="I539" s="7">
        <f>IFERROR(IF(OR(F539="",INDEX(F:F,MATCH(DATE(YEAR($A539)-1,MONTH($A539),DAY($A539)),$A:$A,0))=""),"",F539/INDEX(F:F,MATCH(DATE(YEAR($A539)-1,MONTH($A539),DAY($A539)),$A:$A,0))-1),"")</f>
        <v/>
      </c>
      <c r="J539" s="7">
        <f>IFERROR(IF(OR(G539="",INDEX(G:G,MATCH(DATE(YEAR($A539)-1,MONTH($A539),DAY($A539)),$A:$A,0))=""),"",G539/INDEX(G:G,MATCH(DATE(YEAR($A539)-1,MONTH($A539),DAY($A539)),$A:$A,0))-1),"")</f>
        <v/>
      </c>
      <c r="K539" s="7">
        <f>IF(OR(E539="",E538=""),"",E539/E538-1)</f>
        <v/>
      </c>
      <c r="L539" s="7">
        <f>IF(OR(F539="",F538=""),"",F539/F538-1)</f>
        <v/>
      </c>
      <c r="M539" s="7">
        <f>IF(OR(G539="",G538=""),"",G539/G538-1)</f>
        <v/>
      </c>
      <c r="N539" s="7">
        <f>IF(G539="","",E539/G539)</f>
        <v/>
      </c>
      <c r="O539" s="7">
        <f>IF(G539="","",F539/G539)</f>
        <v/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4">
        <f>IF(SUMIFS('Daily NSE Equity Cash'!$H:$H,'Daily NSE Equity Cash'!$A:$A,$A540)=0,"",SUMIFS('Daily NSE Equity Cash'!$H:$H,'Daily NSE Equity Cash'!$A:$A,$A540))</f>
        <v/>
      </c>
      <c r="F540" s="4">
        <f>IF(SUMIFS('Daily BSE Equity Cash'!$H:$H,'Daily BSE Equity Cash'!$A:$A,$A540)=0,"",SUMIFS('Daily BSE Equity Cash'!$H:$H,'Daily BSE Equity Cash'!$A:$A,$A540))</f>
        <v/>
      </c>
      <c r="G540" s="4">
        <f>IF(OR(E540="",F540=""),"",E540+F540)</f>
        <v/>
      </c>
      <c r="H540" s="7">
        <f>IFERROR(IF(OR(E540="",INDEX(E:E,MATCH(DATE(YEAR($A540)-1,MONTH($A540),DAY($A540)),$A:$A,0))=""),"",E540/INDEX(E:E,MATCH(DATE(YEAR($A540)-1,MONTH($A540),DAY($A540)),$A:$A,0))-1),"")</f>
        <v/>
      </c>
      <c r="I540" s="7">
        <f>IFERROR(IF(OR(F540="",INDEX(F:F,MATCH(DATE(YEAR($A540)-1,MONTH($A540),DAY($A540)),$A:$A,0))=""),"",F540/INDEX(F:F,MATCH(DATE(YEAR($A540)-1,MONTH($A540),DAY($A540)),$A:$A,0))-1),"")</f>
        <v/>
      </c>
      <c r="J540" s="7">
        <f>IFERROR(IF(OR(G540="",INDEX(G:G,MATCH(DATE(YEAR($A540)-1,MONTH($A540),DAY($A540)),$A:$A,0))=""),"",G540/INDEX(G:G,MATCH(DATE(YEAR($A540)-1,MONTH($A540),DAY($A540)),$A:$A,0))-1),"")</f>
        <v/>
      </c>
      <c r="K540" s="7">
        <f>IF(OR(E540="",E539=""),"",E540/E539-1)</f>
        <v/>
      </c>
      <c r="L540" s="7">
        <f>IF(OR(F540="",F539=""),"",F540/F539-1)</f>
        <v/>
      </c>
      <c r="M540" s="7">
        <f>IF(OR(G540="",G539=""),"",G540/G539-1)</f>
        <v/>
      </c>
      <c r="N540" s="7">
        <f>IF(G540="","",E540/G540)</f>
        <v/>
      </c>
      <c r="O540" s="7">
        <f>IF(G540="","",F540/G540)</f>
        <v/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4">
        <f>IF(SUMIFS('Daily NSE Equity Cash'!$H:$H,'Daily NSE Equity Cash'!$A:$A,$A541)=0,"",SUMIFS('Daily NSE Equity Cash'!$H:$H,'Daily NSE Equity Cash'!$A:$A,$A541))</f>
        <v/>
      </c>
      <c r="F541" s="4">
        <f>IF(SUMIFS('Daily BSE Equity Cash'!$H:$H,'Daily BSE Equity Cash'!$A:$A,$A541)=0,"",SUMIFS('Daily BSE Equity Cash'!$H:$H,'Daily BSE Equity Cash'!$A:$A,$A541))</f>
        <v/>
      </c>
      <c r="G541" s="4">
        <f>IF(OR(E541="",F541=""),"",E541+F541)</f>
        <v/>
      </c>
      <c r="H541" s="7">
        <f>IFERROR(IF(OR(E541="",INDEX(E:E,MATCH(DATE(YEAR($A541)-1,MONTH($A541),DAY($A541)),$A:$A,0))=""),"",E541/INDEX(E:E,MATCH(DATE(YEAR($A541)-1,MONTH($A541),DAY($A541)),$A:$A,0))-1),"")</f>
        <v/>
      </c>
      <c r="I541" s="7">
        <f>IFERROR(IF(OR(F541="",INDEX(F:F,MATCH(DATE(YEAR($A541)-1,MONTH($A541),DAY($A541)),$A:$A,0))=""),"",F541/INDEX(F:F,MATCH(DATE(YEAR($A541)-1,MONTH($A541),DAY($A541)),$A:$A,0))-1),"")</f>
        <v/>
      </c>
      <c r="J541" s="7">
        <f>IFERROR(IF(OR(G541="",INDEX(G:G,MATCH(DATE(YEAR($A541)-1,MONTH($A541),DAY($A541)),$A:$A,0))=""),"",G541/INDEX(G:G,MATCH(DATE(YEAR($A541)-1,MONTH($A541),DAY($A541)),$A:$A,0))-1),"")</f>
        <v/>
      </c>
      <c r="K541" s="7">
        <f>IF(OR(E541="",E540=""),"",E541/E540-1)</f>
        <v/>
      </c>
      <c r="L541" s="7">
        <f>IF(OR(F541="",F540=""),"",F541/F540-1)</f>
        <v/>
      </c>
      <c r="M541" s="7">
        <f>IF(OR(G541="",G540=""),"",G541/G540-1)</f>
        <v/>
      </c>
      <c r="N541" s="7">
        <f>IF(G541="","",E541/G541)</f>
        <v/>
      </c>
      <c r="O541" s="7">
        <f>IF(G541="","",F541/G541)</f>
        <v/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4">
        <f>IF(SUMIFS('Daily NSE Equity Cash'!$H:$H,'Daily NSE Equity Cash'!$A:$A,$A542)=0,"",SUMIFS('Daily NSE Equity Cash'!$H:$H,'Daily NSE Equity Cash'!$A:$A,$A542))</f>
        <v/>
      </c>
      <c r="F542" s="4">
        <f>IF(SUMIFS('Daily BSE Equity Cash'!$H:$H,'Daily BSE Equity Cash'!$A:$A,$A542)=0,"",SUMIFS('Daily BSE Equity Cash'!$H:$H,'Daily BSE Equity Cash'!$A:$A,$A542))</f>
        <v/>
      </c>
      <c r="G542" s="4">
        <f>IF(OR(E542="",F542=""),"",E542+F542)</f>
        <v/>
      </c>
      <c r="H542" s="7">
        <f>IFERROR(IF(OR(E542="",INDEX(E:E,MATCH(DATE(YEAR($A542)-1,MONTH($A542),DAY($A542)),$A:$A,0))=""),"",E542/INDEX(E:E,MATCH(DATE(YEAR($A542)-1,MONTH($A542),DAY($A542)),$A:$A,0))-1),"")</f>
        <v/>
      </c>
      <c r="I542" s="7">
        <f>IFERROR(IF(OR(F542="",INDEX(F:F,MATCH(DATE(YEAR($A542)-1,MONTH($A542),DAY($A542)),$A:$A,0))=""),"",F542/INDEX(F:F,MATCH(DATE(YEAR($A542)-1,MONTH($A542),DAY($A542)),$A:$A,0))-1),"")</f>
        <v/>
      </c>
      <c r="J542" s="7">
        <f>IFERROR(IF(OR(G542="",INDEX(G:G,MATCH(DATE(YEAR($A542)-1,MONTH($A542),DAY($A542)),$A:$A,0))=""),"",G542/INDEX(G:G,MATCH(DATE(YEAR($A542)-1,MONTH($A542),DAY($A542)),$A:$A,0))-1),"")</f>
        <v/>
      </c>
      <c r="K542" s="7">
        <f>IF(OR(E542="",E541=""),"",E542/E541-1)</f>
        <v/>
      </c>
      <c r="L542" s="7">
        <f>IF(OR(F542="",F541=""),"",F542/F541-1)</f>
        <v/>
      </c>
      <c r="M542" s="7">
        <f>IF(OR(G542="",G541=""),"",G542/G541-1)</f>
        <v/>
      </c>
      <c r="N542" s="7">
        <f>IF(G542="","",E542/G542)</f>
        <v/>
      </c>
      <c r="O542" s="7">
        <f>IF(G542="","",F542/G542)</f>
        <v/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4">
        <f>IF(SUMIFS('Daily NSE Equity Cash'!$H:$H,'Daily NSE Equity Cash'!$A:$A,$A543)=0,"",SUMIFS('Daily NSE Equity Cash'!$H:$H,'Daily NSE Equity Cash'!$A:$A,$A543))</f>
        <v/>
      </c>
      <c r="F543" s="4">
        <f>IF(SUMIFS('Daily BSE Equity Cash'!$H:$H,'Daily BSE Equity Cash'!$A:$A,$A543)=0,"",SUMIFS('Daily BSE Equity Cash'!$H:$H,'Daily BSE Equity Cash'!$A:$A,$A543))</f>
        <v/>
      </c>
      <c r="G543" s="4">
        <f>IF(OR(E543="",F543=""),"",E543+F543)</f>
        <v/>
      </c>
      <c r="H543" s="7">
        <f>IFERROR(IF(OR(E543="",INDEX(E:E,MATCH(DATE(YEAR($A543)-1,MONTH($A543),DAY($A543)),$A:$A,0))=""),"",E543/INDEX(E:E,MATCH(DATE(YEAR($A543)-1,MONTH($A543),DAY($A543)),$A:$A,0))-1),"")</f>
        <v/>
      </c>
      <c r="I543" s="7">
        <f>IFERROR(IF(OR(F543="",INDEX(F:F,MATCH(DATE(YEAR($A543)-1,MONTH($A543),DAY($A543)),$A:$A,0))=""),"",F543/INDEX(F:F,MATCH(DATE(YEAR($A543)-1,MONTH($A543),DAY($A543)),$A:$A,0))-1),"")</f>
        <v/>
      </c>
      <c r="J543" s="7">
        <f>IFERROR(IF(OR(G543="",INDEX(G:G,MATCH(DATE(YEAR($A543)-1,MONTH($A543),DAY($A543)),$A:$A,0))=""),"",G543/INDEX(G:G,MATCH(DATE(YEAR($A543)-1,MONTH($A543),DAY($A543)),$A:$A,0))-1),"")</f>
        <v/>
      </c>
      <c r="K543" s="7">
        <f>IF(OR(E543="",E542=""),"",E543/E542-1)</f>
        <v/>
      </c>
      <c r="L543" s="7">
        <f>IF(OR(F543="",F542=""),"",F543/F542-1)</f>
        <v/>
      </c>
      <c r="M543" s="7">
        <f>IF(OR(G543="",G542=""),"",G543/G542-1)</f>
        <v/>
      </c>
      <c r="N543" s="7">
        <f>IF(G543="","",E543/G543)</f>
        <v/>
      </c>
      <c r="O543" s="7">
        <f>IF(G543="","",F543/G543)</f>
        <v/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4">
        <f>IF(SUMIFS('Daily NSE Equity Cash'!$H:$H,'Daily NSE Equity Cash'!$A:$A,$A544)=0,"",SUMIFS('Daily NSE Equity Cash'!$H:$H,'Daily NSE Equity Cash'!$A:$A,$A544))</f>
        <v/>
      </c>
      <c r="F544" s="4">
        <f>IF(SUMIFS('Daily BSE Equity Cash'!$H:$H,'Daily BSE Equity Cash'!$A:$A,$A544)=0,"",SUMIFS('Daily BSE Equity Cash'!$H:$H,'Daily BSE Equity Cash'!$A:$A,$A544))</f>
        <v/>
      </c>
      <c r="G544" s="4">
        <f>IF(OR(E544="",F544=""),"",E544+F544)</f>
        <v/>
      </c>
      <c r="H544" s="7">
        <f>IFERROR(IF(OR(E544="",INDEX(E:E,MATCH(DATE(YEAR($A544)-1,MONTH($A544),DAY($A544)),$A:$A,0))=""),"",E544/INDEX(E:E,MATCH(DATE(YEAR($A544)-1,MONTH($A544),DAY($A544)),$A:$A,0))-1),"")</f>
        <v/>
      </c>
      <c r="I544" s="7">
        <f>IFERROR(IF(OR(F544="",INDEX(F:F,MATCH(DATE(YEAR($A544)-1,MONTH($A544),DAY($A544)),$A:$A,0))=""),"",F544/INDEX(F:F,MATCH(DATE(YEAR($A544)-1,MONTH($A544),DAY($A544)),$A:$A,0))-1),"")</f>
        <v/>
      </c>
      <c r="J544" s="7">
        <f>IFERROR(IF(OR(G544="",INDEX(G:G,MATCH(DATE(YEAR($A544)-1,MONTH($A544),DAY($A544)),$A:$A,0))=""),"",G544/INDEX(G:G,MATCH(DATE(YEAR($A544)-1,MONTH($A544),DAY($A544)),$A:$A,0))-1),"")</f>
        <v/>
      </c>
      <c r="K544" s="7">
        <f>IF(OR(E544="",E543=""),"",E544/E543-1)</f>
        <v/>
      </c>
      <c r="L544" s="7">
        <f>IF(OR(F544="",F543=""),"",F544/F543-1)</f>
        <v/>
      </c>
      <c r="M544" s="7">
        <f>IF(OR(G544="",G543=""),"",G544/G543-1)</f>
        <v/>
      </c>
      <c r="N544" s="7">
        <f>IF(G544="","",E544/G544)</f>
        <v/>
      </c>
      <c r="O544" s="7">
        <f>IF(G544="","",F544/G544)</f>
        <v/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4">
        <f>IF(SUMIFS('Daily NSE Equity Cash'!$H:$H,'Daily NSE Equity Cash'!$A:$A,$A545)=0,"",SUMIFS('Daily NSE Equity Cash'!$H:$H,'Daily NSE Equity Cash'!$A:$A,$A545))</f>
        <v/>
      </c>
      <c r="F545" s="4">
        <f>IF(SUMIFS('Daily BSE Equity Cash'!$H:$H,'Daily BSE Equity Cash'!$A:$A,$A545)=0,"",SUMIFS('Daily BSE Equity Cash'!$H:$H,'Daily BSE Equity Cash'!$A:$A,$A545))</f>
        <v/>
      </c>
      <c r="G545" s="4">
        <f>IF(OR(E545="",F545=""),"",E545+F545)</f>
        <v/>
      </c>
      <c r="H545" s="7">
        <f>IFERROR(IF(OR(E545="",INDEX(E:E,MATCH(DATE(YEAR($A545)-1,MONTH($A545),DAY($A545)),$A:$A,0))=""),"",E545/INDEX(E:E,MATCH(DATE(YEAR($A545)-1,MONTH($A545),DAY($A545)),$A:$A,0))-1),"")</f>
        <v/>
      </c>
      <c r="I545" s="7">
        <f>IFERROR(IF(OR(F545="",INDEX(F:F,MATCH(DATE(YEAR($A545)-1,MONTH($A545),DAY($A545)),$A:$A,0))=""),"",F545/INDEX(F:F,MATCH(DATE(YEAR($A545)-1,MONTH($A545),DAY($A545)),$A:$A,0))-1),"")</f>
        <v/>
      </c>
      <c r="J545" s="7">
        <f>IFERROR(IF(OR(G545="",INDEX(G:G,MATCH(DATE(YEAR($A545)-1,MONTH($A545),DAY($A545)),$A:$A,0))=""),"",G545/INDEX(G:G,MATCH(DATE(YEAR($A545)-1,MONTH($A545),DAY($A545)),$A:$A,0))-1),"")</f>
        <v/>
      </c>
      <c r="K545" s="7">
        <f>IF(OR(E545="",E544=""),"",E545/E544-1)</f>
        <v/>
      </c>
      <c r="L545" s="7">
        <f>IF(OR(F545="",F544=""),"",F545/F544-1)</f>
        <v/>
      </c>
      <c r="M545" s="7">
        <f>IF(OR(G545="",G544=""),"",G545/G544-1)</f>
        <v/>
      </c>
      <c r="N545" s="7">
        <f>IF(G545="","",E545/G545)</f>
        <v/>
      </c>
      <c r="O545" s="7">
        <f>IF(G545="","",F545/G545)</f>
        <v/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4">
        <f>IF(SUMIFS('Daily NSE Equity Cash'!$H:$H,'Daily NSE Equity Cash'!$A:$A,$A546)=0,"",SUMIFS('Daily NSE Equity Cash'!$H:$H,'Daily NSE Equity Cash'!$A:$A,$A546))</f>
        <v/>
      </c>
      <c r="F546" s="4">
        <f>IF(SUMIFS('Daily BSE Equity Cash'!$H:$H,'Daily BSE Equity Cash'!$A:$A,$A546)=0,"",SUMIFS('Daily BSE Equity Cash'!$H:$H,'Daily BSE Equity Cash'!$A:$A,$A546))</f>
        <v/>
      </c>
      <c r="G546" s="4">
        <f>IF(OR(E546="",F546=""),"",E546+F546)</f>
        <v/>
      </c>
      <c r="H546" s="7">
        <f>IFERROR(IF(OR(E546="",INDEX(E:E,MATCH(DATE(YEAR($A546)-1,MONTH($A546),DAY($A546)),$A:$A,0))=""),"",E546/INDEX(E:E,MATCH(DATE(YEAR($A546)-1,MONTH($A546),DAY($A546)),$A:$A,0))-1),"")</f>
        <v/>
      </c>
      <c r="I546" s="7">
        <f>IFERROR(IF(OR(F546="",INDEX(F:F,MATCH(DATE(YEAR($A546)-1,MONTH($A546),DAY($A546)),$A:$A,0))=""),"",F546/INDEX(F:F,MATCH(DATE(YEAR($A546)-1,MONTH($A546),DAY($A546)),$A:$A,0))-1),"")</f>
        <v/>
      </c>
      <c r="J546" s="7">
        <f>IFERROR(IF(OR(G546="",INDEX(G:G,MATCH(DATE(YEAR($A546)-1,MONTH($A546),DAY($A546)),$A:$A,0))=""),"",G546/INDEX(G:G,MATCH(DATE(YEAR($A546)-1,MONTH($A546),DAY($A546)),$A:$A,0))-1),"")</f>
        <v/>
      </c>
      <c r="K546" s="7">
        <f>IF(OR(E546="",E545=""),"",E546/E545-1)</f>
        <v/>
      </c>
      <c r="L546" s="7">
        <f>IF(OR(F546="",F545=""),"",F546/F545-1)</f>
        <v/>
      </c>
      <c r="M546" s="7">
        <f>IF(OR(G546="",G545=""),"",G546/G545-1)</f>
        <v/>
      </c>
      <c r="N546" s="7">
        <f>IF(G546="","",E546/G546)</f>
        <v/>
      </c>
      <c r="O546" s="7">
        <f>IF(G546="","",F546/G546)</f>
        <v/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4">
        <f>IF(SUMIFS('Daily NSE Equity Cash'!$H:$H,'Daily NSE Equity Cash'!$A:$A,$A547)=0,"",SUMIFS('Daily NSE Equity Cash'!$H:$H,'Daily NSE Equity Cash'!$A:$A,$A547))</f>
        <v/>
      </c>
      <c r="F547" s="4">
        <f>IF(SUMIFS('Daily BSE Equity Cash'!$H:$H,'Daily BSE Equity Cash'!$A:$A,$A547)=0,"",SUMIFS('Daily BSE Equity Cash'!$H:$H,'Daily BSE Equity Cash'!$A:$A,$A547))</f>
        <v/>
      </c>
      <c r="G547" s="4">
        <f>IF(OR(E547="",F547=""),"",E547+F547)</f>
        <v/>
      </c>
      <c r="H547" s="7">
        <f>IFERROR(IF(OR(E547="",INDEX(E:E,MATCH(DATE(YEAR($A547)-1,MONTH($A547),DAY($A547)),$A:$A,0))=""),"",E547/INDEX(E:E,MATCH(DATE(YEAR($A547)-1,MONTH($A547),DAY($A547)),$A:$A,0))-1),"")</f>
        <v/>
      </c>
      <c r="I547" s="7">
        <f>IFERROR(IF(OR(F547="",INDEX(F:F,MATCH(DATE(YEAR($A547)-1,MONTH($A547),DAY($A547)),$A:$A,0))=""),"",F547/INDEX(F:F,MATCH(DATE(YEAR($A547)-1,MONTH($A547),DAY($A547)),$A:$A,0))-1),"")</f>
        <v/>
      </c>
      <c r="J547" s="7">
        <f>IFERROR(IF(OR(G547="",INDEX(G:G,MATCH(DATE(YEAR($A547)-1,MONTH($A547),DAY($A547)),$A:$A,0))=""),"",G547/INDEX(G:G,MATCH(DATE(YEAR($A547)-1,MONTH($A547),DAY($A547)),$A:$A,0))-1),"")</f>
        <v/>
      </c>
      <c r="K547" s="7">
        <f>IF(OR(E547="",E546=""),"",E547/E546-1)</f>
        <v/>
      </c>
      <c r="L547" s="7">
        <f>IF(OR(F547="",F546=""),"",F547/F546-1)</f>
        <v/>
      </c>
      <c r="M547" s="7">
        <f>IF(OR(G547="",G546=""),"",G547/G546-1)</f>
        <v/>
      </c>
      <c r="N547" s="7">
        <f>IF(G547="","",E547/G547)</f>
        <v/>
      </c>
      <c r="O547" s="7">
        <f>IF(G547="","",F547/G547)</f>
        <v/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4">
        <f>IF(SUMIFS('Daily NSE Equity Cash'!$H:$H,'Daily NSE Equity Cash'!$A:$A,$A548)=0,"",SUMIFS('Daily NSE Equity Cash'!$H:$H,'Daily NSE Equity Cash'!$A:$A,$A548))</f>
        <v/>
      </c>
      <c r="F548" s="4">
        <f>IF(SUMIFS('Daily BSE Equity Cash'!$H:$H,'Daily BSE Equity Cash'!$A:$A,$A548)=0,"",SUMIFS('Daily BSE Equity Cash'!$H:$H,'Daily BSE Equity Cash'!$A:$A,$A548))</f>
        <v/>
      </c>
      <c r="G548" s="4">
        <f>IF(OR(E548="",F548=""),"",E548+F548)</f>
        <v/>
      </c>
      <c r="H548" s="7">
        <f>IFERROR(IF(OR(E548="",INDEX(E:E,MATCH(DATE(YEAR($A548)-1,MONTH($A548),DAY($A548)),$A:$A,0))=""),"",E548/INDEX(E:E,MATCH(DATE(YEAR($A548)-1,MONTH($A548),DAY($A548)),$A:$A,0))-1),"")</f>
        <v/>
      </c>
      <c r="I548" s="7">
        <f>IFERROR(IF(OR(F548="",INDEX(F:F,MATCH(DATE(YEAR($A548)-1,MONTH($A548),DAY($A548)),$A:$A,0))=""),"",F548/INDEX(F:F,MATCH(DATE(YEAR($A548)-1,MONTH($A548),DAY($A548)),$A:$A,0))-1),"")</f>
        <v/>
      </c>
      <c r="J548" s="7">
        <f>IFERROR(IF(OR(G548="",INDEX(G:G,MATCH(DATE(YEAR($A548)-1,MONTH($A548),DAY($A548)),$A:$A,0))=""),"",G548/INDEX(G:G,MATCH(DATE(YEAR($A548)-1,MONTH($A548),DAY($A548)),$A:$A,0))-1),"")</f>
        <v/>
      </c>
      <c r="K548" s="7">
        <f>IF(OR(E548="",E547=""),"",E548/E547-1)</f>
        <v/>
      </c>
      <c r="L548" s="7">
        <f>IF(OR(F548="",F547=""),"",F548/F547-1)</f>
        <v/>
      </c>
      <c r="M548" s="7">
        <f>IF(OR(G548="",G547=""),"",G548/G547-1)</f>
        <v/>
      </c>
      <c r="N548" s="7">
        <f>IF(G548="","",E548/G548)</f>
        <v/>
      </c>
      <c r="O548" s="7">
        <f>IF(G548="","",F548/G548)</f>
        <v/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4">
        <f>IF(SUMIFS('Daily NSE Equity Cash'!$H:$H,'Daily NSE Equity Cash'!$A:$A,$A549)=0,"",SUMIFS('Daily NSE Equity Cash'!$H:$H,'Daily NSE Equity Cash'!$A:$A,$A549))</f>
        <v/>
      </c>
      <c r="F549" s="4">
        <f>IF(SUMIFS('Daily BSE Equity Cash'!$H:$H,'Daily BSE Equity Cash'!$A:$A,$A549)=0,"",SUMIFS('Daily BSE Equity Cash'!$H:$H,'Daily BSE Equity Cash'!$A:$A,$A549))</f>
        <v/>
      </c>
      <c r="G549" s="4">
        <f>IF(OR(E549="",F549=""),"",E549+F549)</f>
        <v/>
      </c>
      <c r="H549" s="7">
        <f>IFERROR(IF(OR(E549="",INDEX(E:E,MATCH(DATE(YEAR($A549)-1,MONTH($A549),DAY($A549)),$A:$A,0))=""),"",E549/INDEX(E:E,MATCH(DATE(YEAR($A549)-1,MONTH($A549),DAY($A549)),$A:$A,0))-1),"")</f>
        <v/>
      </c>
      <c r="I549" s="7">
        <f>IFERROR(IF(OR(F549="",INDEX(F:F,MATCH(DATE(YEAR($A549)-1,MONTH($A549),DAY($A549)),$A:$A,0))=""),"",F549/INDEX(F:F,MATCH(DATE(YEAR($A549)-1,MONTH($A549),DAY($A549)),$A:$A,0))-1),"")</f>
        <v/>
      </c>
      <c r="J549" s="7">
        <f>IFERROR(IF(OR(G549="",INDEX(G:G,MATCH(DATE(YEAR($A549)-1,MONTH($A549),DAY($A549)),$A:$A,0))=""),"",G549/INDEX(G:G,MATCH(DATE(YEAR($A549)-1,MONTH($A549),DAY($A549)),$A:$A,0))-1),"")</f>
        <v/>
      </c>
      <c r="K549" s="7">
        <f>IF(OR(E549="",E548=""),"",E549/E548-1)</f>
        <v/>
      </c>
      <c r="L549" s="7">
        <f>IF(OR(F549="",F548=""),"",F549/F548-1)</f>
        <v/>
      </c>
      <c r="M549" s="7">
        <f>IF(OR(G549="",G548=""),"",G549/G548-1)</f>
        <v/>
      </c>
      <c r="N549" s="7">
        <f>IF(G549="","",E549/G549)</f>
        <v/>
      </c>
      <c r="O549" s="7">
        <f>IF(G549="","",F549/G549)</f>
        <v/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4">
        <f>IF(SUMIFS('Daily NSE Equity Cash'!$H:$H,'Daily NSE Equity Cash'!$A:$A,$A550)=0,"",SUMIFS('Daily NSE Equity Cash'!$H:$H,'Daily NSE Equity Cash'!$A:$A,$A550))</f>
        <v/>
      </c>
      <c r="F550" s="4">
        <f>IF(SUMIFS('Daily BSE Equity Cash'!$H:$H,'Daily BSE Equity Cash'!$A:$A,$A550)=0,"",SUMIFS('Daily BSE Equity Cash'!$H:$H,'Daily BSE Equity Cash'!$A:$A,$A550))</f>
        <v/>
      </c>
      <c r="G550" s="4">
        <f>IF(OR(E550="",F550=""),"",E550+F550)</f>
        <v/>
      </c>
      <c r="H550" s="7">
        <f>IFERROR(IF(OR(E550="",INDEX(E:E,MATCH(DATE(YEAR($A550)-1,MONTH($A550),DAY($A550)),$A:$A,0))=""),"",E550/INDEX(E:E,MATCH(DATE(YEAR($A550)-1,MONTH($A550),DAY($A550)),$A:$A,0))-1),"")</f>
        <v/>
      </c>
      <c r="I550" s="7">
        <f>IFERROR(IF(OR(F550="",INDEX(F:F,MATCH(DATE(YEAR($A550)-1,MONTH($A550),DAY($A550)),$A:$A,0))=""),"",F550/INDEX(F:F,MATCH(DATE(YEAR($A550)-1,MONTH($A550),DAY($A550)),$A:$A,0))-1),"")</f>
        <v/>
      </c>
      <c r="J550" s="7">
        <f>IFERROR(IF(OR(G550="",INDEX(G:G,MATCH(DATE(YEAR($A550)-1,MONTH($A550),DAY($A550)),$A:$A,0))=""),"",G550/INDEX(G:G,MATCH(DATE(YEAR($A550)-1,MONTH($A550),DAY($A550)),$A:$A,0))-1),"")</f>
        <v/>
      </c>
      <c r="K550" s="7">
        <f>IF(OR(E550="",E549=""),"",E550/E549-1)</f>
        <v/>
      </c>
      <c r="L550" s="7">
        <f>IF(OR(F550="",F549=""),"",F550/F549-1)</f>
        <v/>
      </c>
      <c r="M550" s="7">
        <f>IF(OR(G550="",G549=""),"",G550/G549-1)</f>
        <v/>
      </c>
      <c r="N550" s="7">
        <f>IF(G550="","",E550/G550)</f>
        <v/>
      </c>
      <c r="O550" s="7">
        <f>IF(G550="","",F550/G550)</f>
        <v/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4">
        <f>IF(SUMIFS('Daily NSE Equity Cash'!$H:$H,'Daily NSE Equity Cash'!$A:$A,$A551)=0,"",SUMIFS('Daily NSE Equity Cash'!$H:$H,'Daily NSE Equity Cash'!$A:$A,$A551))</f>
        <v/>
      </c>
      <c r="F551" s="4">
        <f>IF(SUMIFS('Daily BSE Equity Cash'!$H:$H,'Daily BSE Equity Cash'!$A:$A,$A551)=0,"",SUMIFS('Daily BSE Equity Cash'!$H:$H,'Daily BSE Equity Cash'!$A:$A,$A551))</f>
        <v/>
      </c>
      <c r="G551" s="4">
        <f>IF(OR(E551="",F551=""),"",E551+F551)</f>
        <v/>
      </c>
      <c r="H551" s="7">
        <f>IFERROR(IF(OR(E551="",INDEX(E:E,MATCH(DATE(YEAR($A551)-1,MONTH($A551),DAY($A551)),$A:$A,0))=""),"",E551/INDEX(E:E,MATCH(DATE(YEAR($A551)-1,MONTH($A551),DAY($A551)),$A:$A,0))-1),"")</f>
        <v/>
      </c>
      <c r="I551" s="7">
        <f>IFERROR(IF(OR(F551="",INDEX(F:F,MATCH(DATE(YEAR($A551)-1,MONTH($A551),DAY($A551)),$A:$A,0))=""),"",F551/INDEX(F:F,MATCH(DATE(YEAR($A551)-1,MONTH($A551),DAY($A551)),$A:$A,0))-1),"")</f>
        <v/>
      </c>
      <c r="J551" s="7">
        <f>IFERROR(IF(OR(G551="",INDEX(G:G,MATCH(DATE(YEAR($A551)-1,MONTH($A551),DAY($A551)),$A:$A,0))=""),"",G551/INDEX(G:G,MATCH(DATE(YEAR($A551)-1,MONTH($A551),DAY($A551)),$A:$A,0))-1),"")</f>
        <v/>
      </c>
      <c r="K551" s="7">
        <f>IF(OR(E551="",E550=""),"",E551/E550-1)</f>
        <v/>
      </c>
      <c r="L551" s="7">
        <f>IF(OR(F551="",F550=""),"",F551/F550-1)</f>
        <v/>
      </c>
      <c r="M551" s="7">
        <f>IF(OR(G551="",G550=""),"",G551/G550-1)</f>
        <v/>
      </c>
      <c r="N551" s="7">
        <f>IF(G551="","",E551/G551)</f>
        <v/>
      </c>
      <c r="O551" s="7">
        <f>IF(G551="","",F551/G551)</f>
        <v/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4">
        <f>IF(SUMIFS('Daily NSE Equity Cash'!$H:$H,'Daily NSE Equity Cash'!$A:$A,$A552)=0,"",SUMIFS('Daily NSE Equity Cash'!$H:$H,'Daily NSE Equity Cash'!$A:$A,$A552))</f>
        <v/>
      </c>
      <c r="F552" s="4">
        <f>IF(SUMIFS('Daily BSE Equity Cash'!$H:$H,'Daily BSE Equity Cash'!$A:$A,$A552)=0,"",SUMIFS('Daily BSE Equity Cash'!$H:$H,'Daily BSE Equity Cash'!$A:$A,$A552))</f>
        <v/>
      </c>
      <c r="G552" s="4">
        <f>IF(OR(E552="",F552=""),"",E552+F552)</f>
        <v/>
      </c>
      <c r="H552" s="7">
        <f>IFERROR(IF(OR(E552="",INDEX(E:E,MATCH(DATE(YEAR($A552)-1,MONTH($A552),DAY($A552)),$A:$A,0))=""),"",E552/INDEX(E:E,MATCH(DATE(YEAR($A552)-1,MONTH($A552),DAY($A552)),$A:$A,0))-1),"")</f>
        <v/>
      </c>
      <c r="I552" s="7">
        <f>IFERROR(IF(OR(F552="",INDEX(F:F,MATCH(DATE(YEAR($A552)-1,MONTH($A552),DAY($A552)),$A:$A,0))=""),"",F552/INDEX(F:F,MATCH(DATE(YEAR($A552)-1,MONTH($A552),DAY($A552)),$A:$A,0))-1),"")</f>
        <v/>
      </c>
      <c r="J552" s="7">
        <f>IFERROR(IF(OR(G552="",INDEX(G:G,MATCH(DATE(YEAR($A552)-1,MONTH($A552),DAY($A552)),$A:$A,0))=""),"",G552/INDEX(G:G,MATCH(DATE(YEAR($A552)-1,MONTH($A552),DAY($A552)),$A:$A,0))-1),"")</f>
        <v/>
      </c>
      <c r="K552" s="7">
        <f>IF(OR(E552="",E551=""),"",E552/E551-1)</f>
        <v/>
      </c>
      <c r="L552" s="7">
        <f>IF(OR(F552="",F551=""),"",F552/F551-1)</f>
        <v/>
      </c>
      <c r="M552" s="7">
        <f>IF(OR(G552="",G551=""),"",G552/G551-1)</f>
        <v/>
      </c>
      <c r="N552" s="7">
        <f>IF(G552="","",E552/G552)</f>
        <v/>
      </c>
      <c r="O552" s="7">
        <f>IF(G552="","",F552/G552)</f>
        <v/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4">
        <f>IF(SUMIFS('Daily NSE Equity Cash'!$H:$H,'Daily NSE Equity Cash'!$A:$A,$A553)=0,"",SUMIFS('Daily NSE Equity Cash'!$H:$H,'Daily NSE Equity Cash'!$A:$A,$A553))</f>
        <v/>
      </c>
      <c r="F553" s="4">
        <f>IF(SUMIFS('Daily BSE Equity Cash'!$H:$H,'Daily BSE Equity Cash'!$A:$A,$A553)=0,"",SUMIFS('Daily BSE Equity Cash'!$H:$H,'Daily BSE Equity Cash'!$A:$A,$A553))</f>
        <v/>
      </c>
      <c r="G553" s="4">
        <f>IF(OR(E553="",F553=""),"",E553+F553)</f>
        <v/>
      </c>
      <c r="H553" s="7">
        <f>IFERROR(IF(OR(E553="",INDEX(E:E,MATCH(DATE(YEAR($A553)-1,MONTH($A553),DAY($A553)),$A:$A,0))=""),"",E553/INDEX(E:E,MATCH(DATE(YEAR($A553)-1,MONTH($A553),DAY($A553)),$A:$A,0))-1),"")</f>
        <v/>
      </c>
      <c r="I553" s="7">
        <f>IFERROR(IF(OR(F553="",INDEX(F:F,MATCH(DATE(YEAR($A553)-1,MONTH($A553),DAY($A553)),$A:$A,0))=""),"",F553/INDEX(F:F,MATCH(DATE(YEAR($A553)-1,MONTH($A553),DAY($A553)),$A:$A,0))-1),"")</f>
        <v/>
      </c>
      <c r="J553" s="7">
        <f>IFERROR(IF(OR(G553="",INDEX(G:G,MATCH(DATE(YEAR($A553)-1,MONTH($A553),DAY($A553)),$A:$A,0))=""),"",G553/INDEX(G:G,MATCH(DATE(YEAR($A553)-1,MONTH($A553),DAY($A553)),$A:$A,0))-1),"")</f>
        <v/>
      </c>
      <c r="K553" s="7">
        <f>IF(OR(E553="",E552=""),"",E553/E552-1)</f>
        <v/>
      </c>
      <c r="L553" s="7">
        <f>IF(OR(F553="",F552=""),"",F553/F552-1)</f>
        <v/>
      </c>
      <c r="M553" s="7">
        <f>IF(OR(G553="",G552=""),"",G553/G552-1)</f>
        <v/>
      </c>
      <c r="N553" s="7">
        <f>IF(G553="","",E553/G553)</f>
        <v/>
      </c>
      <c r="O553" s="7">
        <f>IF(G553="","",F553/G553)</f>
        <v/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4">
        <f>IF(SUMIFS('Daily NSE Equity Cash'!$H:$H,'Daily NSE Equity Cash'!$A:$A,$A554)=0,"",SUMIFS('Daily NSE Equity Cash'!$H:$H,'Daily NSE Equity Cash'!$A:$A,$A554))</f>
        <v/>
      </c>
      <c r="F554" s="4">
        <f>IF(SUMIFS('Daily BSE Equity Cash'!$H:$H,'Daily BSE Equity Cash'!$A:$A,$A554)=0,"",SUMIFS('Daily BSE Equity Cash'!$H:$H,'Daily BSE Equity Cash'!$A:$A,$A554))</f>
        <v/>
      </c>
      <c r="G554" s="4">
        <f>IF(OR(E554="",F554=""),"",E554+F554)</f>
        <v/>
      </c>
      <c r="H554" s="7">
        <f>IFERROR(IF(OR(E554="",INDEX(E:E,MATCH(DATE(YEAR($A554)-1,MONTH($A554),DAY($A554)),$A:$A,0))=""),"",E554/INDEX(E:E,MATCH(DATE(YEAR($A554)-1,MONTH($A554),DAY($A554)),$A:$A,0))-1),"")</f>
        <v/>
      </c>
      <c r="I554" s="7">
        <f>IFERROR(IF(OR(F554="",INDEX(F:F,MATCH(DATE(YEAR($A554)-1,MONTH($A554),DAY($A554)),$A:$A,0))=""),"",F554/INDEX(F:F,MATCH(DATE(YEAR($A554)-1,MONTH($A554),DAY($A554)),$A:$A,0))-1),"")</f>
        <v/>
      </c>
      <c r="J554" s="7">
        <f>IFERROR(IF(OR(G554="",INDEX(G:G,MATCH(DATE(YEAR($A554)-1,MONTH($A554),DAY($A554)),$A:$A,0))=""),"",G554/INDEX(G:G,MATCH(DATE(YEAR($A554)-1,MONTH($A554),DAY($A554)),$A:$A,0))-1),"")</f>
        <v/>
      </c>
      <c r="K554" s="7">
        <f>IF(OR(E554="",E553=""),"",E554/E553-1)</f>
        <v/>
      </c>
      <c r="L554" s="7">
        <f>IF(OR(F554="",F553=""),"",F554/F553-1)</f>
        <v/>
      </c>
      <c r="M554" s="7">
        <f>IF(OR(G554="",G553=""),"",G554/G553-1)</f>
        <v/>
      </c>
      <c r="N554" s="7">
        <f>IF(G554="","",E554/G554)</f>
        <v/>
      </c>
      <c r="O554" s="7">
        <f>IF(G554="","",F554/G554)</f>
        <v/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4">
        <f>IF(SUMIFS('Daily NSE Equity Cash'!$H:$H,'Daily NSE Equity Cash'!$A:$A,$A555)=0,"",SUMIFS('Daily NSE Equity Cash'!$H:$H,'Daily NSE Equity Cash'!$A:$A,$A555))</f>
        <v/>
      </c>
      <c r="F555" s="4">
        <f>IF(SUMIFS('Daily BSE Equity Cash'!$H:$H,'Daily BSE Equity Cash'!$A:$A,$A555)=0,"",SUMIFS('Daily BSE Equity Cash'!$H:$H,'Daily BSE Equity Cash'!$A:$A,$A555))</f>
        <v/>
      </c>
      <c r="G555" s="4">
        <f>IF(OR(E555="",F555=""),"",E555+F555)</f>
        <v/>
      </c>
      <c r="H555" s="7">
        <f>IFERROR(IF(OR(E555="",INDEX(E:E,MATCH(DATE(YEAR($A555)-1,MONTH($A555),DAY($A555)),$A:$A,0))=""),"",E555/INDEX(E:E,MATCH(DATE(YEAR($A555)-1,MONTH($A555),DAY($A555)),$A:$A,0))-1),"")</f>
        <v/>
      </c>
      <c r="I555" s="7">
        <f>IFERROR(IF(OR(F555="",INDEX(F:F,MATCH(DATE(YEAR($A555)-1,MONTH($A555),DAY($A555)),$A:$A,0))=""),"",F555/INDEX(F:F,MATCH(DATE(YEAR($A555)-1,MONTH($A555),DAY($A555)),$A:$A,0))-1),"")</f>
        <v/>
      </c>
      <c r="J555" s="7">
        <f>IFERROR(IF(OR(G555="",INDEX(G:G,MATCH(DATE(YEAR($A555)-1,MONTH($A555),DAY($A555)),$A:$A,0))=""),"",G555/INDEX(G:G,MATCH(DATE(YEAR($A555)-1,MONTH($A555),DAY($A555)),$A:$A,0))-1),"")</f>
        <v/>
      </c>
      <c r="K555" s="7">
        <f>IF(OR(E555="",E554=""),"",E555/E554-1)</f>
        <v/>
      </c>
      <c r="L555" s="7">
        <f>IF(OR(F555="",F554=""),"",F555/F554-1)</f>
        <v/>
      </c>
      <c r="M555" s="7">
        <f>IF(OR(G555="",G554=""),"",G555/G554-1)</f>
        <v/>
      </c>
      <c r="N555" s="7">
        <f>IF(G555="","",E555/G555)</f>
        <v/>
      </c>
      <c r="O555" s="7">
        <f>IF(G555="","",F555/G555)</f>
        <v/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4">
        <f>IF(SUMIFS('Daily NSE Equity Cash'!$H:$H,'Daily NSE Equity Cash'!$A:$A,$A556)=0,"",SUMIFS('Daily NSE Equity Cash'!$H:$H,'Daily NSE Equity Cash'!$A:$A,$A556))</f>
        <v/>
      </c>
      <c r="F556" s="4">
        <f>IF(SUMIFS('Daily BSE Equity Cash'!$H:$H,'Daily BSE Equity Cash'!$A:$A,$A556)=0,"",SUMIFS('Daily BSE Equity Cash'!$H:$H,'Daily BSE Equity Cash'!$A:$A,$A556))</f>
        <v/>
      </c>
      <c r="G556" s="4">
        <f>IF(OR(E556="",F556=""),"",E556+F556)</f>
        <v/>
      </c>
      <c r="H556" s="7">
        <f>IFERROR(IF(OR(E556="",INDEX(E:E,MATCH(DATE(YEAR($A556)-1,MONTH($A556),DAY($A556)),$A:$A,0))=""),"",E556/INDEX(E:E,MATCH(DATE(YEAR($A556)-1,MONTH($A556),DAY($A556)),$A:$A,0))-1),"")</f>
        <v/>
      </c>
      <c r="I556" s="7">
        <f>IFERROR(IF(OR(F556="",INDEX(F:F,MATCH(DATE(YEAR($A556)-1,MONTH($A556),DAY($A556)),$A:$A,0))=""),"",F556/INDEX(F:F,MATCH(DATE(YEAR($A556)-1,MONTH($A556),DAY($A556)),$A:$A,0))-1),"")</f>
        <v/>
      </c>
      <c r="J556" s="7">
        <f>IFERROR(IF(OR(G556="",INDEX(G:G,MATCH(DATE(YEAR($A556)-1,MONTH($A556),DAY($A556)),$A:$A,0))=""),"",G556/INDEX(G:G,MATCH(DATE(YEAR($A556)-1,MONTH($A556),DAY($A556)),$A:$A,0))-1),"")</f>
        <v/>
      </c>
      <c r="K556" s="7">
        <f>IF(OR(E556="",E555=""),"",E556/E555-1)</f>
        <v/>
      </c>
      <c r="L556" s="7">
        <f>IF(OR(F556="",F555=""),"",F556/F555-1)</f>
        <v/>
      </c>
      <c r="M556" s="7">
        <f>IF(OR(G556="",G555=""),"",G556/G555-1)</f>
        <v/>
      </c>
      <c r="N556" s="7">
        <f>IF(G556="","",E556/G556)</f>
        <v/>
      </c>
      <c r="O556" s="7">
        <f>IF(G556="","",F556/G556)</f>
        <v/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4">
        <f>IF(SUMIFS('Daily NSE Equity Cash'!$H:$H,'Daily NSE Equity Cash'!$A:$A,$A557)=0,"",SUMIFS('Daily NSE Equity Cash'!$H:$H,'Daily NSE Equity Cash'!$A:$A,$A557))</f>
        <v/>
      </c>
      <c r="F557" s="4">
        <f>IF(SUMIFS('Daily BSE Equity Cash'!$H:$H,'Daily BSE Equity Cash'!$A:$A,$A557)=0,"",SUMIFS('Daily BSE Equity Cash'!$H:$H,'Daily BSE Equity Cash'!$A:$A,$A557))</f>
        <v/>
      </c>
      <c r="G557" s="4">
        <f>IF(OR(E557="",F557=""),"",E557+F557)</f>
        <v/>
      </c>
      <c r="H557" s="7">
        <f>IFERROR(IF(OR(E557="",INDEX(E:E,MATCH(DATE(YEAR($A557)-1,MONTH($A557),DAY($A557)),$A:$A,0))=""),"",E557/INDEX(E:E,MATCH(DATE(YEAR($A557)-1,MONTH($A557),DAY($A557)),$A:$A,0))-1),"")</f>
        <v/>
      </c>
      <c r="I557" s="7">
        <f>IFERROR(IF(OR(F557="",INDEX(F:F,MATCH(DATE(YEAR($A557)-1,MONTH($A557),DAY($A557)),$A:$A,0))=""),"",F557/INDEX(F:F,MATCH(DATE(YEAR($A557)-1,MONTH($A557),DAY($A557)),$A:$A,0))-1),"")</f>
        <v/>
      </c>
      <c r="J557" s="7">
        <f>IFERROR(IF(OR(G557="",INDEX(G:G,MATCH(DATE(YEAR($A557)-1,MONTH($A557),DAY($A557)),$A:$A,0))=""),"",G557/INDEX(G:G,MATCH(DATE(YEAR($A557)-1,MONTH($A557),DAY($A557)),$A:$A,0))-1),"")</f>
        <v/>
      </c>
      <c r="K557" s="7">
        <f>IF(OR(E557="",E556=""),"",E557/E556-1)</f>
        <v/>
      </c>
      <c r="L557" s="7">
        <f>IF(OR(F557="",F556=""),"",F557/F556-1)</f>
        <v/>
      </c>
      <c r="M557" s="7">
        <f>IF(OR(G557="",G556=""),"",G557/G556-1)</f>
        <v/>
      </c>
      <c r="N557" s="7">
        <f>IF(G557="","",E557/G557)</f>
        <v/>
      </c>
      <c r="O557" s="7">
        <f>IF(G557="","",F557/G557)</f>
        <v/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4">
        <f>IF(SUMIFS('Daily NSE Equity Cash'!$H:$H,'Daily NSE Equity Cash'!$A:$A,$A558)=0,"",SUMIFS('Daily NSE Equity Cash'!$H:$H,'Daily NSE Equity Cash'!$A:$A,$A558))</f>
        <v/>
      </c>
      <c r="F558" s="4">
        <f>IF(SUMIFS('Daily BSE Equity Cash'!$H:$H,'Daily BSE Equity Cash'!$A:$A,$A558)=0,"",SUMIFS('Daily BSE Equity Cash'!$H:$H,'Daily BSE Equity Cash'!$A:$A,$A558))</f>
        <v/>
      </c>
      <c r="G558" s="4">
        <f>IF(OR(E558="",F558=""),"",E558+F558)</f>
        <v/>
      </c>
      <c r="H558" s="7">
        <f>IFERROR(IF(OR(E558="",INDEX(E:E,MATCH(DATE(YEAR($A558)-1,MONTH($A558),DAY($A558)),$A:$A,0))=""),"",E558/INDEX(E:E,MATCH(DATE(YEAR($A558)-1,MONTH($A558),DAY($A558)),$A:$A,0))-1),"")</f>
        <v/>
      </c>
      <c r="I558" s="7">
        <f>IFERROR(IF(OR(F558="",INDEX(F:F,MATCH(DATE(YEAR($A558)-1,MONTH($A558),DAY($A558)),$A:$A,0))=""),"",F558/INDEX(F:F,MATCH(DATE(YEAR($A558)-1,MONTH($A558),DAY($A558)),$A:$A,0))-1),"")</f>
        <v/>
      </c>
      <c r="J558" s="7">
        <f>IFERROR(IF(OR(G558="",INDEX(G:G,MATCH(DATE(YEAR($A558)-1,MONTH($A558),DAY($A558)),$A:$A,0))=""),"",G558/INDEX(G:G,MATCH(DATE(YEAR($A558)-1,MONTH($A558),DAY($A558)),$A:$A,0))-1),"")</f>
        <v/>
      </c>
      <c r="K558" s="7">
        <f>IF(OR(E558="",E557=""),"",E558/E557-1)</f>
        <v/>
      </c>
      <c r="L558" s="7">
        <f>IF(OR(F558="",F557=""),"",F558/F557-1)</f>
        <v/>
      </c>
      <c r="M558" s="7">
        <f>IF(OR(G558="",G557=""),"",G558/G557-1)</f>
        <v/>
      </c>
      <c r="N558" s="7">
        <f>IF(G558="","",E558/G558)</f>
        <v/>
      </c>
      <c r="O558" s="7">
        <f>IF(G558="","",F558/G558)</f>
        <v/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4">
        <f>IF(SUMIFS('Daily NSE Equity Cash'!$H:$H,'Daily NSE Equity Cash'!$A:$A,$A559)=0,"",SUMIFS('Daily NSE Equity Cash'!$H:$H,'Daily NSE Equity Cash'!$A:$A,$A559))</f>
        <v/>
      </c>
      <c r="F559" s="4">
        <f>IF(SUMIFS('Daily BSE Equity Cash'!$H:$H,'Daily BSE Equity Cash'!$A:$A,$A559)=0,"",SUMIFS('Daily BSE Equity Cash'!$H:$H,'Daily BSE Equity Cash'!$A:$A,$A559))</f>
        <v/>
      </c>
      <c r="G559" s="4">
        <f>IF(OR(E559="",F559=""),"",E559+F559)</f>
        <v/>
      </c>
      <c r="H559" s="7">
        <f>IFERROR(IF(OR(E559="",INDEX(E:E,MATCH(DATE(YEAR($A559)-1,MONTH($A559),DAY($A559)),$A:$A,0))=""),"",E559/INDEX(E:E,MATCH(DATE(YEAR($A559)-1,MONTH($A559),DAY($A559)),$A:$A,0))-1),"")</f>
        <v/>
      </c>
      <c r="I559" s="7">
        <f>IFERROR(IF(OR(F559="",INDEX(F:F,MATCH(DATE(YEAR($A559)-1,MONTH($A559),DAY($A559)),$A:$A,0))=""),"",F559/INDEX(F:F,MATCH(DATE(YEAR($A559)-1,MONTH($A559),DAY($A559)),$A:$A,0))-1),"")</f>
        <v/>
      </c>
      <c r="J559" s="7">
        <f>IFERROR(IF(OR(G559="",INDEX(G:G,MATCH(DATE(YEAR($A559)-1,MONTH($A559),DAY($A559)),$A:$A,0))=""),"",G559/INDEX(G:G,MATCH(DATE(YEAR($A559)-1,MONTH($A559),DAY($A559)),$A:$A,0))-1),"")</f>
        <v/>
      </c>
      <c r="K559" s="7">
        <f>IF(OR(E559="",E558=""),"",E559/E558-1)</f>
        <v/>
      </c>
      <c r="L559" s="7">
        <f>IF(OR(F559="",F558=""),"",F559/F558-1)</f>
        <v/>
      </c>
      <c r="M559" s="7">
        <f>IF(OR(G559="",G558=""),"",G559/G558-1)</f>
        <v/>
      </c>
      <c r="N559" s="7">
        <f>IF(G559="","",E559/G559)</f>
        <v/>
      </c>
      <c r="O559" s="7">
        <f>IF(G559="","",F559/G559)</f>
        <v/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4">
        <f>IF(SUMIFS('Daily NSE Equity Cash'!$H:$H,'Daily NSE Equity Cash'!$A:$A,$A560)=0,"",SUMIFS('Daily NSE Equity Cash'!$H:$H,'Daily NSE Equity Cash'!$A:$A,$A560))</f>
        <v/>
      </c>
      <c r="F560" s="4">
        <f>IF(SUMIFS('Daily BSE Equity Cash'!$H:$H,'Daily BSE Equity Cash'!$A:$A,$A560)=0,"",SUMIFS('Daily BSE Equity Cash'!$H:$H,'Daily BSE Equity Cash'!$A:$A,$A560))</f>
        <v/>
      </c>
      <c r="G560" s="4">
        <f>IF(OR(E560="",F560=""),"",E560+F560)</f>
        <v/>
      </c>
      <c r="H560" s="7">
        <f>IFERROR(IF(OR(E560="",INDEX(E:E,MATCH(DATE(YEAR($A560)-1,MONTH($A560),DAY($A560)),$A:$A,0))=""),"",E560/INDEX(E:E,MATCH(DATE(YEAR($A560)-1,MONTH($A560),DAY($A560)),$A:$A,0))-1),"")</f>
        <v/>
      </c>
      <c r="I560" s="7">
        <f>IFERROR(IF(OR(F560="",INDEX(F:F,MATCH(DATE(YEAR($A560)-1,MONTH($A560),DAY($A560)),$A:$A,0))=""),"",F560/INDEX(F:F,MATCH(DATE(YEAR($A560)-1,MONTH($A560),DAY($A560)),$A:$A,0))-1),"")</f>
        <v/>
      </c>
      <c r="J560" s="7">
        <f>IFERROR(IF(OR(G560="",INDEX(G:G,MATCH(DATE(YEAR($A560)-1,MONTH($A560),DAY($A560)),$A:$A,0))=""),"",G560/INDEX(G:G,MATCH(DATE(YEAR($A560)-1,MONTH($A560),DAY($A560)),$A:$A,0))-1),"")</f>
        <v/>
      </c>
      <c r="K560" s="7">
        <f>IF(OR(E560="",E559=""),"",E560/E559-1)</f>
        <v/>
      </c>
      <c r="L560" s="7">
        <f>IF(OR(F560="",F559=""),"",F560/F559-1)</f>
        <v/>
      </c>
      <c r="M560" s="7">
        <f>IF(OR(G560="",G559=""),"",G560/G559-1)</f>
        <v/>
      </c>
      <c r="N560" s="7">
        <f>IF(G560="","",E560/G560)</f>
        <v/>
      </c>
      <c r="O560" s="7">
        <f>IF(G560="","",F560/G560)</f>
        <v/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4">
        <f>IF(SUMIFS('Daily NSE Equity Cash'!$H:$H,'Daily NSE Equity Cash'!$A:$A,$A561)=0,"",SUMIFS('Daily NSE Equity Cash'!$H:$H,'Daily NSE Equity Cash'!$A:$A,$A561))</f>
        <v/>
      </c>
      <c r="F561" s="4">
        <f>IF(SUMIFS('Daily BSE Equity Cash'!$H:$H,'Daily BSE Equity Cash'!$A:$A,$A561)=0,"",SUMIFS('Daily BSE Equity Cash'!$H:$H,'Daily BSE Equity Cash'!$A:$A,$A561))</f>
        <v/>
      </c>
      <c r="G561" s="4">
        <f>IF(OR(E561="",F561=""),"",E561+F561)</f>
        <v/>
      </c>
      <c r="H561" s="7">
        <f>IFERROR(IF(OR(E561="",INDEX(E:E,MATCH(DATE(YEAR($A561)-1,MONTH($A561),DAY($A561)),$A:$A,0))=""),"",E561/INDEX(E:E,MATCH(DATE(YEAR($A561)-1,MONTH($A561),DAY($A561)),$A:$A,0))-1),"")</f>
        <v/>
      </c>
      <c r="I561" s="7">
        <f>IFERROR(IF(OR(F561="",INDEX(F:F,MATCH(DATE(YEAR($A561)-1,MONTH($A561),DAY($A561)),$A:$A,0))=""),"",F561/INDEX(F:F,MATCH(DATE(YEAR($A561)-1,MONTH($A561),DAY($A561)),$A:$A,0))-1),"")</f>
        <v/>
      </c>
      <c r="J561" s="7">
        <f>IFERROR(IF(OR(G561="",INDEX(G:G,MATCH(DATE(YEAR($A561)-1,MONTH($A561),DAY($A561)),$A:$A,0))=""),"",G561/INDEX(G:G,MATCH(DATE(YEAR($A561)-1,MONTH($A561),DAY($A561)),$A:$A,0))-1),"")</f>
        <v/>
      </c>
      <c r="K561" s="7">
        <f>IF(OR(E561="",E560=""),"",E561/E560-1)</f>
        <v/>
      </c>
      <c r="L561" s="7">
        <f>IF(OR(F561="",F560=""),"",F561/F560-1)</f>
        <v/>
      </c>
      <c r="M561" s="7">
        <f>IF(OR(G561="",G560=""),"",G561/G560-1)</f>
        <v/>
      </c>
      <c r="N561" s="7">
        <f>IF(G561="","",E561/G561)</f>
        <v/>
      </c>
      <c r="O561" s="7">
        <f>IF(G561="","",F561/G561)</f>
        <v/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4">
        <f>IF(SUMIFS('Daily NSE Equity Cash'!$H:$H,'Daily NSE Equity Cash'!$A:$A,$A562)=0,"",SUMIFS('Daily NSE Equity Cash'!$H:$H,'Daily NSE Equity Cash'!$A:$A,$A562))</f>
        <v/>
      </c>
      <c r="F562" s="4">
        <f>IF(SUMIFS('Daily BSE Equity Cash'!$H:$H,'Daily BSE Equity Cash'!$A:$A,$A562)=0,"",SUMIFS('Daily BSE Equity Cash'!$H:$H,'Daily BSE Equity Cash'!$A:$A,$A562))</f>
        <v/>
      </c>
      <c r="G562" s="4">
        <f>IF(OR(E562="",F562=""),"",E562+F562)</f>
        <v/>
      </c>
      <c r="H562" s="7">
        <f>IFERROR(IF(OR(E562="",INDEX(E:E,MATCH(DATE(YEAR($A562)-1,MONTH($A562),DAY($A562)),$A:$A,0))=""),"",E562/INDEX(E:E,MATCH(DATE(YEAR($A562)-1,MONTH($A562),DAY($A562)),$A:$A,0))-1),"")</f>
        <v/>
      </c>
      <c r="I562" s="7">
        <f>IFERROR(IF(OR(F562="",INDEX(F:F,MATCH(DATE(YEAR($A562)-1,MONTH($A562),DAY($A562)),$A:$A,0))=""),"",F562/INDEX(F:F,MATCH(DATE(YEAR($A562)-1,MONTH($A562),DAY($A562)),$A:$A,0))-1),"")</f>
        <v/>
      </c>
      <c r="J562" s="7">
        <f>IFERROR(IF(OR(G562="",INDEX(G:G,MATCH(DATE(YEAR($A562)-1,MONTH($A562),DAY($A562)),$A:$A,0))=""),"",G562/INDEX(G:G,MATCH(DATE(YEAR($A562)-1,MONTH($A562),DAY($A562)),$A:$A,0))-1),"")</f>
        <v/>
      </c>
      <c r="K562" s="7">
        <f>IF(OR(E562="",E561=""),"",E562/E561-1)</f>
        <v/>
      </c>
      <c r="L562" s="7">
        <f>IF(OR(F562="",F561=""),"",F562/F561-1)</f>
        <v/>
      </c>
      <c r="M562" s="7">
        <f>IF(OR(G562="",G561=""),"",G562/G561-1)</f>
        <v/>
      </c>
      <c r="N562" s="7">
        <f>IF(G562="","",E562/G562)</f>
        <v/>
      </c>
      <c r="O562" s="7">
        <f>IF(G562="","",F562/G562)</f>
        <v/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4">
        <f>IF(SUMIFS('Daily NSE Equity Cash'!$H:$H,'Daily NSE Equity Cash'!$A:$A,$A563)=0,"",SUMIFS('Daily NSE Equity Cash'!$H:$H,'Daily NSE Equity Cash'!$A:$A,$A563))</f>
        <v/>
      </c>
      <c r="F563" s="4">
        <f>IF(SUMIFS('Daily BSE Equity Cash'!$H:$H,'Daily BSE Equity Cash'!$A:$A,$A563)=0,"",SUMIFS('Daily BSE Equity Cash'!$H:$H,'Daily BSE Equity Cash'!$A:$A,$A563))</f>
        <v/>
      </c>
      <c r="G563" s="4">
        <f>IF(OR(E563="",F563=""),"",E563+F563)</f>
        <v/>
      </c>
      <c r="H563" s="7">
        <f>IFERROR(IF(OR(E563="",INDEX(E:E,MATCH(DATE(YEAR($A563)-1,MONTH($A563),DAY($A563)),$A:$A,0))=""),"",E563/INDEX(E:E,MATCH(DATE(YEAR($A563)-1,MONTH($A563),DAY($A563)),$A:$A,0))-1),"")</f>
        <v/>
      </c>
      <c r="I563" s="7">
        <f>IFERROR(IF(OR(F563="",INDEX(F:F,MATCH(DATE(YEAR($A563)-1,MONTH($A563),DAY($A563)),$A:$A,0))=""),"",F563/INDEX(F:F,MATCH(DATE(YEAR($A563)-1,MONTH($A563),DAY($A563)),$A:$A,0))-1),"")</f>
        <v/>
      </c>
      <c r="J563" s="7">
        <f>IFERROR(IF(OR(G563="",INDEX(G:G,MATCH(DATE(YEAR($A563)-1,MONTH($A563),DAY($A563)),$A:$A,0))=""),"",G563/INDEX(G:G,MATCH(DATE(YEAR($A563)-1,MONTH($A563),DAY($A563)),$A:$A,0))-1),"")</f>
        <v/>
      </c>
      <c r="K563" s="7">
        <f>IF(OR(E563="",E562=""),"",E563/E562-1)</f>
        <v/>
      </c>
      <c r="L563" s="7">
        <f>IF(OR(F563="",F562=""),"",F563/F562-1)</f>
        <v/>
      </c>
      <c r="M563" s="7">
        <f>IF(OR(G563="",G562=""),"",G563/G562-1)</f>
        <v/>
      </c>
      <c r="N563" s="7">
        <f>IF(G563="","",E563/G563)</f>
        <v/>
      </c>
      <c r="O563" s="7">
        <f>IF(G563="","",F563/G563)</f>
        <v/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4">
        <f>IF(SUMIFS('Daily NSE Equity Cash'!$H:$H,'Daily NSE Equity Cash'!$A:$A,$A564)=0,"",SUMIFS('Daily NSE Equity Cash'!$H:$H,'Daily NSE Equity Cash'!$A:$A,$A564))</f>
        <v/>
      </c>
      <c r="F564" s="4">
        <f>IF(SUMIFS('Daily BSE Equity Cash'!$H:$H,'Daily BSE Equity Cash'!$A:$A,$A564)=0,"",SUMIFS('Daily BSE Equity Cash'!$H:$H,'Daily BSE Equity Cash'!$A:$A,$A564))</f>
        <v/>
      </c>
      <c r="G564" s="4">
        <f>IF(OR(E564="",F564=""),"",E564+F564)</f>
        <v/>
      </c>
      <c r="H564" s="7">
        <f>IFERROR(IF(OR(E564="",INDEX(E:E,MATCH(DATE(YEAR($A564)-1,MONTH($A564),DAY($A564)),$A:$A,0))=""),"",E564/INDEX(E:E,MATCH(DATE(YEAR($A564)-1,MONTH($A564),DAY($A564)),$A:$A,0))-1),"")</f>
        <v/>
      </c>
      <c r="I564" s="7">
        <f>IFERROR(IF(OR(F564="",INDEX(F:F,MATCH(DATE(YEAR($A564)-1,MONTH($A564),DAY($A564)),$A:$A,0))=""),"",F564/INDEX(F:F,MATCH(DATE(YEAR($A564)-1,MONTH($A564),DAY($A564)),$A:$A,0))-1),"")</f>
        <v/>
      </c>
      <c r="J564" s="7">
        <f>IFERROR(IF(OR(G564="",INDEX(G:G,MATCH(DATE(YEAR($A564)-1,MONTH($A564),DAY($A564)),$A:$A,0))=""),"",G564/INDEX(G:G,MATCH(DATE(YEAR($A564)-1,MONTH($A564),DAY($A564)),$A:$A,0))-1),"")</f>
        <v/>
      </c>
      <c r="K564" s="7">
        <f>IF(OR(E564="",E563=""),"",E564/E563-1)</f>
        <v/>
      </c>
      <c r="L564" s="7">
        <f>IF(OR(F564="",F563=""),"",F564/F563-1)</f>
        <v/>
      </c>
      <c r="M564" s="7">
        <f>IF(OR(G564="",G563=""),"",G564/G563-1)</f>
        <v/>
      </c>
      <c r="N564" s="7">
        <f>IF(G564="","",E564/G564)</f>
        <v/>
      </c>
      <c r="O564" s="7">
        <f>IF(G564="","",F564/G564)</f>
        <v/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4">
        <f>IF(SUMIFS('Daily NSE Equity Cash'!$H:$H,'Daily NSE Equity Cash'!$A:$A,$A565)=0,"",SUMIFS('Daily NSE Equity Cash'!$H:$H,'Daily NSE Equity Cash'!$A:$A,$A565))</f>
        <v/>
      </c>
      <c r="F565" s="4">
        <f>IF(SUMIFS('Daily BSE Equity Cash'!$H:$H,'Daily BSE Equity Cash'!$A:$A,$A565)=0,"",SUMIFS('Daily BSE Equity Cash'!$H:$H,'Daily BSE Equity Cash'!$A:$A,$A565))</f>
        <v/>
      </c>
      <c r="G565" s="4">
        <f>IF(OR(E565="",F565=""),"",E565+F565)</f>
        <v/>
      </c>
      <c r="H565" s="7">
        <f>IFERROR(IF(OR(E565="",INDEX(E:E,MATCH(DATE(YEAR($A565)-1,MONTH($A565),DAY($A565)),$A:$A,0))=""),"",E565/INDEX(E:E,MATCH(DATE(YEAR($A565)-1,MONTH($A565),DAY($A565)),$A:$A,0))-1),"")</f>
        <v/>
      </c>
      <c r="I565" s="7">
        <f>IFERROR(IF(OR(F565="",INDEX(F:F,MATCH(DATE(YEAR($A565)-1,MONTH($A565),DAY($A565)),$A:$A,0))=""),"",F565/INDEX(F:F,MATCH(DATE(YEAR($A565)-1,MONTH($A565),DAY($A565)),$A:$A,0))-1),"")</f>
        <v/>
      </c>
      <c r="J565" s="7">
        <f>IFERROR(IF(OR(G565="",INDEX(G:G,MATCH(DATE(YEAR($A565)-1,MONTH($A565),DAY($A565)),$A:$A,0))=""),"",G565/INDEX(G:G,MATCH(DATE(YEAR($A565)-1,MONTH($A565),DAY($A565)),$A:$A,0))-1),"")</f>
        <v/>
      </c>
      <c r="K565" s="7">
        <f>IF(OR(E565="",E564=""),"",E565/E564-1)</f>
        <v/>
      </c>
      <c r="L565" s="7">
        <f>IF(OR(F565="",F564=""),"",F565/F564-1)</f>
        <v/>
      </c>
      <c r="M565" s="7">
        <f>IF(OR(G565="",G564=""),"",G565/G564-1)</f>
        <v/>
      </c>
      <c r="N565" s="7">
        <f>IF(G565="","",E565/G565)</f>
        <v/>
      </c>
      <c r="O565" s="7">
        <f>IF(G565="","",F565/G565)</f>
        <v/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4">
        <f>IF(SUMIFS('Daily NSE Equity Cash'!$H:$H,'Daily NSE Equity Cash'!$A:$A,$A566)=0,"",SUMIFS('Daily NSE Equity Cash'!$H:$H,'Daily NSE Equity Cash'!$A:$A,$A566))</f>
        <v/>
      </c>
      <c r="F566" s="4">
        <f>IF(SUMIFS('Daily BSE Equity Cash'!$H:$H,'Daily BSE Equity Cash'!$A:$A,$A566)=0,"",SUMIFS('Daily BSE Equity Cash'!$H:$H,'Daily BSE Equity Cash'!$A:$A,$A566))</f>
        <v/>
      </c>
      <c r="G566" s="4">
        <f>IF(OR(E566="",F566=""),"",E566+F566)</f>
        <v/>
      </c>
      <c r="H566" s="7">
        <f>IFERROR(IF(OR(E566="",INDEX(E:E,MATCH(DATE(YEAR($A566)-1,MONTH($A566),DAY($A566)),$A:$A,0))=""),"",E566/INDEX(E:E,MATCH(DATE(YEAR($A566)-1,MONTH($A566),DAY($A566)),$A:$A,0))-1),"")</f>
        <v/>
      </c>
      <c r="I566" s="7">
        <f>IFERROR(IF(OR(F566="",INDEX(F:F,MATCH(DATE(YEAR($A566)-1,MONTH($A566),DAY($A566)),$A:$A,0))=""),"",F566/INDEX(F:F,MATCH(DATE(YEAR($A566)-1,MONTH($A566),DAY($A566)),$A:$A,0))-1),"")</f>
        <v/>
      </c>
      <c r="J566" s="7">
        <f>IFERROR(IF(OR(G566="",INDEX(G:G,MATCH(DATE(YEAR($A566)-1,MONTH($A566),DAY($A566)),$A:$A,0))=""),"",G566/INDEX(G:G,MATCH(DATE(YEAR($A566)-1,MONTH($A566),DAY($A566)),$A:$A,0))-1),"")</f>
        <v/>
      </c>
      <c r="K566" s="7">
        <f>IF(OR(E566="",E565=""),"",E566/E565-1)</f>
        <v/>
      </c>
      <c r="L566" s="7">
        <f>IF(OR(F566="",F565=""),"",F566/F565-1)</f>
        <v/>
      </c>
      <c r="M566" s="7">
        <f>IF(OR(G566="",G565=""),"",G566/G565-1)</f>
        <v/>
      </c>
      <c r="N566" s="7">
        <f>IF(G566="","",E566/G566)</f>
        <v/>
      </c>
      <c r="O566" s="7">
        <f>IF(G566="","",F566/G566)</f>
        <v/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4">
        <f>IF(SUMIFS('Daily NSE Equity Cash'!$H:$H,'Daily NSE Equity Cash'!$A:$A,$A567)=0,"",SUMIFS('Daily NSE Equity Cash'!$H:$H,'Daily NSE Equity Cash'!$A:$A,$A567))</f>
        <v/>
      </c>
      <c r="F567" s="4">
        <f>IF(SUMIFS('Daily BSE Equity Cash'!$H:$H,'Daily BSE Equity Cash'!$A:$A,$A567)=0,"",SUMIFS('Daily BSE Equity Cash'!$H:$H,'Daily BSE Equity Cash'!$A:$A,$A567))</f>
        <v/>
      </c>
      <c r="G567" s="4">
        <f>IF(OR(E567="",F567=""),"",E567+F567)</f>
        <v/>
      </c>
      <c r="H567" s="7">
        <f>IFERROR(IF(OR(E567="",INDEX(E:E,MATCH(DATE(YEAR($A567)-1,MONTH($A567),DAY($A567)),$A:$A,0))=""),"",E567/INDEX(E:E,MATCH(DATE(YEAR($A567)-1,MONTH($A567),DAY($A567)),$A:$A,0))-1),"")</f>
        <v/>
      </c>
      <c r="I567" s="7">
        <f>IFERROR(IF(OR(F567="",INDEX(F:F,MATCH(DATE(YEAR($A567)-1,MONTH($A567),DAY($A567)),$A:$A,0))=""),"",F567/INDEX(F:F,MATCH(DATE(YEAR($A567)-1,MONTH($A567),DAY($A567)),$A:$A,0))-1),"")</f>
        <v/>
      </c>
      <c r="J567" s="7">
        <f>IFERROR(IF(OR(G567="",INDEX(G:G,MATCH(DATE(YEAR($A567)-1,MONTH($A567),DAY($A567)),$A:$A,0))=""),"",G567/INDEX(G:G,MATCH(DATE(YEAR($A567)-1,MONTH($A567),DAY($A567)),$A:$A,0))-1),"")</f>
        <v/>
      </c>
      <c r="K567" s="7">
        <f>IF(OR(E567="",E566=""),"",E567/E566-1)</f>
        <v/>
      </c>
      <c r="L567" s="7">
        <f>IF(OR(F567="",F566=""),"",F567/F566-1)</f>
        <v/>
      </c>
      <c r="M567" s="7">
        <f>IF(OR(G567="",G566=""),"",G567/G566-1)</f>
        <v/>
      </c>
      <c r="N567" s="7">
        <f>IF(G567="","",E567/G567)</f>
        <v/>
      </c>
      <c r="O567" s="7">
        <f>IF(G567="","",F567/G567)</f>
        <v/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4">
        <f>IF(SUMIFS('Daily NSE Equity Cash'!$H:$H,'Daily NSE Equity Cash'!$A:$A,$A568)=0,"",SUMIFS('Daily NSE Equity Cash'!$H:$H,'Daily NSE Equity Cash'!$A:$A,$A568))</f>
        <v/>
      </c>
      <c r="F568" s="4">
        <f>IF(SUMIFS('Daily BSE Equity Cash'!$H:$H,'Daily BSE Equity Cash'!$A:$A,$A568)=0,"",SUMIFS('Daily BSE Equity Cash'!$H:$H,'Daily BSE Equity Cash'!$A:$A,$A568))</f>
        <v/>
      </c>
      <c r="G568" s="4">
        <f>IF(OR(E568="",F568=""),"",E568+F568)</f>
        <v/>
      </c>
      <c r="H568" s="7">
        <f>IFERROR(IF(OR(E568="",INDEX(E:E,MATCH(DATE(YEAR($A568)-1,MONTH($A568),DAY($A568)),$A:$A,0))=""),"",E568/INDEX(E:E,MATCH(DATE(YEAR($A568)-1,MONTH($A568),DAY($A568)),$A:$A,0))-1),"")</f>
        <v/>
      </c>
      <c r="I568" s="7">
        <f>IFERROR(IF(OR(F568="",INDEX(F:F,MATCH(DATE(YEAR($A568)-1,MONTH($A568),DAY($A568)),$A:$A,0))=""),"",F568/INDEX(F:F,MATCH(DATE(YEAR($A568)-1,MONTH($A568),DAY($A568)),$A:$A,0))-1),"")</f>
        <v/>
      </c>
      <c r="J568" s="7">
        <f>IFERROR(IF(OR(G568="",INDEX(G:G,MATCH(DATE(YEAR($A568)-1,MONTH($A568),DAY($A568)),$A:$A,0))=""),"",G568/INDEX(G:G,MATCH(DATE(YEAR($A568)-1,MONTH($A568),DAY($A568)),$A:$A,0))-1),"")</f>
        <v/>
      </c>
      <c r="K568" s="7">
        <f>IF(OR(E568="",E567=""),"",E568/E567-1)</f>
        <v/>
      </c>
      <c r="L568" s="7">
        <f>IF(OR(F568="",F567=""),"",F568/F567-1)</f>
        <v/>
      </c>
      <c r="M568" s="7">
        <f>IF(OR(G568="",G567=""),"",G568/G567-1)</f>
        <v/>
      </c>
      <c r="N568" s="7">
        <f>IF(G568="","",E568/G568)</f>
        <v/>
      </c>
      <c r="O568" s="7">
        <f>IF(G568="","",F568/G568)</f>
        <v/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4">
        <f>IF(SUMIFS('Daily NSE Equity Cash'!$H:$H,'Daily NSE Equity Cash'!$A:$A,$A569)=0,"",SUMIFS('Daily NSE Equity Cash'!$H:$H,'Daily NSE Equity Cash'!$A:$A,$A569))</f>
        <v/>
      </c>
      <c r="F569" s="4">
        <f>IF(SUMIFS('Daily BSE Equity Cash'!$H:$H,'Daily BSE Equity Cash'!$A:$A,$A569)=0,"",SUMIFS('Daily BSE Equity Cash'!$H:$H,'Daily BSE Equity Cash'!$A:$A,$A569))</f>
        <v/>
      </c>
      <c r="G569" s="4">
        <f>IF(OR(E569="",F569=""),"",E569+F569)</f>
        <v/>
      </c>
      <c r="H569" s="7">
        <f>IFERROR(IF(OR(E569="",INDEX(E:E,MATCH(DATE(YEAR($A569)-1,MONTH($A569),DAY($A569)),$A:$A,0))=""),"",E569/INDEX(E:E,MATCH(DATE(YEAR($A569)-1,MONTH($A569),DAY($A569)),$A:$A,0))-1),"")</f>
        <v/>
      </c>
      <c r="I569" s="7">
        <f>IFERROR(IF(OR(F569="",INDEX(F:F,MATCH(DATE(YEAR($A569)-1,MONTH($A569),DAY($A569)),$A:$A,0))=""),"",F569/INDEX(F:F,MATCH(DATE(YEAR($A569)-1,MONTH($A569),DAY($A569)),$A:$A,0))-1),"")</f>
        <v/>
      </c>
      <c r="J569" s="7">
        <f>IFERROR(IF(OR(G569="",INDEX(G:G,MATCH(DATE(YEAR($A569)-1,MONTH($A569),DAY($A569)),$A:$A,0))=""),"",G569/INDEX(G:G,MATCH(DATE(YEAR($A569)-1,MONTH($A569),DAY($A569)),$A:$A,0))-1),"")</f>
        <v/>
      </c>
      <c r="K569" s="7">
        <f>IF(OR(E569="",E568=""),"",E569/E568-1)</f>
        <v/>
      </c>
      <c r="L569" s="7">
        <f>IF(OR(F569="",F568=""),"",F569/F568-1)</f>
        <v/>
      </c>
      <c r="M569" s="7">
        <f>IF(OR(G569="",G568=""),"",G569/G568-1)</f>
        <v/>
      </c>
      <c r="N569" s="7">
        <f>IF(G569="","",E569/G569)</f>
        <v/>
      </c>
      <c r="O569" s="7">
        <f>IF(G569="","",F569/G569)</f>
        <v/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4">
        <f>IF(SUMIFS('Daily NSE Equity Cash'!$H:$H,'Daily NSE Equity Cash'!$A:$A,$A570)=0,"",SUMIFS('Daily NSE Equity Cash'!$H:$H,'Daily NSE Equity Cash'!$A:$A,$A570))</f>
        <v/>
      </c>
      <c r="F570" s="4">
        <f>IF(SUMIFS('Daily BSE Equity Cash'!$H:$H,'Daily BSE Equity Cash'!$A:$A,$A570)=0,"",SUMIFS('Daily BSE Equity Cash'!$H:$H,'Daily BSE Equity Cash'!$A:$A,$A570))</f>
        <v/>
      </c>
      <c r="G570" s="4">
        <f>IF(OR(E570="",F570=""),"",E570+F570)</f>
        <v/>
      </c>
      <c r="H570" s="7">
        <f>IFERROR(IF(OR(E570="",INDEX(E:E,MATCH(DATE(YEAR($A570)-1,MONTH($A570),DAY($A570)),$A:$A,0))=""),"",E570/INDEX(E:E,MATCH(DATE(YEAR($A570)-1,MONTH($A570),DAY($A570)),$A:$A,0))-1),"")</f>
        <v/>
      </c>
      <c r="I570" s="7">
        <f>IFERROR(IF(OR(F570="",INDEX(F:F,MATCH(DATE(YEAR($A570)-1,MONTH($A570),DAY($A570)),$A:$A,0))=""),"",F570/INDEX(F:F,MATCH(DATE(YEAR($A570)-1,MONTH($A570),DAY($A570)),$A:$A,0))-1),"")</f>
        <v/>
      </c>
      <c r="J570" s="7">
        <f>IFERROR(IF(OR(G570="",INDEX(G:G,MATCH(DATE(YEAR($A570)-1,MONTH($A570),DAY($A570)),$A:$A,0))=""),"",G570/INDEX(G:G,MATCH(DATE(YEAR($A570)-1,MONTH($A570),DAY($A570)),$A:$A,0))-1),"")</f>
        <v/>
      </c>
      <c r="K570" s="7">
        <f>IF(OR(E570="",E569=""),"",E570/E569-1)</f>
        <v/>
      </c>
      <c r="L570" s="7">
        <f>IF(OR(F570="",F569=""),"",F570/F569-1)</f>
        <v/>
      </c>
      <c r="M570" s="7">
        <f>IF(OR(G570="",G569=""),"",G570/G569-1)</f>
        <v/>
      </c>
      <c r="N570" s="7">
        <f>IF(G570="","",E570/G570)</f>
        <v/>
      </c>
      <c r="O570" s="7">
        <f>IF(G570="","",F570/G570)</f>
        <v/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4">
        <f>IF(SUMIFS('Daily NSE Equity Cash'!$H:$H,'Daily NSE Equity Cash'!$A:$A,$A571)=0,"",SUMIFS('Daily NSE Equity Cash'!$H:$H,'Daily NSE Equity Cash'!$A:$A,$A571))</f>
        <v/>
      </c>
      <c r="F571" s="4">
        <f>IF(SUMIFS('Daily BSE Equity Cash'!$H:$H,'Daily BSE Equity Cash'!$A:$A,$A571)=0,"",SUMIFS('Daily BSE Equity Cash'!$H:$H,'Daily BSE Equity Cash'!$A:$A,$A571))</f>
        <v/>
      </c>
      <c r="G571" s="4">
        <f>IF(OR(E571="",F571=""),"",E571+F571)</f>
        <v/>
      </c>
      <c r="H571" s="7">
        <f>IFERROR(IF(OR(E571="",INDEX(E:E,MATCH(DATE(YEAR($A571)-1,MONTH($A571),DAY($A571)),$A:$A,0))=""),"",E571/INDEX(E:E,MATCH(DATE(YEAR($A571)-1,MONTH($A571),DAY($A571)),$A:$A,0))-1),"")</f>
        <v/>
      </c>
      <c r="I571" s="7">
        <f>IFERROR(IF(OR(F571="",INDEX(F:F,MATCH(DATE(YEAR($A571)-1,MONTH($A571),DAY($A571)),$A:$A,0))=""),"",F571/INDEX(F:F,MATCH(DATE(YEAR($A571)-1,MONTH($A571),DAY($A571)),$A:$A,0))-1),"")</f>
        <v/>
      </c>
      <c r="J571" s="7">
        <f>IFERROR(IF(OR(G571="",INDEX(G:G,MATCH(DATE(YEAR($A571)-1,MONTH($A571),DAY($A571)),$A:$A,0))=""),"",G571/INDEX(G:G,MATCH(DATE(YEAR($A571)-1,MONTH($A571),DAY($A571)),$A:$A,0))-1),"")</f>
        <v/>
      </c>
      <c r="K571" s="7">
        <f>IF(OR(E571="",E570=""),"",E571/E570-1)</f>
        <v/>
      </c>
      <c r="L571" s="7">
        <f>IF(OR(F571="",F570=""),"",F571/F570-1)</f>
        <v/>
      </c>
      <c r="M571" s="7">
        <f>IF(OR(G571="",G570=""),"",G571/G570-1)</f>
        <v/>
      </c>
      <c r="N571" s="7">
        <f>IF(G571="","",E571/G571)</f>
        <v/>
      </c>
      <c r="O571" s="7">
        <f>IF(G571="","",F571/G571)</f>
        <v/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4">
        <f>IF(SUMIFS('Daily NSE Equity Cash'!$H:$H,'Daily NSE Equity Cash'!$A:$A,$A572)=0,"",SUMIFS('Daily NSE Equity Cash'!$H:$H,'Daily NSE Equity Cash'!$A:$A,$A572))</f>
        <v/>
      </c>
      <c r="F572" s="4">
        <f>IF(SUMIFS('Daily BSE Equity Cash'!$H:$H,'Daily BSE Equity Cash'!$A:$A,$A572)=0,"",SUMIFS('Daily BSE Equity Cash'!$H:$H,'Daily BSE Equity Cash'!$A:$A,$A572))</f>
        <v/>
      </c>
      <c r="G572" s="4">
        <f>IF(OR(E572="",F572=""),"",E572+F572)</f>
        <v/>
      </c>
      <c r="H572" s="7">
        <f>IFERROR(IF(OR(E572="",INDEX(E:E,MATCH(DATE(YEAR($A572)-1,MONTH($A572),DAY($A572)),$A:$A,0))=""),"",E572/INDEX(E:E,MATCH(DATE(YEAR($A572)-1,MONTH($A572),DAY($A572)),$A:$A,0))-1),"")</f>
        <v/>
      </c>
      <c r="I572" s="7">
        <f>IFERROR(IF(OR(F572="",INDEX(F:F,MATCH(DATE(YEAR($A572)-1,MONTH($A572),DAY($A572)),$A:$A,0))=""),"",F572/INDEX(F:F,MATCH(DATE(YEAR($A572)-1,MONTH($A572),DAY($A572)),$A:$A,0))-1),"")</f>
        <v/>
      </c>
      <c r="J572" s="7">
        <f>IFERROR(IF(OR(G572="",INDEX(G:G,MATCH(DATE(YEAR($A572)-1,MONTH($A572),DAY($A572)),$A:$A,0))=""),"",G572/INDEX(G:G,MATCH(DATE(YEAR($A572)-1,MONTH($A572),DAY($A572)),$A:$A,0))-1),"")</f>
        <v/>
      </c>
      <c r="K572" s="7">
        <f>IF(OR(E572="",E571=""),"",E572/E571-1)</f>
        <v/>
      </c>
      <c r="L572" s="7">
        <f>IF(OR(F572="",F571=""),"",F572/F571-1)</f>
        <v/>
      </c>
      <c r="M572" s="7">
        <f>IF(OR(G572="",G571=""),"",G572/G571-1)</f>
        <v/>
      </c>
      <c r="N572" s="7">
        <f>IF(G572="","",E572/G572)</f>
        <v/>
      </c>
      <c r="O572" s="7">
        <f>IF(G572="","",F572/G572)</f>
        <v/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4">
        <f>IF(SUMIFS('Daily NSE Equity Cash'!$H:$H,'Daily NSE Equity Cash'!$A:$A,$A573)=0,"",SUMIFS('Daily NSE Equity Cash'!$H:$H,'Daily NSE Equity Cash'!$A:$A,$A573))</f>
        <v/>
      </c>
      <c r="F573" s="4">
        <f>IF(SUMIFS('Daily BSE Equity Cash'!$H:$H,'Daily BSE Equity Cash'!$A:$A,$A573)=0,"",SUMIFS('Daily BSE Equity Cash'!$H:$H,'Daily BSE Equity Cash'!$A:$A,$A573))</f>
        <v/>
      </c>
      <c r="G573" s="4">
        <f>IF(OR(E573="",F573=""),"",E573+F573)</f>
        <v/>
      </c>
      <c r="H573" s="7">
        <f>IFERROR(IF(OR(E573="",INDEX(E:E,MATCH(DATE(YEAR($A573)-1,MONTH($A573),DAY($A573)),$A:$A,0))=""),"",E573/INDEX(E:E,MATCH(DATE(YEAR($A573)-1,MONTH($A573),DAY($A573)),$A:$A,0))-1),"")</f>
        <v/>
      </c>
      <c r="I573" s="7">
        <f>IFERROR(IF(OR(F573="",INDEX(F:F,MATCH(DATE(YEAR($A573)-1,MONTH($A573),DAY($A573)),$A:$A,0))=""),"",F573/INDEX(F:F,MATCH(DATE(YEAR($A573)-1,MONTH($A573),DAY($A573)),$A:$A,0))-1),"")</f>
        <v/>
      </c>
      <c r="J573" s="7">
        <f>IFERROR(IF(OR(G573="",INDEX(G:G,MATCH(DATE(YEAR($A573)-1,MONTH($A573),DAY($A573)),$A:$A,0))=""),"",G573/INDEX(G:G,MATCH(DATE(YEAR($A573)-1,MONTH($A573),DAY($A573)),$A:$A,0))-1),"")</f>
        <v/>
      </c>
      <c r="K573" s="7">
        <f>IF(OR(E573="",E572=""),"",E573/E572-1)</f>
        <v/>
      </c>
      <c r="L573" s="7">
        <f>IF(OR(F573="",F572=""),"",F573/F572-1)</f>
        <v/>
      </c>
      <c r="M573" s="7">
        <f>IF(OR(G573="",G572=""),"",G573/G572-1)</f>
        <v/>
      </c>
      <c r="N573" s="7">
        <f>IF(G573="","",E573/G573)</f>
        <v/>
      </c>
      <c r="O573" s="7">
        <f>IF(G573="","",F573/G573)</f>
        <v/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4">
        <f>IF(SUMIFS('Daily NSE Equity Cash'!$H:$H,'Daily NSE Equity Cash'!$A:$A,$A574)=0,"",SUMIFS('Daily NSE Equity Cash'!$H:$H,'Daily NSE Equity Cash'!$A:$A,$A574))</f>
        <v/>
      </c>
      <c r="F574" s="4">
        <f>IF(SUMIFS('Daily BSE Equity Cash'!$H:$H,'Daily BSE Equity Cash'!$A:$A,$A574)=0,"",SUMIFS('Daily BSE Equity Cash'!$H:$H,'Daily BSE Equity Cash'!$A:$A,$A574))</f>
        <v/>
      </c>
      <c r="G574" s="4">
        <f>IF(OR(E574="",F574=""),"",E574+F574)</f>
        <v/>
      </c>
      <c r="H574" s="7">
        <f>IFERROR(IF(OR(E574="",INDEX(E:E,MATCH(DATE(YEAR($A574)-1,MONTH($A574),DAY($A574)),$A:$A,0))=""),"",E574/INDEX(E:E,MATCH(DATE(YEAR($A574)-1,MONTH($A574),DAY($A574)),$A:$A,0))-1),"")</f>
        <v/>
      </c>
      <c r="I574" s="7">
        <f>IFERROR(IF(OR(F574="",INDEX(F:F,MATCH(DATE(YEAR($A574)-1,MONTH($A574),DAY($A574)),$A:$A,0))=""),"",F574/INDEX(F:F,MATCH(DATE(YEAR($A574)-1,MONTH($A574),DAY($A574)),$A:$A,0))-1),"")</f>
        <v/>
      </c>
      <c r="J574" s="7">
        <f>IFERROR(IF(OR(G574="",INDEX(G:G,MATCH(DATE(YEAR($A574)-1,MONTH($A574),DAY($A574)),$A:$A,0))=""),"",G574/INDEX(G:G,MATCH(DATE(YEAR($A574)-1,MONTH($A574),DAY($A574)),$A:$A,0))-1),"")</f>
        <v/>
      </c>
      <c r="K574" s="7">
        <f>IF(OR(E574="",E573=""),"",E574/E573-1)</f>
        <v/>
      </c>
      <c r="L574" s="7">
        <f>IF(OR(F574="",F573=""),"",F574/F573-1)</f>
        <v/>
      </c>
      <c r="M574" s="7">
        <f>IF(OR(G574="",G573=""),"",G574/G573-1)</f>
        <v/>
      </c>
      <c r="N574" s="7">
        <f>IF(G574="","",E574/G574)</f>
        <v/>
      </c>
      <c r="O574" s="7">
        <f>IF(G574="","",F574/G574)</f>
        <v/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4">
        <f>IF(SUMIFS('Daily NSE Equity Cash'!$H:$H,'Daily NSE Equity Cash'!$A:$A,$A575)=0,"",SUMIFS('Daily NSE Equity Cash'!$H:$H,'Daily NSE Equity Cash'!$A:$A,$A575))</f>
        <v/>
      </c>
      <c r="F575" s="4">
        <f>IF(SUMIFS('Daily BSE Equity Cash'!$H:$H,'Daily BSE Equity Cash'!$A:$A,$A575)=0,"",SUMIFS('Daily BSE Equity Cash'!$H:$H,'Daily BSE Equity Cash'!$A:$A,$A575))</f>
        <v/>
      </c>
      <c r="G575" s="4">
        <f>IF(OR(E575="",F575=""),"",E575+F575)</f>
        <v/>
      </c>
      <c r="H575" s="7">
        <f>IFERROR(IF(OR(E575="",INDEX(E:E,MATCH(DATE(YEAR($A575)-1,MONTH($A575),DAY($A575)),$A:$A,0))=""),"",E575/INDEX(E:E,MATCH(DATE(YEAR($A575)-1,MONTH($A575),DAY($A575)),$A:$A,0))-1),"")</f>
        <v/>
      </c>
      <c r="I575" s="7">
        <f>IFERROR(IF(OR(F575="",INDEX(F:F,MATCH(DATE(YEAR($A575)-1,MONTH($A575),DAY($A575)),$A:$A,0))=""),"",F575/INDEX(F:F,MATCH(DATE(YEAR($A575)-1,MONTH($A575),DAY($A575)),$A:$A,0))-1),"")</f>
        <v/>
      </c>
      <c r="J575" s="7">
        <f>IFERROR(IF(OR(G575="",INDEX(G:G,MATCH(DATE(YEAR($A575)-1,MONTH($A575),DAY($A575)),$A:$A,0))=""),"",G575/INDEX(G:G,MATCH(DATE(YEAR($A575)-1,MONTH($A575),DAY($A575)),$A:$A,0))-1),"")</f>
        <v/>
      </c>
      <c r="K575" s="7">
        <f>IF(OR(E575="",E574=""),"",E575/E574-1)</f>
        <v/>
      </c>
      <c r="L575" s="7">
        <f>IF(OR(F575="",F574=""),"",F575/F574-1)</f>
        <v/>
      </c>
      <c r="M575" s="7">
        <f>IF(OR(G575="",G574=""),"",G575/G574-1)</f>
        <v/>
      </c>
      <c r="N575" s="7">
        <f>IF(G575="","",E575/G575)</f>
        <v/>
      </c>
      <c r="O575" s="7">
        <f>IF(G575="","",F575/G575)</f>
        <v/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4">
        <f>IF(SUMIFS('Daily NSE Equity Cash'!$H:$H,'Daily NSE Equity Cash'!$A:$A,$A576)=0,"",SUMIFS('Daily NSE Equity Cash'!$H:$H,'Daily NSE Equity Cash'!$A:$A,$A576))</f>
        <v/>
      </c>
      <c r="F576" s="4">
        <f>IF(SUMIFS('Daily BSE Equity Cash'!$H:$H,'Daily BSE Equity Cash'!$A:$A,$A576)=0,"",SUMIFS('Daily BSE Equity Cash'!$H:$H,'Daily BSE Equity Cash'!$A:$A,$A576))</f>
        <v/>
      </c>
      <c r="G576" s="4">
        <f>IF(OR(E576="",F576=""),"",E576+F576)</f>
        <v/>
      </c>
      <c r="H576" s="7">
        <f>IFERROR(IF(OR(E576="",INDEX(E:E,MATCH(DATE(YEAR($A576)-1,MONTH($A576),DAY($A576)),$A:$A,0))=""),"",E576/INDEX(E:E,MATCH(DATE(YEAR($A576)-1,MONTH($A576),DAY($A576)),$A:$A,0))-1),"")</f>
        <v/>
      </c>
      <c r="I576" s="7">
        <f>IFERROR(IF(OR(F576="",INDEX(F:F,MATCH(DATE(YEAR($A576)-1,MONTH($A576),DAY($A576)),$A:$A,0))=""),"",F576/INDEX(F:F,MATCH(DATE(YEAR($A576)-1,MONTH($A576),DAY($A576)),$A:$A,0))-1),"")</f>
        <v/>
      </c>
      <c r="J576" s="7">
        <f>IFERROR(IF(OR(G576="",INDEX(G:G,MATCH(DATE(YEAR($A576)-1,MONTH($A576),DAY($A576)),$A:$A,0))=""),"",G576/INDEX(G:G,MATCH(DATE(YEAR($A576)-1,MONTH($A576),DAY($A576)),$A:$A,0))-1),"")</f>
        <v/>
      </c>
      <c r="K576" s="7">
        <f>IF(OR(E576="",E575=""),"",E576/E575-1)</f>
        <v/>
      </c>
      <c r="L576" s="7">
        <f>IF(OR(F576="",F575=""),"",F576/F575-1)</f>
        <v/>
      </c>
      <c r="M576" s="7">
        <f>IF(OR(G576="",G575=""),"",G576/G575-1)</f>
        <v/>
      </c>
      <c r="N576" s="7">
        <f>IF(G576="","",E576/G576)</f>
        <v/>
      </c>
      <c r="O576" s="7">
        <f>IF(G576="","",F576/G576)</f>
        <v/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4">
        <f>IF(SUMIFS('Daily NSE Equity Cash'!$H:$H,'Daily NSE Equity Cash'!$A:$A,$A577)=0,"",SUMIFS('Daily NSE Equity Cash'!$H:$H,'Daily NSE Equity Cash'!$A:$A,$A577))</f>
        <v/>
      </c>
      <c r="F577" s="4">
        <f>IF(SUMIFS('Daily BSE Equity Cash'!$H:$H,'Daily BSE Equity Cash'!$A:$A,$A577)=0,"",SUMIFS('Daily BSE Equity Cash'!$H:$H,'Daily BSE Equity Cash'!$A:$A,$A577))</f>
        <v/>
      </c>
      <c r="G577" s="4">
        <f>IF(OR(E577="",F577=""),"",E577+F577)</f>
        <v/>
      </c>
      <c r="H577" s="7">
        <f>IFERROR(IF(OR(E577="",INDEX(E:E,MATCH(DATE(YEAR($A577)-1,MONTH($A577),DAY($A577)),$A:$A,0))=""),"",E577/INDEX(E:E,MATCH(DATE(YEAR($A577)-1,MONTH($A577),DAY($A577)),$A:$A,0))-1),"")</f>
        <v/>
      </c>
      <c r="I577" s="7">
        <f>IFERROR(IF(OR(F577="",INDEX(F:F,MATCH(DATE(YEAR($A577)-1,MONTH($A577),DAY($A577)),$A:$A,0))=""),"",F577/INDEX(F:F,MATCH(DATE(YEAR($A577)-1,MONTH($A577),DAY($A577)),$A:$A,0))-1),"")</f>
        <v/>
      </c>
      <c r="J577" s="7">
        <f>IFERROR(IF(OR(G577="",INDEX(G:G,MATCH(DATE(YEAR($A577)-1,MONTH($A577),DAY($A577)),$A:$A,0))=""),"",G577/INDEX(G:G,MATCH(DATE(YEAR($A577)-1,MONTH($A577),DAY($A577)),$A:$A,0))-1),"")</f>
        <v/>
      </c>
      <c r="K577" s="7">
        <f>IF(OR(E577="",E576=""),"",E577/E576-1)</f>
        <v/>
      </c>
      <c r="L577" s="7">
        <f>IF(OR(F577="",F576=""),"",F577/F576-1)</f>
        <v/>
      </c>
      <c r="M577" s="7">
        <f>IF(OR(G577="",G576=""),"",G577/G576-1)</f>
        <v/>
      </c>
      <c r="N577" s="7">
        <f>IF(G577="","",E577/G577)</f>
        <v/>
      </c>
      <c r="O577" s="7">
        <f>IF(G577="","",F577/G577)</f>
        <v/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4">
        <f>IF(SUMIFS('Daily NSE Equity Cash'!$H:$H,'Daily NSE Equity Cash'!$A:$A,$A578)=0,"",SUMIFS('Daily NSE Equity Cash'!$H:$H,'Daily NSE Equity Cash'!$A:$A,$A578))</f>
        <v/>
      </c>
      <c r="F578" s="4">
        <f>IF(SUMIFS('Daily BSE Equity Cash'!$H:$H,'Daily BSE Equity Cash'!$A:$A,$A578)=0,"",SUMIFS('Daily BSE Equity Cash'!$H:$H,'Daily BSE Equity Cash'!$A:$A,$A578))</f>
        <v/>
      </c>
      <c r="G578" s="4">
        <f>IF(OR(E578="",F578=""),"",E578+F578)</f>
        <v/>
      </c>
      <c r="H578" s="7">
        <f>IFERROR(IF(OR(E578="",INDEX(E:E,MATCH(DATE(YEAR($A578)-1,MONTH($A578),DAY($A578)),$A:$A,0))=""),"",E578/INDEX(E:E,MATCH(DATE(YEAR($A578)-1,MONTH($A578),DAY($A578)),$A:$A,0))-1),"")</f>
        <v/>
      </c>
      <c r="I578" s="7">
        <f>IFERROR(IF(OR(F578="",INDEX(F:F,MATCH(DATE(YEAR($A578)-1,MONTH($A578),DAY($A578)),$A:$A,0))=""),"",F578/INDEX(F:F,MATCH(DATE(YEAR($A578)-1,MONTH($A578),DAY($A578)),$A:$A,0))-1),"")</f>
        <v/>
      </c>
      <c r="J578" s="7">
        <f>IFERROR(IF(OR(G578="",INDEX(G:G,MATCH(DATE(YEAR($A578)-1,MONTH($A578),DAY($A578)),$A:$A,0))=""),"",G578/INDEX(G:G,MATCH(DATE(YEAR($A578)-1,MONTH($A578),DAY($A578)),$A:$A,0))-1),"")</f>
        <v/>
      </c>
      <c r="K578" s="7">
        <f>IF(OR(E578="",E577=""),"",E578/E577-1)</f>
        <v/>
      </c>
      <c r="L578" s="7">
        <f>IF(OR(F578="",F577=""),"",F578/F577-1)</f>
        <v/>
      </c>
      <c r="M578" s="7">
        <f>IF(OR(G578="",G577=""),"",G578/G577-1)</f>
        <v/>
      </c>
      <c r="N578" s="7">
        <f>IF(G578="","",E578/G578)</f>
        <v/>
      </c>
      <c r="O578" s="7">
        <f>IF(G578="","",F578/G578)</f>
        <v/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4">
        <f>IF(SUMIFS('Daily NSE Equity Cash'!$H:$H,'Daily NSE Equity Cash'!$A:$A,$A579)=0,"",SUMIFS('Daily NSE Equity Cash'!$H:$H,'Daily NSE Equity Cash'!$A:$A,$A579))</f>
        <v/>
      </c>
      <c r="F579" s="4">
        <f>IF(SUMIFS('Daily BSE Equity Cash'!$H:$H,'Daily BSE Equity Cash'!$A:$A,$A579)=0,"",SUMIFS('Daily BSE Equity Cash'!$H:$H,'Daily BSE Equity Cash'!$A:$A,$A579))</f>
        <v/>
      </c>
      <c r="G579" s="4">
        <f>IF(OR(E579="",F579=""),"",E579+F579)</f>
        <v/>
      </c>
      <c r="H579" s="7">
        <f>IFERROR(IF(OR(E579="",INDEX(E:E,MATCH(DATE(YEAR($A579)-1,MONTH($A579),DAY($A579)),$A:$A,0))=""),"",E579/INDEX(E:E,MATCH(DATE(YEAR($A579)-1,MONTH($A579),DAY($A579)),$A:$A,0))-1),"")</f>
        <v/>
      </c>
      <c r="I579" s="7">
        <f>IFERROR(IF(OR(F579="",INDEX(F:F,MATCH(DATE(YEAR($A579)-1,MONTH($A579),DAY($A579)),$A:$A,0))=""),"",F579/INDEX(F:F,MATCH(DATE(YEAR($A579)-1,MONTH($A579),DAY($A579)),$A:$A,0))-1),"")</f>
        <v/>
      </c>
      <c r="J579" s="7">
        <f>IFERROR(IF(OR(G579="",INDEX(G:G,MATCH(DATE(YEAR($A579)-1,MONTH($A579),DAY($A579)),$A:$A,0))=""),"",G579/INDEX(G:G,MATCH(DATE(YEAR($A579)-1,MONTH($A579),DAY($A579)),$A:$A,0))-1),"")</f>
        <v/>
      </c>
      <c r="K579" s="7">
        <f>IF(OR(E579="",E578=""),"",E579/E578-1)</f>
        <v/>
      </c>
      <c r="L579" s="7">
        <f>IF(OR(F579="",F578=""),"",F579/F578-1)</f>
        <v/>
      </c>
      <c r="M579" s="7">
        <f>IF(OR(G579="",G578=""),"",G579/G578-1)</f>
        <v/>
      </c>
      <c r="N579" s="7">
        <f>IF(G579="","",E579/G579)</f>
        <v/>
      </c>
      <c r="O579" s="7">
        <f>IF(G579="","",F579/G579)</f>
        <v/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4">
        <f>IF(SUMIFS('Daily NSE Equity Cash'!$H:$H,'Daily NSE Equity Cash'!$A:$A,$A580)=0,"",SUMIFS('Daily NSE Equity Cash'!$H:$H,'Daily NSE Equity Cash'!$A:$A,$A580))</f>
        <v/>
      </c>
      <c r="F580" s="4">
        <f>IF(SUMIFS('Daily BSE Equity Cash'!$H:$H,'Daily BSE Equity Cash'!$A:$A,$A580)=0,"",SUMIFS('Daily BSE Equity Cash'!$H:$H,'Daily BSE Equity Cash'!$A:$A,$A580))</f>
        <v/>
      </c>
      <c r="G580" s="4">
        <f>IF(OR(E580="",F580=""),"",E580+F580)</f>
        <v/>
      </c>
      <c r="H580" s="7">
        <f>IFERROR(IF(OR(E580="",INDEX(E:E,MATCH(DATE(YEAR($A580)-1,MONTH($A580),DAY($A580)),$A:$A,0))=""),"",E580/INDEX(E:E,MATCH(DATE(YEAR($A580)-1,MONTH($A580),DAY($A580)),$A:$A,0))-1),"")</f>
        <v/>
      </c>
      <c r="I580" s="7">
        <f>IFERROR(IF(OR(F580="",INDEX(F:F,MATCH(DATE(YEAR($A580)-1,MONTH($A580),DAY($A580)),$A:$A,0))=""),"",F580/INDEX(F:F,MATCH(DATE(YEAR($A580)-1,MONTH($A580),DAY($A580)),$A:$A,0))-1),"")</f>
        <v/>
      </c>
      <c r="J580" s="7">
        <f>IFERROR(IF(OR(G580="",INDEX(G:G,MATCH(DATE(YEAR($A580)-1,MONTH($A580),DAY($A580)),$A:$A,0))=""),"",G580/INDEX(G:G,MATCH(DATE(YEAR($A580)-1,MONTH($A580),DAY($A580)),$A:$A,0))-1),"")</f>
        <v/>
      </c>
      <c r="K580" s="7">
        <f>IF(OR(E580="",E579=""),"",E580/E579-1)</f>
        <v/>
      </c>
      <c r="L580" s="7">
        <f>IF(OR(F580="",F579=""),"",F580/F579-1)</f>
        <v/>
      </c>
      <c r="M580" s="7">
        <f>IF(OR(G580="",G579=""),"",G580/G579-1)</f>
        <v/>
      </c>
      <c r="N580" s="7">
        <f>IF(G580="","",E580/G580)</f>
        <v/>
      </c>
      <c r="O580" s="7">
        <f>IF(G580="","",F580/G580)</f>
        <v/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4">
        <f>IF(SUMIFS('Daily NSE Equity Cash'!$H:$H,'Daily NSE Equity Cash'!$A:$A,$A581)=0,"",SUMIFS('Daily NSE Equity Cash'!$H:$H,'Daily NSE Equity Cash'!$A:$A,$A581))</f>
        <v/>
      </c>
      <c r="F581" s="4">
        <f>IF(SUMIFS('Daily BSE Equity Cash'!$H:$H,'Daily BSE Equity Cash'!$A:$A,$A581)=0,"",SUMIFS('Daily BSE Equity Cash'!$H:$H,'Daily BSE Equity Cash'!$A:$A,$A581))</f>
        <v/>
      </c>
      <c r="G581" s="4">
        <f>IF(OR(E581="",F581=""),"",E581+F581)</f>
        <v/>
      </c>
      <c r="H581" s="7">
        <f>IFERROR(IF(OR(E581="",INDEX(E:E,MATCH(DATE(YEAR($A581)-1,MONTH($A581),DAY($A581)),$A:$A,0))=""),"",E581/INDEX(E:E,MATCH(DATE(YEAR($A581)-1,MONTH($A581),DAY($A581)),$A:$A,0))-1),"")</f>
        <v/>
      </c>
      <c r="I581" s="7">
        <f>IFERROR(IF(OR(F581="",INDEX(F:F,MATCH(DATE(YEAR($A581)-1,MONTH($A581),DAY($A581)),$A:$A,0))=""),"",F581/INDEX(F:F,MATCH(DATE(YEAR($A581)-1,MONTH($A581),DAY($A581)),$A:$A,0))-1),"")</f>
        <v/>
      </c>
      <c r="J581" s="7">
        <f>IFERROR(IF(OR(G581="",INDEX(G:G,MATCH(DATE(YEAR($A581)-1,MONTH($A581),DAY($A581)),$A:$A,0))=""),"",G581/INDEX(G:G,MATCH(DATE(YEAR($A581)-1,MONTH($A581),DAY($A581)),$A:$A,0))-1),"")</f>
        <v/>
      </c>
      <c r="K581" s="7">
        <f>IF(OR(E581="",E580=""),"",E581/E580-1)</f>
        <v/>
      </c>
      <c r="L581" s="7">
        <f>IF(OR(F581="",F580=""),"",F581/F580-1)</f>
        <v/>
      </c>
      <c r="M581" s="7">
        <f>IF(OR(G581="",G580=""),"",G581/G580-1)</f>
        <v/>
      </c>
      <c r="N581" s="7">
        <f>IF(G581="","",E581/G581)</f>
        <v/>
      </c>
      <c r="O581" s="7">
        <f>IF(G581="","",F581/G581)</f>
        <v/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4">
        <f>IF(SUMIFS('Daily NSE Equity Cash'!$H:$H,'Daily NSE Equity Cash'!$A:$A,$A582)=0,"",SUMIFS('Daily NSE Equity Cash'!$H:$H,'Daily NSE Equity Cash'!$A:$A,$A582))</f>
        <v/>
      </c>
      <c r="F582" s="4">
        <f>IF(SUMIFS('Daily BSE Equity Cash'!$H:$H,'Daily BSE Equity Cash'!$A:$A,$A582)=0,"",SUMIFS('Daily BSE Equity Cash'!$H:$H,'Daily BSE Equity Cash'!$A:$A,$A582))</f>
        <v/>
      </c>
      <c r="G582" s="4">
        <f>IF(OR(E582="",F582=""),"",E582+F582)</f>
        <v/>
      </c>
      <c r="H582" s="7">
        <f>IFERROR(IF(OR(E582="",INDEX(E:E,MATCH(DATE(YEAR($A582)-1,MONTH($A582),DAY($A582)),$A:$A,0))=""),"",E582/INDEX(E:E,MATCH(DATE(YEAR($A582)-1,MONTH($A582),DAY($A582)),$A:$A,0))-1),"")</f>
        <v/>
      </c>
      <c r="I582" s="7">
        <f>IFERROR(IF(OR(F582="",INDEX(F:F,MATCH(DATE(YEAR($A582)-1,MONTH($A582),DAY($A582)),$A:$A,0))=""),"",F582/INDEX(F:F,MATCH(DATE(YEAR($A582)-1,MONTH($A582),DAY($A582)),$A:$A,0))-1),"")</f>
        <v/>
      </c>
      <c r="J582" s="7">
        <f>IFERROR(IF(OR(G582="",INDEX(G:G,MATCH(DATE(YEAR($A582)-1,MONTH($A582),DAY($A582)),$A:$A,0))=""),"",G582/INDEX(G:G,MATCH(DATE(YEAR($A582)-1,MONTH($A582),DAY($A582)),$A:$A,0))-1),"")</f>
        <v/>
      </c>
      <c r="K582" s="7">
        <f>IF(OR(E582="",E581=""),"",E582/E581-1)</f>
        <v/>
      </c>
      <c r="L582" s="7">
        <f>IF(OR(F582="",F581=""),"",F582/F581-1)</f>
        <v/>
      </c>
      <c r="M582" s="7">
        <f>IF(OR(G582="",G581=""),"",G582/G581-1)</f>
        <v/>
      </c>
      <c r="N582" s="7">
        <f>IF(G582="","",E582/G582)</f>
        <v/>
      </c>
      <c r="O582" s="7">
        <f>IF(G582="","",F582/G582)</f>
        <v/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4">
        <f>IF(SUMIFS('Daily NSE Equity Cash'!$H:$H,'Daily NSE Equity Cash'!$A:$A,$A583)=0,"",SUMIFS('Daily NSE Equity Cash'!$H:$H,'Daily NSE Equity Cash'!$A:$A,$A583))</f>
        <v/>
      </c>
      <c r="F583" s="4">
        <f>IF(SUMIFS('Daily BSE Equity Cash'!$H:$H,'Daily BSE Equity Cash'!$A:$A,$A583)=0,"",SUMIFS('Daily BSE Equity Cash'!$H:$H,'Daily BSE Equity Cash'!$A:$A,$A583))</f>
        <v/>
      </c>
      <c r="G583" s="4">
        <f>IF(OR(E583="",F583=""),"",E583+F583)</f>
        <v/>
      </c>
      <c r="H583" s="7">
        <f>IFERROR(IF(OR(E583="",INDEX(E:E,MATCH(DATE(YEAR($A583)-1,MONTH($A583),DAY($A583)),$A:$A,0))=""),"",E583/INDEX(E:E,MATCH(DATE(YEAR($A583)-1,MONTH($A583),DAY($A583)),$A:$A,0))-1),"")</f>
        <v/>
      </c>
      <c r="I583" s="7">
        <f>IFERROR(IF(OR(F583="",INDEX(F:F,MATCH(DATE(YEAR($A583)-1,MONTH($A583),DAY($A583)),$A:$A,0))=""),"",F583/INDEX(F:F,MATCH(DATE(YEAR($A583)-1,MONTH($A583),DAY($A583)),$A:$A,0))-1),"")</f>
        <v/>
      </c>
      <c r="J583" s="7">
        <f>IFERROR(IF(OR(G583="",INDEX(G:G,MATCH(DATE(YEAR($A583)-1,MONTH($A583),DAY($A583)),$A:$A,0))=""),"",G583/INDEX(G:G,MATCH(DATE(YEAR($A583)-1,MONTH($A583),DAY($A583)),$A:$A,0))-1),"")</f>
        <v/>
      </c>
      <c r="K583" s="7">
        <f>IF(OR(E583="",E582=""),"",E583/E582-1)</f>
        <v/>
      </c>
      <c r="L583" s="7">
        <f>IF(OR(F583="",F582=""),"",F583/F582-1)</f>
        <v/>
      </c>
      <c r="M583" s="7">
        <f>IF(OR(G583="",G582=""),"",G583/G582-1)</f>
        <v/>
      </c>
      <c r="N583" s="7">
        <f>IF(G583="","",E583/G583)</f>
        <v/>
      </c>
      <c r="O583" s="7">
        <f>IF(G583="","",F583/G583)</f>
        <v/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4">
        <f>IF(SUMIFS('Daily NSE Equity Cash'!$H:$H,'Daily NSE Equity Cash'!$A:$A,$A584)=0,"",SUMIFS('Daily NSE Equity Cash'!$H:$H,'Daily NSE Equity Cash'!$A:$A,$A584))</f>
        <v/>
      </c>
      <c r="F584" s="4">
        <f>IF(SUMIFS('Daily BSE Equity Cash'!$H:$H,'Daily BSE Equity Cash'!$A:$A,$A584)=0,"",SUMIFS('Daily BSE Equity Cash'!$H:$H,'Daily BSE Equity Cash'!$A:$A,$A584))</f>
        <v/>
      </c>
      <c r="G584" s="4">
        <f>IF(OR(E584="",F584=""),"",E584+F584)</f>
        <v/>
      </c>
      <c r="H584" s="7">
        <f>IFERROR(IF(OR(E584="",INDEX(E:E,MATCH(DATE(YEAR($A584)-1,MONTH($A584),DAY($A584)),$A:$A,0))=""),"",E584/INDEX(E:E,MATCH(DATE(YEAR($A584)-1,MONTH($A584),DAY($A584)),$A:$A,0))-1),"")</f>
        <v/>
      </c>
      <c r="I584" s="7">
        <f>IFERROR(IF(OR(F584="",INDEX(F:F,MATCH(DATE(YEAR($A584)-1,MONTH($A584),DAY($A584)),$A:$A,0))=""),"",F584/INDEX(F:F,MATCH(DATE(YEAR($A584)-1,MONTH($A584),DAY($A584)),$A:$A,0))-1),"")</f>
        <v/>
      </c>
      <c r="J584" s="7">
        <f>IFERROR(IF(OR(G584="",INDEX(G:G,MATCH(DATE(YEAR($A584)-1,MONTH($A584),DAY($A584)),$A:$A,0))=""),"",G584/INDEX(G:G,MATCH(DATE(YEAR($A584)-1,MONTH($A584),DAY($A584)),$A:$A,0))-1),"")</f>
        <v/>
      </c>
      <c r="K584" s="7">
        <f>IF(OR(E584="",E583=""),"",E584/E583-1)</f>
        <v/>
      </c>
      <c r="L584" s="7">
        <f>IF(OR(F584="",F583=""),"",F584/F583-1)</f>
        <v/>
      </c>
      <c r="M584" s="7">
        <f>IF(OR(G584="",G583=""),"",G584/G583-1)</f>
        <v/>
      </c>
      <c r="N584" s="7">
        <f>IF(G584="","",E584/G584)</f>
        <v/>
      </c>
      <c r="O584" s="7">
        <f>IF(G584="","",F584/G584)</f>
        <v/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4">
        <f>IF(SUMIFS('Daily NSE Equity Cash'!$H:$H,'Daily NSE Equity Cash'!$A:$A,$A585)=0,"",SUMIFS('Daily NSE Equity Cash'!$H:$H,'Daily NSE Equity Cash'!$A:$A,$A585))</f>
        <v/>
      </c>
      <c r="F585" s="4">
        <f>IF(SUMIFS('Daily BSE Equity Cash'!$H:$H,'Daily BSE Equity Cash'!$A:$A,$A585)=0,"",SUMIFS('Daily BSE Equity Cash'!$H:$H,'Daily BSE Equity Cash'!$A:$A,$A585))</f>
        <v/>
      </c>
      <c r="G585" s="4">
        <f>IF(OR(E585="",F585=""),"",E585+F585)</f>
        <v/>
      </c>
      <c r="H585" s="7">
        <f>IFERROR(IF(OR(E585="",INDEX(E:E,MATCH(DATE(YEAR($A585)-1,MONTH($A585),DAY($A585)),$A:$A,0))=""),"",E585/INDEX(E:E,MATCH(DATE(YEAR($A585)-1,MONTH($A585),DAY($A585)),$A:$A,0))-1),"")</f>
        <v/>
      </c>
      <c r="I585" s="7">
        <f>IFERROR(IF(OR(F585="",INDEX(F:F,MATCH(DATE(YEAR($A585)-1,MONTH($A585),DAY($A585)),$A:$A,0))=""),"",F585/INDEX(F:F,MATCH(DATE(YEAR($A585)-1,MONTH($A585),DAY($A585)),$A:$A,0))-1),"")</f>
        <v/>
      </c>
      <c r="J585" s="7">
        <f>IFERROR(IF(OR(G585="",INDEX(G:G,MATCH(DATE(YEAR($A585)-1,MONTH($A585),DAY($A585)),$A:$A,0))=""),"",G585/INDEX(G:G,MATCH(DATE(YEAR($A585)-1,MONTH($A585),DAY($A585)),$A:$A,0))-1),"")</f>
        <v/>
      </c>
      <c r="K585" s="7">
        <f>IF(OR(E585="",E584=""),"",E585/E584-1)</f>
        <v/>
      </c>
      <c r="L585" s="7">
        <f>IF(OR(F585="",F584=""),"",F585/F584-1)</f>
        <v/>
      </c>
      <c r="M585" s="7">
        <f>IF(OR(G585="",G584=""),"",G585/G584-1)</f>
        <v/>
      </c>
      <c r="N585" s="7">
        <f>IF(G585="","",E585/G585)</f>
        <v/>
      </c>
      <c r="O585" s="7">
        <f>IF(G585="","",F585/G585)</f>
        <v/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4">
        <f>IF(SUMIFS('Daily NSE Equity Cash'!$H:$H,'Daily NSE Equity Cash'!$A:$A,$A586)=0,"",SUMIFS('Daily NSE Equity Cash'!$H:$H,'Daily NSE Equity Cash'!$A:$A,$A586))</f>
        <v/>
      </c>
      <c r="F586" s="4">
        <f>IF(SUMIFS('Daily BSE Equity Cash'!$H:$H,'Daily BSE Equity Cash'!$A:$A,$A586)=0,"",SUMIFS('Daily BSE Equity Cash'!$H:$H,'Daily BSE Equity Cash'!$A:$A,$A586))</f>
        <v/>
      </c>
      <c r="G586" s="4">
        <f>IF(OR(E586="",F586=""),"",E586+F586)</f>
        <v/>
      </c>
      <c r="H586" s="7">
        <f>IFERROR(IF(OR(E586="",INDEX(E:E,MATCH(DATE(YEAR($A586)-1,MONTH($A586),DAY($A586)),$A:$A,0))=""),"",E586/INDEX(E:E,MATCH(DATE(YEAR($A586)-1,MONTH($A586),DAY($A586)),$A:$A,0))-1),"")</f>
        <v/>
      </c>
      <c r="I586" s="7">
        <f>IFERROR(IF(OR(F586="",INDEX(F:F,MATCH(DATE(YEAR($A586)-1,MONTH($A586),DAY($A586)),$A:$A,0))=""),"",F586/INDEX(F:F,MATCH(DATE(YEAR($A586)-1,MONTH($A586),DAY($A586)),$A:$A,0))-1),"")</f>
        <v/>
      </c>
      <c r="J586" s="7">
        <f>IFERROR(IF(OR(G586="",INDEX(G:G,MATCH(DATE(YEAR($A586)-1,MONTH($A586),DAY($A586)),$A:$A,0))=""),"",G586/INDEX(G:G,MATCH(DATE(YEAR($A586)-1,MONTH($A586),DAY($A586)),$A:$A,0))-1),"")</f>
        <v/>
      </c>
      <c r="K586" s="7">
        <f>IF(OR(E586="",E585=""),"",E586/E585-1)</f>
        <v/>
      </c>
      <c r="L586" s="7">
        <f>IF(OR(F586="",F585=""),"",F586/F585-1)</f>
        <v/>
      </c>
      <c r="M586" s="7">
        <f>IF(OR(G586="",G585=""),"",G586/G585-1)</f>
        <v/>
      </c>
      <c r="N586" s="7">
        <f>IF(G586="","",E586/G586)</f>
        <v/>
      </c>
      <c r="O586" s="7">
        <f>IF(G586="","",F586/G586)</f>
        <v/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4">
        <f>IF(SUMIFS('Daily NSE Equity Cash'!$H:$H,'Daily NSE Equity Cash'!$A:$A,$A587)=0,"",SUMIFS('Daily NSE Equity Cash'!$H:$H,'Daily NSE Equity Cash'!$A:$A,$A587))</f>
        <v/>
      </c>
      <c r="F587" s="4">
        <f>IF(SUMIFS('Daily BSE Equity Cash'!$H:$H,'Daily BSE Equity Cash'!$A:$A,$A587)=0,"",SUMIFS('Daily BSE Equity Cash'!$H:$H,'Daily BSE Equity Cash'!$A:$A,$A587))</f>
        <v/>
      </c>
      <c r="G587" s="4">
        <f>IF(OR(E587="",F587=""),"",E587+F587)</f>
        <v/>
      </c>
      <c r="H587" s="7">
        <f>IFERROR(IF(OR(E587="",INDEX(E:E,MATCH(DATE(YEAR($A587)-1,MONTH($A587),DAY($A587)),$A:$A,0))=""),"",E587/INDEX(E:E,MATCH(DATE(YEAR($A587)-1,MONTH($A587),DAY($A587)),$A:$A,0))-1),"")</f>
        <v/>
      </c>
      <c r="I587" s="7">
        <f>IFERROR(IF(OR(F587="",INDEX(F:F,MATCH(DATE(YEAR($A587)-1,MONTH($A587),DAY($A587)),$A:$A,0))=""),"",F587/INDEX(F:F,MATCH(DATE(YEAR($A587)-1,MONTH($A587),DAY($A587)),$A:$A,0))-1),"")</f>
        <v/>
      </c>
      <c r="J587" s="7">
        <f>IFERROR(IF(OR(G587="",INDEX(G:G,MATCH(DATE(YEAR($A587)-1,MONTH($A587),DAY($A587)),$A:$A,0))=""),"",G587/INDEX(G:G,MATCH(DATE(YEAR($A587)-1,MONTH($A587),DAY($A587)),$A:$A,0))-1),"")</f>
        <v/>
      </c>
      <c r="K587" s="7">
        <f>IF(OR(E587="",E586=""),"",E587/E586-1)</f>
        <v/>
      </c>
      <c r="L587" s="7">
        <f>IF(OR(F587="",F586=""),"",F587/F586-1)</f>
        <v/>
      </c>
      <c r="M587" s="7">
        <f>IF(OR(G587="",G586=""),"",G587/G586-1)</f>
        <v/>
      </c>
      <c r="N587" s="7">
        <f>IF(G587="","",E587/G587)</f>
        <v/>
      </c>
      <c r="O587" s="7">
        <f>IF(G587="","",F587/G587)</f>
        <v/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4">
        <f>IF(SUMIFS('Daily NSE Equity Cash'!$H:$H,'Daily NSE Equity Cash'!$A:$A,$A588)=0,"",SUMIFS('Daily NSE Equity Cash'!$H:$H,'Daily NSE Equity Cash'!$A:$A,$A588))</f>
        <v/>
      </c>
      <c r="F588" s="4">
        <f>IF(SUMIFS('Daily BSE Equity Cash'!$H:$H,'Daily BSE Equity Cash'!$A:$A,$A588)=0,"",SUMIFS('Daily BSE Equity Cash'!$H:$H,'Daily BSE Equity Cash'!$A:$A,$A588))</f>
        <v/>
      </c>
      <c r="G588" s="4">
        <f>IF(OR(E588="",F588=""),"",E588+F588)</f>
        <v/>
      </c>
      <c r="H588" s="7">
        <f>IFERROR(IF(OR(E588="",INDEX(E:E,MATCH(DATE(YEAR($A588)-1,MONTH($A588),DAY($A588)),$A:$A,0))=""),"",E588/INDEX(E:E,MATCH(DATE(YEAR($A588)-1,MONTH($A588),DAY($A588)),$A:$A,0))-1),"")</f>
        <v/>
      </c>
      <c r="I588" s="7">
        <f>IFERROR(IF(OR(F588="",INDEX(F:F,MATCH(DATE(YEAR($A588)-1,MONTH($A588),DAY($A588)),$A:$A,0))=""),"",F588/INDEX(F:F,MATCH(DATE(YEAR($A588)-1,MONTH($A588),DAY($A588)),$A:$A,0))-1),"")</f>
        <v/>
      </c>
      <c r="J588" s="7">
        <f>IFERROR(IF(OR(G588="",INDEX(G:G,MATCH(DATE(YEAR($A588)-1,MONTH($A588),DAY($A588)),$A:$A,0))=""),"",G588/INDEX(G:G,MATCH(DATE(YEAR($A588)-1,MONTH($A588),DAY($A588)),$A:$A,0))-1),"")</f>
        <v/>
      </c>
      <c r="K588" s="7">
        <f>IF(OR(E588="",E587=""),"",E588/E587-1)</f>
        <v/>
      </c>
      <c r="L588" s="7">
        <f>IF(OR(F588="",F587=""),"",F588/F587-1)</f>
        <v/>
      </c>
      <c r="M588" s="7">
        <f>IF(OR(G588="",G587=""),"",G588/G587-1)</f>
        <v/>
      </c>
      <c r="N588" s="7">
        <f>IF(G588="","",E588/G588)</f>
        <v/>
      </c>
      <c r="O588" s="7">
        <f>IF(G588="","",F588/G588)</f>
        <v/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4">
        <f>IF(SUMIFS('Daily NSE Equity Cash'!$H:$H,'Daily NSE Equity Cash'!$A:$A,$A589)=0,"",SUMIFS('Daily NSE Equity Cash'!$H:$H,'Daily NSE Equity Cash'!$A:$A,$A589))</f>
        <v/>
      </c>
      <c r="F589" s="4">
        <f>IF(SUMIFS('Daily BSE Equity Cash'!$H:$H,'Daily BSE Equity Cash'!$A:$A,$A589)=0,"",SUMIFS('Daily BSE Equity Cash'!$H:$H,'Daily BSE Equity Cash'!$A:$A,$A589))</f>
        <v/>
      </c>
      <c r="G589" s="4">
        <f>IF(OR(E589="",F589=""),"",E589+F589)</f>
        <v/>
      </c>
      <c r="H589" s="7">
        <f>IFERROR(IF(OR(E589="",INDEX(E:E,MATCH(DATE(YEAR($A589)-1,MONTH($A589),DAY($A589)),$A:$A,0))=""),"",E589/INDEX(E:E,MATCH(DATE(YEAR($A589)-1,MONTH($A589),DAY($A589)),$A:$A,0))-1),"")</f>
        <v/>
      </c>
      <c r="I589" s="7">
        <f>IFERROR(IF(OR(F589="",INDEX(F:F,MATCH(DATE(YEAR($A589)-1,MONTH($A589),DAY($A589)),$A:$A,0))=""),"",F589/INDEX(F:F,MATCH(DATE(YEAR($A589)-1,MONTH($A589),DAY($A589)),$A:$A,0))-1),"")</f>
        <v/>
      </c>
      <c r="J589" s="7">
        <f>IFERROR(IF(OR(G589="",INDEX(G:G,MATCH(DATE(YEAR($A589)-1,MONTH($A589),DAY($A589)),$A:$A,0))=""),"",G589/INDEX(G:G,MATCH(DATE(YEAR($A589)-1,MONTH($A589),DAY($A589)),$A:$A,0))-1),"")</f>
        <v/>
      </c>
      <c r="K589" s="7">
        <f>IF(OR(E589="",E588=""),"",E589/E588-1)</f>
        <v/>
      </c>
      <c r="L589" s="7">
        <f>IF(OR(F589="",F588=""),"",F589/F588-1)</f>
        <v/>
      </c>
      <c r="M589" s="7">
        <f>IF(OR(G589="",G588=""),"",G589/G588-1)</f>
        <v/>
      </c>
      <c r="N589" s="7">
        <f>IF(G589="","",E589/G589)</f>
        <v/>
      </c>
      <c r="O589" s="7">
        <f>IF(G589="","",F589/G589)</f>
        <v/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4">
        <f>IF(SUMIFS('Daily NSE Equity Cash'!$H:$H,'Daily NSE Equity Cash'!$A:$A,$A590)=0,"",SUMIFS('Daily NSE Equity Cash'!$H:$H,'Daily NSE Equity Cash'!$A:$A,$A590))</f>
        <v/>
      </c>
      <c r="F590" s="4">
        <f>IF(SUMIFS('Daily BSE Equity Cash'!$H:$H,'Daily BSE Equity Cash'!$A:$A,$A590)=0,"",SUMIFS('Daily BSE Equity Cash'!$H:$H,'Daily BSE Equity Cash'!$A:$A,$A590))</f>
        <v/>
      </c>
      <c r="G590" s="4">
        <f>IF(OR(E590="",F590=""),"",E590+F590)</f>
        <v/>
      </c>
      <c r="H590" s="7">
        <f>IFERROR(IF(OR(E590="",INDEX(E:E,MATCH(DATE(YEAR($A590)-1,MONTH($A590),DAY($A590)),$A:$A,0))=""),"",E590/INDEX(E:E,MATCH(DATE(YEAR($A590)-1,MONTH($A590),DAY($A590)),$A:$A,0))-1),"")</f>
        <v/>
      </c>
      <c r="I590" s="7">
        <f>IFERROR(IF(OR(F590="",INDEX(F:F,MATCH(DATE(YEAR($A590)-1,MONTH($A590),DAY($A590)),$A:$A,0))=""),"",F590/INDEX(F:F,MATCH(DATE(YEAR($A590)-1,MONTH($A590),DAY($A590)),$A:$A,0))-1),"")</f>
        <v/>
      </c>
      <c r="J590" s="7">
        <f>IFERROR(IF(OR(G590="",INDEX(G:G,MATCH(DATE(YEAR($A590)-1,MONTH($A590),DAY($A590)),$A:$A,0))=""),"",G590/INDEX(G:G,MATCH(DATE(YEAR($A590)-1,MONTH($A590),DAY($A590)),$A:$A,0))-1),"")</f>
        <v/>
      </c>
      <c r="K590" s="7">
        <f>IF(OR(E590="",E589=""),"",E590/E589-1)</f>
        <v/>
      </c>
      <c r="L590" s="7">
        <f>IF(OR(F590="",F589=""),"",F590/F589-1)</f>
        <v/>
      </c>
      <c r="M590" s="7">
        <f>IF(OR(G590="",G589=""),"",G590/G589-1)</f>
        <v/>
      </c>
      <c r="N590" s="7">
        <f>IF(G590="","",E590/G590)</f>
        <v/>
      </c>
      <c r="O590" s="7">
        <f>IF(G590="","",F590/G590)</f>
        <v/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4">
        <f>IF(SUMIFS('Daily NSE Equity Cash'!$H:$H,'Daily NSE Equity Cash'!$A:$A,$A591)=0,"",SUMIFS('Daily NSE Equity Cash'!$H:$H,'Daily NSE Equity Cash'!$A:$A,$A591))</f>
        <v/>
      </c>
      <c r="F591" s="4">
        <f>IF(SUMIFS('Daily BSE Equity Cash'!$H:$H,'Daily BSE Equity Cash'!$A:$A,$A591)=0,"",SUMIFS('Daily BSE Equity Cash'!$H:$H,'Daily BSE Equity Cash'!$A:$A,$A591))</f>
        <v/>
      </c>
      <c r="G591" s="4">
        <f>IF(OR(E591="",F591=""),"",E591+F591)</f>
        <v/>
      </c>
      <c r="H591" s="7">
        <f>IFERROR(IF(OR(E591="",INDEX(E:E,MATCH(DATE(YEAR($A591)-1,MONTH($A591),DAY($A591)),$A:$A,0))=""),"",E591/INDEX(E:E,MATCH(DATE(YEAR($A591)-1,MONTH($A591),DAY($A591)),$A:$A,0))-1),"")</f>
        <v/>
      </c>
      <c r="I591" s="7">
        <f>IFERROR(IF(OR(F591="",INDEX(F:F,MATCH(DATE(YEAR($A591)-1,MONTH($A591),DAY($A591)),$A:$A,0))=""),"",F591/INDEX(F:F,MATCH(DATE(YEAR($A591)-1,MONTH($A591),DAY($A591)),$A:$A,0))-1),"")</f>
        <v/>
      </c>
      <c r="J591" s="7">
        <f>IFERROR(IF(OR(G591="",INDEX(G:G,MATCH(DATE(YEAR($A591)-1,MONTH($A591),DAY($A591)),$A:$A,0))=""),"",G591/INDEX(G:G,MATCH(DATE(YEAR($A591)-1,MONTH($A591),DAY($A591)),$A:$A,0))-1),"")</f>
        <v/>
      </c>
      <c r="K591" s="7">
        <f>IF(OR(E591="",E590=""),"",E591/E590-1)</f>
        <v/>
      </c>
      <c r="L591" s="7">
        <f>IF(OR(F591="",F590=""),"",F591/F590-1)</f>
        <v/>
      </c>
      <c r="M591" s="7">
        <f>IF(OR(G591="",G590=""),"",G591/G590-1)</f>
        <v/>
      </c>
      <c r="N591" s="7">
        <f>IF(G591="","",E591/G591)</f>
        <v/>
      </c>
      <c r="O591" s="7">
        <f>IF(G591="","",F591/G591)</f>
        <v/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4">
        <f>IF(SUMIFS('Daily NSE Equity Cash'!$H:$H,'Daily NSE Equity Cash'!$A:$A,$A592)=0,"",SUMIFS('Daily NSE Equity Cash'!$H:$H,'Daily NSE Equity Cash'!$A:$A,$A592))</f>
        <v/>
      </c>
      <c r="F592" s="4">
        <f>IF(SUMIFS('Daily BSE Equity Cash'!$H:$H,'Daily BSE Equity Cash'!$A:$A,$A592)=0,"",SUMIFS('Daily BSE Equity Cash'!$H:$H,'Daily BSE Equity Cash'!$A:$A,$A592))</f>
        <v/>
      </c>
      <c r="G592" s="4">
        <f>IF(OR(E592="",F592=""),"",E592+F592)</f>
        <v/>
      </c>
      <c r="H592" s="7">
        <f>IFERROR(IF(OR(E592="",INDEX(E:E,MATCH(DATE(YEAR($A592)-1,MONTH($A592),DAY($A592)),$A:$A,0))=""),"",E592/INDEX(E:E,MATCH(DATE(YEAR($A592)-1,MONTH($A592),DAY($A592)),$A:$A,0))-1),"")</f>
        <v/>
      </c>
      <c r="I592" s="7">
        <f>IFERROR(IF(OR(F592="",INDEX(F:F,MATCH(DATE(YEAR($A592)-1,MONTH($A592),DAY($A592)),$A:$A,0))=""),"",F592/INDEX(F:F,MATCH(DATE(YEAR($A592)-1,MONTH($A592),DAY($A592)),$A:$A,0))-1),"")</f>
        <v/>
      </c>
      <c r="J592" s="7">
        <f>IFERROR(IF(OR(G592="",INDEX(G:G,MATCH(DATE(YEAR($A592)-1,MONTH($A592),DAY($A592)),$A:$A,0))=""),"",G592/INDEX(G:G,MATCH(DATE(YEAR($A592)-1,MONTH($A592),DAY($A592)),$A:$A,0))-1),"")</f>
        <v/>
      </c>
      <c r="K592" s="7">
        <f>IF(OR(E592="",E591=""),"",E592/E591-1)</f>
        <v/>
      </c>
      <c r="L592" s="7">
        <f>IF(OR(F592="",F591=""),"",F592/F591-1)</f>
        <v/>
      </c>
      <c r="M592" s="7">
        <f>IF(OR(G592="",G591=""),"",G592/G591-1)</f>
        <v/>
      </c>
      <c r="N592" s="7">
        <f>IF(G592="","",E592/G592)</f>
        <v/>
      </c>
      <c r="O592" s="7">
        <f>IF(G592="","",F592/G592)</f>
        <v/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4">
        <f>IF(SUMIFS('Daily NSE Equity Cash'!$H:$H,'Daily NSE Equity Cash'!$A:$A,$A593)=0,"",SUMIFS('Daily NSE Equity Cash'!$H:$H,'Daily NSE Equity Cash'!$A:$A,$A593))</f>
        <v/>
      </c>
      <c r="F593" s="4">
        <f>IF(SUMIFS('Daily BSE Equity Cash'!$H:$H,'Daily BSE Equity Cash'!$A:$A,$A593)=0,"",SUMIFS('Daily BSE Equity Cash'!$H:$H,'Daily BSE Equity Cash'!$A:$A,$A593))</f>
        <v/>
      </c>
      <c r="G593" s="4">
        <f>IF(OR(E593="",F593=""),"",E593+F593)</f>
        <v/>
      </c>
      <c r="H593" s="7">
        <f>IFERROR(IF(OR(E593="",INDEX(E:E,MATCH(DATE(YEAR($A593)-1,MONTH($A593),DAY($A593)),$A:$A,0))=""),"",E593/INDEX(E:E,MATCH(DATE(YEAR($A593)-1,MONTH($A593),DAY($A593)),$A:$A,0))-1),"")</f>
        <v/>
      </c>
      <c r="I593" s="7">
        <f>IFERROR(IF(OR(F593="",INDEX(F:F,MATCH(DATE(YEAR($A593)-1,MONTH($A593),DAY($A593)),$A:$A,0))=""),"",F593/INDEX(F:F,MATCH(DATE(YEAR($A593)-1,MONTH($A593),DAY($A593)),$A:$A,0))-1),"")</f>
        <v/>
      </c>
      <c r="J593" s="7">
        <f>IFERROR(IF(OR(G593="",INDEX(G:G,MATCH(DATE(YEAR($A593)-1,MONTH($A593),DAY($A593)),$A:$A,0))=""),"",G593/INDEX(G:G,MATCH(DATE(YEAR($A593)-1,MONTH($A593),DAY($A593)),$A:$A,0))-1),"")</f>
        <v/>
      </c>
      <c r="K593" s="7">
        <f>IF(OR(E593="",E592=""),"",E593/E592-1)</f>
        <v/>
      </c>
      <c r="L593" s="7">
        <f>IF(OR(F593="",F592=""),"",F593/F592-1)</f>
        <v/>
      </c>
      <c r="M593" s="7">
        <f>IF(OR(G593="",G592=""),"",G593/G592-1)</f>
        <v/>
      </c>
      <c r="N593" s="7">
        <f>IF(G593="","",E593/G593)</f>
        <v/>
      </c>
      <c r="O593" s="7">
        <f>IF(G593="","",F593/G593)</f>
        <v/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4">
        <f>IF(SUMIFS('Daily NSE Equity Cash'!$H:$H,'Daily NSE Equity Cash'!$A:$A,$A594)=0,"",SUMIFS('Daily NSE Equity Cash'!$H:$H,'Daily NSE Equity Cash'!$A:$A,$A594))</f>
        <v/>
      </c>
      <c r="F594" s="4">
        <f>IF(SUMIFS('Daily BSE Equity Cash'!$H:$H,'Daily BSE Equity Cash'!$A:$A,$A594)=0,"",SUMIFS('Daily BSE Equity Cash'!$H:$H,'Daily BSE Equity Cash'!$A:$A,$A594))</f>
        <v/>
      </c>
      <c r="G594" s="4">
        <f>IF(OR(E594="",F594=""),"",E594+F594)</f>
        <v/>
      </c>
      <c r="H594" s="7">
        <f>IFERROR(IF(OR(E594="",INDEX(E:E,MATCH(DATE(YEAR($A594)-1,MONTH($A594),DAY($A594)),$A:$A,0))=""),"",E594/INDEX(E:E,MATCH(DATE(YEAR($A594)-1,MONTH($A594),DAY($A594)),$A:$A,0))-1),"")</f>
        <v/>
      </c>
      <c r="I594" s="7">
        <f>IFERROR(IF(OR(F594="",INDEX(F:F,MATCH(DATE(YEAR($A594)-1,MONTH($A594),DAY($A594)),$A:$A,0))=""),"",F594/INDEX(F:F,MATCH(DATE(YEAR($A594)-1,MONTH($A594),DAY($A594)),$A:$A,0))-1),"")</f>
        <v/>
      </c>
      <c r="J594" s="7">
        <f>IFERROR(IF(OR(G594="",INDEX(G:G,MATCH(DATE(YEAR($A594)-1,MONTH($A594),DAY($A594)),$A:$A,0))=""),"",G594/INDEX(G:G,MATCH(DATE(YEAR($A594)-1,MONTH($A594),DAY($A594)),$A:$A,0))-1),"")</f>
        <v/>
      </c>
      <c r="K594" s="7">
        <f>IF(OR(E594="",E593=""),"",E594/E593-1)</f>
        <v/>
      </c>
      <c r="L594" s="7">
        <f>IF(OR(F594="",F593=""),"",F594/F593-1)</f>
        <v/>
      </c>
      <c r="M594" s="7">
        <f>IF(OR(G594="",G593=""),"",G594/G593-1)</f>
        <v/>
      </c>
      <c r="N594" s="7">
        <f>IF(G594="","",E594/G594)</f>
        <v/>
      </c>
      <c r="O594" s="7">
        <f>IF(G594="","",F594/G594)</f>
        <v/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4">
        <f>IF(SUMIFS('Daily NSE Equity Cash'!$H:$H,'Daily NSE Equity Cash'!$A:$A,$A595)=0,"",SUMIFS('Daily NSE Equity Cash'!$H:$H,'Daily NSE Equity Cash'!$A:$A,$A595))</f>
        <v/>
      </c>
      <c r="F595" s="4">
        <f>IF(SUMIFS('Daily BSE Equity Cash'!$H:$H,'Daily BSE Equity Cash'!$A:$A,$A595)=0,"",SUMIFS('Daily BSE Equity Cash'!$H:$H,'Daily BSE Equity Cash'!$A:$A,$A595))</f>
        <v/>
      </c>
      <c r="G595" s="4">
        <f>IF(OR(E595="",F595=""),"",E595+F595)</f>
        <v/>
      </c>
      <c r="H595" s="7">
        <f>IFERROR(IF(OR(E595="",INDEX(E:E,MATCH(DATE(YEAR($A595)-1,MONTH($A595),DAY($A595)),$A:$A,0))=""),"",E595/INDEX(E:E,MATCH(DATE(YEAR($A595)-1,MONTH($A595),DAY($A595)),$A:$A,0))-1),"")</f>
        <v/>
      </c>
      <c r="I595" s="7">
        <f>IFERROR(IF(OR(F595="",INDEX(F:F,MATCH(DATE(YEAR($A595)-1,MONTH($A595),DAY($A595)),$A:$A,0))=""),"",F595/INDEX(F:F,MATCH(DATE(YEAR($A595)-1,MONTH($A595),DAY($A595)),$A:$A,0))-1),"")</f>
        <v/>
      </c>
      <c r="J595" s="7">
        <f>IFERROR(IF(OR(G595="",INDEX(G:G,MATCH(DATE(YEAR($A595)-1,MONTH($A595),DAY($A595)),$A:$A,0))=""),"",G595/INDEX(G:G,MATCH(DATE(YEAR($A595)-1,MONTH($A595),DAY($A595)),$A:$A,0))-1),"")</f>
        <v/>
      </c>
      <c r="K595" s="7">
        <f>IF(OR(E595="",E594=""),"",E595/E594-1)</f>
        <v/>
      </c>
      <c r="L595" s="7">
        <f>IF(OR(F595="",F594=""),"",F595/F594-1)</f>
        <v/>
      </c>
      <c r="M595" s="7">
        <f>IF(OR(G595="",G594=""),"",G595/G594-1)</f>
        <v/>
      </c>
      <c r="N595" s="7">
        <f>IF(G595="","",E595/G595)</f>
        <v/>
      </c>
      <c r="O595" s="7">
        <f>IF(G595="","",F595/G595)</f>
        <v/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4">
        <f>IF(SUMIFS('Daily NSE Equity Cash'!$H:$H,'Daily NSE Equity Cash'!$A:$A,$A596)=0,"",SUMIFS('Daily NSE Equity Cash'!$H:$H,'Daily NSE Equity Cash'!$A:$A,$A596))</f>
        <v/>
      </c>
      <c r="F596" s="4">
        <f>IF(SUMIFS('Daily BSE Equity Cash'!$H:$H,'Daily BSE Equity Cash'!$A:$A,$A596)=0,"",SUMIFS('Daily BSE Equity Cash'!$H:$H,'Daily BSE Equity Cash'!$A:$A,$A596))</f>
        <v/>
      </c>
      <c r="G596" s="4">
        <f>IF(OR(E596="",F596=""),"",E596+F596)</f>
        <v/>
      </c>
      <c r="H596" s="7">
        <f>IFERROR(IF(OR(E596="",INDEX(E:E,MATCH(DATE(YEAR($A596)-1,MONTH($A596),DAY($A596)),$A:$A,0))=""),"",E596/INDEX(E:E,MATCH(DATE(YEAR($A596)-1,MONTH($A596),DAY($A596)),$A:$A,0))-1),"")</f>
        <v/>
      </c>
      <c r="I596" s="7">
        <f>IFERROR(IF(OR(F596="",INDEX(F:F,MATCH(DATE(YEAR($A596)-1,MONTH($A596),DAY($A596)),$A:$A,0))=""),"",F596/INDEX(F:F,MATCH(DATE(YEAR($A596)-1,MONTH($A596),DAY($A596)),$A:$A,0))-1),"")</f>
        <v/>
      </c>
      <c r="J596" s="7">
        <f>IFERROR(IF(OR(G596="",INDEX(G:G,MATCH(DATE(YEAR($A596)-1,MONTH($A596),DAY($A596)),$A:$A,0))=""),"",G596/INDEX(G:G,MATCH(DATE(YEAR($A596)-1,MONTH($A596),DAY($A596)),$A:$A,0))-1),"")</f>
        <v/>
      </c>
      <c r="K596" s="7">
        <f>IF(OR(E596="",E595=""),"",E596/E595-1)</f>
        <v/>
      </c>
      <c r="L596" s="7">
        <f>IF(OR(F596="",F595=""),"",F596/F595-1)</f>
        <v/>
      </c>
      <c r="M596" s="7">
        <f>IF(OR(G596="",G595=""),"",G596/G595-1)</f>
        <v/>
      </c>
      <c r="N596" s="7">
        <f>IF(G596="","",E596/G596)</f>
        <v/>
      </c>
      <c r="O596" s="7">
        <f>IF(G596="","",F596/G596)</f>
        <v/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4">
        <f>IF(SUMIFS('Daily NSE Equity Cash'!$H:$H,'Daily NSE Equity Cash'!$A:$A,$A597)=0,"",SUMIFS('Daily NSE Equity Cash'!$H:$H,'Daily NSE Equity Cash'!$A:$A,$A597))</f>
        <v/>
      </c>
      <c r="F597" s="4">
        <f>IF(SUMIFS('Daily BSE Equity Cash'!$H:$H,'Daily BSE Equity Cash'!$A:$A,$A597)=0,"",SUMIFS('Daily BSE Equity Cash'!$H:$H,'Daily BSE Equity Cash'!$A:$A,$A597))</f>
        <v/>
      </c>
      <c r="G597" s="4">
        <f>IF(OR(E597="",F597=""),"",E597+F597)</f>
        <v/>
      </c>
      <c r="H597" s="7">
        <f>IFERROR(IF(OR(E597="",INDEX(E:E,MATCH(DATE(YEAR($A597)-1,MONTH($A597),DAY($A597)),$A:$A,0))=""),"",E597/INDEX(E:E,MATCH(DATE(YEAR($A597)-1,MONTH($A597),DAY($A597)),$A:$A,0))-1),"")</f>
        <v/>
      </c>
      <c r="I597" s="7">
        <f>IFERROR(IF(OR(F597="",INDEX(F:F,MATCH(DATE(YEAR($A597)-1,MONTH($A597),DAY($A597)),$A:$A,0))=""),"",F597/INDEX(F:F,MATCH(DATE(YEAR($A597)-1,MONTH($A597),DAY($A597)),$A:$A,0))-1),"")</f>
        <v/>
      </c>
      <c r="J597" s="7">
        <f>IFERROR(IF(OR(G597="",INDEX(G:G,MATCH(DATE(YEAR($A597)-1,MONTH($A597),DAY($A597)),$A:$A,0))=""),"",G597/INDEX(G:G,MATCH(DATE(YEAR($A597)-1,MONTH($A597),DAY($A597)),$A:$A,0))-1),"")</f>
        <v/>
      </c>
      <c r="K597" s="7">
        <f>IF(OR(E597="",E596=""),"",E597/E596-1)</f>
        <v/>
      </c>
      <c r="L597" s="7">
        <f>IF(OR(F597="",F596=""),"",F597/F596-1)</f>
        <v/>
      </c>
      <c r="M597" s="7">
        <f>IF(OR(G597="",G596=""),"",G597/G596-1)</f>
        <v/>
      </c>
      <c r="N597" s="7">
        <f>IF(G597="","",E597/G597)</f>
        <v/>
      </c>
      <c r="O597" s="7">
        <f>IF(G597="","",F597/G597)</f>
        <v/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4">
        <f>IF(SUMIFS('Daily NSE Equity Cash'!$H:$H,'Daily NSE Equity Cash'!$A:$A,$A598)=0,"",SUMIFS('Daily NSE Equity Cash'!$H:$H,'Daily NSE Equity Cash'!$A:$A,$A598))</f>
        <v/>
      </c>
      <c r="F598" s="4">
        <f>IF(SUMIFS('Daily BSE Equity Cash'!$H:$H,'Daily BSE Equity Cash'!$A:$A,$A598)=0,"",SUMIFS('Daily BSE Equity Cash'!$H:$H,'Daily BSE Equity Cash'!$A:$A,$A598))</f>
        <v/>
      </c>
      <c r="G598" s="4">
        <f>IF(OR(E598="",F598=""),"",E598+F598)</f>
        <v/>
      </c>
      <c r="H598" s="7">
        <f>IFERROR(IF(OR(E598="",INDEX(E:E,MATCH(DATE(YEAR($A598)-1,MONTH($A598),DAY($A598)),$A:$A,0))=""),"",E598/INDEX(E:E,MATCH(DATE(YEAR($A598)-1,MONTH($A598),DAY($A598)),$A:$A,0))-1),"")</f>
        <v/>
      </c>
      <c r="I598" s="7">
        <f>IFERROR(IF(OR(F598="",INDEX(F:F,MATCH(DATE(YEAR($A598)-1,MONTH($A598),DAY($A598)),$A:$A,0))=""),"",F598/INDEX(F:F,MATCH(DATE(YEAR($A598)-1,MONTH($A598),DAY($A598)),$A:$A,0))-1),"")</f>
        <v/>
      </c>
      <c r="J598" s="7">
        <f>IFERROR(IF(OR(G598="",INDEX(G:G,MATCH(DATE(YEAR($A598)-1,MONTH($A598),DAY($A598)),$A:$A,0))=""),"",G598/INDEX(G:G,MATCH(DATE(YEAR($A598)-1,MONTH($A598),DAY($A598)),$A:$A,0))-1),"")</f>
        <v/>
      </c>
      <c r="K598" s="7">
        <f>IF(OR(E598="",E597=""),"",E598/E597-1)</f>
        <v/>
      </c>
      <c r="L598" s="7">
        <f>IF(OR(F598="",F597=""),"",F598/F597-1)</f>
        <v/>
      </c>
      <c r="M598" s="7">
        <f>IF(OR(G598="",G597=""),"",G598/G597-1)</f>
        <v/>
      </c>
      <c r="N598" s="7">
        <f>IF(G598="","",E598/G598)</f>
        <v/>
      </c>
      <c r="O598" s="7">
        <f>IF(G598="","",F598/G598)</f>
        <v/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4">
        <f>IF(SUMIFS('Daily NSE Equity Cash'!$H:$H,'Daily NSE Equity Cash'!$A:$A,$A599)=0,"",SUMIFS('Daily NSE Equity Cash'!$H:$H,'Daily NSE Equity Cash'!$A:$A,$A599))</f>
        <v/>
      </c>
      <c r="F599" s="4">
        <f>IF(SUMIFS('Daily BSE Equity Cash'!$H:$H,'Daily BSE Equity Cash'!$A:$A,$A599)=0,"",SUMIFS('Daily BSE Equity Cash'!$H:$H,'Daily BSE Equity Cash'!$A:$A,$A599))</f>
        <v/>
      </c>
      <c r="G599" s="4">
        <f>IF(OR(E599="",F599=""),"",E599+F599)</f>
        <v/>
      </c>
      <c r="H599" s="7">
        <f>IFERROR(IF(OR(E599="",INDEX(E:E,MATCH(DATE(YEAR($A599)-1,MONTH($A599),DAY($A599)),$A:$A,0))=""),"",E599/INDEX(E:E,MATCH(DATE(YEAR($A599)-1,MONTH($A599),DAY($A599)),$A:$A,0))-1),"")</f>
        <v/>
      </c>
      <c r="I599" s="7">
        <f>IFERROR(IF(OR(F599="",INDEX(F:F,MATCH(DATE(YEAR($A599)-1,MONTH($A599),DAY($A599)),$A:$A,0))=""),"",F599/INDEX(F:F,MATCH(DATE(YEAR($A599)-1,MONTH($A599),DAY($A599)),$A:$A,0))-1),"")</f>
        <v/>
      </c>
      <c r="J599" s="7">
        <f>IFERROR(IF(OR(G599="",INDEX(G:G,MATCH(DATE(YEAR($A599)-1,MONTH($A599),DAY($A599)),$A:$A,0))=""),"",G599/INDEX(G:G,MATCH(DATE(YEAR($A599)-1,MONTH($A599),DAY($A599)),$A:$A,0))-1),"")</f>
        <v/>
      </c>
      <c r="K599" s="7">
        <f>IF(OR(E599="",E598=""),"",E599/E598-1)</f>
        <v/>
      </c>
      <c r="L599" s="7">
        <f>IF(OR(F599="",F598=""),"",F599/F598-1)</f>
        <v/>
      </c>
      <c r="M599" s="7">
        <f>IF(OR(G599="",G598=""),"",G599/G598-1)</f>
        <v/>
      </c>
      <c r="N599" s="7">
        <f>IF(G599="","",E599/G599)</f>
        <v/>
      </c>
      <c r="O599" s="7">
        <f>IF(G599="","",F599/G599)</f>
        <v/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4">
        <f>IF(SUMIFS('Daily NSE Equity Cash'!$H:$H,'Daily NSE Equity Cash'!$A:$A,$A600)=0,"",SUMIFS('Daily NSE Equity Cash'!$H:$H,'Daily NSE Equity Cash'!$A:$A,$A600))</f>
        <v/>
      </c>
      <c r="F600" s="4">
        <f>IF(SUMIFS('Daily BSE Equity Cash'!$H:$H,'Daily BSE Equity Cash'!$A:$A,$A600)=0,"",SUMIFS('Daily BSE Equity Cash'!$H:$H,'Daily BSE Equity Cash'!$A:$A,$A600))</f>
        <v/>
      </c>
      <c r="G600" s="4">
        <f>IF(OR(E600="",F600=""),"",E600+F600)</f>
        <v/>
      </c>
      <c r="H600" s="7">
        <f>IFERROR(IF(OR(E600="",INDEX(E:E,MATCH(DATE(YEAR($A600)-1,MONTH($A600),DAY($A600)),$A:$A,0))=""),"",E600/INDEX(E:E,MATCH(DATE(YEAR($A600)-1,MONTH($A600),DAY($A600)),$A:$A,0))-1),"")</f>
        <v/>
      </c>
      <c r="I600" s="7">
        <f>IFERROR(IF(OR(F600="",INDEX(F:F,MATCH(DATE(YEAR($A600)-1,MONTH($A600),DAY($A600)),$A:$A,0))=""),"",F600/INDEX(F:F,MATCH(DATE(YEAR($A600)-1,MONTH($A600),DAY($A600)),$A:$A,0))-1),"")</f>
        <v/>
      </c>
      <c r="J600" s="7">
        <f>IFERROR(IF(OR(G600="",INDEX(G:G,MATCH(DATE(YEAR($A600)-1,MONTH($A600),DAY($A600)),$A:$A,0))=""),"",G600/INDEX(G:G,MATCH(DATE(YEAR($A600)-1,MONTH($A600),DAY($A600)),$A:$A,0))-1),"")</f>
        <v/>
      </c>
      <c r="K600" s="7">
        <f>IF(OR(E600="",E599=""),"",E600/E599-1)</f>
        <v/>
      </c>
      <c r="L600" s="7">
        <f>IF(OR(F600="",F599=""),"",F600/F599-1)</f>
        <v/>
      </c>
      <c r="M600" s="7">
        <f>IF(OR(G600="",G599=""),"",G600/G599-1)</f>
        <v/>
      </c>
      <c r="N600" s="7">
        <f>IF(G600="","",E600/G600)</f>
        <v/>
      </c>
      <c r="O600" s="7">
        <f>IF(G600="","",F600/G600)</f>
        <v/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4">
        <f>IF(SUMIFS('Daily NSE Equity Cash'!$H:$H,'Daily NSE Equity Cash'!$A:$A,$A601)=0,"",SUMIFS('Daily NSE Equity Cash'!$H:$H,'Daily NSE Equity Cash'!$A:$A,$A601))</f>
        <v/>
      </c>
      <c r="F601" s="4">
        <f>IF(SUMIFS('Daily BSE Equity Cash'!$H:$H,'Daily BSE Equity Cash'!$A:$A,$A601)=0,"",SUMIFS('Daily BSE Equity Cash'!$H:$H,'Daily BSE Equity Cash'!$A:$A,$A601))</f>
        <v/>
      </c>
      <c r="G601" s="4">
        <f>IF(OR(E601="",F601=""),"",E601+F601)</f>
        <v/>
      </c>
      <c r="H601" s="7">
        <f>IFERROR(IF(OR(E601="",INDEX(E:E,MATCH(DATE(YEAR($A601)-1,MONTH($A601),DAY($A601)),$A:$A,0))=""),"",E601/INDEX(E:E,MATCH(DATE(YEAR($A601)-1,MONTH($A601),DAY($A601)),$A:$A,0))-1),"")</f>
        <v/>
      </c>
      <c r="I601" s="7">
        <f>IFERROR(IF(OR(F601="",INDEX(F:F,MATCH(DATE(YEAR($A601)-1,MONTH($A601),DAY($A601)),$A:$A,0))=""),"",F601/INDEX(F:F,MATCH(DATE(YEAR($A601)-1,MONTH($A601),DAY($A601)),$A:$A,0))-1),"")</f>
        <v/>
      </c>
      <c r="J601" s="7">
        <f>IFERROR(IF(OR(G601="",INDEX(G:G,MATCH(DATE(YEAR($A601)-1,MONTH($A601),DAY($A601)),$A:$A,0))=""),"",G601/INDEX(G:G,MATCH(DATE(YEAR($A601)-1,MONTH($A601),DAY($A601)),$A:$A,0))-1),"")</f>
        <v/>
      </c>
      <c r="K601" s="7">
        <f>IF(OR(E601="",E600=""),"",E601/E600-1)</f>
        <v/>
      </c>
      <c r="L601" s="7">
        <f>IF(OR(F601="",F600=""),"",F601/F600-1)</f>
        <v/>
      </c>
      <c r="M601" s="7">
        <f>IF(OR(G601="",G600=""),"",G601/G600-1)</f>
        <v/>
      </c>
      <c r="N601" s="7">
        <f>IF(G601="","",E601/G601)</f>
        <v/>
      </c>
      <c r="O601" s="7">
        <f>IF(G601="","",F601/G601)</f>
        <v/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4">
        <f>IF(SUMIFS('Daily NSE Equity Cash'!$H:$H,'Daily NSE Equity Cash'!$A:$A,$A602)=0,"",SUMIFS('Daily NSE Equity Cash'!$H:$H,'Daily NSE Equity Cash'!$A:$A,$A602))</f>
        <v/>
      </c>
      <c r="F602" s="4">
        <f>IF(SUMIFS('Daily BSE Equity Cash'!$H:$H,'Daily BSE Equity Cash'!$A:$A,$A602)=0,"",SUMIFS('Daily BSE Equity Cash'!$H:$H,'Daily BSE Equity Cash'!$A:$A,$A602))</f>
        <v/>
      </c>
      <c r="G602" s="4">
        <f>IF(OR(E602="",F602=""),"",E602+F602)</f>
        <v/>
      </c>
      <c r="H602" s="7">
        <f>IFERROR(IF(OR(E602="",INDEX(E:E,MATCH(DATE(YEAR($A602)-1,MONTH($A602),DAY($A602)),$A:$A,0))=""),"",E602/INDEX(E:E,MATCH(DATE(YEAR($A602)-1,MONTH($A602),DAY($A602)),$A:$A,0))-1),"")</f>
        <v/>
      </c>
      <c r="I602" s="7">
        <f>IFERROR(IF(OR(F602="",INDEX(F:F,MATCH(DATE(YEAR($A602)-1,MONTH($A602),DAY($A602)),$A:$A,0))=""),"",F602/INDEX(F:F,MATCH(DATE(YEAR($A602)-1,MONTH($A602),DAY($A602)),$A:$A,0))-1),"")</f>
        <v/>
      </c>
      <c r="J602" s="7">
        <f>IFERROR(IF(OR(G602="",INDEX(G:G,MATCH(DATE(YEAR($A602)-1,MONTH($A602),DAY($A602)),$A:$A,0))=""),"",G602/INDEX(G:G,MATCH(DATE(YEAR($A602)-1,MONTH($A602),DAY($A602)),$A:$A,0))-1),"")</f>
        <v/>
      </c>
      <c r="K602" s="7">
        <f>IF(OR(E602="",E601=""),"",E602/E601-1)</f>
        <v/>
      </c>
      <c r="L602" s="7">
        <f>IF(OR(F602="",F601=""),"",F602/F601-1)</f>
        <v/>
      </c>
      <c r="M602" s="7">
        <f>IF(OR(G602="",G601=""),"",G602/G601-1)</f>
        <v/>
      </c>
      <c r="N602" s="7">
        <f>IF(G602="","",E602/G602)</f>
        <v/>
      </c>
      <c r="O602" s="7">
        <f>IF(G602="","",F602/G602)</f>
        <v/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4">
        <f>IF(SUMIFS('Daily NSE Equity Cash'!$H:$H,'Daily NSE Equity Cash'!$A:$A,$A603)=0,"",SUMIFS('Daily NSE Equity Cash'!$H:$H,'Daily NSE Equity Cash'!$A:$A,$A603))</f>
        <v/>
      </c>
      <c r="F603" s="4">
        <f>IF(SUMIFS('Daily BSE Equity Cash'!$H:$H,'Daily BSE Equity Cash'!$A:$A,$A603)=0,"",SUMIFS('Daily BSE Equity Cash'!$H:$H,'Daily BSE Equity Cash'!$A:$A,$A603))</f>
        <v/>
      </c>
      <c r="G603" s="4">
        <f>IF(OR(E603="",F603=""),"",E603+F603)</f>
        <v/>
      </c>
      <c r="H603" s="7">
        <f>IFERROR(IF(OR(E603="",INDEX(E:E,MATCH(DATE(YEAR($A603)-1,MONTH($A603),DAY($A603)),$A:$A,0))=""),"",E603/INDEX(E:E,MATCH(DATE(YEAR($A603)-1,MONTH($A603),DAY($A603)),$A:$A,0))-1),"")</f>
        <v/>
      </c>
      <c r="I603" s="7">
        <f>IFERROR(IF(OR(F603="",INDEX(F:F,MATCH(DATE(YEAR($A603)-1,MONTH($A603),DAY($A603)),$A:$A,0))=""),"",F603/INDEX(F:F,MATCH(DATE(YEAR($A603)-1,MONTH($A603),DAY($A603)),$A:$A,0))-1),"")</f>
        <v/>
      </c>
      <c r="J603" s="7">
        <f>IFERROR(IF(OR(G603="",INDEX(G:G,MATCH(DATE(YEAR($A603)-1,MONTH($A603),DAY($A603)),$A:$A,0))=""),"",G603/INDEX(G:G,MATCH(DATE(YEAR($A603)-1,MONTH($A603),DAY($A603)),$A:$A,0))-1),"")</f>
        <v/>
      </c>
      <c r="K603" s="7">
        <f>IF(OR(E603="",E602=""),"",E603/E602-1)</f>
        <v/>
      </c>
      <c r="L603" s="7">
        <f>IF(OR(F603="",F602=""),"",F603/F602-1)</f>
        <v/>
      </c>
      <c r="M603" s="7">
        <f>IF(OR(G603="",G602=""),"",G603/G602-1)</f>
        <v/>
      </c>
      <c r="N603" s="7">
        <f>IF(G603="","",E603/G603)</f>
        <v/>
      </c>
      <c r="O603" s="7">
        <f>IF(G603="","",F603/G603)</f>
        <v/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4">
        <f>IF(SUMIFS('Daily NSE Equity Cash'!$H:$H,'Daily NSE Equity Cash'!$A:$A,$A604)=0,"",SUMIFS('Daily NSE Equity Cash'!$H:$H,'Daily NSE Equity Cash'!$A:$A,$A604))</f>
        <v/>
      </c>
      <c r="F604" s="4">
        <f>IF(SUMIFS('Daily BSE Equity Cash'!$H:$H,'Daily BSE Equity Cash'!$A:$A,$A604)=0,"",SUMIFS('Daily BSE Equity Cash'!$H:$H,'Daily BSE Equity Cash'!$A:$A,$A604))</f>
        <v/>
      </c>
      <c r="G604" s="4">
        <f>IF(OR(E604="",F604=""),"",E604+F604)</f>
        <v/>
      </c>
      <c r="H604" s="7">
        <f>IFERROR(IF(OR(E604="",INDEX(E:E,MATCH(DATE(YEAR($A604)-1,MONTH($A604),DAY($A604)),$A:$A,0))=""),"",E604/INDEX(E:E,MATCH(DATE(YEAR($A604)-1,MONTH($A604),DAY($A604)),$A:$A,0))-1),"")</f>
        <v/>
      </c>
      <c r="I604" s="7">
        <f>IFERROR(IF(OR(F604="",INDEX(F:F,MATCH(DATE(YEAR($A604)-1,MONTH($A604),DAY($A604)),$A:$A,0))=""),"",F604/INDEX(F:F,MATCH(DATE(YEAR($A604)-1,MONTH($A604),DAY($A604)),$A:$A,0))-1),"")</f>
        <v/>
      </c>
      <c r="J604" s="7">
        <f>IFERROR(IF(OR(G604="",INDEX(G:G,MATCH(DATE(YEAR($A604)-1,MONTH($A604),DAY($A604)),$A:$A,0))=""),"",G604/INDEX(G:G,MATCH(DATE(YEAR($A604)-1,MONTH($A604),DAY($A604)),$A:$A,0))-1),"")</f>
        <v/>
      </c>
      <c r="K604" s="7">
        <f>IF(OR(E604="",E603=""),"",E604/E603-1)</f>
        <v/>
      </c>
      <c r="L604" s="7">
        <f>IF(OR(F604="",F603=""),"",F604/F603-1)</f>
        <v/>
      </c>
      <c r="M604" s="7">
        <f>IF(OR(G604="",G603=""),"",G604/G603-1)</f>
        <v/>
      </c>
      <c r="N604" s="7">
        <f>IF(G604="","",E604/G604)</f>
        <v/>
      </c>
      <c r="O604" s="7">
        <f>IF(G604="","",F604/G604)</f>
        <v/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4">
        <f>IF(SUMIFS('Daily NSE Equity Cash'!$H:$H,'Daily NSE Equity Cash'!$A:$A,$A605)=0,"",SUMIFS('Daily NSE Equity Cash'!$H:$H,'Daily NSE Equity Cash'!$A:$A,$A605))</f>
        <v/>
      </c>
      <c r="F605" s="4">
        <f>IF(SUMIFS('Daily BSE Equity Cash'!$H:$H,'Daily BSE Equity Cash'!$A:$A,$A605)=0,"",SUMIFS('Daily BSE Equity Cash'!$H:$H,'Daily BSE Equity Cash'!$A:$A,$A605))</f>
        <v/>
      </c>
      <c r="G605" s="4">
        <f>IF(OR(E605="",F605=""),"",E605+F605)</f>
        <v/>
      </c>
      <c r="H605" s="7">
        <f>IFERROR(IF(OR(E605="",INDEX(E:E,MATCH(DATE(YEAR($A605)-1,MONTH($A605),DAY($A605)),$A:$A,0))=""),"",E605/INDEX(E:E,MATCH(DATE(YEAR($A605)-1,MONTH($A605),DAY($A605)),$A:$A,0))-1),"")</f>
        <v/>
      </c>
      <c r="I605" s="7">
        <f>IFERROR(IF(OR(F605="",INDEX(F:F,MATCH(DATE(YEAR($A605)-1,MONTH($A605),DAY($A605)),$A:$A,0))=""),"",F605/INDEX(F:F,MATCH(DATE(YEAR($A605)-1,MONTH($A605),DAY($A605)),$A:$A,0))-1),"")</f>
        <v/>
      </c>
      <c r="J605" s="7">
        <f>IFERROR(IF(OR(G605="",INDEX(G:G,MATCH(DATE(YEAR($A605)-1,MONTH($A605),DAY($A605)),$A:$A,0))=""),"",G605/INDEX(G:G,MATCH(DATE(YEAR($A605)-1,MONTH($A605),DAY($A605)),$A:$A,0))-1),"")</f>
        <v/>
      </c>
      <c r="K605" s="7">
        <f>IF(OR(E605="",E604=""),"",E605/E604-1)</f>
        <v/>
      </c>
      <c r="L605" s="7">
        <f>IF(OR(F605="",F604=""),"",F605/F604-1)</f>
        <v/>
      </c>
      <c r="M605" s="7">
        <f>IF(OR(G605="",G604=""),"",G605/G604-1)</f>
        <v/>
      </c>
      <c r="N605" s="7">
        <f>IF(G605="","",E605/G605)</f>
        <v/>
      </c>
      <c r="O605" s="7">
        <f>IF(G605="","",F605/G605)</f>
        <v/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4">
        <f>IF(SUMIFS('Daily NSE Equity Cash'!$H:$H,'Daily NSE Equity Cash'!$A:$A,$A606)=0,"",SUMIFS('Daily NSE Equity Cash'!$H:$H,'Daily NSE Equity Cash'!$A:$A,$A606))</f>
        <v/>
      </c>
      <c r="F606" s="4">
        <f>IF(SUMIFS('Daily BSE Equity Cash'!$H:$H,'Daily BSE Equity Cash'!$A:$A,$A606)=0,"",SUMIFS('Daily BSE Equity Cash'!$H:$H,'Daily BSE Equity Cash'!$A:$A,$A606))</f>
        <v/>
      </c>
      <c r="G606" s="4">
        <f>IF(OR(E606="",F606=""),"",E606+F606)</f>
        <v/>
      </c>
      <c r="H606" s="7">
        <f>IFERROR(IF(OR(E606="",INDEX(E:E,MATCH(DATE(YEAR($A606)-1,MONTH($A606),DAY($A606)),$A:$A,0))=""),"",E606/INDEX(E:E,MATCH(DATE(YEAR($A606)-1,MONTH($A606),DAY($A606)),$A:$A,0))-1),"")</f>
        <v/>
      </c>
      <c r="I606" s="7">
        <f>IFERROR(IF(OR(F606="",INDEX(F:F,MATCH(DATE(YEAR($A606)-1,MONTH($A606),DAY($A606)),$A:$A,0))=""),"",F606/INDEX(F:F,MATCH(DATE(YEAR($A606)-1,MONTH($A606),DAY($A606)),$A:$A,0))-1),"")</f>
        <v/>
      </c>
      <c r="J606" s="7">
        <f>IFERROR(IF(OR(G606="",INDEX(G:G,MATCH(DATE(YEAR($A606)-1,MONTH($A606),DAY($A606)),$A:$A,0))=""),"",G606/INDEX(G:G,MATCH(DATE(YEAR($A606)-1,MONTH($A606),DAY($A606)),$A:$A,0))-1),"")</f>
        <v/>
      </c>
      <c r="K606" s="7">
        <f>IF(OR(E606="",E605=""),"",E606/E605-1)</f>
        <v/>
      </c>
      <c r="L606" s="7">
        <f>IF(OR(F606="",F605=""),"",F606/F605-1)</f>
        <v/>
      </c>
      <c r="M606" s="7">
        <f>IF(OR(G606="",G605=""),"",G606/G605-1)</f>
        <v/>
      </c>
      <c r="N606" s="7">
        <f>IF(G606="","",E606/G606)</f>
        <v/>
      </c>
      <c r="O606" s="7">
        <f>IF(G606="","",F606/G606)</f>
        <v/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4">
        <f>IF(SUMIFS('Daily NSE Equity Cash'!$H:$H,'Daily NSE Equity Cash'!$A:$A,$A607)=0,"",SUMIFS('Daily NSE Equity Cash'!$H:$H,'Daily NSE Equity Cash'!$A:$A,$A607))</f>
        <v/>
      </c>
      <c r="F607" s="4">
        <f>IF(SUMIFS('Daily BSE Equity Cash'!$H:$H,'Daily BSE Equity Cash'!$A:$A,$A607)=0,"",SUMIFS('Daily BSE Equity Cash'!$H:$H,'Daily BSE Equity Cash'!$A:$A,$A607))</f>
        <v/>
      </c>
      <c r="G607" s="4">
        <f>IF(OR(E607="",F607=""),"",E607+F607)</f>
        <v/>
      </c>
      <c r="H607" s="7">
        <f>IFERROR(IF(OR(E607="",INDEX(E:E,MATCH(DATE(YEAR($A607)-1,MONTH($A607),DAY($A607)),$A:$A,0))=""),"",E607/INDEX(E:E,MATCH(DATE(YEAR($A607)-1,MONTH($A607),DAY($A607)),$A:$A,0))-1),"")</f>
        <v/>
      </c>
      <c r="I607" s="7">
        <f>IFERROR(IF(OR(F607="",INDEX(F:F,MATCH(DATE(YEAR($A607)-1,MONTH($A607),DAY($A607)),$A:$A,0))=""),"",F607/INDEX(F:F,MATCH(DATE(YEAR($A607)-1,MONTH($A607),DAY($A607)),$A:$A,0))-1),"")</f>
        <v/>
      </c>
      <c r="J607" s="7">
        <f>IFERROR(IF(OR(G607="",INDEX(G:G,MATCH(DATE(YEAR($A607)-1,MONTH($A607),DAY($A607)),$A:$A,0))=""),"",G607/INDEX(G:G,MATCH(DATE(YEAR($A607)-1,MONTH($A607),DAY($A607)),$A:$A,0))-1),"")</f>
        <v/>
      </c>
      <c r="K607" s="7">
        <f>IF(OR(E607="",E606=""),"",E607/E606-1)</f>
        <v/>
      </c>
      <c r="L607" s="7">
        <f>IF(OR(F607="",F606=""),"",F607/F606-1)</f>
        <v/>
      </c>
      <c r="M607" s="7">
        <f>IF(OR(G607="",G606=""),"",G607/G606-1)</f>
        <v/>
      </c>
      <c r="N607" s="7">
        <f>IF(G607="","",E607/G607)</f>
        <v/>
      </c>
      <c r="O607" s="7">
        <f>IF(G607="","",F607/G607)</f>
        <v/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4">
        <f>IF(SUMIFS('Daily NSE Equity Cash'!$H:$H,'Daily NSE Equity Cash'!$A:$A,$A608)=0,"",SUMIFS('Daily NSE Equity Cash'!$H:$H,'Daily NSE Equity Cash'!$A:$A,$A608))</f>
        <v/>
      </c>
      <c r="F608" s="4">
        <f>IF(SUMIFS('Daily BSE Equity Cash'!$H:$H,'Daily BSE Equity Cash'!$A:$A,$A608)=0,"",SUMIFS('Daily BSE Equity Cash'!$H:$H,'Daily BSE Equity Cash'!$A:$A,$A608))</f>
        <v/>
      </c>
      <c r="G608" s="4">
        <f>IF(OR(E608="",F608=""),"",E608+F608)</f>
        <v/>
      </c>
      <c r="H608" s="7">
        <f>IFERROR(IF(OR(E608="",INDEX(E:E,MATCH(DATE(YEAR($A608)-1,MONTH($A608),DAY($A608)),$A:$A,0))=""),"",E608/INDEX(E:E,MATCH(DATE(YEAR($A608)-1,MONTH($A608),DAY($A608)),$A:$A,0))-1),"")</f>
        <v/>
      </c>
      <c r="I608" s="7">
        <f>IFERROR(IF(OR(F608="",INDEX(F:F,MATCH(DATE(YEAR($A608)-1,MONTH($A608),DAY($A608)),$A:$A,0))=""),"",F608/INDEX(F:F,MATCH(DATE(YEAR($A608)-1,MONTH($A608),DAY($A608)),$A:$A,0))-1),"")</f>
        <v/>
      </c>
      <c r="J608" s="7">
        <f>IFERROR(IF(OR(G608="",INDEX(G:G,MATCH(DATE(YEAR($A608)-1,MONTH($A608),DAY($A608)),$A:$A,0))=""),"",G608/INDEX(G:G,MATCH(DATE(YEAR($A608)-1,MONTH($A608),DAY($A608)),$A:$A,0))-1),"")</f>
        <v/>
      </c>
      <c r="K608" s="7">
        <f>IF(OR(E608="",E607=""),"",E608/E607-1)</f>
        <v/>
      </c>
      <c r="L608" s="7">
        <f>IF(OR(F608="",F607=""),"",F608/F607-1)</f>
        <v/>
      </c>
      <c r="M608" s="7">
        <f>IF(OR(G608="",G607=""),"",G608/G607-1)</f>
        <v/>
      </c>
      <c r="N608" s="7">
        <f>IF(G608="","",E608/G608)</f>
        <v/>
      </c>
      <c r="O608" s="7">
        <f>IF(G608="","",F608/G608)</f>
        <v/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4">
        <f>IF(SUMIFS('Daily NSE Equity Cash'!$H:$H,'Daily NSE Equity Cash'!$A:$A,$A609)=0,"",SUMIFS('Daily NSE Equity Cash'!$H:$H,'Daily NSE Equity Cash'!$A:$A,$A609))</f>
        <v/>
      </c>
      <c r="F609" s="4">
        <f>IF(SUMIFS('Daily BSE Equity Cash'!$H:$H,'Daily BSE Equity Cash'!$A:$A,$A609)=0,"",SUMIFS('Daily BSE Equity Cash'!$H:$H,'Daily BSE Equity Cash'!$A:$A,$A609))</f>
        <v/>
      </c>
      <c r="G609" s="4">
        <f>IF(OR(E609="",F609=""),"",E609+F609)</f>
        <v/>
      </c>
      <c r="H609" s="7">
        <f>IFERROR(IF(OR(E609="",INDEX(E:E,MATCH(DATE(YEAR($A609)-1,MONTH($A609),DAY($A609)),$A:$A,0))=""),"",E609/INDEX(E:E,MATCH(DATE(YEAR($A609)-1,MONTH($A609),DAY($A609)),$A:$A,0))-1),"")</f>
        <v/>
      </c>
      <c r="I609" s="7">
        <f>IFERROR(IF(OR(F609="",INDEX(F:F,MATCH(DATE(YEAR($A609)-1,MONTH($A609),DAY($A609)),$A:$A,0))=""),"",F609/INDEX(F:F,MATCH(DATE(YEAR($A609)-1,MONTH($A609),DAY($A609)),$A:$A,0))-1),"")</f>
        <v/>
      </c>
      <c r="J609" s="7">
        <f>IFERROR(IF(OR(G609="",INDEX(G:G,MATCH(DATE(YEAR($A609)-1,MONTH($A609),DAY($A609)),$A:$A,0))=""),"",G609/INDEX(G:G,MATCH(DATE(YEAR($A609)-1,MONTH($A609),DAY($A609)),$A:$A,0))-1),"")</f>
        <v/>
      </c>
      <c r="K609" s="7">
        <f>IF(OR(E609="",E608=""),"",E609/E608-1)</f>
        <v/>
      </c>
      <c r="L609" s="7">
        <f>IF(OR(F609="",F608=""),"",F609/F608-1)</f>
        <v/>
      </c>
      <c r="M609" s="7">
        <f>IF(OR(G609="",G608=""),"",G609/G608-1)</f>
        <v/>
      </c>
      <c r="N609" s="7">
        <f>IF(G609="","",E609/G609)</f>
        <v/>
      </c>
      <c r="O609" s="7">
        <f>IF(G609="","",F609/G609)</f>
        <v/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4">
        <f>IF(SUMIFS('Daily NSE Equity Cash'!$H:$H,'Daily NSE Equity Cash'!$A:$A,$A610)=0,"",SUMIFS('Daily NSE Equity Cash'!$H:$H,'Daily NSE Equity Cash'!$A:$A,$A610))</f>
        <v/>
      </c>
      <c r="F610" s="4">
        <f>IF(SUMIFS('Daily BSE Equity Cash'!$H:$H,'Daily BSE Equity Cash'!$A:$A,$A610)=0,"",SUMIFS('Daily BSE Equity Cash'!$H:$H,'Daily BSE Equity Cash'!$A:$A,$A610))</f>
        <v/>
      </c>
      <c r="G610" s="4">
        <f>IF(OR(E610="",F610=""),"",E610+F610)</f>
        <v/>
      </c>
      <c r="H610" s="7">
        <f>IFERROR(IF(OR(E610="",INDEX(E:E,MATCH(DATE(YEAR($A610)-1,MONTH($A610),DAY($A610)),$A:$A,0))=""),"",E610/INDEX(E:E,MATCH(DATE(YEAR($A610)-1,MONTH($A610),DAY($A610)),$A:$A,0))-1),"")</f>
        <v/>
      </c>
      <c r="I610" s="7">
        <f>IFERROR(IF(OR(F610="",INDEX(F:F,MATCH(DATE(YEAR($A610)-1,MONTH($A610),DAY($A610)),$A:$A,0))=""),"",F610/INDEX(F:F,MATCH(DATE(YEAR($A610)-1,MONTH($A610),DAY($A610)),$A:$A,0))-1),"")</f>
        <v/>
      </c>
      <c r="J610" s="7">
        <f>IFERROR(IF(OR(G610="",INDEX(G:G,MATCH(DATE(YEAR($A610)-1,MONTH($A610),DAY($A610)),$A:$A,0))=""),"",G610/INDEX(G:G,MATCH(DATE(YEAR($A610)-1,MONTH($A610),DAY($A610)),$A:$A,0))-1),"")</f>
        <v/>
      </c>
      <c r="K610" s="7">
        <f>IF(OR(E610="",E609=""),"",E610/E609-1)</f>
        <v/>
      </c>
      <c r="L610" s="7">
        <f>IF(OR(F610="",F609=""),"",F610/F609-1)</f>
        <v/>
      </c>
      <c r="M610" s="7">
        <f>IF(OR(G610="",G609=""),"",G610/G609-1)</f>
        <v/>
      </c>
      <c r="N610" s="7">
        <f>IF(G610="","",E610/G610)</f>
        <v/>
      </c>
      <c r="O610" s="7">
        <f>IF(G610="","",F610/G610)</f>
        <v/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4">
        <f>IF(SUMIFS('Daily NSE Equity Cash'!$H:$H,'Daily NSE Equity Cash'!$A:$A,$A611)=0,"",SUMIFS('Daily NSE Equity Cash'!$H:$H,'Daily NSE Equity Cash'!$A:$A,$A611))</f>
        <v/>
      </c>
      <c r="F611" s="4">
        <f>IF(SUMIFS('Daily BSE Equity Cash'!$H:$H,'Daily BSE Equity Cash'!$A:$A,$A611)=0,"",SUMIFS('Daily BSE Equity Cash'!$H:$H,'Daily BSE Equity Cash'!$A:$A,$A611))</f>
        <v/>
      </c>
      <c r="G611" s="4">
        <f>IF(OR(E611="",F611=""),"",E611+F611)</f>
        <v/>
      </c>
      <c r="H611" s="7">
        <f>IFERROR(IF(OR(E611="",INDEX(E:E,MATCH(DATE(YEAR($A611)-1,MONTH($A611),DAY($A611)),$A:$A,0))=""),"",E611/INDEX(E:E,MATCH(DATE(YEAR($A611)-1,MONTH($A611),DAY($A611)),$A:$A,0))-1),"")</f>
        <v/>
      </c>
      <c r="I611" s="7">
        <f>IFERROR(IF(OR(F611="",INDEX(F:F,MATCH(DATE(YEAR($A611)-1,MONTH($A611),DAY($A611)),$A:$A,0))=""),"",F611/INDEX(F:F,MATCH(DATE(YEAR($A611)-1,MONTH($A611),DAY($A611)),$A:$A,0))-1),"")</f>
        <v/>
      </c>
      <c r="J611" s="7">
        <f>IFERROR(IF(OR(G611="",INDEX(G:G,MATCH(DATE(YEAR($A611)-1,MONTH($A611),DAY($A611)),$A:$A,0))=""),"",G611/INDEX(G:G,MATCH(DATE(YEAR($A611)-1,MONTH($A611),DAY($A611)),$A:$A,0))-1),"")</f>
        <v/>
      </c>
      <c r="K611" s="7">
        <f>IF(OR(E611="",E610=""),"",E611/E610-1)</f>
        <v/>
      </c>
      <c r="L611" s="7">
        <f>IF(OR(F611="",F610=""),"",F611/F610-1)</f>
        <v/>
      </c>
      <c r="M611" s="7">
        <f>IF(OR(G611="",G610=""),"",G611/G610-1)</f>
        <v/>
      </c>
      <c r="N611" s="7">
        <f>IF(G611="","",E611/G611)</f>
        <v/>
      </c>
      <c r="O611" s="7">
        <f>IF(G611="","",F611/G611)</f>
        <v/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4">
        <f>IF(SUMIFS('Daily NSE Equity Cash'!$H:$H,'Daily NSE Equity Cash'!$A:$A,$A612)=0,"",SUMIFS('Daily NSE Equity Cash'!$H:$H,'Daily NSE Equity Cash'!$A:$A,$A612))</f>
        <v/>
      </c>
      <c r="F612" s="4">
        <f>IF(SUMIFS('Daily BSE Equity Cash'!$H:$H,'Daily BSE Equity Cash'!$A:$A,$A612)=0,"",SUMIFS('Daily BSE Equity Cash'!$H:$H,'Daily BSE Equity Cash'!$A:$A,$A612))</f>
        <v/>
      </c>
      <c r="G612" s="4">
        <f>IF(OR(E612="",F612=""),"",E612+F612)</f>
        <v/>
      </c>
      <c r="H612" s="7">
        <f>IFERROR(IF(OR(E612="",INDEX(E:E,MATCH(DATE(YEAR($A612)-1,MONTH($A612),DAY($A612)),$A:$A,0))=""),"",E612/INDEX(E:E,MATCH(DATE(YEAR($A612)-1,MONTH($A612),DAY($A612)),$A:$A,0))-1),"")</f>
        <v/>
      </c>
      <c r="I612" s="7">
        <f>IFERROR(IF(OR(F612="",INDEX(F:F,MATCH(DATE(YEAR($A612)-1,MONTH($A612),DAY($A612)),$A:$A,0))=""),"",F612/INDEX(F:F,MATCH(DATE(YEAR($A612)-1,MONTH($A612),DAY($A612)),$A:$A,0))-1),"")</f>
        <v/>
      </c>
      <c r="J612" s="7">
        <f>IFERROR(IF(OR(G612="",INDEX(G:G,MATCH(DATE(YEAR($A612)-1,MONTH($A612),DAY($A612)),$A:$A,0))=""),"",G612/INDEX(G:G,MATCH(DATE(YEAR($A612)-1,MONTH($A612),DAY($A612)),$A:$A,0))-1),"")</f>
        <v/>
      </c>
      <c r="K612" s="7">
        <f>IF(OR(E612="",E611=""),"",E612/E611-1)</f>
        <v/>
      </c>
      <c r="L612" s="7">
        <f>IF(OR(F612="",F611=""),"",F612/F611-1)</f>
        <v/>
      </c>
      <c r="M612" s="7">
        <f>IF(OR(G612="",G611=""),"",G612/G611-1)</f>
        <v/>
      </c>
      <c r="N612" s="7">
        <f>IF(G612="","",E612/G612)</f>
        <v/>
      </c>
      <c r="O612" s="7">
        <f>IF(G612="","",F612/G612)</f>
        <v/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4">
        <f>IF(SUMIFS('Daily NSE Equity Cash'!$H:$H,'Daily NSE Equity Cash'!$A:$A,$A613)=0,"",SUMIFS('Daily NSE Equity Cash'!$H:$H,'Daily NSE Equity Cash'!$A:$A,$A613))</f>
        <v/>
      </c>
      <c r="F613" s="4">
        <f>IF(SUMIFS('Daily BSE Equity Cash'!$H:$H,'Daily BSE Equity Cash'!$A:$A,$A613)=0,"",SUMIFS('Daily BSE Equity Cash'!$H:$H,'Daily BSE Equity Cash'!$A:$A,$A613))</f>
        <v/>
      </c>
      <c r="G613" s="4">
        <f>IF(OR(E613="",F613=""),"",E613+F613)</f>
        <v/>
      </c>
      <c r="H613" s="7">
        <f>IFERROR(IF(OR(E613="",INDEX(E:E,MATCH(DATE(YEAR($A613)-1,MONTH($A613),DAY($A613)),$A:$A,0))=""),"",E613/INDEX(E:E,MATCH(DATE(YEAR($A613)-1,MONTH($A613),DAY($A613)),$A:$A,0))-1),"")</f>
        <v/>
      </c>
      <c r="I613" s="7">
        <f>IFERROR(IF(OR(F613="",INDEX(F:F,MATCH(DATE(YEAR($A613)-1,MONTH($A613),DAY($A613)),$A:$A,0))=""),"",F613/INDEX(F:F,MATCH(DATE(YEAR($A613)-1,MONTH($A613),DAY($A613)),$A:$A,0))-1),"")</f>
        <v/>
      </c>
      <c r="J613" s="7">
        <f>IFERROR(IF(OR(G613="",INDEX(G:G,MATCH(DATE(YEAR($A613)-1,MONTH($A613),DAY($A613)),$A:$A,0))=""),"",G613/INDEX(G:G,MATCH(DATE(YEAR($A613)-1,MONTH($A613),DAY($A613)),$A:$A,0))-1),"")</f>
        <v/>
      </c>
      <c r="K613" s="7">
        <f>IF(OR(E613="",E612=""),"",E613/E612-1)</f>
        <v/>
      </c>
      <c r="L613" s="7">
        <f>IF(OR(F613="",F612=""),"",F613/F612-1)</f>
        <v/>
      </c>
      <c r="M613" s="7">
        <f>IF(OR(G613="",G612=""),"",G613/G612-1)</f>
        <v/>
      </c>
      <c r="N613" s="7">
        <f>IF(G613="","",E613/G613)</f>
        <v/>
      </c>
      <c r="O613" s="7">
        <f>IF(G613="","",F613/G613)</f>
        <v/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4">
        <f>IF(SUMIFS('Daily NSE Equity Cash'!$H:$H,'Daily NSE Equity Cash'!$A:$A,$A614)=0,"",SUMIFS('Daily NSE Equity Cash'!$H:$H,'Daily NSE Equity Cash'!$A:$A,$A614))</f>
        <v/>
      </c>
      <c r="F614" s="4">
        <f>IF(SUMIFS('Daily BSE Equity Cash'!$H:$H,'Daily BSE Equity Cash'!$A:$A,$A614)=0,"",SUMIFS('Daily BSE Equity Cash'!$H:$H,'Daily BSE Equity Cash'!$A:$A,$A614))</f>
        <v/>
      </c>
      <c r="G614" s="4">
        <f>IF(OR(E614="",F614=""),"",E614+F614)</f>
        <v/>
      </c>
      <c r="H614" s="7">
        <f>IFERROR(IF(OR(E614="",INDEX(E:E,MATCH(DATE(YEAR($A614)-1,MONTH($A614),DAY($A614)),$A:$A,0))=""),"",E614/INDEX(E:E,MATCH(DATE(YEAR($A614)-1,MONTH($A614),DAY($A614)),$A:$A,0))-1),"")</f>
        <v/>
      </c>
      <c r="I614" s="7">
        <f>IFERROR(IF(OR(F614="",INDEX(F:F,MATCH(DATE(YEAR($A614)-1,MONTH($A614),DAY($A614)),$A:$A,0))=""),"",F614/INDEX(F:F,MATCH(DATE(YEAR($A614)-1,MONTH($A614),DAY($A614)),$A:$A,0))-1),"")</f>
        <v/>
      </c>
      <c r="J614" s="7">
        <f>IFERROR(IF(OR(G614="",INDEX(G:G,MATCH(DATE(YEAR($A614)-1,MONTH($A614),DAY($A614)),$A:$A,0))=""),"",G614/INDEX(G:G,MATCH(DATE(YEAR($A614)-1,MONTH($A614),DAY($A614)),$A:$A,0))-1),"")</f>
        <v/>
      </c>
      <c r="K614" s="7">
        <f>IF(OR(E614="",E613=""),"",E614/E613-1)</f>
        <v/>
      </c>
      <c r="L614" s="7">
        <f>IF(OR(F614="",F613=""),"",F614/F613-1)</f>
        <v/>
      </c>
      <c r="M614" s="7">
        <f>IF(OR(G614="",G613=""),"",G614/G613-1)</f>
        <v/>
      </c>
      <c r="N614" s="7">
        <f>IF(G614="","",E614/G614)</f>
        <v/>
      </c>
      <c r="O614" s="7">
        <f>IF(G614="","",F614/G614)</f>
        <v/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4">
        <f>IF(SUMIFS('Daily NSE Equity Cash'!$H:$H,'Daily NSE Equity Cash'!$A:$A,$A615)=0,"",SUMIFS('Daily NSE Equity Cash'!$H:$H,'Daily NSE Equity Cash'!$A:$A,$A615))</f>
        <v/>
      </c>
      <c r="F615" s="4">
        <f>IF(SUMIFS('Daily BSE Equity Cash'!$H:$H,'Daily BSE Equity Cash'!$A:$A,$A615)=0,"",SUMIFS('Daily BSE Equity Cash'!$H:$H,'Daily BSE Equity Cash'!$A:$A,$A615))</f>
        <v/>
      </c>
      <c r="G615" s="4">
        <f>IF(OR(E615="",F615=""),"",E615+F615)</f>
        <v/>
      </c>
      <c r="H615" s="7">
        <f>IFERROR(IF(OR(E615="",INDEX(E:E,MATCH(DATE(YEAR($A615)-1,MONTH($A615),DAY($A615)),$A:$A,0))=""),"",E615/INDEX(E:E,MATCH(DATE(YEAR($A615)-1,MONTH($A615),DAY($A615)),$A:$A,0))-1),"")</f>
        <v/>
      </c>
      <c r="I615" s="7">
        <f>IFERROR(IF(OR(F615="",INDEX(F:F,MATCH(DATE(YEAR($A615)-1,MONTH($A615),DAY($A615)),$A:$A,0))=""),"",F615/INDEX(F:F,MATCH(DATE(YEAR($A615)-1,MONTH($A615),DAY($A615)),$A:$A,0))-1),"")</f>
        <v/>
      </c>
      <c r="J615" s="7">
        <f>IFERROR(IF(OR(G615="",INDEX(G:G,MATCH(DATE(YEAR($A615)-1,MONTH($A615),DAY($A615)),$A:$A,0))=""),"",G615/INDEX(G:G,MATCH(DATE(YEAR($A615)-1,MONTH($A615),DAY($A615)),$A:$A,0))-1),"")</f>
        <v/>
      </c>
      <c r="K615" s="7">
        <f>IF(OR(E615="",E614=""),"",E615/E614-1)</f>
        <v/>
      </c>
      <c r="L615" s="7">
        <f>IF(OR(F615="",F614=""),"",F615/F614-1)</f>
        <v/>
      </c>
      <c r="M615" s="7">
        <f>IF(OR(G615="",G614=""),"",G615/G614-1)</f>
        <v/>
      </c>
      <c r="N615" s="7">
        <f>IF(G615="","",E615/G615)</f>
        <v/>
      </c>
      <c r="O615" s="7">
        <f>IF(G615="","",F615/G615)</f>
        <v/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4">
        <f>IF(SUMIFS('Daily NSE Equity Cash'!$H:$H,'Daily NSE Equity Cash'!$A:$A,$A616)=0,"",SUMIFS('Daily NSE Equity Cash'!$H:$H,'Daily NSE Equity Cash'!$A:$A,$A616))</f>
        <v/>
      </c>
      <c r="F616" s="4">
        <f>IF(SUMIFS('Daily BSE Equity Cash'!$H:$H,'Daily BSE Equity Cash'!$A:$A,$A616)=0,"",SUMIFS('Daily BSE Equity Cash'!$H:$H,'Daily BSE Equity Cash'!$A:$A,$A616))</f>
        <v/>
      </c>
      <c r="G616" s="4">
        <f>IF(OR(E616="",F616=""),"",E616+F616)</f>
        <v/>
      </c>
      <c r="H616" s="7">
        <f>IFERROR(IF(OR(E616="",INDEX(E:E,MATCH(DATE(YEAR($A616)-1,MONTH($A616),DAY($A616)),$A:$A,0))=""),"",E616/INDEX(E:E,MATCH(DATE(YEAR($A616)-1,MONTH($A616),DAY($A616)),$A:$A,0))-1),"")</f>
        <v/>
      </c>
      <c r="I616" s="7">
        <f>IFERROR(IF(OR(F616="",INDEX(F:F,MATCH(DATE(YEAR($A616)-1,MONTH($A616),DAY($A616)),$A:$A,0))=""),"",F616/INDEX(F:F,MATCH(DATE(YEAR($A616)-1,MONTH($A616),DAY($A616)),$A:$A,0))-1),"")</f>
        <v/>
      </c>
      <c r="J616" s="7">
        <f>IFERROR(IF(OR(G616="",INDEX(G:G,MATCH(DATE(YEAR($A616)-1,MONTH($A616),DAY($A616)),$A:$A,0))=""),"",G616/INDEX(G:G,MATCH(DATE(YEAR($A616)-1,MONTH($A616),DAY($A616)),$A:$A,0))-1),"")</f>
        <v/>
      </c>
      <c r="K616" s="7">
        <f>IF(OR(E616="",E615=""),"",E616/E615-1)</f>
        <v/>
      </c>
      <c r="L616" s="7">
        <f>IF(OR(F616="",F615=""),"",F616/F615-1)</f>
        <v/>
      </c>
      <c r="M616" s="7">
        <f>IF(OR(G616="",G615=""),"",G616/G615-1)</f>
        <v/>
      </c>
      <c r="N616" s="7">
        <f>IF(G616="","",E616/G616)</f>
        <v/>
      </c>
      <c r="O616" s="7">
        <f>IF(G616="","",F616/G616)</f>
        <v/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4">
        <f>IF(SUMIFS('Daily NSE Equity Cash'!$H:$H,'Daily NSE Equity Cash'!$A:$A,$A617)=0,"",SUMIFS('Daily NSE Equity Cash'!$H:$H,'Daily NSE Equity Cash'!$A:$A,$A617))</f>
        <v/>
      </c>
      <c r="F617" s="4">
        <f>IF(SUMIFS('Daily BSE Equity Cash'!$H:$H,'Daily BSE Equity Cash'!$A:$A,$A617)=0,"",SUMIFS('Daily BSE Equity Cash'!$H:$H,'Daily BSE Equity Cash'!$A:$A,$A617))</f>
        <v/>
      </c>
      <c r="G617" s="4">
        <f>IF(OR(E617="",F617=""),"",E617+F617)</f>
        <v/>
      </c>
      <c r="H617" s="7">
        <f>IFERROR(IF(OR(E617="",INDEX(E:E,MATCH(DATE(YEAR($A617)-1,MONTH($A617),DAY($A617)),$A:$A,0))=""),"",E617/INDEX(E:E,MATCH(DATE(YEAR($A617)-1,MONTH($A617),DAY($A617)),$A:$A,0))-1),"")</f>
        <v/>
      </c>
      <c r="I617" s="7">
        <f>IFERROR(IF(OR(F617="",INDEX(F:F,MATCH(DATE(YEAR($A617)-1,MONTH($A617),DAY($A617)),$A:$A,0))=""),"",F617/INDEX(F:F,MATCH(DATE(YEAR($A617)-1,MONTH($A617),DAY($A617)),$A:$A,0))-1),"")</f>
        <v/>
      </c>
      <c r="J617" s="7">
        <f>IFERROR(IF(OR(G617="",INDEX(G:G,MATCH(DATE(YEAR($A617)-1,MONTH($A617),DAY($A617)),$A:$A,0))=""),"",G617/INDEX(G:G,MATCH(DATE(YEAR($A617)-1,MONTH($A617),DAY($A617)),$A:$A,0))-1),"")</f>
        <v/>
      </c>
      <c r="K617" s="7">
        <f>IF(OR(E617="",E616=""),"",E617/E616-1)</f>
        <v/>
      </c>
      <c r="L617" s="7">
        <f>IF(OR(F617="",F616=""),"",F617/F616-1)</f>
        <v/>
      </c>
      <c r="M617" s="7">
        <f>IF(OR(G617="",G616=""),"",G617/G616-1)</f>
        <v/>
      </c>
      <c r="N617" s="7">
        <f>IF(G617="","",E617/G617)</f>
        <v/>
      </c>
      <c r="O617" s="7">
        <f>IF(G617="","",F617/G617)</f>
        <v/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4">
        <f>IF(SUMIFS('Daily NSE Equity Cash'!$H:$H,'Daily NSE Equity Cash'!$A:$A,$A618)=0,"",SUMIFS('Daily NSE Equity Cash'!$H:$H,'Daily NSE Equity Cash'!$A:$A,$A618))</f>
        <v/>
      </c>
      <c r="F618" s="4">
        <f>IF(SUMIFS('Daily BSE Equity Cash'!$H:$H,'Daily BSE Equity Cash'!$A:$A,$A618)=0,"",SUMIFS('Daily BSE Equity Cash'!$H:$H,'Daily BSE Equity Cash'!$A:$A,$A618))</f>
        <v/>
      </c>
      <c r="G618" s="4">
        <f>IF(OR(E618="",F618=""),"",E618+F618)</f>
        <v/>
      </c>
      <c r="H618" s="7">
        <f>IFERROR(IF(OR(E618="",INDEX(E:E,MATCH(DATE(YEAR($A618)-1,MONTH($A618),DAY($A618)),$A:$A,0))=""),"",E618/INDEX(E:E,MATCH(DATE(YEAR($A618)-1,MONTH($A618),DAY($A618)),$A:$A,0))-1),"")</f>
        <v/>
      </c>
      <c r="I618" s="7">
        <f>IFERROR(IF(OR(F618="",INDEX(F:F,MATCH(DATE(YEAR($A618)-1,MONTH($A618),DAY($A618)),$A:$A,0))=""),"",F618/INDEX(F:F,MATCH(DATE(YEAR($A618)-1,MONTH($A618),DAY($A618)),$A:$A,0))-1),"")</f>
        <v/>
      </c>
      <c r="J618" s="7">
        <f>IFERROR(IF(OR(G618="",INDEX(G:G,MATCH(DATE(YEAR($A618)-1,MONTH($A618),DAY($A618)),$A:$A,0))=""),"",G618/INDEX(G:G,MATCH(DATE(YEAR($A618)-1,MONTH($A618),DAY($A618)),$A:$A,0))-1),"")</f>
        <v/>
      </c>
      <c r="K618" s="7">
        <f>IF(OR(E618="",E617=""),"",E618/E617-1)</f>
        <v/>
      </c>
      <c r="L618" s="7">
        <f>IF(OR(F618="",F617=""),"",F618/F617-1)</f>
        <v/>
      </c>
      <c r="M618" s="7">
        <f>IF(OR(G618="",G617=""),"",G618/G617-1)</f>
        <v/>
      </c>
      <c r="N618" s="7">
        <f>IF(G618="","",E618/G618)</f>
        <v/>
      </c>
      <c r="O618" s="7">
        <f>IF(G618="","",F618/G618)</f>
        <v/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4">
        <f>IF(SUMIFS('Daily NSE Equity Cash'!$H:$H,'Daily NSE Equity Cash'!$A:$A,$A619)=0,"",SUMIFS('Daily NSE Equity Cash'!$H:$H,'Daily NSE Equity Cash'!$A:$A,$A619))</f>
        <v/>
      </c>
      <c r="F619" s="4">
        <f>IF(SUMIFS('Daily BSE Equity Cash'!$H:$H,'Daily BSE Equity Cash'!$A:$A,$A619)=0,"",SUMIFS('Daily BSE Equity Cash'!$H:$H,'Daily BSE Equity Cash'!$A:$A,$A619))</f>
        <v/>
      </c>
      <c r="G619" s="4">
        <f>IF(OR(E619="",F619=""),"",E619+F619)</f>
        <v/>
      </c>
      <c r="H619" s="7">
        <f>IFERROR(IF(OR(E619="",INDEX(E:E,MATCH(DATE(YEAR($A619)-1,MONTH($A619),DAY($A619)),$A:$A,0))=""),"",E619/INDEX(E:E,MATCH(DATE(YEAR($A619)-1,MONTH($A619),DAY($A619)),$A:$A,0))-1),"")</f>
        <v/>
      </c>
      <c r="I619" s="7">
        <f>IFERROR(IF(OR(F619="",INDEX(F:F,MATCH(DATE(YEAR($A619)-1,MONTH($A619),DAY($A619)),$A:$A,0))=""),"",F619/INDEX(F:F,MATCH(DATE(YEAR($A619)-1,MONTH($A619),DAY($A619)),$A:$A,0))-1),"")</f>
        <v/>
      </c>
      <c r="J619" s="7">
        <f>IFERROR(IF(OR(G619="",INDEX(G:G,MATCH(DATE(YEAR($A619)-1,MONTH($A619),DAY($A619)),$A:$A,0))=""),"",G619/INDEX(G:G,MATCH(DATE(YEAR($A619)-1,MONTH($A619),DAY($A619)),$A:$A,0))-1),"")</f>
        <v/>
      </c>
      <c r="K619" s="7">
        <f>IF(OR(E619="",E618=""),"",E619/E618-1)</f>
        <v/>
      </c>
      <c r="L619" s="7">
        <f>IF(OR(F619="",F618=""),"",F619/F618-1)</f>
        <v/>
      </c>
      <c r="M619" s="7">
        <f>IF(OR(G619="",G618=""),"",G619/G618-1)</f>
        <v/>
      </c>
      <c r="N619" s="7">
        <f>IF(G619="","",E619/G619)</f>
        <v/>
      </c>
      <c r="O619" s="7">
        <f>IF(G619="","",F619/G619)</f>
        <v/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4">
        <f>IF(SUMIFS('Daily NSE Equity Cash'!$H:$H,'Daily NSE Equity Cash'!$A:$A,$A620)=0,"",SUMIFS('Daily NSE Equity Cash'!$H:$H,'Daily NSE Equity Cash'!$A:$A,$A620))</f>
        <v/>
      </c>
      <c r="F620" s="4">
        <f>IF(SUMIFS('Daily BSE Equity Cash'!$H:$H,'Daily BSE Equity Cash'!$A:$A,$A620)=0,"",SUMIFS('Daily BSE Equity Cash'!$H:$H,'Daily BSE Equity Cash'!$A:$A,$A620))</f>
        <v/>
      </c>
      <c r="G620" s="4">
        <f>IF(OR(E620="",F620=""),"",E620+F620)</f>
        <v/>
      </c>
      <c r="H620" s="7">
        <f>IFERROR(IF(OR(E620="",INDEX(E:E,MATCH(DATE(YEAR($A620)-1,MONTH($A620),DAY($A620)),$A:$A,0))=""),"",E620/INDEX(E:E,MATCH(DATE(YEAR($A620)-1,MONTH($A620),DAY($A620)),$A:$A,0))-1),"")</f>
        <v/>
      </c>
      <c r="I620" s="7">
        <f>IFERROR(IF(OR(F620="",INDEX(F:F,MATCH(DATE(YEAR($A620)-1,MONTH($A620),DAY($A620)),$A:$A,0))=""),"",F620/INDEX(F:F,MATCH(DATE(YEAR($A620)-1,MONTH($A620),DAY($A620)),$A:$A,0))-1),"")</f>
        <v/>
      </c>
      <c r="J620" s="7">
        <f>IFERROR(IF(OR(G620="",INDEX(G:G,MATCH(DATE(YEAR($A620)-1,MONTH($A620),DAY($A620)),$A:$A,0))=""),"",G620/INDEX(G:G,MATCH(DATE(YEAR($A620)-1,MONTH($A620),DAY($A620)),$A:$A,0))-1),"")</f>
        <v/>
      </c>
      <c r="K620" s="7">
        <f>IF(OR(E620="",E619=""),"",E620/E619-1)</f>
        <v/>
      </c>
      <c r="L620" s="7">
        <f>IF(OR(F620="",F619=""),"",F620/F619-1)</f>
        <v/>
      </c>
      <c r="M620" s="7">
        <f>IF(OR(G620="",G619=""),"",G620/G619-1)</f>
        <v/>
      </c>
      <c r="N620" s="7">
        <f>IF(G620="","",E620/G620)</f>
        <v/>
      </c>
      <c r="O620" s="7">
        <f>IF(G620="","",F620/G620)</f>
        <v/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4">
        <f>IF(SUMIFS('Daily NSE Equity Cash'!$H:$H,'Daily NSE Equity Cash'!$A:$A,$A621)=0,"",SUMIFS('Daily NSE Equity Cash'!$H:$H,'Daily NSE Equity Cash'!$A:$A,$A621))</f>
        <v/>
      </c>
      <c r="F621" s="4">
        <f>IF(SUMIFS('Daily BSE Equity Cash'!$H:$H,'Daily BSE Equity Cash'!$A:$A,$A621)=0,"",SUMIFS('Daily BSE Equity Cash'!$H:$H,'Daily BSE Equity Cash'!$A:$A,$A621))</f>
        <v/>
      </c>
      <c r="G621" s="4">
        <f>IF(OR(E621="",F621=""),"",E621+F621)</f>
        <v/>
      </c>
      <c r="H621" s="7">
        <f>IFERROR(IF(OR(E621="",INDEX(E:E,MATCH(DATE(YEAR($A621)-1,MONTH($A621),DAY($A621)),$A:$A,0))=""),"",E621/INDEX(E:E,MATCH(DATE(YEAR($A621)-1,MONTH($A621),DAY($A621)),$A:$A,0))-1),"")</f>
        <v/>
      </c>
      <c r="I621" s="7">
        <f>IFERROR(IF(OR(F621="",INDEX(F:F,MATCH(DATE(YEAR($A621)-1,MONTH($A621),DAY($A621)),$A:$A,0))=""),"",F621/INDEX(F:F,MATCH(DATE(YEAR($A621)-1,MONTH($A621),DAY($A621)),$A:$A,0))-1),"")</f>
        <v/>
      </c>
      <c r="J621" s="7">
        <f>IFERROR(IF(OR(G621="",INDEX(G:G,MATCH(DATE(YEAR($A621)-1,MONTH($A621),DAY($A621)),$A:$A,0))=""),"",G621/INDEX(G:G,MATCH(DATE(YEAR($A621)-1,MONTH($A621),DAY($A621)),$A:$A,0))-1),"")</f>
        <v/>
      </c>
      <c r="K621" s="7">
        <f>IF(OR(E621="",E620=""),"",E621/E620-1)</f>
        <v/>
      </c>
      <c r="L621" s="7">
        <f>IF(OR(F621="",F620=""),"",F621/F620-1)</f>
        <v/>
      </c>
      <c r="M621" s="7">
        <f>IF(OR(G621="",G620=""),"",G621/G620-1)</f>
        <v/>
      </c>
      <c r="N621" s="7">
        <f>IF(G621="","",E621/G621)</f>
        <v/>
      </c>
      <c r="O621" s="7">
        <f>IF(G621="","",F621/G621)</f>
        <v/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4">
        <f>IF(SUMIFS('Daily NSE Equity Cash'!$H:$H,'Daily NSE Equity Cash'!$A:$A,$A622)=0,"",SUMIFS('Daily NSE Equity Cash'!$H:$H,'Daily NSE Equity Cash'!$A:$A,$A622))</f>
        <v/>
      </c>
      <c r="F622" s="4">
        <f>IF(SUMIFS('Daily BSE Equity Cash'!$H:$H,'Daily BSE Equity Cash'!$A:$A,$A622)=0,"",SUMIFS('Daily BSE Equity Cash'!$H:$H,'Daily BSE Equity Cash'!$A:$A,$A622))</f>
        <v/>
      </c>
      <c r="G622" s="4">
        <f>IF(OR(E622="",F622=""),"",E622+F622)</f>
        <v/>
      </c>
      <c r="H622" s="7">
        <f>IFERROR(IF(OR(E622="",INDEX(E:E,MATCH(DATE(YEAR($A622)-1,MONTH($A622),DAY($A622)),$A:$A,0))=""),"",E622/INDEX(E:E,MATCH(DATE(YEAR($A622)-1,MONTH($A622),DAY($A622)),$A:$A,0))-1),"")</f>
        <v/>
      </c>
      <c r="I622" s="7">
        <f>IFERROR(IF(OR(F622="",INDEX(F:F,MATCH(DATE(YEAR($A622)-1,MONTH($A622),DAY($A622)),$A:$A,0))=""),"",F622/INDEX(F:F,MATCH(DATE(YEAR($A622)-1,MONTH($A622),DAY($A622)),$A:$A,0))-1),"")</f>
        <v/>
      </c>
      <c r="J622" s="7">
        <f>IFERROR(IF(OR(G622="",INDEX(G:G,MATCH(DATE(YEAR($A622)-1,MONTH($A622),DAY($A622)),$A:$A,0))=""),"",G622/INDEX(G:G,MATCH(DATE(YEAR($A622)-1,MONTH($A622),DAY($A622)),$A:$A,0))-1),"")</f>
        <v/>
      </c>
      <c r="K622" s="7">
        <f>IF(OR(E622="",E621=""),"",E622/E621-1)</f>
        <v/>
      </c>
      <c r="L622" s="7">
        <f>IF(OR(F622="",F621=""),"",F622/F621-1)</f>
        <v/>
      </c>
      <c r="M622" s="7">
        <f>IF(OR(G622="",G621=""),"",G622/G621-1)</f>
        <v/>
      </c>
      <c r="N622" s="7">
        <f>IF(G622="","",E622/G622)</f>
        <v/>
      </c>
      <c r="O622" s="7">
        <f>IF(G622="","",F622/G622)</f>
        <v/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4">
        <f>IF(SUMIFS('Daily NSE Equity Cash'!$H:$H,'Daily NSE Equity Cash'!$A:$A,$A623)=0,"",SUMIFS('Daily NSE Equity Cash'!$H:$H,'Daily NSE Equity Cash'!$A:$A,$A623))</f>
        <v/>
      </c>
      <c r="F623" s="4">
        <f>IF(SUMIFS('Daily BSE Equity Cash'!$H:$H,'Daily BSE Equity Cash'!$A:$A,$A623)=0,"",SUMIFS('Daily BSE Equity Cash'!$H:$H,'Daily BSE Equity Cash'!$A:$A,$A623))</f>
        <v/>
      </c>
      <c r="G623" s="4">
        <f>IF(OR(E623="",F623=""),"",E623+F623)</f>
        <v/>
      </c>
      <c r="H623" s="7">
        <f>IFERROR(IF(OR(E623="",INDEX(E:E,MATCH(DATE(YEAR($A623)-1,MONTH($A623),DAY($A623)),$A:$A,0))=""),"",E623/INDEX(E:E,MATCH(DATE(YEAR($A623)-1,MONTH($A623),DAY($A623)),$A:$A,0))-1),"")</f>
        <v/>
      </c>
      <c r="I623" s="7">
        <f>IFERROR(IF(OR(F623="",INDEX(F:F,MATCH(DATE(YEAR($A623)-1,MONTH($A623),DAY($A623)),$A:$A,0))=""),"",F623/INDEX(F:F,MATCH(DATE(YEAR($A623)-1,MONTH($A623),DAY($A623)),$A:$A,0))-1),"")</f>
        <v/>
      </c>
      <c r="J623" s="7">
        <f>IFERROR(IF(OR(G623="",INDEX(G:G,MATCH(DATE(YEAR($A623)-1,MONTH($A623),DAY($A623)),$A:$A,0))=""),"",G623/INDEX(G:G,MATCH(DATE(YEAR($A623)-1,MONTH($A623),DAY($A623)),$A:$A,0))-1),"")</f>
        <v/>
      </c>
      <c r="K623" s="7">
        <f>IF(OR(E623="",E622=""),"",E623/E622-1)</f>
        <v/>
      </c>
      <c r="L623" s="7">
        <f>IF(OR(F623="",F622=""),"",F623/F622-1)</f>
        <v/>
      </c>
      <c r="M623" s="7">
        <f>IF(OR(G623="",G622=""),"",G623/G622-1)</f>
        <v/>
      </c>
      <c r="N623" s="7">
        <f>IF(G623="","",E623/G623)</f>
        <v/>
      </c>
      <c r="O623" s="7">
        <f>IF(G623="","",F623/G623)</f>
        <v/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4">
        <f>IF(SUMIFS('Daily NSE Equity Cash'!$H:$H,'Daily NSE Equity Cash'!$A:$A,$A624)=0,"",SUMIFS('Daily NSE Equity Cash'!$H:$H,'Daily NSE Equity Cash'!$A:$A,$A624))</f>
        <v/>
      </c>
      <c r="F624" s="4">
        <f>IF(SUMIFS('Daily BSE Equity Cash'!$H:$H,'Daily BSE Equity Cash'!$A:$A,$A624)=0,"",SUMIFS('Daily BSE Equity Cash'!$H:$H,'Daily BSE Equity Cash'!$A:$A,$A624))</f>
        <v/>
      </c>
      <c r="G624" s="4">
        <f>IF(OR(E624="",F624=""),"",E624+F624)</f>
        <v/>
      </c>
      <c r="H624" s="7">
        <f>IFERROR(IF(OR(E624="",INDEX(E:E,MATCH(DATE(YEAR($A624)-1,MONTH($A624),DAY($A624)),$A:$A,0))=""),"",E624/INDEX(E:E,MATCH(DATE(YEAR($A624)-1,MONTH($A624),DAY($A624)),$A:$A,0))-1),"")</f>
        <v/>
      </c>
      <c r="I624" s="7">
        <f>IFERROR(IF(OR(F624="",INDEX(F:F,MATCH(DATE(YEAR($A624)-1,MONTH($A624),DAY($A624)),$A:$A,0))=""),"",F624/INDEX(F:F,MATCH(DATE(YEAR($A624)-1,MONTH($A624),DAY($A624)),$A:$A,0))-1),"")</f>
        <v/>
      </c>
      <c r="J624" s="7">
        <f>IFERROR(IF(OR(G624="",INDEX(G:G,MATCH(DATE(YEAR($A624)-1,MONTH($A624),DAY($A624)),$A:$A,0))=""),"",G624/INDEX(G:G,MATCH(DATE(YEAR($A624)-1,MONTH($A624),DAY($A624)),$A:$A,0))-1),"")</f>
        <v/>
      </c>
      <c r="K624" s="7">
        <f>IF(OR(E624="",E623=""),"",E624/E623-1)</f>
        <v/>
      </c>
      <c r="L624" s="7">
        <f>IF(OR(F624="",F623=""),"",F624/F623-1)</f>
        <v/>
      </c>
      <c r="M624" s="7">
        <f>IF(OR(G624="",G623=""),"",G624/G623-1)</f>
        <v/>
      </c>
      <c r="N624" s="7">
        <f>IF(G624="","",E624/G624)</f>
        <v/>
      </c>
      <c r="O624" s="7">
        <f>IF(G624="","",F624/G624)</f>
        <v/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4">
        <f>IF(SUMIFS('Daily NSE Equity Cash'!$H:$H,'Daily NSE Equity Cash'!$A:$A,$A625)=0,"",SUMIFS('Daily NSE Equity Cash'!$H:$H,'Daily NSE Equity Cash'!$A:$A,$A625))</f>
        <v/>
      </c>
      <c r="F625" s="4">
        <f>IF(SUMIFS('Daily BSE Equity Cash'!$H:$H,'Daily BSE Equity Cash'!$A:$A,$A625)=0,"",SUMIFS('Daily BSE Equity Cash'!$H:$H,'Daily BSE Equity Cash'!$A:$A,$A625))</f>
        <v/>
      </c>
      <c r="G625" s="4">
        <f>IF(OR(E625="",F625=""),"",E625+F625)</f>
        <v/>
      </c>
      <c r="H625" s="7">
        <f>IFERROR(IF(OR(E625="",INDEX(E:E,MATCH(DATE(YEAR($A625)-1,MONTH($A625),DAY($A625)),$A:$A,0))=""),"",E625/INDEX(E:E,MATCH(DATE(YEAR($A625)-1,MONTH($A625),DAY($A625)),$A:$A,0))-1),"")</f>
        <v/>
      </c>
      <c r="I625" s="7">
        <f>IFERROR(IF(OR(F625="",INDEX(F:F,MATCH(DATE(YEAR($A625)-1,MONTH($A625),DAY($A625)),$A:$A,0))=""),"",F625/INDEX(F:F,MATCH(DATE(YEAR($A625)-1,MONTH($A625),DAY($A625)),$A:$A,0))-1),"")</f>
        <v/>
      </c>
      <c r="J625" s="7">
        <f>IFERROR(IF(OR(G625="",INDEX(G:G,MATCH(DATE(YEAR($A625)-1,MONTH($A625),DAY($A625)),$A:$A,0))=""),"",G625/INDEX(G:G,MATCH(DATE(YEAR($A625)-1,MONTH($A625),DAY($A625)),$A:$A,0))-1),"")</f>
        <v/>
      </c>
      <c r="K625" s="7">
        <f>IF(OR(E625="",E624=""),"",E625/E624-1)</f>
        <v/>
      </c>
      <c r="L625" s="7">
        <f>IF(OR(F625="",F624=""),"",F625/F624-1)</f>
        <v/>
      </c>
      <c r="M625" s="7">
        <f>IF(OR(G625="",G624=""),"",G625/G624-1)</f>
        <v/>
      </c>
      <c r="N625" s="7">
        <f>IF(G625="","",E625/G625)</f>
        <v/>
      </c>
      <c r="O625" s="7">
        <f>IF(G625="","",F625/G625)</f>
        <v/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4">
        <f>IF(SUMIFS('Daily NSE Equity Cash'!$H:$H,'Daily NSE Equity Cash'!$A:$A,$A626)=0,"",SUMIFS('Daily NSE Equity Cash'!$H:$H,'Daily NSE Equity Cash'!$A:$A,$A626))</f>
        <v/>
      </c>
      <c r="F626" s="4">
        <f>IF(SUMIFS('Daily BSE Equity Cash'!$H:$H,'Daily BSE Equity Cash'!$A:$A,$A626)=0,"",SUMIFS('Daily BSE Equity Cash'!$H:$H,'Daily BSE Equity Cash'!$A:$A,$A626))</f>
        <v/>
      </c>
      <c r="G626" s="4">
        <f>IF(OR(E626="",F626=""),"",E626+F626)</f>
        <v/>
      </c>
      <c r="H626" s="7">
        <f>IFERROR(IF(OR(E626="",INDEX(E:E,MATCH(DATE(YEAR($A626)-1,MONTH($A626),DAY($A626)),$A:$A,0))=""),"",E626/INDEX(E:E,MATCH(DATE(YEAR($A626)-1,MONTH($A626),DAY($A626)),$A:$A,0))-1),"")</f>
        <v/>
      </c>
      <c r="I626" s="7">
        <f>IFERROR(IF(OR(F626="",INDEX(F:F,MATCH(DATE(YEAR($A626)-1,MONTH($A626),DAY($A626)),$A:$A,0))=""),"",F626/INDEX(F:F,MATCH(DATE(YEAR($A626)-1,MONTH($A626),DAY($A626)),$A:$A,0))-1),"")</f>
        <v/>
      </c>
      <c r="J626" s="7">
        <f>IFERROR(IF(OR(G626="",INDEX(G:G,MATCH(DATE(YEAR($A626)-1,MONTH($A626),DAY($A626)),$A:$A,0))=""),"",G626/INDEX(G:G,MATCH(DATE(YEAR($A626)-1,MONTH($A626),DAY($A626)),$A:$A,0))-1),"")</f>
        <v/>
      </c>
      <c r="K626" s="7">
        <f>IF(OR(E626="",E625=""),"",E626/E625-1)</f>
        <v/>
      </c>
      <c r="L626" s="7">
        <f>IF(OR(F626="",F625=""),"",F626/F625-1)</f>
        <v/>
      </c>
      <c r="M626" s="7">
        <f>IF(OR(G626="",G625=""),"",G626/G625-1)</f>
        <v/>
      </c>
      <c r="N626" s="7">
        <f>IF(G626="","",E626/G626)</f>
        <v/>
      </c>
      <c r="O626" s="7">
        <f>IF(G626="","",F626/G626)</f>
        <v/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4">
        <f>IF(SUMIFS('Daily NSE Equity Cash'!$H:$H,'Daily NSE Equity Cash'!$A:$A,$A627)=0,"",SUMIFS('Daily NSE Equity Cash'!$H:$H,'Daily NSE Equity Cash'!$A:$A,$A627))</f>
        <v/>
      </c>
      <c r="F627" s="4">
        <f>IF(SUMIFS('Daily BSE Equity Cash'!$H:$H,'Daily BSE Equity Cash'!$A:$A,$A627)=0,"",SUMIFS('Daily BSE Equity Cash'!$H:$H,'Daily BSE Equity Cash'!$A:$A,$A627))</f>
        <v/>
      </c>
      <c r="G627" s="4">
        <f>IF(OR(E627="",F627=""),"",E627+F627)</f>
        <v/>
      </c>
      <c r="H627" s="7">
        <f>IFERROR(IF(OR(E627="",INDEX(E:E,MATCH(DATE(YEAR($A627)-1,MONTH($A627),DAY($A627)),$A:$A,0))=""),"",E627/INDEX(E:E,MATCH(DATE(YEAR($A627)-1,MONTH($A627),DAY($A627)),$A:$A,0))-1),"")</f>
        <v/>
      </c>
      <c r="I627" s="7">
        <f>IFERROR(IF(OR(F627="",INDEX(F:F,MATCH(DATE(YEAR($A627)-1,MONTH($A627),DAY($A627)),$A:$A,0))=""),"",F627/INDEX(F:F,MATCH(DATE(YEAR($A627)-1,MONTH($A627),DAY($A627)),$A:$A,0))-1),"")</f>
        <v/>
      </c>
      <c r="J627" s="7">
        <f>IFERROR(IF(OR(G627="",INDEX(G:G,MATCH(DATE(YEAR($A627)-1,MONTH($A627),DAY($A627)),$A:$A,0))=""),"",G627/INDEX(G:G,MATCH(DATE(YEAR($A627)-1,MONTH($A627),DAY($A627)),$A:$A,0))-1),"")</f>
        <v/>
      </c>
      <c r="K627" s="7">
        <f>IF(OR(E627="",E626=""),"",E627/E626-1)</f>
        <v/>
      </c>
      <c r="L627" s="7">
        <f>IF(OR(F627="",F626=""),"",F627/F626-1)</f>
        <v/>
      </c>
      <c r="M627" s="7">
        <f>IF(OR(G627="",G626=""),"",G627/G626-1)</f>
        <v/>
      </c>
      <c r="N627" s="7">
        <f>IF(G627="","",E627/G627)</f>
        <v/>
      </c>
      <c r="O627" s="7">
        <f>IF(G627="","",F627/G627)</f>
        <v/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4">
        <f>IF(SUMIFS('Daily NSE Equity Cash'!$H:$H,'Daily NSE Equity Cash'!$A:$A,$A628)=0,"",SUMIFS('Daily NSE Equity Cash'!$H:$H,'Daily NSE Equity Cash'!$A:$A,$A628))</f>
        <v/>
      </c>
      <c r="F628" s="4">
        <f>IF(SUMIFS('Daily BSE Equity Cash'!$H:$H,'Daily BSE Equity Cash'!$A:$A,$A628)=0,"",SUMIFS('Daily BSE Equity Cash'!$H:$H,'Daily BSE Equity Cash'!$A:$A,$A628))</f>
        <v/>
      </c>
      <c r="G628" s="4">
        <f>IF(OR(E628="",F628=""),"",E628+F628)</f>
        <v/>
      </c>
      <c r="H628" s="7">
        <f>IFERROR(IF(OR(E628="",INDEX(E:E,MATCH(DATE(YEAR($A628)-1,MONTH($A628),DAY($A628)),$A:$A,0))=""),"",E628/INDEX(E:E,MATCH(DATE(YEAR($A628)-1,MONTH($A628),DAY($A628)),$A:$A,0))-1),"")</f>
        <v/>
      </c>
      <c r="I628" s="7">
        <f>IFERROR(IF(OR(F628="",INDEX(F:F,MATCH(DATE(YEAR($A628)-1,MONTH($A628),DAY($A628)),$A:$A,0))=""),"",F628/INDEX(F:F,MATCH(DATE(YEAR($A628)-1,MONTH($A628),DAY($A628)),$A:$A,0))-1),"")</f>
        <v/>
      </c>
      <c r="J628" s="7">
        <f>IFERROR(IF(OR(G628="",INDEX(G:G,MATCH(DATE(YEAR($A628)-1,MONTH($A628),DAY($A628)),$A:$A,0))=""),"",G628/INDEX(G:G,MATCH(DATE(YEAR($A628)-1,MONTH($A628),DAY($A628)),$A:$A,0))-1),"")</f>
        <v/>
      </c>
      <c r="K628" s="7">
        <f>IF(OR(E628="",E627=""),"",E628/E627-1)</f>
        <v/>
      </c>
      <c r="L628" s="7">
        <f>IF(OR(F628="",F627=""),"",F628/F627-1)</f>
        <v/>
      </c>
      <c r="M628" s="7">
        <f>IF(OR(G628="",G627=""),"",G628/G627-1)</f>
        <v/>
      </c>
      <c r="N628" s="7">
        <f>IF(G628="","",E628/G628)</f>
        <v/>
      </c>
      <c r="O628" s="7">
        <f>IF(G628="","",F628/G628)</f>
        <v/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4">
        <f>IF(SUMIFS('Daily NSE Equity Cash'!$H:$H,'Daily NSE Equity Cash'!$A:$A,$A629)=0,"",SUMIFS('Daily NSE Equity Cash'!$H:$H,'Daily NSE Equity Cash'!$A:$A,$A629))</f>
        <v/>
      </c>
      <c r="F629" s="4">
        <f>IF(SUMIFS('Daily BSE Equity Cash'!$H:$H,'Daily BSE Equity Cash'!$A:$A,$A629)=0,"",SUMIFS('Daily BSE Equity Cash'!$H:$H,'Daily BSE Equity Cash'!$A:$A,$A629))</f>
        <v/>
      </c>
      <c r="G629" s="4">
        <f>IF(OR(E629="",F629=""),"",E629+F629)</f>
        <v/>
      </c>
      <c r="H629" s="7">
        <f>IFERROR(IF(OR(E629="",INDEX(E:E,MATCH(DATE(YEAR($A629)-1,MONTH($A629),DAY($A629)),$A:$A,0))=""),"",E629/INDEX(E:E,MATCH(DATE(YEAR($A629)-1,MONTH($A629),DAY($A629)),$A:$A,0))-1),"")</f>
        <v/>
      </c>
      <c r="I629" s="7">
        <f>IFERROR(IF(OR(F629="",INDEX(F:F,MATCH(DATE(YEAR($A629)-1,MONTH($A629),DAY($A629)),$A:$A,0))=""),"",F629/INDEX(F:F,MATCH(DATE(YEAR($A629)-1,MONTH($A629),DAY($A629)),$A:$A,0))-1),"")</f>
        <v/>
      </c>
      <c r="J629" s="7">
        <f>IFERROR(IF(OR(G629="",INDEX(G:G,MATCH(DATE(YEAR($A629)-1,MONTH($A629),DAY($A629)),$A:$A,0))=""),"",G629/INDEX(G:G,MATCH(DATE(YEAR($A629)-1,MONTH($A629),DAY($A629)),$A:$A,0))-1),"")</f>
        <v/>
      </c>
      <c r="K629" s="7">
        <f>IF(OR(E629="",E628=""),"",E629/E628-1)</f>
        <v/>
      </c>
      <c r="L629" s="7">
        <f>IF(OR(F629="",F628=""),"",F629/F628-1)</f>
        <v/>
      </c>
      <c r="M629" s="7">
        <f>IF(OR(G629="",G628=""),"",G629/G628-1)</f>
        <v/>
      </c>
      <c r="N629" s="7">
        <f>IF(G629="","",E629/G629)</f>
        <v/>
      </c>
      <c r="O629" s="7">
        <f>IF(G629="","",F629/G629)</f>
        <v/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4">
        <f>IF(SUMIFS('Daily NSE Equity Cash'!$H:$H,'Daily NSE Equity Cash'!$A:$A,$A630)=0,"",SUMIFS('Daily NSE Equity Cash'!$H:$H,'Daily NSE Equity Cash'!$A:$A,$A630))</f>
        <v/>
      </c>
      <c r="F630" s="4">
        <f>IF(SUMIFS('Daily BSE Equity Cash'!$H:$H,'Daily BSE Equity Cash'!$A:$A,$A630)=0,"",SUMIFS('Daily BSE Equity Cash'!$H:$H,'Daily BSE Equity Cash'!$A:$A,$A630))</f>
        <v/>
      </c>
      <c r="G630" s="4">
        <f>IF(OR(E630="",F630=""),"",E630+F630)</f>
        <v/>
      </c>
      <c r="H630" s="7">
        <f>IFERROR(IF(OR(E630="",INDEX(E:E,MATCH(DATE(YEAR($A630)-1,MONTH($A630),DAY($A630)),$A:$A,0))=""),"",E630/INDEX(E:E,MATCH(DATE(YEAR($A630)-1,MONTH($A630),DAY($A630)),$A:$A,0))-1),"")</f>
        <v/>
      </c>
      <c r="I630" s="7">
        <f>IFERROR(IF(OR(F630="",INDEX(F:F,MATCH(DATE(YEAR($A630)-1,MONTH($A630),DAY($A630)),$A:$A,0))=""),"",F630/INDEX(F:F,MATCH(DATE(YEAR($A630)-1,MONTH($A630),DAY($A630)),$A:$A,0))-1),"")</f>
        <v/>
      </c>
      <c r="J630" s="7">
        <f>IFERROR(IF(OR(G630="",INDEX(G:G,MATCH(DATE(YEAR($A630)-1,MONTH($A630),DAY($A630)),$A:$A,0))=""),"",G630/INDEX(G:G,MATCH(DATE(YEAR($A630)-1,MONTH($A630),DAY($A630)),$A:$A,0))-1),"")</f>
        <v/>
      </c>
      <c r="K630" s="7">
        <f>IF(OR(E630="",E629=""),"",E630/E629-1)</f>
        <v/>
      </c>
      <c r="L630" s="7">
        <f>IF(OR(F630="",F629=""),"",F630/F629-1)</f>
        <v/>
      </c>
      <c r="M630" s="7">
        <f>IF(OR(G630="",G629=""),"",G630/G629-1)</f>
        <v/>
      </c>
      <c r="N630" s="7">
        <f>IF(G630="","",E630/G630)</f>
        <v/>
      </c>
      <c r="O630" s="7">
        <f>IF(G630="","",F630/G630)</f>
        <v/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4">
        <f>IF(SUMIFS('Daily NSE Equity Cash'!$H:$H,'Daily NSE Equity Cash'!$A:$A,$A631)=0,"",SUMIFS('Daily NSE Equity Cash'!$H:$H,'Daily NSE Equity Cash'!$A:$A,$A631))</f>
        <v/>
      </c>
      <c r="F631" s="4">
        <f>IF(SUMIFS('Daily BSE Equity Cash'!$H:$H,'Daily BSE Equity Cash'!$A:$A,$A631)=0,"",SUMIFS('Daily BSE Equity Cash'!$H:$H,'Daily BSE Equity Cash'!$A:$A,$A631))</f>
        <v/>
      </c>
      <c r="G631" s="4">
        <f>IF(OR(E631="",F631=""),"",E631+F631)</f>
        <v/>
      </c>
      <c r="H631" s="7">
        <f>IFERROR(IF(OR(E631="",INDEX(E:E,MATCH(DATE(YEAR($A631)-1,MONTH($A631),DAY($A631)),$A:$A,0))=""),"",E631/INDEX(E:E,MATCH(DATE(YEAR($A631)-1,MONTH($A631),DAY($A631)),$A:$A,0))-1),"")</f>
        <v/>
      </c>
      <c r="I631" s="7">
        <f>IFERROR(IF(OR(F631="",INDEX(F:F,MATCH(DATE(YEAR($A631)-1,MONTH($A631),DAY($A631)),$A:$A,0))=""),"",F631/INDEX(F:F,MATCH(DATE(YEAR($A631)-1,MONTH($A631),DAY($A631)),$A:$A,0))-1),"")</f>
        <v/>
      </c>
      <c r="J631" s="7">
        <f>IFERROR(IF(OR(G631="",INDEX(G:G,MATCH(DATE(YEAR($A631)-1,MONTH($A631),DAY($A631)),$A:$A,0))=""),"",G631/INDEX(G:G,MATCH(DATE(YEAR($A631)-1,MONTH($A631),DAY($A631)),$A:$A,0))-1),"")</f>
        <v/>
      </c>
      <c r="K631" s="7">
        <f>IF(OR(E631="",E630=""),"",E631/E630-1)</f>
        <v/>
      </c>
      <c r="L631" s="7">
        <f>IF(OR(F631="",F630=""),"",F631/F630-1)</f>
        <v/>
      </c>
      <c r="M631" s="7">
        <f>IF(OR(G631="",G630=""),"",G631/G630-1)</f>
        <v/>
      </c>
      <c r="N631" s="7">
        <f>IF(G631="","",E631/G631)</f>
        <v/>
      </c>
      <c r="O631" s="7">
        <f>IF(G631="","",F631/G631)</f>
        <v/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4">
        <f>IF(SUMIFS('Daily NSE Equity Cash'!$H:$H,'Daily NSE Equity Cash'!$A:$A,$A632)=0,"",SUMIFS('Daily NSE Equity Cash'!$H:$H,'Daily NSE Equity Cash'!$A:$A,$A632))</f>
        <v/>
      </c>
      <c r="F632" s="4">
        <f>IF(SUMIFS('Daily BSE Equity Cash'!$H:$H,'Daily BSE Equity Cash'!$A:$A,$A632)=0,"",SUMIFS('Daily BSE Equity Cash'!$H:$H,'Daily BSE Equity Cash'!$A:$A,$A632))</f>
        <v/>
      </c>
      <c r="G632" s="4">
        <f>IF(OR(E632="",F632=""),"",E632+F632)</f>
        <v/>
      </c>
      <c r="H632" s="7">
        <f>IFERROR(IF(OR(E632="",INDEX(E:E,MATCH(DATE(YEAR($A632)-1,MONTH($A632),DAY($A632)),$A:$A,0))=""),"",E632/INDEX(E:E,MATCH(DATE(YEAR($A632)-1,MONTH($A632),DAY($A632)),$A:$A,0))-1),"")</f>
        <v/>
      </c>
      <c r="I632" s="7">
        <f>IFERROR(IF(OR(F632="",INDEX(F:F,MATCH(DATE(YEAR($A632)-1,MONTH($A632),DAY($A632)),$A:$A,0))=""),"",F632/INDEX(F:F,MATCH(DATE(YEAR($A632)-1,MONTH($A632),DAY($A632)),$A:$A,0))-1),"")</f>
        <v/>
      </c>
      <c r="J632" s="7">
        <f>IFERROR(IF(OR(G632="",INDEX(G:G,MATCH(DATE(YEAR($A632)-1,MONTH($A632),DAY($A632)),$A:$A,0))=""),"",G632/INDEX(G:G,MATCH(DATE(YEAR($A632)-1,MONTH($A632),DAY($A632)),$A:$A,0))-1),"")</f>
        <v/>
      </c>
      <c r="K632" s="7">
        <f>IF(OR(E632="",E631=""),"",E632/E631-1)</f>
        <v/>
      </c>
      <c r="L632" s="7">
        <f>IF(OR(F632="",F631=""),"",F632/F631-1)</f>
        <v/>
      </c>
      <c r="M632" s="7">
        <f>IF(OR(G632="",G631=""),"",G632/G631-1)</f>
        <v/>
      </c>
      <c r="N632" s="7">
        <f>IF(G632="","",E632/G632)</f>
        <v/>
      </c>
      <c r="O632" s="7">
        <f>IF(G632="","",F632/G632)</f>
        <v/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4">
        <f>IF(SUMIFS('Daily NSE Equity Cash'!$H:$H,'Daily NSE Equity Cash'!$A:$A,$A633)=0,"",SUMIFS('Daily NSE Equity Cash'!$H:$H,'Daily NSE Equity Cash'!$A:$A,$A633))</f>
        <v/>
      </c>
      <c r="F633" s="4">
        <f>IF(SUMIFS('Daily BSE Equity Cash'!$H:$H,'Daily BSE Equity Cash'!$A:$A,$A633)=0,"",SUMIFS('Daily BSE Equity Cash'!$H:$H,'Daily BSE Equity Cash'!$A:$A,$A633))</f>
        <v/>
      </c>
      <c r="G633" s="4">
        <f>IF(OR(E633="",F633=""),"",E633+F633)</f>
        <v/>
      </c>
      <c r="H633" s="7">
        <f>IFERROR(IF(OR(E633="",INDEX(E:E,MATCH(DATE(YEAR($A633)-1,MONTH($A633),DAY($A633)),$A:$A,0))=""),"",E633/INDEX(E:E,MATCH(DATE(YEAR($A633)-1,MONTH($A633),DAY($A633)),$A:$A,0))-1),"")</f>
        <v/>
      </c>
      <c r="I633" s="7">
        <f>IFERROR(IF(OR(F633="",INDEX(F:F,MATCH(DATE(YEAR($A633)-1,MONTH($A633),DAY($A633)),$A:$A,0))=""),"",F633/INDEX(F:F,MATCH(DATE(YEAR($A633)-1,MONTH($A633),DAY($A633)),$A:$A,0))-1),"")</f>
        <v/>
      </c>
      <c r="J633" s="7">
        <f>IFERROR(IF(OR(G633="",INDEX(G:G,MATCH(DATE(YEAR($A633)-1,MONTH($A633),DAY($A633)),$A:$A,0))=""),"",G633/INDEX(G:G,MATCH(DATE(YEAR($A633)-1,MONTH($A633),DAY($A633)),$A:$A,0))-1),"")</f>
        <v/>
      </c>
      <c r="K633" s="7">
        <f>IF(OR(E633="",E632=""),"",E633/E632-1)</f>
        <v/>
      </c>
      <c r="L633" s="7">
        <f>IF(OR(F633="",F632=""),"",F633/F632-1)</f>
        <v/>
      </c>
      <c r="M633" s="7">
        <f>IF(OR(G633="",G632=""),"",G633/G632-1)</f>
        <v/>
      </c>
      <c r="N633" s="7">
        <f>IF(G633="","",E633/G633)</f>
        <v/>
      </c>
      <c r="O633" s="7">
        <f>IF(G633="","",F633/G633)</f>
        <v/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4">
        <f>IF(SUMIFS('Daily NSE Equity Cash'!$H:$H,'Daily NSE Equity Cash'!$A:$A,$A634)=0,"",SUMIFS('Daily NSE Equity Cash'!$H:$H,'Daily NSE Equity Cash'!$A:$A,$A634))</f>
        <v/>
      </c>
      <c r="F634" s="4">
        <f>IF(SUMIFS('Daily BSE Equity Cash'!$H:$H,'Daily BSE Equity Cash'!$A:$A,$A634)=0,"",SUMIFS('Daily BSE Equity Cash'!$H:$H,'Daily BSE Equity Cash'!$A:$A,$A634))</f>
        <v/>
      </c>
      <c r="G634" s="4">
        <f>IF(OR(E634="",F634=""),"",E634+F634)</f>
        <v/>
      </c>
      <c r="H634" s="7">
        <f>IFERROR(IF(OR(E634="",INDEX(E:E,MATCH(DATE(YEAR($A634)-1,MONTH($A634),DAY($A634)),$A:$A,0))=""),"",E634/INDEX(E:E,MATCH(DATE(YEAR($A634)-1,MONTH($A634),DAY($A634)),$A:$A,0))-1),"")</f>
        <v/>
      </c>
      <c r="I634" s="7">
        <f>IFERROR(IF(OR(F634="",INDEX(F:F,MATCH(DATE(YEAR($A634)-1,MONTH($A634),DAY($A634)),$A:$A,0))=""),"",F634/INDEX(F:F,MATCH(DATE(YEAR($A634)-1,MONTH($A634),DAY($A634)),$A:$A,0))-1),"")</f>
        <v/>
      </c>
      <c r="J634" s="7">
        <f>IFERROR(IF(OR(G634="",INDEX(G:G,MATCH(DATE(YEAR($A634)-1,MONTH($A634),DAY($A634)),$A:$A,0))=""),"",G634/INDEX(G:G,MATCH(DATE(YEAR($A634)-1,MONTH($A634),DAY($A634)),$A:$A,0))-1),"")</f>
        <v/>
      </c>
      <c r="K634" s="7">
        <f>IF(OR(E634="",E633=""),"",E634/E633-1)</f>
        <v/>
      </c>
      <c r="L634" s="7">
        <f>IF(OR(F634="",F633=""),"",F634/F633-1)</f>
        <v/>
      </c>
      <c r="M634" s="7">
        <f>IF(OR(G634="",G633=""),"",G634/G633-1)</f>
        <v/>
      </c>
      <c r="N634" s="7">
        <f>IF(G634="","",E634/G634)</f>
        <v/>
      </c>
      <c r="O634" s="7">
        <f>IF(G634="","",F634/G634)</f>
        <v/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4">
        <f>IF(SUMIFS('Daily NSE Equity Cash'!$H:$H,'Daily NSE Equity Cash'!$A:$A,$A635)=0,"",SUMIFS('Daily NSE Equity Cash'!$H:$H,'Daily NSE Equity Cash'!$A:$A,$A635))</f>
        <v/>
      </c>
      <c r="F635" s="4">
        <f>IF(SUMIFS('Daily BSE Equity Cash'!$H:$H,'Daily BSE Equity Cash'!$A:$A,$A635)=0,"",SUMIFS('Daily BSE Equity Cash'!$H:$H,'Daily BSE Equity Cash'!$A:$A,$A635))</f>
        <v/>
      </c>
      <c r="G635" s="4">
        <f>IF(OR(E635="",F635=""),"",E635+F635)</f>
        <v/>
      </c>
      <c r="H635" s="7">
        <f>IFERROR(IF(OR(E635="",INDEX(E:E,MATCH(DATE(YEAR($A635)-1,MONTH($A635),DAY($A635)),$A:$A,0))=""),"",E635/INDEX(E:E,MATCH(DATE(YEAR($A635)-1,MONTH($A635),DAY($A635)),$A:$A,0))-1),"")</f>
        <v/>
      </c>
      <c r="I635" s="7">
        <f>IFERROR(IF(OR(F635="",INDEX(F:F,MATCH(DATE(YEAR($A635)-1,MONTH($A635),DAY($A635)),$A:$A,0))=""),"",F635/INDEX(F:F,MATCH(DATE(YEAR($A635)-1,MONTH($A635),DAY($A635)),$A:$A,0))-1),"")</f>
        <v/>
      </c>
      <c r="J635" s="7">
        <f>IFERROR(IF(OR(G635="",INDEX(G:G,MATCH(DATE(YEAR($A635)-1,MONTH($A635),DAY($A635)),$A:$A,0))=""),"",G635/INDEX(G:G,MATCH(DATE(YEAR($A635)-1,MONTH($A635),DAY($A635)),$A:$A,0))-1),"")</f>
        <v/>
      </c>
      <c r="K635" s="7">
        <f>IF(OR(E635="",E634=""),"",E635/E634-1)</f>
        <v/>
      </c>
      <c r="L635" s="7">
        <f>IF(OR(F635="",F634=""),"",F635/F634-1)</f>
        <v/>
      </c>
      <c r="M635" s="7">
        <f>IF(OR(G635="",G634=""),"",G635/G634-1)</f>
        <v/>
      </c>
      <c r="N635" s="7">
        <f>IF(G635="","",E635/G635)</f>
        <v/>
      </c>
      <c r="O635" s="7">
        <f>IF(G635="","",F635/G635)</f>
        <v/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4">
        <f>IF(SUMIFS('Daily NSE Equity Cash'!$H:$H,'Daily NSE Equity Cash'!$A:$A,$A636)=0,"",SUMIFS('Daily NSE Equity Cash'!$H:$H,'Daily NSE Equity Cash'!$A:$A,$A636))</f>
        <v/>
      </c>
      <c r="F636" s="4">
        <f>IF(SUMIFS('Daily BSE Equity Cash'!$H:$H,'Daily BSE Equity Cash'!$A:$A,$A636)=0,"",SUMIFS('Daily BSE Equity Cash'!$H:$H,'Daily BSE Equity Cash'!$A:$A,$A636))</f>
        <v/>
      </c>
      <c r="G636" s="4">
        <f>IF(OR(E636="",F636=""),"",E636+F636)</f>
        <v/>
      </c>
      <c r="H636" s="7">
        <f>IFERROR(IF(OR(E636="",INDEX(E:E,MATCH(DATE(YEAR($A636)-1,MONTH($A636),DAY($A636)),$A:$A,0))=""),"",E636/INDEX(E:E,MATCH(DATE(YEAR($A636)-1,MONTH($A636),DAY($A636)),$A:$A,0))-1),"")</f>
        <v/>
      </c>
      <c r="I636" s="7">
        <f>IFERROR(IF(OR(F636="",INDEX(F:F,MATCH(DATE(YEAR($A636)-1,MONTH($A636),DAY($A636)),$A:$A,0))=""),"",F636/INDEX(F:F,MATCH(DATE(YEAR($A636)-1,MONTH($A636),DAY($A636)),$A:$A,0))-1),"")</f>
        <v/>
      </c>
      <c r="J636" s="7">
        <f>IFERROR(IF(OR(G636="",INDEX(G:G,MATCH(DATE(YEAR($A636)-1,MONTH($A636),DAY($A636)),$A:$A,0))=""),"",G636/INDEX(G:G,MATCH(DATE(YEAR($A636)-1,MONTH($A636),DAY($A636)),$A:$A,0))-1),"")</f>
        <v/>
      </c>
      <c r="K636" s="7">
        <f>IF(OR(E636="",E635=""),"",E636/E635-1)</f>
        <v/>
      </c>
      <c r="L636" s="7">
        <f>IF(OR(F636="",F635=""),"",F636/F635-1)</f>
        <v/>
      </c>
      <c r="M636" s="7">
        <f>IF(OR(G636="",G635=""),"",G636/G635-1)</f>
        <v/>
      </c>
      <c r="N636" s="7">
        <f>IF(G636="","",E636/G636)</f>
        <v/>
      </c>
      <c r="O636" s="7">
        <f>IF(G636="","",F636/G636)</f>
        <v/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4">
        <f>IF(SUMIFS('Daily NSE Equity Cash'!$H:$H,'Daily NSE Equity Cash'!$A:$A,$A637)=0,"",SUMIFS('Daily NSE Equity Cash'!$H:$H,'Daily NSE Equity Cash'!$A:$A,$A637))</f>
        <v/>
      </c>
      <c r="F637" s="4">
        <f>IF(SUMIFS('Daily BSE Equity Cash'!$H:$H,'Daily BSE Equity Cash'!$A:$A,$A637)=0,"",SUMIFS('Daily BSE Equity Cash'!$H:$H,'Daily BSE Equity Cash'!$A:$A,$A637))</f>
        <v/>
      </c>
      <c r="G637" s="4">
        <f>IF(OR(E637="",F637=""),"",E637+F637)</f>
        <v/>
      </c>
      <c r="H637" s="7">
        <f>IFERROR(IF(OR(E637="",INDEX(E:E,MATCH(DATE(YEAR($A637)-1,MONTH($A637),DAY($A637)),$A:$A,0))=""),"",E637/INDEX(E:E,MATCH(DATE(YEAR($A637)-1,MONTH($A637),DAY($A637)),$A:$A,0))-1),"")</f>
        <v/>
      </c>
      <c r="I637" s="7">
        <f>IFERROR(IF(OR(F637="",INDEX(F:F,MATCH(DATE(YEAR($A637)-1,MONTH($A637),DAY($A637)),$A:$A,0))=""),"",F637/INDEX(F:F,MATCH(DATE(YEAR($A637)-1,MONTH($A637),DAY($A637)),$A:$A,0))-1),"")</f>
        <v/>
      </c>
      <c r="J637" s="7">
        <f>IFERROR(IF(OR(G637="",INDEX(G:G,MATCH(DATE(YEAR($A637)-1,MONTH($A637),DAY($A637)),$A:$A,0))=""),"",G637/INDEX(G:G,MATCH(DATE(YEAR($A637)-1,MONTH($A637),DAY($A637)),$A:$A,0))-1),"")</f>
        <v/>
      </c>
      <c r="K637" s="7">
        <f>IF(OR(E637="",E636=""),"",E637/E636-1)</f>
        <v/>
      </c>
      <c r="L637" s="7">
        <f>IF(OR(F637="",F636=""),"",F637/F636-1)</f>
        <v/>
      </c>
      <c r="M637" s="7">
        <f>IF(OR(G637="",G636=""),"",G637/G636-1)</f>
        <v/>
      </c>
      <c r="N637" s="7">
        <f>IF(G637="","",E637/G637)</f>
        <v/>
      </c>
      <c r="O637" s="7">
        <f>IF(G637="","",F637/G637)</f>
        <v/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4">
        <f>IF(SUMIFS('Daily NSE Equity Cash'!$H:$H,'Daily NSE Equity Cash'!$A:$A,$A638)=0,"",SUMIFS('Daily NSE Equity Cash'!$H:$H,'Daily NSE Equity Cash'!$A:$A,$A638))</f>
        <v/>
      </c>
      <c r="F638" s="4">
        <f>IF(SUMIFS('Daily BSE Equity Cash'!$H:$H,'Daily BSE Equity Cash'!$A:$A,$A638)=0,"",SUMIFS('Daily BSE Equity Cash'!$H:$H,'Daily BSE Equity Cash'!$A:$A,$A638))</f>
        <v/>
      </c>
      <c r="G638" s="4">
        <f>IF(OR(E638="",F638=""),"",E638+F638)</f>
        <v/>
      </c>
      <c r="H638" s="7">
        <f>IFERROR(IF(OR(E638="",INDEX(E:E,MATCH(DATE(YEAR($A638)-1,MONTH($A638),DAY($A638)),$A:$A,0))=""),"",E638/INDEX(E:E,MATCH(DATE(YEAR($A638)-1,MONTH($A638),DAY($A638)),$A:$A,0))-1),"")</f>
        <v/>
      </c>
      <c r="I638" s="7">
        <f>IFERROR(IF(OR(F638="",INDEX(F:F,MATCH(DATE(YEAR($A638)-1,MONTH($A638),DAY($A638)),$A:$A,0))=""),"",F638/INDEX(F:F,MATCH(DATE(YEAR($A638)-1,MONTH($A638),DAY($A638)),$A:$A,0))-1),"")</f>
        <v/>
      </c>
      <c r="J638" s="7">
        <f>IFERROR(IF(OR(G638="",INDEX(G:G,MATCH(DATE(YEAR($A638)-1,MONTH($A638),DAY($A638)),$A:$A,0))=""),"",G638/INDEX(G:G,MATCH(DATE(YEAR($A638)-1,MONTH($A638),DAY($A638)),$A:$A,0))-1),"")</f>
        <v/>
      </c>
      <c r="K638" s="7">
        <f>IF(OR(E638="",E637=""),"",E638/E637-1)</f>
        <v/>
      </c>
      <c r="L638" s="7">
        <f>IF(OR(F638="",F637=""),"",F638/F637-1)</f>
        <v/>
      </c>
      <c r="M638" s="7">
        <f>IF(OR(G638="",G637=""),"",G638/G637-1)</f>
        <v/>
      </c>
      <c r="N638" s="7">
        <f>IF(G638="","",E638/G638)</f>
        <v/>
      </c>
      <c r="O638" s="7">
        <f>IF(G638="","",F638/G638)</f>
        <v/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4">
        <f>IF(SUMIFS('Daily NSE Equity Cash'!$H:$H,'Daily NSE Equity Cash'!$A:$A,$A639)=0,"",SUMIFS('Daily NSE Equity Cash'!$H:$H,'Daily NSE Equity Cash'!$A:$A,$A639))</f>
        <v/>
      </c>
      <c r="F639" s="4">
        <f>IF(SUMIFS('Daily BSE Equity Cash'!$H:$H,'Daily BSE Equity Cash'!$A:$A,$A639)=0,"",SUMIFS('Daily BSE Equity Cash'!$H:$H,'Daily BSE Equity Cash'!$A:$A,$A639))</f>
        <v/>
      </c>
      <c r="G639" s="4">
        <f>IF(OR(E639="",F639=""),"",E639+F639)</f>
        <v/>
      </c>
      <c r="H639" s="7">
        <f>IFERROR(IF(OR(E639="",INDEX(E:E,MATCH(DATE(YEAR($A639)-1,MONTH($A639),DAY($A639)),$A:$A,0))=""),"",E639/INDEX(E:E,MATCH(DATE(YEAR($A639)-1,MONTH($A639),DAY($A639)),$A:$A,0))-1),"")</f>
        <v/>
      </c>
      <c r="I639" s="7">
        <f>IFERROR(IF(OR(F639="",INDEX(F:F,MATCH(DATE(YEAR($A639)-1,MONTH($A639),DAY($A639)),$A:$A,0))=""),"",F639/INDEX(F:F,MATCH(DATE(YEAR($A639)-1,MONTH($A639),DAY($A639)),$A:$A,0))-1),"")</f>
        <v/>
      </c>
      <c r="J639" s="7">
        <f>IFERROR(IF(OR(G639="",INDEX(G:G,MATCH(DATE(YEAR($A639)-1,MONTH($A639),DAY($A639)),$A:$A,0))=""),"",G639/INDEX(G:G,MATCH(DATE(YEAR($A639)-1,MONTH($A639),DAY($A639)),$A:$A,0))-1),"")</f>
        <v/>
      </c>
      <c r="K639" s="7">
        <f>IF(OR(E639="",E638=""),"",E639/E638-1)</f>
        <v/>
      </c>
      <c r="L639" s="7">
        <f>IF(OR(F639="",F638=""),"",F639/F638-1)</f>
        <v/>
      </c>
      <c r="M639" s="7">
        <f>IF(OR(G639="",G638=""),"",G639/G638-1)</f>
        <v/>
      </c>
      <c r="N639" s="7">
        <f>IF(G639="","",E639/G639)</f>
        <v/>
      </c>
      <c r="O639" s="7">
        <f>IF(G639="","",F639/G639)</f>
        <v/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4">
        <f>IF(SUMIFS('Daily NSE Equity Cash'!$H:$H,'Daily NSE Equity Cash'!$A:$A,$A640)=0,"",SUMIFS('Daily NSE Equity Cash'!$H:$H,'Daily NSE Equity Cash'!$A:$A,$A640))</f>
        <v/>
      </c>
      <c r="F640" s="4">
        <f>IF(SUMIFS('Daily BSE Equity Cash'!$H:$H,'Daily BSE Equity Cash'!$A:$A,$A640)=0,"",SUMIFS('Daily BSE Equity Cash'!$H:$H,'Daily BSE Equity Cash'!$A:$A,$A640))</f>
        <v/>
      </c>
      <c r="G640" s="4">
        <f>IF(OR(E640="",F640=""),"",E640+F640)</f>
        <v/>
      </c>
      <c r="H640" s="7">
        <f>IFERROR(IF(OR(E640="",INDEX(E:E,MATCH(DATE(YEAR($A640)-1,MONTH($A640),DAY($A640)),$A:$A,0))=""),"",E640/INDEX(E:E,MATCH(DATE(YEAR($A640)-1,MONTH($A640),DAY($A640)),$A:$A,0))-1),"")</f>
        <v/>
      </c>
      <c r="I640" s="7">
        <f>IFERROR(IF(OR(F640="",INDEX(F:F,MATCH(DATE(YEAR($A640)-1,MONTH($A640),DAY($A640)),$A:$A,0))=""),"",F640/INDEX(F:F,MATCH(DATE(YEAR($A640)-1,MONTH($A640),DAY($A640)),$A:$A,0))-1),"")</f>
        <v/>
      </c>
      <c r="J640" s="7">
        <f>IFERROR(IF(OR(G640="",INDEX(G:G,MATCH(DATE(YEAR($A640)-1,MONTH($A640),DAY($A640)),$A:$A,0))=""),"",G640/INDEX(G:G,MATCH(DATE(YEAR($A640)-1,MONTH($A640),DAY($A640)),$A:$A,0))-1),"")</f>
        <v/>
      </c>
      <c r="K640" s="7">
        <f>IF(OR(E640="",E639=""),"",E640/E639-1)</f>
        <v/>
      </c>
      <c r="L640" s="7">
        <f>IF(OR(F640="",F639=""),"",F640/F639-1)</f>
        <v/>
      </c>
      <c r="M640" s="7">
        <f>IF(OR(G640="",G639=""),"",G640/G639-1)</f>
        <v/>
      </c>
      <c r="N640" s="7">
        <f>IF(G640="","",E640/G640)</f>
        <v/>
      </c>
      <c r="O640" s="7">
        <f>IF(G640="","",F640/G640)</f>
        <v/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4">
        <f>IF(SUMIFS('Daily NSE Equity Cash'!$H:$H,'Daily NSE Equity Cash'!$A:$A,$A641)=0,"",SUMIFS('Daily NSE Equity Cash'!$H:$H,'Daily NSE Equity Cash'!$A:$A,$A641))</f>
        <v/>
      </c>
      <c r="F641" s="4">
        <f>IF(SUMIFS('Daily BSE Equity Cash'!$H:$H,'Daily BSE Equity Cash'!$A:$A,$A641)=0,"",SUMIFS('Daily BSE Equity Cash'!$H:$H,'Daily BSE Equity Cash'!$A:$A,$A641))</f>
        <v/>
      </c>
      <c r="G641" s="4">
        <f>IF(OR(E641="",F641=""),"",E641+F641)</f>
        <v/>
      </c>
      <c r="H641" s="7">
        <f>IFERROR(IF(OR(E641="",INDEX(E:E,MATCH(DATE(YEAR($A641)-1,MONTH($A641),DAY($A641)),$A:$A,0))=""),"",E641/INDEX(E:E,MATCH(DATE(YEAR($A641)-1,MONTH($A641),DAY($A641)),$A:$A,0))-1),"")</f>
        <v/>
      </c>
      <c r="I641" s="7">
        <f>IFERROR(IF(OR(F641="",INDEX(F:F,MATCH(DATE(YEAR($A641)-1,MONTH($A641),DAY($A641)),$A:$A,0))=""),"",F641/INDEX(F:F,MATCH(DATE(YEAR($A641)-1,MONTH($A641),DAY($A641)),$A:$A,0))-1),"")</f>
        <v/>
      </c>
      <c r="J641" s="7">
        <f>IFERROR(IF(OR(G641="",INDEX(G:G,MATCH(DATE(YEAR($A641)-1,MONTH($A641),DAY($A641)),$A:$A,0))=""),"",G641/INDEX(G:G,MATCH(DATE(YEAR($A641)-1,MONTH($A641),DAY($A641)),$A:$A,0))-1),"")</f>
        <v/>
      </c>
      <c r="K641" s="7">
        <f>IF(OR(E641="",E640=""),"",E641/E640-1)</f>
        <v/>
      </c>
      <c r="L641" s="7">
        <f>IF(OR(F641="",F640=""),"",F641/F640-1)</f>
        <v/>
      </c>
      <c r="M641" s="7">
        <f>IF(OR(G641="",G640=""),"",G641/G640-1)</f>
        <v/>
      </c>
      <c r="N641" s="7">
        <f>IF(G641="","",E641/G641)</f>
        <v/>
      </c>
      <c r="O641" s="7">
        <f>IF(G641="","",F641/G641)</f>
        <v/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4">
        <f>IF(SUMIFS('Daily NSE Equity Cash'!$H:$H,'Daily NSE Equity Cash'!$A:$A,$A642)=0,"",SUMIFS('Daily NSE Equity Cash'!$H:$H,'Daily NSE Equity Cash'!$A:$A,$A642))</f>
        <v/>
      </c>
      <c r="F642" s="4">
        <f>IF(SUMIFS('Daily BSE Equity Cash'!$H:$H,'Daily BSE Equity Cash'!$A:$A,$A642)=0,"",SUMIFS('Daily BSE Equity Cash'!$H:$H,'Daily BSE Equity Cash'!$A:$A,$A642))</f>
        <v/>
      </c>
      <c r="G642" s="4">
        <f>IF(OR(E642="",F642=""),"",E642+F642)</f>
        <v/>
      </c>
      <c r="H642" s="7">
        <f>IFERROR(IF(OR(E642="",INDEX(E:E,MATCH(DATE(YEAR($A642)-1,MONTH($A642),DAY($A642)),$A:$A,0))=""),"",E642/INDEX(E:E,MATCH(DATE(YEAR($A642)-1,MONTH($A642),DAY($A642)),$A:$A,0))-1),"")</f>
        <v/>
      </c>
      <c r="I642" s="7">
        <f>IFERROR(IF(OR(F642="",INDEX(F:F,MATCH(DATE(YEAR($A642)-1,MONTH($A642),DAY($A642)),$A:$A,0))=""),"",F642/INDEX(F:F,MATCH(DATE(YEAR($A642)-1,MONTH($A642),DAY($A642)),$A:$A,0))-1),"")</f>
        <v/>
      </c>
      <c r="J642" s="7">
        <f>IFERROR(IF(OR(G642="",INDEX(G:G,MATCH(DATE(YEAR($A642)-1,MONTH($A642),DAY($A642)),$A:$A,0))=""),"",G642/INDEX(G:G,MATCH(DATE(YEAR($A642)-1,MONTH($A642),DAY($A642)),$A:$A,0))-1),"")</f>
        <v/>
      </c>
      <c r="K642" s="7">
        <f>IF(OR(E642="",E641=""),"",E642/E641-1)</f>
        <v/>
      </c>
      <c r="L642" s="7">
        <f>IF(OR(F642="",F641=""),"",F642/F641-1)</f>
        <v/>
      </c>
      <c r="M642" s="7">
        <f>IF(OR(G642="",G641=""),"",G642/G641-1)</f>
        <v/>
      </c>
      <c r="N642" s="7">
        <f>IF(G642="","",E642/G642)</f>
        <v/>
      </c>
      <c r="O642" s="7">
        <f>IF(G642="","",F642/G642)</f>
        <v/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4">
        <f>IF(SUMIFS('Daily NSE Equity Cash'!$H:$H,'Daily NSE Equity Cash'!$A:$A,$A643)=0,"",SUMIFS('Daily NSE Equity Cash'!$H:$H,'Daily NSE Equity Cash'!$A:$A,$A643))</f>
        <v/>
      </c>
      <c r="F643" s="4">
        <f>IF(SUMIFS('Daily BSE Equity Cash'!$H:$H,'Daily BSE Equity Cash'!$A:$A,$A643)=0,"",SUMIFS('Daily BSE Equity Cash'!$H:$H,'Daily BSE Equity Cash'!$A:$A,$A643))</f>
        <v/>
      </c>
      <c r="G643" s="4">
        <f>IF(OR(E643="",F643=""),"",E643+F643)</f>
        <v/>
      </c>
      <c r="H643" s="7">
        <f>IFERROR(IF(OR(E643="",INDEX(E:E,MATCH(DATE(YEAR($A643)-1,MONTH($A643),DAY($A643)),$A:$A,0))=""),"",E643/INDEX(E:E,MATCH(DATE(YEAR($A643)-1,MONTH($A643),DAY($A643)),$A:$A,0))-1),"")</f>
        <v/>
      </c>
      <c r="I643" s="7">
        <f>IFERROR(IF(OR(F643="",INDEX(F:F,MATCH(DATE(YEAR($A643)-1,MONTH($A643),DAY($A643)),$A:$A,0))=""),"",F643/INDEX(F:F,MATCH(DATE(YEAR($A643)-1,MONTH($A643),DAY($A643)),$A:$A,0))-1),"")</f>
        <v/>
      </c>
      <c r="J643" s="7">
        <f>IFERROR(IF(OR(G643="",INDEX(G:G,MATCH(DATE(YEAR($A643)-1,MONTH($A643),DAY($A643)),$A:$A,0))=""),"",G643/INDEX(G:G,MATCH(DATE(YEAR($A643)-1,MONTH($A643),DAY($A643)),$A:$A,0))-1),"")</f>
        <v/>
      </c>
      <c r="K643" s="7">
        <f>IF(OR(E643="",E642=""),"",E643/E642-1)</f>
        <v/>
      </c>
      <c r="L643" s="7">
        <f>IF(OR(F643="",F642=""),"",F643/F642-1)</f>
        <v/>
      </c>
      <c r="M643" s="7">
        <f>IF(OR(G643="",G642=""),"",G643/G642-1)</f>
        <v/>
      </c>
      <c r="N643" s="7">
        <f>IF(G643="","",E643/G643)</f>
        <v/>
      </c>
      <c r="O643" s="7">
        <f>IF(G643="","",F643/G643)</f>
        <v/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4">
        <f>IF(SUMIFS('Daily NSE Equity Cash'!$H:$H,'Daily NSE Equity Cash'!$A:$A,$A644)=0,"",SUMIFS('Daily NSE Equity Cash'!$H:$H,'Daily NSE Equity Cash'!$A:$A,$A644))</f>
        <v/>
      </c>
      <c r="F644" s="4">
        <f>IF(SUMIFS('Daily BSE Equity Cash'!$H:$H,'Daily BSE Equity Cash'!$A:$A,$A644)=0,"",SUMIFS('Daily BSE Equity Cash'!$H:$H,'Daily BSE Equity Cash'!$A:$A,$A644))</f>
        <v/>
      </c>
      <c r="G644" s="4">
        <f>IF(OR(E644="",F644=""),"",E644+F644)</f>
        <v/>
      </c>
      <c r="H644" s="7">
        <f>IFERROR(IF(OR(E644="",INDEX(E:E,MATCH(DATE(YEAR($A644)-1,MONTH($A644),DAY($A644)),$A:$A,0))=""),"",E644/INDEX(E:E,MATCH(DATE(YEAR($A644)-1,MONTH($A644),DAY($A644)),$A:$A,0))-1),"")</f>
        <v/>
      </c>
      <c r="I644" s="7">
        <f>IFERROR(IF(OR(F644="",INDEX(F:F,MATCH(DATE(YEAR($A644)-1,MONTH($A644),DAY($A644)),$A:$A,0))=""),"",F644/INDEX(F:F,MATCH(DATE(YEAR($A644)-1,MONTH($A644),DAY($A644)),$A:$A,0))-1),"")</f>
        <v/>
      </c>
      <c r="J644" s="7">
        <f>IFERROR(IF(OR(G644="",INDEX(G:G,MATCH(DATE(YEAR($A644)-1,MONTH($A644),DAY($A644)),$A:$A,0))=""),"",G644/INDEX(G:G,MATCH(DATE(YEAR($A644)-1,MONTH($A644),DAY($A644)),$A:$A,0))-1),"")</f>
        <v/>
      </c>
      <c r="K644" s="7">
        <f>IF(OR(E644="",E643=""),"",E644/E643-1)</f>
        <v/>
      </c>
      <c r="L644" s="7">
        <f>IF(OR(F644="",F643=""),"",F644/F643-1)</f>
        <v/>
      </c>
      <c r="M644" s="7">
        <f>IF(OR(G644="",G643=""),"",G644/G643-1)</f>
        <v/>
      </c>
      <c r="N644" s="7">
        <f>IF(G644="","",E644/G644)</f>
        <v/>
      </c>
      <c r="O644" s="7">
        <f>IF(G644="","",F644/G644)</f>
        <v/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4">
        <f>IF(SUMIFS('Daily NSE Equity Cash'!$H:$H,'Daily NSE Equity Cash'!$A:$A,$A645)=0,"",SUMIFS('Daily NSE Equity Cash'!$H:$H,'Daily NSE Equity Cash'!$A:$A,$A645))</f>
        <v/>
      </c>
      <c r="F645" s="4">
        <f>IF(SUMIFS('Daily BSE Equity Cash'!$H:$H,'Daily BSE Equity Cash'!$A:$A,$A645)=0,"",SUMIFS('Daily BSE Equity Cash'!$H:$H,'Daily BSE Equity Cash'!$A:$A,$A645))</f>
        <v/>
      </c>
      <c r="G645" s="4">
        <f>IF(OR(E645="",F645=""),"",E645+F645)</f>
        <v/>
      </c>
      <c r="H645" s="7">
        <f>IFERROR(IF(OR(E645="",INDEX(E:E,MATCH(DATE(YEAR($A645)-1,MONTH($A645),DAY($A645)),$A:$A,0))=""),"",E645/INDEX(E:E,MATCH(DATE(YEAR($A645)-1,MONTH($A645),DAY($A645)),$A:$A,0))-1),"")</f>
        <v/>
      </c>
      <c r="I645" s="7">
        <f>IFERROR(IF(OR(F645="",INDEX(F:F,MATCH(DATE(YEAR($A645)-1,MONTH($A645),DAY($A645)),$A:$A,0))=""),"",F645/INDEX(F:F,MATCH(DATE(YEAR($A645)-1,MONTH($A645),DAY($A645)),$A:$A,0))-1),"")</f>
        <v/>
      </c>
      <c r="J645" s="7">
        <f>IFERROR(IF(OR(G645="",INDEX(G:G,MATCH(DATE(YEAR($A645)-1,MONTH($A645),DAY($A645)),$A:$A,0))=""),"",G645/INDEX(G:G,MATCH(DATE(YEAR($A645)-1,MONTH($A645),DAY($A645)),$A:$A,0))-1),"")</f>
        <v/>
      </c>
      <c r="K645" s="7">
        <f>IF(OR(E645="",E644=""),"",E645/E644-1)</f>
        <v/>
      </c>
      <c r="L645" s="7">
        <f>IF(OR(F645="",F644=""),"",F645/F644-1)</f>
        <v/>
      </c>
      <c r="M645" s="7">
        <f>IF(OR(G645="",G644=""),"",G645/G644-1)</f>
        <v/>
      </c>
      <c r="N645" s="7">
        <f>IF(G645="","",E645/G645)</f>
        <v/>
      </c>
      <c r="O645" s="7">
        <f>IF(G645="","",F645/G645)</f>
        <v/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4">
        <f>IF(SUMIFS('Daily NSE Equity Cash'!$H:$H,'Daily NSE Equity Cash'!$A:$A,$A646)=0,"",SUMIFS('Daily NSE Equity Cash'!$H:$H,'Daily NSE Equity Cash'!$A:$A,$A646))</f>
        <v/>
      </c>
      <c r="F646" s="4">
        <f>IF(SUMIFS('Daily BSE Equity Cash'!$H:$H,'Daily BSE Equity Cash'!$A:$A,$A646)=0,"",SUMIFS('Daily BSE Equity Cash'!$H:$H,'Daily BSE Equity Cash'!$A:$A,$A646))</f>
        <v/>
      </c>
      <c r="G646" s="4">
        <f>IF(OR(E646="",F646=""),"",E646+F646)</f>
        <v/>
      </c>
      <c r="H646" s="7">
        <f>IFERROR(IF(OR(E646="",INDEX(E:E,MATCH(DATE(YEAR($A646)-1,MONTH($A646),DAY($A646)),$A:$A,0))=""),"",E646/INDEX(E:E,MATCH(DATE(YEAR($A646)-1,MONTH($A646),DAY($A646)),$A:$A,0))-1),"")</f>
        <v/>
      </c>
      <c r="I646" s="7">
        <f>IFERROR(IF(OR(F646="",INDEX(F:F,MATCH(DATE(YEAR($A646)-1,MONTH($A646),DAY($A646)),$A:$A,0))=""),"",F646/INDEX(F:F,MATCH(DATE(YEAR($A646)-1,MONTH($A646),DAY($A646)),$A:$A,0))-1),"")</f>
        <v/>
      </c>
      <c r="J646" s="7">
        <f>IFERROR(IF(OR(G646="",INDEX(G:G,MATCH(DATE(YEAR($A646)-1,MONTH($A646),DAY($A646)),$A:$A,0))=""),"",G646/INDEX(G:G,MATCH(DATE(YEAR($A646)-1,MONTH($A646),DAY($A646)),$A:$A,0))-1),"")</f>
        <v/>
      </c>
      <c r="K646" s="7">
        <f>IF(OR(E646="",E645=""),"",E646/E645-1)</f>
        <v/>
      </c>
      <c r="L646" s="7">
        <f>IF(OR(F646="",F645=""),"",F646/F645-1)</f>
        <v/>
      </c>
      <c r="M646" s="7">
        <f>IF(OR(G646="",G645=""),"",G646/G645-1)</f>
        <v/>
      </c>
      <c r="N646" s="7">
        <f>IF(G646="","",E646/G646)</f>
        <v/>
      </c>
      <c r="O646" s="7">
        <f>IF(G646="","",F646/G646)</f>
        <v/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4">
        <f>IF(SUMIFS('Daily NSE Equity Cash'!$H:$H,'Daily NSE Equity Cash'!$A:$A,$A647)=0,"",SUMIFS('Daily NSE Equity Cash'!$H:$H,'Daily NSE Equity Cash'!$A:$A,$A647))</f>
        <v/>
      </c>
      <c r="F647" s="4">
        <f>IF(SUMIFS('Daily BSE Equity Cash'!$H:$H,'Daily BSE Equity Cash'!$A:$A,$A647)=0,"",SUMIFS('Daily BSE Equity Cash'!$H:$H,'Daily BSE Equity Cash'!$A:$A,$A647))</f>
        <v/>
      </c>
      <c r="G647" s="4">
        <f>IF(OR(E647="",F647=""),"",E647+F647)</f>
        <v/>
      </c>
      <c r="H647" s="7">
        <f>IFERROR(IF(OR(E647="",INDEX(E:E,MATCH(DATE(YEAR($A647)-1,MONTH($A647),DAY($A647)),$A:$A,0))=""),"",E647/INDEX(E:E,MATCH(DATE(YEAR($A647)-1,MONTH($A647),DAY($A647)),$A:$A,0))-1),"")</f>
        <v/>
      </c>
      <c r="I647" s="7">
        <f>IFERROR(IF(OR(F647="",INDEX(F:F,MATCH(DATE(YEAR($A647)-1,MONTH($A647),DAY($A647)),$A:$A,0))=""),"",F647/INDEX(F:F,MATCH(DATE(YEAR($A647)-1,MONTH($A647),DAY($A647)),$A:$A,0))-1),"")</f>
        <v/>
      </c>
      <c r="J647" s="7">
        <f>IFERROR(IF(OR(G647="",INDEX(G:G,MATCH(DATE(YEAR($A647)-1,MONTH($A647),DAY($A647)),$A:$A,0))=""),"",G647/INDEX(G:G,MATCH(DATE(YEAR($A647)-1,MONTH($A647),DAY($A647)),$A:$A,0))-1),"")</f>
        <v/>
      </c>
      <c r="K647" s="7">
        <f>IF(OR(E647="",E646=""),"",E647/E646-1)</f>
        <v/>
      </c>
      <c r="L647" s="7">
        <f>IF(OR(F647="",F646=""),"",F647/F646-1)</f>
        <v/>
      </c>
      <c r="M647" s="7">
        <f>IF(OR(G647="",G646=""),"",G647/G646-1)</f>
        <v/>
      </c>
      <c r="N647" s="7">
        <f>IF(G647="","",E647/G647)</f>
        <v/>
      </c>
      <c r="O647" s="7">
        <f>IF(G647="","",F647/G647)</f>
        <v/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4">
        <f>IF(SUMIFS('Daily NSE Equity Cash'!$H:$H,'Daily NSE Equity Cash'!$A:$A,$A648)=0,"",SUMIFS('Daily NSE Equity Cash'!$H:$H,'Daily NSE Equity Cash'!$A:$A,$A648))</f>
        <v/>
      </c>
      <c r="F648" s="4">
        <f>IF(SUMIFS('Daily BSE Equity Cash'!$H:$H,'Daily BSE Equity Cash'!$A:$A,$A648)=0,"",SUMIFS('Daily BSE Equity Cash'!$H:$H,'Daily BSE Equity Cash'!$A:$A,$A648))</f>
        <v/>
      </c>
      <c r="G648" s="4">
        <f>IF(OR(E648="",F648=""),"",E648+F648)</f>
        <v/>
      </c>
      <c r="H648" s="7">
        <f>IFERROR(IF(OR(E648="",INDEX(E:E,MATCH(DATE(YEAR($A648)-1,MONTH($A648),DAY($A648)),$A:$A,0))=""),"",E648/INDEX(E:E,MATCH(DATE(YEAR($A648)-1,MONTH($A648),DAY($A648)),$A:$A,0))-1),"")</f>
        <v/>
      </c>
      <c r="I648" s="7">
        <f>IFERROR(IF(OR(F648="",INDEX(F:F,MATCH(DATE(YEAR($A648)-1,MONTH($A648),DAY($A648)),$A:$A,0))=""),"",F648/INDEX(F:F,MATCH(DATE(YEAR($A648)-1,MONTH($A648),DAY($A648)),$A:$A,0))-1),"")</f>
        <v/>
      </c>
      <c r="J648" s="7">
        <f>IFERROR(IF(OR(G648="",INDEX(G:G,MATCH(DATE(YEAR($A648)-1,MONTH($A648),DAY($A648)),$A:$A,0))=""),"",G648/INDEX(G:G,MATCH(DATE(YEAR($A648)-1,MONTH($A648),DAY($A648)),$A:$A,0))-1),"")</f>
        <v/>
      </c>
      <c r="K648" s="7">
        <f>IF(OR(E648="",E647=""),"",E648/E647-1)</f>
        <v/>
      </c>
      <c r="L648" s="7">
        <f>IF(OR(F648="",F647=""),"",F648/F647-1)</f>
        <v/>
      </c>
      <c r="M648" s="7">
        <f>IF(OR(G648="",G647=""),"",G648/G647-1)</f>
        <v/>
      </c>
      <c r="N648" s="7">
        <f>IF(G648="","",E648/G648)</f>
        <v/>
      </c>
      <c r="O648" s="7">
        <f>IF(G648="","",F648/G648)</f>
        <v/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4">
        <f>IF(SUMIFS('Daily NSE Equity Cash'!$H:$H,'Daily NSE Equity Cash'!$A:$A,$A649)=0,"",SUMIFS('Daily NSE Equity Cash'!$H:$H,'Daily NSE Equity Cash'!$A:$A,$A649))</f>
        <v/>
      </c>
      <c r="F649" s="4">
        <f>IF(SUMIFS('Daily BSE Equity Cash'!$H:$H,'Daily BSE Equity Cash'!$A:$A,$A649)=0,"",SUMIFS('Daily BSE Equity Cash'!$H:$H,'Daily BSE Equity Cash'!$A:$A,$A649))</f>
        <v/>
      </c>
      <c r="G649" s="4">
        <f>IF(OR(E649="",F649=""),"",E649+F649)</f>
        <v/>
      </c>
      <c r="H649" s="7">
        <f>IFERROR(IF(OR(E649="",INDEX(E:E,MATCH(DATE(YEAR($A649)-1,MONTH($A649),DAY($A649)),$A:$A,0))=""),"",E649/INDEX(E:E,MATCH(DATE(YEAR($A649)-1,MONTH($A649),DAY($A649)),$A:$A,0))-1),"")</f>
        <v/>
      </c>
      <c r="I649" s="7">
        <f>IFERROR(IF(OR(F649="",INDEX(F:F,MATCH(DATE(YEAR($A649)-1,MONTH($A649),DAY($A649)),$A:$A,0))=""),"",F649/INDEX(F:F,MATCH(DATE(YEAR($A649)-1,MONTH($A649),DAY($A649)),$A:$A,0))-1),"")</f>
        <v/>
      </c>
      <c r="J649" s="7">
        <f>IFERROR(IF(OR(G649="",INDEX(G:G,MATCH(DATE(YEAR($A649)-1,MONTH($A649),DAY($A649)),$A:$A,0))=""),"",G649/INDEX(G:G,MATCH(DATE(YEAR($A649)-1,MONTH($A649),DAY($A649)),$A:$A,0))-1),"")</f>
        <v/>
      </c>
      <c r="K649" s="7">
        <f>IF(OR(E649="",E648=""),"",E649/E648-1)</f>
        <v/>
      </c>
      <c r="L649" s="7">
        <f>IF(OR(F649="",F648=""),"",F649/F648-1)</f>
        <v/>
      </c>
      <c r="M649" s="7">
        <f>IF(OR(G649="",G648=""),"",G649/G648-1)</f>
        <v/>
      </c>
      <c r="N649" s="7">
        <f>IF(G649="","",E649/G649)</f>
        <v/>
      </c>
      <c r="O649" s="7">
        <f>IF(G649="","",F649/G649)</f>
        <v/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4">
        <f>IF(SUMIFS('Daily NSE Equity Cash'!$H:$H,'Daily NSE Equity Cash'!$A:$A,$A650)=0,"",SUMIFS('Daily NSE Equity Cash'!$H:$H,'Daily NSE Equity Cash'!$A:$A,$A650))</f>
        <v/>
      </c>
      <c r="F650" s="4">
        <f>IF(SUMIFS('Daily BSE Equity Cash'!$H:$H,'Daily BSE Equity Cash'!$A:$A,$A650)=0,"",SUMIFS('Daily BSE Equity Cash'!$H:$H,'Daily BSE Equity Cash'!$A:$A,$A650))</f>
        <v/>
      </c>
      <c r="G650" s="4">
        <f>IF(OR(E650="",F650=""),"",E650+F650)</f>
        <v/>
      </c>
      <c r="H650" s="7">
        <f>IFERROR(IF(OR(E650="",INDEX(E:E,MATCH(DATE(YEAR($A650)-1,MONTH($A650),DAY($A650)),$A:$A,0))=""),"",E650/INDEX(E:E,MATCH(DATE(YEAR($A650)-1,MONTH($A650),DAY($A650)),$A:$A,0))-1),"")</f>
        <v/>
      </c>
      <c r="I650" s="7">
        <f>IFERROR(IF(OR(F650="",INDEX(F:F,MATCH(DATE(YEAR($A650)-1,MONTH($A650),DAY($A650)),$A:$A,0))=""),"",F650/INDEX(F:F,MATCH(DATE(YEAR($A650)-1,MONTH($A650),DAY($A650)),$A:$A,0))-1),"")</f>
        <v/>
      </c>
      <c r="J650" s="7">
        <f>IFERROR(IF(OR(G650="",INDEX(G:G,MATCH(DATE(YEAR($A650)-1,MONTH($A650),DAY($A650)),$A:$A,0))=""),"",G650/INDEX(G:G,MATCH(DATE(YEAR($A650)-1,MONTH($A650),DAY($A650)),$A:$A,0))-1),"")</f>
        <v/>
      </c>
      <c r="K650" s="7">
        <f>IF(OR(E650="",E649=""),"",E650/E649-1)</f>
        <v/>
      </c>
      <c r="L650" s="7">
        <f>IF(OR(F650="",F649=""),"",F650/F649-1)</f>
        <v/>
      </c>
      <c r="M650" s="7">
        <f>IF(OR(G650="",G649=""),"",G650/G649-1)</f>
        <v/>
      </c>
      <c r="N650" s="7">
        <f>IF(G650="","",E650/G650)</f>
        <v/>
      </c>
      <c r="O650" s="7">
        <f>IF(G650="","",F650/G650)</f>
        <v/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4">
        <f>IF(SUMIFS('Daily NSE Equity Cash'!$H:$H,'Daily NSE Equity Cash'!$A:$A,$A651)=0,"",SUMIFS('Daily NSE Equity Cash'!$H:$H,'Daily NSE Equity Cash'!$A:$A,$A651))</f>
        <v/>
      </c>
      <c r="F651" s="4">
        <f>IF(SUMIFS('Daily BSE Equity Cash'!$H:$H,'Daily BSE Equity Cash'!$A:$A,$A651)=0,"",SUMIFS('Daily BSE Equity Cash'!$H:$H,'Daily BSE Equity Cash'!$A:$A,$A651))</f>
        <v/>
      </c>
      <c r="G651" s="4">
        <f>IF(OR(E651="",F651=""),"",E651+F651)</f>
        <v/>
      </c>
      <c r="H651" s="7">
        <f>IFERROR(IF(OR(E651="",INDEX(E:E,MATCH(DATE(YEAR($A651)-1,MONTH($A651),DAY($A651)),$A:$A,0))=""),"",E651/INDEX(E:E,MATCH(DATE(YEAR($A651)-1,MONTH($A651),DAY($A651)),$A:$A,0))-1),"")</f>
        <v/>
      </c>
      <c r="I651" s="7">
        <f>IFERROR(IF(OR(F651="",INDEX(F:F,MATCH(DATE(YEAR($A651)-1,MONTH($A651),DAY($A651)),$A:$A,0))=""),"",F651/INDEX(F:F,MATCH(DATE(YEAR($A651)-1,MONTH($A651),DAY($A651)),$A:$A,0))-1),"")</f>
        <v/>
      </c>
      <c r="J651" s="7">
        <f>IFERROR(IF(OR(G651="",INDEX(G:G,MATCH(DATE(YEAR($A651)-1,MONTH($A651),DAY($A651)),$A:$A,0))=""),"",G651/INDEX(G:G,MATCH(DATE(YEAR($A651)-1,MONTH($A651),DAY($A651)),$A:$A,0))-1),"")</f>
        <v/>
      </c>
      <c r="K651" s="7">
        <f>IF(OR(E651="",E650=""),"",E651/E650-1)</f>
        <v/>
      </c>
      <c r="L651" s="7">
        <f>IF(OR(F651="",F650=""),"",F651/F650-1)</f>
        <v/>
      </c>
      <c r="M651" s="7">
        <f>IF(OR(G651="",G650=""),"",G651/G650-1)</f>
        <v/>
      </c>
      <c r="N651" s="7">
        <f>IF(G651="","",E651/G651)</f>
        <v/>
      </c>
      <c r="O651" s="7">
        <f>IF(G651="","",F651/G651)</f>
        <v/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4">
        <f>IF(SUMIFS('Daily NSE Equity Cash'!$H:$H,'Daily NSE Equity Cash'!$A:$A,$A652)=0,"",SUMIFS('Daily NSE Equity Cash'!$H:$H,'Daily NSE Equity Cash'!$A:$A,$A652))</f>
        <v/>
      </c>
      <c r="F652" s="4">
        <f>IF(SUMIFS('Daily BSE Equity Cash'!$H:$H,'Daily BSE Equity Cash'!$A:$A,$A652)=0,"",SUMIFS('Daily BSE Equity Cash'!$H:$H,'Daily BSE Equity Cash'!$A:$A,$A652))</f>
        <v/>
      </c>
      <c r="G652" s="4">
        <f>IF(OR(E652="",F652=""),"",E652+F652)</f>
        <v/>
      </c>
      <c r="H652" s="7">
        <f>IFERROR(IF(OR(E652="",INDEX(E:E,MATCH(DATE(YEAR($A652)-1,MONTH($A652),DAY($A652)),$A:$A,0))=""),"",E652/INDEX(E:E,MATCH(DATE(YEAR($A652)-1,MONTH($A652),DAY($A652)),$A:$A,0))-1),"")</f>
        <v/>
      </c>
      <c r="I652" s="7">
        <f>IFERROR(IF(OR(F652="",INDEX(F:F,MATCH(DATE(YEAR($A652)-1,MONTH($A652),DAY($A652)),$A:$A,0))=""),"",F652/INDEX(F:F,MATCH(DATE(YEAR($A652)-1,MONTH($A652),DAY($A652)),$A:$A,0))-1),"")</f>
        <v/>
      </c>
      <c r="J652" s="7">
        <f>IFERROR(IF(OR(G652="",INDEX(G:G,MATCH(DATE(YEAR($A652)-1,MONTH($A652),DAY($A652)),$A:$A,0))=""),"",G652/INDEX(G:G,MATCH(DATE(YEAR($A652)-1,MONTH($A652),DAY($A652)),$A:$A,0))-1),"")</f>
        <v/>
      </c>
      <c r="K652" s="7">
        <f>IF(OR(E652="",E651=""),"",E652/E651-1)</f>
        <v/>
      </c>
      <c r="L652" s="7">
        <f>IF(OR(F652="",F651=""),"",F652/F651-1)</f>
        <v/>
      </c>
      <c r="M652" s="7">
        <f>IF(OR(G652="",G651=""),"",G652/G651-1)</f>
        <v/>
      </c>
      <c r="N652" s="7">
        <f>IF(G652="","",E652/G652)</f>
        <v/>
      </c>
      <c r="O652" s="7">
        <f>IF(G652="","",F652/G652)</f>
        <v/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4">
        <f>IF(SUMIFS('Daily NSE Equity Cash'!$H:$H,'Daily NSE Equity Cash'!$A:$A,$A653)=0,"",SUMIFS('Daily NSE Equity Cash'!$H:$H,'Daily NSE Equity Cash'!$A:$A,$A653))</f>
        <v/>
      </c>
      <c r="F653" s="4">
        <f>IF(SUMIFS('Daily BSE Equity Cash'!$H:$H,'Daily BSE Equity Cash'!$A:$A,$A653)=0,"",SUMIFS('Daily BSE Equity Cash'!$H:$H,'Daily BSE Equity Cash'!$A:$A,$A653))</f>
        <v/>
      </c>
      <c r="G653" s="4">
        <f>IF(OR(E653="",F653=""),"",E653+F653)</f>
        <v/>
      </c>
      <c r="H653" s="7">
        <f>IFERROR(IF(OR(E653="",INDEX(E:E,MATCH(DATE(YEAR($A653)-1,MONTH($A653),DAY($A653)),$A:$A,0))=""),"",E653/INDEX(E:E,MATCH(DATE(YEAR($A653)-1,MONTH($A653),DAY($A653)),$A:$A,0))-1),"")</f>
        <v/>
      </c>
      <c r="I653" s="7">
        <f>IFERROR(IF(OR(F653="",INDEX(F:F,MATCH(DATE(YEAR($A653)-1,MONTH($A653),DAY($A653)),$A:$A,0))=""),"",F653/INDEX(F:F,MATCH(DATE(YEAR($A653)-1,MONTH($A653),DAY($A653)),$A:$A,0))-1),"")</f>
        <v/>
      </c>
      <c r="J653" s="7">
        <f>IFERROR(IF(OR(G653="",INDEX(G:G,MATCH(DATE(YEAR($A653)-1,MONTH($A653),DAY($A653)),$A:$A,0))=""),"",G653/INDEX(G:G,MATCH(DATE(YEAR($A653)-1,MONTH($A653),DAY($A653)),$A:$A,0))-1),"")</f>
        <v/>
      </c>
      <c r="K653" s="7">
        <f>IF(OR(E653="",E652=""),"",E653/E652-1)</f>
        <v/>
      </c>
      <c r="L653" s="7">
        <f>IF(OR(F653="",F652=""),"",F653/F652-1)</f>
        <v/>
      </c>
      <c r="M653" s="7">
        <f>IF(OR(G653="",G652=""),"",G653/G652-1)</f>
        <v/>
      </c>
      <c r="N653" s="7">
        <f>IF(G653="","",E653/G653)</f>
        <v/>
      </c>
      <c r="O653" s="7">
        <f>IF(G653="","",F653/G653)</f>
        <v/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4">
        <f>IF(SUMIFS('Daily NSE Equity Cash'!$H:$H,'Daily NSE Equity Cash'!$A:$A,$A654)=0,"",SUMIFS('Daily NSE Equity Cash'!$H:$H,'Daily NSE Equity Cash'!$A:$A,$A654))</f>
        <v/>
      </c>
      <c r="F654" s="4">
        <f>IF(SUMIFS('Daily BSE Equity Cash'!$H:$H,'Daily BSE Equity Cash'!$A:$A,$A654)=0,"",SUMIFS('Daily BSE Equity Cash'!$H:$H,'Daily BSE Equity Cash'!$A:$A,$A654))</f>
        <v/>
      </c>
      <c r="G654" s="4">
        <f>IF(OR(E654="",F654=""),"",E654+F654)</f>
        <v/>
      </c>
      <c r="H654" s="7">
        <f>IFERROR(IF(OR(E654="",INDEX(E:E,MATCH(DATE(YEAR($A654)-1,MONTH($A654),DAY($A654)),$A:$A,0))=""),"",E654/INDEX(E:E,MATCH(DATE(YEAR($A654)-1,MONTH($A654),DAY($A654)),$A:$A,0))-1),"")</f>
        <v/>
      </c>
      <c r="I654" s="7">
        <f>IFERROR(IF(OR(F654="",INDEX(F:F,MATCH(DATE(YEAR($A654)-1,MONTH($A654),DAY($A654)),$A:$A,0))=""),"",F654/INDEX(F:F,MATCH(DATE(YEAR($A654)-1,MONTH($A654),DAY($A654)),$A:$A,0))-1),"")</f>
        <v/>
      </c>
      <c r="J654" s="7">
        <f>IFERROR(IF(OR(G654="",INDEX(G:G,MATCH(DATE(YEAR($A654)-1,MONTH($A654),DAY($A654)),$A:$A,0))=""),"",G654/INDEX(G:G,MATCH(DATE(YEAR($A654)-1,MONTH($A654),DAY($A654)),$A:$A,0))-1),"")</f>
        <v/>
      </c>
      <c r="K654" s="7">
        <f>IF(OR(E654="",E653=""),"",E654/E653-1)</f>
        <v/>
      </c>
      <c r="L654" s="7">
        <f>IF(OR(F654="",F653=""),"",F654/F653-1)</f>
        <v/>
      </c>
      <c r="M654" s="7">
        <f>IF(OR(G654="",G653=""),"",G654/G653-1)</f>
        <v/>
      </c>
      <c r="N654" s="7">
        <f>IF(G654="","",E654/G654)</f>
        <v/>
      </c>
      <c r="O654" s="7">
        <f>IF(G654="","",F654/G654)</f>
        <v/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4">
        <f>IF(SUMIFS('Daily NSE Equity Cash'!$H:$H,'Daily NSE Equity Cash'!$A:$A,$A655)=0,"",SUMIFS('Daily NSE Equity Cash'!$H:$H,'Daily NSE Equity Cash'!$A:$A,$A655))</f>
        <v/>
      </c>
      <c r="F655" s="4">
        <f>IF(SUMIFS('Daily BSE Equity Cash'!$H:$H,'Daily BSE Equity Cash'!$A:$A,$A655)=0,"",SUMIFS('Daily BSE Equity Cash'!$H:$H,'Daily BSE Equity Cash'!$A:$A,$A655))</f>
        <v/>
      </c>
      <c r="G655" s="4">
        <f>IF(OR(E655="",F655=""),"",E655+F655)</f>
        <v/>
      </c>
      <c r="H655" s="7">
        <f>IFERROR(IF(OR(E655="",INDEX(E:E,MATCH(DATE(YEAR($A655)-1,MONTH($A655),DAY($A655)),$A:$A,0))=""),"",E655/INDEX(E:E,MATCH(DATE(YEAR($A655)-1,MONTH($A655),DAY($A655)),$A:$A,0))-1),"")</f>
        <v/>
      </c>
      <c r="I655" s="7">
        <f>IFERROR(IF(OR(F655="",INDEX(F:F,MATCH(DATE(YEAR($A655)-1,MONTH($A655),DAY($A655)),$A:$A,0))=""),"",F655/INDEX(F:F,MATCH(DATE(YEAR($A655)-1,MONTH($A655),DAY($A655)),$A:$A,0))-1),"")</f>
        <v/>
      </c>
      <c r="J655" s="7">
        <f>IFERROR(IF(OR(G655="",INDEX(G:G,MATCH(DATE(YEAR($A655)-1,MONTH($A655),DAY($A655)),$A:$A,0))=""),"",G655/INDEX(G:G,MATCH(DATE(YEAR($A655)-1,MONTH($A655),DAY($A655)),$A:$A,0))-1),"")</f>
        <v/>
      </c>
      <c r="K655" s="7">
        <f>IF(OR(E655="",E654=""),"",E655/E654-1)</f>
        <v/>
      </c>
      <c r="L655" s="7">
        <f>IF(OR(F655="",F654=""),"",F655/F654-1)</f>
        <v/>
      </c>
      <c r="M655" s="7">
        <f>IF(OR(G655="",G654=""),"",G655/G654-1)</f>
        <v/>
      </c>
      <c r="N655" s="7">
        <f>IF(G655="","",E655/G655)</f>
        <v/>
      </c>
      <c r="O655" s="7">
        <f>IF(G655="","",F655/G655)</f>
        <v/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4">
        <f>IF(SUMIFS('Daily NSE Equity Cash'!$H:$H,'Daily NSE Equity Cash'!$A:$A,$A656)=0,"",SUMIFS('Daily NSE Equity Cash'!$H:$H,'Daily NSE Equity Cash'!$A:$A,$A656))</f>
        <v/>
      </c>
      <c r="F656" s="4">
        <f>IF(SUMIFS('Daily BSE Equity Cash'!$H:$H,'Daily BSE Equity Cash'!$A:$A,$A656)=0,"",SUMIFS('Daily BSE Equity Cash'!$H:$H,'Daily BSE Equity Cash'!$A:$A,$A656))</f>
        <v/>
      </c>
      <c r="G656" s="4">
        <f>IF(OR(E656="",F656=""),"",E656+F656)</f>
        <v/>
      </c>
      <c r="H656" s="7">
        <f>IFERROR(IF(OR(E656="",INDEX(E:E,MATCH(DATE(YEAR($A656)-1,MONTH($A656),DAY($A656)),$A:$A,0))=""),"",E656/INDEX(E:E,MATCH(DATE(YEAR($A656)-1,MONTH($A656),DAY($A656)),$A:$A,0))-1),"")</f>
        <v/>
      </c>
      <c r="I656" s="7">
        <f>IFERROR(IF(OR(F656="",INDEX(F:F,MATCH(DATE(YEAR($A656)-1,MONTH($A656),DAY($A656)),$A:$A,0))=""),"",F656/INDEX(F:F,MATCH(DATE(YEAR($A656)-1,MONTH($A656),DAY($A656)),$A:$A,0))-1),"")</f>
        <v/>
      </c>
      <c r="J656" s="7">
        <f>IFERROR(IF(OR(G656="",INDEX(G:G,MATCH(DATE(YEAR($A656)-1,MONTH($A656),DAY($A656)),$A:$A,0))=""),"",G656/INDEX(G:G,MATCH(DATE(YEAR($A656)-1,MONTH($A656),DAY($A656)),$A:$A,0))-1),"")</f>
        <v/>
      </c>
      <c r="K656" s="7">
        <f>IF(OR(E656="",E655=""),"",E656/E655-1)</f>
        <v/>
      </c>
      <c r="L656" s="7">
        <f>IF(OR(F656="",F655=""),"",F656/F655-1)</f>
        <v/>
      </c>
      <c r="M656" s="7">
        <f>IF(OR(G656="",G655=""),"",G656/G655-1)</f>
        <v/>
      </c>
      <c r="N656" s="7">
        <f>IF(G656="","",E656/G656)</f>
        <v/>
      </c>
      <c r="O656" s="7">
        <f>IF(G656="","",F656/G656)</f>
        <v/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4">
        <f>IF(SUMIFS('Daily NSE Equity Cash'!$H:$H,'Daily NSE Equity Cash'!$A:$A,$A657)=0,"",SUMIFS('Daily NSE Equity Cash'!$H:$H,'Daily NSE Equity Cash'!$A:$A,$A657))</f>
        <v/>
      </c>
      <c r="F657" s="4">
        <f>IF(SUMIFS('Daily BSE Equity Cash'!$H:$H,'Daily BSE Equity Cash'!$A:$A,$A657)=0,"",SUMIFS('Daily BSE Equity Cash'!$H:$H,'Daily BSE Equity Cash'!$A:$A,$A657))</f>
        <v/>
      </c>
      <c r="G657" s="4">
        <f>IF(OR(E657="",F657=""),"",E657+F657)</f>
        <v/>
      </c>
      <c r="H657" s="7">
        <f>IFERROR(IF(OR(E657="",INDEX(E:E,MATCH(DATE(YEAR($A657)-1,MONTH($A657),DAY($A657)),$A:$A,0))=""),"",E657/INDEX(E:E,MATCH(DATE(YEAR($A657)-1,MONTH($A657),DAY($A657)),$A:$A,0))-1),"")</f>
        <v/>
      </c>
      <c r="I657" s="7">
        <f>IFERROR(IF(OR(F657="",INDEX(F:F,MATCH(DATE(YEAR($A657)-1,MONTH($A657),DAY($A657)),$A:$A,0))=""),"",F657/INDEX(F:F,MATCH(DATE(YEAR($A657)-1,MONTH($A657),DAY($A657)),$A:$A,0))-1),"")</f>
        <v/>
      </c>
      <c r="J657" s="7">
        <f>IFERROR(IF(OR(G657="",INDEX(G:G,MATCH(DATE(YEAR($A657)-1,MONTH($A657),DAY($A657)),$A:$A,0))=""),"",G657/INDEX(G:G,MATCH(DATE(YEAR($A657)-1,MONTH($A657),DAY($A657)),$A:$A,0))-1),"")</f>
        <v/>
      </c>
      <c r="K657" s="7">
        <f>IF(OR(E657="",E656=""),"",E657/E656-1)</f>
        <v/>
      </c>
      <c r="L657" s="7">
        <f>IF(OR(F657="",F656=""),"",F657/F656-1)</f>
        <v/>
      </c>
      <c r="M657" s="7">
        <f>IF(OR(G657="",G656=""),"",G657/G656-1)</f>
        <v/>
      </c>
      <c r="N657" s="7">
        <f>IF(G657="","",E657/G657)</f>
        <v/>
      </c>
      <c r="O657" s="7">
        <f>IF(G657="","",F657/G657)</f>
        <v/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4">
        <f>IF(SUMIFS('Daily NSE Equity Cash'!$H:$H,'Daily NSE Equity Cash'!$A:$A,$A658)=0,"",SUMIFS('Daily NSE Equity Cash'!$H:$H,'Daily NSE Equity Cash'!$A:$A,$A658))</f>
        <v/>
      </c>
      <c r="F658" s="4">
        <f>IF(SUMIFS('Daily BSE Equity Cash'!$H:$H,'Daily BSE Equity Cash'!$A:$A,$A658)=0,"",SUMIFS('Daily BSE Equity Cash'!$H:$H,'Daily BSE Equity Cash'!$A:$A,$A658))</f>
        <v/>
      </c>
      <c r="G658" s="4">
        <f>IF(OR(E658="",F658=""),"",E658+F658)</f>
        <v/>
      </c>
      <c r="H658" s="7">
        <f>IFERROR(IF(OR(E658="",INDEX(E:E,MATCH(DATE(YEAR($A658)-1,MONTH($A658),DAY($A658)),$A:$A,0))=""),"",E658/INDEX(E:E,MATCH(DATE(YEAR($A658)-1,MONTH($A658),DAY($A658)),$A:$A,0))-1),"")</f>
        <v/>
      </c>
      <c r="I658" s="7">
        <f>IFERROR(IF(OR(F658="",INDEX(F:F,MATCH(DATE(YEAR($A658)-1,MONTH($A658),DAY($A658)),$A:$A,0))=""),"",F658/INDEX(F:F,MATCH(DATE(YEAR($A658)-1,MONTH($A658),DAY($A658)),$A:$A,0))-1),"")</f>
        <v/>
      </c>
      <c r="J658" s="7">
        <f>IFERROR(IF(OR(G658="",INDEX(G:G,MATCH(DATE(YEAR($A658)-1,MONTH($A658),DAY($A658)),$A:$A,0))=""),"",G658/INDEX(G:G,MATCH(DATE(YEAR($A658)-1,MONTH($A658),DAY($A658)),$A:$A,0))-1),"")</f>
        <v/>
      </c>
      <c r="K658" s="7">
        <f>IF(OR(E658="",E657=""),"",E658/E657-1)</f>
        <v/>
      </c>
      <c r="L658" s="7">
        <f>IF(OR(F658="",F657=""),"",F658/F657-1)</f>
        <v/>
      </c>
      <c r="M658" s="7">
        <f>IF(OR(G658="",G657=""),"",G658/G657-1)</f>
        <v/>
      </c>
      <c r="N658" s="7">
        <f>IF(G658="","",E658/G658)</f>
        <v/>
      </c>
      <c r="O658" s="7">
        <f>IF(G658="","",F658/G658)</f>
        <v/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4">
        <f>IF(SUMIFS('Daily NSE Equity Cash'!$H:$H,'Daily NSE Equity Cash'!$A:$A,$A659)=0,"",SUMIFS('Daily NSE Equity Cash'!$H:$H,'Daily NSE Equity Cash'!$A:$A,$A659))</f>
        <v/>
      </c>
      <c r="F659" s="4">
        <f>IF(SUMIFS('Daily BSE Equity Cash'!$H:$H,'Daily BSE Equity Cash'!$A:$A,$A659)=0,"",SUMIFS('Daily BSE Equity Cash'!$H:$H,'Daily BSE Equity Cash'!$A:$A,$A659))</f>
        <v/>
      </c>
      <c r="G659" s="4">
        <f>IF(OR(E659="",F659=""),"",E659+F659)</f>
        <v/>
      </c>
      <c r="H659" s="7">
        <f>IFERROR(IF(OR(E659="",INDEX(E:E,MATCH(DATE(YEAR($A659)-1,MONTH($A659),DAY($A659)),$A:$A,0))=""),"",E659/INDEX(E:E,MATCH(DATE(YEAR($A659)-1,MONTH($A659),DAY($A659)),$A:$A,0))-1),"")</f>
        <v/>
      </c>
      <c r="I659" s="7">
        <f>IFERROR(IF(OR(F659="",INDEX(F:F,MATCH(DATE(YEAR($A659)-1,MONTH($A659),DAY($A659)),$A:$A,0))=""),"",F659/INDEX(F:F,MATCH(DATE(YEAR($A659)-1,MONTH($A659),DAY($A659)),$A:$A,0))-1),"")</f>
        <v/>
      </c>
      <c r="J659" s="7">
        <f>IFERROR(IF(OR(G659="",INDEX(G:G,MATCH(DATE(YEAR($A659)-1,MONTH($A659),DAY($A659)),$A:$A,0))=""),"",G659/INDEX(G:G,MATCH(DATE(YEAR($A659)-1,MONTH($A659),DAY($A659)),$A:$A,0))-1),"")</f>
        <v/>
      </c>
      <c r="K659" s="7">
        <f>IF(OR(E659="",E658=""),"",E659/E658-1)</f>
        <v/>
      </c>
      <c r="L659" s="7">
        <f>IF(OR(F659="",F658=""),"",F659/F658-1)</f>
        <v/>
      </c>
      <c r="M659" s="7">
        <f>IF(OR(G659="",G658=""),"",G659/G658-1)</f>
        <v/>
      </c>
      <c r="N659" s="7">
        <f>IF(G659="","",E659/G659)</f>
        <v/>
      </c>
      <c r="O659" s="7">
        <f>IF(G659="","",F659/G659)</f>
        <v/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4">
        <f>IF(SUMIFS('Daily NSE Equity Cash'!$H:$H,'Daily NSE Equity Cash'!$A:$A,$A660)=0,"",SUMIFS('Daily NSE Equity Cash'!$H:$H,'Daily NSE Equity Cash'!$A:$A,$A660))</f>
        <v/>
      </c>
      <c r="F660" s="4">
        <f>IF(SUMIFS('Daily BSE Equity Cash'!$H:$H,'Daily BSE Equity Cash'!$A:$A,$A660)=0,"",SUMIFS('Daily BSE Equity Cash'!$H:$H,'Daily BSE Equity Cash'!$A:$A,$A660))</f>
        <v/>
      </c>
      <c r="G660" s="4">
        <f>IF(OR(E660="",F660=""),"",E660+F660)</f>
        <v/>
      </c>
      <c r="H660" s="7">
        <f>IFERROR(IF(OR(E660="",INDEX(E:E,MATCH(DATE(YEAR($A660)-1,MONTH($A660),DAY($A660)),$A:$A,0))=""),"",E660/INDEX(E:E,MATCH(DATE(YEAR($A660)-1,MONTH($A660),DAY($A660)),$A:$A,0))-1),"")</f>
        <v/>
      </c>
      <c r="I660" s="7">
        <f>IFERROR(IF(OR(F660="",INDEX(F:F,MATCH(DATE(YEAR($A660)-1,MONTH($A660),DAY($A660)),$A:$A,0))=""),"",F660/INDEX(F:F,MATCH(DATE(YEAR($A660)-1,MONTH($A660),DAY($A660)),$A:$A,0))-1),"")</f>
        <v/>
      </c>
      <c r="J660" s="7">
        <f>IFERROR(IF(OR(G660="",INDEX(G:G,MATCH(DATE(YEAR($A660)-1,MONTH($A660),DAY($A660)),$A:$A,0))=""),"",G660/INDEX(G:G,MATCH(DATE(YEAR($A660)-1,MONTH($A660),DAY($A660)),$A:$A,0))-1),"")</f>
        <v/>
      </c>
      <c r="K660" s="7">
        <f>IF(OR(E660="",E659=""),"",E660/E659-1)</f>
        <v/>
      </c>
      <c r="L660" s="7">
        <f>IF(OR(F660="",F659=""),"",F660/F659-1)</f>
        <v/>
      </c>
      <c r="M660" s="7">
        <f>IF(OR(G660="",G659=""),"",G660/G659-1)</f>
        <v/>
      </c>
      <c r="N660" s="7">
        <f>IF(G660="","",E660/G660)</f>
        <v/>
      </c>
      <c r="O660" s="7">
        <f>IF(G660="","",F660/G660)</f>
        <v/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4">
        <f>IF(SUMIFS('Daily NSE Equity Cash'!$H:$H,'Daily NSE Equity Cash'!$A:$A,$A661)=0,"",SUMIFS('Daily NSE Equity Cash'!$H:$H,'Daily NSE Equity Cash'!$A:$A,$A661))</f>
        <v/>
      </c>
      <c r="F661" s="4">
        <f>IF(SUMIFS('Daily BSE Equity Cash'!$H:$H,'Daily BSE Equity Cash'!$A:$A,$A661)=0,"",SUMIFS('Daily BSE Equity Cash'!$H:$H,'Daily BSE Equity Cash'!$A:$A,$A661))</f>
        <v/>
      </c>
      <c r="G661" s="4">
        <f>IF(OR(E661="",F661=""),"",E661+F661)</f>
        <v/>
      </c>
      <c r="H661" s="7">
        <f>IFERROR(IF(OR(E661="",INDEX(E:E,MATCH(DATE(YEAR($A661)-1,MONTH($A661),DAY($A661)),$A:$A,0))=""),"",E661/INDEX(E:E,MATCH(DATE(YEAR($A661)-1,MONTH($A661),DAY($A661)),$A:$A,0))-1),"")</f>
        <v/>
      </c>
      <c r="I661" s="7">
        <f>IFERROR(IF(OR(F661="",INDEX(F:F,MATCH(DATE(YEAR($A661)-1,MONTH($A661),DAY($A661)),$A:$A,0))=""),"",F661/INDEX(F:F,MATCH(DATE(YEAR($A661)-1,MONTH($A661),DAY($A661)),$A:$A,0))-1),"")</f>
        <v/>
      </c>
      <c r="J661" s="7">
        <f>IFERROR(IF(OR(G661="",INDEX(G:G,MATCH(DATE(YEAR($A661)-1,MONTH($A661),DAY($A661)),$A:$A,0))=""),"",G661/INDEX(G:G,MATCH(DATE(YEAR($A661)-1,MONTH($A661),DAY($A661)),$A:$A,0))-1),"")</f>
        <v/>
      </c>
      <c r="K661" s="7">
        <f>IF(OR(E661="",E660=""),"",E661/E660-1)</f>
        <v/>
      </c>
      <c r="L661" s="7">
        <f>IF(OR(F661="",F660=""),"",F661/F660-1)</f>
        <v/>
      </c>
      <c r="M661" s="7">
        <f>IF(OR(G661="",G660=""),"",G661/G660-1)</f>
        <v/>
      </c>
      <c r="N661" s="7">
        <f>IF(G661="","",E661/G661)</f>
        <v/>
      </c>
      <c r="O661" s="7">
        <f>IF(G661="","",F661/G661)</f>
        <v/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4">
        <f>IF(SUMIFS('Daily NSE Equity Cash'!$H:$H,'Daily NSE Equity Cash'!$A:$A,$A662)=0,"",SUMIFS('Daily NSE Equity Cash'!$H:$H,'Daily NSE Equity Cash'!$A:$A,$A662))</f>
        <v/>
      </c>
      <c r="F662" s="4">
        <f>IF(SUMIFS('Daily BSE Equity Cash'!$H:$H,'Daily BSE Equity Cash'!$A:$A,$A662)=0,"",SUMIFS('Daily BSE Equity Cash'!$H:$H,'Daily BSE Equity Cash'!$A:$A,$A662))</f>
        <v/>
      </c>
      <c r="G662" s="4">
        <f>IF(OR(E662="",F662=""),"",E662+F662)</f>
        <v/>
      </c>
      <c r="H662" s="7">
        <f>IFERROR(IF(OR(E662="",INDEX(E:E,MATCH(DATE(YEAR($A662)-1,MONTH($A662),DAY($A662)),$A:$A,0))=""),"",E662/INDEX(E:E,MATCH(DATE(YEAR($A662)-1,MONTH($A662),DAY($A662)),$A:$A,0))-1),"")</f>
        <v/>
      </c>
      <c r="I662" s="7">
        <f>IFERROR(IF(OR(F662="",INDEX(F:F,MATCH(DATE(YEAR($A662)-1,MONTH($A662),DAY($A662)),$A:$A,0))=""),"",F662/INDEX(F:F,MATCH(DATE(YEAR($A662)-1,MONTH($A662),DAY($A662)),$A:$A,0))-1),"")</f>
        <v/>
      </c>
      <c r="J662" s="7">
        <f>IFERROR(IF(OR(G662="",INDEX(G:G,MATCH(DATE(YEAR($A662)-1,MONTH($A662),DAY($A662)),$A:$A,0))=""),"",G662/INDEX(G:G,MATCH(DATE(YEAR($A662)-1,MONTH($A662),DAY($A662)),$A:$A,0))-1),"")</f>
        <v/>
      </c>
      <c r="K662" s="7">
        <f>IF(OR(E662="",E661=""),"",E662/E661-1)</f>
        <v/>
      </c>
      <c r="L662" s="7">
        <f>IF(OR(F662="",F661=""),"",F662/F661-1)</f>
        <v/>
      </c>
      <c r="M662" s="7">
        <f>IF(OR(G662="",G661=""),"",G662/G661-1)</f>
        <v/>
      </c>
      <c r="N662" s="7">
        <f>IF(G662="","",E662/G662)</f>
        <v/>
      </c>
      <c r="O662" s="7">
        <f>IF(G662="","",F662/G662)</f>
        <v/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4">
        <f>IF(SUMIFS('Daily NSE Equity Cash'!$H:$H,'Daily NSE Equity Cash'!$A:$A,$A663)=0,"",SUMIFS('Daily NSE Equity Cash'!$H:$H,'Daily NSE Equity Cash'!$A:$A,$A663))</f>
        <v/>
      </c>
      <c r="F663" s="4">
        <f>IF(SUMIFS('Daily BSE Equity Cash'!$H:$H,'Daily BSE Equity Cash'!$A:$A,$A663)=0,"",SUMIFS('Daily BSE Equity Cash'!$H:$H,'Daily BSE Equity Cash'!$A:$A,$A663))</f>
        <v/>
      </c>
      <c r="G663" s="4">
        <f>IF(OR(E663="",F663=""),"",E663+F663)</f>
        <v/>
      </c>
      <c r="H663" s="7">
        <f>IFERROR(IF(OR(E663="",INDEX(E:E,MATCH(DATE(YEAR($A663)-1,MONTH($A663),DAY($A663)),$A:$A,0))=""),"",E663/INDEX(E:E,MATCH(DATE(YEAR($A663)-1,MONTH($A663),DAY($A663)),$A:$A,0))-1),"")</f>
        <v/>
      </c>
      <c r="I663" s="7">
        <f>IFERROR(IF(OR(F663="",INDEX(F:F,MATCH(DATE(YEAR($A663)-1,MONTH($A663),DAY($A663)),$A:$A,0))=""),"",F663/INDEX(F:F,MATCH(DATE(YEAR($A663)-1,MONTH($A663),DAY($A663)),$A:$A,0))-1),"")</f>
        <v/>
      </c>
      <c r="J663" s="7">
        <f>IFERROR(IF(OR(G663="",INDEX(G:G,MATCH(DATE(YEAR($A663)-1,MONTH($A663),DAY($A663)),$A:$A,0))=""),"",G663/INDEX(G:G,MATCH(DATE(YEAR($A663)-1,MONTH($A663),DAY($A663)),$A:$A,0))-1),"")</f>
        <v/>
      </c>
      <c r="K663" s="7">
        <f>IF(OR(E663="",E662=""),"",E663/E662-1)</f>
        <v/>
      </c>
      <c r="L663" s="7">
        <f>IF(OR(F663="",F662=""),"",F663/F662-1)</f>
        <v/>
      </c>
      <c r="M663" s="7">
        <f>IF(OR(G663="",G662=""),"",G663/G662-1)</f>
        <v/>
      </c>
      <c r="N663" s="7">
        <f>IF(G663="","",E663/G663)</f>
        <v/>
      </c>
      <c r="O663" s="7">
        <f>IF(G663="","",F663/G663)</f>
        <v/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4">
        <f>IF(SUMIFS('Daily NSE Equity Cash'!$H:$H,'Daily NSE Equity Cash'!$A:$A,$A664)=0,"",SUMIFS('Daily NSE Equity Cash'!$H:$H,'Daily NSE Equity Cash'!$A:$A,$A664))</f>
        <v/>
      </c>
      <c r="F664" s="4">
        <f>IF(SUMIFS('Daily BSE Equity Cash'!$H:$H,'Daily BSE Equity Cash'!$A:$A,$A664)=0,"",SUMIFS('Daily BSE Equity Cash'!$H:$H,'Daily BSE Equity Cash'!$A:$A,$A664))</f>
        <v/>
      </c>
      <c r="G664" s="4">
        <f>IF(OR(E664="",F664=""),"",E664+F664)</f>
        <v/>
      </c>
      <c r="H664" s="7">
        <f>IFERROR(IF(OR(E664="",INDEX(E:E,MATCH(DATE(YEAR($A664)-1,MONTH($A664),DAY($A664)),$A:$A,0))=""),"",E664/INDEX(E:E,MATCH(DATE(YEAR($A664)-1,MONTH($A664),DAY($A664)),$A:$A,0))-1),"")</f>
        <v/>
      </c>
      <c r="I664" s="7">
        <f>IFERROR(IF(OR(F664="",INDEX(F:F,MATCH(DATE(YEAR($A664)-1,MONTH($A664),DAY($A664)),$A:$A,0))=""),"",F664/INDEX(F:F,MATCH(DATE(YEAR($A664)-1,MONTH($A664),DAY($A664)),$A:$A,0))-1),"")</f>
        <v/>
      </c>
      <c r="J664" s="7">
        <f>IFERROR(IF(OR(G664="",INDEX(G:G,MATCH(DATE(YEAR($A664)-1,MONTH($A664),DAY($A664)),$A:$A,0))=""),"",G664/INDEX(G:G,MATCH(DATE(YEAR($A664)-1,MONTH($A664),DAY($A664)),$A:$A,0))-1),"")</f>
        <v/>
      </c>
      <c r="K664" s="7">
        <f>IF(OR(E664="",E663=""),"",E664/E663-1)</f>
        <v/>
      </c>
      <c r="L664" s="7">
        <f>IF(OR(F664="",F663=""),"",F664/F663-1)</f>
        <v/>
      </c>
      <c r="M664" s="7">
        <f>IF(OR(G664="",G663=""),"",G664/G663-1)</f>
        <v/>
      </c>
      <c r="N664" s="7">
        <f>IF(G664="","",E664/G664)</f>
        <v/>
      </c>
      <c r="O664" s="7">
        <f>IF(G664="","",F664/G664)</f>
        <v/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4">
        <f>IF(SUMIFS('Daily NSE Equity Cash'!$H:$H,'Daily NSE Equity Cash'!$A:$A,$A665)=0,"",SUMIFS('Daily NSE Equity Cash'!$H:$H,'Daily NSE Equity Cash'!$A:$A,$A665))</f>
        <v/>
      </c>
      <c r="F665" s="4">
        <f>IF(SUMIFS('Daily BSE Equity Cash'!$H:$H,'Daily BSE Equity Cash'!$A:$A,$A665)=0,"",SUMIFS('Daily BSE Equity Cash'!$H:$H,'Daily BSE Equity Cash'!$A:$A,$A665))</f>
        <v/>
      </c>
      <c r="G665" s="4">
        <f>IF(OR(E665="",F665=""),"",E665+F665)</f>
        <v/>
      </c>
      <c r="H665" s="7">
        <f>IFERROR(IF(OR(E665="",INDEX(E:E,MATCH(DATE(YEAR($A665)-1,MONTH($A665),DAY($A665)),$A:$A,0))=""),"",E665/INDEX(E:E,MATCH(DATE(YEAR($A665)-1,MONTH($A665),DAY($A665)),$A:$A,0))-1),"")</f>
        <v/>
      </c>
      <c r="I665" s="7">
        <f>IFERROR(IF(OR(F665="",INDEX(F:F,MATCH(DATE(YEAR($A665)-1,MONTH($A665),DAY($A665)),$A:$A,0))=""),"",F665/INDEX(F:F,MATCH(DATE(YEAR($A665)-1,MONTH($A665),DAY($A665)),$A:$A,0))-1),"")</f>
        <v/>
      </c>
      <c r="J665" s="7">
        <f>IFERROR(IF(OR(G665="",INDEX(G:G,MATCH(DATE(YEAR($A665)-1,MONTH($A665),DAY($A665)),$A:$A,0))=""),"",G665/INDEX(G:G,MATCH(DATE(YEAR($A665)-1,MONTH($A665),DAY($A665)),$A:$A,0))-1),"")</f>
        <v/>
      </c>
      <c r="K665" s="7">
        <f>IF(OR(E665="",E664=""),"",E665/E664-1)</f>
        <v/>
      </c>
      <c r="L665" s="7">
        <f>IF(OR(F665="",F664=""),"",F665/F664-1)</f>
        <v/>
      </c>
      <c r="M665" s="7">
        <f>IF(OR(G665="",G664=""),"",G665/G664-1)</f>
        <v/>
      </c>
      <c r="N665" s="7">
        <f>IF(G665="","",E665/G665)</f>
        <v/>
      </c>
      <c r="O665" s="7">
        <f>IF(G665="","",F665/G665)</f>
        <v/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4">
        <f>IF(SUMIFS('Daily NSE Equity Cash'!$H:$H,'Daily NSE Equity Cash'!$A:$A,$A666)=0,"",SUMIFS('Daily NSE Equity Cash'!$H:$H,'Daily NSE Equity Cash'!$A:$A,$A666))</f>
        <v/>
      </c>
      <c r="F666" s="4">
        <f>IF(SUMIFS('Daily BSE Equity Cash'!$H:$H,'Daily BSE Equity Cash'!$A:$A,$A666)=0,"",SUMIFS('Daily BSE Equity Cash'!$H:$H,'Daily BSE Equity Cash'!$A:$A,$A666))</f>
        <v/>
      </c>
      <c r="G666" s="4">
        <f>IF(OR(E666="",F666=""),"",E666+F666)</f>
        <v/>
      </c>
      <c r="H666" s="7">
        <f>IFERROR(IF(OR(E666="",INDEX(E:E,MATCH(DATE(YEAR($A666)-1,MONTH($A666),DAY($A666)),$A:$A,0))=""),"",E666/INDEX(E:E,MATCH(DATE(YEAR($A666)-1,MONTH($A666),DAY($A666)),$A:$A,0))-1),"")</f>
        <v/>
      </c>
      <c r="I666" s="7">
        <f>IFERROR(IF(OR(F666="",INDEX(F:F,MATCH(DATE(YEAR($A666)-1,MONTH($A666),DAY($A666)),$A:$A,0))=""),"",F666/INDEX(F:F,MATCH(DATE(YEAR($A666)-1,MONTH($A666),DAY($A666)),$A:$A,0))-1),"")</f>
        <v/>
      </c>
      <c r="J666" s="7">
        <f>IFERROR(IF(OR(G666="",INDEX(G:G,MATCH(DATE(YEAR($A666)-1,MONTH($A666),DAY($A666)),$A:$A,0))=""),"",G666/INDEX(G:G,MATCH(DATE(YEAR($A666)-1,MONTH($A666),DAY($A666)),$A:$A,0))-1),"")</f>
        <v/>
      </c>
      <c r="K666" s="7">
        <f>IF(OR(E666="",E665=""),"",E666/E665-1)</f>
        <v/>
      </c>
      <c r="L666" s="7">
        <f>IF(OR(F666="",F665=""),"",F666/F665-1)</f>
        <v/>
      </c>
      <c r="M666" s="7">
        <f>IF(OR(G666="",G665=""),"",G666/G665-1)</f>
        <v/>
      </c>
      <c r="N666" s="7">
        <f>IF(G666="","",E666/G666)</f>
        <v/>
      </c>
      <c r="O666" s="7">
        <f>IF(G666="","",F666/G666)</f>
        <v/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4">
        <f>IF(SUMIFS('Daily NSE Equity Cash'!$H:$H,'Daily NSE Equity Cash'!$A:$A,$A667)=0,"",SUMIFS('Daily NSE Equity Cash'!$H:$H,'Daily NSE Equity Cash'!$A:$A,$A667))</f>
        <v/>
      </c>
      <c r="F667" s="4">
        <f>IF(SUMIFS('Daily BSE Equity Cash'!$H:$H,'Daily BSE Equity Cash'!$A:$A,$A667)=0,"",SUMIFS('Daily BSE Equity Cash'!$H:$H,'Daily BSE Equity Cash'!$A:$A,$A667))</f>
        <v/>
      </c>
      <c r="G667" s="4">
        <f>IF(OR(E667="",F667=""),"",E667+F667)</f>
        <v/>
      </c>
      <c r="H667" s="7">
        <f>IFERROR(IF(OR(E667="",INDEX(E:E,MATCH(DATE(YEAR($A667)-1,MONTH($A667),DAY($A667)),$A:$A,0))=""),"",E667/INDEX(E:E,MATCH(DATE(YEAR($A667)-1,MONTH($A667),DAY($A667)),$A:$A,0))-1),"")</f>
        <v/>
      </c>
      <c r="I667" s="7">
        <f>IFERROR(IF(OR(F667="",INDEX(F:F,MATCH(DATE(YEAR($A667)-1,MONTH($A667),DAY($A667)),$A:$A,0))=""),"",F667/INDEX(F:F,MATCH(DATE(YEAR($A667)-1,MONTH($A667),DAY($A667)),$A:$A,0))-1),"")</f>
        <v/>
      </c>
      <c r="J667" s="7">
        <f>IFERROR(IF(OR(G667="",INDEX(G:G,MATCH(DATE(YEAR($A667)-1,MONTH($A667),DAY($A667)),$A:$A,0))=""),"",G667/INDEX(G:G,MATCH(DATE(YEAR($A667)-1,MONTH($A667),DAY($A667)),$A:$A,0))-1),"")</f>
        <v/>
      </c>
      <c r="K667" s="7">
        <f>IF(OR(E667="",E666=""),"",E667/E666-1)</f>
        <v/>
      </c>
      <c r="L667" s="7">
        <f>IF(OR(F667="",F666=""),"",F667/F666-1)</f>
        <v/>
      </c>
      <c r="M667" s="7">
        <f>IF(OR(G667="",G666=""),"",G667/G666-1)</f>
        <v/>
      </c>
      <c r="N667" s="7">
        <f>IF(G667="","",E667/G667)</f>
        <v/>
      </c>
      <c r="O667" s="7">
        <f>IF(G667="","",F667/G667)</f>
        <v/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4">
        <f>IF(SUMIFS('Daily NSE Equity Cash'!$H:$H,'Daily NSE Equity Cash'!$A:$A,$A668)=0,"",SUMIFS('Daily NSE Equity Cash'!$H:$H,'Daily NSE Equity Cash'!$A:$A,$A668))</f>
        <v/>
      </c>
      <c r="F668" s="4">
        <f>IF(SUMIFS('Daily BSE Equity Cash'!$H:$H,'Daily BSE Equity Cash'!$A:$A,$A668)=0,"",SUMIFS('Daily BSE Equity Cash'!$H:$H,'Daily BSE Equity Cash'!$A:$A,$A668))</f>
        <v/>
      </c>
      <c r="G668" s="4">
        <f>IF(OR(E668="",F668=""),"",E668+F668)</f>
        <v/>
      </c>
      <c r="H668" s="7">
        <f>IFERROR(IF(OR(E668="",INDEX(E:E,MATCH(DATE(YEAR($A668)-1,MONTH($A668),DAY($A668)),$A:$A,0))=""),"",E668/INDEX(E:E,MATCH(DATE(YEAR($A668)-1,MONTH($A668),DAY($A668)),$A:$A,0))-1),"")</f>
        <v/>
      </c>
      <c r="I668" s="7">
        <f>IFERROR(IF(OR(F668="",INDEX(F:F,MATCH(DATE(YEAR($A668)-1,MONTH($A668),DAY($A668)),$A:$A,0))=""),"",F668/INDEX(F:F,MATCH(DATE(YEAR($A668)-1,MONTH($A668),DAY($A668)),$A:$A,0))-1),"")</f>
        <v/>
      </c>
      <c r="J668" s="7">
        <f>IFERROR(IF(OR(G668="",INDEX(G:G,MATCH(DATE(YEAR($A668)-1,MONTH($A668),DAY($A668)),$A:$A,0))=""),"",G668/INDEX(G:G,MATCH(DATE(YEAR($A668)-1,MONTH($A668),DAY($A668)),$A:$A,0))-1),"")</f>
        <v/>
      </c>
      <c r="K668" s="7">
        <f>IF(OR(E668="",E667=""),"",E668/E667-1)</f>
        <v/>
      </c>
      <c r="L668" s="7">
        <f>IF(OR(F668="",F667=""),"",F668/F667-1)</f>
        <v/>
      </c>
      <c r="M668" s="7">
        <f>IF(OR(G668="",G667=""),"",G668/G667-1)</f>
        <v/>
      </c>
      <c r="N668" s="7">
        <f>IF(G668="","",E668/G668)</f>
        <v/>
      </c>
      <c r="O668" s="7">
        <f>IF(G668="","",F668/G668)</f>
        <v/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4">
        <f>IF(SUMIFS('Daily NSE Equity Cash'!$H:$H,'Daily NSE Equity Cash'!$A:$A,$A669)=0,"",SUMIFS('Daily NSE Equity Cash'!$H:$H,'Daily NSE Equity Cash'!$A:$A,$A669))</f>
        <v/>
      </c>
      <c r="F669" s="4">
        <f>IF(SUMIFS('Daily BSE Equity Cash'!$H:$H,'Daily BSE Equity Cash'!$A:$A,$A669)=0,"",SUMIFS('Daily BSE Equity Cash'!$H:$H,'Daily BSE Equity Cash'!$A:$A,$A669))</f>
        <v/>
      </c>
      <c r="G669" s="4">
        <f>IF(OR(E669="",F669=""),"",E669+F669)</f>
        <v/>
      </c>
      <c r="H669" s="7">
        <f>IFERROR(IF(OR(E669="",INDEX(E:E,MATCH(DATE(YEAR($A669)-1,MONTH($A669),DAY($A669)),$A:$A,0))=""),"",E669/INDEX(E:E,MATCH(DATE(YEAR($A669)-1,MONTH($A669),DAY($A669)),$A:$A,0))-1),"")</f>
        <v/>
      </c>
      <c r="I669" s="7">
        <f>IFERROR(IF(OR(F669="",INDEX(F:F,MATCH(DATE(YEAR($A669)-1,MONTH($A669),DAY($A669)),$A:$A,0))=""),"",F669/INDEX(F:F,MATCH(DATE(YEAR($A669)-1,MONTH($A669),DAY($A669)),$A:$A,0))-1),"")</f>
        <v/>
      </c>
      <c r="J669" s="7">
        <f>IFERROR(IF(OR(G669="",INDEX(G:G,MATCH(DATE(YEAR($A669)-1,MONTH($A669),DAY($A669)),$A:$A,0))=""),"",G669/INDEX(G:G,MATCH(DATE(YEAR($A669)-1,MONTH($A669),DAY($A669)),$A:$A,0))-1),"")</f>
        <v/>
      </c>
      <c r="K669" s="7">
        <f>IF(OR(E669="",E668=""),"",E669/E668-1)</f>
        <v/>
      </c>
      <c r="L669" s="7">
        <f>IF(OR(F669="",F668=""),"",F669/F668-1)</f>
        <v/>
      </c>
      <c r="M669" s="7">
        <f>IF(OR(G669="",G668=""),"",G669/G668-1)</f>
        <v/>
      </c>
      <c r="N669" s="7">
        <f>IF(G669="","",E669/G669)</f>
        <v/>
      </c>
      <c r="O669" s="7">
        <f>IF(G669="","",F669/G669)</f>
        <v/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4">
        <f>IF(SUMIFS('Daily NSE Equity Cash'!$H:$H,'Daily NSE Equity Cash'!$A:$A,$A670)=0,"",SUMIFS('Daily NSE Equity Cash'!$H:$H,'Daily NSE Equity Cash'!$A:$A,$A670))</f>
        <v/>
      </c>
      <c r="F670" s="4">
        <f>IF(SUMIFS('Daily BSE Equity Cash'!$H:$H,'Daily BSE Equity Cash'!$A:$A,$A670)=0,"",SUMIFS('Daily BSE Equity Cash'!$H:$H,'Daily BSE Equity Cash'!$A:$A,$A670))</f>
        <v/>
      </c>
      <c r="G670" s="4">
        <f>IF(OR(E670="",F670=""),"",E670+F670)</f>
        <v/>
      </c>
      <c r="H670" s="7">
        <f>IFERROR(IF(OR(E670="",INDEX(E:E,MATCH(DATE(YEAR($A670)-1,MONTH($A670),DAY($A670)),$A:$A,0))=""),"",E670/INDEX(E:E,MATCH(DATE(YEAR($A670)-1,MONTH($A670),DAY($A670)),$A:$A,0))-1),"")</f>
        <v/>
      </c>
      <c r="I670" s="7">
        <f>IFERROR(IF(OR(F670="",INDEX(F:F,MATCH(DATE(YEAR($A670)-1,MONTH($A670),DAY($A670)),$A:$A,0))=""),"",F670/INDEX(F:F,MATCH(DATE(YEAR($A670)-1,MONTH($A670),DAY($A670)),$A:$A,0))-1),"")</f>
        <v/>
      </c>
      <c r="J670" s="7">
        <f>IFERROR(IF(OR(G670="",INDEX(G:G,MATCH(DATE(YEAR($A670)-1,MONTH($A670),DAY($A670)),$A:$A,0))=""),"",G670/INDEX(G:G,MATCH(DATE(YEAR($A670)-1,MONTH($A670),DAY($A670)),$A:$A,0))-1),"")</f>
        <v/>
      </c>
      <c r="K670" s="7">
        <f>IF(OR(E670="",E669=""),"",E670/E669-1)</f>
        <v/>
      </c>
      <c r="L670" s="7">
        <f>IF(OR(F670="",F669=""),"",F670/F669-1)</f>
        <v/>
      </c>
      <c r="M670" s="7">
        <f>IF(OR(G670="",G669=""),"",G670/G669-1)</f>
        <v/>
      </c>
      <c r="N670" s="7">
        <f>IF(G670="","",E670/G670)</f>
        <v/>
      </c>
      <c r="O670" s="7">
        <f>IF(G670="","",F670/G670)</f>
        <v/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4">
        <f>IF(SUMIFS('Daily NSE Equity Cash'!$H:$H,'Daily NSE Equity Cash'!$A:$A,$A671)=0,"",SUMIFS('Daily NSE Equity Cash'!$H:$H,'Daily NSE Equity Cash'!$A:$A,$A671))</f>
        <v/>
      </c>
      <c r="F671" s="4">
        <f>IF(SUMIFS('Daily BSE Equity Cash'!$H:$H,'Daily BSE Equity Cash'!$A:$A,$A671)=0,"",SUMIFS('Daily BSE Equity Cash'!$H:$H,'Daily BSE Equity Cash'!$A:$A,$A671))</f>
        <v/>
      </c>
      <c r="G671" s="4">
        <f>IF(OR(E671="",F671=""),"",E671+F671)</f>
        <v/>
      </c>
      <c r="H671" s="7">
        <f>IFERROR(IF(OR(E671="",INDEX(E:E,MATCH(DATE(YEAR($A671)-1,MONTH($A671),DAY($A671)),$A:$A,0))=""),"",E671/INDEX(E:E,MATCH(DATE(YEAR($A671)-1,MONTH($A671),DAY($A671)),$A:$A,0))-1),"")</f>
        <v/>
      </c>
      <c r="I671" s="7">
        <f>IFERROR(IF(OR(F671="",INDEX(F:F,MATCH(DATE(YEAR($A671)-1,MONTH($A671),DAY($A671)),$A:$A,0))=""),"",F671/INDEX(F:F,MATCH(DATE(YEAR($A671)-1,MONTH($A671),DAY($A671)),$A:$A,0))-1),"")</f>
        <v/>
      </c>
      <c r="J671" s="7">
        <f>IFERROR(IF(OR(G671="",INDEX(G:G,MATCH(DATE(YEAR($A671)-1,MONTH($A671),DAY($A671)),$A:$A,0))=""),"",G671/INDEX(G:G,MATCH(DATE(YEAR($A671)-1,MONTH($A671),DAY($A671)),$A:$A,0))-1),"")</f>
        <v/>
      </c>
      <c r="K671" s="7">
        <f>IF(OR(E671="",E670=""),"",E671/E670-1)</f>
        <v/>
      </c>
      <c r="L671" s="7">
        <f>IF(OR(F671="",F670=""),"",F671/F670-1)</f>
        <v/>
      </c>
      <c r="M671" s="7">
        <f>IF(OR(G671="",G670=""),"",G671/G670-1)</f>
        <v/>
      </c>
      <c r="N671" s="7">
        <f>IF(G671="","",E671/G671)</f>
        <v/>
      </c>
      <c r="O671" s="7">
        <f>IF(G671="","",F671/G671)</f>
        <v/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4">
        <f>IF(SUMIFS('Daily NSE Equity Cash'!$H:$H,'Daily NSE Equity Cash'!$A:$A,$A672)=0,"",SUMIFS('Daily NSE Equity Cash'!$H:$H,'Daily NSE Equity Cash'!$A:$A,$A672))</f>
        <v/>
      </c>
      <c r="F672" s="4">
        <f>IF(SUMIFS('Daily BSE Equity Cash'!$H:$H,'Daily BSE Equity Cash'!$A:$A,$A672)=0,"",SUMIFS('Daily BSE Equity Cash'!$H:$H,'Daily BSE Equity Cash'!$A:$A,$A672))</f>
        <v/>
      </c>
      <c r="G672" s="4">
        <f>IF(OR(E672="",F672=""),"",E672+F672)</f>
        <v/>
      </c>
      <c r="H672" s="7">
        <f>IFERROR(IF(OR(E672="",INDEX(E:E,MATCH(DATE(YEAR($A672)-1,MONTH($A672),DAY($A672)),$A:$A,0))=""),"",E672/INDEX(E:E,MATCH(DATE(YEAR($A672)-1,MONTH($A672),DAY($A672)),$A:$A,0))-1),"")</f>
        <v/>
      </c>
      <c r="I672" s="7">
        <f>IFERROR(IF(OR(F672="",INDEX(F:F,MATCH(DATE(YEAR($A672)-1,MONTH($A672),DAY($A672)),$A:$A,0))=""),"",F672/INDEX(F:F,MATCH(DATE(YEAR($A672)-1,MONTH($A672),DAY($A672)),$A:$A,0))-1),"")</f>
        <v/>
      </c>
      <c r="J672" s="7">
        <f>IFERROR(IF(OR(G672="",INDEX(G:G,MATCH(DATE(YEAR($A672)-1,MONTH($A672),DAY($A672)),$A:$A,0))=""),"",G672/INDEX(G:G,MATCH(DATE(YEAR($A672)-1,MONTH($A672),DAY($A672)),$A:$A,0))-1),"")</f>
        <v/>
      </c>
      <c r="K672" s="7">
        <f>IF(OR(E672="",E671=""),"",E672/E671-1)</f>
        <v/>
      </c>
      <c r="L672" s="7">
        <f>IF(OR(F672="",F671=""),"",F672/F671-1)</f>
        <v/>
      </c>
      <c r="M672" s="7">
        <f>IF(OR(G672="",G671=""),"",G672/G671-1)</f>
        <v/>
      </c>
      <c r="N672" s="7">
        <f>IF(G672="","",E672/G672)</f>
        <v/>
      </c>
      <c r="O672" s="7">
        <f>IF(G672="","",F672/G672)</f>
        <v/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4">
        <f>IF(SUMIFS('Daily NSE Equity Cash'!$H:$H,'Daily NSE Equity Cash'!$A:$A,$A673)=0,"",SUMIFS('Daily NSE Equity Cash'!$H:$H,'Daily NSE Equity Cash'!$A:$A,$A673))</f>
        <v/>
      </c>
      <c r="F673" s="4">
        <f>IF(SUMIFS('Daily BSE Equity Cash'!$H:$H,'Daily BSE Equity Cash'!$A:$A,$A673)=0,"",SUMIFS('Daily BSE Equity Cash'!$H:$H,'Daily BSE Equity Cash'!$A:$A,$A673))</f>
        <v/>
      </c>
      <c r="G673" s="4">
        <f>IF(OR(E673="",F673=""),"",E673+F673)</f>
        <v/>
      </c>
      <c r="H673" s="7">
        <f>IFERROR(IF(OR(E673="",INDEX(E:E,MATCH(DATE(YEAR($A673)-1,MONTH($A673),DAY($A673)),$A:$A,0))=""),"",E673/INDEX(E:E,MATCH(DATE(YEAR($A673)-1,MONTH($A673),DAY($A673)),$A:$A,0))-1),"")</f>
        <v/>
      </c>
      <c r="I673" s="7">
        <f>IFERROR(IF(OR(F673="",INDEX(F:F,MATCH(DATE(YEAR($A673)-1,MONTH($A673),DAY($A673)),$A:$A,0))=""),"",F673/INDEX(F:F,MATCH(DATE(YEAR($A673)-1,MONTH($A673),DAY($A673)),$A:$A,0))-1),"")</f>
        <v/>
      </c>
      <c r="J673" s="7">
        <f>IFERROR(IF(OR(G673="",INDEX(G:G,MATCH(DATE(YEAR($A673)-1,MONTH($A673),DAY($A673)),$A:$A,0))=""),"",G673/INDEX(G:G,MATCH(DATE(YEAR($A673)-1,MONTH($A673),DAY($A673)),$A:$A,0))-1),"")</f>
        <v/>
      </c>
      <c r="K673" s="7">
        <f>IF(OR(E673="",E672=""),"",E673/E672-1)</f>
        <v/>
      </c>
      <c r="L673" s="7">
        <f>IF(OR(F673="",F672=""),"",F673/F672-1)</f>
        <v/>
      </c>
      <c r="M673" s="7">
        <f>IF(OR(G673="",G672=""),"",G673/G672-1)</f>
        <v/>
      </c>
      <c r="N673" s="7">
        <f>IF(G673="","",E673/G673)</f>
        <v/>
      </c>
      <c r="O673" s="7">
        <f>IF(G673="","",F673/G673)</f>
        <v/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4">
        <f>IF(SUMIFS('Daily NSE Equity Cash'!$H:$H,'Daily NSE Equity Cash'!$A:$A,$A674)=0,"",SUMIFS('Daily NSE Equity Cash'!$H:$H,'Daily NSE Equity Cash'!$A:$A,$A674))</f>
        <v/>
      </c>
      <c r="F674" s="4">
        <f>IF(SUMIFS('Daily BSE Equity Cash'!$H:$H,'Daily BSE Equity Cash'!$A:$A,$A674)=0,"",SUMIFS('Daily BSE Equity Cash'!$H:$H,'Daily BSE Equity Cash'!$A:$A,$A674))</f>
        <v/>
      </c>
      <c r="G674" s="4">
        <f>IF(OR(E674="",F674=""),"",E674+F674)</f>
        <v/>
      </c>
      <c r="H674" s="7">
        <f>IFERROR(IF(OR(E674="",INDEX(E:E,MATCH(DATE(YEAR($A674)-1,MONTH($A674),DAY($A674)),$A:$A,0))=""),"",E674/INDEX(E:E,MATCH(DATE(YEAR($A674)-1,MONTH($A674),DAY($A674)),$A:$A,0))-1),"")</f>
        <v/>
      </c>
      <c r="I674" s="7">
        <f>IFERROR(IF(OR(F674="",INDEX(F:F,MATCH(DATE(YEAR($A674)-1,MONTH($A674),DAY($A674)),$A:$A,0))=""),"",F674/INDEX(F:F,MATCH(DATE(YEAR($A674)-1,MONTH($A674),DAY($A674)),$A:$A,0))-1),"")</f>
        <v/>
      </c>
      <c r="J674" s="7">
        <f>IFERROR(IF(OR(G674="",INDEX(G:G,MATCH(DATE(YEAR($A674)-1,MONTH($A674),DAY($A674)),$A:$A,0))=""),"",G674/INDEX(G:G,MATCH(DATE(YEAR($A674)-1,MONTH($A674),DAY($A674)),$A:$A,0))-1),"")</f>
        <v/>
      </c>
      <c r="K674" s="7">
        <f>IF(OR(E674="",E673=""),"",E674/E673-1)</f>
        <v/>
      </c>
      <c r="L674" s="7">
        <f>IF(OR(F674="",F673=""),"",F674/F673-1)</f>
        <v/>
      </c>
      <c r="M674" s="7">
        <f>IF(OR(G674="",G673=""),"",G674/G673-1)</f>
        <v/>
      </c>
      <c r="N674" s="7">
        <f>IF(G674="","",E674/G674)</f>
        <v/>
      </c>
      <c r="O674" s="7">
        <f>IF(G674="","",F674/G674)</f>
        <v/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4">
        <f>IF(SUMIFS('Daily NSE Equity Cash'!$H:$H,'Daily NSE Equity Cash'!$A:$A,$A675)=0,"",SUMIFS('Daily NSE Equity Cash'!$H:$H,'Daily NSE Equity Cash'!$A:$A,$A675))</f>
        <v/>
      </c>
      <c r="F675" s="4">
        <f>IF(SUMIFS('Daily BSE Equity Cash'!$H:$H,'Daily BSE Equity Cash'!$A:$A,$A675)=0,"",SUMIFS('Daily BSE Equity Cash'!$H:$H,'Daily BSE Equity Cash'!$A:$A,$A675))</f>
        <v/>
      </c>
      <c r="G675" s="4">
        <f>IF(OR(E675="",F675=""),"",E675+F675)</f>
        <v/>
      </c>
      <c r="H675" s="7">
        <f>IFERROR(IF(OR(E675="",INDEX(E:E,MATCH(DATE(YEAR($A675)-1,MONTH($A675),DAY($A675)),$A:$A,0))=""),"",E675/INDEX(E:E,MATCH(DATE(YEAR($A675)-1,MONTH($A675),DAY($A675)),$A:$A,0))-1),"")</f>
        <v/>
      </c>
      <c r="I675" s="7">
        <f>IFERROR(IF(OR(F675="",INDEX(F:F,MATCH(DATE(YEAR($A675)-1,MONTH($A675),DAY($A675)),$A:$A,0))=""),"",F675/INDEX(F:F,MATCH(DATE(YEAR($A675)-1,MONTH($A675),DAY($A675)),$A:$A,0))-1),"")</f>
        <v/>
      </c>
      <c r="J675" s="7">
        <f>IFERROR(IF(OR(G675="",INDEX(G:G,MATCH(DATE(YEAR($A675)-1,MONTH($A675),DAY($A675)),$A:$A,0))=""),"",G675/INDEX(G:G,MATCH(DATE(YEAR($A675)-1,MONTH($A675),DAY($A675)),$A:$A,0))-1),"")</f>
        <v/>
      </c>
      <c r="K675" s="7">
        <f>IF(OR(E675="",E674=""),"",E675/E674-1)</f>
        <v/>
      </c>
      <c r="L675" s="7">
        <f>IF(OR(F675="",F674=""),"",F675/F674-1)</f>
        <v/>
      </c>
      <c r="M675" s="7">
        <f>IF(OR(G675="",G674=""),"",G675/G674-1)</f>
        <v/>
      </c>
      <c r="N675" s="7">
        <f>IF(G675="","",E675/G675)</f>
        <v/>
      </c>
      <c r="O675" s="7">
        <f>IF(G675="","",F675/G675)</f>
        <v/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4">
        <f>IF(SUMIFS('Daily NSE Equity Cash'!$H:$H,'Daily NSE Equity Cash'!$A:$A,$A676)=0,"",SUMIFS('Daily NSE Equity Cash'!$H:$H,'Daily NSE Equity Cash'!$A:$A,$A676))</f>
        <v/>
      </c>
      <c r="F676" s="4">
        <f>IF(SUMIFS('Daily BSE Equity Cash'!$H:$H,'Daily BSE Equity Cash'!$A:$A,$A676)=0,"",SUMIFS('Daily BSE Equity Cash'!$H:$H,'Daily BSE Equity Cash'!$A:$A,$A676))</f>
        <v/>
      </c>
      <c r="G676" s="4">
        <f>IF(OR(E676="",F676=""),"",E676+F676)</f>
        <v/>
      </c>
      <c r="H676" s="7">
        <f>IFERROR(IF(OR(E676="",INDEX(E:E,MATCH(DATE(YEAR($A676)-1,MONTH($A676),DAY($A676)),$A:$A,0))=""),"",E676/INDEX(E:E,MATCH(DATE(YEAR($A676)-1,MONTH($A676),DAY($A676)),$A:$A,0))-1),"")</f>
        <v/>
      </c>
      <c r="I676" s="7">
        <f>IFERROR(IF(OR(F676="",INDEX(F:F,MATCH(DATE(YEAR($A676)-1,MONTH($A676),DAY($A676)),$A:$A,0))=""),"",F676/INDEX(F:F,MATCH(DATE(YEAR($A676)-1,MONTH($A676),DAY($A676)),$A:$A,0))-1),"")</f>
        <v/>
      </c>
      <c r="J676" s="7">
        <f>IFERROR(IF(OR(G676="",INDEX(G:G,MATCH(DATE(YEAR($A676)-1,MONTH($A676),DAY($A676)),$A:$A,0))=""),"",G676/INDEX(G:G,MATCH(DATE(YEAR($A676)-1,MONTH($A676),DAY($A676)),$A:$A,0))-1),"")</f>
        <v/>
      </c>
      <c r="K676" s="7">
        <f>IF(OR(E676="",E675=""),"",E676/E675-1)</f>
        <v/>
      </c>
      <c r="L676" s="7">
        <f>IF(OR(F676="",F675=""),"",F676/F675-1)</f>
        <v/>
      </c>
      <c r="M676" s="7">
        <f>IF(OR(G676="",G675=""),"",G676/G675-1)</f>
        <v/>
      </c>
      <c r="N676" s="7">
        <f>IF(G676="","",E676/G676)</f>
        <v/>
      </c>
      <c r="O676" s="7">
        <f>IF(G676="","",F676/G676)</f>
        <v/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4">
        <f>IF(SUMIFS('Daily NSE Equity Cash'!$H:$H,'Daily NSE Equity Cash'!$A:$A,$A677)=0,"",SUMIFS('Daily NSE Equity Cash'!$H:$H,'Daily NSE Equity Cash'!$A:$A,$A677))</f>
        <v/>
      </c>
      <c r="F677" s="4">
        <f>IF(SUMIFS('Daily BSE Equity Cash'!$H:$H,'Daily BSE Equity Cash'!$A:$A,$A677)=0,"",SUMIFS('Daily BSE Equity Cash'!$H:$H,'Daily BSE Equity Cash'!$A:$A,$A677))</f>
        <v/>
      </c>
      <c r="G677" s="4">
        <f>IF(OR(E677="",F677=""),"",E677+F677)</f>
        <v/>
      </c>
      <c r="H677" s="7">
        <f>IFERROR(IF(OR(E677="",INDEX(E:E,MATCH(DATE(YEAR($A677)-1,MONTH($A677),DAY($A677)),$A:$A,0))=""),"",E677/INDEX(E:E,MATCH(DATE(YEAR($A677)-1,MONTH($A677),DAY($A677)),$A:$A,0))-1),"")</f>
        <v/>
      </c>
      <c r="I677" s="7">
        <f>IFERROR(IF(OR(F677="",INDEX(F:F,MATCH(DATE(YEAR($A677)-1,MONTH($A677),DAY($A677)),$A:$A,0))=""),"",F677/INDEX(F:F,MATCH(DATE(YEAR($A677)-1,MONTH($A677),DAY($A677)),$A:$A,0))-1),"")</f>
        <v/>
      </c>
      <c r="J677" s="7">
        <f>IFERROR(IF(OR(G677="",INDEX(G:G,MATCH(DATE(YEAR($A677)-1,MONTH($A677),DAY($A677)),$A:$A,0))=""),"",G677/INDEX(G:G,MATCH(DATE(YEAR($A677)-1,MONTH($A677),DAY($A677)),$A:$A,0))-1),"")</f>
        <v/>
      </c>
      <c r="K677" s="7">
        <f>IF(OR(E677="",E676=""),"",E677/E676-1)</f>
        <v/>
      </c>
      <c r="L677" s="7">
        <f>IF(OR(F677="",F676=""),"",F677/F676-1)</f>
        <v/>
      </c>
      <c r="M677" s="7">
        <f>IF(OR(G677="",G676=""),"",G677/G676-1)</f>
        <v/>
      </c>
      <c r="N677" s="7">
        <f>IF(G677="","",E677/G677)</f>
        <v/>
      </c>
      <c r="O677" s="7">
        <f>IF(G677="","",F677/G677)</f>
        <v/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4">
        <f>IF(SUMIFS('Daily NSE Equity Cash'!$H:$H,'Daily NSE Equity Cash'!$A:$A,$A678)=0,"",SUMIFS('Daily NSE Equity Cash'!$H:$H,'Daily NSE Equity Cash'!$A:$A,$A678))</f>
        <v/>
      </c>
      <c r="F678" s="4">
        <f>IF(SUMIFS('Daily BSE Equity Cash'!$H:$H,'Daily BSE Equity Cash'!$A:$A,$A678)=0,"",SUMIFS('Daily BSE Equity Cash'!$H:$H,'Daily BSE Equity Cash'!$A:$A,$A678))</f>
        <v/>
      </c>
      <c r="G678" s="4">
        <f>IF(OR(E678="",F678=""),"",E678+F678)</f>
        <v/>
      </c>
      <c r="H678" s="7">
        <f>IFERROR(IF(OR(E678="",INDEX(E:E,MATCH(DATE(YEAR($A678)-1,MONTH($A678),DAY($A678)),$A:$A,0))=""),"",E678/INDEX(E:E,MATCH(DATE(YEAR($A678)-1,MONTH($A678),DAY($A678)),$A:$A,0))-1),"")</f>
        <v/>
      </c>
      <c r="I678" s="7">
        <f>IFERROR(IF(OR(F678="",INDEX(F:F,MATCH(DATE(YEAR($A678)-1,MONTH($A678),DAY($A678)),$A:$A,0))=""),"",F678/INDEX(F:F,MATCH(DATE(YEAR($A678)-1,MONTH($A678),DAY($A678)),$A:$A,0))-1),"")</f>
        <v/>
      </c>
      <c r="J678" s="7">
        <f>IFERROR(IF(OR(G678="",INDEX(G:G,MATCH(DATE(YEAR($A678)-1,MONTH($A678),DAY($A678)),$A:$A,0))=""),"",G678/INDEX(G:G,MATCH(DATE(YEAR($A678)-1,MONTH($A678),DAY($A678)),$A:$A,0))-1),"")</f>
        <v/>
      </c>
      <c r="K678" s="7">
        <f>IF(OR(E678="",E677=""),"",E678/E677-1)</f>
        <v/>
      </c>
      <c r="L678" s="7">
        <f>IF(OR(F678="",F677=""),"",F678/F677-1)</f>
        <v/>
      </c>
      <c r="M678" s="7">
        <f>IF(OR(G678="",G677=""),"",G678/G677-1)</f>
        <v/>
      </c>
      <c r="N678" s="7">
        <f>IF(G678="","",E678/G678)</f>
        <v/>
      </c>
      <c r="O678" s="7">
        <f>IF(G678="","",F678/G678)</f>
        <v/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4">
        <f>IF(SUMIFS('Daily NSE Equity Cash'!$H:$H,'Daily NSE Equity Cash'!$A:$A,$A679)=0,"",SUMIFS('Daily NSE Equity Cash'!$H:$H,'Daily NSE Equity Cash'!$A:$A,$A679))</f>
        <v/>
      </c>
      <c r="F679" s="4">
        <f>IF(SUMIFS('Daily BSE Equity Cash'!$H:$H,'Daily BSE Equity Cash'!$A:$A,$A679)=0,"",SUMIFS('Daily BSE Equity Cash'!$H:$H,'Daily BSE Equity Cash'!$A:$A,$A679))</f>
        <v/>
      </c>
      <c r="G679" s="4">
        <f>IF(OR(E679="",F679=""),"",E679+F679)</f>
        <v/>
      </c>
      <c r="H679" s="7">
        <f>IFERROR(IF(OR(E679="",INDEX(E:E,MATCH(DATE(YEAR($A679)-1,MONTH($A679),DAY($A679)),$A:$A,0))=""),"",E679/INDEX(E:E,MATCH(DATE(YEAR($A679)-1,MONTH($A679),DAY($A679)),$A:$A,0))-1),"")</f>
        <v/>
      </c>
      <c r="I679" s="7">
        <f>IFERROR(IF(OR(F679="",INDEX(F:F,MATCH(DATE(YEAR($A679)-1,MONTH($A679),DAY($A679)),$A:$A,0))=""),"",F679/INDEX(F:F,MATCH(DATE(YEAR($A679)-1,MONTH($A679),DAY($A679)),$A:$A,0))-1),"")</f>
        <v/>
      </c>
      <c r="J679" s="7">
        <f>IFERROR(IF(OR(G679="",INDEX(G:G,MATCH(DATE(YEAR($A679)-1,MONTH($A679),DAY($A679)),$A:$A,0))=""),"",G679/INDEX(G:G,MATCH(DATE(YEAR($A679)-1,MONTH($A679),DAY($A679)),$A:$A,0))-1),"")</f>
        <v/>
      </c>
      <c r="K679" s="7">
        <f>IF(OR(E679="",E678=""),"",E679/E678-1)</f>
        <v/>
      </c>
      <c r="L679" s="7">
        <f>IF(OR(F679="",F678=""),"",F679/F678-1)</f>
        <v/>
      </c>
      <c r="M679" s="7">
        <f>IF(OR(G679="",G678=""),"",G679/G678-1)</f>
        <v/>
      </c>
      <c r="N679" s="7">
        <f>IF(G679="","",E679/G679)</f>
        <v/>
      </c>
      <c r="O679" s="7">
        <f>IF(G679="","",F679/G679)</f>
        <v/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4">
        <f>IF(SUMIFS('Daily NSE Equity Cash'!$H:$H,'Daily NSE Equity Cash'!$A:$A,$A680)=0,"",SUMIFS('Daily NSE Equity Cash'!$H:$H,'Daily NSE Equity Cash'!$A:$A,$A680))</f>
        <v/>
      </c>
      <c r="F680" s="4">
        <f>IF(SUMIFS('Daily BSE Equity Cash'!$H:$H,'Daily BSE Equity Cash'!$A:$A,$A680)=0,"",SUMIFS('Daily BSE Equity Cash'!$H:$H,'Daily BSE Equity Cash'!$A:$A,$A680))</f>
        <v/>
      </c>
      <c r="G680" s="4">
        <f>IF(OR(E680="",F680=""),"",E680+F680)</f>
        <v/>
      </c>
      <c r="H680" s="7">
        <f>IFERROR(IF(OR(E680="",INDEX(E:E,MATCH(DATE(YEAR($A680)-1,MONTH($A680),DAY($A680)),$A:$A,0))=""),"",E680/INDEX(E:E,MATCH(DATE(YEAR($A680)-1,MONTH($A680),DAY($A680)),$A:$A,0))-1),"")</f>
        <v/>
      </c>
      <c r="I680" s="7">
        <f>IFERROR(IF(OR(F680="",INDEX(F:F,MATCH(DATE(YEAR($A680)-1,MONTH($A680),DAY($A680)),$A:$A,0))=""),"",F680/INDEX(F:F,MATCH(DATE(YEAR($A680)-1,MONTH($A680),DAY($A680)),$A:$A,0))-1),"")</f>
        <v/>
      </c>
      <c r="J680" s="7">
        <f>IFERROR(IF(OR(G680="",INDEX(G:G,MATCH(DATE(YEAR($A680)-1,MONTH($A680),DAY($A680)),$A:$A,0))=""),"",G680/INDEX(G:G,MATCH(DATE(YEAR($A680)-1,MONTH($A680),DAY($A680)),$A:$A,0))-1),"")</f>
        <v/>
      </c>
      <c r="K680" s="7">
        <f>IF(OR(E680="",E679=""),"",E680/E679-1)</f>
        <v/>
      </c>
      <c r="L680" s="7">
        <f>IF(OR(F680="",F679=""),"",F680/F679-1)</f>
        <v/>
      </c>
      <c r="M680" s="7">
        <f>IF(OR(G680="",G679=""),"",G680/G679-1)</f>
        <v/>
      </c>
      <c r="N680" s="7">
        <f>IF(G680="","",E680/G680)</f>
        <v/>
      </c>
      <c r="O680" s="7">
        <f>IF(G680="","",F680/G680)</f>
        <v/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4">
        <f>IF(SUMIFS('Daily NSE Equity Cash'!$H:$H,'Daily NSE Equity Cash'!$A:$A,$A681)=0,"",SUMIFS('Daily NSE Equity Cash'!$H:$H,'Daily NSE Equity Cash'!$A:$A,$A681))</f>
        <v/>
      </c>
      <c r="F681" s="4">
        <f>IF(SUMIFS('Daily BSE Equity Cash'!$H:$H,'Daily BSE Equity Cash'!$A:$A,$A681)=0,"",SUMIFS('Daily BSE Equity Cash'!$H:$H,'Daily BSE Equity Cash'!$A:$A,$A681))</f>
        <v/>
      </c>
      <c r="G681" s="4">
        <f>IF(OR(E681="",F681=""),"",E681+F681)</f>
        <v/>
      </c>
      <c r="H681" s="7">
        <f>IFERROR(IF(OR(E681="",INDEX(E:E,MATCH(DATE(YEAR($A681)-1,MONTH($A681),DAY($A681)),$A:$A,0))=""),"",E681/INDEX(E:E,MATCH(DATE(YEAR($A681)-1,MONTH($A681),DAY($A681)),$A:$A,0))-1),"")</f>
        <v/>
      </c>
      <c r="I681" s="7">
        <f>IFERROR(IF(OR(F681="",INDEX(F:F,MATCH(DATE(YEAR($A681)-1,MONTH($A681),DAY($A681)),$A:$A,0))=""),"",F681/INDEX(F:F,MATCH(DATE(YEAR($A681)-1,MONTH($A681),DAY($A681)),$A:$A,0))-1),"")</f>
        <v/>
      </c>
      <c r="J681" s="7">
        <f>IFERROR(IF(OR(G681="",INDEX(G:G,MATCH(DATE(YEAR($A681)-1,MONTH($A681),DAY($A681)),$A:$A,0))=""),"",G681/INDEX(G:G,MATCH(DATE(YEAR($A681)-1,MONTH($A681),DAY($A681)),$A:$A,0))-1),"")</f>
        <v/>
      </c>
      <c r="K681" s="7">
        <f>IF(OR(E681="",E680=""),"",E681/E680-1)</f>
        <v/>
      </c>
      <c r="L681" s="7">
        <f>IF(OR(F681="",F680=""),"",F681/F680-1)</f>
        <v/>
      </c>
      <c r="M681" s="7">
        <f>IF(OR(G681="",G680=""),"",G681/G680-1)</f>
        <v/>
      </c>
      <c r="N681" s="7">
        <f>IF(G681="","",E681/G681)</f>
        <v/>
      </c>
      <c r="O681" s="7">
        <f>IF(G681="","",F681/G681)</f>
        <v/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4">
        <f>IF(SUMIFS('Daily NSE Equity Cash'!$H:$H,'Daily NSE Equity Cash'!$A:$A,$A682)=0,"",SUMIFS('Daily NSE Equity Cash'!$H:$H,'Daily NSE Equity Cash'!$A:$A,$A682))</f>
        <v/>
      </c>
      <c r="F682" s="4">
        <f>IF(SUMIFS('Daily BSE Equity Cash'!$H:$H,'Daily BSE Equity Cash'!$A:$A,$A682)=0,"",SUMIFS('Daily BSE Equity Cash'!$H:$H,'Daily BSE Equity Cash'!$A:$A,$A682))</f>
        <v/>
      </c>
      <c r="G682" s="4">
        <f>IF(OR(E682="",F682=""),"",E682+F682)</f>
        <v/>
      </c>
      <c r="H682" s="7">
        <f>IFERROR(IF(OR(E682="",INDEX(E:E,MATCH(DATE(YEAR($A682)-1,MONTH($A682),DAY($A682)),$A:$A,0))=""),"",E682/INDEX(E:E,MATCH(DATE(YEAR($A682)-1,MONTH($A682),DAY($A682)),$A:$A,0))-1),"")</f>
        <v/>
      </c>
      <c r="I682" s="7">
        <f>IFERROR(IF(OR(F682="",INDEX(F:F,MATCH(DATE(YEAR($A682)-1,MONTH($A682),DAY($A682)),$A:$A,0))=""),"",F682/INDEX(F:F,MATCH(DATE(YEAR($A682)-1,MONTH($A682),DAY($A682)),$A:$A,0))-1),"")</f>
        <v/>
      </c>
      <c r="J682" s="7">
        <f>IFERROR(IF(OR(G682="",INDEX(G:G,MATCH(DATE(YEAR($A682)-1,MONTH($A682),DAY($A682)),$A:$A,0))=""),"",G682/INDEX(G:G,MATCH(DATE(YEAR($A682)-1,MONTH($A682),DAY($A682)),$A:$A,0))-1),"")</f>
        <v/>
      </c>
      <c r="K682" s="7">
        <f>IF(OR(E682="",E681=""),"",E682/E681-1)</f>
        <v/>
      </c>
      <c r="L682" s="7">
        <f>IF(OR(F682="",F681=""),"",F682/F681-1)</f>
        <v/>
      </c>
      <c r="M682" s="7">
        <f>IF(OR(G682="",G681=""),"",G682/G681-1)</f>
        <v/>
      </c>
      <c r="N682" s="7">
        <f>IF(G682="","",E682/G682)</f>
        <v/>
      </c>
      <c r="O682" s="7">
        <f>IF(G682="","",F682/G682)</f>
        <v/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4">
        <f>IF(SUMIFS('Daily NSE Equity Cash'!$H:$H,'Daily NSE Equity Cash'!$A:$A,$A683)=0,"",SUMIFS('Daily NSE Equity Cash'!$H:$H,'Daily NSE Equity Cash'!$A:$A,$A683))</f>
        <v/>
      </c>
      <c r="F683" s="4">
        <f>IF(SUMIFS('Daily BSE Equity Cash'!$H:$H,'Daily BSE Equity Cash'!$A:$A,$A683)=0,"",SUMIFS('Daily BSE Equity Cash'!$H:$H,'Daily BSE Equity Cash'!$A:$A,$A683))</f>
        <v/>
      </c>
      <c r="G683" s="4">
        <f>IF(OR(E683="",F683=""),"",E683+F683)</f>
        <v/>
      </c>
      <c r="H683" s="7">
        <f>IFERROR(IF(OR(E683="",INDEX(E:E,MATCH(DATE(YEAR($A683)-1,MONTH($A683),DAY($A683)),$A:$A,0))=""),"",E683/INDEX(E:E,MATCH(DATE(YEAR($A683)-1,MONTH($A683),DAY($A683)),$A:$A,0))-1),"")</f>
        <v/>
      </c>
      <c r="I683" s="7">
        <f>IFERROR(IF(OR(F683="",INDEX(F:F,MATCH(DATE(YEAR($A683)-1,MONTH($A683),DAY($A683)),$A:$A,0))=""),"",F683/INDEX(F:F,MATCH(DATE(YEAR($A683)-1,MONTH($A683),DAY($A683)),$A:$A,0))-1),"")</f>
        <v/>
      </c>
      <c r="J683" s="7">
        <f>IFERROR(IF(OR(G683="",INDEX(G:G,MATCH(DATE(YEAR($A683)-1,MONTH($A683),DAY($A683)),$A:$A,0))=""),"",G683/INDEX(G:G,MATCH(DATE(YEAR($A683)-1,MONTH($A683),DAY($A683)),$A:$A,0))-1),"")</f>
        <v/>
      </c>
      <c r="K683" s="7">
        <f>IF(OR(E683="",E682=""),"",E683/E682-1)</f>
        <v/>
      </c>
      <c r="L683" s="7">
        <f>IF(OR(F683="",F682=""),"",F683/F682-1)</f>
        <v/>
      </c>
      <c r="M683" s="7">
        <f>IF(OR(G683="",G682=""),"",G683/G682-1)</f>
        <v/>
      </c>
      <c r="N683" s="7">
        <f>IF(G683="","",E683/G683)</f>
        <v/>
      </c>
      <c r="O683" s="7">
        <f>IF(G683="","",F683/G683)</f>
        <v/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4">
        <f>IF(SUMIFS('Daily NSE Equity Cash'!$H:$H,'Daily NSE Equity Cash'!$A:$A,$A684)=0,"",SUMIFS('Daily NSE Equity Cash'!$H:$H,'Daily NSE Equity Cash'!$A:$A,$A684))</f>
        <v/>
      </c>
      <c r="F684" s="4">
        <f>IF(SUMIFS('Daily BSE Equity Cash'!$H:$H,'Daily BSE Equity Cash'!$A:$A,$A684)=0,"",SUMIFS('Daily BSE Equity Cash'!$H:$H,'Daily BSE Equity Cash'!$A:$A,$A684))</f>
        <v/>
      </c>
      <c r="G684" s="4">
        <f>IF(OR(E684="",F684=""),"",E684+F684)</f>
        <v/>
      </c>
      <c r="H684" s="7">
        <f>IFERROR(IF(OR(E684="",INDEX(E:E,MATCH(DATE(YEAR($A684)-1,MONTH($A684),DAY($A684)),$A:$A,0))=""),"",E684/INDEX(E:E,MATCH(DATE(YEAR($A684)-1,MONTH($A684),DAY($A684)),$A:$A,0))-1),"")</f>
        <v/>
      </c>
      <c r="I684" s="7">
        <f>IFERROR(IF(OR(F684="",INDEX(F:F,MATCH(DATE(YEAR($A684)-1,MONTH($A684),DAY($A684)),$A:$A,0))=""),"",F684/INDEX(F:F,MATCH(DATE(YEAR($A684)-1,MONTH($A684),DAY($A684)),$A:$A,0))-1),"")</f>
        <v/>
      </c>
      <c r="J684" s="7">
        <f>IFERROR(IF(OR(G684="",INDEX(G:G,MATCH(DATE(YEAR($A684)-1,MONTH($A684),DAY($A684)),$A:$A,0))=""),"",G684/INDEX(G:G,MATCH(DATE(YEAR($A684)-1,MONTH($A684),DAY($A684)),$A:$A,0))-1),"")</f>
        <v/>
      </c>
      <c r="K684" s="7">
        <f>IF(OR(E684="",E683=""),"",E684/E683-1)</f>
        <v/>
      </c>
      <c r="L684" s="7">
        <f>IF(OR(F684="",F683=""),"",F684/F683-1)</f>
        <v/>
      </c>
      <c r="M684" s="7">
        <f>IF(OR(G684="",G683=""),"",G684/G683-1)</f>
        <v/>
      </c>
      <c r="N684" s="7">
        <f>IF(G684="","",E684/G684)</f>
        <v/>
      </c>
      <c r="O684" s="7">
        <f>IF(G684="","",F684/G684)</f>
        <v/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4">
        <f>IF(SUMIFS('Daily NSE Equity Cash'!$H:$H,'Daily NSE Equity Cash'!$A:$A,$A685)=0,"",SUMIFS('Daily NSE Equity Cash'!$H:$H,'Daily NSE Equity Cash'!$A:$A,$A685))</f>
        <v/>
      </c>
      <c r="F685" s="4">
        <f>IF(SUMIFS('Daily BSE Equity Cash'!$H:$H,'Daily BSE Equity Cash'!$A:$A,$A685)=0,"",SUMIFS('Daily BSE Equity Cash'!$H:$H,'Daily BSE Equity Cash'!$A:$A,$A685))</f>
        <v/>
      </c>
      <c r="G685" s="4">
        <f>IF(OR(E685="",F685=""),"",E685+F685)</f>
        <v/>
      </c>
      <c r="H685" s="7">
        <f>IFERROR(IF(OR(E685="",INDEX(E:E,MATCH(DATE(YEAR($A685)-1,MONTH($A685),DAY($A685)),$A:$A,0))=""),"",E685/INDEX(E:E,MATCH(DATE(YEAR($A685)-1,MONTH($A685),DAY($A685)),$A:$A,0))-1),"")</f>
        <v/>
      </c>
      <c r="I685" s="7">
        <f>IFERROR(IF(OR(F685="",INDEX(F:F,MATCH(DATE(YEAR($A685)-1,MONTH($A685),DAY($A685)),$A:$A,0))=""),"",F685/INDEX(F:F,MATCH(DATE(YEAR($A685)-1,MONTH($A685),DAY($A685)),$A:$A,0))-1),"")</f>
        <v/>
      </c>
      <c r="J685" s="7">
        <f>IFERROR(IF(OR(G685="",INDEX(G:G,MATCH(DATE(YEAR($A685)-1,MONTH($A685),DAY($A685)),$A:$A,0))=""),"",G685/INDEX(G:G,MATCH(DATE(YEAR($A685)-1,MONTH($A685),DAY($A685)),$A:$A,0))-1),"")</f>
        <v/>
      </c>
      <c r="K685" s="7">
        <f>IF(OR(E685="",E684=""),"",E685/E684-1)</f>
        <v/>
      </c>
      <c r="L685" s="7">
        <f>IF(OR(F685="",F684=""),"",F685/F684-1)</f>
        <v/>
      </c>
      <c r="M685" s="7">
        <f>IF(OR(G685="",G684=""),"",G685/G684-1)</f>
        <v/>
      </c>
      <c r="N685" s="7">
        <f>IF(G685="","",E685/G685)</f>
        <v/>
      </c>
      <c r="O685" s="7">
        <f>IF(G685="","",F685/G685)</f>
        <v/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4">
        <f>IF(SUMIFS('Daily NSE Equity Cash'!$H:$H,'Daily NSE Equity Cash'!$A:$A,$A686)=0,"",SUMIFS('Daily NSE Equity Cash'!$H:$H,'Daily NSE Equity Cash'!$A:$A,$A686))</f>
        <v/>
      </c>
      <c r="F686" s="4">
        <f>IF(SUMIFS('Daily BSE Equity Cash'!$H:$H,'Daily BSE Equity Cash'!$A:$A,$A686)=0,"",SUMIFS('Daily BSE Equity Cash'!$H:$H,'Daily BSE Equity Cash'!$A:$A,$A686))</f>
        <v/>
      </c>
      <c r="G686" s="4">
        <f>IF(OR(E686="",F686=""),"",E686+F686)</f>
        <v/>
      </c>
      <c r="H686" s="7">
        <f>IFERROR(IF(OR(E686="",INDEX(E:E,MATCH(DATE(YEAR($A686)-1,MONTH($A686),DAY($A686)),$A:$A,0))=""),"",E686/INDEX(E:E,MATCH(DATE(YEAR($A686)-1,MONTH($A686),DAY($A686)),$A:$A,0))-1),"")</f>
        <v/>
      </c>
      <c r="I686" s="7">
        <f>IFERROR(IF(OR(F686="",INDEX(F:F,MATCH(DATE(YEAR($A686)-1,MONTH($A686),DAY($A686)),$A:$A,0))=""),"",F686/INDEX(F:F,MATCH(DATE(YEAR($A686)-1,MONTH($A686),DAY($A686)),$A:$A,0))-1),"")</f>
        <v/>
      </c>
      <c r="J686" s="7">
        <f>IFERROR(IF(OR(G686="",INDEX(G:G,MATCH(DATE(YEAR($A686)-1,MONTH($A686),DAY($A686)),$A:$A,0))=""),"",G686/INDEX(G:G,MATCH(DATE(YEAR($A686)-1,MONTH($A686),DAY($A686)),$A:$A,0))-1),"")</f>
        <v/>
      </c>
      <c r="K686" s="7">
        <f>IF(OR(E686="",E685=""),"",E686/E685-1)</f>
        <v/>
      </c>
      <c r="L686" s="7">
        <f>IF(OR(F686="",F685=""),"",F686/F685-1)</f>
        <v/>
      </c>
      <c r="M686" s="7">
        <f>IF(OR(G686="",G685=""),"",G686/G685-1)</f>
        <v/>
      </c>
      <c r="N686" s="7">
        <f>IF(G686="","",E686/G686)</f>
        <v/>
      </c>
      <c r="O686" s="7">
        <f>IF(G686="","",F686/G686)</f>
        <v/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4">
        <f>IF(SUMIFS('Daily NSE Equity Cash'!$H:$H,'Daily NSE Equity Cash'!$A:$A,$A687)=0,"",SUMIFS('Daily NSE Equity Cash'!$H:$H,'Daily NSE Equity Cash'!$A:$A,$A687))</f>
        <v/>
      </c>
      <c r="F687" s="4">
        <f>IF(SUMIFS('Daily BSE Equity Cash'!$H:$H,'Daily BSE Equity Cash'!$A:$A,$A687)=0,"",SUMIFS('Daily BSE Equity Cash'!$H:$H,'Daily BSE Equity Cash'!$A:$A,$A687))</f>
        <v/>
      </c>
      <c r="G687" s="4">
        <f>IF(OR(E687="",F687=""),"",E687+F687)</f>
        <v/>
      </c>
      <c r="H687" s="7">
        <f>IFERROR(IF(OR(E687="",INDEX(E:E,MATCH(DATE(YEAR($A687)-1,MONTH($A687),DAY($A687)),$A:$A,0))=""),"",E687/INDEX(E:E,MATCH(DATE(YEAR($A687)-1,MONTH($A687),DAY($A687)),$A:$A,0))-1),"")</f>
        <v/>
      </c>
      <c r="I687" s="7">
        <f>IFERROR(IF(OR(F687="",INDEX(F:F,MATCH(DATE(YEAR($A687)-1,MONTH($A687),DAY($A687)),$A:$A,0))=""),"",F687/INDEX(F:F,MATCH(DATE(YEAR($A687)-1,MONTH($A687),DAY($A687)),$A:$A,0))-1),"")</f>
        <v/>
      </c>
      <c r="J687" s="7">
        <f>IFERROR(IF(OR(G687="",INDEX(G:G,MATCH(DATE(YEAR($A687)-1,MONTH($A687),DAY($A687)),$A:$A,0))=""),"",G687/INDEX(G:G,MATCH(DATE(YEAR($A687)-1,MONTH($A687),DAY($A687)),$A:$A,0))-1),"")</f>
        <v/>
      </c>
      <c r="K687" s="7">
        <f>IF(OR(E687="",E686=""),"",E687/E686-1)</f>
        <v/>
      </c>
      <c r="L687" s="7">
        <f>IF(OR(F687="",F686=""),"",F687/F686-1)</f>
        <v/>
      </c>
      <c r="M687" s="7">
        <f>IF(OR(G687="",G686=""),"",G687/G686-1)</f>
        <v/>
      </c>
      <c r="N687" s="7">
        <f>IF(G687="","",E687/G687)</f>
        <v/>
      </c>
      <c r="O687" s="7">
        <f>IF(G687="","",F687/G687)</f>
        <v/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4">
        <f>IF(SUMIFS('Daily NSE Equity Cash'!$H:$H,'Daily NSE Equity Cash'!$A:$A,$A688)=0,"",SUMIFS('Daily NSE Equity Cash'!$H:$H,'Daily NSE Equity Cash'!$A:$A,$A688))</f>
        <v/>
      </c>
      <c r="F688" s="4">
        <f>IF(SUMIFS('Daily BSE Equity Cash'!$H:$H,'Daily BSE Equity Cash'!$A:$A,$A688)=0,"",SUMIFS('Daily BSE Equity Cash'!$H:$H,'Daily BSE Equity Cash'!$A:$A,$A688))</f>
        <v/>
      </c>
      <c r="G688" s="4">
        <f>IF(OR(E688="",F688=""),"",E688+F688)</f>
        <v/>
      </c>
      <c r="H688" s="7">
        <f>IFERROR(IF(OR(E688="",INDEX(E:E,MATCH(DATE(YEAR($A688)-1,MONTH($A688),DAY($A688)),$A:$A,0))=""),"",E688/INDEX(E:E,MATCH(DATE(YEAR($A688)-1,MONTH($A688),DAY($A688)),$A:$A,0))-1),"")</f>
        <v/>
      </c>
      <c r="I688" s="7">
        <f>IFERROR(IF(OR(F688="",INDEX(F:F,MATCH(DATE(YEAR($A688)-1,MONTH($A688),DAY($A688)),$A:$A,0))=""),"",F688/INDEX(F:F,MATCH(DATE(YEAR($A688)-1,MONTH($A688),DAY($A688)),$A:$A,0))-1),"")</f>
        <v/>
      </c>
      <c r="J688" s="7">
        <f>IFERROR(IF(OR(G688="",INDEX(G:G,MATCH(DATE(YEAR($A688)-1,MONTH($A688),DAY($A688)),$A:$A,0))=""),"",G688/INDEX(G:G,MATCH(DATE(YEAR($A688)-1,MONTH($A688),DAY($A688)),$A:$A,0))-1),"")</f>
        <v/>
      </c>
      <c r="K688" s="7">
        <f>IF(OR(E688="",E687=""),"",E688/E687-1)</f>
        <v/>
      </c>
      <c r="L688" s="7">
        <f>IF(OR(F688="",F687=""),"",F688/F687-1)</f>
        <v/>
      </c>
      <c r="M688" s="7">
        <f>IF(OR(G688="",G687=""),"",G688/G687-1)</f>
        <v/>
      </c>
      <c r="N688" s="7">
        <f>IF(G688="","",E688/G688)</f>
        <v/>
      </c>
      <c r="O688" s="7">
        <f>IF(G688="","",F688/G688)</f>
        <v/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4">
        <f>IF(SUMIFS('Daily NSE Equity Cash'!$H:$H,'Daily NSE Equity Cash'!$A:$A,$A689)=0,"",SUMIFS('Daily NSE Equity Cash'!$H:$H,'Daily NSE Equity Cash'!$A:$A,$A689))</f>
        <v/>
      </c>
      <c r="F689" s="4">
        <f>IF(SUMIFS('Daily BSE Equity Cash'!$H:$H,'Daily BSE Equity Cash'!$A:$A,$A689)=0,"",SUMIFS('Daily BSE Equity Cash'!$H:$H,'Daily BSE Equity Cash'!$A:$A,$A689))</f>
        <v/>
      </c>
      <c r="G689" s="4">
        <f>IF(OR(E689="",F689=""),"",E689+F689)</f>
        <v/>
      </c>
      <c r="H689" s="7">
        <f>IFERROR(IF(OR(E689="",INDEX(E:E,MATCH(DATE(YEAR($A689)-1,MONTH($A689),DAY($A689)),$A:$A,0))=""),"",E689/INDEX(E:E,MATCH(DATE(YEAR($A689)-1,MONTH($A689),DAY($A689)),$A:$A,0))-1),"")</f>
        <v/>
      </c>
      <c r="I689" s="7">
        <f>IFERROR(IF(OR(F689="",INDEX(F:F,MATCH(DATE(YEAR($A689)-1,MONTH($A689),DAY($A689)),$A:$A,0))=""),"",F689/INDEX(F:F,MATCH(DATE(YEAR($A689)-1,MONTH($A689),DAY($A689)),$A:$A,0))-1),"")</f>
        <v/>
      </c>
      <c r="J689" s="7">
        <f>IFERROR(IF(OR(G689="",INDEX(G:G,MATCH(DATE(YEAR($A689)-1,MONTH($A689),DAY($A689)),$A:$A,0))=""),"",G689/INDEX(G:G,MATCH(DATE(YEAR($A689)-1,MONTH($A689),DAY($A689)),$A:$A,0))-1),"")</f>
        <v/>
      </c>
      <c r="K689" s="7">
        <f>IF(OR(E689="",E688=""),"",E689/E688-1)</f>
        <v/>
      </c>
      <c r="L689" s="7">
        <f>IF(OR(F689="",F688=""),"",F689/F688-1)</f>
        <v/>
      </c>
      <c r="M689" s="7">
        <f>IF(OR(G689="",G688=""),"",G689/G688-1)</f>
        <v/>
      </c>
      <c r="N689" s="7">
        <f>IF(G689="","",E689/G689)</f>
        <v/>
      </c>
      <c r="O689" s="7">
        <f>IF(G689="","",F689/G689)</f>
        <v/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4">
        <f>IF(SUMIFS('Daily NSE Equity Cash'!$H:$H,'Daily NSE Equity Cash'!$A:$A,$A690)=0,"",SUMIFS('Daily NSE Equity Cash'!$H:$H,'Daily NSE Equity Cash'!$A:$A,$A690))</f>
        <v/>
      </c>
      <c r="F690" s="4">
        <f>IF(SUMIFS('Daily BSE Equity Cash'!$H:$H,'Daily BSE Equity Cash'!$A:$A,$A690)=0,"",SUMIFS('Daily BSE Equity Cash'!$H:$H,'Daily BSE Equity Cash'!$A:$A,$A690))</f>
        <v/>
      </c>
      <c r="G690" s="4">
        <f>IF(OR(E690="",F690=""),"",E690+F690)</f>
        <v/>
      </c>
      <c r="H690" s="7">
        <f>IFERROR(IF(OR(E690="",INDEX(E:E,MATCH(DATE(YEAR($A690)-1,MONTH($A690),DAY($A690)),$A:$A,0))=""),"",E690/INDEX(E:E,MATCH(DATE(YEAR($A690)-1,MONTH($A690),DAY($A690)),$A:$A,0))-1),"")</f>
        <v/>
      </c>
      <c r="I690" s="7">
        <f>IFERROR(IF(OR(F690="",INDEX(F:F,MATCH(DATE(YEAR($A690)-1,MONTH($A690),DAY($A690)),$A:$A,0))=""),"",F690/INDEX(F:F,MATCH(DATE(YEAR($A690)-1,MONTH($A690),DAY($A690)),$A:$A,0))-1),"")</f>
        <v/>
      </c>
      <c r="J690" s="7">
        <f>IFERROR(IF(OR(G690="",INDEX(G:G,MATCH(DATE(YEAR($A690)-1,MONTH($A690),DAY($A690)),$A:$A,0))=""),"",G690/INDEX(G:G,MATCH(DATE(YEAR($A690)-1,MONTH($A690),DAY($A690)),$A:$A,0))-1),"")</f>
        <v/>
      </c>
      <c r="K690" s="7">
        <f>IF(OR(E690="",E689=""),"",E690/E689-1)</f>
        <v/>
      </c>
      <c r="L690" s="7">
        <f>IF(OR(F690="",F689=""),"",F690/F689-1)</f>
        <v/>
      </c>
      <c r="M690" s="7">
        <f>IF(OR(G690="",G689=""),"",G690/G689-1)</f>
        <v/>
      </c>
      <c r="N690" s="7">
        <f>IF(G690="","",E690/G690)</f>
        <v/>
      </c>
      <c r="O690" s="7">
        <f>IF(G690="","",F690/G690)</f>
        <v/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4">
        <f>IF(SUMIFS('Daily NSE Equity Cash'!$H:$H,'Daily NSE Equity Cash'!$A:$A,$A691)=0,"",SUMIFS('Daily NSE Equity Cash'!$H:$H,'Daily NSE Equity Cash'!$A:$A,$A691))</f>
        <v/>
      </c>
      <c r="F691" s="4">
        <f>IF(SUMIFS('Daily BSE Equity Cash'!$H:$H,'Daily BSE Equity Cash'!$A:$A,$A691)=0,"",SUMIFS('Daily BSE Equity Cash'!$H:$H,'Daily BSE Equity Cash'!$A:$A,$A691))</f>
        <v/>
      </c>
      <c r="G691" s="4">
        <f>IF(OR(E691="",F691=""),"",E691+F691)</f>
        <v/>
      </c>
      <c r="H691" s="7">
        <f>IFERROR(IF(OR(E691="",INDEX(E:E,MATCH(DATE(YEAR($A691)-1,MONTH($A691),DAY($A691)),$A:$A,0))=""),"",E691/INDEX(E:E,MATCH(DATE(YEAR($A691)-1,MONTH($A691),DAY($A691)),$A:$A,0))-1),"")</f>
        <v/>
      </c>
      <c r="I691" s="7">
        <f>IFERROR(IF(OR(F691="",INDEX(F:F,MATCH(DATE(YEAR($A691)-1,MONTH($A691),DAY($A691)),$A:$A,0))=""),"",F691/INDEX(F:F,MATCH(DATE(YEAR($A691)-1,MONTH($A691),DAY($A691)),$A:$A,0))-1),"")</f>
        <v/>
      </c>
      <c r="J691" s="7">
        <f>IFERROR(IF(OR(G691="",INDEX(G:G,MATCH(DATE(YEAR($A691)-1,MONTH($A691),DAY($A691)),$A:$A,0))=""),"",G691/INDEX(G:G,MATCH(DATE(YEAR($A691)-1,MONTH($A691),DAY($A691)),$A:$A,0))-1),"")</f>
        <v/>
      </c>
      <c r="K691" s="7">
        <f>IF(OR(E691="",E690=""),"",E691/E690-1)</f>
        <v/>
      </c>
      <c r="L691" s="7">
        <f>IF(OR(F691="",F690=""),"",F691/F690-1)</f>
        <v/>
      </c>
      <c r="M691" s="7">
        <f>IF(OR(G691="",G690=""),"",G691/G690-1)</f>
        <v/>
      </c>
      <c r="N691" s="7">
        <f>IF(G691="","",E691/G691)</f>
        <v/>
      </c>
      <c r="O691" s="7">
        <f>IF(G691="","",F691/G691)</f>
        <v/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4">
        <f>IF(SUMIFS('Daily NSE Equity Cash'!$H:$H,'Daily NSE Equity Cash'!$A:$A,$A692)=0,"",SUMIFS('Daily NSE Equity Cash'!$H:$H,'Daily NSE Equity Cash'!$A:$A,$A692))</f>
        <v/>
      </c>
      <c r="F692" s="4">
        <f>IF(SUMIFS('Daily BSE Equity Cash'!$H:$H,'Daily BSE Equity Cash'!$A:$A,$A692)=0,"",SUMIFS('Daily BSE Equity Cash'!$H:$H,'Daily BSE Equity Cash'!$A:$A,$A692))</f>
        <v/>
      </c>
      <c r="G692" s="4">
        <f>IF(OR(E692="",F692=""),"",E692+F692)</f>
        <v/>
      </c>
      <c r="H692" s="7">
        <f>IFERROR(IF(OR(E692="",INDEX(E:E,MATCH(DATE(YEAR($A692)-1,MONTH($A692),DAY($A692)),$A:$A,0))=""),"",E692/INDEX(E:E,MATCH(DATE(YEAR($A692)-1,MONTH($A692),DAY($A692)),$A:$A,0))-1),"")</f>
        <v/>
      </c>
      <c r="I692" s="7">
        <f>IFERROR(IF(OR(F692="",INDEX(F:F,MATCH(DATE(YEAR($A692)-1,MONTH($A692),DAY($A692)),$A:$A,0))=""),"",F692/INDEX(F:F,MATCH(DATE(YEAR($A692)-1,MONTH($A692),DAY($A692)),$A:$A,0))-1),"")</f>
        <v/>
      </c>
      <c r="J692" s="7">
        <f>IFERROR(IF(OR(G692="",INDEX(G:G,MATCH(DATE(YEAR($A692)-1,MONTH($A692),DAY($A692)),$A:$A,0))=""),"",G692/INDEX(G:G,MATCH(DATE(YEAR($A692)-1,MONTH($A692),DAY($A692)),$A:$A,0))-1),"")</f>
        <v/>
      </c>
      <c r="K692" s="7">
        <f>IF(OR(E692="",E691=""),"",E692/E691-1)</f>
        <v/>
      </c>
      <c r="L692" s="7">
        <f>IF(OR(F692="",F691=""),"",F692/F691-1)</f>
        <v/>
      </c>
      <c r="M692" s="7">
        <f>IF(OR(G692="",G691=""),"",G692/G691-1)</f>
        <v/>
      </c>
      <c r="N692" s="7">
        <f>IF(G692="","",E692/G692)</f>
        <v/>
      </c>
      <c r="O692" s="7">
        <f>IF(G692="","",F692/G692)</f>
        <v/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4">
        <f>IF(SUMIFS('Daily NSE Equity Cash'!$H:$H,'Daily NSE Equity Cash'!$A:$A,$A693)=0,"",SUMIFS('Daily NSE Equity Cash'!$H:$H,'Daily NSE Equity Cash'!$A:$A,$A693))</f>
        <v/>
      </c>
      <c r="F693" s="4">
        <f>IF(SUMIFS('Daily BSE Equity Cash'!$H:$H,'Daily BSE Equity Cash'!$A:$A,$A693)=0,"",SUMIFS('Daily BSE Equity Cash'!$H:$H,'Daily BSE Equity Cash'!$A:$A,$A693))</f>
        <v/>
      </c>
      <c r="G693" s="4">
        <f>IF(OR(E693="",F693=""),"",E693+F693)</f>
        <v/>
      </c>
      <c r="H693" s="7">
        <f>IFERROR(IF(OR(E693="",INDEX(E:E,MATCH(DATE(YEAR($A693)-1,MONTH($A693),DAY($A693)),$A:$A,0))=""),"",E693/INDEX(E:E,MATCH(DATE(YEAR($A693)-1,MONTH($A693),DAY($A693)),$A:$A,0))-1),"")</f>
        <v/>
      </c>
      <c r="I693" s="7">
        <f>IFERROR(IF(OR(F693="",INDEX(F:F,MATCH(DATE(YEAR($A693)-1,MONTH($A693),DAY($A693)),$A:$A,0))=""),"",F693/INDEX(F:F,MATCH(DATE(YEAR($A693)-1,MONTH($A693),DAY($A693)),$A:$A,0))-1),"")</f>
        <v/>
      </c>
      <c r="J693" s="7">
        <f>IFERROR(IF(OR(G693="",INDEX(G:G,MATCH(DATE(YEAR($A693)-1,MONTH($A693),DAY($A693)),$A:$A,0))=""),"",G693/INDEX(G:G,MATCH(DATE(YEAR($A693)-1,MONTH($A693),DAY($A693)),$A:$A,0))-1),"")</f>
        <v/>
      </c>
      <c r="K693" s="7">
        <f>IF(OR(E693="",E692=""),"",E693/E692-1)</f>
        <v/>
      </c>
      <c r="L693" s="7">
        <f>IF(OR(F693="",F692=""),"",F693/F692-1)</f>
        <v/>
      </c>
      <c r="M693" s="7">
        <f>IF(OR(G693="",G692=""),"",G693/G692-1)</f>
        <v/>
      </c>
      <c r="N693" s="7">
        <f>IF(G693="","",E693/G693)</f>
        <v/>
      </c>
      <c r="O693" s="7">
        <f>IF(G693="","",F693/G693)</f>
        <v/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4">
        <f>IF(SUMIFS('Daily NSE Equity Cash'!$H:$H,'Daily NSE Equity Cash'!$A:$A,$A694)=0,"",SUMIFS('Daily NSE Equity Cash'!$H:$H,'Daily NSE Equity Cash'!$A:$A,$A694))</f>
        <v/>
      </c>
      <c r="F694" s="4">
        <f>IF(SUMIFS('Daily BSE Equity Cash'!$H:$H,'Daily BSE Equity Cash'!$A:$A,$A694)=0,"",SUMIFS('Daily BSE Equity Cash'!$H:$H,'Daily BSE Equity Cash'!$A:$A,$A694))</f>
        <v/>
      </c>
      <c r="G694" s="4">
        <f>IF(OR(E694="",F694=""),"",E694+F694)</f>
        <v/>
      </c>
      <c r="H694" s="7">
        <f>IFERROR(IF(OR(E694="",INDEX(E:E,MATCH(DATE(YEAR($A694)-1,MONTH($A694),DAY($A694)),$A:$A,0))=""),"",E694/INDEX(E:E,MATCH(DATE(YEAR($A694)-1,MONTH($A694),DAY($A694)),$A:$A,0))-1),"")</f>
        <v/>
      </c>
      <c r="I694" s="7">
        <f>IFERROR(IF(OR(F694="",INDEX(F:F,MATCH(DATE(YEAR($A694)-1,MONTH($A694),DAY($A694)),$A:$A,0))=""),"",F694/INDEX(F:F,MATCH(DATE(YEAR($A694)-1,MONTH($A694),DAY($A694)),$A:$A,0))-1),"")</f>
        <v/>
      </c>
      <c r="J694" s="7">
        <f>IFERROR(IF(OR(G694="",INDEX(G:G,MATCH(DATE(YEAR($A694)-1,MONTH($A694),DAY($A694)),$A:$A,0))=""),"",G694/INDEX(G:G,MATCH(DATE(YEAR($A694)-1,MONTH($A694),DAY($A694)),$A:$A,0))-1),"")</f>
        <v/>
      </c>
      <c r="K694" s="7">
        <f>IF(OR(E694="",E693=""),"",E694/E693-1)</f>
        <v/>
      </c>
      <c r="L694" s="7">
        <f>IF(OR(F694="",F693=""),"",F694/F693-1)</f>
        <v/>
      </c>
      <c r="M694" s="7">
        <f>IF(OR(G694="",G693=""),"",G694/G693-1)</f>
        <v/>
      </c>
      <c r="N694" s="7">
        <f>IF(G694="","",E694/G694)</f>
        <v/>
      </c>
      <c r="O694" s="7">
        <f>IF(G694="","",F694/G694)</f>
        <v/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4">
        <f>IF(SUMIFS('Daily NSE Equity Cash'!$H:$H,'Daily NSE Equity Cash'!$A:$A,$A695)=0,"",SUMIFS('Daily NSE Equity Cash'!$H:$H,'Daily NSE Equity Cash'!$A:$A,$A695))</f>
        <v/>
      </c>
      <c r="F695" s="4">
        <f>IF(SUMIFS('Daily BSE Equity Cash'!$H:$H,'Daily BSE Equity Cash'!$A:$A,$A695)=0,"",SUMIFS('Daily BSE Equity Cash'!$H:$H,'Daily BSE Equity Cash'!$A:$A,$A695))</f>
        <v/>
      </c>
      <c r="G695" s="4">
        <f>IF(OR(E695="",F695=""),"",E695+F695)</f>
        <v/>
      </c>
      <c r="H695" s="7">
        <f>IFERROR(IF(OR(E695="",INDEX(E:E,MATCH(DATE(YEAR($A695)-1,MONTH($A695),DAY($A695)),$A:$A,0))=""),"",E695/INDEX(E:E,MATCH(DATE(YEAR($A695)-1,MONTH($A695),DAY($A695)),$A:$A,0))-1),"")</f>
        <v/>
      </c>
      <c r="I695" s="7">
        <f>IFERROR(IF(OR(F695="",INDEX(F:F,MATCH(DATE(YEAR($A695)-1,MONTH($A695),DAY($A695)),$A:$A,0))=""),"",F695/INDEX(F:F,MATCH(DATE(YEAR($A695)-1,MONTH($A695),DAY($A695)),$A:$A,0))-1),"")</f>
        <v/>
      </c>
      <c r="J695" s="7">
        <f>IFERROR(IF(OR(G695="",INDEX(G:G,MATCH(DATE(YEAR($A695)-1,MONTH($A695),DAY($A695)),$A:$A,0))=""),"",G695/INDEX(G:G,MATCH(DATE(YEAR($A695)-1,MONTH($A695),DAY($A695)),$A:$A,0))-1),"")</f>
        <v/>
      </c>
      <c r="K695" s="7">
        <f>IF(OR(E695="",E694=""),"",E695/E694-1)</f>
        <v/>
      </c>
      <c r="L695" s="7">
        <f>IF(OR(F695="",F694=""),"",F695/F694-1)</f>
        <v/>
      </c>
      <c r="M695" s="7">
        <f>IF(OR(G695="",G694=""),"",G695/G694-1)</f>
        <v/>
      </c>
      <c r="N695" s="7">
        <f>IF(G695="","",E695/G695)</f>
        <v/>
      </c>
      <c r="O695" s="7">
        <f>IF(G695="","",F695/G695)</f>
        <v/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4">
        <f>IF(SUMIFS('Daily NSE Equity Cash'!$H:$H,'Daily NSE Equity Cash'!$A:$A,$A696)=0,"",SUMIFS('Daily NSE Equity Cash'!$H:$H,'Daily NSE Equity Cash'!$A:$A,$A696))</f>
        <v/>
      </c>
      <c r="F696" s="4">
        <f>IF(SUMIFS('Daily BSE Equity Cash'!$H:$H,'Daily BSE Equity Cash'!$A:$A,$A696)=0,"",SUMIFS('Daily BSE Equity Cash'!$H:$H,'Daily BSE Equity Cash'!$A:$A,$A696))</f>
        <v/>
      </c>
      <c r="G696" s="4">
        <f>IF(OR(E696="",F696=""),"",E696+F696)</f>
        <v/>
      </c>
      <c r="H696" s="7">
        <f>IFERROR(IF(OR(E696="",INDEX(E:E,MATCH(DATE(YEAR($A696)-1,MONTH($A696),DAY($A696)),$A:$A,0))=""),"",E696/INDEX(E:E,MATCH(DATE(YEAR($A696)-1,MONTH($A696),DAY($A696)),$A:$A,0))-1),"")</f>
        <v/>
      </c>
      <c r="I696" s="7">
        <f>IFERROR(IF(OR(F696="",INDEX(F:F,MATCH(DATE(YEAR($A696)-1,MONTH($A696),DAY($A696)),$A:$A,0))=""),"",F696/INDEX(F:F,MATCH(DATE(YEAR($A696)-1,MONTH($A696),DAY($A696)),$A:$A,0))-1),"")</f>
        <v/>
      </c>
      <c r="J696" s="7">
        <f>IFERROR(IF(OR(G696="",INDEX(G:G,MATCH(DATE(YEAR($A696)-1,MONTH($A696),DAY($A696)),$A:$A,0))=""),"",G696/INDEX(G:G,MATCH(DATE(YEAR($A696)-1,MONTH($A696),DAY($A696)),$A:$A,0))-1),"")</f>
        <v/>
      </c>
      <c r="K696" s="7">
        <f>IF(OR(E696="",E695=""),"",E696/E695-1)</f>
        <v/>
      </c>
      <c r="L696" s="7">
        <f>IF(OR(F696="",F695=""),"",F696/F695-1)</f>
        <v/>
      </c>
      <c r="M696" s="7">
        <f>IF(OR(G696="",G695=""),"",G696/G695-1)</f>
        <v/>
      </c>
      <c r="N696" s="7">
        <f>IF(G696="","",E696/G696)</f>
        <v/>
      </c>
      <c r="O696" s="7">
        <f>IF(G696="","",F696/G696)</f>
        <v/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4">
        <f>IF(SUMIFS('Daily NSE Equity Cash'!$H:$H,'Daily NSE Equity Cash'!$A:$A,$A697)=0,"",SUMIFS('Daily NSE Equity Cash'!$H:$H,'Daily NSE Equity Cash'!$A:$A,$A697))</f>
        <v/>
      </c>
      <c r="F697" s="4">
        <f>IF(SUMIFS('Daily BSE Equity Cash'!$H:$H,'Daily BSE Equity Cash'!$A:$A,$A697)=0,"",SUMIFS('Daily BSE Equity Cash'!$H:$H,'Daily BSE Equity Cash'!$A:$A,$A697))</f>
        <v/>
      </c>
      <c r="G697" s="4">
        <f>IF(OR(E697="",F697=""),"",E697+F697)</f>
        <v/>
      </c>
      <c r="H697" s="7">
        <f>IFERROR(IF(OR(E697="",INDEX(E:E,MATCH(DATE(YEAR($A697)-1,MONTH($A697),DAY($A697)),$A:$A,0))=""),"",E697/INDEX(E:E,MATCH(DATE(YEAR($A697)-1,MONTH($A697),DAY($A697)),$A:$A,0))-1),"")</f>
        <v/>
      </c>
      <c r="I697" s="7">
        <f>IFERROR(IF(OR(F697="",INDEX(F:F,MATCH(DATE(YEAR($A697)-1,MONTH($A697),DAY($A697)),$A:$A,0))=""),"",F697/INDEX(F:F,MATCH(DATE(YEAR($A697)-1,MONTH($A697),DAY($A697)),$A:$A,0))-1),"")</f>
        <v/>
      </c>
      <c r="J697" s="7">
        <f>IFERROR(IF(OR(G697="",INDEX(G:G,MATCH(DATE(YEAR($A697)-1,MONTH($A697),DAY($A697)),$A:$A,0))=""),"",G697/INDEX(G:G,MATCH(DATE(YEAR($A697)-1,MONTH($A697),DAY($A697)),$A:$A,0))-1),"")</f>
        <v/>
      </c>
      <c r="K697" s="7">
        <f>IF(OR(E697="",E696=""),"",E697/E696-1)</f>
        <v/>
      </c>
      <c r="L697" s="7">
        <f>IF(OR(F697="",F696=""),"",F697/F696-1)</f>
        <v/>
      </c>
      <c r="M697" s="7">
        <f>IF(OR(G697="",G696=""),"",G697/G696-1)</f>
        <v/>
      </c>
      <c r="N697" s="7">
        <f>IF(G697="","",E697/G697)</f>
        <v/>
      </c>
      <c r="O697" s="7">
        <f>IF(G697="","",F697/G697)</f>
        <v/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4">
        <f>IF(SUMIFS('Daily NSE Equity Cash'!$H:$H,'Daily NSE Equity Cash'!$A:$A,$A698)=0,"",SUMIFS('Daily NSE Equity Cash'!$H:$H,'Daily NSE Equity Cash'!$A:$A,$A698))</f>
        <v/>
      </c>
      <c r="F698" s="4">
        <f>IF(SUMIFS('Daily BSE Equity Cash'!$H:$H,'Daily BSE Equity Cash'!$A:$A,$A698)=0,"",SUMIFS('Daily BSE Equity Cash'!$H:$H,'Daily BSE Equity Cash'!$A:$A,$A698))</f>
        <v/>
      </c>
      <c r="G698" s="4">
        <f>IF(OR(E698="",F698=""),"",E698+F698)</f>
        <v/>
      </c>
      <c r="H698" s="7">
        <f>IFERROR(IF(OR(E698="",INDEX(E:E,MATCH(DATE(YEAR($A698)-1,MONTH($A698),DAY($A698)),$A:$A,0))=""),"",E698/INDEX(E:E,MATCH(DATE(YEAR($A698)-1,MONTH($A698),DAY($A698)),$A:$A,0))-1),"")</f>
        <v/>
      </c>
      <c r="I698" s="7">
        <f>IFERROR(IF(OR(F698="",INDEX(F:F,MATCH(DATE(YEAR($A698)-1,MONTH($A698),DAY($A698)),$A:$A,0))=""),"",F698/INDEX(F:F,MATCH(DATE(YEAR($A698)-1,MONTH($A698),DAY($A698)),$A:$A,0))-1),"")</f>
        <v/>
      </c>
      <c r="J698" s="7">
        <f>IFERROR(IF(OR(G698="",INDEX(G:G,MATCH(DATE(YEAR($A698)-1,MONTH($A698),DAY($A698)),$A:$A,0))=""),"",G698/INDEX(G:G,MATCH(DATE(YEAR($A698)-1,MONTH($A698),DAY($A698)),$A:$A,0))-1),"")</f>
        <v/>
      </c>
      <c r="K698" s="7">
        <f>IF(OR(E698="",E697=""),"",E698/E697-1)</f>
        <v/>
      </c>
      <c r="L698" s="7">
        <f>IF(OR(F698="",F697=""),"",F698/F697-1)</f>
        <v/>
      </c>
      <c r="M698" s="7">
        <f>IF(OR(G698="",G697=""),"",G698/G697-1)</f>
        <v/>
      </c>
      <c r="N698" s="7">
        <f>IF(G698="","",E698/G698)</f>
        <v/>
      </c>
      <c r="O698" s="7">
        <f>IF(G698="","",F698/G698)</f>
        <v/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4">
        <f>IF(SUMIFS('Daily NSE Equity Cash'!$H:$H,'Daily NSE Equity Cash'!$A:$A,$A699)=0,"",SUMIFS('Daily NSE Equity Cash'!$H:$H,'Daily NSE Equity Cash'!$A:$A,$A699))</f>
        <v/>
      </c>
      <c r="F699" s="4">
        <f>IF(SUMIFS('Daily BSE Equity Cash'!$H:$H,'Daily BSE Equity Cash'!$A:$A,$A699)=0,"",SUMIFS('Daily BSE Equity Cash'!$H:$H,'Daily BSE Equity Cash'!$A:$A,$A699))</f>
        <v/>
      </c>
      <c r="G699" s="4">
        <f>IF(OR(E699="",F699=""),"",E699+F699)</f>
        <v/>
      </c>
      <c r="H699" s="7">
        <f>IFERROR(IF(OR(E699="",INDEX(E:E,MATCH(DATE(YEAR($A699)-1,MONTH($A699),DAY($A699)),$A:$A,0))=""),"",E699/INDEX(E:E,MATCH(DATE(YEAR($A699)-1,MONTH($A699),DAY($A699)),$A:$A,0))-1),"")</f>
        <v/>
      </c>
      <c r="I699" s="7">
        <f>IFERROR(IF(OR(F699="",INDEX(F:F,MATCH(DATE(YEAR($A699)-1,MONTH($A699),DAY($A699)),$A:$A,0))=""),"",F699/INDEX(F:F,MATCH(DATE(YEAR($A699)-1,MONTH($A699),DAY($A699)),$A:$A,0))-1),"")</f>
        <v/>
      </c>
      <c r="J699" s="7">
        <f>IFERROR(IF(OR(G699="",INDEX(G:G,MATCH(DATE(YEAR($A699)-1,MONTH($A699),DAY($A699)),$A:$A,0))=""),"",G699/INDEX(G:G,MATCH(DATE(YEAR($A699)-1,MONTH($A699),DAY($A699)),$A:$A,0))-1),"")</f>
        <v/>
      </c>
      <c r="K699" s="7">
        <f>IF(OR(E699="",E698=""),"",E699/E698-1)</f>
        <v/>
      </c>
      <c r="L699" s="7">
        <f>IF(OR(F699="",F698=""),"",F699/F698-1)</f>
        <v/>
      </c>
      <c r="M699" s="7">
        <f>IF(OR(G699="",G698=""),"",G699/G698-1)</f>
        <v/>
      </c>
      <c r="N699" s="7">
        <f>IF(G699="","",E699/G699)</f>
        <v/>
      </c>
      <c r="O699" s="7">
        <f>IF(G699="","",F699/G699)</f>
        <v/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4">
        <f>IF(SUMIFS('Daily NSE Equity Cash'!$H:$H,'Daily NSE Equity Cash'!$A:$A,$A700)=0,"",SUMIFS('Daily NSE Equity Cash'!$H:$H,'Daily NSE Equity Cash'!$A:$A,$A700))</f>
        <v/>
      </c>
      <c r="F700" s="4">
        <f>IF(SUMIFS('Daily BSE Equity Cash'!$H:$H,'Daily BSE Equity Cash'!$A:$A,$A700)=0,"",SUMIFS('Daily BSE Equity Cash'!$H:$H,'Daily BSE Equity Cash'!$A:$A,$A700))</f>
        <v/>
      </c>
      <c r="G700" s="4">
        <f>IF(OR(E700="",F700=""),"",E700+F700)</f>
        <v/>
      </c>
      <c r="H700" s="7">
        <f>IFERROR(IF(OR(E700="",INDEX(E:E,MATCH(DATE(YEAR($A700)-1,MONTH($A700),DAY($A700)),$A:$A,0))=""),"",E700/INDEX(E:E,MATCH(DATE(YEAR($A700)-1,MONTH($A700),DAY($A700)),$A:$A,0))-1),"")</f>
        <v/>
      </c>
      <c r="I700" s="7">
        <f>IFERROR(IF(OR(F700="",INDEX(F:F,MATCH(DATE(YEAR($A700)-1,MONTH($A700),DAY($A700)),$A:$A,0))=""),"",F700/INDEX(F:F,MATCH(DATE(YEAR($A700)-1,MONTH($A700),DAY($A700)),$A:$A,0))-1),"")</f>
        <v/>
      </c>
      <c r="J700" s="7">
        <f>IFERROR(IF(OR(G700="",INDEX(G:G,MATCH(DATE(YEAR($A700)-1,MONTH($A700),DAY($A700)),$A:$A,0))=""),"",G700/INDEX(G:G,MATCH(DATE(YEAR($A700)-1,MONTH($A700),DAY($A700)),$A:$A,0))-1),"")</f>
        <v/>
      </c>
      <c r="K700" s="7">
        <f>IF(OR(E700="",E699=""),"",E700/E699-1)</f>
        <v/>
      </c>
      <c r="L700" s="7">
        <f>IF(OR(F700="",F699=""),"",F700/F699-1)</f>
        <v/>
      </c>
      <c r="M700" s="7">
        <f>IF(OR(G700="",G699=""),"",G700/G699-1)</f>
        <v/>
      </c>
      <c r="N700" s="7">
        <f>IF(G700="","",E700/G700)</f>
        <v/>
      </c>
      <c r="O700" s="7">
        <f>IF(G700="","",F700/G700)</f>
        <v/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4">
        <f>IF(SUMIFS('Daily NSE Equity Cash'!$H:$H,'Daily NSE Equity Cash'!$A:$A,$A701)=0,"",SUMIFS('Daily NSE Equity Cash'!$H:$H,'Daily NSE Equity Cash'!$A:$A,$A701))</f>
        <v/>
      </c>
      <c r="F701" s="4">
        <f>IF(SUMIFS('Daily BSE Equity Cash'!$H:$H,'Daily BSE Equity Cash'!$A:$A,$A701)=0,"",SUMIFS('Daily BSE Equity Cash'!$H:$H,'Daily BSE Equity Cash'!$A:$A,$A701))</f>
        <v/>
      </c>
      <c r="G701" s="4">
        <f>IF(OR(E701="",F701=""),"",E701+F701)</f>
        <v/>
      </c>
      <c r="H701" s="7">
        <f>IFERROR(IF(OR(E701="",INDEX(E:E,MATCH(DATE(YEAR($A701)-1,MONTH($A701),DAY($A701)),$A:$A,0))=""),"",E701/INDEX(E:E,MATCH(DATE(YEAR($A701)-1,MONTH($A701),DAY($A701)),$A:$A,0))-1),"")</f>
        <v/>
      </c>
      <c r="I701" s="7">
        <f>IFERROR(IF(OR(F701="",INDEX(F:F,MATCH(DATE(YEAR($A701)-1,MONTH($A701),DAY($A701)),$A:$A,0))=""),"",F701/INDEX(F:F,MATCH(DATE(YEAR($A701)-1,MONTH($A701),DAY($A701)),$A:$A,0))-1),"")</f>
        <v/>
      </c>
      <c r="J701" s="7">
        <f>IFERROR(IF(OR(G701="",INDEX(G:G,MATCH(DATE(YEAR($A701)-1,MONTH($A701),DAY($A701)),$A:$A,0))=""),"",G701/INDEX(G:G,MATCH(DATE(YEAR($A701)-1,MONTH($A701),DAY($A701)),$A:$A,0))-1),"")</f>
        <v/>
      </c>
      <c r="K701" s="7">
        <f>IF(OR(E701="",E700=""),"",E701/E700-1)</f>
        <v/>
      </c>
      <c r="L701" s="7">
        <f>IF(OR(F701="",F700=""),"",F701/F700-1)</f>
        <v/>
      </c>
      <c r="M701" s="7">
        <f>IF(OR(G701="",G700=""),"",G701/G700-1)</f>
        <v/>
      </c>
      <c r="N701" s="7">
        <f>IF(G701="","",E701/G701)</f>
        <v/>
      </c>
      <c r="O701" s="7">
        <f>IF(G701="","",F701/G701)</f>
        <v/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4">
        <f>IF(SUMIFS('Daily NSE Equity Cash'!$H:$H,'Daily NSE Equity Cash'!$A:$A,$A702)=0,"",SUMIFS('Daily NSE Equity Cash'!$H:$H,'Daily NSE Equity Cash'!$A:$A,$A702))</f>
        <v/>
      </c>
      <c r="F702" s="4">
        <f>IF(SUMIFS('Daily BSE Equity Cash'!$H:$H,'Daily BSE Equity Cash'!$A:$A,$A702)=0,"",SUMIFS('Daily BSE Equity Cash'!$H:$H,'Daily BSE Equity Cash'!$A:$A,$A702))</f>
        <v/>
      </c>
      <c r="G702" s="4">
        <f>IF(OR(E702="",F702=""),"",E702+F702)</f>
        <v/>
      </c>
      <c r="H702" s="7">
        <f>IFERROR(IF(OR(E702="",INDEX(E:E,MATCH(DATE(YEAR($A702)-1,MONTH($A702),DAY($A702)),$A:$A,0))=""),"",E702/INDEX(E:E,MATCH(DATE(YEAR($A702)-1,MONTH($A702),DAY($A702)),$A:$A,0))-1),"")</f>
        <v/>
      </c>
      <c r="I702" s="7">
        <f>IFERROR(IF(OR(F702="",INDEX(F:F,MATCH(DATE(YEAR($A702)-1,MONTH($A702),DAY($A702)),$A:$A,0))=""),"",F702/INDEX(F:F,MATCH(DATE(YEAR($A702)-1,MONTH($A702),DAY($A702)),$A:$A,0))-1),"")</f>
        <v/>
      </c>
      <c r="J702" s="7">
        <f>IFERROR(IF(OR(G702="",INDEX(G:G,MATCH(DATE(YEAR($A702)-1,MONTH($A702),DAY($A702)),$A:$A,0))=""),"",G702/INDEX(G:G,MATCH(DATE(YEAR($A702)-1,MONTH($A702),DAY($A702)),$A:$A,0))-1),"")</f>
        <v/>
      </c>
      <c r="K702" s="7">
        <f>IF(OR(E702="",E701=""),"",E702/E701-1)</f>
        <v/>
      </c>
      <c r="L702" s="7">
        <f>IF(OR(F702="",F701=""),"",F702/F701-1)</f>
        <v/>
      </c>
      <c r="M702" s="7">
        <f>IF(OR(G702="",G701=""),"",G702/G701-1)</f>
        <v/>
      </c>
      <c r="N702" s="7">
        <f>IF(G702="","",E702/G702)</f>
        <v/>
      </c>
      <c r="O702" s="7">
        <f>IF(G702="","",F702/G702)</f>
        <v/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4">
        <f>IF(SUMIFS('Daily NSE Equity Cash'!$H:$H,'Daily NSE Equity Cash'!$A:$A,$A703)=0,"",SUMIFS('Daily NSE Equity Cash'!$H:$H,'Daily NSE Equity Cash'!$A:$A,$A703))</f>
        <v/>
      </c>
      <c r="F703" s="4">
        <f>IF(SUMIFS('Daily BSE Equity Cash'!$H:$H,'Daily BSE Equity Cash'!$A:$A,$A703)=0,"",SUMIFS('Daily BSE Equity Cash'!$H:$H,'Daily BSE Equity Cash'!$A:$A,$A703))</f>
        <v/>
      </c>
      <c r="G703" s="4">
        <f>IF(OR(E703="",F703=""),"",E703+F703)</f>
        <v/>
      </c>
      <c r="H703" s="7">
        <f>IFERROR(IF(OR(E703="",INDEX(E:E,MATCH(DATE(YEAR($A703)-1,MONTH($A703),DAY($A703)),$A:$A,0))=""),"",E703/INDEX(E:E,MATCH(DATE(YEAR($A703)-1,MONTH($A703),DAY($A703)),$A:$A,0))-1),"")</f>
        <v/>
      </c>
      <c r="I703" s="7">
        <f>IFERROR(IF(OR(F703="",INDEX(F:F,MATCH(DATE(YEAR($A703)-1,MONTH($A703),DAY($A703)),$A:$A,0))=""),"",F703/INDEX(F:F,MATCH(DATE(YEAR($A703)-1,MONTH($A703),DAY($A703)),$A:$A,0))-1),"")</f>
        <v/>
      </c>
      <c r="J703" s="7">
        <f>IFERROR(IF(OR(G703="",INDEX(G:G,MATCH(DATE(YEAR($A703)-1,MONTH($A703),DAY($A703)),$A:$A,0))=""),"",G703/INDEX(G:G,MATCH(DATE(YEAR($A703)-1,MONTH($A703),DAY($A703)),$A:$A,0))-1),"")</f>
        <v/>
      </c>
      <c r="K703" s="7">
        <f>IF(OR(E703="",E702=""),"",E703/E702-1)</f>
        <v/>
      </c>
      <c r="L703" s="7">
        <f>IF(OR(F703="",F702=""),"",F703/F702-1)</f>
        <v/>
      </c>
      <c r="M703" s="7">
        <f>IF(OR(G703="",G702=""),"",G703/G702-1)</f>
        <v/>
      </c>
      <c r="N703" s="7">
        <f>IF(G703="","",E703/G703)</f>
        <v/>
      </c>
      <c r="O703" s="7">
        <f>IF(G703="","",F703/G703)</f>
        <v/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4">
        <f>IF(SUMIFS('Daily NSE Equity Cash'!$H:$H,'Daily NSE Equity Cash'!$A:$A,$A704)=0,"",SUMIFS('Daily NSE Equity Cash'!$H:$H,'Daily NSE Equity Cash'!$A:$A,$A704))</f>
        <v/>
      </c>
      <c r="F704" s="4">
        <f>IF(SUMIFS('Daily BSE Equity Cash'!$H:$H,'Daily BSE Equity Cash'!$A:$A,$A704)=0,"",SUMIFS('Daily BSE Equity Cash'!$H:$H,'Daily BSE Equity Cash'!$A:$A,$A704))</f>
        <v/>
      </c>
      <c r="G704" s="4">
        <f>IF(OR(E704="",F704=""),"",E704+F704)</f>
        <v/>
      </c>
      <c r="H704" s="7">
        <f>IFERROR(IF(OR(E704="",INDEX(E:E,MATCH(DATE(YEAR($A704)-1,MONTH($A704),DAY($A704)),$A:$A,0))=""),"",E704/INDEX(E:E,MATCH(DATE(YEAR($A704)-1,MONTH($A704),DAY($A704)),$A:$A,0))-1),"")</f>
        <v/>
      </c>
      <c r="I704" s="7">
        <f>IFERROR(IF(OR(F704="",INDEX(F:F,MATCH(DATE(YEAR($A704)-1,MONTH($A704),DAY($A704)),$A:$A,0))=""),"",F704/INDEX(F:F,MATCH(DATE(YEAR($A704)-1,MONTH($A704),DAY($A704)),$A:$A,0))-1),"")</f>
        <v/>
      </c>
      <c r="J704" s="7">
        <f>IFERROR(IF(OR(G704="",INDEX(G:G,MATCH(DATE(YEAR($A704)-1,MONTH($A704),DAY($A704)),$A:$A,0))=""),"",G704/INDEX(G:G,MATCH(DATE(YEAR($A704)-1,MONTH($A704),DAY($A704)),$A:$A,0))-1),"")</f>
        <v/>
      </c>
      <c r="K704" s="7">
        <f>IF(OR(E704="",E703=""),"",E704/E703-1)</f>
        <v/>
      </c>
      <c r="L704" s="7">
        <f>IF(OR(F704="",F703=""),"",F704/F703-1)</f>
        <v/>
      </c>
      <c r="M704" s="7">
        <f>IF(OR(G704="",G703=""),"",G704/G703-1)</f>
        <v/>
      </c>
      <c r="N704" s="7">
        <f>IF(G704="","",E704/G704)</f>
        <v/>
      </c>
      <c r="O704" s="7">
        <f>IF(G704="","",F704/G704)</f>
        <v/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4">
        <f>IF(SUMIFS('Daily NSE Equity Cash'!$H:$H,'Daily NSE Equity Cash'!$A:$A,$A705)=0,"",SUMIFS('Daily NSE Equity Cash'!$H:$H,'Daily NSE Equity Cash'!$A:$A,$A705))</f>
        <v/>
      </c>
      <c r="F705" s="4">
        <f>IF(SUMIFS('Daily BSE Equity Cash'!$H:$H,'Daily BSE Equity Cash'!$A:$A,$A705)=0,"",SUMIFS('Daily BSE Equity Cash'!$H:$H,'Daily BSE Equity Cash'!$A:$A,$A705))</f>
        <v/>
      </c>
      <c r="G705" s="4">
        <f>IF(OR(E705="",F705=""),"",E705+F705)</f>
        <v/>
      </c>
      <c r="H705" s="7">
        <f>IFERROR(IF(OR(E705="",INDEX(E:E,MATCH(DATE(YEAR($A705)-1,MONTH($A705),DAY($A705)),$A:$A,0))=""),"",E705/INDEX(E:E,MATCH(DATE(YEAR($A705)-1,MONTH($A705),DAY($A705)),$A:$A,0))-1),"")</f>
        <v/>
      </c>
      <c r="I705" s="7">
        <f>IFERROR(IF(OR(F705="",INDEX(F:F,MATCH(DATE(YEAR($A705)-1,MONTH($A705),DAY($A705)),$A:$A,0))=""),"",F705/INDEX(F:F,MATCH(DATE(YEAR($A705)-1,MONTH($A705),DAY($A705)),$A:$A,0))-1),"")</f>
        <v/>
      </c>
      <c r="J705" s="7">
        <f>IFERROR(IF(OR(G705="",INDEX(G:G,MATCH(DATE(YEAR($A705)-1,MONTH($A705),DAY($A705)),$A:$A,0))=""),"",G705/INDEX(G:G,MATCH(DATE(YEAR($A705)-1,MONTH($A705),DAY($A705)),$A:$A,0))-1),"")</f>
        <v/>
      </c>
      <c r="K705" s="7">
        <f>IF(OR(E705="",E704=""),"",E705/E704-1)</f>
        <v/>
      </c>
      <c r="L705" s="7">
        <f>IF(OR(F705="",F704=""),"",F705/F704-1)</f>
        <v/>
      </c>
      <c r="M705" s="7">
        <f>IF(OR(G705="",G704=""),"",G705/G704-1)</f>
        <v/>
      </c>
      <c r="N705" s="7">
        <f>IF(G705="","",E705/G705)</f>
        <v/>
      </c>
      <c r="O705" s="7">
        <f>IF(G705="","",F705/G705)</f>
        <v/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4">
        <f>IF(SUMIFS('Daily NSE Equity Cash'!$H:$H,'Daily NSE Equity Cash'!$A:$A,$A706)=0,"",SUMIFS('Daily NSE Equity Cash'!$H:$H,'Daily NSE Equity Cash'!$A:$A,$A706))</f>
        <v/>
      </c>
      <c r="F706" s="4">
        <f>IF(SUMIFS('Daily BSE Equity Cash'!$H:$H,'Daily BSE Equity Cash'!$A:$A,$A706)=0,"",SUMIFS('Daily BSE Equity Cash'!$H:$H,'Daily BSE Equity Cash'!$A:$A,$A706))</f>
        <v/>
      </c>
      <c r="G706" s="4">
        <f>IF(OR(E706="",F706=""),"",E706+F706)</f>
        <v/>
      </c>
      <c r="H706" s="7">
        <f>IFERROR(IF(OR(E706="",INDEX(E:E,MATCH(DATE(YEAR($A706)-1,MONTH($A706),DAY($A706)),$A:$A,0))=""),"",E706/INDEX(E:E,MATCH(DATE(YEAR($A706)-1,MONTH($A706),DAY($A706)),$A:$A,0))-1),"")</f>
        <v/>
      </c>
      <c r="I706" s="7">
        <f>IFERROR(IF(OR(F706="",INDEX(F:F,MATCH(DATE(YEAR($A706)-1,MONTH($A706),DAY($A706)),$A:$A,0))=""),"",F706/INDEX(F:F,MATCH(DATE(YEAR($A706)-1,MONTH($A706),DAY($A706)),$A:$A,0))-1),"")</f>
        <v/>
      </c>
      <c r="J706" s="7">
        <f>IFERROR(IF(OR(G706="",INDEX(G:G,MATCH(DATE(YEAR($A706)-1,MONTH($A706),DAY($A706)),$A:$A,0))=""),"",G706/INDEX(G:G,MATCH(DATE(YEAR($A706)-1,MONTH($A706),DAY($A706)),$A:$A,0))-1),"")</f>
        <v/>
      </c>
      <c r="K706" s="7">
        <f>IF(OR(E706="",E705=""),"",E706/E705-1)</f>
        <v/>
      </c>
      <c r="L706" s="7">
        <f>IF(OR(F706="",F705=""),"",F706/F705-1)</f>
        <v/>
      </c>
      <c r="M706" s="7">
        <f>IF(OR(G706="",G705=""),"",G706/G705-1)</f>
        <v/>
      </c>
      <c r="N706" s="7">
        <f>IF(G706="","",E706/G706)</f>
        <v/>
      </c>
      <c r="O706" s="7">
        <f>IF(G706="","",F706/G706)</f>
        <v/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4">
        <f>IF(SUMIFS('Daily NSE Equity Cash'!$H:$H,'Daily NSE Equity Cash'!$A:$A,$A707)=0,"",SUMIFS('Daily NSE Equity Cash'!$H:$H,'Daily NSE Equity Cash'!$A:$A,$A707))</f>
        <v/>
      </c>
      <c r="F707" s="4">
        <f>IF(SUMIFS('Daily BSE Equity Cash'!$H:$H,'Daily BSE Equity Cash'!$A:$A,$A707)=0,"",SUMIFS('Daily BSE Equity Cash'!$H:$H,'Daily BSE Equity Cash'!$A:$A,$A707))</f>
        <v/>
      </c>
      <c r="G707" s="4">
        <f>IF(OR(E707="",F707=""),"",E707+F707)</f>
        <v/>
      </c>
      <c r="H707" s="7">
        <f>IFERROR(IF(OR(E707="",INDEX(E:E,MATCH(DATE(YEAR($A707)-1,MONTH($A707),DAY($A707)),$A:$A,0))=""),"",E707/INDEX(E:E,MATCH(DATE(YEAR($A707)-1,MONTH($A707),DAY($A707)),$A:$A,0))-1),"")</f>
        <v/>
      </c>
      <c r="I707" s="7">
        <f>IFERROR(IF(OR(F707="",INDEX(F:F,MATCH(DATE(YEAR($A707)-1,MONTH($A707),DAY($A707)),$A:$A,0))=""),"",F707/INDEX(F:F,MATCH(DATE(YEAR($A707)-1,MONTH($A707),DAY($A707)),$A:$A,0))-1),"")</f>
        <v/>
      </c>
      <c r="J707" s="7">
        <f>IFERROR(IF(OR(G707="",INDEX(G:G,MATCH(DATE(YEAR($A707)-1,MONTH($A707),DAY($A707)),$A:$A,0))=""),"",G707/INDEX(G:G,MATCH(DATE(YEAR($A707)-1,MONTH($A707),DAY($A707)),$A:$A,0))-1),"")</f>
        <v/>
      </c>
      <c r="K707" s="7">
        <f>IF(OR(E707="",E706=""),"",E707/E706-1)</f>
        <v/>
      </c>
      <c r="L707" s="7">
        <f>IF(OR(F707="",F706=""),"",F707/F706-1)</f>
        <v/>
      </c>
      <c r="M707" s="7">
        <f>IF(OR(G707="",G706=""),"",G707/G706-1)</f>
        <v/>
      </c>
      <c r="N707" s="7">
        <f>IF(G707="","",E707/G707)</f>
        <v/>
      </c>
      <c r="O707" s="7">
        <f>IF(G707="","",F707/G707)</f>
        <v/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4">
        <f>IF(SUMIFS('Daily NSE Equity Cash'!$H:$H,'Daily NSE Equity Cash'!$A:$A,$A708)=0,"",SUMIFS('Daily NSE Equity Cash'!$H:$H,'Daily NSE Equity Cash'!$A:$A,$A708))</f>
        <v/>
      </c>
      <c r="F708" s="4">
        <f>IF(SUMIFS('Daily BSE Equity Cash'!$H:$H,'Daily BSE Equity Cash'!$A:$A,$A708)=0,"",SUMIFS('Daily BSE Equity Cash'!$H:$H,'Daily BSE Equity Cash'!$A:$A,$A708))</f>
        <v/>
      </c>
      <c r="G708" s="4">
        <f>IF(OR(E708="",F708=""),"",E708+F708)</f>
        <v/>
      </c>
      <c r="H708" s="7">
        <f>IFERROR(IF(OR(E708="",INDEX(E:E,MATCH(DATE(YEAR($A708)-1,MONTH($A708),DAY($A708)),$A:$A,0))=""),"",E708/INDEX(E:E,MATCH(DATE(YEAR($A708)-1,MONTH($A708),DAY($A708)),$A:$A,0))-1),"")</f>
        <v/>
      </c>
      <c r="I708" s="7">
        <f>IFERROR(IF(OR(F708="",INDEX(F:F,MATCH(DATE(YEAR($A708)-1,MONTH($A708),DAY($A708)),$A:$A,0))=""),"",F708/INDEX(F:F,MATCH(DATE(YEAR($A708)-1,MONTH($A708),DAY($A708)),$A:$A,0))-1),"")</f>
        <v/>
      </c>
      <c r="J708" s="7">
        <f>IFERROR(IF(OR(G708="",INDEX(G:G,MATCH(DATE(YEAR($A708)-1,MONTH($A708),DAY($A708)),$A:$A,0))=""),"",G708/INDEX(G:G,MATCH(DATE(YEAR($A708)-1,MONTH($A708),DAY($A708)),$A:$A,0))-1),"")</f>
        <v/>
      </c>
      <c r="K708" s="7">
        <f>IF(OR(E708="",E707=""),"",E708/E707-1)</f>
        <v/>
      </c>
      <c r="L708" s="7">
        <f>IF(OR(F708="",F707=""),"",F708/F707-1)</f>
        <v/>
      </c>
      <c r="M708" s="7">
        <f>IF(OR(G708="",G707=""),"",G708/G707-1)</f>
        <v/>
      </c>
      <c r="N708" s="7">
        <f>IF(G708="","",E708/G708)</f>
        <v/>
      </c>
      <c r="O708" s="7">
        <f>IF(G708="","",F708/G708)</f>
        <v/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4">
        <f>IF(SUMIFS('Daily NSE Equity Cash'!$H:$H,'Daily NSE Equity Cash'!$A:$A,$A709)=0,"",SUMIFS('Daily NSE Equity Cash'!$H:$H,'Daily NSE Equity Cash'!$A:$A,$A709))</f>
        <v/>
      </c>
      <c r="F709" s="4">
        <f>IF(SUMIFS('Daily BSE Equity Cash'!$H:$H,'Daily BSE Equity Cash'!$A:$A,$A709)=0,"",SUMIFS('Daily BSE Equity Cash'!$H:$H,'Daily BSE Equity Cash'!$A:$A,$A709))</f>
        <v/>
      </c>
      <c r="G709" s="4">
        <f>IF(OR(E709="",F709=""),"",E709+F709)</f>
        <v/>
      </c>
      <c r="H709" s="7">
        <f>IFERROR(IF(OR(E709="",INDEX(E:E,MATCH(DATE(YEAR($A709)-1,MONTH($A709),DAY($A709)),$A:$A,0))=""),"",E709/INDEX(E:E,MATCH(DATE(YEAR($A709)-1,MONTH($A709),DAY($A709)),$A:$A,0))-1),"")</f>
        <v/>
      </c>
      <c r="I709" s="7">
        <f>IFERROR(IF(OR(F709="",INDEX(F:F,MATCH(DATE(YEAR($A709)-1,MONTH($A709),DAY($A709)),$A:$A,0))=""),"",F709/INDEX(F:F,MATCH(DATE(YEAR($A709)-1,MONTH($A709),DAY($A709)),$A:$A,0))-1),"")</f>
        <v/>
      </c>
      <c r="J709" s="7">
        <f>IFERROR(IF(OR(G709="",INDEX(G:G,MATCH(DATE(YEAR($A709)-1,MONTH($A709),DAY($A709)),$A:$A,0))=""),"",G709/INDEX(G:G,MATCH(DATE(YEAR($A709)-1,MONTH($A709),DAY($A709)),$A:$A,0))-1),"")</f>
        <v/>
      </c>
      <c r="K709" s="7">
        <f>IF(OR(E709="",E708=""),"",E709/E708-1)</f>
        <v/>
      </c>
      <c r="L709" s="7">
        <f>IF(OR(F709="",F708=""),"",F709/F708-1)</f>
        <v/>
      </c>
      <c r="M709" s="7">
        <f>IF(OR(G709="",G708=""),"",G709/G708-1)</f>
        <v/>
      </c>
      <c r="N709" s="7">
        <f>IF(G709="","",E709/G709)</f>
        <v/>
      </c>
      <c r="O709" s="7">
        <f>IF(G709="","",F709/G709)</f>
        <v/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4">
        <f>IF(SUMIFS('Daily NSE Equity Cash'!$H:$H,'Daily NSE Equity Cash'!$A:$A,$A710)=0,"",SUMIFS('Daily NSE Equity Cash'!$H:$H,'Daily NSE Equity Cash'!$A:$A,$A710))</f>
        <v/>
      </c>
      <c r="F710" s="4">
        <f>IF(SUMIFS('Daily BSE Equity Cash'!$H:$H,'Daily BSE Equity Cash'!$A:$A,$A710)=0,"",SUMIFS('Daily BSE Equity Cash'!$H:$H,'Daily BSE Equity Cash'!$A:$A,$A710))</f>
        <v/>
      </c>
      <c r="G710" s="4">
        <f>IF(OR(E710="",F710=""),"",E710+F710)</f>
        <v/>
      </c>
      <c r="H710" s="7">
        <f>IFERROR(IF(OR(E710="",INDEX(E:E,MATCH(DATE(YEAR($A710)-1,MONTH($A710),DAY($A710)),$A:$A,0))=""),"",E710/INDEX(E:E,MATCH(DATE(YEAR($A710)-1,MONTH($A710),DAY($A710)),$A:$A,0))-1),"")</f>
        <v/>
      </c>
      <c r="I710" s="7">
        <f>IFERROR(IF(OR(F710="",INDEX(F:F,MATCH(DATE(YEAR($A710)-1,MONTH($A710),DAY($A710)),$A:$A,0))=""),"",F710/INDEX(F:F,MATCH(DATE(YEAR($A710)-1,MONTH($A710),DAY($A710)),$A:$A,0))-1),"")</f>
        <v/>
      </c>
      <c r="J710" s="7">
        <f>IFERROR(IF(OR(G710="",INDEX(G:G,MATCH(DATE(YEAR($A710)-1,MONTH($A710),DAY($A710)),$A:$A,0))=""),"",G710/INDEX(G:G,MATCH(DATE(YEAR($A710)-1,MONTH($A710),DAY($A710)),$A:$A,0))-1),"")</f>
        <v/>
      </c>
      <c r="K710" s="7">
        <f>IF(OR(E710="",E709=""),"",E710/E709-1)</f>
        <v/>
      </c>
      <c r="L710" s="7">
        <f>IF(OR(F710="",F709=""),"",F710/F709-1)</f>
        <v/>
      </c>
      <c r="M710" s="7">
        <f>IF(OR(G710="",G709=""),"",G710/G709-1)</f>
        <v/>
      </c>
      <c r="N710" s="7">
        <f>IF(G710="","",E710/G710)</f>
        <v/>
      </c>
      <c r="O710" s="7">
        <f>IF(G710="","",F710/G710)</f>
        <v/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4">
        <f>IF(SUMIFS('Daily NSE Equity Cash'!$H:$H,'Daily NSE Equity Cash'!$A:$A,$A711)=0,"",SUMIFS('Daily NSE Equity Cash'!$H:$H,'Daily NSE Equity Cash'!$A:$A,$A711))</f>
        <v/>
      </c>
      <c r="F711" s="4">
        <f>IF(SUMIFS('Daily BSE Equity Cash'!$H:$H,'Daily BSE Equity Cash'!$A:$A,$A711)=0,"",SUMIFS('Daily BSE Equity Cash'!$H:$H,'Daily BSE Equity Cash'!$A:$A,$A711))</f>
        <v/>
      </c>
      <c r="G711" s="4">
        <f>IF(OR(E711="",F711=""),"",E711+F711)</f>
        <v/>
      </c>
      <c r="H711" s="7">
        <f>IFERROR(IF(OR(E711="",INDEX(E:E,MATCH(DATE(YEAR($A711)-1,MONTH($A711),DAY($A711)),$A:$A,0))=""),"",E711/INDEX(E:E,MATCH(DATE(YEAR($A711)-1,MONTH($A711),DAY($A711)),$A:$A,0))-1),"")</f>
        <v/>
      </c>
      <c r="I711" s="7">
        <f>IFERROR(IF(OR(F711="",INDEX(F:F,MATCH(DATE(YEAR($A711)-1,MONTH($A711),DAY($A711)),$A:$A,0))=""),"",F711/INDEX(F:F,MATCH(DATE(YEAR($A711)-1,MONTH($A711),DAY($A711)),$A:$A,0))-1),"")</f>
        <v/>
      </c>
      <c r="J711" s="7">
        <f>IFERROR(IF(OR(G711="",INDEX(G:G,MATCH(DATE(YEAR($A711)-1,MONTH($A711),DAY($A711)),$A:$A,0))=""),"",G711/INDEX(G:G,MATCH(DATE(YEAR($A711)-1,MONTH($A711),DAY($A711)),$A:$A,0))-1),"")</f>
        <v/>
      </c>
      <c r="K711" s="7">
        <f>IF(OR(E711="",E710=""),"",E711/E710-1)</f>
        <v/>
      </c>
      <c r="L711" s="7">
        <f>IF(OR(F711="",F710=""),"",F711/F710-1)</f>
        <v/>
      </c>
      <c r="M711" s="7">
        <f>IF(OR(G711="",G710=""),"",G711/G710-1)</f>
        <v/>
      </c>
      <c r="N711" s="7">
        <f>IF(G711="","",E711/G711)</f>
        <v/>
      </c>
      <c r="O711" s="7">
        <f>IF(G711="","",F711/G711)</f>
        <v/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4">
        <f>IF(SUMIFS('Daily NSE Equity Cash'!$H:$H,'Daily NSE Equity Cash'!$A:$A,$A712)=0,"",SUMIFS('Daily NSE Equity Cash'!$H:$H,'Daily NSE Equity Cash'!$A:$A,$A712))</f>
        <v/>
      </c>
      <c r="F712" s="4">
        <f>IF(SUMIFS('Daily BSE Equity Cash'!$H:$H,'Daily BSE Equity Cash'!$A:$A,$A712)=0,"",SUMIFS('Daily BSE Equity Cash'!$H:$H,'Daily BSE Equity Cash'!$A:$A,$A712))</f>
        <v/>
      </c>
      <c r="G712" s="4">
        <f>IF(OR(E712="",F712=""),"",E712+F712)</f>
        <v/>
      </c>
      <c r="H712" s="7">
        <f>IFERROR(IF(OR(E712="",INDEX(E:E,MATCH(DATE(YEAR($A712)-1,MONTH($A712),DAY($A712)),$A:$A,0))=""),"",E712/INDEX(E:E,MATCH(DATE(YEAR($A712)-1,MONTH($A712),DAY($A712)),$A:$A,0))-1),"")</f>
        <v/>
      </c>
      <c r="I712" s="7">
        <f>IFERROR(IF(OR(F712="",INDEX(F:F,MATCH(DATE(YEAR($A712)-1,MONTH($A712),DAY($A712)),$A:$A,0))=""),"",F712/INDEX(F:F,MATCH(DATE(YEAR($A712)-1,MONTH($A712),DAY($A712)),$A:$A,0))-1),"")</f>
        <v/>
      </c>
      <c r="J712" s="7">
        <f>IFERROR(IF(OR(G712="",INDEX(G:G,MATCH(DATE(YEAR($A712)-1,MONTH($A712),DAY($A712)),$A:$A,0))=""),"",G712/INDEX(G:G,MATCH(DATE(YEAR($A712)-1,MONTH($A712),DAY($A712)),$A:$A,0))-1),"")</f>
        <v/>
      </c>
      <c r="K712" s="7">
        <f>IF(OR(E712="",E711=""),"",E712/E711-1)</f>
        <v/>
      </c>
      <c r="L712" s="7">
        <f>IF(OR(F712="",F711=""),"",F712/F711-1)</f>
        <v/>
      </c>
      <c r="M712" s="7">
        <f>IF(OR(G712="",G711=""),"",G712/G711-1)</f>
        <v/>
      </c>
      <c r="N712" s="7">
        <f>IF(G712="","",E712/G712)</f>
        <v/>
      </c>
      <c r="O712" s="7">
        <f>IF(G712="","",F712/G712)</f>
        <v/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4">
        <f>IF(SUMIFS('Daily NSE Equity Cash'!$H:$H,'Daily NSE Equity Cash'!$A:$A,$A713)=0,"",SUMIFS('Daily NSE Equity Cash'!$H:$H,'Daily NSE Equity Cash'!$A:$A,$A713))</f>
        <v/>
      </c>
      <c r="F713" s="4">
        <f>IF(SUMIFS('Daily BSE Equity Cash'!$H:$H,'Daily BSE Equity Cash'!$A:$A,$A713)=0,"",SUMIFS('Daily BSE Equity Cash'!$H:$H,'Daily BSE Equity Cash'!$A:$A,$A713))</f>
        <v/>
      </c>
      <c r="G713" s="4">
        <f>IF(OR(E713="",F713=""),"",E713+F713)</f>
        <v/>
      </c>
      <c r="H713" s="7">
        <f>IFERROR(IF(OR(E713="",INDEX(E:E,MATCH(DATE(YEAR($A713)-1,MONTH($A713),DAY($A713)),$A:$A,0))=""),"",E713/INDEX(E:E,MATCH(DATE(YEAR($A713)-1,MONTH($A713),DAY($A713)),$A:$A,0))-1),"")</f>
        <v/>
      </c>
      <c r="I713" s="7">
        <f>IFERROR(IF(OR(F713="",INDEX(F:F,MATCH(DATE(YEAR($A713)-1,MONTH($A713),DAY($A713)),$A:$A,0))=""),"",F713/INDEX(F:F,MATCH(DATE(YEAR($A713)-1,MONTH($A713),DAY($A713)),$A:$A,0))-1),"")</f>
        <v/>
      </c>
      <c r="J713" s="7">
        <f>IFERROR(IF(OR(G713="",INDEX(G:G,MATCH(DATE(YEAR($A713)-1,MONTH($A713),DAY($A713)),$A:$A,0))=""),"",G713/INDEX(G:G,MATCH(DATE(YEAR($A713)-1,MONTH($A713),DAY($A713)),$A:$A,0))-1),"")</f>
        <v/>
      </c>
      <c r="K713" s="7">
        <f>IF(OR(E713="",E712=""),"",E713/E712-1)</f>
        <v/>
      </c>
      <c r="L713" s="7">
        <f>IF(OR(F713="",F712=""),"",F713/F712-1)</f>
        <v/>
      </c>
      <c r="M713" s="7">
        <f>IF(OR(G713="",G712=""),"",G713/G712-1)</f>
        <v/>
      </c>
      <c r="N713" s="7">
        <f>IF(G713="","",E713/G713)</f>
        <v/>
      </c>
      <c r="O713" s="7">
        <f>IF(G713="","",F713/G713)</f>
        <v/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4">
        <f>IF(SUMIFS('Daily NSE Equity Cash'!$H:$H,'Daily NSE Equity Cash'!$A:$A,$A714)=0,"",SUMIFS('Daily NSE Equity Cash'!$H:$H,'Daily NSE Equity Cash'!$A:$A,$A714))</f>
        <v/>
      </c>
      <c r="F714" s="4">
        <f>IF(SUMIFS('Daily BSE Equity Cash'!$H:$H,'Daily BSE Equity Cash'!$A:$A,$A714)=0,"",SUMIFS('Daily BSE Equity Cash'!$H:$H,'Daily BSE Equity Cash'!$A:$A,$A714))</f>
        <v/>
      </c>
      <c r="G714" s="4">
        <f>IF(OR(E714="",F714=""),"",E714+F714)</f>
        <v/>
      </c>
      <c r="H714" s="7">
        <f>IFERROR(IF(OR(E714="",INDEX(E:E,MATCH(DATE(YEAR($A714)-1,MONTH($A714),DAY($A714)),$A:$A,0))=""),"",E714/INDEX(E:E,MATCH(DATE(YEAR($A714)-1,MONTH($A714),DAY($A714)),$A:$A,0))-1),"")</f>
        <v/>
      </c>
      <c r="I714" s="7">
        <f>IFERROR(IF(OR(F714="",INDEX(F:F,MATCH(DATE(YEAR($A714)-1,MONTH($A714),DAY($A714)),$A:$A,0))=""),"",F714/INDEX(F:F,MATCH(DATE(YEAR($A714)-1,MONTH($A714),DAY($A714)),$A:$A,0))-1),"")</f>
        <v/>
      </c>
      <c r="J714" s="7">
        <f>IFERROR(IF(OR(G714="",INDEX(G:G,MATCH(DATE(YEAR($A714)-1,MONTH($A714),DAY($A714)),$A:$A,0))=""),"",G714/INDEX(G:G,MATCH(DATE(YEAR($A714)-1,MONTH($A714),DAY($A714)),$A:$A,0))-1),"")</f>
        <v/>
      </c>
      <c r="K714" s="7">
        <f>IF(OR(E714="",E713=""),"",E714/E713-1)</f>
        <v/>
      </c>
      <c r="L714" s="7">
        <f>IF(OR(F714="",F713=""),"",F714/F713-1)</f>
        <v/>
      </c>
      <c r="M714" s="7">
        <f>IF(OR(G714="",G713=""),"",G714/G713-1)</f>
        <v/>
      </c>
      <c r="N714" s="7">
        <f>IF(G714="","",E714/G714)</f>
        <v/>
      </c>
      <c r="O714" s="7">
        <f>IF(G714="","",F714/G714)</f>
        <v/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4">
        <f>IF(SUMIFS('Daily NSE Equity Cash'!$H:$H,'Daily NSE Equity Cash'!$A:$A,$A715)=0,"",SUMIFS('Daily NSE Equity Cash'!$H:$H,'Daily NSE Equity Cash'!$A:$A,$A715))</f>
        <v/>
      </c>
      <c r="F715" s="4">
        <f>IF(SUMIFS('Daily BSE Equity Cash'!$H:$H,'Daily BSE Equity Cash'!$A:$A,$A715)=0,"",SUMIFS('Daily BSE Equity Cash'!$H:$H,'Daily BSE Equity Cash'!$A:$A,$A715))</f>
        <v/>
      </c>
      <c r="G715" s="4">
        <f>IF(OR(E715="",F715=""),"",E715+F715)</f>
        <v/>
      </c>
      <c r="H715" s="7">
        <f>IFERROR(IF(OR(E715="",INDEX(E:E,MATCH(DATE(YEAR($A715)-1,MONTH($A715),DAY($A715)),$A:$A,0))=""),"",E715/INDEX(E:E,MATCH(DATE(YEAR($A715)-1,MONTH($A715),DAY($A715)),$A:$A,0))-1),"")</f>
        <v/>
      </c>
      <c r="I715" s="7">
        <f>IFERROR(IF(OR(F715="",INDEX(F:F,MATCH(DATE(YEAR($A715)-1,MONTH($A715),DAY($A715)),$A:$A,0))=""),"",F715/INDEX(F:F,MATCH(DATE(YEAR($A715)-1,MONTH($A715),DAY($A715)),$A:$A,0))-1),"")</f>
        <v/>
      </c>
      <c r="J715" s="7">
        <f>IFERROR(IF(OR(G715="",INDEX(G:G,MATCH(DATE(YEAR($A715)-1,MONTH($A715),DAY($A715)),$A:$A,0))=""),"",G715/INDEX(G:G,MATCH(DATE(YEAR($A715)-1,MONTH($A715),DAY($A715)),$A:$A,0))-1),"")</f>
        <v/>
      </c>
      <c r="K715" s="7">
        <f>IF(OR(E715="",E714=""),"",E715/E714-1)</f>
        <v/>
      </c>
      <c r="L715" s="7">
        <f>IF(OR(F715="",F714=""),"",F715/F714-1)</f>
        <v/>
      </c>
      <c r="M715" s="7">
        <f>IF(OR(G715="",G714=""),"",G715/G714-1)</f>
        <v/>
      </c>
      <c r="N715" s="7">
        <f>IF(G715="","",E715/G715)</f>
        <v/>
      </c>
      <c r="O715" s="7">
        <f>IF(G715="","",F715/G715)</f>
        <v/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4">
        <f>IF(SUMIFS('Daily NSE Equity Cash'!$H:$H,'Daily NSE Equity Cash'!$A:$A,$A716)=0,"",SUMIFS('Daily NSE Equity Cash'!$H:$H,'Daily NSE Equity Cash'!$A:$A,$A716))</f>
        <v/>
      </c>
      <c r="F716" s="4">
        <f>IF(SUMIFS('Daily BSE Equity Cash'!$H:$H,'Daily BSE Equity Cash'!$A:$A,$A716)=0,"",SUMIFS('Daily BSE Equity Cash'!$H:$H,'Daily BSE Equity Cash'!$A:$A,$A716))</f>
        <v/>
      </c>
      <c r="G716" s="4">
        <f>IF(OR(E716="",F716=""),"",E716+F716)</f>
        <v/>
      </c>
      <c r="H716" s="7">
        <f>IFERROR(IF(OR(E716="",INDEX(E:E,MATCH(DATE(YEAR($A716)-1,MONTH($A716),DAY($A716)),$A:$A,0))=""),"",E716/INDEX(E:E,MATCH(DATE(YEAR($A716)-1,MONTH($A716),DAY($A716)),$A:$A,0))-1),"")</f>
        <v/>
      </c>
      <c r="I716" s="7">
        <f>IFERROR(IF(OR(F716="",INDEX(F:F,MATCH(DATE(YEAR($A716)-1,MONTH($A716),DAY($A716)),$A:$A,0))=""),"",F716/INDEX(F:F,MATCH(DATE(YEAR($A716)-1,MONTH($A716),DAY($A716)),$A:$A,0))-1),"")</f>
        <v/>
      </c>
      <c r="J716" s="7">
        <f>IFERROR(IF(OR(G716="",INDEX(G:G,MATCH(DATE(YEAR($A716)-1,MONTH($A716),DAY($A716)),$A:$A,0))=""),"",G716/INDEX(G:G,MATCH(DATE(YEAR($A716)-1,MONTH($A716),DAY($A716)),$A:$A,0))-1),"")</f>
        <v/>
      </c>
      <c r="K716" s="7">
        <f>IF(OR(E716="",E715=""),"",E716/E715-1)</f>
        <v/>
      </c>
      <c r="L716" s="7">
        <f>IF(OR(F716="",F715=""),"",F716/F715-1)</f>
        <v/>
      </c>
      <c r="M716" s="7">
        <f>IF(OR(G716="",G715=""),"",G716/G715-1)</f>
        <v/>
      </c>
      <c r="N716" s="7">
        <f>IF(G716="","",E716/G716)</f>
        <v/>
      </c>
      <c r="O716" s="7">
        <f>IF(G716="","",F716/G716)</f>
        <v/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4">
        <f>IF(SUMIFS('Daily NSE Equity Cash'!$H:$H,'Daily NSE Equity Cash'!$A:$A,$A717)=0,"",SUMIFS('Daily NSE Equity Cash'!$H:$H,'Daily NSE Equity Cash'!$A:$A,$A717))</f>
        <v/>
      </c>
      <c r="F717" s="4">
        <f>IF(SUMIFS('Daily BSE Equity Cash'!$H:$H,'Daily BSE Equity Cash'!$A:$A,$A717)=0,"",SUMIFS('Daily BSE Equity Cash'!$H:$H,'Daily BSE Equity Cash'!$A:$A,$A717))</f>
        <v/>
      </c>
      <c r="G717" s="4">
        <f>IF(OR(E717="",F717=""),"",E717+F717)</f>
        <v/>
      </c>
      <c r="H717" s="7">
        <f>IFERROR(IF(OR(E717="",INDEX(E:E,MATCH(DATE(YEAR($A717)-1,MONTH($A717),DAY($A717)),$A:$A,0))=""),"",E717/INDEX(E:E,MATCH(DATE(YEAR($A717)-1,MONTH($A717),DAY($A717)),$A:$A,0))-1),"")</f>
        <v/>
      </c>
      <c r="I717" s="7">
        <f>IFERROR(IF(OR(F717="",INDEX(F:F,MATCH(DATE(YEAR($A717)-1,MONTH($A717),DAY($A717)),$A:$A,0))=""),"",F717/INDEX(F:F,MATCH(DATE(YEAR($A717)-1,MONTH($A717),DAY($A717)),$A:$A,0))-1),"")</f>
        <v/>
      </c>
      <c r="J717" s="7">
        <f>IFERROR(IF(OR(G717="",INDEX(G:G,MATCH(DATE(YEAR($A717)-1,MONTH($A717),DAY($A717)),$A:$A,0))=""),"",G717/INDEX(G:G,MATCH(DATE(YEAR($A717)-1,MONTH($A717),DAY($A717)),$A:$A,0))-1),"")</f>
        <v/>
      </c>
      <c r="K717" s="7">
        <f>IF(OR(E717="",E716=""),"",E717/E716-1)</f>
        <v/>
      </c>
      <c r="L717" s="7">
        <f>IF(OR(F717="",F716=""),"",F717/F716-1)</f>
        <v/>
      </c>
      <c r="M717" s="7">
        <f>IF(OR(G717="",G716=""),"",G717/G716-1)</f>
        <v/>
      </c>
      <c r="N717" s="7">
        <f>IF(G717="","",E717/G717)</f>
        <v/>
      </c>
      <c r="O717" s="7">
        <f>IF(G717="","",F717/G717)</f>
        <v/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4">
        <f>IF(SUMIFS('Daily NSE Equity Cash'!$H:$H,'Daily NSE Equity Cash'!$A:$A,$A718)=0,"",SUMIFS('Daily NSE Equity Cash'!$H:$H,'Daily NSE Equity Cash'!$A:$A,$A718))</f>
        <v/>
      </c>
      <c r="F718" s="4">
        <f>IF(SUMIFS('Daily BSE Equity Cash'!$H:$H,'Daily BSE Equity Cash'!$A:$A,$A718)=0,"",SUMIFS('Daily BSE Equity Cash'!$H:$H,'Daily BSE Equity Cash'!$A:$A,$A718))</f>
        <v/>
      </c>
      <c r="G718" s="4">
        <f>IF(OR(E718="",F718=""),"",E718+F718)</f>
        <v/>
      </c>
      <c r="H718" s="7">
        <f>IFERROR(IF(OR(E718="",INDEX(E:E,MATCH(DATE(YEAR($A718)-1,MONTH($A718),DAY($A718)),$A:$A,0))=""),"",E718/INDEX(E:E,MATCH(DATE(YEAR($A718)-1,MONTH($A718),DAY($A718)),$A:$A,0))-1),"")</f>
        <v/>
      </c>
      <c r="I718" s="7">
        <f>IFERROR(IF(OR(F718="",INDEX(F:F,MATCH(DATE(YEAR($A718)-1,MONTH($A718),DAY($A718)),$A:$A,0))=""),"",F718/INDEX(F:F,MATCH(DATE(YEAR($A718)-1,MONTH($A718),DAY($A718)),$A:$A,0))-1),"")</f>
        <v/>
      </c>
      <c r="J718" s="7">
        <f>IFERROR(IF(OR(G718="",INDEX(G:G,MATCH(DATE(YEAR($A718)-1,MONTH($A718),DAY($A718)),$A:$A,0))=""),"",G718/INDEX(G:G,MATCH(DATE(YEAR($A718)-1,MONTH($A718),DAY($A718)),$A:$A,0))-1),"")</f>
        <v/>
      </c>
      <c r="K718" s="7">
        <f>IF(OR(E718="",E717=""),"",E718/E717-1)</f>
        <v/>
      </c>
      <c r="L718" s="7">
        <f>IF(OR(F718="",F717=""),"",F718/F717-1)</f>
        <v/>
      </c>
      <c r="M718" s="7">
        <f>IF(OR(G718="",G717=""),"",G718/G717-1)</f>
        <v/>
      </c>
      <c r="N718" s="7">
        <f>IF(G718="","",E718/G718)</f>
        <v/>
      </c>
      <c r="O718" s="7">
        <f>IF(G718="","",F718/G718)</f>
        <v/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4">
        <f>IF(SUMIFS('Daily NSE Equity Cash'!$H:$H,'Daily NSE Equity Cash'!$A:$A,$A719)=0,"",SUMIFS('Daily NSE Equity Cash'!$H:$H,'Daily NSE Equity Cash'!$A:$A,$A719))</f>
        <v/>
      </c>
      <c r="F719" s="4">
        <f>IF(SUMIFS('Daily BSE Equity Cash'!$H:$H,'Daily BSE Equity Cash'!$A:$A,$A719)=0,"",SUMIFS('Daily BSE Equity Cash'!$H:$H,'Daily BSE Equity Cash'!$A:$A,$A719))</f>
        <v/>
      </c>
      <c r="G719" s="4">
        <f>IF(OR(E719="",F719=""),"",E719+F719)</f>
        <v/>
      </c>
      <c r="H719" s="7">
        <f>IFERROR(IF(OR(E719="",INDEX(E:E,MATCH(DATE(YEAR($A719)-1,MONTH($A719),DAY($A719)),$A:$A,0))=""),"",E719/INDEX(E:E,MATCH(DATE(YEAR($A719)-1,MONTH($A719),DAY($A719)),$A:$A,0))-1),"")</f>
        <v/>
      </c>
      <c r="I719" s="7">
        <f>IFERROR(IF(OR(F719="",INDEX(F:F,MATCH(DATE(YEAR($A719)-1,MONTH($A719),DAY($A719)),$A:$A,0))=""),"",F719/INDEX(F:F,MATCH(DATE(YEAR($A719)-1,MONTH($A719),DAY($A719)),$A:$A,0))-1),"")</f>
        <v/>
      </c>
      <c r="J719" s="7">
        <f>IFERROR(IF(OR(G719="",INDEX(G:G,MATCH(DATE(YEAR($A719)-1,MONTH($A719),DAY($A719)),$A:$A,0))=""),"",G719/INDEX(G:G,MATCH(DATE(YEAR($A719)-1,MONTH($A719),DAY($A719)),$A:$A,0))-1),"")</f>
        <v/>
      </c>
      <c r="K719" s="7">
        <f>IF(OR(E719="",E718=""),"",E719/E718-1)</f>
        <v/>
      </c>
      <c r="L719" s="7">
        <f>IF(OR(F719="",F718=""),"",F719/F718-1)</f>
        <v/>
      </c>
      <c r="M719" s="7">
        <f>IF(OR(G719="",G718=""),"",G719/G718-1)</f>
        <v/>
      </c>
      <c r="N719" s="7">
        <f>IF(G719="","",E719/G719)</f>
        <v/>
      </c>
      <c r="O719" s="7">
        <f>IF(G719="","",F719/G719)</f>
        <v/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4">
        <f>IF(SUMIFS('Daily NSE Equity Cash'!$H:$H,'Daily NSE Equity Cash'!$A:$A,$A720)=0,"",SUMIFS('Daily NSE Equity Cash'!$H:$H,'Daily NSE Equity Cash'!$A:$A,$A720))</f>
        <v/>
      </c>
      <c r="F720" s="4">
        <f>IF(SUMIFS('Daily BSE Equity Cash'!$H:$H,'Daily BSE Equity Cash'!$A:$A,$A720)=0,"",SUMIFS('Daily BSE Equity Cash'!$H:$H,'Daily BSE Equity Cash'!$A:$A,$A720))</f>
        <v/>
      </c>
      <c r="G720" s="4">
        <f>IF(OR(E720="",F720=""),"",E720+F720)</f>
        <v/>
      </c>
      <c r="H720" s="7">
        <f>IFERROR(IF(OR(E720="",INDEX(E:E,MATCH(DATE(YEAR($A720)-1,MONTH($A720),DAY($A720)),$A:$A,0))=""),"",E720/INDEX(E:E,MATCH(DATE(YEAR($A720)-1,MONTH($A720),DAY($A720)),$A:$A,0))-1),"")</f>
        <v/>
      </c>
      <c r="I720" s="7">
        <f>IFERROR(IF(OR(F720="",INDEX(F:F,MATCH(DATE(YEAR($A720)-1,MONTH($A720),DAY($A720)),$A:$A,0))=""),"",F720/INDEX(F:F,MATCH(DATE(YEAR($A720)-1,MONTH($A720),DAY($A720)),$A:$A,0))-1),"")</f>
        <v/>
      </c>
      <c r="J720" s="7">
        <f>IFERROR(IF(OR(G720="",INDEX(G:G,MATCH(DATE(YEAR($A720)-1,MONTH($A720),DAY($A720)),$A:$A,0))=""),"",G720/INDEX(G:G,MATCH(DATE(YEAR($A720)-1,MONTH($A720),DAY($A720)),$A:$A,0))-1),"")</f>
        <v/>
      </c>
      <c r="K720" s="7">
        <f>IF(OR(E720="",E719=""),"",E720/E719-1)</f>
        <v/>
      </c>
      <c r="L720" s="7">
        <f>IF(OR(F720="",F719=""),"",F720/F719-1)</f>
        <v/>
      </c>
      <c r="M720" s="7">
        <f>IF(OR(G720="",G719=""),"",G720/G719-1)</f>
        <v/>
      </c>
      <c r="N720" s="7">
        <f>IF(G720="","",E720/G720)</f>
        <v/>
      </c>
      <c r="O720" s="7">
        <f>IF(G720="","",F720/G720)</f>
        <v/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4">
        <f>IF(SUMIFS('Daily NSE Equity Cash'!$H:$H,'Daily NSE Equity Cash'!$A:$A,$A721)=0,"",SUMIFS('Daily NSE Equity Cash'!$H:$H,'Daily NSE Equity Cash'!$A:$A,$A721))</f>
        <v/>
      </c>
      <c r="F721" s="4">
        <f>IF(SUMIFS('Daily BSE Equity Cash'!$H:$H,'Daily BSE Equity Cash'!$A:$A,$A721)=0,"",SUMIFS('Daily BSE Equity Cash'!$H:$H,'Daily BSE Equity Cash'!$A:$A,$A721))</f>
        <v/>
      </c>
      <c r="G721" s="4">
        <f>IF(OR(E721="",F721=""),"",E721+F721)</f>
        <v/>
      </c>
      <c r="H721" s="7">
        <f>IFERROR(IF(OR(E721="",INDEX(E:E,MATCH(DATE(YEAR($A721)-1,MONTH($A721),DAY($A721)),$A:$A,0))=""),"",E721/INDEX(E:E,MATCH(DATE(YEAR($A721)-1,MONTH($A721),DAY($A721)),$A:$A,0))-1),"")</f>
        <v/>
      </c>
      <c r="I721" s="7">
        <f>IFERROR(IF(OR(F721="",INDEX(F:F,MATCH(DATE(YEAR($A721)-1,MONTH($A721),DAY($A721)),$A:$A,0))=""),"",F721/INDEX(F:F,MATCH(DATE(YEAR($A721)-1,MONTH($A721),DAY($A721)),$A:$A,0))-1),"")</f>
        <v/>
      </c>
      <c r="J721" s="7">
        <f>IFERROR(IF(OR(G721="",INDEX(G:G,MATCH(DATE(YEAR($A721)-1,MONTH($A721),DAY($A721)),$A:$A,0))=""),"",G721/INDEX(G:G,MATCH(DATE(YEAR($A721)-1,MONTH($A721),DAY($A721)),$A:$A,0))-1),"")</f>
        <v/>
      </c>
      <c r="K721" s="7">
        <f>IF(OR(E721="",E720=""),"",E721/E720-1)</f>
        <v/>
      </c>
      <c r="L721" s="7">
        <f>IF(OR(F721="",F720=""),"",F721/F720-1)</f>
        <v/>
      </c>
      <c r="M721" s="7">
        <f>IF(OR(G721="",G720=""),"",G721/G720-1)</f>
        <v/>
      </c>
      <c r="N721" s="7">
        <f>IF(G721="","",E721/G721)</f>
        <v/>
      </c>
      <c r="O721" s="7">
        <f>IF(G721="","",F721/G721)</f>
        <v/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4">
        <f>IF(SUMIFS('Daily NSE Equity Cash'!$H:$H,'Daily NSE Equity Cash'!$A:$A,$A722)=0,"",SUMIFS('Daily NSE Equity Cash'!$H:$H,'Daily NSE Equity Cash'!$A:$A,$A722))</f>
        <v/>
      </c>
      <c r="F722" s="4">
        <f>IF(SUMIFS('Daily BSE Equity Cash'!$H:$H,'Daily BSE Equity Cash'!$A:$A,$A722)=0,"",SUMIFS('Daily BSE Equity Cash'!$H:$H,'Daily BSE Equity Cash'!$A:$A,$A722))</f>
        <v/>
      </c>
      <c r="G722" s="4">
        <f>IF(OR(E722="",F722=""),"",E722+F722)</f>
        <v/>
      </c>
      <c r="H722" s="7">
        <f>IFERROR(IF(OR(E722="",INDEX(E:E,MATCH(DATE(YEAR($A722)-1,MONTH($A722),DAY($A722)),$A:$A,0))=""),"",E722/INDEX(E:E,MATCH(DATE(YEAR($A722)-1,MONTH($A722),DAY($A722)),$A:$A,0))-1),"")</f>
        <v/>
      </c>
      <c r="I722" s="7">
        <f>IFERROR(IF(OR(F722="",INDEX(F:F,MATCH(DATE(YEAR($A722)-1,MONTH($A722),DAY($A722)),$A:$A,0))=""),"",F722/INDEX(F:F,MATCH(DATE(YEAR($A722)-1,MONTH($A722),DAY($A722)),$A:$A,0))-1),"")</f>
        <v/>
      </c>
      <c r="J722" s="7">
        <f>IFERROR(IF(OR(G722="",INDEX(G:G,MATCH(DATE(YEAR($A722)-1,MONTH($A722),DAY($A722)),$A:$A,0))=""),"",G722/INDEX(G:G,MATCH(DATE(YEAR($A722)-1,MONTH($A722),DAY($A722)),$A:$A,0))-1),"")</f>
        <v/>
      </c>
      <c r="K722" s="7">
        <f>IF(OR(E722="",E721=""),"",E722/E721-1)</f>
        <v/>
      </c>
      <c r="L722" s="7">
        <f>IF(OR(F722="",F721=""),"",F722/F721-1)</f>
        <v/>
      </c>
      <c r="M722" s="7">
        <f>IF(OR(G722="",G721=""),"",G722/G721-1)</f>
        <v/>
      </c>
      <c r="N722" s="7">
        <f>IF(G722="","",E722/G722)</f>
        <v/>
      </c>
      <c r="O722" s="7">
        <f>IF(G722="","",F722/G722)</f>
        <v/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4">
        <f>IF(SUMIFS('Daily NSE Equity Cash'!$H:$H,'Daily NSE Equity Cash'!$A:$A,$A723)=0,"",SUMIFS('Daily NSE Equity Cash'!$H:$H,'Daily NSE Equity Cash'!$A:$A,$A723))</f>
        <v/>
      </c>
      <c r="F723" s="4">
        <f>IF(SUMIFS('Daily BSE Equity Cash'!$H:$H,'Daily BSE Equity Cash'!$A:$A,$A723)=0,"",SUMIFS('Daily BSE Equity Cash'!$H:$H,'Daily BSE Equity Cash'!$A:$A,$A723))</f>
        <v/>
      </c>
      <c r="G723" s="4">
        <f>IF(OR(E723="",F723=""),"",E723+F723)</f>
        <v/>
      </c>
      <c r="H723" s="7">
        <f>IFERROR(IF(OR(E723="",INDEX(E:E,MATCH(DATE(YEAR($A723)-1,MONTH($A723),DAY($A723)),$A:$A,0))=""),"",E723/INDEX(E:E,MATCH(DATE(YEAR($A723)-1,MONTH($A723),DAY($A723)),$A:$A,0))-1),"")</f>
        <v/>
      </c>
      <c r="I723" s="7">
        <f>IFERROR(IF(OR(F723="",INDEX(F:F,MATCH(DATE(YEAR($A723)-1,MONTH($A723),DAY($A723)),$A:$A,0))=""),"",F723/INDEX(F:F,MATCH(DATE(YEAR($A723)-1,MONTH($A723),DAY($A723)),$A:$A,0))-1),"")</f>
        <v/>
      </c>
      <c r="J723" s="7">
        <f>IFERROR(IF(OR(G723="",INDEX(G:G,MATCH(DATE(YEAR($A723)-1,MONTH($A723),DAY($A723)),$A:$A,0))=""),"",G723/INDEX(G:G,MATCH(DATE(YEAR($A723)-1,MONTH($A723),DAY($A723)),$A:$A,0))-1),"")</f>
        <v/>
      </c>
      <c r="K723" s="7">
        <f>IF(OR(E723="",E722=""),"",E723/E722-1)</f>
        <v/>
      </c>
      <c r="L723" s="7">
        <f>IF(OR(F723="",F722=""),"",F723/F722-1)</f>
        <v/>
      </c>
      <c r="M723" s="7">
        <f>IF(OR(G723="",G722=""),"",G723/G722-1)</f>
        <v/>
      </c>
      <c r="N723" s="7">
        <f>IF(G723="","",E723/G723)</f>
        <v/>
      </c>
      <c r="O723" s="7">
        <f>IF(G723="","",F723/G723)</f>
        <v/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4">
        <f>IF(SUMIFS('Daily NSE Equity Cash'!$H:$H,'Daily NSE Equity Cash'!$A:$A,$A724)=0,"",SUMIFS('Daily NSE Equity Cash'!$H:$H,'Daily NSE Equity Cash'!$A:$A,$A724))</f>
        <v/>
      </c>
      <c r="F724" s="4">
        <f>IF(SUMIFS('Daily BSE Equity Cash'!$H:$H,'Daily BSE Equity Cash'!$A:$A,$A724)=0,"",SUMIFS('Daily BSE Equity Cash'!$H:$H,'Daily BSE Equity Cash'!$A:$A,$A724))</f>
        <v/>
      </c>
      <c r="G724" s="4">
        <f>IF(OR(E724="",F724=""),"",E724+F724)</f>
        <v/>
      </c>
      <c r="H724" s="7">
        <f>IFERROR(IF(OR(E724="",INDEX(E:E,MATCH(DATE(YEAR($A724)-1,MONTH($A724),DAY($A724)),$A:$A,0))=""),"",E724/INDEX(E:E,MATCH(DATE(YEAR($A724)-1,MONTH($A724),DAY($A724)),$A:$A,0))-1),"")</f>
        <v/>
      </c>
      <c r="I724" s="7">
        <f>IFERROR(IF(OR(F724="",INDEX(F:F,MATCH(DATE(YEAR($A724)-1,MONTH($A724),DAY($A724)),$A:$A,0))=""),"",F724/INDEX(F:F,MATCH(DATE(YEAR($A724)-1,MONTH($A724),DAY($A724)),$A:$A,0))-1),"")</f>
        <v/>
      </c>
      <c r="J724" s="7">
        <f>IFERROR(IF(OR(G724="",INDEX(G:G,MATCH(DATE(YEAR($A724)-1,MONTH($A724),DAY($A724)),$A:$A,0))=""),"",G724/INDEX(G:G,MATCH(DATE(YEAR($A724)-1,MONTH($A724),DAY($A724)),$A:$A,0))-1),"")</f>
        <v/>
      </c>
      <c r="K724" s="7">
        <f>IF(OR(E724="",E723=""),"",E724/E723-1)</f>
        <v/>
      </c>
      <c r="L724" s="7">
        <f>IF(OR(F724="",F723=""),"",F724/F723-1)</f>
        <v/>
      </c>
      <c r="M724" s="7">
        <f>IF(OR(G724="",G723=""),"",G724/G723-1)</f>
        <v/>
      </c>
      <c r="N724" s="7">
        <f>IF(G724="","",E724/G724)</f>
        <v/>
      </c>
      <c r="O724" s="7">
        <f>IF(G724="","",F724/G724)</f>
        <v/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4">
        <f>IF(SUMIFS('Daily NSE Equity Cash'!$H:$H,'Daily NSE Equity Cash'!$A:$A,$A725)=0,"",SUMIFS('Daily NSE Equity Cash'!$H:$H,'Daily NSE Equity Cash'!$A:$A,$A725))</f>
        <v/>
      </c>
      <c r="F725" s="4">
        <f>IF(SUMIFS('Daily BSE Equity Cash'!$H:$H,'Daily BSE Equity Cash'!$A:$A,$A725)=0,"",SUMIFS('Daily BSE Equity Cash'!$H:$H,'Daily BSE Equity Cash'!$A:$A,$A725))</f>
        <v/>
      </c>
      <c r="G725" s="4">
        <f>IF(OR(E725="",F725=""),"",E725+F725)</f>
        <v/>
      </c>
      <c r="H725" s="7">
        <f>IFERROR(IF(OR(E725="",INDEX(E:E,MATCH(DATE(YEAR($A725)-1,MONTH($A725),DAY($A725)),$A:$A,0))=""),"",E725/INDEX(E:E,MATCH(DATE(YEAR($A725)-1,MONTH($A725),DAY($A725)),$A:$A,0))-1),"")</f>
        <v/>
      </c>
      <c r="I725" s="7">
        <f>IFERROR(IF(OR(F725="",INDEX(F:F,MATCH(DATE(YEAR($A725)-1,MONTH($A725),DAY($A725)),$A:$A,0))=""),"",F725/INDEX(F:F,MATCH(DATE(YEAR($A725)-1,MONTH($A725),DAY($A725)),$A:$A,0))-1),"")</f>
        <v/>
      </c>
      <c r="J725" s="7">
        <f>IFERROR(IF(OR(G725="",INDEX(G:G,MATCH(DATE(YEAR($A725)-1,MONTH($A725),DAY($A725)),$A:$A,0))=""),"",G725/INDEX(G:G,MATCH(DATE(YEAR($A725)-1,MONTH($A725),DAY($A725)),$A:$A,0))-1),"")</f>
        <v/>
      </c>
      <c r="K725" s="7">
        <f>IF(OR(E725="",E724=""),"",E725/E724-1)</f>
        <v/>
      </c>
      <c r="L725" s="7">
        <f>IF(OR(F725="",F724=""),"",F725/F724-1)</f>
        <v/>
      </c>
      <c r="M725" s="7">
        <f>IF(OR(G725="",G724=""),"",G725/G724-1)</f>
        <v/>
      </c>
      <c r="N725" s="7">
        <f>IF(G725="","",E725/G725)</f>
        <v/>
      </c>
      <c r="O725" s="7">
        <f>IF(G725="","",F725/G725)</f>
        <v/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4">
        <f>IF(SUMIFS('Daily NSE Equity Cash'!$H:$H,'Daily NSE Equity Cash'!$A:$A,$A726)=0,"",SUMIFS('Daily NSE Equity Cash'!$H:$H,'Daily NSE Equity Cash'!$A:$A,$A726))</f>
        <v/>
      </c>
      <c r="F726" s="4">
        <f>IF(SUMIFS('Daily BSE Equity Cash'!$H:$H,'Daily BSE Equity Cash'!$A:$A,$A726)=0,"",SUMIFS('Daily BSE Equity Cash'!$H:$H,'Daily BSE Equity Cash'!$A:$A,$A726))</f>
        <v/>
      </c>
      <c r="G726" s="4">
        <f>IF(OR(E726="",F726=""),"",E726+F726)</f>
        <v/>
      </c>
      <c r="H726" s="7">
        <f>IFERROR(IF(OR(E726="",INDEX(E:E,MATCH(DATE(YEAR($A726)-1,MONTH($A726),DAY($A726)),$A:$A,0))=""),"",E726/INDEX(E:E,MATCH(DATE(YEAR($A726)-1,MONTH($A726),DAY($A726)),$A:$A,0))-1),"")</f>
        <v/>
      </c>
      <c r="I726" s="7">
        <f>IFERROR(IF(OR(F726="",INDEX(F:F,MATCH(DATE(YEAR($A726)-1,MONTH($A726),DAY($A726)),$A:$A,0))=""),"",F726/INDEX(F:F,MATCH(DATE(YEAR($A726)-1,MONTH($A726),DAY($A726)),$A:$A,0))-1),"")</f>
        <v/>
      </c>
      <c r="J726" s="7">
        <f>IFERROR(IF(OR(G726="",INDEX(G:G,MATCH(DATE(YEAR($A726)-1,MONTH($A726),DAY($A726)),$A:$A,0))=""),"",G726/INDEX(G:G,MATCH(DATE(YEAR($A726)-1,MONTH($A726),DAY($A726)),$A:$A,0))-1),"")</f>
        <v/>
      </c>
      <c r="K726" s="7">
        <f>IF(OR(E726="",E725=""),"",E726/E725-1)</f>
        <v/>
      </c>
      <c r="L726" s="7">
        <f>IF(OR(F726="",F725=""),"",F726/F725-1)</f>
        <v/>
      </c>
      <c r="M726" s="7">
        <f>IF(OR(G726="",G725=""),"",G726/G725-1)</f>
        <v/>
      </c>
      <c r="N726" s="7">
        <f>IF(G726="","",E726/G726)</f>
        <v/>
      </c>
      <c r="O726" s="7">
        <f>IF(G726="","",F726/G726)</f>
        <v/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4">
        <f>IF(SUMIFS('Daily NSE Equity Cash'!$H:$H,'Daily NSE Equity Cash'!$A:$A,$A727)=0,"",SUMIFS('Daily NSE Equity Cash'!$H:$H,'Daily NSE Equity Cash'!$A:$A,$A727))</f>
        <v/>
      </c>
      <c r="F727" s="4">
        <f>IF(SUMIFS('Daily BSE Equity Cash'!$H:$H,'Daily BSE Equity Cash'!$A:$A,$A727)=0,"",SUMIFS('Daily BSE Equity Cash'!$H:$H,'Daily BSE Equity Cash'!$A:$A,$A727))</f>
        <v/>
      </c>
      <c r="G727" s="4">
        <f>IF(OR(E727="",F727=""),"",E727+F727)</f>
        <v/>
      </c>
      <c r="H727" s="7">
        <f>IFERROR(IF(OR(E727="",INDEX(E:E,MATCH(DATE(YEAR($A727)-1,MONTH($A727),DAY($A727)),$A:$A,0))=""),"",E727/INDEX(E:E,MATCH(DATE(YEAR($A727)-1,MONTH($A727),DAY($A727)),$A:$A,0))-1),"")</f>
        <v/>
      </c>
      <c r="I727" s="7">
        <f>IFERROR(IF(OR(F727="",INDEX(F:F,MATCH(DATE(YEAR($A727)-1,MONTH($A727),DAY($A727)),$A:$A,0))=""),"",F727/INDEX(F:F,MATCH(DATE(YEAR($A727)-1,MONTH($A727),DAY($A727)),$A:$A,0))-1),"")</f>
        <v/>
      </c>
      <c r="J727" s="7">
        <f>IFERROR(IF(OR(G727="",INDEX(G:G,MATCH(DATE(YEAR($A727)-1,MONTH($A727),DAY($A727)),$A:$A,0))=""),"",G727/INDEX(G:G,MATCH(DATE(YEAR($A727)-1,MONTH($A727),DAY($A727)),$A:$A,0))-1),"")</f>
        <v/>
      </c>
      <c r="K727" s="7">
        <f>IF(OR(E727="",E726=""),"",E727/E726-1)</f>
        <v/>
      </c>
      <c r="L727" s="7">
        <f>IF(OR(F727="",F726=""),"",F727/F726-1)</f>
        <v/>
      </c>
      <c r="M727" s="7">
        <f>IF(OR(G727="",G726=""),"",G727/G726-1)</f>
        <v/>
      </c>
      <c r="N727" s="7">
        <f>IF(G727="","",E727/G727)</f>
        <v/>
      </c>
      <c r="O727" s="7">
        <f>IF(G727="","",F727/G727)</f>
        <v/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4">
        <f>IF(SUMIFS('Daily NSE Equity Cash'!$H:$H,'Daily NSE Equity Cash'!$A:$A,$A728)=0,"",SUMIFS('Daily NSE Equity Cash'!$H:$H,'Daily NSE Equity Cash'!$A:$A,$A728))</f>
        <v/>
      </c>
      <c r="F728" s="4">
        <f>IF(SUMIFS('Daily BSE Equity Cash'!$H:$H,'Daily BSE Equity Cash'!$A:$A,$A728)=0,"",SUMIFS('Daily BSE Equity Cash'!$H:$H,'Daily BSE Equity Cash'!$A:$A,$A728))</f>
        <v/>
      </c>
      <c r="G728" s="4">
        <f>IF(OR(E728="",F728=""),"",E728+F728)</f>
        <v/>
      </c>
      <c r="H728" s="7">
        <f>IFERROR(IF(OR(E728="",INDEX(E:E,MATCH(DATE(YEAR($A728)-1,MONTH($A728),DAY($A728)),$A:$A,0))=""),"",E728/INDEX(E:E,MATCH(DATE(YEAR($A728)-1,MONTH($A728),DAY($A728)),$A:$A,0))-1),"")</f>
        <v/>
      </c>
      <c r="I728" s="7">
        <f>IFERROR(IF(OR(F728="",INDEX(F:F,MATCH(DATE(YEAR($A728)-1,MONTH($A728),DAY($A728)),$A:$A,0))=""),"",F728/INDEX(F:F,MATCH(DATE(YEAR($A728)-1,MONTH($A728),DAY($A728)),$A:$A,0))-1),"")</f>
        <v/>
      </c>
      <c r="J728" s="7">
        <f>IFERROR(IF(OR(G728="",INDEX(G:G,MATCH(DATE(YEAR($A728)-1,MONTH($A728),DAY($A728)),$A:$A,0))=""),"",G728/INDEX(G:G,MATCH(DATE(YEAR($A728)-1,MONTH($A728),DAY($A728)),$A:$A,0))-1),"")</f>
        <v/>
      </c>
      <c r="K728" s="7">
        <f>IF(OR(E728="",E727=""),"",E728/E727-1)</f>
        <v/>
      </c>
      <c r="L728" s="7">
        <f>IF(OR(F728="",F727=""),"",F728/F727-1)</f>
        <v/>
      </c>
      <c r="M728" s="7">
        <f>IF(OR(G728="",G727=""),"",G728/G727-1)</f>
        <v/>
      </c>
      <c r="N728" s="7">
        <f>IF(G728="","",E728/G728)</f>
        <v/>
      </c>
      <c r="O728" s="7">
        <f>IF(G728="","",F728/G728)</f>
        <v/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4">
        <f>IF(SUMIFS('Daily NSE Equity Cash'!$H:$H,'Daily NSE Equity Cash'!$A:$A,$A729)=0,"",SUMIFS('Daily NSE Equity Cash'!$H:$H,'Daily NSE Equity Cash'!$A:$A,$A729))</f>
        <v/>
      </c>
      <c r="F729" s="4">
        <f>IF(SUMIFS('Daily BSE Equity Cash'!$H:$H,'Daily BSE Equity Cash'!$A:$A,$A729)=0,"",SUMIFS('Daily BSE Equity Cash'!$H:$H,'Daily BSE Equity Cash'!$A:$A,$A729))</f>
        <v/>
      </c>
      <c r="G729" s="4">
        <f>IF(OR(E729="",F729=""),"",E729+F729)</f>
        <v/>
      </c>
      <c r="H729" s="7">
        <f>IFERROR(IF(OR(E729="",INDEX(E:E,MATCH(DATE(YEAR($A729)-1,MONTH($A729),DAY($A729)),$A:$A,0))=""),"",E729/INDEX(E:E,MATCH(DATE(YEAR($A729)-1,MONTH($A729),DAY($A729)),$A:$A,0))-1),"")</f>
        <v/>
      </c>
      <c r="I729" s="7">
        <f>IFERROR(IF(OR(F729="",INDEX(F:F,MATCH(DATE(YEAR($A729)-1,MONTH($A729),DAY($A729)),$A:$A,0))=""),"",F729/INDEX(F:F,MATCH(DATE(YEAR($A729)-1,MONTH($A729),DAY($A729)),$A:$A,0))-1),"")</f>
        <v/>
      </c>
      <c r="J729" s="7">
        <f>IFERROR(IF(OR(G729="",INDEX(G:G,MATCH(DATE(YEAR($A729)-1,MONTH($A729),DAY($A729)),$A:$A,0))=""),"",G729/INDEX(G:G,MATCH(DATE(YEAR($A729)-1,MONTH($A729),DAY($A729)),$A:$A,0))-1),"")</f>
        <v/>
      </c>
      <c r="K729" s="7">
        <f>IF(OR(E729="",E728=""),"",E729/E728-1)</f>
        <v/>
      </c>
      <c r="L729" s="7">
        <f>IF(OR(F729="",F728=""),"",F729/F728-1)</f>
        <v/>
      </c>
      <c r="M729" s="7">
        <f>IF(OR(G729="",G728=""),"",G729/G728-1)</f>
        <v/>
      </c>
      <c r="N729" s="7">
        <f>IF(G729="","",E729/G729)</f>
        <v/>
      </c>
      <c r="O729" s="7">
        <f>IF(G729="","",F729/G729)</f>
        <v/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4">
        <f>IF(SUMIFS('Daily NSE Equity Cash'!$H:$H,'Daily NSE Equity Cash'!$A:$A,$A730)=0,"",SUMIFS('Daily NSE Equity Cash'!$H:$H,'Daily NSE Equity Cash'!$A:$A,$A730))</f>
        <v/>
      </c>
      <c r="F730" s="4">
        <f>IF(SUMIFS('Daily BSE Equity Cash'!$H:$H,'Daily BSE Equity Cash'!$A:$A,$A730)=0,"",SUMIFS('Daily BSE Equity Cash'!$H:$H,'Daily BSE Equity Cash'!$A:$A,$A730))</f>
        <v/>
      </c>
      <c r="G730" s="4">
        <f>IF(OR(E730="",F730=""),"",E730+F730)</f>
        <v/>
      </c>
      <c r="H730" s="7">
        <f>IFERROR(IF(OR(E730="",INDEX(E:E,MATCH(DATE(YEAR($A730)-1,MONTH($A730),DAY($A730)),$A:$A,0))=""),"",E730/INDEX(E:E,MATCH(DATE(YEAR($A730)-1,MONTH($A730),DAY($A730)),$A:$A,0))-1),"")</f>
        <v/>
      </c>
      <c r="I730" s="7">
        <f>IFERROR(IF(OR(F730="",INDEX(F:F,MATCH(DATE(YEAR($A730)-1,MONTH($A730),DAY($A730)),$A:$A,0))=""),"",F730/INDEX(F:F,MATCH(DATE(YEAR($A730)-1,MONTH($A730),DAY($A730)),$A:$A,0))-1),"")</f>
        <v/>
      </c>
      <c r="J730" s="7">
        <f>IFERROR(IF(OR(G730="",INDEX(G:G,MATCH(DATE(YEAR($A730)-1,MONTH($A730),DAY($A730)),$A:$A,0))=""),"",G730/INDEX(G:G,MATCH(DATE(YEAR($A730)-1,MONTH($A730),DAY($A730)),$A:$A,0))-1),"")</f>
        <v/>
      </c>
      <c r="K730" s="7">
        <f>IF(OR(E730="",E729=""),"",E730/E729-1)</f>
        <v/>
      </c>
      <c r="L730" s="7">
        <f>IF(OR(F730="",F729=""),"",F730/F729-1)</f>
        <v/>
      </c>
      <c r="M730" s="7">
        <f>IF(OR(G730="",G729=""),"",G730/G729-1)</f>
        <v/>
      </c>
      <c r="N730" s="7">
        <f>IF(G730="","",E730/G730)</f>
        <v/>
      </c>
      <c r="O730" s="7">
        <f>IF(G730="","",F730/G730)</f>
        <v/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4">
        <f>IF(SUMIFS('Daily NSE Equity Cash'!$H:$H,'Daily NSE Equity Cash'!$A:$A,$A731)=0,"",SUMIFS('Daily NSE Equity Cash'!$H:$H,'Daily NSE Equity Cash'!$A:$A,$A731))</f>
        <v/>
      </c>
      <c r="F731" s="4">
        <f>IF(SUMIFS('Daily BSE Equity Cash'!$H:$H,'Daily BSE Equity Cash'!$A:$A,$A731)=0,"",SUMIFS('Daily BSE Equity Cash'!$H:$H,'Daily BSE Equity Cash'!$A:$A,$A731))</f>
        <v/>
      </c>
      <c r="G731" s="4">
        <f>IF(OR(E731="",F731=""),"",E731+F731)</f>
        <v/>
      </c>
      <c r="H731" s="7">
        <f>IFERROR(IF(OR(E731="",INDEX(E:E,MATCH(DATE(YEAR($A731)-1,MONTH($A731),DAY($A731)),$A:$A,0))=""),"",E731/INDEX(E:E,MATCH(DATE(YEAR($A731)-1,MONTH($A731),DAY($A731)),$A:$A,0))-1),"")</f>
        <v/>
      </c>
      <c r="I731" s="7">
        <f>IFERROR(IF(OR(F731="",INDEX(F:F,MATCH(DATE(YEAR($A731)-1,MONTH($A731),DAY($A731)),$A:$A,0))=""),"",F731/INDEX(F:F,MATCH(DATE(YEAR($A731)-1,MONTH($A731),DAY($A731)),$A:$A,0))-1),"")</f>
        <v/>
      </c>
      <c r="J731" s="7">
        <f>IFERROR(IF(OR(G731="",INDEX(G:G,MATCH(DATE(YEAR($A731)-1,MONTH($A731),DAY($A731)),$A:$A,0))=""),"",G731/INDEX(G:G,MATCH(DATE(YEAR($A731)-1,MONTH($A731),DAY($A731)),$A:$A,0))-1),"")</f>
        <v/>
      </c>
      <c r="K731" s="7">
        <f>IF(OR(E731="",E730=""),"",E731/E730-1)</f>
        <v/>
      </c>
      <c r="L731" s="7">
        <f>IF(OR(F731="",F730=""),"",F731/F730-1)</f>
        <v/>
      </c>
      <c r="M731" s="7">
        <f>IF(OR(G731="",G730=""),"",G731/G730-1)</f>
        <v/>
      </c>
      <c r="N731" s="7">
        <f>IF(G731="","",E731/G731)</f>
        <v/>
      </c>
      <c r="O731" s="7">
        <f>IF(G731="","",F731/G731)</f>
        <v/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4">
        <f>IF(SUMIFS('Daily NSE Equity Cash'!$H:$H,'Daily NSE Equity Cash'!$A:$A,$A732)=0,"",SUMIFS('Daily NSE Equity Cash'!$H:$H,'Daily NSE Equity Cash'!$A:$A,$A732))</f>
        <v/>
      </c>
      <c r="F732" s="4">
        <f>IF(SUMIFS('Daily BSE Equity Cash'!$H:$H,'Daily BSE Equity Cash'!$A:$A,$A732)=0,"",SUMIFS('Daily BSE Equity Cash'!$H:$H,'Daily BSE Equity Cash'!$A:$A,$A732))</f>
        <v/>
      </c>
      <c r="G732" s="4">
        <f>IF(OR(E732="",F732=""),"",E732+F732)</f>
        <v/>
      </c>
      <c r="H732" s="7">
        <f>IFERROR(IF(OR(E732="",INDEX(E:E,MATCH(DATE(YEAR($A732)-1,MONTH($A732),DAY($A732)),$A:$A,0))=""),"",E732/INDEX(E:E,MATCH(DATE(YEAR($A732)-1,MONTH($A732),DAY($A732)),$A:$A,0))-1),"")</f>
        <v/>
      </c>
      <c r="I732" s="7">
        <f>IFERROR(IF(OR(F732="",INDEX(F:F,MATCH(DATE(YEAR($A732)-1,MONTH($A732),DAY($A732)),$A:$A,0))=""),"",F732/INDEX(F:F,MATCH(DATE(YEAR($A732)-1,MONTH($A732),DAY($A732)),$A:$A,0))-1),"")</f>
        <v/>
      </c>
      <c r="J732" s="7">
        <f>IFERROR(IF(OR(G732="",INDEX(G:G,MATCH(DATE(YEAR($A732)-1,MONTH($A732),DAY($A732)),$A:$A,0))=""),"",G732/INDEX(G:G,MATCH(DATE(YEAR($A732)-1,MONTH($A732),DAY($A732)),$A:$A,0))-1),"")</f>
        <v/>
      </c>
      <c r="K732" s="7">
        <f>IF(OR(E732="",E731=""),"",E732/E731-1)</f>
        <v/>
      </c>
      <c r="L732" s="7">
        <f>IF(OR(F732="",F731=""),"",F732/F731-1)</f>
        <v/>
      </c>
      <c r="M732" s="7">
        <f>IF(OR(G732="",G731=""),"",G732/G731-1)</f>
        <v/>
      </c>
      <c r="N732" s="7">
        <f>IF(G732="","",E732/G732)</f>
        <v/>
      </c>
      <c r="O732" s="7">
        <f>IF(G732="","",F732/G732)</f>
        <v/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4">
        <f>IF(SUMIFS('Daily NSE Equity Cash'!$H:$H,'Daily NSE Equity Cash'!$A:$A,$A733)=0,"",SUMIFS('Daily NSE Equity Cash'!$H:$H,'Daily NSE Equity Cash'!$A:$A,$A733))</f>
        <v/>
      </c>
      <c r="F733" s="4">
        <f>IF(SUMIFS('Daily BSE Equity Cash'!$H:$H,'Daily BSE Equity Cash'!$A:$A,$A733)=0,"",SUMIFS('Daily BSE Equity Cash'!$H:$H,'Daily BSE Equity Cash'!$A:$A,$A733))</f>
        <v/>
      </c>
      <c r="G733" s="4">
        <f>IF(OR(E733="",F733=""),"",E733+F733)</f>
        <v/>
      </c>
      <c r="H733" s="7">
        <f>IFERROR(IF(OR(E733="",INDEX(E:E,MATCH(DATE(YEAR($A733)-1,MONTH($A733),DAY($A733)),$A:$A,0))=""),"",E733/INDEX(E:E,MATCH(DATE(YEAR($A733)-1,MONTH($A733),DAY($A733)),$A:$A,0))-1),"")</f>
        <v/>
      </c>
      <c r="I733" s="7">
        <f>IFERROR(IF(OR(F733="",INDEX(F:F,MATCH(DATE(YEAR($A733)-1,MONTH($A733),DAY($A733)),$A:$A,0))=""),"",F733/INDEX(F:F,MATCH(DATE(YEAR($A733)-1,MONTH($A733),DAY($A733)),$A:$A,0))-1),"")</f>
        <v/>
      </c>
      <c r="J733" s="7">
        <f>IFERROR(IF(OR(G733="",INDEX(G:G,MATCH(DATE(YEAR($A733)-1,MONTH($A733),DAY($A733)),$A:$A,0))=""),"",G733/INDEX(G:G,MATCH(DATE(YEAR($A733)-1,MONTH($A733),DAY($A733)),$A:$A,0))-1),"")</f>
        <v/>
      </c>
      <c r="K733" s="7">
        <f>IF(OR(E733="",E732=""),"",E733/E732-1)</f>
        <v/>
      </c>
      <c r="L733" s="7">
        <f>IF(OR(F733="",F732=""),"",F733/F732-1)</f>
        <v/>
      </c>
      <c r="M733" s="7">
        <f>IF(OR(G733="",G732=""),"",G733/G732-1)</f>
        <v/>
      </c>
      <c r="N733" s="7">
        <f>IF(G733="","",E733/G733)</f>
        <v/>
      </c>
      <c r="O733" s="7">
        <f>IF(G733="","",F733/G733)</f>
        <v/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4">
        <f>IF(SUMIFS('Daily NSE Equity Cash'!$H:$H,'Daily NSE Equity Cash'!$A:$A,$A734)=0,"",SUMIFS('Daily NSE Equity Cash'!$H:$H,'Daily NSE Equity Cash'!$A:$A,$A734))</f>
        <v/>
      </c>
      <c r="F734" s="4">
        <f>IF(SUMIFS('Daily BSE Equity Cash'!$H:$H,'Daily BSE Equity Cash'!$A:$A,$A734)=0,"",SUMIFS('Daily BSE Equity Cash'!$H:$H,'Daily BSE Equity Cash'!$A:$A,$A734))</f>
        <v/>
      </c>
      <c r="G734" s="4">
        <f>IF(OR(E734="",F734=""),"",E734+F734)</f>
        <v/>
      </c>
      <c r="H734" s="7">
        <f>IFERROR(IF(OR(E734="",INDEX(E:E,MATCH(DATE(YEAR($A734)-1,MONTH($A734),DAY($A734)),$A:$A,0))=""),"",E734/INDEX(E:E,MATCH(DATE(YEAR($A734)-1,MONTH($A734),DAY($A734)),$A:$A,0))-1),"")</f>
        <v/>
      </c>
      <c r="I734" s="7">
        <f>IFERROR(IF(OR(F734="",INDEX(F:F,MATCH(DATE(YEAR($A734)-1,MONTH($A734),DAY($A734)),$A:$A,0))=""),"",F734/INDEX(F:F,MATCH(DATE(YEAR($A734)-1,MONTH($A734),DAY($A734)),$A:$A,0))-1),"")</f>
        <v/>
      </c>
      <c r="J734" s="7">
        <f>IFERROR(IF(OR(G734="",INDEX(G:G,MATCH(DATE(YEAR($A734)-1,MONTH($A734),DAY($A734)),$A:$A,0))=""),"",G734/INDEX(G:G,MATCH(DATE(YEAR($A734)-1,MONTH($A734),DAY($A734)),$A:$A,0))-1),"")</f>
        <v/>
      </c>
      <c r="K734" s="7">
        <f>IF(OR(E734="",E733=""),"",E734/E733-1)</f>
        <v/>
      </c>
      <c r="L734" s="7">
        <f>IF(OR(F734="",F733=""),"",F734/F733-1)</f>
        <v/>
      </c>
      <c r="M734" s="7">
        <f>IF(OR(G734="",G733=""),"",G734/G733-1)</f>
        <v/>
      </c>
      <c r="N734" s="7">
        <f>IF(G734="","",E734/G734)</f>
        <v/>
      </c>
      <c r="O734" s="7">
        <f>IF(G734="","",F734/G734)</f>
        <v/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4">
        <f>IF(SUMIFS('Daily NSE Equity Cash'!$H:$H,'Daily NSE Equity Cash'!$A:$A,$A735)=0,"",SUMIFS('Daily NSE Equity Cash'!$H:$H,'Daily NSE Equity Cash'!$A:$A,$A735))</f>
        <v/>
      </c>
      <c r="F735" s="4">
        <f>IF(SUMIFS('Daily BSE Equity Cash'!$H:$H,'Daily BSE Equity Cash'!$A:$A,$A735)=0,"",SUMIFS('Daily BSE Equity Cash'!$H:$H,'Daily BSE Equity Cash'!$A:$A,$A735))</f>
        <v/>
      </c>
      <c r="G735" s="4">
        <f>IF(OR(E735="",F735=""),"",E735+F735)</f>
        <v/>
      </c>
      <c r="H735" s="7">
        <f>IFERROR(IF(OR(E735="",INDEX(E:E,MATCH(DATE(YEAR($A735)-1,MONTH($A735),DAY($A735)),$A:$A,0))=""),"",E735/INDEX(E:E,MATCH(DATE(YEAR($A735)-1,MONTH($A735),DAY($A735)),$A:$A,0))-1),"")</f>
        <v/>
      </c>
      <c r="I735" s="7">
        <f>IFERROR(IF(OR(F735="",INDEX(F:F,MATCH(DATE(YEAR($A735)-1,MONTH($A735),DAY($A735)),$A:$A,0))=""),"",F735/INDEX(F:F,MATCH(DATE(YEAR($A735)-1,MONTH($A735),DAY($A735)),$A:$A,0))-1),"")</f>
        <v/>
      </c>
      <c r="J735" s="7">
        <f>IFERROR(IF(OR(G735="",INDEX(G:G,MATCH(DATE(YEAR($A735)-1,MONTH($A735),DAY($A735)),$A:$A,0))=""),"",G735/INDEX(G:G,MATCH(DATE(YEAR($A735)-1,MONTH($A735),DAY($A735)),$A:$A,0))-1),"")</f>
        <v/>
      </c>
      <c r="K735" s="7">
        <f>IF(OR(E735="",E734=""),"",E735/E734-1)</f>
        <v/>
      </c>
      <c r="L735" s="7">
        <f>IF(OR(F735="",F734=""),"",F735/F734-1)</f>
        <v/>
      </c>
      <c r="M735" s="7">
        <f>IF(OR(G735="",G734=""),"",G735/G734-1)</f>
        <v/>
      </c>
      <c r="N735" s="7">
        <f>IF(G735="","",E735/G735)</f>
        <v/>
      </c>
      <c r="O735" s="7">
        <f>IF(G735="","",F735/G735)</f>
        <v/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4">
        <f>IF(SUMIFS('Daily NSE Equity Cash'!$H:$H,'Daily NSE Equity Cash'!$A:$A,$A736)=0,"",SUMIFS('Daily NSE Equity Cash'!$H:$H,'Daily NSE Equity Cash'!$A:$A,$A736))</f>
        <v/>
      </c>
      <c r="F736" s="4">
        <f>IF(SUMIFS('Daily BSE Equity Cash'!$H:$H,'Daily BSE Equity Cash'!$A:$A,$A736)=0,"",SUMIFS('Daily BSE Equity Cash'!$H:$H,'Daily BSE Equity Cash'!$A:$A,$A736))</f>
        <v/>
      </c>
      <c r="G736" s="4">
        <f>IF(OR(E736="",F736=""),"",E736+F736)</f>
        <v/>
      </c>
      <c r="H736" s="7">
        <f>IFERROR(IF(OR(E736="",INDEX(E:E,MATCH(DATE(YEAR($A736)-1,MONTH($A736),DAY($A736)),$A:$A,0))=""),"",E736/INDEX(E:E,MATCH(DATE(YEAR($A736)-1,MONTH($A736),DAY($A736)),$A:$A,0))-1),"")</f>
        <v/>
      </c>
      <c r="I736" s="7">
        <f>IFERROR(IF(OR(F736="",INDEX(F:F,MATCH(DATE(YEAR($A736)-1,MONTH($A736),DAY($A736)),$A:$A,0))=""),"",F736/INDEX(F:F,MATCH(DATE(YEAR($A736)-1,MONTH($A736),DAY($A736)),$A:$A,0))-1),"")</f>
        <v/>
      </c>
      <c r="J736" s="7">
        <f>IFERROR(IF(OR(G736="",INDEX(G:G,MATCH(DATE(YEAR($A736)-1,MONTH($A736),DAY($A736)),$A:$A,0))=""),"",G736/INDEX(G:G,MATCH(DATE(YEAR($A736)-1,MONTH($A736),DAY($A736)),$A:$A,0))-1),"")</f>
        <v/>
      </c>
      <c r="K736" s="7">
        <f>IF(OR(E736="",E735=""),"",E736/E735-1)</f>
        <v/>
      </c>
      <c r="L736" s="7">
        <f>IF(OR(F736="",F735=""),"",F736/F735-1)</f>
        <v/>
      </c>
      <c r="M736" s="7">
        <f>IF(OR(G736="",G735=""),"",G736/G735-1)</f>
        <v/>
      </c>
      <c r="N736" s="7">
        <f>IF(G736="","",E736/G736)</f>
        <v/>
      </c>
      <c r="O736" s="7">
        <f>IF(G736="","",F736/G736)</f>
        <v/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4">
        <f>IF(SUMIFS('Daily NSE Equity Cash'!$H:$H,'Daily NSE Equity Cash'!$A:$A,$A737)=0,"",SUMIFS('Daily NSE Equity Cash'!$H:$H,'Daily NSE Equity Cash'!$A:$A,$A737))</f>
        <v/>
      </c>
      <c r="F737" s="4">
        <f>IF(SUMIFS('Daily BSE Equity Cash'!$H:$H,'Daily BSE Equity Cash'!$A:$A,$A737)=0,"",SUMIFS('Daily BSE Equity Cash'!$H:$H,'Daily BSE Equity Cash'!$A:$A,$A737))</f>
        <v/>
      </c>
      <c r="G737" s="4">
        <f>IF(OR(E737="",F737=""),"",E737+F737)</f>
        <v/>
      </c>
      <c r="H737" s="7">
        <f>IFERROR(IF(OR(E737="",INDEX(E:E,MATCH(DATE(YEAR($A737)-1,MONTH($A737),DAY($A737)),$A:$A,0))=""),"",E737/INDEX(E:E,MATCH(DATE(YEAR($A737)-1,MONTH($A737),DAY($A737)),$A:$A,0))-1),"")</f>
        <v/>
      </c>
      <c r="I737" s="7">
        <f>IFERROR(IF(OR(F737="",INDEX(F:F,MATCH(DATE(YEAR($A737)-1,MONTH($A737),DAY($A737)),$A:$A,0))=""),"",F737/INDEX(F:F,MATCH(DATE(YEAR($A737)-1,MONTH($A737),DAY($A737)),$A:$A,0))-1),"")</f>
        <v/>
      </c>
      <c r="J737" s="7">
        <f>IFERROR(IF(OR(G737="",INDEX(G:G,MATCH(DATE(YEAR($A737)-1,MONTH($A737),DAY($A737)),$A:$A,0))=""),"",G737/INDEX(G:G,MATCH(DATE(YEAR($A737)-1,MONTH($A737),DAY($A737)),$A:$A,0))-1),"")</f>
        <v/>
      </c>
      <c r="K737" s="7">
        <f>IF(OR(E737="",E736=""),"",E737/E736-1)</f>
        <v/>
      </c>
      <c r="L737" s="7">
        <f>IF(OR(F737="",F736=""),"",F737/F736-1)</f>
        <v/>
      </c>
      <c r="M737" s="7">
        <f>IF(OR(G737="",G736=""),"",G737/G736-1)</f>
        <v/>
      </c>
      <c r="N737" s="7">
        <f>IF(G737="","",E737/G737)</f>
        <v/>
      </c>
      <c r="O737" s="7">
        <f>IF(G737="","",F737/G737)</f>
        <v/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4">
        <f>IF(SUMIFS('Daily NSE Equity Cash'!$H:$H,'Daily NSE Equity Cash'!$A:$A,$A738)=0,"",SUMIFS('Daily NSE Equity Cash'!$H:$H,'Daily NSE Equity Cash'!$A:$A,$A738))</f>
        <v/>
      </c>
      <c r="F738" s="4">
        <f>IF(SUMIFS('Daily BSE Equity Cash'!$H:$H,'Daily BSE Equity Cash'!$A:$A,$A738)=0,"",SUMIFS('Daily BSE Equity Cash'!$H:$H,'Daily BSE Equity Cash'!$A:$A,$A738))</f>
        <v/>
      </c>
      <c r="G738" s="4">
        <f>IF(OR(E738="",F738=""),"",E738+F738)</f>
        <v/>
      </c>
      <c r="H738" s="7">
        <f>IFERROR(IF(OR(E738="",INDEX(E:E,MATCH(DATE(YEAR($A738)-1,MONTH($A738),DAY($A738)),$A:$A,0))=""),"",E738/INDEX(E:E,MATCH(DATE(YEAR($A738)-1,MONTH($A738),DAY($A738)),$A:$A,0))-1),"")</f>
        <v/>
      </c>
      <c r="I738" s="7">
        <f>IFERROR(IF(OR(F738="",INDEX(F:F,MATCH(DATE(YEAR($A738)-1,MONTH($A738),DAY($A738)),$A:$A,0))=""),"",F738/INDEX(F:F,MATCH(DATE(YEAR($A738)-1,MONTH($A738),DAY($A738)),$A:$A,0))-1),"")</f>
        <v/>
      </c>
      <c r="J738" s="7">
        <f>IFERROR(IF(OR(G738="",INDEX(G:G,MATCH(DATE(YEAR($A738)-1,MONTH($A738),DAY($A738)),$A:$A,0))=""),"",G738/INDEX(G:G,MATCH(DATE(YEAR($A738)-1,MONTH($A738),DAY($A738)),$A:$A,0))-1),"")</f>
        <v/>
      </c>
      <c r="K738" s="7">
        <f>IF(OR(E738="",E737=""),"",E738/E737-1)</f>
        <v/>
      </c>
      <c r="L738" s="7">
        <f>IF(OR(F738="",F737=""),"",F738/F737-1)</f>
        <v/>
      </c>
      <c r="M738" s="7">
        <f>IF(OR(G738="",G737=""),"",G738/G737-1)</f>
        <v/>
      </c>
      <c r="N738" s="7">
        <f>IF(G738="","",E738/G738)</f>
        <v/>
      </c>
      <c r="O738" s="7">
        <f>IF(G738="","",F738/G738)</f>
        <v/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4">
        <f>IF(SUMIFS('Daily NSE Equity Cash'!$H:$H,'Daily NSE Equity Cash'!$A:$A,$A739)=0,"",SUMIFS('Daily NSE Equity Cash'!$H:$H,'Daily NSE Equity Cash'!$A:$A,$A739))</f>
        <v/>
      </c>
      <c r="F739" s="4">
        <f>IF(SUMIFS('Daily BSE Equity Cash'!$H:$H,'Daily BSE Equity Cash'!$A:$A,$A739)=0,"",SUMIFS('Daily BSE Equity Cash'!$H:$H,'Daily BSE Equity Cash'!$A:$A,$A739))</f>
        <v/>
      </c>
      <c r="G739" s="4">
        <f>IF(OR(E739="",F739=""),"",E739+F739)</f>
        <v/>
      </c>
      <c r="H739" s="7">
        <f>IFERROR(IF(OR(E739="",INDEX(E:E,MATCH(DATE(YEAR($A739)-1,MONTH($A739),DAY($A739)),$A:$A,0))=""),"",E739/INDEX(E:E,MATCH(DATE(YEAR($A739)-1,MONTH($A739),DAY($A739)),$A:$A,0))-1),"")</f>
        <v/>
      </c>
      <c r="I739" s="7">
        <f>IFERROR(IF(OR(F739="",INDEX(F:F,MATCH(DATE(YEAR($A739)-1,MONTH($A739),DAY($A739)),$A:$A,0))=""),"",F739/INDEX(F:F,MATCH(DATE(YEAR($A739)-1,MONTH($A739),DAY($A739)),$A:$A,0))-1),"")</f>
        <v/>
      </c>
      <c r="J739" s="7">
        <f>IFERROR(IF(OR(G739="",INDEX(G:G,MATCH(DATE(YEAR($A739)-1,MONTH($A739),DAY($A739)),$A:$A,0))=""),"",G739/INDEX(G:G,MATCH(DATE(YEAR($A739)-1,MONTH($A739),DAY($A739)),$A:$A,0))-1),"")</f>
        <v/>
      </c>
      <c r="K739" s="7">
        <f>IF(OR(E739="",E738=""),"",E739/E738-1)</f>
        <v/>
      </c>
      <c r="L739" s="7">
        <f>IF(OR(F739="",F738=""),"",F739/F738-1)</f>
        <v/>
      </c>
      <c r="M739" s="7">
        <f>IF(OR(G739="",G738=""),"",G739/G738-1)</f>
        <v/>
      </c>
      <c r="N739" s="7">
        <f>IF(G739="","",E739/G739)</f>
        <v/>
      </c>
      <c r="O739" s="7">
        <f>IF(G739="","",F739/G739)</f>
        <v/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4">
        <f>IF(SUMIFS('Daily NSE Equity Cash'!$H:$H,'Daily NSE Equity Cash'!$A:$A,$A740)=0,"",SUMIFS('Daily NSE Equity Cash'!$H:$H,'Daily NSE Equity Cash'!$A:$A,$A740))</f>
        <v/>
      </c>
      <c r="F740" s="4">
        <f>IF(SUMIFS('Daily BSE Equity Cash'!$H:$H,'Daily BSE Equity Cash'!$A:$A,$A740)=0,"",SUMIFS('Daily BSE Equity Cash'!$H:$H,'Daily BSE Equity Cash'!$A:$A,$A740))</f>
        <v/>
      </c>
      <c r="G740" s="4">
        <f>IF(OR(E740="",F740=""),"",E740+F740)</f>
        <v/>
      </c>
      <c r="H740" s="7">
        <f>IFERROR(IF(OR(E740="",INDEX(E:E,MATCH(DATE(YEAR($A740)-1,MONTH($A740),DAY($A740)),$A:$A,0))=""),"",E740/INDEX(E:E,MATCH(DATE(YEAR($A740)-1,MONTH($A740),DAY($A740)),$A:$A,0))-1),"")</f>
        <v/>
      </c>
      <c r="I740" s="7">
        <f>IFERROR(IF(OR(F740="",INDEX(F:F,MATCH(DATE(YEAR($A740)-1,MONTH($A740),DAY($A740)),$A:$A,0))=""),"",F740/INDEX(F:F,MATCH(DATE(YEAR($A740)-1,MONTH($A740),DAY($A740)),$A:$A,0))-1),"")</f>
        <v/>
      </c>
      <c r="J740" s="7">
        <f>IFERROR(IF(OR(G740="",INDEX(G:G,MATCH(DATE(YEAR($A740)-1,MONTH($A740),DAY($A740)),$A:$A,0))=""),"",G740/INDEX(G:G,MATCH(DATE(YEAR($A740)-1,MONTH($A740),DAY($A740)),$A:$A,0))-1),"")</f>
        <v/>
      </c>
      <c r="K740" s="7">
        <f>IF(OR(E740="",E739=""),"",E740/E739-1)</f>
        <v/>
      </c>
      <c r="L740" s="7">
        <f>IF(OR(F740="",F739=""),"",F740/F739-1)</f>
        <v/>
      </c>
      <c r="M740" s="7">
        <f>IF(OR(G740="",G739=""),"",G740/G739-1)</f>
        <v/>
      </c>
      <c r="N740" s="7">
        <f>IF(G740="","",E740/G740)</f>
        <v/>
      </c>
      <c r="O740" s="7">
        <f>IF(G740="","",F740/G740)</f>
        <v/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4">
        <f>IF(SUMIFS('Daily NSE Equity Cash'!$H:$H,'Daily NSE Equity Cash'!$A:$A,$A741)=0,"",SUMIFS('Daily NSE Equity Cash'!$H:$H,'Daily NSE Equity Cash'!$A:$A,$A741))</f>
        <v/>
      </c>
      <c r="F741" s="4">
        <f>IF(SUMIFS('Daily BSE Equity Cash'!$H:$H,'Daily BSE Equity Cash'!$A:$A,$A741)=0,"",SUMIFS('Daily BSE Equity Cash'!$H:$H,'Daily BSE Equity Cash'!$A:$A,$A741))</f>
        <v/>
      </c>
      <c r="G741" s="4">
        <f>IF(OR(E741="",F741=""),"",E741+F741)</f>
        <v/>
      </c>
      <c r="H741" s="7">
        <f>IFERROR(IF(OR(E741="",INDEX(E:E,MATCH(DATE(YEAR($A741)-1,MONTH($A741),DAY($A741)),$A:$A,0))=""),"",E741/INDEX(E:E,MATCH(DATE(YEAR($A741)-1,MONTH($A741),DAY($A741)),$A:$A,0))-1),"")</f>
        <v/>
      </c>
      <c r="I741" s="7">
        <f>IFERROR(IF(OR(F741="",INDEX(F:F,MATCH(DATE(YEAR($A741)-1,MONTH($A741),DAY($A741)),$A:$A,0))=""),"",F741/INDEX(F:F,MATCH(DATE(YEAR($A741)-1,MONTH($A741),DAY($A741)),$A:$A,0))-1),"")</f>
        <v/>
      </c>
      <c r="J741" s="7">
        <f>IFERROR(IF(OR(G741="",INDEX(G:G,MATCH(DATE(YEAR($A741)-1,MONTH($A741),DAY($A741)),$A:$A,0))=""),"",G741/INDEX(G:G,MATCH(DATE(YEAR($A741)-1,MONTH($A741),DAY($A741)),$A:$A,0))-1),"")</f>
        <v/>
      </c>
      <c r="K741" s="7">
        <f>IF(OR(E741="",E740=""),"",E741/E740-1)</f>
        <v/>
      </c>
      <c r="L741" s="7">
        <f>IF(OR(F741="",F740=""),"",F741/F740-1)</f>
        <v/>
      </c>
      <c r="M741" s="7">
        <f>IF(OR(G741="",G740=""),"",G741/G740-1)</f>
        <v/>
      </c>
      <c r="N741" s="7">
        <f>IF(G741="","",E741/G741)</f>
        <v/>
      </c>
      <c r="O741" s="7">
        <f>IF(G741="","",F741/G741)</f>
        <v/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4">
        <f>IF(SUMIFS('Daily NSE Equity Cash'!$H:$H,'Daily NSE Equity Cash'!$A:$A,$A742)=0,"",SUMIFS('Daily NSE Equity Cash'!$H:$H,'Daily NSE Equity Cash'!$A:$A,$A742))</f>
        <v/>
      </c>
      <c r="F742" s="4">
        <f>IF(SUMIFS('Daily BSE Equity Cash'!$H:$H,'Daily BSE Equity Cash'!$A:$A,$A742)=0,"",SUMIFS('Daily BSE Equity Cash'!$H:$H,'Daily BSE Equity Cash'!$A:$A,$A742))</f>
        <v/>
      </c>
      <c r="G742" s="4">
        <f>IF(OR(E742="",F742=""),"",E742+F742)</f>
        <v/>
      </c>
      <c r="H742" s="7">
        <f>IFERROR(IF(OR(E742="",INDEX(E:E,MATCH(DATE(YEAR($A742)-1,MONTH($A742),DAY($A742)),$A:$A,0))=""),"",E742/INDEX(E:E,MATCH(DATE(YEAR($A742)-1,MONTH($A742),DAY($A742)),$A:$A,0))-1),"")</f>
        <v/>
      </c>
      <c r="I742" s="7">
        <f>IFERROR(IF(OR(F742="",INDEX(F:F,MATCH(DATE(YEAR($A742)-1,MONTH($A742),DAY($A742)),$A:$A,0))=""),"",F742/INDEX(F:F,MATCH(DATE(YEAR($A742)-1,MONTH($A742),DAY($A742)),$A:$A,0))-1),"")</f>
        <v/>
      </c>
      <c r="J742" s="7">
        <f>IFERROR(IF(OR(G742="",INDEX(G:G,MATCH(DATE(YEAR($A742)-1,MONTH($A742),DAY($A742)),$A:$A,0))=""),"",G742/INDEX(G:G,MATCH(DATE(YEAR($A742)-1,MONTH($A742),DAY($A742)),$A:$A,0))-1),"")</f>
        <v/>
      </c>
      <c r="K742" s="7">
        <f>IF(OR(E742="",E741=""),"",E742/E741-1)</f>
        <v/>
      </c>
      <c r="L742" s="7">
        <f>IF(OR(F742="",F741=""),"",F742/F741-1)</f>
        <v/>
      </c>
      <c r="M742" s="7">
        <f>IF(OR(G742="",G741=""),"",G742/G741-1)</f>
        <v/>
      </c>
      <c r="N742" s="7">
        <f>IF(G742="","",E742/G742)</f>
        <v/>
      </c>
      <c r="O742" s="7">
        <f>IF(G742="","",F742/G742)</f>
        <v/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4">
        <f>IF(SUMIFS('Daily NSE Equity Cash'!$H:$H,'Daily NSE Equity Cash'!$A:$A,$A743)=0,"",SUMIFS('Daily NSE Equity Cash'!$H:$H,'Daily NSE Equity Cash'!$A:$A,$A743))</f>
        <v/>
      </c>
      <c r="F743" s="4">
        <f>IF(SUMIFS('Daily BSE Equity Cash'!$H:$H,'Daily BSE Equity Cash'!$A:$A,$A743)=0,"",SUMIFS('Daily BSE Equity Cash'!$H:$H,'Daily BSE Equity Cash'!$A:$A,$A743))</f>
        <v/>
      </c>
      <c r="G743" s="4">
        <f>IF(OR(E743="",F743=""),"",E743+F743)</f>
        <v/>
      </c>
      <c r="H743" s="7">
        <f>IFERROR(IF(OR(E743="",INDEX(E:E,MATCH(DATE(YEAR($A743)-1,MONTH($A743),DAY($A743)),$A:$A,0))=""),"",E743/INDEX(E:E,MATCH(DATE(YEAR($A743)-1,MONTH($A743),DAY($A743)),$A:$A,0))-1),"")</f>
        <v/>
      </c>
      <c r="I743" s="7">
        <f>IFERROR(IF(OR(F743="",INDEX(F:F,MATCH(DATE(YEAR($A743)-1,MONTH($A743),DAY($A743)),$A:$A,0))=""),"",F743/INDEX(F:F,MATCH(DATE(YEAR($A743)-1,MONTH($A743),DAY($A743)),$A:$A,0))-1),"")</f>
        <v/>
      </c>
      <c r="J743" s="7">
        <f>IFERROR(IF(OR(G743="",INDEX(G:G,MATCH(DATE(YEAR($A743)-1,MONTH($A743),DAY($A743)),$A:$A,0))=""),"",G743/INDEX(G:G,MATCH(DATE(YEAR($A743)-1,MONTH($A743),DAY($A743)),$A:$A,0))-1),"")</f>
        <v/>
      </c>
      <c r="K743" s="7">
        <f>IF(OR(E743="",E742=""),"",E743/E742-1)</f>
        <v/>
      </c>
      <c r="L743" s="7">
        <f>IF(OR(F743="",F742=""),"",F743/F742-1)</f>
        <v/>
      </c>
      <c r="M743" s="7">
        <f>IF(OR(G743="",G742=""),"",G743/G742-1)</f>
        <v/>
      </c>
      <c r="N743" s="7">
        <f>IF(G743="","",E743/G743)</f>
        <v/>
      </c>
      <c r="O743" s="7">
        <f>IF(G743="","",F743/G743)</f>
        <v/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4">
        <f>IF(SUMIFS('Daily NSE Equity Cash'!$H:$H,'Daily NSE Equity Cash'!$A:$A,$A744)=0,"",SUMIFS('Daily NSE Equity Cash'!$H:$H,'Daily NSE Equity Cash'!$A:$A,$A744))</f>
        <v/>
      </c>
      <c r="F744" s="4">
        <f>IF(SUMIFS('Daily BSE Equity Cash'!$H:$H,'Daily BSE Equity Cash'!$A:$A,$A744)=0,"",SUMIFS('Daily BSE Equity Cash'!$H:$H,'Daily BSE Equity Cash'!$A:$A,$A744))</f>
        <v/>
      </c>
      <c r="G744" s="4">
        <f>IF(OR(E744="",F744=""),"",E744+F744)</f>
        <v/>
      </c>
      <c r="H744" s="7">
        <f>IFERROR(IF(OR(E744="",INDEX(E:E,MATCH(DATE(YEAR($A744)-1,MONTH($A744),DAY($A744)),$A:$A,0))=""),"",E744/INDEX(E:E,MATCH(DATE(YEAR($A744)-1,MONTH($A744),DAY($A744)),$A:$A,0))-1),"")</f>
        <v/>
      </c>
      <c r="I744" s="7">
        <f>IFERROR(IF(OR(F744="",INDEX(F:F,MATCH(DATE(YEAR($A744)-1,MONTH($A744),DAY($A744)),$A:$A,0))=""),"",F744/INDEX(F:F,MATCH(DATE(YEAR($A744)-1,MONTH($A744),DAY($A744)),$A:$A,0))-1),"")</f>
        <v/>
      </c>
      <c r="J744" s="7">
        <f>IFERROR(IF(OR(G744="",INDEX(G:G,MATCH(DATE(YEAR($A744)-1,MONTH($A744),DAY($A744)),$A:$A,0))=""),"",G744/INDEX(G:G,MATCH(DATE(YEAR($A744)-1,MONTH($A744),DAY($A744)),$A:$A,0))-1),"")</f>
        <v/>
      </c>
      <c r="K744" s="7">
        <f>IF(OR(E744="",E743=""),"",E744/E743-1)</f>
        <v/>
      </c>
      <c r="L744" s="7">
        <f>IF(OR(F744="",F743=""),"",F744/F743-1)</f>
        <v/>
      </c>
      <c r="M744" s="7">
        <f>IF(OR(G744="",G743=""),"",G744/G743-1)</f>
        <v/>
      </c>
      <c r="N744" s="7">
        <f>IF(G744="","",E744/G744)</f>
        <v/>
      </c>
      <c r="O744" s="7">
        <f>IF(G744="","",F744/G744)</f>
        <v/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4">
        <f>IF(SUMIFS('Daily NSE Equity Cash'!$H:$H,'Daily NSE Equity Cash'!$A:$A,$A745)=0,"",SUMIFS('Daily NSE Equity Cash'!$H:$H,'Daily NSE Equity Cash'!$A:$A,$A745))</f>
        <v/>
      </c>
      <c r="F745" s="4">
        <f>IF(SUMIFS('Daily BSE Equity Cash'!$H:$H,'Daily BSE Equity Cash'!$A:$A,$A745)=0,"",SUMIFS('Daily BSE Equity Cash'!$H:$H,'Daily BSE Equity Cash'!$A:$A,$A745))</f>
        <v/>
      </c>
      <c r="G745" s="4">
        <f>IF(OR(E745="",F745=""),"",E745+F745)</f>
        <v/>
      </c>
      <c r="H745" s="7">
        <f>IFERROR(IF(OR(E745="",INDEX(E:E,MATCH(DATE(YEAR($A745)-1,MONTH($A745),DAY($A745)),$A:$A,0))=""),"",E745/INDEX(E:E,MATCH(DATE(YEAR($A745)-1,MONTH($A745),DAY($A745)),$A:$A,0))-1),"")</f>
        <v/>
      </c>
      <c r="I745" s="7">
        <f>IFERROR(IF(OR(F745="",INDEX(F:F,MATCH(DATE(YEAR($A745)-1,MONTH($A745),DAY($A745)),$A:$A,0))=""),"",F745/INDEX(F:F,MATCH(DATE(YEAR($A745)-1,MONTH($A745),DAY($A745)),$A:$A,0))-1),"")</f>
        <v/>
      </c>
      <c r="J745" s="7">
        <f>IFERROR(IF(OR(G745="",INDEX(G:G,MATCH(DATE(YEAR($A745)-1,MONTH($A745),DAY($A745)),$A:$A,0))=""),"",G745/INDEX(G:G,MATCH(DATE(YEAR($A745)-1,MONTH($A745),DAY($A745)),$A:$A,0))-1),"")</f>
        <v/>
      </c>
      <c r="K745" s="7">
        <f>IF(OR(E745="",E744=""),"",E745/E744-1)</f>
        <v/>
      </c>
      <c r="L745" s="7">
        <f>IF(OR(F745="",F744=""),"",F745/F744-1)</f>
        <v/>
      </c>
      <c r="M745" s="7">
        <f>IF(OR(G745="",G744=""),"",G745/G744-1)</f>
        <v/>
      </c>
      <c r="N745" s="7">
        <f>IF(G745="","",E745/G745)</f>
        <v/>
      </c>
      <c r="O745" s="7">
        <f>IF(G745="","",F745/G745)</f>
        <v/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4">
        <f>IF(SUMIFS('Daily NSE Equity Cash'!$H:$H,'Daily NSE Equity Cash'!$A:$A,$A746)=0,"",SUMIFS('Daily NSE Equity Cash'!$H:$H,'Daily NSE Equity Cash'!$A:$A,$A746))</f>
        <v/>
      </c>
      <c r="F746" s="4">
        <f>IF(SUMIFS('Daily BSE Equity Cash'!$H:$H,'Daily BSE Equity Cash'!$A:$A,$A746)=0,"",SUMIFS('Daily BSE Equity Cash'!$H:$H,'Daily BSE Equity Cash'!$A:$A,$A746))</f>
        <v/>
      </c>
      <c r="G746" s="4">
        <f>IF(OR(E746="",F746=""),"",E746+F746)</f>
        <v/>
      </c>
      <c r="H746" s="7">
        <f>IFERROR(IF(OR(E746="",INDEX(E:E,MATCH(DATE(YEAR($A746)-1,MONTH($A746),DAY($A746)),$A:$A,0))=""),"",E746/INDEX(E:E,MATCH(DATE(YEAR($A746)-1,MONTH($A746),DAY($A746)),$A:$A,0))-1),"")</f>
        <v/>
      </c>
      <c r="I746" s="7">
        <f>IFERROR(IF(OR(F746="",INDEX(F:F,MATCH(DATE(YEAR($A746)-1,MONTH($A746),DAY($A746)),$A:$A,0))=""),"",F746/INDEX(F:F,MATCH(DATE(YEAR($A746)-1,MONTH($A746),DAY($A746)),$A:$A,0))-1),"")</f>
        <v/>
      </c>
      <c r="J746" s="7">
        <f>IFERROR(IF(OR(G746="",INDEX(G:G,MATCH(DATE(YEAR($A746)-1,MONTH($A746),DAY($A746)),$A:$A,0))=""),"",G746/INDEX(G:G,MATCH(DATE(YEAR($A746)-1,MONTH($A746),DAY($A746)),$A:$A,0))-1),"")</f>
        <v/>
      </c>
      <c r="K746" s="7">
        <f>IF(OR(E746="",E745=""),"",E746/E745-1)</f>
        <v/>
      </c>
      <c r="L746" s="7">
        <f>IF(OR(F746="",F745=""),"",F746/F745-1)</f>
        <v/>
      </c>
      <c r="M746" s="7">
        <f>IF(OR(G746="",G745=""),"",G746/G745-1)</f>
        <v/>
      </c>
      <c r="N746" s="7">
        <f>IF(G746="","",E746/G746)</f>
        <v/>
      </c>
      <c r="O746" s="7">
        <f>IF(G746="","",F746/G746)</f>
        <v/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4">
        <f>IF(SUMIFS('Daily NSE Equity Cash'!$H:$H,'Daily NSE Equity Cash'!$A:$A,$A747)=0,"",SUMIFS('Daily NSE Equity Cash'!$H:$H,'Daily NSE Equity Cash'!$A:$A,$A747))</f>
        <v/>
      </c>
      <c r="F747" s="4">
        <f>IF(SUMIFS('Daily BSE Equity Cash'!$H:$H,'Daily BSE Equity Cash'!$A:$A,$A747)=0,"",SUMIFS('Daily BSE Equity Cash'!$H:$H,'Daily BSE Equity Cash'!$A:$A,$A747))</f>
        <v/>
      </c>
      <c r="G747" s="4">
        <f>IF(OR(E747="",F747=""),"",E747+F747)</f>
        <v/>
      </c>
      <c r="H747" s="7">
        <f>IFERROR(IF(OR(E747="",INDEX(E:E,MATCH(DATE(YEAR($A747)-1,MONTH($A747),DAY($A747)),$A:$A,0))=""),"",E747/INDEX(E:E,MATCH(DATE(YEAR($A747)-1,MONTH($A747),DAY($A747)),$A:$A,0))-1),"")</f>
        <v/>
      </c>
      <c r="I747" s="7">
        <f>IFERROR(IF(OR(F747="",INDEX(F:F,MATCH(DATE(YEAR($A747)-1,MONTH($A747),DAY($A747)),$A:$A,0))=""),"",F747/INDEX(F:F,MATCH(DATE(YEAR($A747)-1,MONTH($A747),DAY($A747)),$A:$A,0))-1),"")</f>
        <v/>
      </c>
      <c r="J747" s="7">
        <f>IFERROR(IF(OR(G747="",INDEX(G:G,MATCH(DATE(YEAR($A747)-1,MONTH($A747),DAY($A747)),$A:$A,0))=""),"",G747/INDEX(G:G,MATCH(DATE(YEAR($A747)-1,MONTH($A747),DAY($A747)),$A:$A,0))-1),"")</f>
        <v/>
      </c>
      <c r="K747" s="7">
        <f>IF(OR(E747="",E746=""),"",E747/E746-1)</f>
        <v/>
      </c>
      <c r="L747" s="7">
        <f>IF(OR(F747="",F746=""),"",F747/F746-1)</f>
        <v/>
      </c>
      <c r="M747" s="7">
        <f>IF(OR(G747="",G746=""),"",G747/G746-1)</f>
        <v/>
      </c>
      <c r="N747" s="7">
        <f>IF(G747="","",E747/G747)</f>
        <v/>
      </c>
      <c r="O747" s="7">
        <f>IF(G747="","",F747/G747)</f>
        <v/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4">
        <f>IF(SUMIFS('Daily NSE Equity Cash'!$H:$H,'Daily NSE Equity Cash'!$A:$A,$A748)=0,"",SUMIFS('Daily NSE Equity Cash'!$H:$H,'Daily NSE Equity Cash'!$A:$A,$A748))</f>
        <v/>
      </c>
      <c r="F748" s="4">
        <f>IF(SUMIFS('Daily BSE Equity Cash'!$H:$H,'Daily BSE Equity Cash'!$A:$A,$A748)=0,"",SUMIFS('Daily BSE Equity Cash'!$H:$H,'Daily BSE Equity Cash'!$A:$A,$A748))</f>
        <v/>
      </c>
      <c r="G748" s="4">
        <f>IF(OR(E748="",F748=""),"",E748+F748)</f>
        <v/>
      </c>
      <c r="H748" s="7">
        <f>IFERROR(IF(OR(E748="",INDEX(E:E,MATCH(DATE(YEAR($A748)-1,MONTH($A748),DAY($A748)),$A:$A,0))=""),"",E748/INDEX(E:E,MATCH(DATE(YEAR($A748)-1,MONTH($A748),DAY($A748)),$A:$A,0))-1),"")</f>
        <v/>
      </c>
      <c r="I748" s="7">
        <f>IFERROR(IF(OR(F748="",INDEX(F:F,MATCH(DATE(YEAR($A748)-1,MONTH($A748),DAY($A748)),$A:$A,0))=""),"",F748/INDEX(F:F,MATCH(DATE(YEAR($A748)-1,MONTH($A748),DAY($A748)),$A:$A,0))-1),"")</f>
        <v/>
      </c>
      <c r="J748" s="7">
        <f>IFERROR(IF(OR(G748="",INDEX(G:G,MATCH(DATE(YEAR($A748)-1,MONTH($A748),DAY($A748)),$A:$A,0))=""),"",G748/INDEX(G:G,MATCH(DATE(YEAR($A748)-1,MONTH($A748),DAY($A748)),$A:$A,0))-1),"")</f>
        <v/>
      </c>
      <c r="K748" s="7">
        <f>IF(OR(E748="",E747=""),"",E748/E747-1)</f>
        <v/>
      </c>
      <c r="L748" s="7">
        <f>IF(OR(F748="",F747=""),"",F748/F747-1)</f>
        <v/>
      </c>
      <c r="M748" s="7">
        <f>IF(OR(G748="",G747=""),"",G748/G747-1)</f>
        <v/>
      </c>
      <c r="N748" s="7">
        <f>IF(G748="","",E748/G748)</f>
        <v/>
      </c>
      <c r="O748" s="7">
        <f>IF(G748="","",F748/G748)</f>
        <v/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4">
        <f>IF(SUMIFS('Daily NSE Equity Cash'!$H:$H,'Daily NSE Equity Cash'!$A:$A,$A749)=0,"",SUMIFS('Daily NSE Equity Cash'!$H:$H,'Daily NSE Equity Cash'!$A:$A,$A749))</f>
        <v/>
      </c>
      <c r="F749" s="4">
        <f>IF(SUMIFS('Daily BSE Equity Cash'!$H:$H,'Daily BSE Equity Cash'!$A:$A,$A749)=0,"",SUMIFS('Daily BSE Equity Cash'!$H:$H,'Daily BSE Equity Cash'!$A:$A,$A749))</f>
        <v/>
      </c>
      <c r="G749" s="4">
        <f>IF(OR(E749="",F749=""),"",E749+F749)</f>
        <v/>
      </c>
      <c r="H749" s="7">
        <f>IFERROR(IF(OR(E749="",INDEX(E:E,MATCH(DATE(YEAR($A749)-1,MONTH($A749),DAY($A749)),$A:$A,0))=""),"",E749/INDEX(E:E,MATCH(DATE(YEAR($A749)-1,MONTH($A749),DAY($A749)),$A:$A,0))-1),"")</f>
        <v/>
      </c>
      <c r="I749" s="7">
        <f>IFERROR(IF(OR(F749="",INDEX(F:F,MATCH(DATE(YEAR($A749)-1,MONTH($A749),DAY($A749)),$A:$A,0))=""),"",F749/INDEX(F:F,MATCH(DATE(YEAR($A749)-1,MONTH($A749),DAY($A749)),$A:$A,0))-1),"")</f>
        <v/>
      </c>
      <c r="J749" s="7">
        <f>IFERROR(IF(OR(G749="",INDEX(G:G,MATCH(DATE(YEAR($A749)-1,MONTH($A749),DAY($A749)),$A:$A,0))=""),"",G749/INDEX(G:G,MATCH(DATE(YEAR($A749)-1,MONTH($A749),DAY($A749)),$A:$A,0))-1),"")</f>
        <v/>
      </c>
      <c r="K749" s="7">
        <f>IF(OR(E749="",E748=""),"",E749/E748-1)</f>
        <v/>
      </c>
      <c r="L749" s="7">
        <f>IF(OR(F749="",F748=""),"",F749/F748-1)</f>
        <v/>
      </c>
      <c r="M749" s="7">
        <f>IF(OR(G749="",G748=""),"",G749/G748-1)</f>
        <v/>
      </c>
      <c r="N749" s="7">
        <f>IF(G749="","",E749/G749)</f>
        <v/>
      </c>
      <c r="O749" s="7">
        <f>IF(G749="","",F749/G749)</f>
        <v/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4">
        <f>IF(SUMIFS('Daily NSE Equity Cash'!$H:$H,'Daily NSE Equity Cash'!$A:$A,$A750)=0,"",SUMIFS('Daily NSE Equity Cash'!$H:$H,'Daily NSE Equity Cash'!$A:$A,$A750))</f>
        <v/>
      </c>
      <c r="F750" s="4">
        <f>IF(SUMIFS('Daily BSE Equity Cash'!$H:$H,'Daily BSE Equity Cash'!$A:$A,$A750)=0,"",SUMIFS('Daily BSE Equity Cash'!$H:$H,'Daily BSE Equity Cash'!$A:$A,$A750))</f>
        <v/>
      </c>
      <c r="G750" s="4">
        <f>IF(OR(E750="",F750=""),"",E750+F750)</f>
        <v/>
      </c>
      <c r="H750" s="7">
        <f>IFERROR(IF(OR(E750="",INDEX(E:E,MATCH(DATE(YEAR($A750)-1,MONTH($A750),DAY($A750)),$A:$A,0))=""),"",E750/INDEX(E:E,MATCH(DATE(YEAR($A750)-1,MONTH($A750),DAY($A750)),$A:$A,0))-1),"")</f>
        <v/>
      </c>
      <c r="I750" s="7">
        <f>IFERROR(IF(OR(F750="",INDEX(F:F,MATCH(DATE(YEAR($A750)-1,MONTH($A750),DAY($A750)),$A:$A,0))=""),"",F750/INDEX(F:F,MATCH(DATE(YEAR($A750)-1,MONTH($A750),DAY($A750)),$A:$A,0))-1),"")</f>
        <v/>
      </c>
      <c r="J750" s="7">
        <f>IFERROR(IF(OR(G750="",INDEX(G:G,MATCH(DATE(YEAR($A750)-1,MONTH($A750),DAY($A750)),$A:$A,0))=""),"",G750/INDEX(G:G,MATCH(DATE(YEAR($A750)-1,MONTH($A750),DAY($A750)),$A:$A,0))-1),"")</f>
        <v/>
      </c>
      <c r="K750" s="7">
        <f>IF(OR(E750="",E749=""),"",E750/E749-1)</f>
        <v/>
      </c>
      <c r="L750" s="7">
        <f>IF(OR(F750="",F749=""),"",F750/F749-1)</f>
        <v/>
      </c>
      <c r="M750" s="7">
        <f>IF(OR(G750="",G749=""),"",G750/G749-1)</f>
        <v/>
      </c>
      <c r="N750" s="7">
        <f>IF(G750="","",E750/G750)</f>
        <v/>
      </c>
      <c r="O750" s="7">
        <f>IF(G750="","",F750/G750)</f>
        <v/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4">
        <f>IF(SUMIFS('Daily NSE Equity Cash'!$H:$H,'Daily NSE Equity Cash'!$A:$A,$A751)=0,"",SUMIFS('Daily NSE Equity Cash'!$H:$H,'Daily NSE Equity Cash'!$A:$A,$A751))</f>
        <v/>
      </c>
      <c r="F751" s="4">
        <f>IF(SUMIFS('Daily BSE Equity Cash'!$H:$H,'Daily BSE Equity Cash'!$A:$A,$A751)=0,"",SUMIFS('Daily BSE Equity Cash'!$H:$H,'Daily BSE Equity Cash'!$A:$A,$A751))</f>
        <v/>
      </c>
      <c r="G751" s="4">
        <f>IF(OR(E751="",F751=""),"",E751+F751)</f>
        <v/>
      </c>
      <c r="H751" s="7">
        <f>IFERROR(IF(OR(E751="",INDEX(E:E,MATCH(DATE(YEAR($A751)-1,MONTH($A751),DAY($A751)),$A:$A,0))=""),"",E751/INDEX(E:E,MATCH(DATE(YEAR($A751)-1,MONTH($A751),DAY($A751)),$A:$A,0))-1),"")</f>
        <v/>
      </c>
      <c r="I751" s="7">
        <f>IFERROR(IF(OR(F751="",INDEX(F:F,MATCH(DATE(YEAR($A751)-1,MONTH($A751),DAY($A751)),$A:$A,0))=""),"",F751/INDEX(F:F,MATCH(DATE(YEAR($A751)-1,MONTH($A751),DAY($A751)),$A:$A,0))-1),"")</f>
        <v/>
      </c>
      <c r="J751" s="7">
        <f>IFERROR(IF(OR(G751="",INDEX(G:G,MATCH(DATE(YEAR($A751)-1,MONTH($A751),DAY($A751)),$A:$A,0))=""),"",G751/INDEX(G:G,MATCH(DATE(YEAR($A751)-1,MONTH($A751),DAY($A751)),$A:$A,0))-1),"")</f>
        <v/>
      </c>
      <c r="K751" s="7">
        <f>IF(OR(E751="",E750=""),"",E751/E750-1)</f>
        <v/>
      </c>
      <c r="L751" s="7">
        <f>IF(OR(F751="",F750=""),"",F751/F750-1)</f>
        <v/>
      </c>
      <c r="M751" s="7">
        <f>IF(OR(G751="",G750=""),"",G751/G750-1)</f>
        <v/>
      </c>
      <c r="N751" s="7">
        <f>IF(G751="","",E751/G751)</f>
        <v/>
      </c>
      <c r="O751" s="7">
        <f>IF(G751="","",F751/G751)</f>
        <v/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4">
        <f>IF(SUMIFS('Daily NSE Equity Cash'!$H:$H,'Daily NSE Equity Cash'!$A:$A,$A752)=0,"",SUMIFS('Daily NSE Equity Cash'!$H:$H,'Daily NSE Equity Cash'!$A:$A,$A752))</f>
        <v/>
      </c>
      <c r="F752" s="4">
        <f>IF(SUMIFS('Daily BSE Equity Cash'!$H:$H,'Daily BSE Equity Cash'!$A:$A,$A752)=0,"",SUMIFS('Daily BSE Equity Cash'!$H:$H,'Daily BSE Equity Cash'!$A:$A,$A752))</f>
        <v/>
      </c>
      <c r="G752" s="4">
        <f>IF(OR(E752="",F752=""),"",E752+F752)</f>
        <v/>
      </c>
      <c r="H752" s="7">
        <f>IFERROR(IF(OR(E752="",INDEX(E:E,MATCH(DATE(YEAR($A752)-1,MONTH($A752),DAY($A752)),$A:$A,0))=""),"",E752/INDEX(E:E,MATCH(DATE(YEAR($A752)-1,MONTH($A752),DAY($A752)),$A:$A,0))-1),"")</f>
        <v/>
      </c>
      <c r="I752" s="7">
        <f>IFERROR(IF(OR(F752="",INDEX(F:F,MATCH(DATE(YEAR($A752)-1,MONTH($A752),DAY($A752)),$A:$A,0))=""),"",F752/INDEX(F:F,MATCH(DATE(YEAR($A752)-1,MONTH($A752),DAY($A752)),$A:$A,0))-1),"")</f>
        <v/>
      </c>
      <c r="J752" s="7">
        <f>IFERROR(IF(OR(G752="",INDEX(G:G,MATCH(DATE(YEAR($A752)-1,MONTH($A752),DAY($A752)),$A:$A,0))=""),"",G752/INDEX(G:G,MATCH(DATE(YEAR($A752)-1,MONTH($A752),DAY($A752)),$A:$A,0))-1),"")</f>
        <v/>
      </c>
      <c r="K752" s="7">
        <f>IF(OR(E752="",E751=""),"",E752/E751-1)</f>
        <v/>
      </c>
      <c r="L752" s="7">
        <f>IF(OR(F752="",F751=""),"",F752/F751-1)</f>
        <v/>
      </c>
      <c r="M752" s="7">
        <f>IF(OR(G752="",G751=""),"",G752/G751-1)</f>
        <v/>
      </c>
      <c r="N752" s="7">
        <f>IF(G752="","",E752/G752)</f>
        <v/>
      </c>
      <c r="O752" s="7">
        <f>IF(G752="","",F752/G752)</f>
        <v/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4">
        <f>IF(SUMIFS('Daily NSE Equity Cash'!$H:$H,'Daily NSE Equity Cash'!$A:$A,$A753)=0,"",SUMIFS('Daily NSE Equity Cash'!$H:$H,'Daily NSE Equity Cash'!$A:$A,$A753))</f>
        <v/>
      </c>
      <c r="F753" s="4">
        <f>IF(SUMIFS('Daily BSE Equity Cash'!$H:$H,'Daily BSE Equity Cash'!$A:$A,$A753)=0,"",SUMIFS('Daily BSE Equity Cash'!$H:$H,'Daily BSE Equity Cash'!$A:$A,$A753))</f>
        <v/>
      </c>
      <c r="G753" s="4">
        <f>IF(OR(E753="",F753=""),"",E753+F753)</f>
        <v/>
      </c>
      <c r="H753" s="7">
        <f>IFERROR(IF(OR(E753="",INDEX(E:E,MATCH(DATE(YEAR($A753)-1,MONTH($A753),DAY($A753)),$A:$A,0))=""),"",E753/INDEX(E:E,MATCH(DATE(YEAR($A753)-1,MONTH($A753),DAY($A753)),$A:$A,0))-1),"")</f>
        <v/>
      </c>
      <c r="I753" s="7">
        <f>IFERROR(IF(OR(F753="",INDEX(F:F,MATCH(DATE(YEAR($A753)-1,MONTH($A753),DAY($A753)),$A:$A,0))=""),"",F753/INDEX(F:F,MATCH(DATE(YEAR($A753)-1,MONTH($A753),DAY($A753)),$A:$A,0))-1),"")</f>
        <v/>
      </c>
      <c r="J753" s="7">
        <f>IFERROR(IF(OR(G753="",INDEX(G:G,MATCH(DATE(YEAR($A753)-1,MONTH($A753),DAY($A753)),$A:$A,0))=""),"",G753/INDEX(G:G,MATCH(DATE(YEAR($A753)-1,MONTH($A753),DAY($A753)),$A:$A,0))-1),"")</f>
        <v/>
      </c>
      <c r="K753" s="7">
        <f>IF(OR(E753="",E752=""),"",E753/E752-1)</f>
        <v/>
      </c>
      <c r="L753" s="7">
        <f>IF(OR(F753="",F752=""),"",F753/F752-1)</f>
        <v/>
      </c>
      <c r="M753" s="7">
        <f>IF(OR(G753="",G752=""),"",G753/G752-1)</f>
        <v/>
      </c>
      <c r="N753" s="7">
        <f>IF(G753="","",E753/G753)</f>
        <v/>
      </c>
      <c r="O753" s="7">
        <f>IF(G753="","",F753/G753)</f>
        <v/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4">
        <f>IF(SUMIFS('Daily NSE Equity Cash'!$H:$H,'Daily NSE Equity Cash'!$A:$A,$A754)=0,"",SUMIFS('Daily NSE Equity Cash'!$H:$H,'Daily NSE Equity Cash'!$A:$A,$A754))</f>
        <v/>
      </c>
      <c r="F754" s="4">
        <f>IF(SUMIFS('Daily BSE Equity Cash'!$H:$H,'Daily BSE Equity Cash'!$A:$A,$A754)=0,"",SUMIFS('Daily BSE Equity Cash'!$H:$H,'Daily BSE Equity Cash'!$A:$A,$A754))</f>
        <v/>
      </c>
      <c r="G754" s="4">
        <f>IF(OR(E754="",F754=""),"",E754+F754)</f>
        <v/>
      </c>
      <c r="H754" s="7">
        <f>IFERROR(IF(OR(E754="",INDEX(E:E,MATCH(DATE(YEAR($A754)-1,MONTH($A754),DAY($A754)),$A:$A,0))=""),"",E754/INDEX(E:E,MATCH(DATE(YEAR($A754)-1,MONTH($A754),DAY($A754)),$A:$A,0))-1),"")</f>
        <v/>
      </c>
      <c r="I754" s="7">
        <f>IFERROR(IF(OR(F754="",INDEX(F:F,MATCH(DATE(YEAR($A754)-1,MONTH($A754),DAY($A754)),$A:$A,0))=""),"",F754/INDEX(F:F,MATCH(DATE(YEAR($A754)-1,MONTH($A754),DAY($A754)),$A:$A,0))-1),"")</f>
        <v/>
      </c>
      <c r="J754" s="7">
        <f>IFERROR(IF(OR(G754="",INDEX(G:G,MATCH(DATE(YEAR($A754)-1,MONTH($A754),DAY($A754)),$A:$A,0))=""),"",G754/INDEX(G:G,MATCH(DATE(YEAR($A754)-1,MONTH($A754),DAY($A754)),$A:$A,0))-1),"")</f>
        <v/>
      </c>
      <c r="K754" s="7">
        <f>IF(OR(E754="",E753=""),"",E754/E753-1)</f>
        <v/>
      </c>
      <c r="L754" s="7">
        <f>IF(OR(F754="",F753=""),"",F754/F753-1)</f>
        <v/>
      </c>
      <c r="M754" s="7">
        <f>IF(OR(G754="",G753=""),"",G754/G753-1)</f>
        <v/>
      </c>
      <c r="N754" s="7">
        <f>IF(G754="","",E754/G754)</f>
        <v/>
      </c>
      <c r="O754" s="7">
        <f>IF(G754="","",F754/G754)</f>
        <v/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4">
        <f>IF(SUMIFS('Daily NSE Equity Cash'!$H:$H,'Daily NSE Equity Cash'!$A:$A,$A755)=0,"",SUMIFS('Daily NSE Equity Cash'!$H:$H,'Daily NSE Equity Cash'!$A:$A,$A755))</f>
        <v/>
      </c>
      <c r="F755" s="4">
        <f>IF(SUMIFS('Daily BSE Equity Cash'!$H:$H,'Daily BSE Equity Cash'!$A:$A,$A755)=0,"",SUMIFS('Daily BSE Equity Cash'!$H:$H,'Daily BSE Equity Cash'!$A:$A,$A755))</f>
        <v/>
      </c>
      <c r="G755" s="4">
        <f>IF(OR(E755="",F755=""),"",E755+F755)</f>
        <v/>
      </c>
      <c r="H755" s="7">
        <f>IFERROR(IF(OR(E755="",INDEX(E:E,MATCH(DATE(YEAR($A755)-1,MONTH($A755),DAY($A755)),$A:$A,0))=""),"",E755/INDEX(E:E,MATCH(DATE(YEAR($A755)-1,MONTH($A755),DAY($A755)),$A:$A,0))-1),"")</f>
        <v/>
      </c>
      <c r="I755" s="7">
        <f>IFERROR(IF(OR(F755="",INDEX(F:F,MATCH(DATE(YEAR($A755)-1,MONTH($A755),DAY($A755)),$A:$A,0))=""),"",F755/INDEX(F:F,MATCH(DATE(YEAR($A755)-1,MONTH($A755),DAY($A755)),$A:$A,0))-1),"")</f>
        <v/>
      </c>
      <c r="J755" s="7">
        <f>IFERROR(IF(OR(G755="",INDEX(G:G,MATCH(DATE(YEAR($A755)-1,MONTH($A755),DAY($A755)),$A:$A,0))=""),"",G755/INDEX(G:G,MATCH(DATE(YEAR($A755)-1,MONTH($A755),DAY($A755)),$A:$A,0))-1),"")</f>
        <v/>
      </c>
      <c r="K755" s="7">
        <f>IF(OR(E755="",E754=""),"",E755/E754-1)</f>
        <v/>
      </c>
      <c r="L755" s="7">
        <f>IF(OR(F755="",F754=""),"",F755/F754-1)</f>
        <v/>
      </c>
      <c r="M755" s="7">
        <f>IF(OR(G755="",G754=""),"",G755/G754-1)</f>
        <v/>
      </c>
      <c r="N755" s="7">
        <f>IF(G755="","",E755/G755)</f>
        <v/>
      </c>
      <c r="O755" s="7">
        <f>IF(G755="","",F755/G755)</f>
        <v/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4">
        <f>IF(SUMIFS('Daily NSE Equity Cash'!$H:$H,'Daily NSE Equity Cash'!$A:$A,$A756)=0,"",SUMIFS('Daily NSE Equity Cash'!$H:$H,'Daily NSE Equity Cash'!$A:$A,$A756))</f>
        <v/>
      </c>
      <c r="F756" s="4">
        <f>IF(SUMIFS('Daily BSE Equity Cash'!$H:$H,'Daily BSE Equity Cash'!$A:$A,$A756)=0,"",SUMIFS('Daily BSE Equity Cash'!$H:$H,'Daily BSE Equity Cash'!$A:$A,$A756))</f>
        <v/>
      </c>
      <c r="G756" s="4">
        <f>IF(OR(E756="",F756=""),"",E756+F756)</f>
        <v/>
      </c>
      <c r="H756" s="7">
        <f>IFERROR(IF(OR(E756="",INDEX(E:E,MATCH(DATE(YEAR($A756)-1,MONTH($A756),DAY($A756)),$A:$A,0))=""),"",E756/INDEX(E:E,MATCH(DATE(YEAR($A756)-1,MONTH($A756),DAY($A756)),$A:$A,0))-1),"")</f>
        <v/>
      </c>
      <c r="I756" s="7">
        <f>IFERROR(IF(OR(F756="",INDEX(F:F,MATCH(DATE(YEAR($A756)-1,MONTH($A756),DAY($A756)),$A:$A,0))=""),"",F756/INDEX(F:F,MATCH(DATE(YEAR($A756)-1,MONTH($A756),DAY($A756)),$A:$A,0))-1),"")</f>
        <v/>
      </c>
      <c r="J756" s="7">
        <f>IFERROR(IF(OR(G756="",INDEX(G:G,MATCH(DATE(YEAR($A756)-1,MONTH($A756),DAY($A756)),$A:$A,0))=""),"",G756/INDEX(G:G,MATCH(DATE(YEAR($A756)-1,MONTH($A756),DAY($A756)),$A:$A,0))-1),"")</f>
        <v/>
      </c>
      <c r="K756" s="7">
        <f>IF(OR(E756="",E755=""),"",E756/E755-1)</f>
        <v/>
      </c>
      <c r="L756" s="7">
        <f>IF(OR(F756="",F755=""),"",F756/F755-1)</f>
        <v/>
      </c>
      <c r="M756" s="7">
        <f>IF(OR(G756="",G755=""),"",G756/G755-1)</f>
        <v/>
      </c>
      <c r="N756" s="7">
        <f>IF(G756="","",E756/G756)</f>
        <v/>
      </c>
      <c r="O756" s="7">
        <f>IF(G756="","",F756/G756)</f>
        <v/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4">
        <f>IF(SUMIFS('Daily NSE Equity Cash'!$H:$H,'Daily NSE Equity Cash'!$A:$A,$A757)=0,"",SUMIFS('Daily NSE Equity Cash'!$H:$H,'Daily NSE Equity Cash'!$A:$A,$A757))</f>
        <v/>
      </c>
      <c r="F757" s="4">
        <f>IF(SUMIFS('Daily BSE Equity Cash'!$H:$H,'Daily BSE Equity Cash'!$A:$A,$A757)=0,"",SUMIFS('Daily BSE Equity Cash'!$H:$H,'Daily BSE Equity Cash'!$A:$A,$A757))</f>
        <v/>
      </c>
      <c r="G757" s="4">
        <f>IF(OR(E757="",F757=""),"",E757+F757)</f>
        <v/>
      </c>
      <c r="H757" s="7">
        <f>IFERROR(IF(OR(E757="",INDEX(E:E,MATCH(DATE(YEAR($A757)-1,MONTH($A757),DAY($A757)),$A:$A,0))=""),"",E757/INDEX(E:E,MATCH(DATE(YEAR($A757)-1,MONTH($A757),DAY($A757)),$A:$A,0))-1),"")</f>
        <v/>
      </c>
      <c r="I757" s="7">
        <f>IFERROR(IF(OR(F757="",INDEX(F:F,MATCH(DATE(YEAR($A757)-1,MONTH($A757),DAY($A757)),$A:$A,0))=""),"",F757/INDEX(F:F,MATCH(DATE(YEAR($A757)-1,MONTH($A757),DAY($A757)),$A:$A,0))-1),"")</f>
        <v/>
      </c>
      <c r="J757" s="7">
        <f>IFERROR(IF(OR(G757="",INDEX(G:G,MATCH(DATE(YEAR($A757)-1,MONTH($A757),DAY($A757)),$A:$A,0))=""),"",G757/INDEX(G:G,MATCH(DATE(YEAR($A757)-1,MONTH($A757),DAY($A757)),$A:$A,0))-1),"")</f>
        <v/>
      </c>
      <c r="K757" s="7">
        <f>IF(OR(E757="",E756=""),"",E757/E756-1)</f>
        <v/>
      </c>
      <c r="L757" s="7">
        <f>IF(OR(F757="",F756=""),"",F757/F756-1)</f>
        <v/>
      </c>
      <c r="M757" s="7">
        <f>IF(OR(G757="",G756=""),"",G757/G756-1)</f>
        <v/>
      </c>
      <c r="N757" s="7">
        <f>IF(G757="","",E757/G757)</f>
        <v/>
      </c>
      <c r="O757" s="7">
        <f>IF(G757="","",F757/G757)</f>
        <v/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4">
        <f>IF(SUMIFS('Daily NSE Equity Cash'!$H:$H,'Daily NSE Equity Cash'!$A:$A,$A758)=0,"",SUMIFS('Daily NSE Equity Cash'!$H:$H,'Daily NSE Equity Cash'!$A:$A,$A758))</f>
        <v/>
      </c>
      <c r="F758" s="4">
        <f>IF(SUMIFS('Daily BSE Equity Cash'!$H:$H,'Daily BSE Equity Cash'!$A:$A,$A758)=0,"",SUMIFS('Daily BSE Equity Cash'!$H:$H,'Daily BSE Equity Cash'!$A:$A,$A758))</f>
        <v/>
      </c>
      <c r="G758" s="4">
        <f>IF(OR(E758="",F758=""),"",E758+F758)</f>
        <v/>
      </c>
      <c r="H758" s="7">
        <f>IFERROR(IF(OR(E758="",INDEX(E:E,MATCH(DATE(YEAR($A758)-1,MONTH($A758),DAY($A758)),$A:$A,0))=""),"",E758/INDEX(E:E,MATCH(DATE(YEAR($A758)-1,MONTH($A758),DAY($A758)),$A:$A,0))-1),"")</f>
        <v/>
      </c>
      <c r="I758" s="7">
        <f>IFERROR(IF(OR(F758="",INDEX(F:F,MATCH(DATE(YEAR($A758)-1,MONTH($A758),DAY($A758)),$A:$A,0))=""),"",F758/INDEX(F:F,MATCH(DATE(YEAR($A758)-1,MONTH($A758),DAY($A758)),$A:$A,0))-1),"")</f>
        <v/>
      </c>
      <c r="J758" s="7">
        <f>IFERROR(IF(OR(G758="",INDEX(G:G,MATCH(DATE(YEAR($A758)-1,MONTH($A758),DAY($A758)),$A:$A,0))=""),"",G758/INDEX(G:G,MATCH(DATE(YEAR($A758)-1,MONTH($A758),DAY($A758)),$A:$A,0))-1),"")</f>
        <v/>
      </c>
      <c r="K758" s="7">
        <f>IF(OR(E758="",E757=""),"",E758/E757-1)</f>
        <v/>
      </c>
      <c r="L758" s="7">
        <f>IF(OR(F758="",F757=""),"",F758/F757-1)</f>
        <v/>
      </c>
      <c r="M758" s="7">
        <f>IF(OR(G758="",G757=""),"",G758/G757-1)</f>
        <v/>
      </c>
      <c r="N758" s="7">
        <f>IF(G758="","",E758/G758)</f>
        <v/>
      </c>
      <c r="O758" s="7">
        <f>IF(G758="","",F758/G758)</f>
        <v/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4">
        <f>IF(SUMIFS('Daily NSE Equity Cash'!$H:$H,'Daily NSE Equity Cash'!$A:$A,$A759)=0,"",SUMIFS('Daily NSE Equity Cash'!$H:$H,'Daily NSE Equity Cash'!$A:$A,$A759))</f>
        <v/>
      </c>
      <c r="F759" s="4">
        <f>IF(SUMIFS('Daily BSE Equity Cash'!$H:$H,'Daily BSE Equity Cash'!$A:$A,$A759)=0,"",SUMIFS('Daily BSE Equity Cash'!$H:$H,'Daily BSE Equity Cash'!$A:$A,$A759))</f>
        <v/>
      </c>
      <c r="G759" s="4">
        <f>IF(OR(E759="",F759=""),"",E759+F759)</f>
        <v/>
      </c>
      <c r="H759" s="7">
        <f>IFERROR(IF(OR(E759="",INDEX(E:E,MATCH(DATE(YEAR($A759)-1,MONTH($A759),DAY($A759)),$A:$A,0))=""),"",E759/INDEX(E:E,MATCH(DATE(YEAR($A759)-1,MONTH($A759),DAY($A759)),$A:$A,0))-1),"")</f>
        <v/>
      </c>
      <c r="I759" s="7">
        <f>IFERROR(IF(OR(F759="",INDEX(F:F,MATCH(DATE(YEAR($A759)-1,MONTH($A759),DAY($A759)),$A:$A,0))=""),"",F759/INDEX(F:F,MATCH(DATE(YEAR($A759)-1,MONTH($A759),DAY($A759)),$A:$A,0))-1),"")</f>
        <v/>
      </c>
      <c r="J759" s="7">
        <f>IFERROR(IF(OR(G759="",INDEX(G:G,MATCH(DATE(YEAR($A759)-1,MONTH($A759),DAY($A759)),$A:$A,0))=""),"",G759/INDEX(G:G,MATCH(DATE(YEAR($A759)-1,MONTH($A759),DAY($A759)),$A:$A,0))-1),"")</f>
        <v/>
      </c>
      <c r="K759" s="7">
        <f>IF(OR(E759="",E758=""),"",E759/E758-1)</f>
        <v/>
      </c>
      <c r="L759" s="7">
        <f>IF(OR(F759="",F758=""),"",F759/F758-1)</f>
        <v/>
      </c>
      <c r="M759" s="7">
        <f>IF(OR(G759="",G758=""),"",G759/G758-1)</f>
        <v/>
      </c>
      <c r="N759" s="7">
        <f>IF(G759="","",E759/G759)</f>
        <v/>
      </c>
      <c r="O759" s="7">
        <f>IF(G759="","",F759/G759)</f>
        <v/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4">
        <f>IF(SUMIFS('Daily NSE Equity Cash'!$H:$H,'Daily NSE Equity Cash'!$A:$A,$A760)=0,"",SUMIFS('Daily NSE Equity Cash'!$H:$H,'Daily NSE Equity Cash'!$A:$A,$A760))</f>
        <v/>
      </c>
      <c r="F760" s="4">
        <f>IF(SUMIFS('Daily BSE Equity Cash'!$H:$H,'Daily BSE Equity Cash'!$A:$A,$A760)=0,"",SUMIFS('Daily BSE Equity Cash'!$H:$H,'Daily BSE Equity Cash'!$A:$A,$A760))</f>
        <v/>
      </c>
      <c r="G760" s="4">
        <f>IF(OR(E760="",F760=""),"",E760+F760)</f>
        <v/>
      </c>
      <c r="H760" s="7">
        <f>IFERROR(IF(OR(E760="",INDEX(E:E,MATCH(DATE(YEAR($A760)-1,MONTH($A760),DAY($A760)),$A:$A,0))=""),"",E760/INDEX(E:E,MATCH(DATE(YEAR($A760)-1,MONTH($A760),DAY($A760)),$A:$A,0))-1),"")</f>
        <v/>
      </c>
      <c r="I760" s="7">
        <f>IFERROR(IF(OR(F760="",INDEX(F:F,MATCH(DATE(YEAR($A760)-1,MONTH($A760),DAY($A760)),$A:$A,0))=""),"",F760/INDEX(F:F,MATCH(DATE(YEAR($A760)-1,MONTH($A760),DAY($A760)),$A:$A,0))-1),"")</f>
        <v/>
      </c>
      <c r="J760" s="7">
        <f>IFERROR(IF(OR(G760="",INDEX(G:G,MATCH(DATE(YEAR($A760)-1,MONTH($A760),DAY($A760)),$A:$A,0))=""),"",G760/INDEX(G:G,MATCH(DATE(YEAR($A760)-1,MONTH($A760),DAY($A760)),$A:$A,0))-1),"")</f>
        <v/>
      </c>
      <c r="K760" s="7">
        <f>IF(OR(E760="",E759=""),"",E760/E759-1)</f>
        <v/>
      </c>
      <c r="L760" s="7">
        <f>IF(OR(F760="",F759=""),"",F760/F759-1)</f>
        <v/>
      </c>
      <c r="M760" s="7">
        <f>IF(OR(G760="",G759=""),"",G760/G759-1)</f>
        <v/>
      </c>
      <c r="N760" s="7">
        <f>IF(G760="","",E760/G760)</f>
        <v/>
      </c>
      <c r="O760" s="7">
        <f>IF(G760="","",F760/G760)</f>
        <v/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4">
        <f>IF(SUMIFS('Daily NSE Equity Cash'!$H:$H,'Daily NSE Equity Cash'!$A:$A,$A761)=0,"",SUMIFS('Daily NSE Equity Cash'!$H:$H,'Daily NSE Equity Cash'!$A:$A,$A761))</f>
        <v/>
      </c>
      <c r="F761" s="4">
        <f>IF(SUMIFS('Daily BSE Equity Cash'!$H:$H,'Daily BSE Equity Cash'!$A:$A,$A761)=0,"",SUMIFS('Daily BSE Equity Cash'!$H:$H,'Daily BSE Equity Cash'!$A:$A,$A761))</f>
        <v/>
      </c>
      <c r="G761" s="4">
        <f>IF(OR(E761="",F761=""),"",E761+F761)</f>
        <v/>
      </c>
      <c r="H761" s="7">
        <f>IFERROR(IF(OR(E761="",INDEX(E:E,MATCH(DATE(YEAR($A761)-1,MONTH($A761),DAY($A761)),$A:$A,0))=""),"",E761/INDEX(E:E,MATCH(DATE(YEAR($A761)-1,MONTH($A761),DAY($A761)),$A:$A,0))-1),"")</f>
        <v/>
      </c>
      <c r="I761" s="7">
        <f>IFERROR(IF(OR(F761="",INDEX(F:F,MATCH(DATE(YEAR($A761)-1,MONTH($A761),DAY($A761)),$A:$A,0))=""),"",F761/INDEX(F:F,MATCH(DATE(YEAR($A761)-1,MONTH($A761),DAY($A761)),$A:$A,0))-1),"")</f>
        <v/>
      </c>
      <c r="J761" s="7">
        <f>IFERROR(IF(OR(G761="",INDEX(G:G,MATCH(DATE(YEAR($A761)-1,MONTH($A761),DAY($A761)),$A:$A,0))=""),"",G761/INDEX(G:G,MATCH(DATE(YEAR($A761)-1,MONTH($A761),DAY($A761)),$A:$A,0))-1),"")</f>
        <v/>
      </c>
      <c r="K761" s="7">
        <f>IF(OR(E761="",E760=""),"",E761/E760-1)</f>
        <v/>
      </c>
      <c r="L761" s="7">
        <f>IF(OR(F761="",F760=""),"",F761/F760-1)</f>
        <v/>
      </c>
      <c r="M761" s="7">
        <f>IF(OR(G761="",G760=""),"",G761/G760-1)</f>
        <v/>
      </c>
      <c r="N761" s="7">
        <f>IF(G761="","",E761/G761)</f>
        <v/>
      </c>
      <c r="O761" s="7">
        <f>IF(G761="","",F761/G761)</f>
        <v/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4">
        <f>IF(SUMIFS('Daily NSE Equity Cash'!$H:$H,'Daily NSE Equity Cash'!$A:$A,$A762)=0,"",SUMIFS('Daily NSE Equity Cash'!$H:$H,'Daily NSE Equity Cash'!$A:$A,$A762))</f>
        <v/>
      </c>
      <c r="F762" s="4">
        <f>IF(SUMIFS('Daily BSE Equity Cash'!$H:$H,'Daily BSE Equity Cash'!$A:$A,$A762)=0,"",SUMIFS('Daily BSE Equity Cash'!$H:$H,'Daily BSE Equity Cash'!$A:$A,$A762))</f>
        <v/>
      </c>
      <c r="G762" s="4">
        <f>IF(OR(E762="",F762=""),"",E762+F762)</f>
        <v/>
      </c>
      <c r="H762" s="7">
        <f>IFERROR(IF(OR(E762="",INDEX(E:E,MATCH(DATE(YEAR($A762)-1,MONTH($A762),DAY($A762)),$A:$A,0))=""),"",E762/INDEX(E:E,MATCH(DATE(YEAR($A762)-1,MONTH($A762),DAY($A762)),$A:$A,0))-1),"")</f>
        <v/>
      </c>
      <c r="I762" s="7">
        <f>IFERROR(IF(OR(F762="",INDEX(F:F,MATCH(DATE(YEAR($A762)-1,MONTH($A762),DAY($A762)),$A:$A,0))=""),"",F762/INDEX(F:F,MATCH(DATE(YEAR($A762)-1,MONTH($A762),DAY($A762)),$A:$A,0))-1),"")</f>
        <v/>
      </c>
      <c r="J762" s="7">
        <f>IFERROR(IF(OR(G762="",INDEX(G:G,MATCH(DATE(YEAR($A762)-1,MONTH($A762),DAY($A762)),$A:$A,0))=""),"",G762/INDEX(G:G,MATCH(DATE(YEAR($A762)-1,MONTH($A762),DAY($A762)),$A:$A,0))-1),"")</f>
        <v/>
      </c>
      <c r="K762" s="7">
        <f>IF(OR(E762="",E761=""),"",E762/E761-1)</f>
        <v/>
      </c>
      <c r="L762" s="7">
        <f>IF(OR(F762="",F761=""),"",F762/F761-1)</f>
        <v/>
      </c>
      <c r="M762" s="7">
        <f>IF(OR(G762="",G761=""),"",G762/G761-1)</f>
        <v/>
      </c>
      <c r="N762" s="7">
        <f>IF(G762="","",E762/G762)</f>
        <v/>
      </c>
      <c r="O762" s="7">
        <f>IF(G762="","",F762/G762)</f>
        <v/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4">
        <f>IF(SUMIFS('Daily NSE Equity Cash'!$H:$H,'Daily NSE Equity Cash'!$A:$A,$A763)=0,"",SUMIFS('Daily NSE Equity Cash'!$H:$H,'Daily NSE Equity Cash'!$A:$A,$A763))</f>
        <v/>
      </c>
      <c r="F763" s="4">
        <f>IF(SUMIFS('Daily BSE Equity Cash'!$H:$H,'Daily BSE Equity Cash'!$A:$A,$A763)=0,"",SUMIFS('Daily BSE Equity Cash'!$H:$H,'Daily BSE Equity Cash'!$A:$A,$A763))</f>
        <v/>
      </c>
      <c r="G763" s="4">
        <f>IF(OR(E763="",F763=""),"",E763+F763)</f>
        <v/>
      </c>
      <c r="H763" s="7">
        <f>IFERROR(IF(OR(E763="",INDEX(E:E,MATCH(DATE(YEAR($A763)-1,MONTH($A763),DAY($A763)),$A:$A,0))=""),"",E763/INDEX(E:E,MATCH(DATE(YEAR($A763)-1,MONTH($A763),DAY($A763)),$A:$A,0))-1),"")</f>
        <v/>
      </c>
      <c r="I763" s="7">
        <f>IFERROR(IF(OR(F763="",INDEX(F:F,MATCH(DATE(YEAR($A763)-1,MONTH($A763),DAY($A763)),$A:$A,0))=""),"",F763/INDEX(F:F,MATCH(DATE(YEAR($A763)-1,MONTH($A763),DAY($A763)),$A:$A,0))-1),"")</f>
        <v/>
      </c>
      <c r="J763" s="7">
        <f>IFERROR(IF(OR(G763="",INDEX(G:G,MATCH(DATE(YEAR($A763)-1,MONTH($A763),DAY($A763)),$A:$A,0))=""),"",G763/INDEX(G:G,MATCH(DATE(YEAR($A763)-1,MONTH($A763),DAY($A763)),$A:$A,0))-1),"")</f>
        <v/>
      </c>
      <c r="K763" s="7">
        <f>IF(OR(E763="",E762=""),"",E763/E762-1)</f>
        <v/>
      </c>
      <c r="L763" s="7">
        <f>IF(OR(F763="",F762=""),"",F763/F762-1)</f>
        <v/>
      </c>
      <c r="M763" s="7">
        <f>IF(OR(G763="",G762=""),"",G763/G762-1)</f>
        <v/>
      </c>
      <c r="N763" s="7">
        <f>IF(G763="","",E763/G763)</f>
        <v/>
      </c>
      <c r="O763" s="7">
        <f>IF(G763="","",F763/G763)</f>
        <v/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4">
        <f>IF(SUMIFS('Daily NSE Equity Cash'!$H:$H,'Daily NSE Equity Cash'!$A:$A,$A764)=0,"",SUMIFS('Daily NSE Equity Cash'!$H:$H,'Daily NSE Equity Cash'!$A:$A,$A764))</f>
        <v/>
      </c>
      <c r="F764" s="4">
        <f>IF(SUMIFS('Daily BSE Equity Cash'!$H:$H,'Daily BSE Equity Cash'!$A:$A,$A764)=0,"",SUMIFS('Daily BSE Equity Cash'!$H:$H,'Daily BSE Equity Cash'!$A:$A,$A764))</f>
        <v/>
      </c>
      <c r="G764" s="4">
        <f>IF(OR(E764="",F764=""),"",E764+F764)</f>
        <v/>
      </c>
      <c r="H764" s="7">
        <f>IFERROR(IF(OR(E764="",INDEX(E:E,MATCH(DATE(YEAR($A764)-1,MONTH($A764),DAY($A764)),$A:$A,0))=""),"",E764/INDEX(E:E,MATCH(DATE(YEAR($A764)-1,MONTH($A764),DAY($A764)),$A:$A,0))-1),"")</f>
        <v/>
      </c>
      <c r="I764" s="7">
        <f>IFERROR(IF(OR(F764="",INDEX(F:F,MATCH(DATE(YEAR($A764)-1,MONTH($A764),DAY($A764)),$A:$A,0))=""),"",F764/INDEX(F:F,MATCH(DATE(YEAR($A764)-1,MONTH($A764),DAY($A764)),$A:$A,0))-1),"")</f>
        <v/>
      </c>
      <c r="J764" s="7">
        <f>IFERROR(IF(OR(G764="",INDEX(G:G,MATCH(DATE(YEAR($A764)-1,MONTH($A764),DAY($A764)),$A:$A,0))=""),"",G764/INDEX(G:G,MATCH(DATE(YEAR($A764)-1,MONTH($A764),DAY($A764)),$A:$A,0))-1),"")</f>
        <v/>
      </c>
      <c r="K764" s="7">
        <f>IF(OR(E764="",E763=""),"",E764/E763-1)</f>
        <v/>
      </c>
      <c r="L764" s="7">
        <f>IF(OR(F764="",F763=""),"",F764/F763-1)</f>
        <v/>
      </c>
      <c r="M764" s="7">
        <f>IF(OR(G764="",G763=""),"",G764/G763-1)</f>
        <v/>
      </c>
      <c r="N764" s="7">
        <f>IF(G764="","",E764/G764)</f>
        <v/>
      </c>
      <c r="O764" s="7">
        <f>IF(G764="","",F764/G764)</f>
        <v/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4">
        <f>IF(SUMIFS('Daily NSE Equity Cash'!$H:$H,'Daily NSE Equity Cash'!$A:$A,$A765)=0,"",SUMIFS('Daily NSE Equity Cash'!$H:$H,'Daily NSE Equity Cash'!$A:$A,$A765))</f>
        <v/>
      </c>
      <c r="F765" s="4">
        <f>IF(SUMIFS('Daily BSE Equity Cash'!$H:$H,'Daily BSE Equity Cash'!$A:$A,$A765)=0,"",SUMIFS('Daily BSE Equity Cash'!$H:$H,'Daily BSE Equity Cash'!$A:$A,$A765))</f>
        <v/>
      </c>
      <c r="G765" s="4">
        <f>IF(OR(E765="",F765=""),"",E765+F765)</f>
        <v/>
      </c>
      <c r="H765" s="7">
        <f>IFERROR(IF(OR(E765="",INDEX(E:E,MATCH(DATE(YEAR($A765)-1,MONTH($A765),DAY($A765)),$A:$A,0))=""),"",E765/INDEX(E:E,MATCH(DATE(YEAR($A765)-1,MONTH($A765),DAY($A765)),$A:$A,0))-1),"")</f>
        <v/>
      </c>
      <c r="I765" s="7">
        <f>IFERROR(IF(OR(F765="",INDEX(F:F,MATCH(DATE(YEAR($A765)-1,MONTH($A765),DAY($A765)),$A:$A,0))=""),"",F765/INDEX(F:F,MATCH(DATE(YEAR($A765)-1,MONTH($A765),DAY($A765)),$A:$A,0))-1),"")</f>
        <v/>
      </c>
      <c r="J765" s="7">
        <f>IFERROR(IF(OR(G765="",INDEX(G:G,MATCH(DATE(YEAR($A765)-1,MONTH($A765),DAY($A765)),$A:$A,0))=""),"",G765/INDEX(G:G,MATCH(DATE(YEAR($A765)-1,MONTH($A765),DAY($A765)),$A:$A,0))-1),"")</f>
        <v/>
      </c>
      <c r="K765" s="7">
        <f>IF(OR(E765="",E764=""),"",E765/E764-1)</f>
        <v/>
      </c>
      <c r="L765" s="7">
        <f>IF(OR(F765="",F764=""),"",F765/F764-1)</f>
        <v/>
      </c>
      <c r="M765" s="7">
        <f>IF(OR(G765="",G764=""),"",G765/G764-1)</f>
        <v/>
      </c>
      <c r="N765" s="7">
        <f>IF(G765="","",E765/G765)</f>
        <v/>
      </c>
      <c r="O765" s="7">
        <f>IF(G765="","",F765/G765)</f>
        <v/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4">
        <f>IF(SUMIFS('Daily NSE Equity Cash'!$H:$H,'Daily NSE Equity Cash'!$A:$A,$A766)=0,"",SUMIFS('Daily NSE Equity Cash'!$H:$H,'Daily NSE Equity Cash'!$A:$A,$A766))</f>
        <v/>
      </c>
      <c r="F766" s="4">
        <f>IF(SUMIFS('Daily BSE Equity Cash'!$H:$H,'Daily BSE Equity Cash'!$A:$A,$A766)=0,"",SUMIFS('Daily BSE Equity Cash'!$H:$H,'Daily BSE Equity Cash'!$A:$A,$A766))</f>
        <v/>
      </c>
      <c r="G766" s="4">
        <f>IF(OR(E766="",F766=""),"",E766+F766)</f>
        <v/>
      </c>
      <c r="H766" s="7">
        <f>IFERROR(IF(OR(E766="",INDEX(E:E,MATCH(DATE(YEAR($A766)-1,MONTH($A766),DAY($A766)),$A:$A,0))=""),"",E766/INDEX(E:E,MATCH(DATE(YEAR($A766)-1,MONTH($A766),DAY($A766)),$A:$A,0))-1),"")</f>
        <v/>
      </c>
      <c r="I766" s="7">
        <f>IFERROR(IF(OR(F766="",INDEX(F:F,MATCH(DATE(YEAR($A766)-1,MONTH($A766),DAY($A766)),$A:$A,0))=""),"",F766/INDEX(F:F,MATCH(DATE(YEAR($A766)-1,MONTH($A766),DAY($A766)),$A:$A,0))-1),"")</f>
        <v/>
      </c>
      <c r="J766" s="7">
        <f>IFERROR(IF(OR(G766="",INDEX(G:G,MATCH(DATE(YEAR($A766)-1,MONTH($A766),DAY($A766)),$A:$A,0))=""),"",G766/INDEX(G:G,MATCH(DATE(YEAR($A766)-1,MONTH($A766),DAY($A766)),$A:$A,0))-1),"")</f>
        <v/>
      </c>
      <c r="K766" s="7">
        <f>IF(OR(E766="",E765=""),"",E766/E765-1)</f>
        <v/>
      </c>
      <c r="L766" s="7">
        <f>IF(OR(F766="",F765=""),"",F766/F765-1)</f>
        <v/>
      </c>
      <c r="M766" s="7">
        <f>IF(OR(G766="",G765=""),"",G766/G765-1)</f>
        <v/>
      </c>
      <c r="N766" s="7">
        <f>IF(G766="","",E766/G766)</f>
        <v/>
      </c>
      <c r="O766" s="7">
        <f>IF(G766="","",F766/G766)</f>
        <v/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4">
        <f>IF(SUMIFS('Daily NSE Equity Cash'!$H:$H,'Daily NSE Equity Cash'!$A:$A,$A767)=0,"",SUMIFS('Daily NSE Equity Cash'!$H:$H,'Daily NSE Equity Cash'!$A:$A,$A767))</f>
        <v/>
      </c>
      <c r="F767" s="4">
        <f>IF(SUMIFS('Daily BSE Equity Cash'!$H:$H,'Daily BSE Equity Cash'!$A:$A,$A767)=0,"",SUMIFS('Daily BSE Equity Cash'!$H:$H,'Daily BSE Equity Cash'!$A:$A,$A767))</f>
        <v/>
      </c>
      <c r="G767" s="4">
        <f>IF(OR(E767="",F767=""),"",E767+F767)</f>
        <v/>
      </c>
      <c r="H767" s="7">
        <f>IFERROR(IF(OR(E767="",INDEX(E:E,MATCH(DATE(YEAR($A767)-1,MONTH($A767),DAY($A767)),$A:$A,0))=""),"",E767/INDEX(E:E,MATCH(DATE(YEAR($A767)-1,MONTH($A767),DAY($A767)),$A:$A,0))-1),"")</f>
        <v/>
      </c>
      <c r="I767" s="7">
        <f>IFERROR(IF(OR(F767="",INDEX(F:F,MATCH(DATE(YEAR($A767)-1,MONTH($A767),DAY($A767)),$A:$A,0))=""),"",F767/INDEX(F:F,MATCH(DATE(YEAR($A767)-1,MONTH($A767),DAY($A767)),$A:$A,0))-1),"")</f>
        <v/>
      </c>
      <c r="J767" s="7">
        <f>IFERROR(IF(OR(G767="",INDEX(G:G,MATCH(DATE(YEAR($A767)-1,MONTH($A767),DAY($A767)),$A:$A,0))=""),"",G767/INDEX(G:G,MATCH(DATE(YEAR($A767)-1,MONTH($A767),DAY($A767)),$A:$A,0))-1),"")</f>
        <v/>
      </c>
      <c r="K767" s="7">
        <f>IF(OR(E767="",E766=""),"",E767/E766-1)</f>
        <v/>
      </c>
      <c r="L767" s="7">
        <f>IF(OR(F767="",F766=""),"",F767/F766-1)</f>
        <v/>
      </c>
      <c r="M767" s="7">
        <f>IF(OR(G767="",G766=""),"",G767/G766-1)</f>
        <v/>
      </c>
      <c r="N767" s="7">
        <f>IF(G767="","",E767/G767)</f>
        <v/>
      </c>
      <c r="O767" s="7">
        <f>IF(G767="","",F767/G767)</f>
        <v/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4">
        <f>IF(SUMIFS('Daily NSE Equity Cash'!$H:$H,'Daily NSE Equity Cash'!$A:$A,$A768)=0,"",SUMIFS('Daily NSE Equity Cash'!$H:$H,'Daily NSE Equity Cash'!$A:$A,$A768))</f>
        <v/>
      </c>
      <c r="F768" s="4">
        <f>IF(SUMIFS('Daily BSE Equity Cash'!$H:$H,'Daily BSE Equity Cash'!$A:$A,$A768)=0,"",SUMIFS('Daily BSE Equity Cash'!$H:$H,'Daily BSE Equity Cash'!$A:$A,$A768))</f>
        <v/>
      </c>
      <c r="G768" s="4">
        <f>IF(OR(E768="",F768=""),"",E768+F768)</f>
        <v/>
      </c>
      <c r="H768" s="7">
        <f>IFERROR(IF(OR(E768="",INDEX(E:E,MATCH(DATE(YEAR($A768)-1,MONTH($A768),DAY($A768)),$A:$A,0))=""),"",E768/INDEX(E:E,MATCH(DATE(YEAR($A768)-1,MONTH($A768),DAY($A768)),$A:$A,0))-1),"")</f>
        <v/>
      </c>
      <c r="I768" s="7">
        <f>IFERROR(IF(OR(F768="",INDEX(F:F,MATCH(DATE(YEAR($A768)-1,MONTH($A768),DAY($A768)),$A:$A,0))=""),"",F768/INDEX(F:F,MATCH(DATE(YEAR($A768)-1,MONTH($A768),DAY($A768)),$A:$A,0))-1),"")</f>
        <v/>
      </c>
      <c r="J768" s="7">
        <f>IFERROR(IF(OR(G768="",INDEX(G:G,MATCH(DATE(YEAR($A768)-1,MONTH($A768),DAY($A768)),$A:$A,0))=""),"",G768/INDEX(G:G,MATCH(DATE(YEAR($A768)-1,MONTH($A768),DAY($A768)),$A:$A,0))-1),"")</f>
        <v/>
      </c>
      <c r="K768" s="7">
        <f>IF(OR(E768="",E767=""),"",E768/E767-1)</f>
        <v/>
      </c>
      <c r="L768" s="7">
        <f>IF(OR(F768="",F767=""),"",F768/F767-1)</f>
        <v/>
      </c>
      <c r="M768" s="7">
        <f>IF(OR(G768="",G767=""),"",G768/G767-1)</f>
        <v/>
      </c>
      <c r="N768" s="7">
        <f>IF(G768="","",E768/G768)</f>
        <v/>
      </c>
      <c r="O768" s="7">
        <f>IF(G768="","",F768/G768)</f>
        <v/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4">
        <f>IF(SUMIFS('Daily NSE Equity Cash'!$H:$H,'Daily NSE Equity Cash'!$A:$A,$A769)=0,"",SUMIFS('Daily NSE Equity Cash'!$H:$H,'Daily NSE Equity Cash'!$A:$A,$A769))</f>
        <v/>
      </c>
      <c r="F769" s="4">
        <f>IF(SUMIFS('Daily BSE Equity Cash'!$H:$H,'Daily BSE Equity Cash'!$A:$A,$A769)=0,"",SUMIFS('Daily BSE Equity Cash'!$H:$H,'Daily BSE Equity Cash'!$A:$A,$A769))</f>
        <v/>
      </c>
      <c r="G769" s="4">
        <f>IF(OR(E769="",F769=""),"",E769+F769)</f>
        <v/>
      </c>
      <c r="H769" s="7">
        <f>IFERROR(IF(OR(E769="",INDEX(E:E,MATCH(DATE(YEAR($A769)-1,MONTH($A769),DAY($A769)),$A:$A,0))=""),"",E769/INDEX(E:E,MATCH(DATE(YEAR($A769)-1,MONTH($A769),DAY($A769)),$A:$A,0))-1),"")</f>
        <v/>
      </c>
      <c r="I769" s="7">
        <f>IFERROR(IF(OR(F769="",INDEX(F:F,MATCH(DATE(YEAR($A769)-1,MONTH($A769),DAY($A769)),$A:$A,0))=""),"",F769/INDEX(F:F,MATCH(DATE(YEAR($A769)-1,MONTH($A769),DAY($A769)),$A:$A,0))-1),"")</f>
        <v/>
      </c>
      <c r="J769" s="7">
        <f>IFERROR(IF(OR(G769="",INDEX(G:G,MATCH(DATE(YEAR($A769)-1,MONTH($A769),DAY($A769)),$A:$A,0))=""),"",G769/INDEX(G:G,MATCH(DATE(YEAR($A769)-1,MONTH($A769),DAY($A769)),$A:$A,0))-1),"")</f>
        <v/>
      </c>
      <c r="K769" s="7">
        <f>IF(OR(E769="",E768=""),"",E769/E768-1)</f>
        <v/>
      </c>
      <c r="L769" s="7">
        <f>IF(OR(F769="",F768=""),"",F769/F768-1)</f>
        <v/>
      </c>
      <c r="M769" s="7">
        <f>IF(OR(G769="",G768=""),"",G769/G768-1)</f>
        <v/>
      </c>
      <c r="N769" s="7">
        <f>IF(G769="","",E769/G769)</f>
        <v/>
      </c>
      <c r="O769" s="7">
        <f>IF(G769="","",F769/G769)</f>
        <v/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4">
        <f>IF(SUMIFS('Daily NSE Equity Cash'!$H:$H,'Daily NSE Equity Cash'!$A:$A,$A770)=0,"",SUMIFS('Daily NSE Equity Cash'!$H:$H,'Daily NSE Equity Cash'!$A:$A,$A770))</f>
        <v/>
      </c>
      <c r="F770" s="4">
        <f>IF(SUMIFS('Daily BSE Equity Cash'!$H:$H,'Daily BSE Equity Cash'!$A:$A,$A770)=0,"",SUMIFS('Daily BSE Equity Cash'!$H:$H,'Daily BSE Equity Cash'!$A:$A,$A770))</f>
        <v/>
      </c>
      <c r="G770" s="4">
        <f>IF(OR(E770="",F770=""),"",E770+F770)</f>
        <v/>
      </c>
      <c r="H770" s="7">
        <f>IFERROR(IF(OR(E770="",INDEX(E:E,MATCH(DATE(YEAR($A770)-1,MONTH($A770),DAY($A770)),$A:$A,0))=""),"",E770/INDEX(E:E,MATCH(DATE(YEAR($A770)-1,MONTH($A770),DAY($A770)),$A:$A,0))-1),"")</f>
        <v/>
      </c>
      <c r="I770" s="7">
        <f>IFERROR(IF(OR(F770="",INDEX(F:F,MATCH(DATE(YEAR($A770)-1,MONTH($A770),DAY($A770)),$A:$A,0))=""),"",F770/INDEX(F:F,MATCH(DATE(YEAR($A770)-1,MONTH($A770),DAY($A770)),$A:$A,0))-1),"")</f>
        <v/>
      </c>
      <c r="J770" s="7">
        <f>IFERROR(IF(OR(G770="",INDEX(G:G,MATCH(DATE(YEAR($A770)-1,MONTH($A770),DAY($A770)),$A:$A,0))=""),"",G770/INDEX(G:G,MATCH(DATE(YEAR($A770)-1,MONTH($A770),DAY($A770)),$A:$A,0))-1),"")</f>
        <v/>
      </c>
      <c r="K770" s="7">
        <f>IF(OR(E770="",E769=""),"",E770/E769-1)</f>
        <v/>
      </c>
      <c r="L770" s="7">
        <f>IF(OR(F770="",F769=""),"",F770/F769-1)</f>
        <v/>
      </c>
      <c r="M770" s="7">
        <f>IF(OR(G770="",G769=""),"",G770/G769-1)</f>
        <v/>
      </c>
      <c r="N770" s="7">
        <f>IF(G770="","",E770/G770)</f>
        <v/>
      </c>
      <c r="O770" s="7">
        <f>IF(G770="","",F770/G770)</f>
        <v/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4">
        <f>IF(SUMIFS('Daily NSE Equity Cash'!$H:$H,'Daily NSE Equity Cash'!$A:$A,$A771)=0,"",SUMIFS('Daily NSE Equity Cash'!$H:$H,'Daily NSE Equity Cash'!$A:$A,$A771))</f>
        <v/>
      </c>
      <c r="F771" s="4">
        <f>IF(SUMIFS('Daily BSE Equity Cash'!$H:$H,'Daily BSE Equity Cash'!$A:$A,$A771)=0,"",SUMIFS('Daily BSE Equity Cash'!$H:$H,'Daily BSE Equity Cash'!$A:$A,$A771))</f>
        <v/>
      </c>
      <c r="G771" s="4">
        <f>IF(OR(E771="",F771=""),"",E771+F771)</f>
        <v/>
      </c>
      <c r="H771" s="7">
        <f>IFERROR(IF(OR(E771="",INDEX(E:E,MATCH(DATE(YEAR($A771)-1,MONTH($A771),DAY($A771)),$A:$A,0))=""),"",E771/INDEX(E:E,MATCH(DATE(YEAR($A771)-1,MONTH($A771),DAY($A771)),$A:$A,0))-1),"")</f>
        <v/>
      </c>
      <c r="I771" s="7">
        <f>IFERROR(IF(OR(F771="",INDEX(F:F,MATCH(DATE(YEAR($A771)-1,MONTH($A771),DAY($A771)),$A:$A,0))=""),"",F771/INDEX(F:F,MATCH(DATE(YEAR($A771)-1,MONTH($A771),DAY($A771)),$A:$A,0))-1),"")</f>
        <v/>
      </c>
      <c r="J771" s="7">
        <f>IFERROR(IF(OR(G771="",INDEX(G:G,MATCH(DATE(YEAR($A771)-1,MONTH($A771),DAY($A771)),$A:$A,0))=""),"",G771/INDEX(G:G,MATCH(DATE(YEAR($A771)-1,MONTH($A771),DAY($A771)),$A:$A,0))-1),"")</f>
        <v/>
      </c>
      <c r="K771" s="7">
        <f>IF(OR(E771="",E770=""),"",E771/E770-1)</f>
        <v/>
      </c>
      <c r="L771" s="7">
        <f>IF(OR(F771="",F770=""),"",F771/F770-1)</f>
        <v/>
      </c>
      <c r="M771" s="7">
        <f>IF(OR(G771="",G770=""),"",G771/G770-1)</f>
        <v/>
      </c>
      <c r="N771" s="7">
        <f>IF(G771="","",E771/G771)</f>
        <v/>
      </c>
      <c r="O771" s="7">
        <f>IF(G771="","",F771/G771)</f>
        <v/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4">
        <f>IF(SUMIFS('Daily NSE Equity Cash'!$H:$H,'Daily NSE Equity Cash'!$A:$A,$A772)=0,"",SUMIFS('Daily NSE Equity Cash'!$H:$H,'Daily NSE Equity Cash'!$A:$A,$A772))</f>
        <v/>
      </c>
      <c r="F772" s="4">
        <f>IF(SUMIFS('Daily BSE Equity Cash'!$H:$H,'Daily BSE Equity Cash'!$A:$A,$A772)=0,"",SUMIFS('Daily BSE Equity Cash'!$H:$H,'Daily BSE Equity Cash'!$A:$A,$A772))</f>
        <v/>
      </c>
      <c r="G772" s="4">
        <f>IF(OR(E772="",F772=""),"",E772+F772)</f>
        <v/>
      </c>
      <c r="H772" s="7">
        <f>IFERROR(IF(OR(E772="",INDEX(E:E,MATCH(DATE(YEAR($A772)-1,MONTH($A772),DAY($A772)),$A:$A,0))=""),"",E772/INDEX(E:E,MATCH(DATE(YEAR($A772)-1,MONTH($A772),DAY($A772)),$A:$A,0))-1),"")</f>
        <v/>
      </c>
      <c r="I772" s="7">
        <f>IFERROR(IF(OR(F772="",INDEX(F:F,MATCH(DATE(YEAR($A772)-1,MONTH($A772),DAY($A772)),$A:$A,0))=""),"",F772/INDEX(F:F,MATCH(DATE(YEAR($A772)-1,MONTH($A772),DAY($A772)),$A:$A,0))-1),"")</f>
        <v/>
      </c>
      <c r="J772" s="7">
        <f>IFERROR(IF(OR(G772="",INDEX(G:G,MATCH(DATE(YEAR($A772)-1,MONTH($A772),DAY($A772)),$A:$A,0))=""),"",G772/INDEX(G:G,MATCH(DATE(YEAR($A772)-1,MONTH($A772),DAY($A772)),$A:$A,0))-1),"")</f>
        <v/>
      </c>
      <c r="K772" s="7">
        <f>IF(OR(E772="",E771=""),"",E772/E771-1)</f>
        <v/>
      </c>
      <c r="L772" s="7">
        <f>IF(OR(F772="",F771=""),"",F772/F771-1)</f>
        <v/>
      </c>
      <c r="M772" s="7">
        <f>IF(OR(G772="",G771=""),"",G772/G771-1)</f>
        <v/>
      </c>
      <c r="N772" s="7">
        <f>IF(G772="","",E772/G772)</f>
        <v/>
      </c>
      <c r="O772" s="7">
        <f>IF(G772="","",F772/G772)</f>
        <v/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4">
        <f>IF(SUMIFS('Daily NSE Equity Cash'!$H:$H,'Daily NSE Equity Cash'!$A:$A,$A773)=0,"",SUMIFS('Daily NSE Equity Cash'!$H:$H,'Daily NSE Equity Cash'!$A:$A,$A773))</f>
        <v/>
      </c>
      <c r="F773" s="4">
        <f>IF(SUMIFS('Daily BSE Equity Cash'!$H:$H,'Daily BSE Equity Cash'!$A:$A,$A773)=0,"",SUMIFS('Daily BSE Equity Cash'!$H:$H,'Daily BSE Equity Cash'!$A:$A,$A773))</f>
        <v/>
      </c>
      <c r="G773" s="4">
        <f>IF(OR(E773="",F773=""),"",E773+F773)</f>
        <v/>
      </c>
      <c r="H773" s="7">
        <f>IFERROR(IF(OR(E773="",INDEX(E:E,MATCH(DATE(YEAR($A773)-1,MONTH($A773),DAY($A773)),$A:$A,0))=""),"",E773/INDEX(E:E,MATCH(DATE(YEAR($A773)-1,MONTH($A773),DAY($A773)),$A:$A,0))-1),"")</f>
        <v/>
      </c>
      <c r="I773" s="7">
        <f>IFERROR(IF(OR(F773="",INDEX(F:F,MATCH(DATE(YEAR($A773)-1,MONTH($A773),DAY($A773)),$A:$A,0))=""),"",F773/INDEX(F:F,MATCH(DATE(YEAR($A773)-1,MONTH($A773),DAY($A773)),$A:$A,0))-1),"")</f>
        <v/>
      </c>
      <c r="J773" s="7">
        <f>IFERROR(IF(OR(G773="",INDEX(G:G,MATCH(DATE(YEAR($A773)-1,MONTH($A773),DAY($A773)),$A:$A,0))=""),"",G773/INDEX(G:G,MATCH(DATE(YEAR($A773)-1,MONTH($A773),DAY($A773)),$A:$A,0))-1),"")</f>
        <v/>
      </c>
      <c r="K773" s="7">
        <f>IF(OR(E773="",E772=""),"",E773/E772-1)</f>
        <v/>
      </c>
      <c r="L773" s="7">
        <f>IF(OR(F773="",F772=""),"",F773/F772-1)</f>
        <v/>
      </c>
      <c r="M773" s="7">
        <f>IF(OR(G773="",G772=""),"",G773/G772-1)</f>
        <v/>
      </c>
      <c r="N773" s="7">
        <f>IF(G773="","",E773/G773)</f>
        <v/>
      </c>
      <c r="O773" s="7">
        <f>IF(G773="","",F773/G773)</f>
        <v/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4">
        <f>IF(SUMIFS('Daily NSE Equity Cash'!$H:$H,'Daily NSE Equity Cash'!$A:$A,$A774)=0,"",SUMIFS('Daily NSE Equity Cash'!$H:$H,'Daily NSE Equity Cash'!$A:$A,$A774))</f>
        <v/>
      </c>
      <c r="F774" s="4">
        <f>IF(SUMIFS('Daily BSE Equity Cash'!$H:$H,'Daily BSE Equity Cash'!$A:$A,$A774)=0,"",SUMIFS('Daily BSE Equity Cash'!$H:$H,'Daily BSE Equity Cash'!$A:$A,$A774))</f>
        <v/>
      </c>
      <c r="G774" s="4">
        <f>IF(OR(E774="",F774=""),"",E774+F774)</f>
        <v/>
      </c>
      <c r="H774" s="7">
        <f>IFERROR(IF(OR(E774="",INDEX(E:E,MATCH(DATE(YEAR($A774)-1,MONTH($A774),DAY($A774)),$A:$A,0))=""),"",E774/INDEX(E:E,MATCH(DATE(YEAR($A774)-1,MONTH($A774),DAY($A774)),$A:$A,0))-1),"")</f>
        <v/>
      </c>
      <c r="I774" s="7">
        <f>IFERROR(IF(OR(F774="",INDEX(F:F,MATCH(DATE(YEAR($A774)-1,MONTH($A774),DAY($A774)),$A:$A,0))=""),"",F774/INDEX(F:F,MATCH(DATE(YEAR($A774)-1,MONTH($A774),DAY($A774)),$A:$A,0))-1),"")</f>
        <v/>
      </c>
      <c r="J774" s="7">
        <f>IFERROR(IF(OR(G774="",INDEX(G:G,MATCH(DATE(YEAR($A774)-1,MONTH($A774),DAY($A774)),$A:$A,0))=""),"",G774/INDEX(G:G,MATCH(DATE(YEAR($A774)-1,MONTH($A774),DAY($A774)),$A:$A,0))-1),"")</f>
        <v/>
      </c>
      <c r="K774" s="7">
        <f>IF(OR(E774="",E773=""),"",E774/E773-1)</f>
        <v/>
      </c>
      <c r="L774" s="7">
        <f>IF(OR(F774="",F773=""),"",F774/F773-1)</f>
        <v/>
      </c>
      <c r="M774" s="7">
        <f>IF(OR(G774="",G773=""),"",G774/G773-1)</f>
        <v/>
      </c>
      <c r="N774" s="7">
        <f>IF(G774="","",E774/G774)</f>
        <v/>
      </c>
      <c r="O774" s="7">
        <f>IF(G774="","",F774/G774)</f>
        <v/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4">
        <f>IF(SUMIFS('Daily NSE Equity Cash'!$H:$H,'Daily NSE Equity Cash'!$A:$A,$A775)=0,"",SUMIFS('Daily NSE Equity Cash'!$H:$H,'Daily NSE Equity Cash'!$A:$A,$A775))</f>
        <v/>
      </c>
      <c r="F775" s="4">
        <f>IF(SUMIFS('Daily BSE Equity Cash'!$H:$H,'Daily BSE Equity Cash'!$A:$A,$A775)=0,"",SUMIFS('Daily BSE Equity Cash'!$H:$H,'Daily BSE Equity Cash'!$A:$A,$A775))</f>
        <v/>
      </c>
      <c r="G775" s="4">
        <f>IF(OR(E775="",F775=""),"",E775+F775)</f>
        <v/>
      </c>
      <c r="H775" s="7">
        <f>IFERROR(IF(OR(E775="",INDEX(E:E,MATCH(DATE(YEAR($A775)-1,MONTH($A775),DAY($A775)),$A:$A,0))=""),"",E775/INDEX(E:E,MATCH(DATE(YEAR($A775)-1,MONTH($A775),DAY($A775)),$A:$A,0))-1),"")</f>
        <v/>
      </c>
      <c r="I775" s="7">
        <f>IFERROR(IF(OR(F775="",INDEX(F:F,MATCH(DATE(YEAR($A775)-1,MONTH($A775),DAY($A775)),$A:$A,0))=""),"",F775/INDEX(F:F,MATCH(DATE(YEAR($A775)-1,MONTH($A775),DAY($A775)),$A:$A,0))-1),"")</f>
        <v/>
      </c>
      <c r="J775" s="7">
        <f>IFERROR(IF(OR(G775="",INDEX(G:G,MATCH(DATE(YEAR($A775)-1,MONTH($A775),DAY($A775)),$A:$A,0))=""),"",G775/INDEX(G:G,MATCH(DATE(YEAR($A775)-1,MONTH($A775),DAY($A775)),$A:$A,0))-1),"")</f>
        <v/>
      </c>
      <c r="K775" s="7">
        <f>IF(OR(E775="",E774=""),"",E775/E774-1)</f>
        <v/>
      </c>
      <c r="L775" s="7">
        <f>IF(OR(F775="",F774=""),"",F775/F774-1)</f>
        <v/>
      </c>
      <c r="M775" s="7">
        <f>IF(OR(G775="",G774=""),"",G775/G774-1)</f>
        <v/>
      </c>
      <c r="N775" s="7">
        <f>IF(G775="","",E775/G775)</f>
        <v/>
      </c>
      <c r="O775" s="7">
        <f>IF(G775="","",F775/G775)</f>
        <v/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4">
        <f>IF(SUMIFS('Daily NSE Equity Cash'!$H:$H,'Daily NSE Equity Cash'!$A:$A,$A776)=0,"",SUMIFS('Daily NSE Equity Cash'!$H:$H,'Daily NSE Equity Cash'!$A:$A,$A776))</f>
        <v/>
      </c>
      <c r="F776" s="4">
        <f>IF(SUMIFS('Daily BSE Equity Cash'!$H:$H,'Daily BSE Equity Cash'!$A:$A,$A776)=0,"",SUMIFS('Daily BSE Equity Cash'!$H:$H,'Daily BSE Equity Cash'!$A:$A,$A776))</f>
        <v/>
      </c>
      <c r="G776" s="4">
        <f>IF(OR(E776="",F776=""),"",E776+F776)</f>
        <v/>
      </c>
      <c r="H776" s="7">
        <f>IFERROR(IF(OR(E776="",INDEX(E:E,MATCH(DATE(YEAR($A776)-1,MONTH($A776),DAY($A776)),$A:$A,0))=""),"",E776/INDEX(E:E,MATCH(DATE(YEAR($A776)-1,MONTH($A776),DAY($A776)),$A:$A,0))-1),"")</f>
        <v/>
      </c>
      <c r="I776" s="7">
        <f>IFERROR(IF(OR(F776="",INDEX(F:F,MATCH(DATE(YEAR($A776)-1,MONTH($A776),DAY($A776)),$A:$A,0))=""),"",F776/INDEX(F:F,MATCH(DATE(YEAR($A776)-1,MONTH($A776),DAY($A776)),$A:$A,0))-1),"")</f>
        <v/>
      </c>
      <c r="J776" s="7">
        <f>IFERROR(IF(OR(G776="",INDEX(G:G,MATCH(DATE(YEAR($A776)-1,MONTH($A776),DAY($A776)),$A:$A,0))=""),"",G776/INDEX(G:G,MATCH(DATE(YEAR($A776)-1,MONTH($A776),DAY($A776)),$A:$A,0))-1),"")</f>
        <v/>
      </c>
      <c r="K776" s="7">
        <f>IF(OR(E776="",E775=""),"",E776/E775-1)</f>
        <v/>
      </c>
      <c r="L776" s="7">
        <f>IF(OR(F776="",F775=""),"",F776/F775-1)</f>
        <v/>
      </c>
      <c r="M776" s="7">
        <f>IF(OR(G776="",G775=""),"",G776/G775-1)</f>
        <v/>
      </c>
      <c r="N776" s="7">
        <f>IF(G776="","",E776/G776)</f>
        <v/>
      </c>
      <c r="O776" s="7">
        <f>IF(G776="","",F776/G776)</f>
        <v/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4">
        <f>IF(SUMIFS('Daily NSE Equity Cash'!$H:$H,'Daily NSE Equity Cash'!$A:$A,$A777)=0,"",SUMIFS('Daily NSE Equity Cash'!$H:$H,'Daily NSE Equity Cash'!$A:$A,$A777))</f>
        <v/>
      </c>
      <c r="F777" s="4">
        <f>IF(SUMIFS('Daily BSE Equity Cash'!$H:$H,'Daily BSE Equity Cash'!$A:$A,$A777)=0,"",SUMIFS('Daily BSE Equity Cash'!$H:$H,'Daily BSE Equity Cash'!$A:$A,$A777))</f>
        <v/>
      </c>
      <c r="G777" s="4">
        <f>IF(OR(E777="",F777=""),"",E777+F777)</f>
        <v/>
      </c>
      <c r="H777" s="7">
        <f>IFERROR(IF(OR(E777="",INDEX(E:E,MATCH(DATE(YEAR($A777)-1,MONTH($A777),DAY($A777)),$A:$A,0))=""),"",E777/INDEX(E:E,MATCH(DATE(YEAR($A777)-1,MONTH($A777),DAY($A777)),$A:$A,0))-1),"")</f>
        <v/>
      </c>
      <c r="I777" s="7">
        <f>IFERROR(IF(OR(F777="",INDEX(F:F,MATCH(DATE(YEAR($A777)-1,MONTH($A777),DAY($A777)),$A:$A,0))=""),"",F777/INDEX(F:F,MATCH(DATE(YEAR($A777)-1,MONTH($A777),DAY($A777)),$A:$A,0))-1),"")</f>
        <v/>
      </c>
      <c r="J777" s="7">
        <f>IFERROR(IF(OR(G777="",INDEX(G:G,MATCH(DATE(YEAR($A777)-1,MONTH($A777),DAY($A777)),$A:$A,0))=""),"",G777/INDEX(G:G,MATCH(DATE(YEAR($A777)-1,MONTH($A777),DAY($A777)),$A:$A,0))-1),"")</f>
        <v/>
      </c>
      <c r="K777" s="7">
        <f>IF(OR(E777="",E776=""),"",E777/E776-1)</f>
        <v/>
      </c>
      <c r="L777" s="7">
        <f>IF(OR(F777="",F776=""),"",F777/F776-1)</f>
        <v/>
      </c>
      <c r="M777" s="7">
        <f>IF(OR(G777="",G776=""),"",G777/G776-1)</f>
        <v/>
      </c>
      <c r="N777" s="7">
        <f>IF(G777="","",E777/G777)</f>
        <v/>
      </c>
      <c r="O777" s="7">
        <f>IF(G777="","",F777/G777)</f>
        <v/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4">
        <f>IF(SUMIFS('Daily NSE Equity Cash'!$H:$H,'Daily NSE Equity Cash'!$A:$A,$A778)=0,"",SUMIFS('Daily NSE Equity Cash'!$H:$H,'Daily NSE Equity Cash'!$A:$A,$A778))</f>
        <v/>
      </c>
      <c r="F778" s="4">
        <f>IF(SUMIFS('Daily BSE Equity Cash'!$H:$H,'Daily BSE Equity Cash'!$A:$A,$A778)=0,"",SUMIFS('Daily BSE Equity Cash'!$H:$H,'Daily BSE Equity Cash'!$A:$A,$A778))</f>
        <v/>
      </c>
      <c r="G778" s="4">
        <f>IF(OR(E778="",F778=""),"",E778+F778)</f>
        <v/>
      </c>
      <c r="H778" s="7">
        <f>IFERROR(IF(OR(E778="",INDEX(E:E,MATCH(DATE(YEAR($A778)-1,MONTH($A778),DAY($A778)),$A:$A,0))=""),"",E778/INDEX(E:E,MATCH(DATE(YEAR($A778)-1,MONTH($A778),DAY($A778)),$A:$A,0))-1),"")</f>
        <v/>
      </c>
      <c r="I778" s="7">
        <f>IFERROR(IF(OR(F778="",INDEX(F:F,MATCH(DATE(YEAR($A778)-1,MONTH($A778),DAY($A778)),$A:$A,0))=""),"",F778/INDEX(F:F,MATCH(DATE(YEAR($A778)-1,MONTH($A778),DAY($A778)),$A:$A,0))-1),"")</f>
        <v/>
      </c>
      <c r="J778" s="7">
        <f>IFERROR(IF(OR(G778="",INDEX(G:G,MATCH(DATE(YEAR($A778)-1,MONTH($A778),DAY($A778)),$A:$A,0))=""),"",G778/INDEX(G:G,MATCH(DATE(YEAR($A778)-1,MONTH($A778),DAY($A778)),$A:$A,0))-1),"")</f>
        <v/>
      </c>
      <c r="K778" s="7">
        <f>IF(OR(E778="",E777=""),"",E778/E777-1)</f>
        <v/>
      </c>
      <c r="L778" s="7">
        <f>IF(OR(F778="",F777=""),"",F778/F777-1)</f>
        <v/>
      </c>
      <c r="M778" s="7">
        <f>IF(OR(G778="",G777=""),"",G778/G777-1)</f>
        <v/>
      </c>
      <c r="N778" s="7">
        <f>IF(G778="","",E778/G778)</f>
        <v/>
      </c>
      <c r="O778" s="7">
        <f>IF(G778="","",F778/G778)</f>
        <v/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4">
        <f>IF(SUMIFS('Daily NSE Equity Cash'!$H:$H,'Daily NSE Equity Cash'!$A:$A,$A779)=0,"",SUMIFS('Daily NSE Equity Cash'!$H:$H,'Daily NSE Equity Cash'!$A:$A,$A779))</f>
        <v/>
      </c>
      <c r="F779" s="4">
        <f>IF(SUMIFS('Daily BSE Equity Cash'!$H:$H,'Daily BSE Equity Cash'!$A:$A,$A779)=0,"",SUMIFS('Daily BSE Equity Cash'!$H:$H,'Daily BSE Equity Cash'!$A:$A,$A779))</f>
        <v/>
      </c>
      <c r="G779" s="4">
        <f>IF(OR(E779="",F779=""),"",E779+F779)</f>
        <v/>
      </c>
      <c r="H779" s="7">
        <f>IFERROR(IF(OR(E779="",INDEX(E:E,MATCH(DATE(YEAR($A779)-1,MONTH($A779),DAY($A779)),$A:$A,0))=""),"",E779/INDEX(E:E,MATCH(DATE(YEAR($A779)-1,MONTH($A779),DAY($A779)),$A:$A,0))-1),"")</f>
        <v/>
      </c>
      <c r="I779" s="7">
        <f>IFERROR(IF(OR(F779="",INDEX(F:F,MATCH(DATE(YEAR($A779)-1,MONTH($A779),DAY($A779)),$A:$A,0))=""),"",F779/INDEX(F:F,MATCH(DATE(YEAR($A779)-1,MONTH($A779),DAY($A779)),$A:$A,0))-1),"")</f>
        <v/>
      </c>
      <c r="J779" s="7">
        <f>IFERROR(IF(OR(G779="",INDEX(G:G,MATCH(DATE(YEAR($A779)-1,MONTH($A779),DAY($A779)),$A:$A,0))=""),"",G779/INDEX(G:G,MATCH(DATE(YEAR($A779)-1,MONTH($A779),DAY($A779)),$A:$A,0))-1),"")</f>
        <v/>
      </c>
      <c r="K779" s="7">
        <f>IF(OR(E779="",E778=""),"",E779/E778-1)</f>
        <v/>
      </c>
      <c r="L779" s="7">
        <f>IF(OR(F779="",F778=""),"",F779/F778-1)</f>
        <v/>
      </c>
      <c r="M779" s="7">
        <f>IF(OR(G779="",G778=""),"",G779/G778-1)</f>
        <v/>
      </c>
      <c r="N779" s="7">
        <f>IF(G779="","",E779/G779)</f>
        <v/>
      </c>
      <c r="O779" s="7">
        <f>IF(G779="","",F779/G779)</f>
        <v/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4">
        <f>IF(SUMIFS('Daily NSE Equity Cash'!$H:$H,'Daily NSE Equity Cash'!$A:$A,$A780)=0,"",SUMIFS('Daily NSE Equity Cash'!$H:$H,'Daily NSE Equity Cash'!$A:$A,$A780))</f>
        <v/>
      </c>
      <c r="F780" s="4">
        <f>IF(SUMIFS('Daily BSE Equity Cash'!$H:$H,'Daily BSE Equity Cash'!$A:$A,$A780)=0,"",SUMIFS('Daily BSE Equity Cash'!$H:$H,'Daily BSE Equity Cash'!$A:$A,$A780))</f>
        <v/>
      </c>
      <c r="G780" s="4">
        <f>IF(OR(E780="",F780=""),"",E780+F780)</f>
        <v/>
      </c>
      <c r="H780" s="7">
        <f>IFERROR(IF(OR(E780="",INDEX(E:E,MATCH(DATE(YEAR($A780)-1,MONTH($A780),DAY($A780)),$A:$A,0))=""),"",E780/INDEX(E:E,MATCH(DATE(YEAR($A780)-1,MONTH($A780),DAY($A780)),$A:$A,0))-1),"")</f>
        <v/>
      </c>
      <c r="I780" s="7">
        <f>IFERROR(IF(OR(F780="",INDEX(F:F,MATCH(DATE(YEAR($A780)-1,MONTH($A780),DAY($A780)),$A:$A,0))=""),"",F780/INDEX(F:F,MATCH(DATE(YEAR($A780)-1,MONTH($A780),DAY($A780)),$A:$A,0))-1),"")</f>
        <v/>
      </c>
      <c r="J780" s="7">
        <f>IFERROR(IF(OR(G780="",INDEX(G:G,MATCH(DATE(YEAR($A780)-1,MONTH($A780),DAY($A780)),$A:$A,0))=""),"",G780/INDEX(G:G,MATCH(DATE(YEAR($A780)-1,MONTH($A780),DAY($A780)),$A:$A,0))-1),"")</f>
        <v/>
      </c>
      <c r="K780" s="7">
        <f>IF(OR(E780="",E779=""),"",E780/E779-1)</f>
        <v/>
      </c>
      <c r="L780" s="7">
        <f>IF(OR(F780="",F779=""),"",F780/F779-1)</f>
        <v/>
      </c>
      <c r="M780" s="7">
        <f>IF(OR(G780="",G779=""),"",G780/G779-1)</f>
        <v/>
      </c>
      <c r="N780" s="7">
        <f>IF(G780="","",E780/G780)</f>
        <v/>
      </c>
      <c r="O780" s="7">
        <f>IF(G780="","",F780/G780)</f>
        <v/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4">
        <f>IF(SUMIFS('Daily NSE Equity Cash'!$H:$H,'Daily NSE Equity Cash'!$A:$A,$A781)=0,"",SUMIFS('Daily NSE Equity Cash'!$H:$H,'Daily NSE Equity Cash'!$A:$A,$A781))</f>
        <v/>
      </c>
      <c r="F781" s="4">
        <f>IF(SUMIFS('Daily BSE Equity Cash'!$H:$H,'Daily BSE Equity Cash'!$A:$A,$A781)=0,"",SUMIFS('Daily BSE Equity Cash'!$H:$H,'Daily BSE Equity Cash'!$A:$A,$A781))</f>
        <v/>
      </c>
      <c r="G781" s="4">
        <f>IF(OR(E781="",F781=""),"",E781+F781)</f>
        <v/>
      </c>
      <c r="H781" s="7">
        <f>IFERROR(IF(OR(E781="",INDEX(E:E,MATCH(DATE(YEAR($A781)-1,MONTH($A781),DAY($A781)),$A:$A,0))=""),"",E781/INDEX(E:E,MATCH(DATE(YEAR($A781)-1,MONTH($A781),DAY($A781)),$A:$A,0))-1),"")</f>
        <v/>
      </c>
      <c r="I781" s="7">
        <f>IFERROR(IF(OR(F781="",INDEX(F:F,MATCH(DATE(YEAR($A781)-1,MONTH($A781),DAY($A781)),$A:$A,0))=""),"",F781/INDEX(F:F,MATCH(DATE(YEAR($A781)-1,MONTH($A781),DAY($A781)),$A:$A,0))-1),"")</f>
        <v/>
      </c>
      <c r="J781" s="7">
        <f>IFERROR(IF(OR(G781="",INDEX(G:G,MATCH(DATE(YEAR($A781)-1,MONTH($A781),DAY($A781)),$A:$A,0))=""),"",G781/INDEX(G:G,MATCH(DATE(YEAR($A781)-1,MONTH($A781),DAY($A781)),$A:$A,0))-1),"")</f>
        <v/>
      </c>
      <c r="K781" s="7">
        <f>IF(OR(E781="",E780=""),"",E781/E780-1)</f>
        <v/>
      </c>
      <c r="L781" s="7">
        <f>IF(OR(F781="",F780=""),"",F781/F780-1)</f>
        <v/>
      </c>
      <c r="M781" s="7">
        <f>IF(OR(G781="",G780=""),"",G781/G780-1)</f>
        <v/>
      </c>
      <c r="N781" s="7">
        <f>IF(G781="","",E781/G781)</f>
        <v/>
      </c>
      <c r="O781" s="7">
        <f>IF(G781="","",F781/G781)</f>
        <v/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4">
        <f>IF(SUMIFS('Daily NSE Equity Cash'!$H:$H,'Daily NSE Equity Cash'!$A:$A,$A782)=0,"",SUMIFS('Daily NSE Equity Cash'!$H:$H,'Daily NSE Equity Cash'!$A:$A,$A782))</f>
        <v/>
      </c>
      <c r="F782" s="4">
        <f>IF(SUMIFS('Daily BSE Equity Cash'!$H:$H,'Daily BSE Equity Cash'!$A:$A,$A782)=0,"",SUMIFS('Daily BSE Equity Cash'!$H:$H,'Daily BSE Equity Cash'!$A:$A,$A782))</f>
        <v/>
      </c>
      <c r="G782" s="4">
        <f>IF(OR(E782="",F782=""),"",E782+F782)</f>
        <v/>
      </c>
      <c r="H782" s="7">
        <f>IFERROR(IF(OR(E782="",INDEX(E:E,MATCH(DATE(YEAR($A782)-1,MONTH($A782),DAY($A782)),$A:$A,0))=""),"",E782/INDEX(E:E,MATCH(DATE(YEAR($A782)-1,MONTH($A782),DAY($A782)),$A:$A,0))-1),"")</f>
        <v/>
      </c>
      <c r="I782" s="7">
        <f>IFERROR(IF(OR(F782="",INDEX(F:F,MATCH(DATE(YEAR($A782)-1,MONTH($A782),DAY($A782)),$A:$A,0))=""),"",F782/INDEX(F:F,MATCH(DATE(YEAR($A782)-1,MONTH($A782),DAY($A782)),$A:$A,0))-1),"")</f>
        <v/>
      </c>
      <c r="J782" s="7">
        <f>IFERROR(IF(OR(G782="",INDEX(G:G,MATCH(DATE(YEAR($A782)-1,MONTH($A782),DAY($A782)),$A:$A,0))=""),"",G782/INDEX(G:G,MATCH(DATE(YEAR($A782)-1,MONTH($A782),DAY($A782)),$A:$A,0))-1),"")</f>
        <v/>
      </c>
      <c r="K782" s="7">
        <f>IF(OR(E782="",E781=""),"",E782/E781-1)</f>
        <v/>
      </c>
      <c r="L782" s="7">
        <f>IF(OR(F782="",F781=""),"",F782/F781-1)</f>
        <v/>
      </c>
      <c r="M782" s="7">
        <f>IF(OR(G782="",G781=""),"",G782/G781-1)</f>
        <v/>
      </c>
      <c r="N782" s="7">
        <f>IF(G782="","",E782/G782)</f>
        <v/>
      </c>
      <c r="O782" s="7">
        <f>IF(G782="","",F782/G782)</f>
        <v/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4">
        <f>IF(SUMIFS('Daily NSE Equity Cash'!$H:$H,'Daily NSE Equity Cash'!$A:$A,$A783)=0,"",SUMIFS('Daily NSE Equity Cash'!$H:$H,'Daily NSE Equity Cash'!$A:$A,$A783))</f>
        <v/>
      </c>
      <c r="F783" s="4">
        <f>IF(SUMIFS('Daily BSE Equity Cash'!$H:$H,'Daily BSE Equity Cash'!$A:$A,$A783)=0,"",SUMIFS('Daily BSE Equity Cash'!$H:$H,'Daily BSE Equity Cash'!$A:$A,$A783))</f>
        <v/>
      </c>
      <c r="G783" s="4">
        <f>IF(OR(E783="",F783=""),"",E783+F783)</f>
        <v/>
      </c>
      <c r="H783" s="7">
        <f>IFERROR(IF(OR(E783="",INDEX(E:E,MATCH(DATE(YEAR($A783)-1,MONTH($A783),DAY($A783)),$A:$A,0))=""),"",E783/INDEX(E:E,MATCH(DATE(YEAR($A783)-1,MONTH($A783),DAY($A783)),$A:$A,0))-1),"")</f>
        <v/>
      </c>
      <c r="I783" s="7">
        <f>IFERROR(IF(OR(F783="",INDEX(F:F,MATCH(DATE(YEAR($A783)-1,MONTH($A783),DAY($A783)),$A:$A,0))=""),"",F783/INDEX(F:F,MATCH(DATE(YEAR($A783)-1,MONTH($A783),DAY($A783)),$A:$A,0))-1),"")</f>
        <v/>
      </c>
      <c r="J783" s="7">
        <f>IFERROR(IF(OR(G783="",INDEX(G:G,MATCH(DATE(YEAR($A783)-1,MONTH($A783),DAY($A783)),$A:$A,0))=""),"",G783/INDEX(G:G,MATCH(DATE(YEAR($A783)-1,MONTH($A783),DAY($A783)),$A:$A,0))-1),"")</f>
        <v/>
      </c>
      <c r="K783" s="7">
        <f>IF(OR(E783="",E782=""),"",E783/E782-1)</f>
        <v/>
      </c>
      <c r="L783" s="7">
        <f>IF(OR(F783="",F782=""),"",F783/F782-1)</f>
        <v/>
      </c>
      <c r="M783" s="7">
        <f>IF(OR(G783="",G782=""),"",G783/G782-1)</f>
        <v/>
      </c>
      <c r="N783" s="7">
        <f>IF(G783="","",E783/G783)</f>
        <v/>
      </c>
      <c r="O783" s="7">
        <f>IF(G783="","",F783/G783)</f>
        <v/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4">
        <f>IF(SUMIFS('Daily NSE Equity Cash'!$H:$H,'Daily NSE Equity Cash'!$A:$A,$A784)=0,"",SUMIFS('Daily NSE Equity Cash'!$H:$H,'Daily NSE Equity Cash'!$A:$A,$A784))</f>
        <v/>
      </c>
      <c r="F784" s="4">
        <f>IF(SUMIFS('Daily BSE Equity Cash'!$H:$H,'Daily BSE Equity Cash'!$A:$A,$A784)=0,"",SUMIFS('Daily BSE Equity Cash'!$H:$H,'Daily BSE Equity Cash'!$A:$A,$A784))</f>
        <v/>
      </c>
      <c r="G784" s="4">
        <f>IF(OR(E784="",F784=""),"",E784+F784)</f>
        <v/>
      </c>
      <c r="H784" s="7">
        <f>IFERROR(IF(OR(E784="",INDEX(E:E,MATCH(DATE(YEAR($A784)-1,MONTH($A784),DAY($A784)),$A:$A,0))=""),"",E784/INDEX(E:E,MATCH(DATE(YEAR($A784)-1,MONTH($A784),DAY($A784)),$A:$A,0))-1),"")</f>
        <v/>
      </c>
      <c r="I784" s="7">
        <f>IFERROR(IF(OR(F784="",INDEX(F:F,MATCH(DATE(YEAR($A784)-1,MONTH($A784),DAY($A784)),$A:$A,0))=""),"",F784/INDEX(F:F,MATCH(DATE(YEAR($A784)-1,MONTH($A784),DAY($A784)),$A:$A,0))-1),"")</f>
        <v/>
      </c>
      <c r="J784" s="7">
        <f>IFERROR(IF(OR(G784="",INDEX(G:G,MATCH(DATE(YEAR($A784)-1,MONTH($A784),DAY($A784)),$A:$A,0))=""),"",G784/INDEX(G:G,MATCH(DATE(YEAR($A784)-1,MONTH($A784),DAY($A784)),$A:$A,0))-1),"")</f>
        <v/>
      </c>
      <c r="K784" s="7">
        <f>IF(OR(E784="",E783=""),"",E784/E783-1)</f>
        <v/>
      </c>
      <c r="L784" s="7">
        <f>IF(OR(F784="",F783=""),"",F784/F783-1)</f>
        <v/>
      </c>
      <c r="M784" s="7">
        <f>IF(OR(G784="",G783=""),"",G784/G783-1)</f>
        <v/>
      </c>
      <c r="N784" s="7">
        <f>IF(G784="","",E784/G784)</f>
        <v/>
      </c>
      <c r="O784" s="7">
        <f>IF(G784="","",F784/G784)</f>
        <v/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4">
        <f>IF(SUMIFS('Daily NSE Equity Cash'!$H:$H,'Daily NSE Equity Cash'!$A:$A,$A785)=0,"",SUMIFS('Daily NSE Equity Cash'!$H:$H,'Daily NSE Equity Cash'!$A:$A,$A785))</f>
        <v/>
      </c>
      <c r="F785" s="4">
        <f>IF(SUMIFS('Daily BSE Equity Cash'!$H:$H,'Daily BSE Equity Cash'!$A:$A,$A785)=0,"",SUMIFS('Daily BSE Equity Cash'!$H:$H,'Daily BSE Equity Cash'!$A:$A,$A785))</f>
        <v/>
      </c>
      <c r="G785" s="4">
        <f>IF(OR(E785="",F785=""),"",E785+F785)</f>
        <v/>
      </c>
      <c r="H785" s="7">
        <f>IFERROR(IF(OR(E785="",INDEX(E:E,MATCH(DATE(YEAR($A785)-1,MONTH($A785),DAY($A785)),$A:$A,0))=""),"",E785/INDEX(E:E,MATCH(DATE(YEAR($A785)-1,MONTH($A785),DAY($A785)),$A:$A,0))-1),"")</f>
        <v/>
      </c>
      <c r="I785" s="7">
        <f>IFERROR(IF(OR(F785="",INDEX(F:F,MATCH(DATE(YEAR($A785)-1,MONTH($A785),DAY($A785)),$A:$A,0))=""),"",F785/INDEX(F:F,MATCH(DATE(YEAR($A785)-1,MONTH($A785),DAY($A785)),$A:$A,0))-1),"")</f>
        <v/>
      </c>
      <c r="J785" s="7">
        <f>IFERROR(IF(OR(G785="",INDEX(G:G,MATCH(DATE(YEAR($A785)-1,MONTH($A785),DAY($A785)),$A:$A,0))=""),"",G785/INDEX(G:G,MATCH(DATE(YEAR($A785)-1,MONTH($A785),DAY($A785)),$A:$A,0))-1),"")</f>
        <v/>
      </c>
      <c r="K785" s="7">
        <f>IF(OR(E785="",E784=""),"",E785/E784-1)</f>
        <v/>
      </c>
      <c r="L785" s="7">
        <f>IF(OR(F785="",F784=""),"",F785/F784-1)</f>
        <v/>
      </c>
      <c r="M785" s="7">
        <f>IF(OR(G785="",G784=""),"",G785/G784-1)</f>
        <v/>
      </c>
      <c r="N785" s="7">
        <f>IF(G785="","",E785/G785)</f>
        <v/>
      </c>
      <c r="O785" s="7">
        <f>IF(G785="","",F785/G785)</f>
        <v/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4">
        <f>IF(SUMIFS('Daily NSE Equity Cash'!$H:$H,'Daily NSE Equity Cash'!$A:$A,$A786)=0,"",SUMIFS('Daily NSE Equity Cash'!$H:$H,'Daily NSE Equity Cash'!$A:$A,$A786))</f>
        <v/>
      </c>
      <c r="F786" s="4">
        <f>IF(SUMIFS('Daily BSE Equity Cash'!$H:$H,'Daily BSE Equity Cash'!$A:$A,$A786)=0,"",SUMIFS('Daily BSE Equity Cash'!$H:$H,'Daily BSE Equity Cash'!$A:$A,$A786))</f>
        <v/>
      </c>
      <c r="G786" s="4">
        <f>IF(OR(E786="",F786=""),"",E786+F786)</f>
        <v/>
      </c>
      <c r="H786" s="7">
        <f>IFERROR(IF(OR(E786="",INDEX(E:E,MATCH(DATE(YEAR($A786)-1,MONTH($A786),DAY($A786)),$A:$A,0))=""),"",E786/INDEX(E:E,MATCH(DATE(YEAR($A786)-1,MONTH($A786),DAY($A786)),$A:$A,0))-1),"")</f>
        <v/>
      </c>
      <c r="I786" s="7">
        <f>IFERROR(IF(OR(F786="",INDEX(F:F,MATCH(DATE(YEAR($A786)-1,MONTH($A786),DAY($A786)),$A:$A,0))=""),"",F786/INDEX(F:F,MATCH(DATE(YEAR($A786)-1,MONTH($A786),DAY($A786)),$A:$A,0))-1),"")</f>
        <v/>
      </c>
      <c r="J786" s="7">
        <f>IFERROR(IF(OR(G786="",INDEX(G:G,MATCH(DATE(YEAR($A786)-1,MONTH($A786),DAY($A786)),$A:$A,0))=""),"",G786/INDEX(G:G,MATCH(DATE(YEAR($A786)-1,MONTH($A786),DAY($A786)),$A:$A,0))-1),"")</f>
        <v/>
      </c>
      <c r="K786" s="7">
        <f>IF(OR(E786="",E785=""),"",E786/E785-1)</f>
        <v/>
      </c>
      <c r="L786" s="7">
        <f>IF(OR(F786="",F785=""),"",F786/F785-1)</f>
        <v/>
      </c>
      <c r="M786" s="7">
        <f>IF(OR(G786="",G785=""),"",G786/G785-1)</f>
        <v/>
      </c>
      <c r="N786" s="7">
        <f>IF(G786="","",E786/G786)</f>
        <v/>
      </c>
      <c r="O786" s="7">
        <f>IF(G786="","",F786/G786)</f>
        <v/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4">
        <f>IF(SUMIFS('Daily NSE Equity Cash'!$H:$H,'Daily NSE Equity Cash'!$A:$A,$A787)=0,"",SUMIFS('Daily NSE Equity Cash'!$H:$H,'Daily NSE Equity Cash'!$A:$A,$A787))</f>
        <v/>
      </c>
      <c r="F787" s="4">
        <f>IF(SUMIFS('Daily BSE Equity Cash'!$H:$H,'Daily BSE Equity Cash'!$A:$A,$A787)=0,"",SUMIFS('Daily BSE Equity Cash'!$H:$H,'Daily BSE Equity Cash'!$A:$A,$A787))</f>
        <v/>
      </c>
      <c r="G787" s="4">
        <f>IF(OR(E787="",F787=""),"",E787+F787)</f>
        <v/>
      </c>
      <c r="H787" s="7">
        <f>IFERROR(IF(OR(E787="",INDEX(E:E,MATCH(DATE(YEAR($A787)-1,MONTH($A787),DAY($A787)),$A:$A,0))=""),"",E787/INDEX(E:E,MATCH(DATE(YEAR($A787)-1,MONTH($A787),DAY($A787)),$A:$A,0))-1),"")</f>
        <v/>
      </c>
      <c r="I787" s="7">
        <f>IFERROR(IF(OR(F787="",INDEX(F:F,MATCH(DATE(YEAR($A787)-1,MONTH($A787),DAY($A787)),$A:$A,0))=""),"",F787/INDEX(F:F,MATCH(DATE(YEAR($A787)-1,MONTH($A787),DAY($A787)),$A:$A,0))-1),"")</f>
        <v/>
      </c>
      <c r="J787" s="7">
        <f>IFERROR(IF(OR(G787="",INDEX(G:G,MATCH(DATE(YEAR($A787)-1,MONTH($A787),DAY($A787)),$A:$A,0))=""),"",G787/INDEX(G:G,MATCH(DATE(YEAR($A787)-1,MONTH($A787),DAY($A787)),$A:$A,0))-1),"")</f>
        <v/>
      </c>
      <c r="K787" s="7">
        <f>IF(OR(E787="",E786=""),"",E787/E786-1)</f>
        <v/>
      </c>
      <c r="L787" s="7">
        <f>IF(OR(F787="",F786=""),"",F787/F786-1)</f>
        <v/>
      </c>
      <c r="M787" s="7">
        <f>IF(OR(G787="",G786=""),"",G787/G786-1)</f>
        <v/>
      </c>
      <c r="N787" s="7">
        <f>IF(G787="","",E787/G787)</f>
        <v/>
      </c>
      <c r="O787" s="7">
        <f>IF(G787="","",F787/G787)</f>
        <v/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4">
        <f>IF(SUMIFS('Daily NSE Equity Cash'!$H:$H,'Daily NSE Equity Cash'!$A:$A,$A788)=0,"",SUMIFS('Daily NSE Equity Cash'!$H:$H,'Daily NSE Equity Cash'!$A:$A,$A788))</f>
        <v/>
      </c>
      <c r="F788" s="4">
        <f>IF(SUMIFS('Daily BSE Equity Cash'!$H:$H,'Daily BSE Equity Cash'!$A:$A,$A788)=0,"",SUMIFS('Daily BSE Equity Cash'!$H:$H,'Daily BSE Equity Cash'!$A:$A,$A788))</f>
        <v/>
      </c>
      <c r="G788" s="4">
        <f>IF(OR(E788="",F788=""),"",E788+F788)</f>
        <v/>
      </c>
      <c r="H788" s="7">
        <f>IFERROR(IF(OR(E788="",INDEX(E:E,MATCH(DATE(YEAR($A788)-1,MONTH($A788),DAY($A788)),$A:$A,0))=""),"",E788/INDEX(E:E,MATCH(DATE(YEAR($A788)-1,MONTH($A788),DAY($A788)),$A:$A,0))-1),"")</f>
        <v/>
      </c>
      <c r="I788" s="7">
        <f>IFERROR(IF(OR(F788="",INDEX(F:F,MATCH(DATE(YEAR($A788)-1,MONTH($A788),DAY($A788)),$A:$A,0))=""),"",F788/INDEX(F:F,MATCH(DATE(YEAR($A788)-1,MONTH($A788),DAY($A788)),$A:$A,0))-1),"")</f>
        <v/>
      </c>
      <c r="J788" s="7">
        <f>IFERROR(IF(OR(G788="",INDEX(G:G,MATCH(DATE(YEAR($A788)-1,MONTH($A788),DAY($A788)),$A:$A,0))=""),"",G788/INDEX(G:G,MATCH(DATE(YEAR($A788)-1,MONTH($A788),DAY($A788)),$A:$A,0))-1),"")</f>
        <v/>
      </c>
      <c r="K788" s="7">
        <f>IF(OR(E788="",E787=""),"",E788/E787-1)</f>
        <v/>
      </c>
      <c r="L788" s="7">
        <f>IF(OR(F788="",F787=""),"",F788/F787-1)</f>
        <v/>
      </c>
      <c r="M788" s="7">
        <f>IF(OR(G788="",G787=""),"",G788/G787-1)</f>
        <v/>
      </c>
      <c r="N788" s="7">
        <f>IF(G788="","",E788/G788)</f>
        <v/>
      </c>
      <c r="O788" s="7">
        <f>IF(G788="","",F788/G788)</f>
        <v/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4">
        <f>IF(SUMIFS('Daily NSE Equity Cash'!$H:$H,'Daily NSE Equity Cash'!$A:$A,$A789)=0,"",SUMIFS('Daily NSE Equity Cash'!$H:$H,'Daily NSE Equity Cash'!$A:$A,$A789))</f>
        <v/>
      </c>
      <c r="F789" s="4">
        <f>IF(SUMIFS('Daily BSE Equity Cash'!$H:$H,'Daily BSE Equity Cash'!$A:$A,$A789)=0,"",SUMIFS('Daily BSE Equity Cash'!$H:$H,'Daily BSE Equity Cash'!$A:$A,$A789))</f>
        <v/>
      </c>
      <c r="G789" s="4">
        <f>IF(OR(E789="",F789=""),"",E789+F789)</f>
        <v/>
      </c>
      <c r="H789" s="7">
        <f>IFERROR(IF(OR(E789="",INDEX(E:E,MATCH(DATE(YEAR($A789)-1,MONTH($A789),DAY($A789)),$A:$A,0))=""),"",E789/INDEX(E:E,MATCH(DATE(YEAR($A789)-1,MONTH($A789),DAY($A789)),$A:$A,0))-1),"")</f>
        <v/>
      </c>
      <c r="I789" s="7">
        <f>IFERROR(IF(OR(F789="",INDEX(F:F,MATCH(DATE(YEAR($A789)-1,MONTH($A789),DAY($A789)),$A:$A,0))=""),"",F789/INDEX(F:F,MATCH(DATE(YEAR($A789)-1,MONTH($A789),DAY($A789)),$A:$A,0))-1),"")</f>
        <v/>
      </c>
      <c r="J789" s="7">
        <f>IFERROR(IF(OR(G789="",INDEX(G:G,MATCH(DATE(YEAR($A789)-1,MONTH($A789),DAY($A789)),$A:$A,0))=""),"",G789/INDEX(G:G,MATCH(DATE(YEAR($A789)-1,MONTH($A789),DAY($A789)),$A:$A,0))-1),"")</f>
        <v/>
      </c>
      <c r="K789" s="7">
        <f>IF(OR(E789="",E788=""),"",E789/E788-1)</f>
        <v/>
      </c>
      <c r="L789" s="7">
        <f>IF(OR(F789="",F788=""),"",F789/F788-1)</f>
        <v/>
      </c>
      <c r="M789" s="7">
        <f>IF(OR(G789="",G788=""),"",G789/G788-1)</f>
        <v/>
      </c>
      <c r="N789" s="7">
        <f>IF(G789="","",E789/G789)</f>
        <v/>
      </c>
      <c r="O789" s="7">
        <f>IF(G789="","",F789/G789)</f>
        <v/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4">
        <f>IF(SUMIFS('Daily NSE Equity Cash'!$H:$H,'Daily NSE Equity Cash'!$A:$A,$A790)=0,"",SUMIFS('Daily NSE Equity Cash'!$H:$H,'Daily NSE Equity Cash'!$A:$A,$A790))</f>
        <v/>
      </c>
      <c r="F790" s="4">
        <f>IF(SUMIFS('Daily BSE Equity Cash'!$H:$H,'Daily BSE Equity Cash'!$A:$A,$A790)=0,"",SUMIFS('Daily BSE Equity Cash'!$H:$H,'Daily BSE Equity Cash'!$A:$A,$A790))</f>
        <v/>
      </c>
      <c r="G790" s="4">
        <f>IF(OR(E790="",F790=""),"",E790+F790)</f>
        <v/>
      </c>
      <c r="H790" s="7">
        <f>IFERROR(IF(OR(E790="",INDEX(E:E,MATCH(DATE(YEAR($A790)-1,MONTH($A790),DAY($A790)),$A:$A,0))=""),"",E790/INDEX(E:E,MATCH(DATE(YEAR($A790)-1,MONTH($A790),DAY($A790)),$A:$A,0))-1),"")</f>
        <v/>
      </c>
      <c r="I790" s="7">
        <f>IFERROR(IF(OR(F790="",INDEX(F:F,MATCH(DATE(YEAR($A790)-1,MONTH($A790),DAY($A790)),$A:$A,0))=""),"",F790/INDEX(F:F,MATCH(DATE(YEAR($A790)-1,MONTH($A790),DAY($A790)),$A:$A,0))-1),"")</f>
        <v/>
      </c>
      <c r="J790" s="7">
        <f>IFERROR(IF(OR(G790="",INDEX(G:G,MATCH(DATE(YEAR($A790)-1,MONTH($A790),DAY($A790)),$A:$A,0))=""),"",G790/INDEX(G:G,MATCH(DATE(YEAR($A790)-1,MONTH($A790),DAY($A790)),$A:$A,0))-1),"")</f>
        <v/>
      </c>
      <c r="K790" s="7">
        <f>IF(OR(E790="",E789=""),"",E790/E789-1)</f>
        <v/>
      </c>
      <c r="L790" s="7">
        <f>IF(OR(F790="",F789=""),"",F790/F789-1)</f>
        <v/>
      </c>
      <c r="M790" s="7">
        <f>IF(OR(G790="",G789=""),"",G790/G789-1)</f>
        <v/>
      </c>
      <c r="N790" s="7">
        <f>IF(G790="","",E790/G790)</f>
        <v/>
      </c>
      <c r="O790" s="7">
        <f>IF(G790="","",F790/G790)</f>
        <v/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4">
        <f>IF(SUMIFS('Daily NSE Equity Cash'!$H:$H,'Daily NSE Equity Cash'!$A:$A,$A791)=0,"",SUMIFS('Daily NSE Equity Cash'!$H:$H,'Daily NSE Equity Cash'!$A:$A,$A791))</f>
        <v/>
      </c>
      <c r="F791" s="4">
        <f>IF(SUMIFS('Daily BSE Equity Cash'!$H:$H,'Daily BSE Equity Cash'!$A:$A,$A791)=0,"",SUMIFS('Daily BSE Equity Cash'!$H:$H,'Daily BSE Equity Cash'!$A:$A,$A791))</f>
        <v/>
      </c>
      <c r="G791" s="4">
        <f>IF(OR(E791="",F791=""),"",E791+F791)</f>
        <v/>
      </c>
      <c r="H791" s="7">
        <f>IFERROR(IF(OR(E791="",INDEX(E:E,MATCH(DATE(YEAR($A791)-1,MONTH($A791),DAY($A791)),$A:$A,0))=""),"",E791/INDEX(E:E,MATCH(DATE(YEAR($A791)-1,MONTH($A791),DAY($A791)),$A:$A,0))-1),"")</f>
        <v/>
      </c>
      <c r="I791" s="7">
        <f>IFERROR(IF(OR(F791="",INDEX(F:F,MATCH(DATE(YEAR($A791)-1,MONTH($A791),DAY($A791)),$A:$A,0))=""),"",F791/INDEX(F:F,MATCH(DATE(YEAR($A791)-1,MONTH($A791),DAY($A791)),$A:$A,0))-1),"")</f>
        <v/>
      </c>
      <c r="J791" s="7">
        <f>IFERROR(IF(OR(G791="",INDEX(G:G,MATCH(DATE(YEAR($A791)-1,MONTH($A791),DAY($A791)),$A:$A,0))=""),"",G791/INDEX(G:G,MATCH(DATE(YEAR($A791)-1,MONTH($A791),DAY($A791)),$A:$A,0))-1),"")</f>
        <v/>
      </c>
      <c r="K791" s="7">
        <f>IF(OR(E791="",E790=""),"",E791/E790-1)</f>
        <v/>
      </c>
      <c r="L791" s="7">
        <f>IF(OR(F791="",F790=""),"",F791/F790-1)</f>
        <v/>
      </c>
      <c r="M791" s="7">
        <f>IF(OR(G791="",G790=""),"",G791/G790-1)</f>
        <v/>
      </c>
      <c r="N791" s="7">
        <f>IF(G791="","",E791/G791)</f>
        <v/>
      </c>
      <c r="O791" s="7">
        <f>IF(G791="","",F791/G791)</f>
        <v/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4">
        <f>IF(SUMIFS('Daily NSE Equity Cash'!$H:$H,'Daily NSE Equity Cash'!$A:$A,$A792)=0,"",SUMIFS('Daily NSE Equity Cash'!$H:$H,'Daily NSE Equity Cash'!$A:$A,$A792))</f>
        <v/>
      </c>
      <c r="F792" s="4">
        <f>IF(SUMIFS('Daily BSE Equity Cash'!$H:$H,'Daily BSE Equity Cash'!$A:$A,$A792)=0,"",SUMIFS('Daily BSE Equity Cash'!$H:$H,'Daily BSE Equity Cash'!$A:$A,$A792))</f>
        <v/>
      </c>
      <c r="G792" s="4">
        <f>IF(OR(E792="",F792=""),"",E792+F792)</f>
        <v/>
      </c>
      <c r="H792" s="7">
        <f>IFERROR(IF(OR(E792="",INDEX(E:E,MATCH(DATE(YEAR($A792)-1,MONTH($A792),DAY($A792)),$A:$A,0))=""),"",E792/INDEX(E:E,MATCH(DATE(YEAR($A792)-1,MONTH($A792),DAY($A792)),$A:$A,0))-1),"")</f>
        <v/>
      </c>
      <c r="I792" s="7">
        <f>IFERROR(IF(OR(F792="",INDEX(F:F,MATCH(DATE(YEAR($A792)-1,MONTH($A792),DAY($A792)),$A:$A,0))=""),"",F792/INDEX(F:F,MATCH(DATE(YEAR($A792)-1,MONTH($A792),DAY($A792)),$A:$A,0))-1),"")</f>
        <v/>
      </c>
      <c r="J792" s="7">
        <f>IFERROR(IF(OR(G792="",INDEX(G:G,MATCH(DATE(YEAR($A792)-1,MONTH($A792),DAY($A792)),$A:$A,0))=""),"",G792/INDEX(G:G,MATCH(DATE(YEAR($A792)-1,MONTH($A792),DAY($A792)),$A:$A,0))-1),"")</f>
        <v/>
      </c>
      <c r="K792" s="7">
        <f>IF(OR(E792="",E791=""),"",E792/E791-1)</f>
        <v/>
      </c>
      <c r="L792" s="7">
        <f>IF(OR(F792="",F791=""),"",F792/F791-1)</f>
        <v/>
      </c>
      <c r="M792" s="7">
        <f>IF(OR(G792="",G791=""),"",G792/G791-1)</f>
        <v/>
      </c>
      <c r="N792" s="7">
        <f>IF(G792="","",E792/G792)</f>
        <v/>
      </c>
      <c r="O792" s="7">
        <f>IF(G792="","",F792/G792)</f>
        <v/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4">
        <f>IF(SUMIFS('Daily NSE Equity Cash'!$H:$H,'Daily NSE Equity Cash'!$A:$A,$A793)=0,"",SUMIFS('Daily NSE Equity Cash'!$H:$H,'Daily NSE Equity Cash'!$A:$A,$A793))</f>
        <v/>
      </c>
      <c r="F793" s="4">
        <f>IF(SUMIFS('Daily BSE Equity Cash'!$H:$H,'Daily BSE Equity Cash'!$A:$A,$A793)=0,"",SUMIFS('Daily BSE Equity Cash'!$H:$H,'Daily BSE Equity Cash'!$A:$A,$A793))</f>
        <v/>
      </c>
      <c r="G793" s="4">
        <f>IF(OR(E793="",F793=""),"",E793+F793)</f>
        <v/>
      </c>
      <c r="H793" s="7">
        <f>IFERROR(IF(OR(E793="",INDEX(E:E,MATCH(DATE(YEAR($A793)-1,MONTH($A793),DAY($A793)),$A:$A,0))=""),"",E793/INDEX(E:E,MATCH(DATE(YEAR($A793)-1,MONTH($A793),DAY($A793)),$A:$A,0))-1),"")</f>
        <v/>
      </c>
      <c r="I793" s="7">
        <f>IFERROR(IF(OR(F793="",INDEX(F:F,MATCH(DATE(YEAR($A793)-1,MONTH($A793),DAY($A793)),$A:$A,0))=""),"",F793/INDEX(F:F,MATCH(DATE(YEAR($A793)-1,MONTH($A793),DAY($A793)),$A:$A,0))-1),"")</f>
        <v/>
      </c>
      <c r="J793" s="7">
        <f>IFERROR(IF(OR(G793="",INDEX(G:G,MATCH(DATE(YEAR($A793)-1,MONTH($A793),DAY($A793)),$A:$A,0))=""),"",G793/INDEX(G:G,MATCH(DATE(YEAR($A793)-1,MONTH($A793),DAY($A793)),$A:$A,0))-1),"")</f>
        <v/>
      </c>
      <c r="K793" s="7">
        <f>IF(OR(E793="",E792=""),"",E793/E792-1)</f>
        <v/>
      </c>
      <c r="L793" s="7">
        <f>IF(OR(F793="",F792=""),"",F793/F792-1)</f>
        <v/>
      </c>
      <c r="M793" s="7">
        <f>IF(OR(G793="",G792=""),"",G793/G792-1)</f>
        <v/>
      </c>
      <c r="N793" s="7">
        <f>IF(G793="","",E793/G793)</f>
        <v/>
      </c>
      <c r="O793" s="7">
        <f>IF(G793="","",F793/G793)</f>
        <v/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4">
        <f>IF(SUMIFS('Daily NSE Equity Cash'!$H:$H,'Daily NSE Equity Cash'!$A:$A,$A794)=0,"",SUMIFS('Daily NSE Equity Cash'!$H:$H,'Daily NSE Equity Cash'!$A:$A,$A794))</f>
        <v/>
      </c>
      <c r="F794" s="4">
        <f>IF(SUMIFS('Daily BSE Equity Cash'!$H:$H,'Daily BSE Equity Cash'!$A:$A,$A794)=0,"",SUMIFS('Daily BSE Equity Cash'!$H:$H,'Daily BSE Equity Cash'!$A:$A,$A794))</f>
        <v/>
      </c>
      <c r="G794" s="4">
        <f>IF(OR(E794="",F794=""),"",E794+F794)</f>
        <v/>
      </c>
      <c r="H794" s="7">
        <f>IFERROR(IF(OR(E794="",INDEX(E:E,MATCH(DATE(YEAR($A794)-1,MONTH($A794),DAY($A794)),$A:$A,0))=""),"",E794/INDEX(E:E,MATCH(DATE(YEAR($A794)-1,MONTH($A794),DAY($A794)),$A:$A,0))-1),"")</f>
        <v/>
      </c>
      <c r="I794" s="7">
        <f>IFERROR(IF(OR(F794="",INDEX(F:F,MATCH(DATE(YEAR($A794)-1,MONTH($A794),DAY($A794)),$A:$A,0))=""),"",F794/INDEX(F:F,MATCH(DATE(YEAR($A794)-1,MONTH($A794),DAY($A794)),$A:$A,0))-1),"")</f>
        <v/>
      </c>
      <c r="J794" s="7">
        <f>IFERROR(IF(OR(G794="",INDEX(G:G,MATCH(DATE(YEAR($A794)-1,MONTH($A794),DAY($A794)),$A:$A,0))=""),"",G794/INDEX(G:G,MATCH(DATE(YEAR($A794)-1,MONTH($A794),DAY($A794)),$A:$A,0))-1),"")</f>
        <v/>
      </c>
      <c r="K794" s="7">
        <f>IF(OR(E794="",E793=""),"",E794/E793-1)</f>
        <v/>
      </c>
      <c r="L794" s="7">
        <f>IF(OR(F794="",F793=""),"",F794/F793-1)</f>
        <v/>
      </c>
      <c r="M794" s="7">
        <f>IF(OR(G794="",G793=""),"",G794/G793-1)</f>
        <v/>
      </c>
      <c r="N794" s="7">
        <f>IF(G794="","",E794/G794)</f>
        <v/>
      </c>
      <c r="O794" s="7">
        <f>IF(G794="","",F794/G794)</f>
        <v/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4">
        <f>IF(SUMIFS('Daily NSE Equity Cash'!$H:$H,'Daily NSE Equity Cash'!$A:$A,$A795)=0,"",SUMIFS('Daily NSE Equity Cash'!$H:$H,'Daily NSE Equity Cash'!$A:$A,$A795))</f>
        <v/>
      </c>
      <c r="F795" s="4">
        <f>IF(SUMIFS('Daily BSE Equity Cash'!$H:$H,'Daily BSE Equity Cash'!$A:$A,$A795)=0,"",SUMIFS('Daily BSE Equity Cash'!$H:$H,'Daily BSE Equity Cash'!$A:$A,$A795))</f>
        <v/>
      </c>
      <c r="G795" s="4">
        <f>IF(OR(E795="",F795=""),"",E795+F795)</f>
        <v/>
      </c>
      <c r="H795" s="7">
        <f>IFERROR(IF(OR(E795="",INDEX(E:E,MATCH(DATE(YEAR($A795)-1,MONTH($A795),DAY($A795)),$A:$A,0))=""),"",E795/INDEX(E:E,MATCH(DATE(YEAR($A795)-1,MONTH($A795),DAY($A795)),$A:$A,0))-1),"")</f>
        <v/>
      </c>
      <c r="I795" s="7">
        <f>IFERROR(IF(OR(F795="",INDEX(F:F,MATCH(DATE(YEAR($A795)-1,MONTH($A795),DAY($A795)),$A:$A,0))=""),"",F795/INDEX(F:F,MATCH(DATE(YEAR($A795)-1,MONTH($A795),DAY($A795)),$A:$A,0))-1),"")</f>
        <v/>
      </c>
      <c r="J795" s="7">
        <f>IFERROR(IF(OR(G795="",INDEX(G:G,MATCH(DATE(YEAR($A795)-1,MONTH($A795),DAY($A795)),$A:$A,0))=""),"",G795/INDEX(G:G,MATCH(DATE(YEAR($A795)-1,MONTH($A795),DAY($A795)),$A:$A,0))-1),"")</f>
        <v/>
      </c>
      <c r="K795" s="7">
        <f>IF(OR(E795="",E794=""),"",E795/E794-1)</f>
        <v/>
      </c>
      <c r="L795" s="7">
        <f>IF(OR(F795="",F794=""),"",F795/F794-1)</f>
        <v/>
      </c>
      <c r="M795" s="7">
        <f>IF(OR(G795="",G794=""),"",G795/G794-1)</f>
        <v/>
      </c>
      <c r="N795" s="7">
        <f>IF(G795="","",E795/G795)</f>
        <v/>
      </c>
      <c r="O795" s="7">
        <f>IF(G795="","",F795/G795)</f>
        <v/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4">
        <f>IF(SUMIFS('Daily NSE Equity Cash'!$H:$H,'Daily NSE Equity Cash'!$A:$A,$A796)=0,"",SUMIFS('Daily NSE Equity Cash'!$H:$H,'Daily NSE Equity Cash'!$A:$A,$A796))</f>
        <v/>
      </c>
      <c r="F796" s="4">
        <f>IF(SUMIFS('Daily BSE Equity Cash'!$H:$H,'Daily BSE Equity Cash'!$A:$A,$A796)=0,"",SUMIFS('Daily BSE Equity Cash'!$H:$H,'Daily BSE Equity Cash'!$A:$A,$A796))</f>
        <v/>
      </c>
      <c r="G796" s="4">
        <f>IF(OR(E796="",F796=""),"",E796+F796)</f>
        <v/>
      </c>
      <c r="H796" s="7">
        <f>IFERROR(IF(OR(E796="",INDEX(E:E,MATCH(DATE(YEAR($A796)-1,MONTH($A796),DAY($A796)),$A:$A,0))=""),"",E796/INDEX(E:E,MATCH(DATE(YEAR($A796)-1,MONTH($A796),DAY($A796)),$A:$A,0))-1),"")</f>
        <v/>
      </c>
      <c r="I796" s="7">
        <f>IFERROR(IF(OR(F796="",INDEX(F:F,MATCH(DATE(YEAR($A796)-1,MONTH($A796),DAY($A796)),$A:$A,0))=""),"",F796/INDEX(F:F,MATCH(DATE(YEAR($A796)-1,MONTH($A796),DAY($A796)),$A:$A,0))-1),"")</f>
        <v/>
      </c>
      <c r="J796" s="7">
        <f>IFERROR(IF(OR(G796="",INDEX(G:G,MATCH(DATE(YEAR($A796)-1,MONTH($A796),DAY($A796)),$A:$A,0))=""),"",G796/INDEX(G:G,MATCH(DATE(YEAR($A796)-1,MONTH($A796),DAY($A796)),$A:$A,0))-1),"")</f>
        <v/>
      </c>
      <c r="K796" s="7">
        <f>IF(OR(E796="",E795=""),"",E796/E795-1)</f>
        <v/>
      </c>
      <c r="L796" s="7">
        <f>IF(OR(F796="",F795=""),"",F796/F795-1)</f>
        <v/>
      </c>
      <c r="M796" s="7">
        <f>IF(OR(G796="",G795=""),"",G796/G795-1)</f>
        <v/>
      </c>
      <c r="N796" s="7">
        <f>IF(G796="","",E796/G796)</f>
        <v/>
      </c>
      <c r="O796" s="7">
        <f>IF(G796="","",F796/G796)</f>
        <v/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4">
        <f>IF(SUMIFS('Daily NSE Equity Cash'!$H:$H,'Daily NSE Equity Cash'!$A:$A,$A797)=0,"",SUMIFS('Daily NSE Equity Cash'!$H:$H,'Daily NSE Equity Cash'!$A:$A,$A797))</f>
        <v/>
      </c>
      <c r="F797" s="4">
        <f>IF(SUMIFS('Daily BSE Equity Cash'!$H:$H,'Daily BSE Equity Cash'!$A:$A,$A797)=0,"",SUMIFS('Daily BSE Equity Cash'!$H:$H,'Daily BSE Equity Cash'!$A:$A,$A797))</f>
        <v/>
      </c>
      <c r="G797" s="4">
        <f>IF(OR(E797="",F797=""),"",E797+F797)</f>
        <v/>
      </c>
      <c r="H797" s="7">
        <f>IFERROR(IF(OR(E797="",INDEX(E:E,MATCH(DATE(YEAR($A797)-1,MONTH($A797),DAY($A797)),$A:$A,0))=""),"",E797/INDEX(E:E,MATCH(DATE(YEAR($A797)-1,MONTH($A797),DAY($A797)),$A:$A,0))-1),"")</f>
        <v/>
      </c>
      <c r="I797" s="7">
        <f>IFERROR(IF(OR(F797="",INDEX(F:F,MATCH(DATE(YEAR($A797)-1,MONTH($A797),DAY($A797)),$A:$A,0))=""),"",F797/INDEX(F:F,MATCH(DATE(YEAR($A797)-1,MONTH($A797),DAY($A797)),$A:$A,0))-1),"")</f>
        <v/>
      </c>
      <c r="J797" s="7">
        <f>IFERROR(IF(OR(G797="",INDEX(G:G,MATCH(DATE(YEAR($A797)-1,MONTH($A797),DAY($A797)),$A:$A,0))=""),"",G797/INDEX(G:G,MATCH(DATE(YEAR($A797)-1,MONTH($A797),DAY($A797)),$A:$A,0))-1),"")</f>
        <v/>
      </c>
      <c r="K797" s="7">
        <f>IF(OR(E797="",E796=""),"",E797/E796-1)</f>
        <v/>
      </c>
      <c r="L797" s="7">
        <f>IF(OR(F797="",F796=""),"",F797/F796-1)</f>
        <v/>
      </c>
      <c r="M797" s="7">
        <f>IF(OR(G797="",G796=""),"",G797/G796-1)</f>
        <v/>
      </c>
      <c r="N797" s="7">
        <f>IF(G797="","",E797/G797)</f>
        <v/>
      </c>
      <c r="O797" s="7">
        <f>IF(G797="","",F797/G797)</f>
        <v/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4">
        <f>IF(SUMIFS('Daily NSE Equity Cash'!$H:$H,'Daily NSE Equity Cash'!$A:$A,$A798)=0,"",SUMIFS('Daily NSE Equity Cash'!$H:$H,'Daily NSE Equity Cash'!$A:$A,$A798))</f>
        <v/>
      </c>
      <c r="F798" s="4">
        <f>IF(SUMIFS('Daily BSE Equity Cash'!$H:$H,'Daily BSE Equity Cash'!$A:$A,$A798)=0,"",SUMIFS('Daily BSE Equity Cash'!$H:$H,'Daily BSE Equity Cash'!$A:$A,$A798))</f>
        <v/>
      </c>
      <c r="G798" s="4">
        <f>IF(OR(E798="",F798=""),"",E798+F798)</f>
        <v/>
      </c>
      <c r="H798" s="7">
        <f>IFERROR(IF(OR(E798="",INDEX(E:E,MATCH(DATE(YEAR($A798)-1,MONTH($A798),DAY($A798)),$A:$A,0))=""),"",E798/INDEX(E:E,MATCH(DATE(YEAR($A798)-1,MONTH($A798),DAY($A798)),$A:$A,0))-1),"")</f>
        <v/>
      </c>
      <c r="I798" s="7">
        <f>IFERROR(IF(OR(F798="",INDEX(F:F,MATCH(DATE(YEAR($A798)-1,MONTH($A798),DAY($A798)),$A:$A,0))=""),"",F798/INDEX(F:F,MATCH(DATE(YEAR($A798)-1,MONTH($A798),DAY($A798)),$A:$A,0))-1),"")</f>
        <v/>
      </c>
      <c r="J798" s="7">
        <f>IFERROR(IF(OR(G798="",INDEX(G:G,MATCH(DATE(YEAR($A798)-1,MONTH($A798),DAY($A798)),$A:$A,0))=""),"",G798/INDEX(G:G,MATCH(DATE(YEAR($A798)-1,MONTH($A798),DAY($A798)),$A:$A,0))-1),"")</f>
        <v/>
      </c>
      <c r="K798" s="7">
        <f>IF(OR(E798="",E797=""),"",E798/E797-1)</f>
        <v/>
      </c>
      <c r="L798" s="7">
        <f>IF(OR(F798="",F797=""),"",F798/F797-1)</f>
        <v/>
      </c>
      <c r="M798" s="7">
        <f>IF(OR(G798="",G797=""),"",G798/G797-1)</f>
        <v/>
      </c>
      <c r="N798" s="7">
        <f>IF(G798="","",E798/G798)</f>
        <v/>
      </c>
      <c r="O798" s="7">
        <f>IF(G798="","",F798/G798)</f>
        <v/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4">
        <f>IF(SUMIFS('Daily NSE Equity Cash'!$H:$H,'Daily NSE Equity Cash'!$A:$A,$A799)=0,"",SUMIFS('Daily NSE Equity Cash'!$H:$H,'Daily NSE Equity Cash'!$A:$A,$A799))</f>
        <v/>
      </c>
      <c r="F799" s="4">
        <f>IF(SUMIFS('Daily BSE Equity Cash'!$H:$H,'Daily BSE Equity Cash'!$A:$A,$A799)=0,"",SUMIFS('Daily BSE Equity Cash'!$H:$H,'Daily BSE Equity Cash'!$A:$A,$A799))</f>
        <v/>
      </c>
      <c r="G799" s="4">
        <f>IF(OR(E799="",F799=""),"",E799+F799)</f>
        <v/>
      </c>
      <c r="H799" s="7">
        <f>IFERROR(IF(OR(E799="",INDEX(E:E,MATCH(DATE(YEAR($A799)-1,MONTH($A799),DAY($A799)),$A:$A,0))=""),"",E799/INDEX(E:E,MATCH(DATE(YEAR($A799)-1,MONTH($A799),DAY($A799)),$A:$A,0))-1),"")</f>
        <v/>
      </c>
      <c r="I799" s="7">
        <f>IFERROR(IF(OR(F799="",INDEX(F:F,MATCH(DATE(YEAR($A799)-1,MONTH($A799),DAY($A799)),$A:$A,0))=""),"",F799/INDEX(F:F,MATCH(DATE(YEAR($A799)-1,MONTH($A799),DAY($A799)),$A:$A,0))-1),"")</f>
        <v/>
      </c>
      <c r="J799" s="7">
        <f>IFERROR(IF(OR(G799="",INDEX(G:G,MATCH(DATE(YEAR($A799)-1,MONTH($A799),DAY($A799)),$A:$A,0))=""),"",G799/INDEX(G:G,MATCH(DATE(YEAR($A799)-1,MONTH($A799),DAY($A799)),$A:$A,0))-1),"")</f>
        <v/>
      </c>
      <c r="K799" s="7">
        <f>IF(OR(E799="",E798=""),"",E799/E798-1)</f>
        <v/>
      </c>
      <c r="L799" s="7">
        <f>IF(OR(F799="",F798=""),"",F799/F798-1)</f>
        <v/>
      </c>
      <c r="M799" s="7">
        <f>IF(OR(G799="",G798=""),"",G799/G798-1)</f>
        <v/>
      </c>
      <c r="N799" s="7">
        <f>IF(G799="","",E799/G799)</f>
        <v/>
      </c>
      <c r="O799" s="7">
        <f>IF(G799="","",F799/G799)</f>
        <v/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4">
        <f>IF(SUMIFS('Daily NSE Equity Cash'!$H:$H,'Daily NSE Equity Cash'!$A:$A,$A800)=0,"",SUMIFS('Daily NSE Equity Cash'!$H:$H,'Daily NSE Equity Cash'!$A:$A,$A800))</f>
        <v/>
      </c>
      <c r="F800" s="4">
        <f>IF(SUMIFS('Daily BSE Equity Cash'!$H:$H,'Daily BSE Equity Cash'!$A:$A,$A800)=0,"",SUMIFS('Daily BSE Equity Cash'!$H:$H,'Daily BSE Equity Cash'!$A:$A,$A800))</f>
        <v/>
      </c>
      <c r="G800" s="4">
        <f>IF(OR(E800="",F800=""),"",E800+F800)</f>
        <v/>
      </c>
      <c r="H800" s="7">
        <f>IFERROR(IF(OR(E800="",INDEX(E:E,MATCH(DATE(YEAR($A800)-1,MONTH($A800),DAY($A800)),$A:$A,0))=""),"",E800/INDEX(E:E,MATCH(DATE(YEAR($A800)-1,MONTH($A800),DAY($A800)),$A:$A,0))-1),"")</f>
        <v/>
      </c>
      <c r="I800" s="7">
        <f>IFERROR(IF(OR(F800="",INDEX(F:F,MATCH(DATE(YEAR($A800)-1,MONTH($A800),DAY($A800)),$A:$A,0))=""),"",F800/INDEX(F:F,MATCH(DATE(YEAR($A800)-1,MONTH($A800),DAY($A800)),$A:$A,0))-1),"")</f>
        <v/>
      </c>
      <c r="J800" s="7">
        <f>IFERROR(IF(OR(G800="",INDEX(G:G,MATCH(DATE(YEAR($A800)-1,MONTH($A800),DAY($A800)),$A:$A,0))=""),"",G800/INDEX(G:G,MATCH(DATE(YEAR($A800)-1,MONTH($A800),DAY($A800)),$A:$A,0))-1),"")</f>
        <v/>
      </c>
      <c r="K800" s="7">
        <f>IF(OR(E800="",E799=""),"",E800/E799-1)</f>
        <v/>
      </c>
      <c r="L800" s="7">
        <f>IF(OR(F800="",F799=""),"",F800/F799-1)</f>
        <v/>
      </c>
      <c r="M800" s="7">
        <f>IF(OR(G800="",G799=""),"",G800/G799-1)</f>
        <v/>
      </c>
      <c r="N800" s="7">
        <f>IF(G800="","",E800/G800)</f>
        <v/>
      </c>
      <c r="O800" s="7">
        <f>IF(G800="","",F800/G800)</f>
        <v/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4">
        <f>IF(SUMIFS('Daily NSE Equity Cash'!$H:$H,'Daily NSE Equity Cash'!$A:$A,$A801)=0,"",SUMIFS('Daily NSE Equity Cash'!$H:$H,'Daily NSE Equity Cash'!$A:$A,$A801))</f>
        <v/>
      </c>
      <c r="F801" s="4">
        <f>IF(SUMIFS('Daily BSE Equity Cash'!$H:$H,'Daily BSE Equity Cash'!$A:$A,$A801)=0,"",SUMIFS('Daily BSE Equity Cash'!$H:$H,'Daily BSE Equity Cash'!$A:$A,$A801))</f>
        <v/>
      </c>
      <c r="G801" s="4">
        <f>IF(OR(E801="",F801=""),"",E801+F801)</f>
        <v/>
      </c>
      <c r="H801" s="7">
        <f>IFERROR(IF(OR(E801="",INDEX(E:E,MATCH(DATE(YEAR($A801)-1,MONTH($A801),DAY($A801)),$A:$A,0))=""),"",E801/INDEX(E:E,MATCH(DATE(YEAR($A801)-1,MONTH($A801),DAY($A801)),$A:$A,0))-1),"")</f>
        <v/>
      </c>
      <c r="I801" s="7">
        <f>IFERROR(IF(OR(F801="",INDEX(F:F,MATCH(DATE(YEAR($A801)-1,MONTH($A801),DAY($A801)),$A:$A,0))=""),"",F801/INDEX(F:F,MATCH(DATE(YEAR($A801)-1,MONTH($A801),DAY($A801)),$A:$A,0))-1),"")</f>
        <v/>
      </c>
      <c r="J801" s="7">
        <f>IFERROR(IF(OR(G801="",INDEX(G:G,MATCH(DATE(YEAR($A801)-1,MONTH($A801),DAY($A801)),$A:$A,0))=""),"",G801/INDEX(G:G,MATCH(DATE(YEAR($A801)-1,MONTH($A801),DAY($A801)),$A:$A,0))-1),"")</f>
        <v/>
      </c>
      <c r="K801" s="7">
        <f>IF(OR(E801="",E800=""),"",E801/E800-1)</f>
        <v/>
      </c>
      <c r="L801" s="7">
        <f>IF(OR(F801="",F800=""),"",F801/F800-1)</f>
        <v/>
      </c>
      <c r="M801" s="7">
        <f>IF(OR(G801="",G800=""),"",G801/G800-1)</f>
        <v/>
      </c>
      <c r="N801" s="7">
        <f>IF(G801="","",E801/G801)</f>
        <v/>
      </c>
      <c r="O801" s="7">
        <f>IF(G801="","",F801/G801)</f>
        <v/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4">
        <f>IF(SUMIFS('Daily NSE Equity Cash'!$H:$H,'Daily NSE Equity Cash'!$A:$A,$A802)=0,"",SUMIFS('Daily NSE Equity Cash'!$H:$H,'Daily NSE Equity Cash'!$A:$A,$A802))</f>
        <v/>
      </c>
      <c r="F802" s="4">
        <f>IF(SUMIFS('Daily BSE Equity Cash'!$H:$H,'Daily BSE Equity Cash'!$A:$A,$A802)=0,"",SUMIFS('Daily BSE Equity Cash'!$H:$H,'Daily BSE Equity Cash'!$A:$A,$A802))</f>
        <v/>
      </c>
      <c r="G802" s="4">
        <f>IF(OR(E802="",F802=""),"",E802+F802)</f>
        <v/>
      </c>
      <c r="H802" s="7">
        <f>IFERROR(IF(OR(E802="",INDEX(E:E,MATCH(DATE(YEAR($A802)-1,MONTH($A802),DAY($A802)),$A:$A,0))=""),"",E802/INDEX(E:E,MATCH(DATE(YEAR($A802)-1,MONTH($A802),DAY($A802)),$A:$A,0))-1),"")</f>
        <v/>
      </c>
      <c r="I802" s="7">
        <f>IFERROR(IF(OR(F802="",INDEX(F:F,MATCH(DATE(YEAR($A802)-1,MONTH($A802),DAY($A802)),$A:$A,0))=""),"",F802/INDEX(F:F,MATCH(DATE(YEAR($A802)-1,MONTH($A802),DAY($A802)),$A:$A,0))-1),"")</f>
        <v/>
      </c>
      <c r="J802" s="7">
        <f>IFERROR(IF(OR(G802="",INDEX(G:G,MATCH(DATE(YEAR($A802)-1,MONTH($A802),DAY($A802)),$A:$A,0))=""),"",G802/INDEX(G:G,MATCH(DATE(YEAR($A802)-1,MONTH($A802),DAY($A802)),$A:$A,0))-1),"")</f>
        <v/>
      </c>
      <c r="K802" s="7">
        <f>IF(OR(E802="",E801=""),"",E802/E801-1)</f>
        <v/>
      </c>
      <c r="L802" s="7">
        <f>IF(OR(F802="",F801=""),"",F802/F801-1)</f>
        <v/>
      </c>
      <c r="M802" s="7">
        <f>IF(OR(G802="",G801=""),"",G802/G801-1)</f>
        <v/>
      </c>
      <c r="N802" s="7">
        <f>IF(G802="","",E802/G802)</f>
        <v/>
      </c>
      <c r="O802" s="7">
        <f>IF(G802="","",F802/G802)</f>
        <v/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4">
        <f>IF(SUMIFS('Daily NSE Equity Cash'!$H:$H,'Daily NSE Equity Cash'!$A:$A,$A803)=0,"",SUMIFS('Daily NSE Equity Cash'!$H:$H,'Daily NSE Equity Cash'!$A:$A,$A803))</f>
        <v/>
      </c>
      <c r="F803" s="4">
        <f>IF(SUMIFS('Daily BSE Equity Cash'!$H:$H,'Daily BSE Equity Cash'!$A:$A,$A803)=0,"",SUMIFS('Daily BSE Equity Cash'!$H:$H,'Daily BSE Equity Cash'!$A:$A,$A803))</f>
        <v/>
      </c>
      <c r="G803" s="4">
        <f>IF(OR(E803="",F803=""),"",E803+F803)</f>
        <v/>
      </c>
      <c r="H803" s="7">
        <f>IFERROR(IF(OR(E803="",INDEX(E:E,MATCH(DATE(YEAR($A803)-1,MONTH($A803),DAY($A803)),$A:$A,0))=""),"",E803/INDEX(E:E,MATCH(DATE(YEAR($A803)-1,MONTH($A803),DAY($A803)),$A:$A,0))-1),"")</f>
        <v/>
      </c>
      <c r="I803" s="7">
        <f>IFERROR(IF(OR(F803="",INDEX(F:F,MATCH(DATE(YEAR($A803)-1,MONTH($A803),DAY($A803)),$A:$A,0))=""),"",F803/INDEX(F:F,MATCH(DATE(YEAR($A803)-1,MONTH($A803),DAY($A803)),$A:$A,0))-1),"")</f>
        <v/>
      </c>
      <c r="J803" s="7">
        <f>IFERROR(IF(OR(G803="",INDEX(G:G,MATCH(DATE(YEAR($A803)-1,MONTH($A803),DAY($A803)),$A:$A,0))=""),"",G803/INDEX(G:G,MATCH(DATE(YEAR($A803)-1,MONTH($A803),DAY($A803)),$A:$A,0))-1),"")</f>
        <v/>
      </c>
      <c r="K803" s="7">
        <f>IF(OR(E803="",E802=""),"",E803/E802-1)</f>
        <v/>
      </c>
      <c r="L803" s="7">
        <f>IF(OR(F803="",F802=""),"",F803/F802-1)</f>
        <v/>
      </c>
      <c r="M803" s="7">
        <f>IF(OR(G803="",G802=""),"",G803/G802-1)</f>
        <v/>
      </c>
      <c r="N803" s="7">
        <f>IF(G803="","",E803/G803)</f>
        <v/>
      </c>
      <c r="O803" s="7">
        <f>IF(G803="","",F803/G803)</f>
        <v/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4">
        <f>IF(SUMIFS('Daily NSE Equity Cash'!$H:$H,'Daily NSE Equity Cash'!$A:$A,$A804)=0,"",SUMIFS('Daily NSE Equity Cash'!$H:$H,'Daily NSE Equity Cash'!$A:$A,$A804))</f>
        <v/>
      </c>
      <c r="F804" s="4">
        <f>IF(SUMIFS('Daily BSE Equity Cash'!$H:$H,'Daily BSE Equity Cash'!$A:$A,$A804)=0,"",SUMIFS('Daily BSE Equity Cash'!$H:$H,'Daily BSE Equity Cash'!$A:$A,$A804))</f>
        <v/>
      </c>
      <c r="G804" s="4">
        <f>IF(OR(E804="",F804=""),"",E804+F804)</f>
        <v/>
      </c>
      <c r="H804" s="7">
        <f>IFERROR(IF(OR(E804="",INDEX(E:E,MATCH(DATE(YEAR($A804)-1,MONTH($A804),DAY($A804)),$A:$A,0))=""),"",E804/INDEX(E:E,MATCH(DATE(YEAR($A804)-1,MONTH($A804),DAY($A804)),$A:$A,0))-1),"")</f>
        <v/>
      </c>
      <c r="I804" s="7">
        <f>IFERROR(IF(OR(F804="",INDEX(F:F,MATCH(DATE(YEAR($A804)-1,MONTH($A804),DAY($A804)),$A:$A,0))=""),"",F804/INDEX(F:F,MATCH(DATE(YEAR($A804)-1,MONTH($A804),DAY($A804)),$A:$A,0))-1),"")</f>
        <v/>
      </c>
      <c r="J804" s="7">
        <f>IFERROR(IF(OR(G804="",INDEX(G:G,MATCH(DATE(YEAR($A804)-1,MONTH($A804),DAY($A804)),$A:$A,0))=""),"",G804/INDEX(G:G,MATCH(DATE(YEAR($A804)-1,MONTH($A804),DAY($A804)),$A:$A,0))-1),"")</f>
        <v/>
      </c>
      <c r="K804" s="7">
        <f>IF(OR(E804="",E803=""),"",E804/E803-1)</f>
        <v/>
      </c>
      <c r="L804" s="7">
        <f>IF(OR(F804="",F803=""),"",F804/F803-1)</f>
        <v/>
      </c>
      <c r="M804" s="7">
        <f>IF(OR(G804="",G803=""),"",G804/G803-1)</f>
        <v/>
      </c>
      <c r="N804" s="7">
        <f>IF(G804="","",E804/G804)</f>
        <v/>
      </c>
      <c r="O804" s="7">
        <f>IF(G804="","",F804/G804)</f>
        <v/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4">
        <f>IF(SUMIFS('Daily NSE Equity Cash'!$H:$H,'Daily NSE Equity Cash'!$A:$A,$A805)=0,"",SUMIFS('Daily NSE Equity Cash'!$H:$H,'Daily NSE Equity Cash'!$A:$A,$A805))</f>
        <v/>
      </c>
      <c r="F805" s="4">
        <f>IF(SUMIFS('Daily BSE Equity Cash'!$H:$H,'Daily BSE Equity Cash'!$A:$A,$A805)=0,"",SUMIFS('Daily BSE Equity Cash'!$H:$H,'Daily BSE Equity Cash'!$A:$A,$A805))</f>
        <v/>
      </c>
      <c r="G805" s="4">
        <f>IF(OR(E805="",F805=""),"",E805+F805)</f>
        <v/>
      </c>
      <c r="H805" s="7">
        <f>IFERROR(IF(OR(E805="",INDEX(E:E,MATCH(DATE(YEAR($A805)-1,MONTH($A805),DAY($A805)),$A:$A,0))=""),"",E805/INDEX(E:E,MATCH(DATE(YEAR($A805)-1,MONTH($A805),DAY($A805)),$A:$A,0))-1),"")</f>
        <v/>
      </c>
      <c r="I805" s="7">
        <f>IFERROR(IF(OR(F805="",INDEX(F:F,MATCH(DATE(YEAR($A805)-1,MONTH($A805),DAY($A805)),$A:$A,0))=""),"",F805/INDEX(F:F,MATCH(DATE(YEAR($A805)-1,MONTH($A805),DAY($A805)),$A:$A,0))-1),"")</f>
        <v/>
      </c>
      <c r="J805" s="7">
        <f>IFERROR(IF(OR(G805="",INDEX(G:G,MATCH(DATE(YEAR($A805)-1,MONTH($A805),DAY($A805)),$A:$A,0))=""),"",G805/INDEX(G:G,MATCH(DATE(YEAR($A805)-1,MONTH($A805),DAY($A805)),$A:$A,0))-1),"")</f>
        <v/>
      </c>
      <c r="K805" s="7">
        <f>IF(OR(E805="",E804=""),"",E805/E804-1)</f>
        <v/>
      </c>
      <c r="L805" s="7">
        <f>IF(OR(F805="",F804=""),"",F805/F804-1)</f>
        <v/>
      </c>
      <c r="M805" s="7">
        <f>IF(OR(G805="",G804=""),"",G805/G804-1)</f>
        <v/>
      </c>
      <c r="N805" s="7">
        <f>IF(G805="","",E805/G805)</f>
        <v/>
      </c>
      <c r="O805" s="7">
        <f>IF(G805="","",F805/G805)</f>
        <v/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4">
        <f>IF(SUMIFS('Daily NSE Equity Cash'!$H:$H,'Daily NSE Equity Cash'!$A:$A,$A806)=0,"",SUMIFS('Daily NSE Equity Cash'!$H:$H,'Daily NSE Equity Cash'!$A:$A,$A806))</f>
        <v/>
      </c>
      <c r="F806" s="4">
        <f>IF(SUMIFS('Daily BSE Equity Cash'!$H:$H,'Daily BSE Equity Cash'!$A:$A,$A806)=0,"",SUMIFS('Daily BSE Equity Cash'!$H:$H,'Daily BSE Equity Cash'!$A:$A,$A806))</f>
        <v/>
      </c>
      <c r="G806" s="4">
        <f>IF(OR(E806="",F806=""),"",E806+F806)</f>
        <v/>
      </c>
      <c r="H806" s="7">
        <f>IFERROR(IF(OR(E806="",INDEX(E:E,MATCH(DATE(YEAR($A806)-1,MONTH($A806),DAY($A806)),$A:$A,0))=""),"",E806/INDEX(E:E,MATCH(DATE(YEAR($A806)-1,MONTH($A806),DAY($A806)),$A:$A,0))-1),"")</f>
        <v/>
      </c>
      <c r="I806" s="7">
        <f>IFERROR(IF(OR(F806="",INDEX(F:F,MATCH(DATE(YEAR($A806)-1,MONTH($A806),DAY($A806)),$A:$A,0))=""),"",F806/INDEX(F:F,MATCH(DATE(YEAR($A806)-1,MONTH($A806),DAY($A806)),$A:$A,0))-1),"")</f>
        <v/>
      </c>
      <c r="J806" s="7">
        <f>IFERROR(IF(OR(G806="",INDEX(G:G,MATCH(DATE(YEAR($A806)-1,MONTH($A806),DAY($A806)),$A:$A,0))=""),"",G806/INDEX(G:G,MATCH(DATE(YEAR($A806)-1,MONTH($A806),DAY($A806)),$A:$A,0))-1),"")</f>
        <v/>
      </c>
      <c r="K806" s="7">
        <f>IF(OR(E806="",E805=""),"",E806/E805-1)</f>
        <v/>
      </c>
      <c r="L806" s="7">
        <f>IF(OR(F806="",F805=""),"",F806/F805-1)</f>
        <v/>
      </c>
      <c r="M806" s="7">
        <f>IF(OR(G806="",G805=""),"",G806/G805-1)</f>
        <v/>
      </c>
      <c r="N806" s="7">
        <f>IF(G806="","",E806/G806)</f>
        <v/>
      </c>
      <c r="O806" s="7">
        <f>IF(G806="","",F806/G806)</f>
        <v/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4">
        <f>IF(SUMIFS('Daily NSE Equity Cash'!$H:$H,'Daily NSE Equity Cash'!$A:$A,$A807)=0,"",SUMIFS('Daily NSE Equity Cash'!$H:$H,'Daily NSE Equity Cash'!$A:$A,$A807))</f>
        <v/>
      </c>
      <c r="F807" s="4">
        <f>IF(SUMIFS('Daily BSE Equity Cash'!$H:$H,'Daily BSE Equity Cash'!$A:$A,$A807)=0,"",SUMIFS('Daily BSE Equity Cash'!$H:$H,'Daily BSE Equity Cash'!$A:$A,$A807))</f>
        <v/>
      </c>
      <c r="G807" s="4">
        <f>IF(OR(E807="",F807=""),"",E807+F807)</f>
        <v/>
      </c>
      <c r="H807" s="7">
        <f>IFERROR(IF(OR(E807="",INDEX(E:E,MATCH(DATE(YEAR($A807)-1,MONTH($A807),DAY($A807)),$A:$A,0))=""),"",E807/INDEX(E:E,MATCH(DATE(YEAR($A807)-1,MONTH($A807),DAY($A807)),$A:$A,0))-1),"")</f>
        <v/>
      </c>
      <c r="I807" s="7">
        <f>IFERROR(IF(OR(F807="",INDEX(F:F,MATCH(DATE(YEAR($A807)-1,MONTH($A807),DAY($A807)),$A:$A,0))=""),"",F807/INDEX(F:F,MATCH(DATE(YEAR($A807)-1,MONTH($A807),DAY($A807)),$A:$A,0))-1),"")</f>
        <v/>
      </c>
      <c r="J807" s="7">
        <f>IFERROR(IF(OR(G807="",INDEX(G:G,MATCH(DATE(YEAR($A807)-1,MONTH($A807),DAY($A807)),$A:$A,0))=""),"",G807/INDEX(G:G,MATCH(DATE(YEAR($A807)-1,MONTH($A807),DAY($A807)),$A:$A,0))-1),"")</f>
        <v/>
      </c>
      <c r="K807" s="7">
        <f>IF(OR(E807="",E806=""),"",E807/E806-1)</f>
        <v/>
      </c>
      <c r="L807" s="7">
        <f>IF(OR(F807="",F806=""),"",F807/F806-1)</f>
        <v/>
      </c>
      <c r="M807" s="7">
        <f>IF(OR(G807="",G806=""),"",G807/G806-1)</f>
        <v/>
      </c>
      <c r="N807" s="7">
        <f>IF(G807="","",E807/G807)</f>
        <v/>
      </c>
      <c r="O807" s="7">
        <f>IF(G807="","",F807/G807)</f>
        <v/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4">
        <f>IF(SUMIFS('Daily NSE Equity Cash'!$H:$H,'Daily NSE Equity Cash'!$A:$A,$A808)=0,"",SUMIFS('Daily NSE Equity Cash'!$H:$H,'Daily NSE Equity Cash'!$A:$A,$A808))</f>
        <v/>
      </c>
      <c r="F808" s="4">
        <f>IF(SUMIFS('Daily BSE Equity Cash'!$H:$H,'Daily BSE Equity Cash'!$A:$A,$A808)=0,"",SUMIFS('Daily BSE Equity Cash'!$H:$H,'Daily BSE Equity Cash'!$A:$A,$A808))</f>
        <v/>
      </c>
      <c r="G808" s="4">
        <f>IF(OR(E808="",F808=""),"",E808+F808)</f>
        <v/>
      </c>
      <c r="H808" s="7">
        <f>IFERROR(IF(OR(E808="",INDEX(E:E,MATCH(DATE(YEAR($A808)-1,MONTH($A808),DAY($A808)),$A:$A,0))=""),"",E808/INDEX(E:E,MATCH(DATE(YEAR($A808)-1,MONTH($A808),DAY($A808)),$A:$A,0))-1),"")</f>
        <v/>
      </c>
      <c r="I808" s="7">
        <f>IFERROR(IF(OR(F808="",INDEX(F:F,MATCH(DATE(YEAR($A808)-1,MONTH($A808),DAY($A808)),$A:$A,0))=""),"",F808/INDEX(F:F,MATCH(DATE(YEAR($A808)-1,MONTH($A808),DAY($A808)),$A:$A,0))-1),"")</f>
        <v/>
      </c>
      <c r="J808" s="7">
        <f>IFERROR(IF(OR(G808="",INDEX(G:G,MATCH(DATE(YEAR($A808)-1,MONTH($A808),DAY($A808)),$A:$A,0))=""),"",G808/INDEX(G:G,MATCH(DATE(YEAR($A808)-1,MONTH($A808),DAY($A808)),$A:$A,0))-1),"")</f>
        <v/>
      </c>
      <c r="K808" s="7">
        <f>IF(OR(E808="",E807=""),"",E808/E807-1)</f>
        <v/>
      </c>
      <c r="L808" s="7">
        <f>IF(OR(F808="",F807=""),"",F808/F807-1)</f>
        <v/>
      </c>
      <c r="M808" s="7">
        <f>IF(OR(G808="",G807=""),"",G808/G807-1)</f>
        <v/>
      </c>
      <c r="N808" s="7">
        <f>IF(G808="","",E808/G808)</f>
        <v/>
      </c>
      <c r="O808" s="7">
        <f>IF(G808="","",F808/G808)</f>
        <v/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4">
        <f>IF(SUMIFS('Daily NSE Equity Cash'!$H:$H,'Daily NSE Equity Cash'!$A:$A,$A809)=0,"",SUMIFS('Daily NSE Equity Cash'!$H:$H,'Daily NSE Equity Cash'!$A:$A,$A809))</f>
        <v/>
      </c>
      <c r="F809" s="4">
        <f>IF(SUMIFS('Daily BSE Equity Cash'!$H:$H,'Daily BSE Equity Cash'!$A:$A,$A809)=0,"",SUMIFS('Daily BSE Equity Cash'!$H:$H,'Daily BSE Equity Cash'!$A:$A,$A809))</f>
        <v/>
      </c>
      <c r="G809" s="4">
        <f>IF(OR(E809="",F809=""),"",E809+F809)</f>
        <v/>
      </c>
      <c r="H809" s="7">
        <f>IFERROR(IF(OR(E809="",INDEX(E:E,MATCH(DATE(YEAR($A809)-1,MONTH($A809),DAY($A809)),$A:$A,0))=""),"",E809/INDEX(E:E,MATCH(DATE(YEAR($A809)-1,MONTH($A809),DAY($A809)),$A:$A,0))-1),"")</f>
        <v/>
      </c>
      <c r="I809" s="7">
        <f>IFERROR(IF(OR(F809="",INDEX(F:F,MATCH(DATE(YEAR($A809)-1,MONTH($A809),DAY($A809)),$A:$A,0))=""),"",F809/INDEX(F:F,MATCH(DATE(YEAR($A809)-1,MONTH($A809),DAY($A809)),$A:$A,0))-1),"")</f>
        <v/>
      </c>
      <c r="J809" s="7">
        <f>IFERROR(IF(OR(G809="",INDEX(G:G,MATCH(DATE(YEAR($A809)-1,MONTH($A809),DAY($A809)),$A:$A,0))=""),"",G809/INDEX(G:G,MATCH(DATE(YEAR($A809)-1,MONTH($A809),DAY($A809)),$A:$A,0))-1),"")</f>
        <v/>
      </c>
      <c r="K809" s="7">
        <f>IF(OR(E809="",E808=""),"",E809/E808-1)</f>
        <v/>
      </c>
      <c r="L809" s="7">
        <f>IF(OR(F809="",F808=""),"",F809/F808-1)</f>
        <v/>
      </c>
      <c r="M809" s="7">
        <f>IF(OR(G809="",G808=""),"",G809/G808-1)</f>
        <v/>
      </c>
      <c r="N809" s="7">
        <f>IF(G809="","",E809/G809)</f>
        <v/>
      </c>
      <c r="O809" s="7">
        <f>IF(G809="","",F809/G809)</f>
        <v/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4">
        <f>IF(SUMIFS('Daily NSE Equity Cash'!$H:$H,'Daily NSE Equity Cash'!$A:$A,$A810)=0,"",SUMIFS('Daily NSE Equity Cash'!$H:$H,'Daily NSE Equity Cash'!$A:$A,$A810))</f>
        <v/>
      </c>
      <c r="F810" s="4">
        <f>IF(SUMIFS('Daily BSE Equity Cash'!$H:$H,'Daily BSE Equity Cash'!$A:$A,$A810)=0,"",SUMIFS('Daily BSE Equity Cash'!$H:$H,'Daily BSE Equity Cash'!$A:$A,$A810))</f>
        <v/>
      </c>
      <c r="G810" s="4">
        <f>IF(OR(E810="",F810=""),"",E810+F810)</f>
        <v/>
      </c>
      <c r="H810" s="7">
        <f>IFERROR(IF(OR(E810="",INDEX(E:E,MATCH(DATE(YEAR($A810)-1,MONTH($A810),DAY($A810)),$A:$A,0))=""),"",E810/INDEX(E:E,MATCH(DATE(YEAR($A810)-1,MONTH($A810),DAY($A810)),$A:$A,0))-1),"")</f>
        <v/>
      </c>
      <c r="I810" s="7">
        <f>IFERROR(IF(OR(F810="",INDEX(F:F,MATCH(DATE(YEAR($A810)-1,MONTH($A810),DAY($A810)),$A:$A,0))=""),"",F810/INDEX(F:F,MATCH(DATE(YEAR($A810)-1,MONTH($A810),DAY($A810)),$A:$A,0))-1),"")</f>
        <v/>
      </c>
      <c r="J810" s="7">
        <f>IFERROR(IF(OR(G810="",INDEX(G:G,MATCH(DATE(YEAR($A810)-1,MONTH($A810),DAY($A810)),$A:$A,0))=""),"",G810/INDEX(G:G,MATCH(DATE(YEAR($A810)-1,MONTH($A810),DAY($A810)),$A:$A,0))-1),"")</f>
        <v/>
      </c>
      <c r="K810" s="7">
        <f>IF(OR(E810="",E809=""),"",E810/E809-1)</f>
        <v/>
      </c>
      <c r="L810" s="7">
        <f>IF(OR(F810="",F809=""),"",F810/F809-1)</f>
        <v/>
      </c>
      <c r="M810" s="7">
        <f>IF(OR(G810="",G809=""),"",G810/G809-1)</f>
        <v/>
      </c>
      <c r="N810" s="7">
        <f>IF(G810="","",E810/G810)</f>
        <v/>
      </c>
      <c r="O810" s="7">
        <f>IF(G810="","",F810/G810)</f>
        <v/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4">
        <f>IF(SUMIFS('Daily NSE Equity Cash'!$H:$H,'Daily NSE Equity Cash'!$A:$A,$A811)=0,"",SUMIFS('Daily NSE Equity Cash'!$H:$H,'Daily NSE Equity Cash'!$A:$A,$A811))</f>
        <v/>
      </c>
      <c r="F811" s="4">
        <f>IF(SUMIFS('Daily BSE Equity Cash'!$H:$H,'Daily BSE Equity Cash'!$A:$A,$A811)=0,"",SUMIFS('Daily BSE Equity Cash'!$H:$H,'Daily BSE Equity Cash'!$A:$A,$A811))</f>
        <v/>
      </c>
      <c r="G811" s="4">
        <f>IF(OR(E811="",F811=""),"",E811+F811)</f>
        <v/>
      </c>
      <c r="H811" s="7">
        <f>IFERROR(IF(OR(E811="",INDEX(E:E,MATCH(DATE(YEAR($A811)-1,MONTH($A811),DAY($A811)),$A:$A,0))=""),"",E811/INDEX(E:E,MATCH(DATE(YEAR($A811)-1,MONTH($A811),DAY($A811)),$A:$A,0))-1),"")</f>
        <v/>
      </c>
      <c r="I811" s="7">
        <f>IFERROR(IF(OR(F811="",INDEX(F:F,MATCH(DATE(YEAR($A811)-1,MONTH($A811),DAY($A811)),$A:$A,0))=""),"",F811/INDEX(F:F,MATCH(DATE(YEAR($A811)-1,MONTH($A811),DAY($A811)),$A:$A,0))-1),"")</f>
        <v/>
      </c>
      <c r="J811" s="7">
        <f>IFERROR(IF(OR(G811="",INDEX(G:G,MATCH(DATE(YEAR($A811)-1,MONTH($A811),DAY($A811)),$A:$A,0))=""),"",G811/INDEX(G:G,MATCH(DATE(YEAR($A811)-1,MONTH($A811),DAY($A811)),$A:$A,0))-1),"")</f>
        <v/>
      </c>
      <c r="K811" s="7">
        <f>IF(OR(E811="",E810=""),"",E811/E810-1)</f>
        <v/>
      </c>
      <c r="L811" s="7">
        <f>IF(OR(F811="",F810=""),"",F811/F810-1)</f>
        <v/>
      </c>
      <c r="M811" s="7">
        <f>IF(OR(G811="",G810=""),"",G811/G810-1)</f>
        <v/>
      </c>
      <c r="N811" s="7">
        <f>IF(G811="","",E811/G811)</f>
        <v/>
      </c>
      <c r="O811" s="7">
        <f>IF(G811="","",F811/G811)</f>
        <v/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4">
        <f>IF(SUMIFS('Daily NSE Equity Cash'!$H:$H,'Daily NSE Equity Cash'!$A:$A,$A812)=0,"",SUMIFS('Daily NSE Equity Cash'!$H:$H,'Daily NSE Equity Cash'!$A:$A,$A812))</f>
        <v/>
      </c>
      <c r="F812" s="4">
        <f>IF(SUMIFS('Daily BSE Equity Cash'!$H:$H,'Daily BSE Equity Cash'!$A:$A,$A812)=0,"",SUMIFS('Daily BSE Equity Cash'!$H:$H,'Daily BSE Equity Cash'!$A:$A,$A812))</f>
        <v/>
      </c>
      <c r="G812" s="4">
        <f>IF(OR(E812="",F812=""),"",E812+F812)</f>
        <v/>
      </c>
      <c r="H812" s="7">
        <f>IFERROR(IF(OR(E812="",INDEX(E:E,MATCH(DATE(YEAR($A812)-1,MONTH($A812),DAY($A812)),$A:$A,0))=""),"",E812/INDEX(E:E,MATCH(DATE(YEAR($A812)-1,MONTH($A812),DAY($A812)),$A:$A,0))-1),"")</f>
        <v/>
      </c>
      <c r="I812" s="7">
        <f>IFERROR(IF(OR(F812="",INDEX(F:F,MATCH(DATE(YEAR($A812)-1,MONTH($A812),DAY($A812)),$A:$A,0))=""),"",F812/INDEX(F:F,MATCH(DATE(YEAR($A812)-1,MONTH($A812),DAY($A812)),$A:$A,0))-1),"")</f>
        <v/>
      </c>
      <c r="J812" s="7">
        <f>IFERROR(IF(OR(G812="",INDEX(G:G,MATCH(DATE(YEAR($A812)-1,MONTH($A812),DAY($A812)),$A:$A,0))=""),"",G812/INDEX(G:G,MATCH(DATE(YEAR($A812)-1,MONTH($A812),DAY($A812)),$A:$A,0))-1),"")</f>
        <v/>
      </c>
      <c r="K812" s="7">
        <f>IF(OR(E812="",E811=""),"",E812/E811-1)</f>
        <v/>
      </c>
      <c r="L812" s="7">
        <f>IF(OR(F812="",F811=""),"",F812/F811-1)</f>
        <v/>
      </c>
      <c r="M812" s="7">
        <f>IF(OR(G812="",G811=""),"",G812/G811-1)</f>
        <v/>
      </c>
      <c r="N812" s="7">
        <f>IF(G812="","",E812/G812)</f>
        <v/>
      </c>
      <c r="O812" s="7">
        <f>IF(G812="","",F812/G812)</f>
        <v/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4">
        <f>IF(SUMIFS('Daily NSE Equity Cash'!$H:$H,'Daily NSE Equity Cash'!$A:$A,$A813)=0,"",SUMIFS('Daily NSE Equity Cash'!$H:$H,'Daily NSE Equity Cash'!$A:$A,$A813))</f>
        <v/>
      </c>
      <c r="F813" s="4">
        <f>IF(SUMIFS('Daily BSE Equity Cash'!$H:$H,'Daily BSE Equity Cash'!$A:$A,$A813)=0,"",SUMIFS('Daily BSE Equity Cash'!$H:$H,'Daily BSE Equity Cash'!$A:$A,$A813))</f>
        <v/>
      </c>
      <c r="G813" s="4">
        <f>IF(OR(E813="",F813=""),"",E813+F813)</f>
        <v/>
      </c>
      <c r="H813" s="7">
        <f>IFERROR(IF(OR(E813="",INDEX(E:E,MATCH(DATE(YEAR($A813)-1,MONTH($A813),DAY($A813)),$A:$A,0))=""),"",E813/INDEX(E:E,MATCH(DATE(YEAR($A813)-1,MONTH($A813),DAY($A813)),$A:$A,0))-1),"")</f>
        <v/>
      </c>
      <c r="I813" s="7">
        <f>IFERROR(IF(OR(F813="",INDEX(F:F,MATCH(DATE(YEAR($A813)-1,MONTH($A813),DAY($A813)),$A:$A,0))=""),"",F813/INDEX(F:F,MATCH(DATE(YEAR($A813)-1,MONTH($A813),DAY($A813)),$A:$A,0))-1),"")</f>
        <v/>
      </c>
      <c r="J813" s="7">
        <f>IFERROR(IF(OR(G813="",INDEX(G:G,MATCH(DATE(YEAR($A813)-1,MONTH($A813),DAY($A813)),$A:$A,0))=""),"",G813/INDEX(G:G,MATCH(DATE(YEAR($A813)-1,MONTH($A813),DAY($A813)),$A:$A,0))-1),"")</f>
        <v/>
      </c>
      <c r="K813" s="7">
        <f>IF(OR(E813="",E812=""),"",E813/E812-1)</f>
        <v/>
      </c>
      <c r="L813" s="7">
        <f>IF(OR(F813="",F812=""),"",F813/F812-1)</f>
        <v/>
      </c>
      <c r="M813" s="7">
        <f>IF(OR(G813="",G812=""),"",G813/G812-1)</f>
        <v/>
      </c>
      <c r="N813" s="7">
        <f>IF(G813="","",E813/G813)</f>
        <v/>
      </c>
      <c r="O813" s="7">
        <f>IF(G813="","",F813/G813)</f>
        <v/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4">
        <f>IF(SUMIFS('Daily NSE Equity Cash'!$H:$H,'Daily NSE Equity Cash'!$A:$A,$A814)=0,"",SUMIFS('Daily NSE Equity Cash'!$H:$H,'Daily NSE Equity Cash'!$A:$A,$A814))</f>
        <v/>
      </c>
      <c r="F814" s="4">
        <f>IF(SUMIFS('Daily BSE Equity Cash'!$H:$H,'Daily BSE Equity Cash'!$A:$A,$A814)=0,"",SUMIFS('Daily BSE Equity Cash'!$H:$H,'Daily BSE Equity Cash'!$A:$A,$A814))</f>
        <v/>
      </c>
      <c r="G814" s="4">
        <f>IF(OR(E814="",F814=""),"",E814+F814)</f>
        <v/>
      </c>
      <c r="H814" s="7">
        <f>IFERROR(IF(OR(E814="",INDEX(E:E,MATCH(DATE(YEAR($A814)-1,MONTH($A814),DAY($A814)),$A:$A,0))=""),"",E814/INDEX(E:E,MATCH(DATE(YEAR($A814)-1,MONTH($A814),DAY($A814)),$A:$A,0))-1),"")</f>
        <v/>
      </c>
      <c r="I814" s="7">
        <f>IFERROR(IF(OR(F814="",INDEX(F:F,MATCH(DATE(YEAR($A814)-1,MONTH($A814),DAY($A814)),$A:$A,0))=""),"",F814/INDEX(F:F,MATCH(DATE(YEAR($A814)-1,MONTH($A814),DAY($A814)),$A:$A,0))-1),"")</f>
        <v/>
      </c>
      <c r="J814" s="7">
        <f>IFERROR(IF(OR(G814="",INDEX(G:G,MATCH(DATE(YEAR($A814)-1,MONTH($A814),DAY($A814)),$A:$A,0))=""),"",G814/INDEX(G:G,MATCH(DATE(YEAR($A814)-1,MONTH($A814),DAY($A814)),$A:$A,0))-1),"")</f>
        <v/>
      </c>
      <c r="K814" s="7">
        <f>IF(OR(E814="",E813=""),"",E814/E813-1)</f>
        <v/>
      </c>
      <c r="L814" s="7">
        <f>IF(OR(F814="",F813=""),"",F814/F813-1)</f>
        <v/>
      </c>
      <c r="M814" s="7">
        <f>IF(OR(G814="",G813=""),"",G814/G813-1)</f>
        <v/>
      </c>
      <c r="N814" s="7">
        <f>IF(G814="","",E814/G814)</f>
        <v/>
      </c>
      <c r="O814" s="7">
        <f>IF(G814="","",F814/G814)</f>
        <v/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4">
        <f>IF(SUMIFS('Daily NSE Equity Cash'!$H:$H,'Daily NSE Equity Cash'!$A:$A,$A815)=0,"",SUMIFS('Daily NSE Equity Cash'!$H:$H,'Daily NSE Equity Cash'!$A:$A,$A815))</f>
        <v/>
      </c>
      <c r="F815" s="4">
        <f>IF(SUMIFS('Daily BSE Equity Cash'!$H:$H,'Daily BSE Equity Cash'!$A:$A,$A815)=0,"",SUMIFS('Daily BSE Equity Cash'!$H:$H,'Daily BSE Equity Cash'!$A:$A,$A815))</f>
        <v/>
      </c>
      <c r="G815" s="4">
        <f>IF(OR(E815="",F815=""),"",E815+F815)</f>
        <v/>
      </c>
      <c r="H815" s="7">
        <f>IFERROR(IF(OR(E815="",INDEX(E:E,MATCH(DATE(YEAR($A815)-1,MONTH($A815),DAY($A815)),$A:$A,0))=""),"",E815/INDEX(E:E,MATCH(DATE(YEAR($A815)-1,MONTH($A815),DAY($A815)),$A:$A,0))-1),"")</f>
        <v/>
      </c>
      <c r="I815" s="7">
        <f>IFERROR(IF(OR(F815="",INDEX(F:F,MATCH(DATE(YEAR($A815)-1,MONTH($A815),DAY($A815)),$A:$A,0))=""),"",F815/INDEX(F:F,MATCH(DATE(YEAR($A815)-1,MONTH($A815),DAY($A815)),$A:$A,0))-1),"")</f>
        <v/>
      </c>
      <c r="J815" s="7">
        <f>IFERROR(IF(OR(G815="",INDEX(G:G,MATCH(DATE(YEAR($A815)-1,MONTH($A815),DAY($A815)),$A:$A,0))=""),"",G815/INDEX(G:G,MATCH(DATE(YEAR($A815)-1,MONTH($A815),DAY($A815)),$A:$A,0))-1),"")</f>
        <v/>
      </c>
      <c r="K815" s="7">
        <f>IF(OR(E815="",E814=""),"",E815/E814-1)</f>
        <v/>
      </c>
      <c r="L815" s="7">
        <f>IF(OR(F815="",F814=""),"",F815/F814-1)</f>
        <v/>
      </c>
      <c r="M815" s="7">
        <f>IF(OR(G815="",G814=""),"",G815/G814-1)</f>
        <v/>
      </c>
      <c r="N815" s="7">
        <f>IF(G815="","",E815/G815)</f>
        <v/>
      </c>
      <c r="O815" s="7">
        <f>IF(G815="","",F815/G815)</f>
        <v/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4">
        <f>IF(SUMIFS('Daily NSE Equity Cash'!$H:$H,'Daily NSE Equity Cash'!$A:$A,$A816)=0,"",SUMIFS('Daily NSE Equity Cash'!$H:$H,'Daily NSE Equity Cash'!$A:$A,$A816))</f>
        <v/>
      </c>
      <c r="F816" s="4">
        <f>IF(SUMIFS('Daily BSE Equity Cash'!$H:$H,'Daily BSE Equity Cash'!$A:$A,$A816)=0,"",SUMIFS('Daily BSE Equity Cash'!$H:$H,'Daily BSE Equity Cash'!$A:$A,$A816))</f>
        <v/>
      </c>
      <c r="G816" s="4">
        <f>IF(OR(E816="",F816=""),"",E816+F816)</f>
        <v/>
      </c>
      <c r="H816" s="7">
        <f>IFERROR(IF(OR(E816="",INDEX(E:E,MATCH(DATE(YEAR($A816)-1,MONTH($A816),DAY($A816)),$A:$A,0))=""),"",E816/INDEX(E:E,MATCH(DATE(YEAR($A816)-1,MONTH($A816),DAY($A816)),$A:$A,0))-1),"")</f>
        <v/>
      </c>
      <c r="I816" s="7">
        <f>IFERROR(IF(OR(F816="",INDEX(F:F,MATCH(DATE(YEAR($A816)-1,MONTH($A816),DAY($A816)),$A:$A,0))=""),"",F816/INDEX(F:F,MATCH(DATE(YEAR($A816)-1,MONTH($A816),DAY($A816)),$A:$A,0))-1),"")</f>
        <v/>
      </c>
      <c r="J816" s="7">
        <f>IFERROR(IF(OR(G816="",INDEX(G:G,MATCH(DATE(YEAR($A816)-1,MONTH($A816),DAY($A816)),$A:$A,0))=""),"",G816/INDEX(G:G,MATCH(DATE(YEAR($A816)-1,MONTH($A816),DAY($A816)),$A:$A,0))-1),"")</f>
        <v/>
      </c>
      <c r="K816" s="7">
        <f>IF(OR(E816="",E815=""),"",E816/E815-1)</f>
        <v/>
      </c>
      <c r="L816" s="7">
        <f>IF(OR(F816="",F815=""),"",F816/F815-1)</f>
        <v/>
      </c>
      <c r="M816" s="7">
        <f>IF(OR(G816="",G815=""),"",G816/G815-1)</f>
        <v/>
      </c>
      <c r="N816" s="7">
        <f>IF(G816="","",E816/G816)</f>
        <v/>
      </c>
      <c r="O816" s="7">
        <f>IF(G816="","",F816/G816)</f>
        <v/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4">
        <f>IF(SUMIFS('Daily NSE Equity Cash'!$H:$H,'Daily NSE Equity Cash'!$A:$A,$A817)=0,"",SUMIFS('Daily NSE Equity Cash'!$H:$H,'Daily NSE Equity Cash'!$A:$A,$A817))</f>
        <v/>
      </c>
      <c r="F817" s="4">
        <f>IF(SUMIFS('Daily BSE Equity Cash'!$H:$H,'Daily BSE Equity Cash'!$A:$A,$A817)=0,"",SUMIFS('Daily BSE Equity Cash'!$H:$H,'Daily BSE Equity Cash'!$A:$A,$A817))</f>
        <v/>
      </c>
      <c r="G817" s="4">
        <f>IF(OR(E817="",F817=""),"",E817+F817)</f>
        <v/>
      </c>
      <c r="H817" s="7">
        <f>IFERROR(IF(OR(E817="",INDEX(E:E,MATCH(DATE(YEAR($A817)-1,MONTH($A817),DAY($A817)),$A:$A,0))=""),"",E817/INDEX(E:E,MATCH(DATE(YEAR($A817)-1,MONTH($A817),DAY($A817)),$A:$A,0))-1),"")</f>
        <v/>
      </c>
      <c r="I817" s="7">
        <f>IFERROR(IF(OR(F817="",INDEX(F:F,MATCH(DATE(YEAR($A817)-1,MONTH($A817),DAY($A817)),$A:$A,0))=""),"",F817/INDEX(F:F,MATCH(DATE(YEAR($A817)-1,MONTH($A817),DAY($A817)),$A:$A,0))-1),"")</f>
        <v/>
      </c>
      <c r="J817" s="7">
        <f>IFERROR(IF(OR(G817="",INDEX(G:G,MATCH(DATE(YEAR($A817)-1,MONTH($A817),DAY($A817)),$A:$A,0))=""),"",G817/INDEX(G:G,MATCH(DATE(YEAR($A817)-1,MONTH($A817),DAY($A817)),$A:$A,0))-1),"")</f>
        <v/>
      </c>
      <c r="K817" s="7">
        <f>IF(OR(E817="",E816=""),"",E817/E816-1)</f>
        <v/>
      </c>
      <c r="L817" s="7">
        <f>IF(OR(F817="",F816=""),"",F817/F816-1)</f>
        <v/>
      </c>
      <c r="M817" s="7">
        <f>IF(OR(G817="",G816=""),"",G817/G816-1)</f>
        <v/>
      </c>
      <c r="N817" s="7">
        <f>IF(G817="","",E817/G817)</f>
        <v/>
      </c>
      <c r="O817" s="7">
        <f>IF(G817="","",F817/G817)</f>
        <v/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4">
        <f>IF(SUMIFS('Daily NSE Equity Cash'!$H:$H,'Daily NSE Equity Cash'!$A:$A,$A818)=0,"",SUMIFS('Daily NSE Equity Cash'!$H:$H,'Daily NSE Equity Cash'!$A:$A,$A818))</f>
        <v/>
      </c>
      <c r="F818" s="4">
        <f>IF(SUMIFS('Daily BSE Equity Cash'!$H:$H,'Daily BSE Equity Cash'!$A:$A,$A818)=0,"",SUMIFS('Daily BSE Equity Cash'!$H:$H,'Daily BSE Equity Cash'!$A:$A,$A818))</f>
        <v/>
      </c>
      <c r="G818" s="4">
        <f>IF(OR(E818="",F818=""),"",E818+F818)</f>
        <v/>
      </c>
      <c r="H818" s="7">
        <f>IFERROR(IF(OR(E818="",INDEX(E:E,MATCH(DATE(YEAR($A818)-1,MONTH($A818),DAY($A818)),$A:$A,0))=""),"",E818/INDEX(E:E,MATCH(DATE(YEAR($A818)-1,MONTH($A818),DAY($A818)),$A:$A,0))-1),"")</f>
        <v/>
      </c>
      <c r="I818" s="7">
        <f>IFERROR(IF(OR(F818="",INDEX(F:F,MATCH(DATE(YEAR($A818)-1,MONTH($A818),DAY($A818)),$A:$A,0))=""),"",F818/INDEX(F:F,MATCH(DATE(YEAR($A818)-1,MONTH($A818),DAY($A818)),$A:$A,0))-1),"")</f>
        <v/>
      </c>
      <c r="J818" s="7">
        <f>IFERROR(IF(OR(G818="",INDEX(G:G,MATCH(DATE(YEAR($A818)-1,MONTH($A818),DAY($A818)),$A:$A,0))=""),"",G818/INDEX(G:G,MATCH(DATE(YEAR($A818)-1,MONTH($A818),DAY($A818)),$A:$A,0))-1),"")</f>
        <v/>
      </c>
      <c r="K818" s="7">
        <f>IF(OR(E818="",E817=""),"",E818/E817-1)</f>
        <v/>
      </c>
      <c r="L818" s="7">
        <f>IF(OR(F818="",F817=""),"",F818/F817-1)</f>
        <v/>
      </c>
      <c r="M818" s="7">
        <f>IF(OR(G818="",G817=""),"",G818/G817-1)</f>
        <v/>
      </c>
      <c r="N818" s="7">
        <f>IF(G818="","",E818/G818)</f>
        <v/>
      </c>
      <c r="O818" s="7">
        <f>IF(G818="","",F818/G818)</f>
        <v/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4">
        <f>IF(SUMIFS('Daily NSE Equity Cash'!$H:$H,'Daily NSE Equity Cash'!$A:$A,$A819)=0,"",SUMIFS('Daily NSE Equity Cash'!$H:$H,'Daily NSE Equity Cash'!$A:$A,$A819))</f>
        <v/>
      </c>
      <c r="F819" s="4">
        <f>IF(SUMIFS('Daily BSE Equity Cash'!$H:$H,'Daily BSE Equity Cash'!$A:$A,$A819)=0,"",SUMIFS('Daily BSE Equity Cash'!$H:$H,'Daily BSE Equity Cash'!$A:$A,$A819))</f>
        <v/>
      </c>
      <c r="G819" s="4">
        <f>IF(OR(E819="",F819=""),"",E819+F819)</f>
        <v/>
      </c>
      <c r="H819" s="7">
        <f>IFERROR(IF(OR(E819="",INDEX(E:E,MATCH(DATE(YEAR($A819)-1,MONTH($A819),DAY($A819)),$A:$A,0))=""),"",E819/INDEX(E:E,MATCH(DATE(YEAR($A819)-1,MONTH($A819),DAY($A819)),$A:$A,0))-1),"")</f>
        <v/>
      </c>
      <c r="I819" s="7">
        <f>IFERROR(IF(OR(F819="",INDEX(F:F,MATCH(DATE(YEAR($A819)-1,MONTH($A819),DAY($A819)),$A:$A,0))=""),"",F819/INDEX(F:F,MATCH(DATE(YEAR($A819)-1,MONTH($A819),DAY($A819)),$A:$A,0))-1),"")</f>
        <v/>
      </c>
      <c r="J819" s="7">
        <f>IFERROR(IF(OR(G819="",INDEX(G:G,MATCH(DATE(YEAR($A819)-1,MONTH($A819),DAY($A819)),$A:$A,0))=""),"",G819/INDEX(G:G,MATCH(DATE(YEAR($A819)-1,MONTH($A819),DAY($A819)),$A:$A,0))-1),"")</f>
        <v/>
      </c>
      <c r="K819" s="7">
        <f>IF(OR(E819="",E818=""),"",E819/E818-1)</f>
        <v/>
      </c>
      <c r="L819" s="7">
        <f>IF(OR(F819="",F818=""),"",F819/F818-1)</f>
        <v/>
      </c>
      <c r="M819" s="7">
        <f>IF(OR(G819="",G818=""),"",G819/G818-1)</f>
        <v/>
      </c>
      <c r="N819" s="7">
        <f>IF(G819="","",E819/G819)</f>
        <v/>
      </c>
      <c r="O819" s="7">
        <f>IF(G819="","",F819/G819)</f>
        <v/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4">
        <f>IF(SUMIFS('Daily NSE Equity Cash'!$H:$H,'Daily NSE Equity Cash'!$A:$A,$A820)=0,"",SUMIFS('Daily NSE Equity Cash'!$H:$H,'Daily NSE Equity Cash'!$A:$A,$A820))</f>
        <v/>
      </c>
      <c r="F820" s="4">
        <f>IF(SUMIFS('Daily BSE Equity Cash'!$H:$H,'Daily BSE Equity Cash'!$A:$A,$A820)=0,"",SUMIFS('Daily BSE Equity Cash'!$H:$H,'Daily BSE Equity Cash'!$A:$A,$A820))</f>
        <v/>
      </c>
      <c r="G820" s="4">
        <f>IF(OR(E820="",F820=""),"",E820+F820)</f>
        <v/>
      </c>
      <c r="H820" s="7">
        <f>IFERROR(IF(OR(E820="",INDEX(E:E,MATCH(DATE(YEAR($A820)-1,MONTH($A820),DAY($A820)),$A:$A,0))=""),"",E820/INDEX(E:E,MATCH(DATE(YEAR($A820)-1,MONTH($A820),DAY($A820)),$A:$A,0))-1),"")</f>
        <v/>
      </c>
      <c r="I820" s="7">
        <f>IFERROR(IF(OR(F820="",INDEX(F:F,MATCH(DATE(YEAR($A820)-1,MONTH($A820),DAY($A820)),$A:$A,0))=""),"",F820/INDEX(F:F,MATCH(DATE(YEAR($A820)-1,MONTH($A820),DAY($A820)),$A:$A,0))-1),"")</f>
        <v/>
      </c>
      <c r="J820" s="7">
        <f>IFERROR(IF(OR(G820="",INDEX(G:G,MATCH(DATE(YEAR($A820)-1,MONTH($A820),DAY($A820)),$A:$A,0))=""),"",G820/INDEX(G:G,MATCH(DATE(YEAR($A820)-1,MONTH($A820),DAY($A820)),$A:$A,0))-1),"")</f>
        <v/>
      </c>
      <c r="K820" s="7">
        <f>IF(OR(E820="",E819=""),"",E820/E819-1)</f>
        <v/>
      </c>
      <c r="L820" s="7">
        <f>IF(OR(F820="",F819=""),"",F820/F819-1)</f>
        <v/>
      </c>
      <c r="M820" s="7">
        <f>IF(OR(G820="",G819=""),"",G820/G819-1)</f>
        <v/>
      </c>
      <c r="N820" s="7">
        <f>IF(G820="","",E820/G820)</f>
        <v/>
      </c>
      <c r="O820" s="7">
        <f>IF(G820="","",F820/G820)</f>
        <v/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4">
        <f>IF(SUMIFS('Daily NSE Equity Cash'!$H:$H,'Daily NSE Equity Cash'!$A:$A,$A821)=0,"",SUMIFS('Daily NSE Equity Cash'!$H:$H,'Daily NSE Equity Cash'!$A:$A,$A821))</f>
        <v/>
      </c>
      <c r="F821" s="4">
        <f>IF(SUMIFS('Daily BSE Equity Cash'!$H:$H,'Daily BSE Equity Cash'!$A:$A,$A821)=0,"",SUMIFS('Daily BSE Equity Cash'!$H:$H,'Daily BSE Equity Cash'!$A:$A,$A821))</f>
        <v/>
      </c>
      <c r="G821" s="4">
        <f>IF(OR(E821="",F821=""),"",E821+F821)</f>
        <v/>
      </c>
      <c r="H821" s="7">
        <f>IFERROR(IF(OR(E821="",INDEX(E:E,MATCH(DATE(YEAR($A821)-1,MONTH($A821),DAY($A821)),$A:$A,0))=""),"",E821/INDEX(E:E,MATCH(DATE(YEAR($A821)-1,MONTH($A821),DAY($A821)),$A:$A,0))-1),"")</f>
        <v/>
      </c>
      <c r="I821" s="7">
        <f>IFERROR(IF(OR(F821="",INDEX(F:F,MATCH(DATE(YEAR($A821)-1,MONTH($A821),DAY($A821)),$A:$A,0))=""),"",F821/INDEX(F:F,MATCH(DATE(YEAR($A821)-1,MONTH($A821),DAY($A821)),$A:$A,0))-1),"")</f>
        <v/>
      </c>
      <c r="J821" s="7">
        <f>IFERROR(IF(OR(G821="",INDEX(G:G,MATCH(DATE(YEAR($A821)-1,MONTH($A821),DAY($A821)),$A:$A,0))=""),"",G821/INDEX(G:G,MATCH(DATE(YEAR($A821)-1,MONTH($A821),DAY($A821)),$A:$A,0))-1),"")</f>
        <v/>
      </c>
      <c r="K821" s="7">
        <f>IF(OR(E821="",E820=""),"",E821/E820-1)</f>
        <v/>
      </c>
      <c r="L821" s="7">
        <f>IF(OR(F821="",F820=""),"",F821/F820-1)</f>
        <v/>
      </c>
      <c r="M821" s="7">
        <f>IF(OR(G821="",G820=""),"",G821/G820-1)</f>
        <v/>
      </c>
      <c r="N821" s="7">
        <f>IF(G821="","",E821/G821)</f>
        <v/>
      </c>
      <c r="O821" s="7">
        <f>IF(G821="","",F821/G821)</f>
        <v/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4">
        <f>IF(SUMIFS('Daily NSE Equity Cash'!$H:$H,'Daily NSE Equity Cash'!$A:$A,$A822)=0,"",SUMIFS('Daily NSE Equity Cash'!$H:$H,'Daily NSE Equity Cash'!$A:$A,$A822))</f>
        <v/>
      </c>
      <c r="F822" s="4">
        <f>IF(SUMIFS('Daily BSE Equity Cash'!$H:$H,'Daily BSE Equity Cash'!$A:$A,$A822)=0,"",SUMIFS('Daily BSE Equity Cash'!$H:$H,'Daily BSE Equity Cash'!$A:$A,$A822))</f>
        <v/>
      </c>
      <c r="G822" s="4">
        <f>IF(OR(E822="",F822=""),"",E822+F822)</f>
        <v/>
      </c>
      <c r="H822" s="7">
        <f>IFERROR(IF(OR(E822="",INDEX(E:E,MATCH(DATE(YEAR($A822)-1,MONTH($A822),DAY($A822)),$A:$A,0))=""),"",E822/INDEX(E:E,MATCH(DATE(YEAR($A822)-1,MONTH($A822),DAY($A822)),$A:$A,0))-1),"")</f>
        <v/>
      </c>
      <c r="I822" s="7">
        <f>IFERROR(IF(OR(F822="",INDEX(F:F,MATCH(DATE(YEAR($A822)-1,MONTH($A822),DAY($A822)),$A:$A,0))=""),"",F822/INDEX(F:F,MATCH(DATE(YEAR($A822)-1,MONTH($A822),DAY($A822)),$A:$A,0))-1),"")</f>
        <v/>
      </c>
      <c r="J822" s="7">
        <f>IFERROR(IF(OR(G822="",INDEX(G:G,MATCH(DATE(YEAR($A822)-1,MONTH($A822),DAY($A822)),$A:$A,0))=""),"",G822/INDEX(G:G,MATCH(DATE(YEAR($A822)-1,MONTH($A822),DAY($A822)),$A:$A,0))-1),"")</f>
        <v/>
      </c>
      <c r="K822" s="7">
        <f>IF(OR(E822="",E821=""),"",E822/E821-1)</f>
        <v/>
      </c>
      <c r="L822" s="7">
        <f>IF(OR(F822="",F821=""),"",F822/F821-1)</f>
        <v/>
      </c>
      <c r="M822" s="7">
        <f>IF(OR(G822="",G821=""),"",G822/G821-1)</f>
        <v/>
      </c>
      <c r="N822" s="7">
        <f>IF(G822="","",E822/G822)</f>
        <v/>
      </c>
      <c r="O822" s="7">
        <f>IF(G822="","",F822/G822)</f>
        <v/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4">
        <f>IF(SUMIFS('Daily NSE Equity Cash'!$H:$H,'Daily NSE Equity Cash'!$A:$A,$A823)=0,"",SUMIFS('Daily NSE Equity Cash'!$H:$H,'Daily NSE Equity Cash'!$A:$A,$A823))</f>
        <v/>
      </c>
      <c r="F823" s="4">
        <f>IF(SUMIFS('Daily BSE Equity Cash'!$H:$H,'Daily BSE Equity Cash'!$A:$A,$A823)=0,"",SUMIFS('Daily BSE Equity Cash'!$H:$H,'Daily BSE Equity Cash'!$A:$A,$A823))</f>
        <v/>
      </c>
      <c r="G823" s="4">
        <f>IF(OR(E823="",F823=""),"",E823+F823)</f>
        <v/>
      </c>
      <c r="H823" s="7">
        <f>IFERROR(IF(OR(E823="",INDEX(E:E,MATCH(DATE(YEAR($A823)-1,MONTH($A823),DAY($A823)),$A:$A,0))=""),"",E823/INDEX(E:E,MATCH(DATE(YEAR($A823)-1,MONTH($A823),DAY($A823)),$A:$A,0))-1),"")</f>
        <v/>
      </c>
      <c r="I823" s="7">
        <f>IFERROR(IF(OR(F823="",INDEX(F:F,MATCH(DATE(YEAR($A823)-1,MONTH($A823),DAY($A823)),$A:$A,0))=""),"",F823/INDEX(F:F,MATCH(DATE(YEAR($A823)-1,MONTH($A823),DAY($A823)),$A:$A,0))-1),"")</f>
        <v/>
      </c>
      <c r="J823" s="7">
        <f>IFERROR(IF(OR(G823="",INDEX(G:G,MATCH(DATE(YEAR($A823)-1,MONTH($A823),DAY($A823)),$A:$A,0))=""),"",G823/INDEX(G:G,MATCH(DATE(YEAR($A823)-1,MONTH($A823),DAY($A823)),$A:$A,0))-1),"")</f>
        <v/>
      </c>
      <c r="K823" s="7">
        <f>IF(OR(E823="",E822=""),"",E823/E822-1)</f>
        <v/>
      </c>
      <c r="L823" s="7">
        <f>IF(OR(F823="",F822=""),"",F823/F822-1)</f>
        <v/>
      </c>
      <c r="M823" s="7">
        <f>IF(OR(G823="",G822=""),"",G823/G822-1)</f>
        <v/>
      </c>
      <c r="N823" s="7">
        <f>IF(G823="","",E823/G823)</f>
        <v/>
      </c>
      <c r="O823" s="7">
        <f>IF(G823="","",F823/G823)</f>
        <v/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4">
        <f>IF(SUMIFS('Daily NSE Equity Cash'!$H:$H,'Daily NSE Equity Cash'!$A:$A,$A824)=0,"",SUMIFS('Daily NSE Equity Cash'!$H:$H,'Daily NSE Equity Cash'!$A:$A,$A824))</f>
        <v/>
      </c>
      <c r="F824" s="4">
        <f>IF(SUMIFS('Daily BSE Equity Cash'!$H:$H,'Daily BSE Equity Cash'!$A:$A,$A824)=0,"",SUMIFS('Daily BSE Equity Cash'!$H:$H,'Daily BSE Equity Cash'!$A:$A,$A824))</f>
        <v/>
      </c>
      <c r="G824" s="4">
        <f>IF(OR(E824="",F824=""),"",E824+F824)</f>
        <v/>
      </c>
      <c r="H824" s="7">
        <f>IFERROR(IF(OR(E824="",INDEX(E:E,MATCH(DATE(YEAR($A824)-1,MONTH($A824),DAY($A824)),$A:$A,0))=""),"",E824/INDEX(E:E,MATCH(DATE(YEAR($A824)-1,MONTH($A824),DAY($A824)),$A:$A,0))-1),"")</f>
        <v/>
      </c>
      <c r="I824" s="7">
        <f>IFERROR(IF(OR(F824="",INDEX(F:F,MATCH(DATE(YEAR($A824)-1,MONTH($A824),DAY($A824)),$A:$A,0))=""),"",F824/INDEX(F:F,MATCH(DATE(YEAR($A824)-1,MONTH($A824),DAY($A824)),$A:$A,0))-1),"")</f>
        <v/>
      </c>
      <c r="J824" s="7">
        <f>IFERROR(IF(OR(G824="",INDEX(G:G,MATCH(DATE(YEAR($A824)-1,MONTH($A824),DAY($A824)),$A:$A,0))=""),"",G824/INDEX(G:G,MATCH(DATE(YEAR($A824)-1,MONTH($A824),DAY($A824)),$A:$A,0))-1),"")</f>
        <v/>
      </c>
      <c r="K824" s="7">
        <f>IF(OR(E824="",E823=""),"",E824/E823-1)</f>
        <v/>
      </c>
      <c r="L824" s="7">
        <f>IF(OR(F824="",F823=""),"",F824/F823-1)</f>
        <v/>
      </c>
      <c r="M824" s="7">
        <f>IF(OR(G824="",G823=""),"",G824/G823-1)</f>
        <v/>
      </c>
      <c r="N824" s="7">
        <f>IF(G824="","",E824/G824)</f>
        <v/>
      </c>
      <c r="O824" s="7">
        <f>IF(G824="","",F824/G824)</f>
        <v/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4">
        <f>IF(SUMIFS('Daily NSE Equity Cash'!$H:$H,'Daily NSE Equity Cash'!$A:$A,$A825)=0,"",SUMIFS('Daily NSE Equity Cash'!$H:$H,'Daily NSE Equity Cash'!$A:$A,$A825))</f>
        <v/>
      </c>
      <c r="F825" s="4">
        <f>IF(SUMIFS('Daily BSE Equity Cash'!$H:$H,'Daily BSE Equity Cash'!$A:$A,$A825)=0,"",SUMIFS('Daily BSE Equity Cash'!$H:$H,'Daily BSE Equity Cash'!$A:$A,$A825))</f>
        <v/>
      </c>
      <c r="G825" s="4">
        <f>IF(OR(E825="",F825=""),"",E825+F825)</f>
        <v/>
      </c>
      <c r="H825" s="7">
        <f>IFERROR(IF(OR(E825="",INDEX(E:E,MATCH(DATE(YEAR($A825)-1,MONTH($A825),DAY($A825)),$A:$A,0))=""),"",E825/INDEX(E:E,MATCH(DATE(YEAR($A825)-1,MONTH($A825),DAY($A825)),$A:$A,0))-1),"")</f>
        <v/>
      </c>
      <c r="I825" s="7">
        <f>IFERROR(IF(OR(F825="",INDEX(F:F,MATCH(DATE(YEAR($A825)-1,MONTH($A825),DAY($A825)),$A:$A,0))=""),"",F825/INDEX(F:F,MATCH(DATE(YEAR($A825)-1,MONTH($A825),DAY($A825)),$A:$A,0))-1),"")</f>
        <v/>
      </c>
      <c r="J825" s="7">
        <f>IFERROR(IF(OR(G825="",INDEX(G:G,MATCH(DATE(YEAR($A825)-1,MONTH($A825),DAY($A825)),$A:$A,0))=""),"",G825/INDEX(G:G,MATCH(DATE(YEAR($A825)-1,MONTH($A825),DAY($A825)),$A:$A,0))-1),"")</f>
        <v/>
      </c>
      <c r="K825" s="7">
        <f>IF(OR(E825="",E824=""),"",E825/E824-1)</f>
        <v/>
      </c>
      <c r="L825" s="7">
        <f>IF(OR(F825="",F824=""),"",F825/F824-1)</f>
        <v/>
      </c>
      <c r="M825" s="7">
        <f>IF(OR(G825="",G824=""),"",G825/G824-1)</f>
        <v/>
      </c>
      <c r="N825" s="7">
        <f>IF(G825="","",E825/G825)</f>
        <v/>
      </c>
      <c r="O825" s="7">
        <f>IF(G825="","",F825/G825)</f>
        <v/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4">
        <f>IF(SUMIFS('Daily NSE Equity Cash'!$H:$H,'Daily NSE Equity Cash'!$A:$A,$A826)=0,"",SUMIFS('Daily NSE Equity Cash'!$H:$H,'Daily NSE Equity Cash'!$A:$A,$A826))</f>
        <v/>
      </c>
      <c r="F826" s="4">
        <f>IF(SUMIFS('Daily BSE Equity Cash'!$H:$H,'Daily BSE Equity Cash'!$A:$A,$A826)=0,"",SUMIFS('Daily BSE Equity Cash'!$H:$H,'Daily BSE Equity Cash'!$A:$A,$A826))</f>
        <v/>
      </c>
      <c r="G826" s="4">
        <f>IF(OR(E826="",F826=""),"",E826+F826)</f>
        <v/>
      </c>
      <c r="H826" s="7">
        <f>IFERROR(IF(OR(E826="",INDEX(E:E,MATCH(DATE(YEAR($A826)-1,MONTH($A826),DAY($A826)),$A:$A,0))=""),"",E826/INDEX(E:E,MATCH(DATE(YEAR($A826)-1,MONTH($A826),DAY($A826)),$A:$A,0))-1),"")</f>
        <v/>
      </c>
      <c r="I826" s="7">
        <f>IFERROR(IF(OR(F826="",INDEX(F:F,MATCH(DATE(YEAR($A826)-1,MONTH($A826),DAY($A826)),$A:$A,0))=""),"",F826/INDEX(F:F,MATCH(DATE(YEAR($A826)-1,MONTH($A826),DAY($A826)),$A:$A,0))-1),"")</f>
        <v/>
      </c>
      <c r="J826" s="7">
        <f>IFERROR(IF(OR(G826="",INDEX(G:G,MATCH(DATE(YEAR($A826)-1,MONTH($A826),DAY($A826)),$A:$A,0))=""),"",G826/INDEX(G:G,MATCH(DATE(YEAR($A826)-1,MONTH($A826),DAY($A826)),$A:$A,0))-1),"")</f>
        <v/>
      </c>
      <c r="K826" s="7">
        <f>IF(OR(E826="",E825=""),"",E826/E825-1)</f>
        <v/>
      </c>
      <c r="L826" s="7">
        <f>IF(OR(F826="",F825=""),"",F826/F825-1)</f>
        <v/>
      </c>
      <c r="M826" s="7">
        <f>IF(OR(G826="",G825=""),"",G826/G825-1)</f>
        <v/>
      </c>
      <c r="N826" s="7">
        <f>IF(G826="","",E826/G826)</f>
        <v/>
      </c>
      <c r="O826" s="7">
        <f>IF(G826="","",F826/G826)</f>
        <v/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4">
        <f>IF(SUMIFS('Daily NSE Equity Cash'!$H:$H,'Daily NSE Equity Cash'!$A:$A,$A827)=0,"",SUMIFS('Daily NSE Equity Cash'!$H:$H,'Daily NSE Equity Cash'!$A:$A,$A827))</f>
        <v/>
      </c>
      <c r="F827" s="4">
        <f>IF(SUMIFS('Daily BSE Equity Cash'!$H:$H,'Daily BSE Equity Cash'!$A:$A,$A827)=0,"",SUMIFS('Daily BSE Equity Cash'!$H:$H,'Daily BSE Equity Cash'!$A:$A,$A827))</f>
        <v/>
      </c>
      <c r="G827" s="4">
        <f>IF(OR(E827="",F827=""),"",E827+F827)</f>
        <v/>
      </c>
      <c r="H827" s="7">
        <f>IFERROR(IF(OR(E827="",INDEX(E:E,MATCH(DATE(YEAR($A827)-1,MONTH($A827),DAY($A827)),$A:$A,0))=""),"",E827/INDEX(E:E,MATCH(DATE(YEAR($A827)-1,MONTH($A827),DAY($A827)),$A:$A,0))-1),"")</f>
        <v/>
      </c>
      <c r="I827" s="7">
        <f>IFERROR(IF(OR(F827="",INDEX(F:F,MATCH(DATE(YEAR($A827)-1,MONTH($A827),DAY($A827)),$A:$A,0))=""),"",F827/INDEX(F:F,MATCH(DATE(YEAR($A827)-1,MONTH($A827),DAY($A827)),$A:$A,0))-1),"")</f>
        <v/>
      </c>
      <c r="J827" s="7">
        <f>IFERROR(IF(OR(G827="",INDEX(G:G,MATCH(DATE(YEAR($A827)-1,MONTH($A827),DAY($A827)),$A:$A,0))=""),"",G827/INDEX(G:G,MATCH(DATE(YEAR($A827)-1,MONTH($A827),DAY($A827)),$A:$A,0))-1),"")</f>
        <v/>
      </c>
      <c r="K827" s="7">
        <f>IF(OR(E827="",E826=""),"",E827/E826-1)</f>
        <v/>
      </c>
      <c r="L827" s="7">
        <f>IF(OR(F827="",F826=""),"",F827/F826-1)</f>
        <v/>
      </c>
      <c r="M827" s="7">
        <f>IF(OR(G827="",G826=""),"",G827/G826-1)</f>
        <v/>
      </c>
      <c r="N827" s="7">
        <f>IF(G827="","",E827/G827)</f>
        <v/>
      </c>
      <c r="O827" s="7">
        <f>IF(G827="","",F827/G827)</f>
        <v/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4">
        <f>IF(SUMIFS('Daily NSE Equity Cash'!$H:$H,'Daily NSE Equity Cash'!$A:$A,$A828)=0,"",SUMIFS('Daily NSE Equity Cash'!$H:$H,'Daily NSE Equity Cash'!$A:$A,$A828))</f>
        <v/>
      </c>
      <c r="F828" s="4">
        <f>IF(SUMIFS('Daily BSE Equity Cash'!$H:$H,'Daily BSE Equity Cash'!$A:$A,$A828)=0,"",SUMIFS('Daily BSE Equity Cash'!$H:$H,'Daily BSE Equity Cash'!$A:$A,$A828))</f>
        <v/>
      </c>
      <c r="G828" s="4">
        <f>IF(OR(E828="",F828=""),"",E828+F828)</f>
        <v/>
      </c>
      <c r="H828" s="7">
        <f>IFERROR(IF(OR(E828="",INDEX(E:E,MATCH(DATE(YEAR($A828)-1,MONTH($A828),DAY($A828)),$A:$A,0))=""),"",E828/INDEX(E:E,MATCH(DATE(YEAR($A828)-1,MONTH($A828),DAY($A828)),$A:$A,0))-1),"")</f>
        <v/>
      </c>
      <c r="I828" s="7">
        <f>IFERROR(IF(OR(F828="",INDEX(F:F,MATCH(DATE(YEAR($A828)-1,MONTH($A828),DAY($A828)),$A:$A,0))=""),"",F828/INDEX(F:F,MATCH(DATE(YEAR($A828)-1,MONTH($A828),DAY($A828)),$A:$A,0))-1),"")</f>
        <v/>
      </c>
      <c r="J828" s="7">
        <f>IFERROR(IF(OR(G828="",INDEX(G:G,MATCH(DATE(YEAR($A828)-1,MONTH($A828),DAY($A828)),$A:$A,0))=""),"",G828/INDEX(G:G,MATCH(DATE(YEAR($A828)-1,MONTH($A828),DAY($A828)),$A:$A,0))-1),"")</f>
        <v/>
      </c>
      <c r="K828" s="7">
        <f>IF(OR(E828="",E827=""),"",E828/E827-1)</f>
        <v/>
      </c>
      <c r="L828" s="7">
        <f>IF(OR(F828="",F827=""),"",F828/F827-1)</f>
        <v/>
      </c>
      <c r="M828" s="7">
        <f>IF(OR(G828="",G827=""),"",G828/G827-1)</f>
        <v/>
      </c>
      <c r="N828" s="7">
        <f>IF(G828="","",E828/G828)</f>
        <v/>
      </c>
      <c r="O828" s="7">
        <f>IF(G828="","",F828/G828)</f>
        <v/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4">
        <f>IF(SUMIFS('Daily NSE Equity Cash'!$H:$H,'Daily NSE Equity Cash'!$A:$A,$A829)=0,"",SUMIFS('Daily NSE Equity Cash'!$H:$H,'Daily NSE Equity Cash'!$A:$A,$A829))</f>
        <v/>
      </c>
      <c r="F829" s="4">
        <f>IF(SUMIFS('Daily BSE Equity Cash'!$H:$H,'Daily BSE Equity Cash'!$A:$A,$A829)=0,"",SUMIFS('Daily BSE Equity Cash'!$H:$H,'Daily BSE Equity Cash'!$A:$A,$A829))</f>
        <v/>
      </c>
      <c r="G829" s="4">
        <f>IF(OR(E829="",F829=""),"",E829+F829)</f>
        <v/>
      </c>
      <c r="H829" s="7">
        <f>IFERROR(IF(OR(E829="",INDEX(E:E,MATCH(DATE(YEAR($A829)-1,MONTH($A829),DAY($A829)),$A:$A,0))=""),"",E829/INDEX(E:E,MATCH(DATE(YEAR($A829)-1,MONTH($A829),DAY($A829)),$A:$A,0))-1),"")</f>
        <v/>
      </c>
      <c r="I829" s="7">
        <f>IFERROR(IF(OR(F829="",INDEX(F:F,MATCH(DATE(YEAR($A829)-1,MONTH($A829),DAY($A829)),$A:$A,0))=""),"",F829/INDEX(F:F,MATCH(DATE(YEAR($A829)-1,MONTH($A829),DAY($A829)),$A:$A,0))-1),"")</f>
        <v/>
      </c>
      <c r="J829" s="7">
        <f>IFERROR(IF(OR(G829="",INDEX(G:G,MATCH(DATE(YEAR($A829)-1,MONTH($A829),DAY($A829)),$A:$A,0))=""),"",G829/INDEX(G:G,MATCH(DATE(YEAR($A829)-1,MONTH($A829),DAY($A829)),$A:$A,0))-1),"")</f>
        <v/>
      </c>
      <c r="K829" s="7">
        <f>IF(OR(E829="",E828=""),"",E829/E828-1)</f>
        <v/>
      </c>
      <c r="L829" s="7">
        <f>IF(OR(F829="",F828=""),"",F829/F828-1)</f>
        <v/>
      </c>
      <c r="M829" s="7">
        <f>IF(OR(G829="",G828=""),"",G829/G828-1)</f>
        <v/>
      </c>
      <c r="N829" s="7">
        <f>IF(G829="","",E829/G829)</f>
        <v/>
      </c>
      <c r="O829" s="7">
        <f>IF(G829="","",F829/G829)</f>
        <v/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4">
        <f>IF(SUMIFS('Daily NSE Equity Cash'!$H:$H,'Daily NSE Equity Cash'!$A:$A,$A830)=0,"",SUMIFS('Daily NSE Equity Cash'!$H:$H,'Daily NSE Equity Cash'!$A:$A,$A830))</f>
        <v/>
      </c>
      <c r="F830" s="4">
        <f>IF(SUMIFS('Daily BSE Equity Cash'!$H:$H,'Daily BSE Equity Cash'!$A:$A,$A830)=0,"",SUMIFS('Daily BSE Equity Cash'!$H:$H,'Daily BSE Equity Cash'!$A:$A,$A830))</f>
        <v/>
      </c>
      <c r="G830" s="4">
        <f>IF(OR(E830="",F830=""),"",E830+F830)</f>
        <v/>
      </c>
      <c r="H830" s="7">
        <f>IFERROR(IF(OR(E830="",INDEX(E:E,MATCH(DATE(YEAR($A830)-1,MONTH($A830),DAY($A830)),$A:$A,0))=""),"",E830/INDEX(E:E,MATCH(DATE(YEAR($A830)-1,MONTH($A830),DAY($A830)),$A:$A,0))-1),"")</f>
        <v/>
      </c>
      <c r="I830" s="7">
        <f>IFERROR(IF(OR(F830="",INDEX(F:F,MATCH(DATE(YEAR($A830)-1,MONTH($A830),DAY($A830)),$A:$A,0))=""),"",F830/INDEX(F:F,MATCH(DATE(YEAR($A830)-1,MONTH($A830),DAY($A830)),$A:$A,0))-1),"")</f>
        <v/>
      </c>
      <c r="J830" s="7">
        <f>IFERROR(IF(OR(G830="",INDEX(G:G,MATCH(DATE(YEAR($A830)-1,MONTH($A830),DAY($A830)),$A:$A,0))=""),"",G830/INDEX(G:G,MATCH(DATE(YEAR($A830)-1,MONTH($A830),DAY($A830)),$A:$A,0))-1),"")</f>
        <v/>
      </c>
      <c r="K830" s="7">
        <f>IF(OR(E830="",E829=""),"",E830/E829-1)</f>
        <v/>
      </c>
      <c r="L830" s="7">
        <f>IF(OR(F830="",F829=""),"",F830/F829-1)</f>
        <v/>
      </c>
      <c r="M830" s="7">
        <f>IF(OR(G830="",G829=""),"",G830/G829-1)</f>
        <v/>
      </c>
      <c r="N830" s="7">
        <f>IF(G830="","",E830/G830)</f>
        <v/>
      </c>
      <c r="O830" s="7">
        <f>IF(G830="","",F830/G830)</f>
        <v/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4">
        <f>IF(SUMIFS('Daily NSE Equity Cash'!$H:$H,'Daily NSE Equity Cash'!$A:$A,$A831)=0,"",SUMIFS('Daily NSE Equity Cash'!$H:$H,'Daily NSE Equity Cash'!$A:$A,$A831))</f>
        <v/>
      </c>
      <c r="F831" s="4">
        <f>IF(SUMIFS('Daily BSE Equity Cash'!$H:$H,'Daily BSE Equity Cash'!$A:$A,$A831)=0,"",SUMIFS('Daily BSE Equity Cash'!$H:$H,'Daily BSE Equity Cash'!$A:$A,$A831))</f>
        <v/>
      </c>
      <c r="G831" s="4">
        <f>IF(OR(E831="",F831=""),"",E831+F831)</f>
        <v/>
      </c>
      <c r="H831" s="7">
        <f>IFERROR(IF(OR(E831="",INDEX(E:E,MATCH(DATE(YEAR($A831)-1,MONTH($A831),DAY($A831)),$A:$A,0))=""),"",E831/INDEX(E:E,MATCH(DATE(YEAR($A831)-1,MONTH($A831),DAY($A831)),$A:$A,0))-1),"")</f>
        <v/>
      </c>
      <c r="I831" s="7">
        <f>IFERROR(IF(OR(F831="",INDEX(F:F,MATCH(DATE(YEAR($A831)-1,MONTH($A831),DAY($A831)),$A:$A,0))=""),"",F831/INDEX(F:F,MATCH(DATE(YEAR($A831)-1,MONTH($A831),DAY($A831)),$A:$A,0))-1),"")</f>
        <v/>
      </c>
      <c r="J831" s="7">
        <f>IFERROR(IF(OR(G831="",INDEX(G:G,MATCH(DATE(YEAR($A831)-1,MONTH($A831),DAY($A831)),$A:$A,0))=""),"",G831/INDEX(G:G,MATCH(DATE(YEAR($A831)-1,MONTH($A831),DAY($A831)),$A:$A,0))-1),"")</f>
        <v/>
      </c>
      <c r="K831" s="7">
        <f>IF(OR(E831="",E830=""),"",E831/E830-1)</f>
        <v/>
      </c>
      <c r="L831" s="7">
        <f>IF(OR(F831="",F830=""),"",F831/F830-1)</f>
        <v/>
      </c>
      <c r="M831" s="7">
        <f>IF(OR(G831="",G830=""),"",G831/G830-1)</f>
        <v/>
      </c>
      <c r="N831" s="7">
        <f>IF(G831="","",E831/G831)</f>
        <v/>
      </c>
      <c r="O831" s="7">
        <f>IF(G831="","",F831/G831)</f>
        <v/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4">
        <f>IF(SUMIFS('Daily NSE Equity Cash'!$H:$H,'Daily NSE Equity Cash'!$A:$A,$A832)=0,"",SUMIFS('Daily NSE Equity Cash'!$H:$H,'Daily NSE Equity Cash'!$A:$A,$A832))</f>
        <v/>
      </c>
      <c r="F832" s="4">
        <f>IF(SUMIFS('Daily BSE Equity Cash'!$H:$H,'Daily BSE Equity Cash'!$A:$A,$A832)=0,"",SUMIFS('Daily BSE Equity Cash'!$H:$H,'Daily BSE Equity Cash'!$A:$A,$A832))</f>
        <v/>
      </c>
      <c r="G832" s="4">
        <f>IF(OR(E832="",F832=""),"",E832+F832)</f>
        <v/>
      </c>
      <c r="H832" s="7">
        <f>IFERROR(IF(OR(E832="",INDEX(E:E,MATCH(DATE(YEAR($A832)-1,MONTH($A832),DAY($A832)),$A:$A,0))=""),"",E832/INDEX(E:E,MATCH(DATE(YEAR($A832)-1,MONTH($A832),DAY($A832)),$A:$A,0))-1),"")</f>
        <v/>
      </c>
      <c r="I832" s="7">
        <f>IFERROR(IF(OR(F832="",INDEX(F:F,MATCH(DATE(YEAR($A832)-1,MONTH($A832),DAY($A832)),$A:$A,0))=""),"",F832/INDEX(F:F,MATCH(DATE(YEAR($A832)-1,MONTH($A832),DAY($A832)),$A:$A,0))-1),"")</f>
        <v/>
      </c>
      <c r="J832" s="7">
        <f>IFERROR(IF(OR(G832="",INDEX(G:G,MATCH(DATE(YEAR($A832)-1,MONTH($A832),DAY($A832)),$A:$A,0))=""),"",G832/INDEX(G:G,MATCH(DATE(YEAR($A832)-1,MONTH($A832),DAY($A832)),$A:$A,0))-1),"")</f>
        <v/>
      </c>
      <c r="K832" s="7">
        <f>IF(OR(E832="",E831=""),"",E832/E831-1)</f>
        <v/>
      </c>
      <c r="L832" s="7">
        <f>IF(OR(F832="",F831=""),"",F832/F831-1)</f>
        <v/>
      </c>
      <c r="M832" s="7">
        <f>IF(OR(G832="",G831=""),"",G832/G831-1)</f>
        <v/>
      </c>
      <c r="N832" s="7">
        <f>IF(G832="","",E832/G832)</f>
        <v/>
      </c>
      <c r="O832" s="7">
        <f>IF(G832="","",F832/G832)</f>
        <v/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4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/>
      </c>
      <c r="G833" s="4">
        <f>IF(OR(E833="",F833=""),"",E833+F833)</f>
        <v/>
      </c>
      <c r="H833" s="7">
        <f>IFERROR(IF(OR(E833="",INDEX(E:E,MATCH(DATE(YEAR($A833)-1,MONTH($A833),DAY($A833)),$A:$A,0))=""),"",E833/INDEX(E:E,MATCH(DATE(YEAR($A833)-1,MONTH($A833),DAY($A833)),$A:$A,0))-1),"")</f>
        <v/>
      </c>
      <c r="I833" s="7">
        <f>IFERROR(IF(OR(F833="",INDEX(F:F,MATCH(DATE(YEAR($A833)-1,MONTH($A833),DAY($A833)),$A:$A,0))=""),"",F833/INDEX(F:F,MATCH(DATE(YEAR($A833)-1,MONTH($A833),DAY($A833)),$A:$A,0))-1),"")</f>
        <v/>
      </c>
      <c r="J833" s="7">
        <f>IFERROR(IF(OR(G833="",INDEX(G:G,MATCH(DATE(YEAR($A833)-1,MONTH($A833),DAY($A833)),$A:$A,0))=""),"",G833/INDEX(G:G,MATCH(DATE(YEAR($A833)-1,MONTH($A833),DAY($A833)),$A:$A,0))-1),"")</f>
        <v/>
      </c>
      <c r="K833" s="7">
        <f>IF(OR(E833="",E832=""),"",E833/E832-1)</f>
        <v/>
      </c>
      <c r="L833" s="7">
        <f>IF(OR(F833="",F832=""),"",F833/F832-1)</f>
        <v/>
      </c>
      <c r="M833" s="7">
        <f>IF(OR(G833="",G832=""),"",G833/G832-1)</f>
        <v/>
      </c>
      <c r="N833" s="7">
        <f>IF(G833="","",E833/G833)</f>
        <v/>
      </c>
      <c r="O833" s="7">
        <f>IF(G833="","",F833/G833)</f>
        <v/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4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/>
      </c>
      <c r="G834" s="4">
        <f>IF(OR(E834="",F834=""),"",E834+F834)</f>
        <v/>
      </c>
      <c r="H834" s="7">
        <f>IFERROR(IF(OR(E834="",INDEX(E:E,MATCH(DATE(YEAR($A834)-1,MONTH($A834),DAY($A834)),$A:$A,0))=""),"",E834/INDEX(E:E,MATCH(DATE(YEAR($A834)-1,MONTH($A834),DAY($A834)),$A:$A,0))-1),"")</f>
        <v/>
      </c>
      <c r="I834" s="7">
        <f>IFERROR(IF(OR(F834="",INDEX(F:F,MATCH(DATE(YEAR($A834)-1,MONTH($A834),DAY($A834)),$A:$A,0))=""),"",F834/INDEX(F:F,MATCH(DATE(YEAR($A834)-1,MONTH($A834),DAY($A834)),$A:$A,0))-1),"")</f>
        <v/>
      </c>
      <c r="J834" s="7">
        <f>IFERROR(IF(OR(G834="",INDEX(G:G,MATCH(DATE(YEAR($A834)-1,MONTH($A834),DAY($A834)),$A:$A,0))=""),"",G834/INDEX(G:G,MATCH(DATE(YEAR($A834)-1,MONTH($A834),DAY($A834)),$A:$A,0))-1),"")</f>
        <v/>
      </c>
      <c r="K834" s="7">
        <f>IF(OR(E834="",E833=""),"",E834/E833-1)</f>
        <v/>
      </c>
      <c r="L834" s="7">
        <f>IF(OR(F834="",F833=""),"",F834/F833-1)</f>
        <v/>
      </c>
      <c r="M834" s="7">
        <f>IF(OR(G834="",G833=""),"",G834/G833-1)</f>
        <v/>
      </c>
      <c r="N834" s="7">
        <f>IF(G834="","",E834/G834)</f>
        <v/>
      </c>
      <c r="O834" s="7">
        <f>IF(G834="","",F834/G834)</f>
        <v/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4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/>
      </c>
      <c r="G835" s="4">
        <f>IF(OR(E835="",F835=""),"",E835+F835)</f>
        <v/>
      </c>
      <c r="H835" s="7">
        <f>IFERROR(IF(OR(E835="",INDEX(E:E,MATCH(DATE(YEAR($A835)-1,MONTH($A835),DAY($A835)),$A:$A,0))=""),"",E835/INDEX(E:E,MATCH(DATE(YEAR($A835)-1,MONTH($A835),DAY($A835)),$A:$A,0))-1),"")</f>
        <v/>
      </c>
      <c r="I835" s="7">
        <f>IFERROR(IF(OR(F835="",INDEX(F:F,MATCH(DATE(YEAR($A835)-1,MONTH($A835),DAY($A835)),$A:$A,0))=""),"",F835/INDEX(F:F,MATCH(DATE(YEAR($A835)-1,MONTH($A835),DAY($A835)),$A:$A,0))-1),"")</f>
        <v/>
      </c>
      <c r="J835" s="7">
        <f>IFERROR(IF(OR(G835="",INDEX(G:G,MATCH(DATE(YEAR($A835)-1,MONTH($A835),DAY($A835)),$A:$A,0))=""),"",G835/INDEX(G:G,MATCH(DATE(YEAR($A835)-1,MONTH($A835),DAY($A835)),$A:$A,0))-1),"")</f>
        <v/>
      </c>
      <c r="K835" s="7">
        <f>IF(OR(E835="",E834=""),"",E835/E834-1)</f>
        <v/>
      </c>
      <c r="L835" s="7">
        <f>IF(OR(F835="",F834=""),"",F835/F834-1)</f>
        <v/>
      </c>
      <c r="M835" s="7">
        <f>IF(OR(G835="",G834=""),"",G835/G834-1)</f>
        <v/>
      </c>
      <c r="N835" s="7">
        <f>IF(G835="","",E835/G835)</f>
        <v/>
      </c>
      <c r="O835" s="7">
        <f>IF(G835="","",F835/G835)</f>
        <v/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4">
        <f>IF(SUMIFS('Daily NSE Equity Cash'!$H:$H,'Daily NSE Equity Cash'!$A:$A,$A836)=0,"",SUMIFS('Daily NSE Equity Cash'!$H:$H,'Daily NSE Equity Cash'!$A:$A,$A836))</f>
        <v/>
      </c>
      <c r="F836" s="4">
        <f>IF(SUMIFS('Daily BSE Equity Cash'!$H:$H,'Daily BSE Equity Cash'!$A:$A,$A836)=0,"",SUMIFS('Daily BSE Equity Cash'!$H:$H,'Daily BSE Equity Cash'!$A:$A,$A836))</f>
        <v/>
      </c>
      <c r="G836" s="4">
        <f>IF(OR(E836="",F836=""),"",E836+F836)</f>
        <v/>
      </c>
      <c r="H836" s="7">
        <f>IFERROR(IF(OR(E836="",INDEX(E:E,MATCH(DATE(YEAR($A836)-1,MONTH($A836),DAY($A836)),$A:$A,0))=""),"",E836/INDEX(E:E,MATCH(DATE(YEAR($A836)-1,MONTH($A836),DAY($A836)),$A:$A,0))-1),"")</f>
        <v/>
      </c>
      <c r="I836" s="7">
        <f>IFERROR(IF(OR(F836="",INDEX(F:F,MATCH(DATE(YEAR($A836)-1,MONTH($A836),DAY($A836)),$A:$A,0))=""),"",F836/INDEX(F:F,MATCH(DATE(YEAR($A836)-1,MONTH($A836),DAY($A836)),$A:$A,0))-1),"")</f>
        <v/>
      </c>
      <c r="J836" s="7">
        <f>IFERROR(IF(OR(G836="",INDEX(G:G,MATCH(DATE(YEAR($A836)-1,MONTH($A836),DAY($A836)),$A:$A,0))=""),"",G836/INDEX(G:G,MATCH(DATE(YEAR($A836)-1,MONTH($A836),DAY($A836)),$A:$A,0))-1),"")</f>
        <v/>
      </c>
      <c r="K836" s="7">
        <f>IF(OR(E836="",E835=""),"",E836/E835-1)</f>
        <v/>
      </c>
      <c r="L836" s="7">
        <f>IF(OR(F836="",F835=""),"",F836/F835-1)</f>
        <v/>
      </c>
      <c r="M836" s="7">
        <f>IF(OR(G836="",G835=""),"",G836/G835-1)</f>
        <v/>
      </c>
      <c r="N836" s="7">
        <f>IF(G836="","",E836/G836)</f>
        <v/>
      </c>
      <c r="O836" s="7">
        <f>IF(G836="","",F836/G836)</f>
        <v/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4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/>
      </c>
      <c r="G837" s="4">
        <f>IF(OR(E837="",F837=""),"",E837+F837)</f>
        <v/>
      </c>
      <c r="H837" s="7">
        <f>IFERROR(IF(OR(E837="",INDEX(E:E,MATCH(DATE(YEAR($A837)-1,MONTH($A837),DAY($A837)),$A:$A,0))=""),"",E837/INDEX(E:E,MATCH(DATE(YEAR($A837)-1,MONTH($A837),DAY($A837)),$A:$A,0))-1),"")</f>
        <v/>
      </c>
      <c r="I837" s="7">
        <f>IFERROR(IF(OR(F837="",INDEX(F:F,MATCH(DATE(YEAR($A837)-1,MONTH($A837),DAY($A837)),$A:$A,0))=""),"",F837/INDEX(F:F,MATCH(DATE(YEAR($A837)-1,MONTH($A837),DAY($A837)),$A:$A,0))-1),"")</f>
        <v/>
      </c>
      <c r="J837" s="7">
        <f>IFERROR(IF(OR(G837="",INDEX(G:G,MATCH(DATE(YEAR($A837)-1,MONTH($A837),DAY($A837)),$A:$A,0))=""),"",G837/INDEX(G:G,MATCH(DATE(YEAR($A837)-1,MONTH($A837),DAY($A837)),$A:$A,0))-1),"")</f>
        <v/>
      </c>
      <c r="K837" s="7">
        <f>IF(OR(E837="",E836=""),"",E837/E836-1)</f>
        <v/>
      </c>
      <c r="L837" s="7">
        <f>IF(OR(F837="",F836=""),"",F837/F836-1)</f>
        <v/>
      </c>
      <c r="M837" s="7">
        <f>IF(OR(G837="",G836=""),"",G837/G836-1)</f>
        <v/>
      </c>
      <c r="N837" s="7">
        <f>IF(G837="","",E837/G837)</f>
        <v/>
      </c>
      <c r="O837" s="7">
        <f>IF(G837="","",F837/G837)</f>
        <v/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4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/>
      </c>
      <c r="G838" s="4">
        <f>IF(OR(E838="",F838=""),"",E838+F838)</f>
        <v/>
      </c>
      <c r="H838" s="7">
        <f>IFERROR(IF(OR(E838="",INDEX(E:E,MATCH(DATE(YEAR($A838)-1,MONTH($A838),DAY($A838)),$A:$A,0))=""),"",E838/INDEX(E:E,MATCH(DATE(YEAR($A838)-1,MONTH($A838),DAY($A838)),$A:$A,0))-1),"")</f>
        <v/>
      </c>
      <c r="I838" s="7">
        <f>IFERROR(IF(OR(F838="",INDEX(F:F,MATCH(DATE(YEAR($A838)-1,MONTH($A838),DAY($A838)),$A:$A,0))=""),"",F838/INDEX(F:F,MATCH(DATE(YEAR($A838)-1,MONTH($A838),DAY($A838)),$A:$A,0))-1),"")</f>
        <v/>
      </c>
      <c r="J838" s="7">
        <f>IFERROR(IF(OR(G838="",INDEX(G:G,MATCH(DATE(YEAR($A838)-1,MONTH($A838),DAY($A838)),$A:$A,0))=""),"",G838/INDEX(G:G,MATCH(DATE(YEAR($A838)-1,MONTH($A838),DAY($A838)),$A:$A,0))-1),"")</f>
        <v/>
      </c>
      <c r="K838" s="7">
        <f>IF(OR(E838="",E837=""),"",E838/E837-1)</f>
        <v/>
      </c>
      <c r="L838" s="7">
        <f>IF(OR(F838="",F837=""),"",F838/F837-1)</f>
        <v/>
      </c>
      <c r="M838" s="7">
        <f>IF(OR(G838="",G837=""),"",G838/G837-1)</f>
        <v/>
      </c>
      <c r="N838" s="7">
        <f>IF(G838="","",E838/G838)</f>
        <v/>
      </c>
      <c r="O838" s="7">
        <f>IF(G838="","",F838/G838)</f>
        <v/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4">
        <f>IF(SUMIFS('Daily NSE Equity Cash'!$H:$H,'Daily NSE Equity Cash'!$A:$A,$A839)=0,"",SUMIFS('Daily NSE Equity Cash'!$H:$H,'Daily NSE Equity Cash'!$A:$A,$A839))</f>
        <v/>
      </c>
      <c r="F839" s="4">
        <f>IF(SUMIFS('Daily BSE Equity Cash'!$H:$H,'Daily BSE Equity Cash'!$A:$A,$A839)=0,"",SUMIFS('Daily BSE Equity Cash'!$H:$H,'Daily BSE Equity Cash'!$A:$A,$A839))</f>
        <v/>
      </c>
      <c r="G839" s="4">
        <f>IF(OR(E839="",F839=""),"",E839+F839)</f>
        <v/>
      </c>
      <c r="H839" s="7">
        <f>IFERROR(IF(OR(E839="",INDEX(E:E,MATCH(DATE(YEAR($A839)-1,MONTH($A839),DAY($A839)),$A:$A,0))=""),"",E839/INDEX(E:E,MATCH(DATE(YEAR($A839)-1,MONTH($A839),DAY($A839)),$A:$A,0))-1),"")</f>
        <v/>
      </c>
      <c r="I839" s="7">
        <f>IFERROR(IF(OR(F839="",INDEX(F:F,MATCH(DATE(YEAR($A839)-1,MONTH($A839),DAY($A839)),$A:$A,0))=""),"",F839/INDEX(F:F,MATCH(DATE(YEAR($A839)-1,MONTH($A839),DAY($A839)),$A:$A,0))-1),"")</f>
        <v/>
      </c>
      <c r="J839" s="7">
        <f>IFERROR(IF(OR(G839="",INDEX(G:G,MATCH(DATE(YEAR($A839)-1,MONTH($A839),DAY($A839)),$A:$A,0))=""),"",G839/INDEX(G:G,MATCH(DATE(YEAR($A839)-1,MONTH($A839),DAY($A839)),$A:$A,0))-1),"")</f>
        <v/>
      </c>
      <c r="K839" s="7">
        <f>IF(OR(E839="",E838=""),"",E839/E838-1)</f>
        <v/>
      </c>
      <c r="L839" s="7">
        <f>IF(OR(F839="",F838=""),"",F839/F838-1)</f>
        <v/>
      </c>
      <c r="M839" s="7">
        <f>IF(OR(G839="",G838=""),"",G839/G838-1)</f>
        <v/>
      </c>
      <c r="N839" s="7">
        <f>IF(G839="","",E839/G839)</f>
        <v/>
      </c>
      <c r="O839" s="7">
        <f>IF(G839="","",F839/G839)</f>
        <v/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4">
        <f>IF(SUMIFS('Daily NSE Equity Cash'!$H:$H,'Daily NSE Equity Cash'!$A:$A,$A840)=0,"",SUMIFS('Daily NSE Equity Cash'!$H:$H,'Daily NSE Equity Cash'!$A:$A,$A840))</f>
        <v/>
      </c>
      <c r="F840" s="4">
        <f>IF(SUMIFS('Daily BSE Equity Cash'!$H:$H,'Daily BSE Equity Cash'!$A:$A,$A840)=0,"",SUMIFS('Daily BSE Equity Cash'!$H:$H,'Daily BSE Equity Cash'!$A:$A,$A840))</f>
        <v/>
      </c>
      <c r="G840" s="4">
        <f>IF(OR(E840="",F840=""),"",E840+F840)</f>
        <v/>
      </c>
      <c r="H840" s="7">
        <f>IFERROR(IF(OR(E840="",INDEX(E:E,MATCH(DATE(YEAR($A840)-1,MONTH($A840),DAY($A840)),$A:$A,0))=""),"",E840/INDEX(E:E,MATCH(DATE(YEAR($A840)-1,MONTH($A840),DAY($A840)),$A:$A,0))-1),"")</f>
        <v/>
      </c>
      <c r="I840" s="7">
        <f>IFERROR(IF(OR(F840="",INDEX(F:F,MATCH(DATE(YEAR($A840)-1,MONTH($A840),DAY($A840)),$A:$A,0))=""),"",F840/INDEX(F:F,MATCH(DATE(YEAR($A840)-1,MONTH($A840),DAY($A840)),$A:$A,0))-1),"")</f>
        <v/>
      </c>
      <c r="J840" s="7">
        <f>IFERROR(IF(OR(G840="",INDEX(G:G,MATCH(DATE(YEAR($A840)-1,MONTH($A840),DAY($A840)),$A:$A,0))=""),"",G840/INDEX(G:G,MATCH(DATE(YEAR($A840)-1,MONTH($A840),DAY($A840)),$A:$A,0))-1),"")</f>
        <v/>
      </c>
      <c r="K840" s="7">
        <f>IF(OR(E840="",E839=""),"",E840/E839-1)</f>
        <v/>
      </c>
      <c r="L840" s="7">
        <f>IF(OR(F840="",F839=""),"",F840/F839-1)</f>
        <v/>
      </c>
      <c r="M840" s="7">
        <f>IF(OR(G840="",G839=""),"",G840/G839-1)</f>
        <v/>
      </c>
      <c r="N840" s="7">
        <f>IF(G840="","",E840/G840)</f>
        <v/>
      </c>
      <c r="O840" s="7">
        <f>IF(G840="","",F840/G840)</f>
        <v/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4">
        <f>IF(SUMIFS('Daily NSE Equity Cash'!$H:$H,'Daily NSE Equity Cash'!$A:$A,$A841)=0,"",SUMIFS('Daily NSE Equity Cash'!$H:$H,'Daily NSE Equity Cash'!$A:$A,$A841))</f>
        <v/>
      </c>
      <c r="F841" s="4">
        <f>IF(SUMIFS('Daily BSE Equity Cash'!$H:$H,'Daily BSE Equity Cash'!$A:$A,$A841)=0,"",SUMIFS('Daily BSE Equity Cash'!$H:$H,'Daily BSE Equity Cash'!$A:$A,$A841))</f>
        <v/>
      </c>
      <c r="G841" s="4">
        <f>IF(OR(E841="",F841=""),"",E841+F841)</f>
        <v/>
      </c>
      <c r="H841" s="7">
        <f>IFERROR(IF(OR(E841="",INDEX(E:E,MATCH(DATE(YEAR($A841)-1,MONTH($A841),DAY($A841)),$A:$A,0))=""),"",E841/INDEX(E:E,MATCH(DATE(YEAR($A841)-1,MONTH($A841),DAY($A841)),$A:$A,0))-1),"")</f>
        <v/>
      </c>
      <c r="I841" s="7">
        <f>IFERROR(IF(OR(F841="",INDEX(F:F,MATCH(DATE(YEAR($A841)-1,MONTH($A841),DAY($A841)),$A:$A,0))=""),"",F841/INDEX(F:F,MATCH(DATE(YEAR($A841)-1,MONTH($A841),DAY($A841)),$A:$A,0))-1),"")</f>
        <v/>
      </c>
      <c r="J841" s="7">
        <f>IFERROR(IF(OR(G841="",INDEX(G:G,MATCH(DATE(YEAR($A841)-1,MONTH($A841),DAY($A841)),$A:$A,0))=""),"",G841/INDEX(G:G,MATCH(DATE(YEAR($A841)-1,MONTH($A841),DAY($A841)),$A:$A,0))-1),"")</f>
        <v/>
      </c>
      <c r="K841" s="7">
        <f>IF(OR(E841="",E840=""),"",E841/E840-1)</f>
        <v/>
      </c>
      <c r="L841" s="7">
        <f>IF(OR(F841="",F840=""),"",F841/F840-1)</f>
        <v/>
      </c>
      <c r="M841" s="7">
        <f>IF(OR(G841="",G840=""),"",G841/G840-1)</f>
        <v/>
      </c>
      <c r="N841" s="7">
        <f>IF(G841="","",E841/G841)</f>
        <v/>
      </c>
      <c r="O841" s="7">
        <f>IF(G841="","",F841/G841)</f>
        <v/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4">
        <f>IF(SUMIFS('Daily NSE Equity Cash'!$H:$H,'Daily NSE Equity Cash'!$A:$A,$A842)=0,"",SUMIFS('Daily NSE Equity Cash'!$H:$H,'Daily NSE Equity Cash'!$A:$A,$A842))</f>
        <v/>
      </c>
      <c r="F842" s="4">
        <f>IF(SUMIFS('Daily BSE Equity Cash'!$H:$H,'Daily BSE Equity Cash'!$A:$A,$A842)=0,"",SUMIFS('Daily BSE Equity Cash'!$H:$H,'Daily BSE Equity Cash'!$A:$A,$A842))</f>
        <v/>
      </c>
      <c r="G842" s="4">
        <f>IF(OR(E842="",F842=""),"",E842+F842)</f>
        <v/>
      </c>
      <c r="H842" s="7">
        <f>IFERROR(IF(OR(E842="",INDEX(E:E,MATCH(DATE(YEAR($A842)-1,MONTH($A842),DAY($A842)),$A:$A,0))=""),"",E842/INDEX(E:E,MATCH(DATE(YEAR($A842)-1,MONTH($A842),DAY($A842)),$A:$A,0))-1),"")</f>
        <v/>
      </c>
      <c r="I842" s="7">
        <f>IFERROR(IF(OR(F842="",INDEX(F:F,MATCH(DATE(YEAR($A842)-1,MONTH($A842),DAY($A842)),$A:$A,0))=""),"",F842/INDEX(F:F,MATCH(DATE(YEAR($A842)-1,MONTH($A842),DAY($A842)),$A:$A,0))-1),"")</f>
        <v/>
      </c>
      <c r="J842" s="7">
        <f>IFERROR(IF(OR(G842="",INDEX(G:G,MATCH(DATE(YEAR($A842)-1,MONTH($A842),DAY($A842)),$A:$A,0))=""),"",G842/INDEX(G:G,MATCH(DATE(YEAR($A842)-1,MONTH($A842),DAY($A842)),$A:$A,0))-1),"")</f>
        <v/>
      </c>
      <c r="K842" s="7">
        <f>IF(OR(E842="",E841=""),"",E842/E841-1)</f>
        <v/>
      </c>
      <c r="L842" s="7">
        <f>IF(OR(F842="",F841=""),"",F842/F841-1)</f>
        <v/>
      </c>
      <c r="M842" s="7">
        <f>IF(OR(G842="",G841=""),"",G842/G841-1)</f>
        <v/>
      </c>
      <c r="N842" s="7">
        <f>IF(G842="","",E842/G842)</f>
        <v/>
      </c>
      <c r="O842" s="7">
        <f>IF(G842="","",F842/G842)</f>
        <v/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4">
        <f>IF(SUMIFS('Daily NSE Equity Cash'!$H:$H,'Daily NSE Equity Cash'!$A:$A,$A843)=0,"",SUMIFS('Daily NSE Equity Cash'!$H:$H,'Daily NSE Equity Cash'!$A:$A,$A843))</f>
        <v/>
      </c>
      <c r="F843" s="4">
        <f>IF(SUMIFS('Daily BSE Equity Cash'!$H:$H,'Daily BSE Equity Cash'!$A:$A,$A843)=0,"",SUMIFS('Daily BSE Equity Cash'!$H:$H,'Daily BSE Equity Cash'!$A:$A,$A843))</f>
        <v/>
      </c>
      <c r="G843" s="4">
        <f>IF(OR(E843="",F843=""),"",E843+F843)</f>
        <v/>
      </c>
      <c r="H843" s="7">
        <f>IFERROR(IF(OR(E843="",INDEX(E:E,MATCH(DATE(YEAR($A843)-1,MONTH($A843),DAY($A843)),$A:$A,0))=""),"",E843/INDEX(E:E,MATCH(DATE(YEAR($A843)-1,MONTH($A843),DAY($A843)),$A:$A,0))-1),"")</f>
        <v/>
      </c>
      <c r="I843" s="7">
        <f>IFERROR(IF(OR(F843="",INDEX(F:F,MATCH(DATE(YEAR($A843)-1,MONTH($A843),DAY($A843)),$A:$A,0))=""),"",F843/INDEX(F:F,MATCH(DATE(YEAR($A843)-1,MONTH($A843),DAY($A843)),$A:$A,0))-1),"")</f>
        <v/>
      </c>
      <c r="J843" s="7">
        <f>IFERROR(IF(OR(G843="",INDEX(G:G,MATCH(DATE(YEAR($A843)-1,MONTH($A843),DAY($A843)),$A:$A,0))=""),"",G843/INDEX(G:G,MATCH(DATE(YEAR($A843)-1,MONTH($A843),DAY($A843)),$A:$A,0))-1),"")</f>
        <v/>
      </c>
      <c r="K843" s="7">
        <f>IF(OR(E843="",E842=""),"",E843/E842-1)</f>
        <v/>
      </c>
      <c r="L843" s="7">
        <f>IF(OR(F843="",F842=""),"",F843/F842-1)</f>
        <v/>
      </c>
      <c r="M843" s="7">
        <f>IF(OR(G843="",G842=""),"",G843/G842-1)</f>
        <v/>
      </c>
      <c r="N843" s="7">
        <f>IF(G843="","",E843/G843)</f>
        <v/>
      </c>
      <c r="O843" s="7">
        <f>IF(G843="","",F843/G843)</f>
        <v/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4">
        <f>IF(SUMIFS('Daily NSE Equity Cash'!$H:$H,'Daily NSE Equity Cash'!$A:$A,$A844)=0,"",SUMIFS('Daily NSE Equity Cash'!$H:$H,'Daily NSE Equity Cash'!$A:$A,$A844))</f>
        <v/>
      </c>
      <c r="F844" s="4">
        <f>IF(SUMIFS('Daily BSE Equity Cash'!$H:$H,'Daily BSE Equity Cash'!$A:$A,$A844)=0,"",SUMIFS('Daily BSE Equity Cash'!$H:$H,'Daily BSE Equity Cash'!$A:$A,$A844))</f>
        <v/>
      </c>
      <c r="G844" s="4">
        <f>IF(OR(E844="",F844=""),"",E844+F844)</f>
        <v/>
      </c>
      <c r="H844" s="7">
        <f>IFERROR(IF(OR(E844="",INDEX(E:E,MATCH(DATE(YEAR($A844)-1,MONTH($A844),DAY($A844)),$A:$A,0))=""),"",E844/INDEX(E:E,MATCH(DATE(YEAR($A844)-1,MONTH($A844),DAY($A844)),$A:$A,0))-1),"")</f>
        <v/>
      </c>
      <c r="I844" s="7">
        <f>IFERROR(IF(OR(F844="",INDEX(F:F,MATCH(DATE(YEAR($A844)-1,MONTH($A844),DAY($A844)),$A:$A,0))=""),"",F844/INDEX(F:F,MATCH(DATE(YEAR($A844)-1,MONTH($A844),DAY($A844)),$A:$A,0))-1),"")</f>
        <v/>
      </c>
      <c r="J844" s="7">
        <f>IFERROR(IF(OR(G844="",INDEX(G:G,MATCH(DATE(YEAR($A844)-1,MONTH($A844),DAY($A844)),$A:$A,0))=""),"",G844/INDEX(G:G,MATCH(DATE(YEAR($A844)-1,MONTH($A844),DAY($A844)),$A:$A,0))-1),"")</f>
        <v/>
      </c>
      <c r="K844" s="7">
        <f>IF(OR(E844="",E843=""),"",E844/E843-1)</f>
        <v/>
      </c>
      <c r="L844" s="7">
        <f>IF(OR(F844="",F843=""),"",F844/F843-1)</f>
        <v/>
      </c>
      <c r="M844" s="7">
        <f>IF(OR(G844="",G843=""),"",G844/G843-1)</f>
        <v/>
      </c>
      <c r="N844" s="7">
        <f>IF(G844="","",E844/G844)</f>
        <v/>
      </c>
      <c r="O844" s="7">
        <f>IF(G844="","",F844/G844)</f>
        <v/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4">
        <f>IF(SUMIFS('Daily NSE Equity Cash'!$H:$H,'Daily NSE Equity Cash'!$A:$A,$A845)=0,"",SUMIFS('Daily NSE Equity Cash'!$H:$H,'Daily NSE Equity Cash'!$A:$A,$A845))</f>
        <v/>
      </c>
      <c r="F845" s="4">
        <f>IF(SUMIFS('Daily BSE Equity Cash'!$H:$H,'Daily BSE Equity Cash'!$A:$A,$A845)=0,"",SUMIFS('Daily BSE Equity Cash'!$H:$H,'Daily BSE Equity Cash'!$A:$A,$A845))</f>
        <v/>
      </c>
      <c r="G845" s="4">
        <f>IF(OR(E845="",F845=""),"",E845+F845)</f>
        <v/>
      </c>
      <c r="H845" s="7">
        <f>IFERROR(IF(OR(E845="",INDEX(E:E,MATCH(DATE(YEAR($A845)-1,MONTH($A845),DAY($A845)),$A:$A,0))=""),"",E845/INDEX(E:E,MATCH(DATE(YEAR($A845)-1,MONTH($A845),DAY($A845)),$A:$A,0))-1),"")</f>
        <v/>
      </c>
      <c r="I845" s="7">
        <f>IFERROR(IF(OR(F845="",INDEX(F:F,MATCH(DATE(YEAR($A845)-1,MONTH($A845),DAY($A845)),$A:$A,0))=""),"",F845/INDEX(F:F,MATCH(DATE(YEAR($A845)-1,MONTH($A845),DAY($A845)),$A:$A,0))-1),"")</f>
        <v/>
      </c>
      <c r="J845" s="7">
        <f>IFERROR(IF(OR(G845="",INDEX(G:G,MATCH(DATE(YEAR($A845)-1,MONTH($A845),DAY($A845)),$A:$A,0))=""),"",G845/INDEX(G:G,MATCH(DATE(YEAR($A845)-1,MONTH($A845),DAY($A845)),$A:$A,0))-1),"")</f>
        <v/>
      </c>
      <c r="K845" s="7">
        <f>IF(OR(E845="",E844=""),"",E845/E844-1)</f>
        <v/>
      </c>
      <c r="L845" s="7">
        <f>IF(OR(F845="",F844=""),"",F845/F844-1)</f>
        <v/>
      </c>
      <c r="M845" s="7">
        <f>IF(OR(G845="",G844=""),"",G845/G844-1)</f>
        <v/>
      </c>
      <c r="N845" s="7">
        <f>IF(G845="","",E845/G845)</f>
        <v/>
      </c>
      <c r="O845" s="7">
        <f>IF(G845="","",F845/G845)</f>
        <v/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4">
        <f>IF(SUMIFS('Daily NSE Equity Cash'!$H:$H,'Daily NSE Equity Cash'!$A:$A,$A846)=0,"",SUMIFS('Daily NSE Equity Cash'!$H:$H,'Daily NSE Equity Cash'!$A:$A,$A846))</f>
        <v/>
      </c>
      <c r="F846" s="4">
        <f>IF(SUMIFS('Daily BSE Equity Cash'!$H:$H,'Daily BSE Equity Cash'!$A:$A,$A846)=0,"",SUMIFS('Daily BSE Equity Cash'!$H:$H,'Daily BSE Equity Cash'!$A:$A,$A846))</f>
        <v/>
      </c>
      <c r="G846" s="4">
        <f>IF(OR(E846="",F846=""),"",E846+F846)</f>
        <v/>
      </c>
      <c r="H846" s="7">
        <f>IFERROR(IF(OR(E846="",INDEX(E:E,MATCH(DATE(YEAR($A846)-1,MONTH($A846),DAY($A846)),$A:$A,0))=""),"",E846/INDEX(E:E,MATCH(DATE(YEAR($A846)-1,MONTH($A846),DAY($A846)),$A:$A,0))-1),"")</f>
        <v/>
      </c>
      <c r="I846" s="7">
        <f>IFERROR(IF(OR(F846="",INDEX(F:F,MATCH(DATE(YEAR($A846)-1,MONTH($A846),DAY($A846)),$A:$A,0))=""),"",F846/INDEX(F:F,MATCH(DATE(YEAR($A846)-1,MONTH($A846),DAY($A846)),$A:$A,0))-1),"")</f>
        <v/>
      </c>
      <c r="J846" s="7">
        <f>IFERROR(IF(OR(G846="",INDEX(G:G,MATCH(DATE(YEAR($A846)-1,MONTH($A846),DAY($A846)),$A:$A,0))=""),"",G846/INDEX(G:G,MATCH(DATE(YEAR($A846)-1,MONTH($A846),DAY($A846)),$A:$A,0))-1),"")</f>
        <v/>
      </c>
      <c r="K846" s="7">
        <f>IF(OR(E846="",E845=""),"",E846/E845-1)</f>
        <v/>
      </c>
      <c r="L846" s="7">
        <f>IF(OR(F846="",F845=""),"",F846/F845-1)</f>
        <v/>
      </c>
      <c r="M846" s="7">
        <f>IF(OR(G846="",G845=""),"",G846/G845-1)</f>
        <v/>
      </c>
      <c r="N846" s="7">
        <f>IF(G846="","",E846/G846)</f>
        <v/>
      </c>
      <c r="O846" s="7">
        <f>IF(G846="","",F846/G846)</f>
        <v/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4">
        <f>IF(SUMIFS('Daily NSE Equity Cash'!$H:$H,'Daily NSE Equity Cash'!$A:$A,$A847)=0,"",SUMIFS('Daily NSE Equity Cash'!$H:$H,'Daily NSE Equity Cash'!$A:$A,$A847))</f>
        <v/>
      </c>
      <c r="F847" s="4">
        <f>IF(SUMIFS('Daily BSE Equity Cash'!$H:$H,'Daily BSE Equity Cash'!$A:$A,$A847)=0,"",SUMIFS('Daily BSE Equity Cash'!$H:$H,'Daily BSE Equity Cash'!$A:$A,$A847))</f>
        <v/>
      </c>
      <c r="G847" s="4">
        <f>IF(OR(E847="",F847=""),"",E847+F847)</f>
        <v/>
      </c>
      <c r="H847" s="7">
        <f>IFERROR(IF(OR(E847="",INDEX(E:E,MATCH(DATE(YEAR($A847)-1,MONTH($A847),DAY($A847)),$A:$A,0))=""),"",E847/INDEX(E:E,MATCH(DATE(YEAR($A847)-1,MONTH($A847),DAY($A847)),$A:$A,0))-1),"")</f>
        <v/>
      </c>
      <c r="I847" s="7">
        <f>IFERROR(IF(OR(F847="",INDEX(F:F,MATCH(DATE(YEAR($A847)-1,MONTH($A847),DAY($A847)),$A:$A,0))=""),"",F847/INDEX(F:F,MATCH(DATE(YEAR($A847)-1,MONTH($A847),DAY($A847)),$A:$A,0))-1),"")</f>
        <v/>
      </c>
      <c r="J847" s="7">
        <f>IFERROR(IF(OR(G847="",INDEX(G:G,MATCH(DATE(YEAR($A847)-1,MONTH($A847),DAY($A847)),$A:$A,0))=""),"",G847/INDEX(G:G,MATCH(DATE(YEAR($A847)-1,MONTH($A847),DAY($A847)),$A:$A,0))-1),"")</f>
        <v/>
      </c>
      <c r="K847" s="7">
        <f>IF(OR(E847="",E846=""),"",E847/E846-1)</f>
        <v/>
      </c>
      <c r="L847" s="7">
        <f>IF(OR(F847="",F846=""),"",F847/F846-1)</f>
        <v/>
      </c>
      <c r="M847" s="7">
        <f>IF(OR(G847="",G846=""),"",G847/G846-1)</f>
        <v/>
      </c>
      <c r="N847" s="7">
        <f>IF(G847="","",E847/G847)</f>
        <v/>
      </c>
      <c r="O847" s="7">
        <f>IF(G847="","",F847/G847)</f>
        <v/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4">
        <f>IF(SUMIFS('Daily NSE Equity Cash'!$H:$H,'Daily NSE Equity Cash'!$A:$A,$A848)=0,"",SUMIFS('Daily NSE Equity Cash'!$H:$H,'Daily NSE Equity Cash'!$A:$A,$A848))</f>
        <v/>
      </c>
      <c r="F848" s="4">
        <f>IF(SUMIFS('Daily BSE Equity Cash'!$H:$H,'Daily BSE Equity Cash'!$A:$A,$A848)=0,"",SUMIFS('Daily BSE Equity Cash'!$H:$H,'Daily BSE Equity Cash'!$A:$A,$A848))</f>
        <v/>
      </c>
      <c r="G848" s="4">
        <f>IF(OR(E848="",F848=""),"",E848+F848)</f>
        <v/>
      </c>
      <c r="H848" s="7">
        <f>IFERROR(IF(OR(E848="",INDEX(E:E,MATCH(DATE(YEAR($A848)-1,MONTH($A848),DAY($A848)),$A:$A,0))=""),"",E848/INDEX(E:E,MATCH(DATE(YEAR($A848)-1,MONTH($A848),DAY($A848)),$A:$A,0))-1),"")</f>
        <v/>
      </c>
      <c r="I848" s="7">
        <f>IFERROR(IF(OR(F848="",INDEX(F:F,MATCH(DATE(YEAR($A848)-1,MONTH($A848),DAY($A848)),$A:$A,0))=""),"",F848/INDEX(F:F,MATCH(DATE(YEAR($A848)-1,MONTH($A848),DAY($A848)),$A:$A,0))-1),"")</f>
        <v/>
      </c>
      <c r="J848" s="7">
        <f>IFERROR(IF(OR(G848="",INDEX(G:G,MATCH(DATE(YEAR($A848)-1,MONTH($A848),DAY($A848)),$A:$A,0))=""),"",G848/INDEX(G:G,MATCH(DATE(YEAR($A848)-1,MONTH($A848),DAY($A848)),$A:$A,0))-1),"")</f>
        <v/>
      </c>
      <c r="K848" s="7">
        <f>IF(OR(E848="",E847=""),"",E848/E847-1)</f>
        <v/>
      </c>
      <c r="L848" s="7">
        <f>IF(OR(F848="",F847=""),"",F848/F847-1)</f>
        <v/>
      </c>
      <c r="M848" s="7">
        <f>IF(OR(G848="",G847=""),"",G848/G847-1)</f>
        <v/>
      </c>
      <c r="N848" s="7">
        <f>IF(G848="","",E848/G848)</f>
        <v/>
      </c>
      <c r="O848" s="7">
        <f>IF(G848="","",F848/G848)</f>
        <v/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4">
        <f>IF(SUMIFS('Daily NSE Equity Cash'!$H:$H,'Daily NSE Equity Cash'!$A:$A,$A849)=0,"",SUMIFS('Daily NSE Equity Cash'!$H:$H,'Daily NSE Equity Cash'!$A:$A,$A849))</f>
        <v/>
      </c>
      <c r="F849" s="4">
        <f>IF(SUMIFS('Daily BSE Equity Cash'!$H:$H,'Daily BSE Equity Cash'!$A:$A,$A849)=0,"",SUMIFS('Daily BSE Equity Cash'!$H:$H,'Daily BSE Equity Cash'!$A:$A,$A849))</f>
        <v/>
      </c>
      <c r="G849" s="4">
        <f>IF(OR(E849="",F849=""),"",E849+F849)</f>
        <v/>
      </c>
      <c r="H849" s="7">
        <f>IFERROR(IF(OR(E849="",INDEX(E:E,MATCH(DATE(YEAR($A849)-1,MONTH($A849),DAY($A849)),$A:$A,0))=""),"",E849/INDEX(E:E,MATCH(DATE(YEAR($A849)-1,MONTH($A849),DAY($A849)),$A:$A,0))-1),"")</f>
        <v/>
      </c>
      <c r="I849" s="7">
        <f>IFERROR(IF(OR(F849="",INDEX(F:F,MATCH(DATE(YEAR($A849)-1,MONTH($A849),DAY($A849)),$A:$A,0))=""),"",F849/INDEX(F:F,MATCH(DATE(YEAR($A849)-1,MONTH($A849),DAY($A849)),$A:$A,0))-1),"")</f>
        <v/>
      </c>
      <c r="J849" s="7">
        <f>IFERROR(IF(OR(G849="",INDEX(G:G,MATCH(DATE(YEAR($A849)-1,MONTH($A849),DAY($A849)),$A:$A,0))=""),"",G849/INDEX(G:G,MATCH(DATE(YEAR($A849)-1,MONTH($A849),DAY($A849)),$A:$A,0))-1),"")</f>
        <v/>
      </c>
      <c r="K849" s="7">
        <f>IF(OR(E849="",E848=""),"",E849/E848-1)</f>
        <v/>
      </c>
      <c r="L849" s="7">
        <f>IF(OR(F849="",F848=""),"",F849/F848-1)</f>
        <v/>
      </c>
      <c r="M849" s="7">
        <f>IF(OR(G849="",G848=""),"",G849/G848-1)</f>
        <v/>
      </c>
      <c r="N849" s="7">
        <f>IF(G849="","",E849/G849)</f>
        <v/>
      </c>
      <c r="O849" s="7">
        <f>IF(G849="","",F849/G849)</f>
        <v/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4">
        <f>IF(SUMIFS('Daily NSE Equity Cash'!$H:$H,'Daily NSE Equity Cash'!$A:$A,$A850)=0,"",SUMIFS('Daily NSE Equity Cash'!$H:$H,'Daily NSE Equity Cash'!$A:$A,$A850))</f>
        <v/>
      </c>
      <c r="F850" s="4">
        <f>IF(SUMIFS('Daily BSE Equity Cash'!$H:$H,'Daily BSE Equity Cash'!$A:$A,$A850)=0,"",SUMIFS('Daily BSE Equity Cash'!$H:$H,'Daily BSE Equity Cash'!$A:$A,$A850))</f>
        <v/>
      </c>
      <c r="G850" s="4">
        <f>IF(OR(E850="",F850=""),"",E850+F850)</f>
        <v/>
      </c>
      <c r="H850" s="7">
        <f>IFERROR(IF(OR(E850="",INDEX(E:E,MATCH(DATE(YEAR($A850)-1,MONTH($A850),DAY($A850)),$A:$A,0))=""),"",E850/INDEX(E:E,MATCH(DATE(YEAR($A850)-1,MONTH($A850),DAY($A850)),$A:$A,0))-1),"")</f>
        <v/>
      </c>
      <c r="I850" s="7">
        <f>IFERROR(IF(OR(F850="",INDEX(F:F,MATCH(DATE(YEAR($A850)-1,MONTH($A850),DAY($A850)),$A:$A,0))=""),"",F850/INDEX(F:F,MATCH(DATE(YEAR($A850)-1,MONTH($A850),DAY($A850)),$A:$A,0))-1),"")</f>
        <v/>
      </c>
      <c r="J850" s="7">
        <f>IFERROR(IF(OR(G850="",INDEX(G:G,MATCH(DATE(YEAR($A850)-1,MONTH($A850),DAY($A850)),$A:$A,0))=""),"",G850/INDEX(G:G,MATCH(DATE(YEAR($A850)-1,MONTH($A850),DAY($A850)),$A:$A,0))-1),"")</f>
        <v/>
      </c>
      <c r="K850" s="7">
        <f>IF(OR(E850="",E849=""),"",E850/E849-1)</f>
        <v/>
      </c>
      <c r="L850" s="7">
        <f>IF(OR(F850="",F849=""),"",F850/F849-1)</f>
        <v/>
      </c>
      <c r="M850" s="7">
        <f>IF(OR(G850="",G849=""),"",G850/G849-1)</f>
        <v/>
      </c>
      <c r="N850" s="7">
        <f>IF(G850="","",E850/G850)</f>
        <v/>
      </c>
      <c r="O850" s="7">
        <f>IF(G850="","",F850/G850)</f>
        <v/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4">
        <f>IF(SUMIFS('Daily NSE Equity Cash'!$H:$H,'Daily NSE Equity Cash'!$A:$A,$A851)=0,"",SUMIFS('Daily NSE Equity Cash'!$H:$H,'Daily NSE Equity Cash'!$A:$A,$A851))</f>
        <v/>
      </c>
      <c r="F851" s="4">
        <f>IF(SUMIFS('Daily BSE Equity Cash'!$H:$H,'Daily BSE Equity Cash'!$A:$A,$A851)=0,"",SUMIFS('Daily BSE Equity Cash'!$H:$H,'Daily BSE Equity Cash'!$A:$A,$A851))</f>
        <v/>
      </c>
      <c r="G851" s="4">
        <f>IF(OR(E851="",F851=""),"",E851+F851)</f>
        <v/>
      </c>
      <c r="H851" s="7">
        <f>IFERROR(IF(OR(E851="",INDEX(E:E,MATCH(DATE(YEAR($A851)-1,MONTH($A851),DAY($A851)),$A:$A,0))=""),"",E851/INDEX(E:E,MATCH(DATE(YEAR($A851)-1,MONTH($A851),DAY($A851)),$A:$A,0))-1),"")</f>
        <v/>
      </c>
      <c r="I851" s="7">
        <f>IFERROR(IF(OR(F851="",INDEX(F:F,MATCH(DATE(YEAR($A851)-1,MONTH($A851),DAY($A851)),$A:$A,0))=""),"",F851/INDEX(F:F,MATCH(DATE(YEAR($A851)-1,MONTH($A851),DAY($A851)),$A:$A,0))-1),"")</f>
        <v/>
      </c>
      <c r="J851" s="7">
        <f>IFERROR(IF(OR(G851="",INDEX(G:G,MATCH(DATE(YEAR($A851)-1,MONTH($A851),DAY($A851)),$A:$A,0))=""),"",G851/INDEX(G:G,MATCH(DATE(YEAR($A851)-1,MONTH($A851),DAY($A851)),$A:$A,0))-1),"")</f>
        <v/>
      </c>
      <c r="K851" s="7">
        <f>IF(OR(E851="",E850=""),"",E851/E850-1)</f>
        <v/>
      </c>
      <c r="L851" s="7">
        <f>IF(OR(F851="",F850=""),"",F851/F850-1)</f>
        <v/>
      </c>
      <c r="M851" s="7">
        <f>IF(OR(G851="",G850=""),"",G851/G850-1)</f>
        <v/>
      </c>
      <c r="N851" s="7">
        <f>IF(G851="","",E851/G851)</f>
        <v/>
      </c>
      <c r="O851" s="7">
        <f>IF(G851="","",F851/G851)</f>
        <v/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4">
        <f>IF(SUMIFS('Daily NSE Equity Cash'!$H:$H,'Daily NSE Equity Cash'!$A:$A,$A852)=0,"",SUMIFS('Daily NSE Equity Cash'!$H:$H,'Daily NSE Equity Cash'!$A:$A,$A852))</f>
        <v/>
      </c>
      <c r="F852" s="4">
        <f>IF(SUMIFS('Daily BSE Equity Cash'!$H:$H,'Daily BSE Equity Cash'!$A:$A,$A852)=0,"",SUMIFS('Daily BSE Equity Cash'!$H:$H,'Daily BSE Equity Cash'!$A:$A,$A852))</f>
        <v/>
      </c>
      <c r="G852" s="4">
        <f>IF(OR(E852="",F852=""),"",E852+F852)</f>
        <v/>
      </c>
      <c r="H852" s="7">
        <f>IFERROR(IF(OR(E852="",INDEX(E:E,MATCH(DATE(YEAR($A852)-1,MONTH($A852),DAY($A852)),$A:$A,0))=""),"",E852/INDEX(E:E,MATCH(DATE(YEAR($A852)-1,MONTH($A852),DAY($A852)),$A:$A,0))-1),"")</f>
        <v/>
      </c>
      <c r="I852" s="7">
        <f>IFERROR(IF(OR(F852="",INDEX(F:F,MATCH(DATE(YEAR($A852)-1,MONTH($A852),DAY($A852)),$A:$A,0))=""),"",F852/INDEX(F:F,MATCH(DATE(YEAR($A852)-1,MONTH($A852),DAY($A852)),$A:$A,0))-1),"")</f>
        <v/>
      </c>
      <c r="J852" s="7">
        <f>IFERROR(IF(OR(G852="",INDEX(G:G,MATCH(DATE(YEAR($A852)-1,MONTH($A852),DAY($A852)),$A:$A,0))=""),"",G852/INDEX(G:G,MATCH(DATE(YEAR($A852)-1,MONTH($A852),DAY($A852)),$A:$A,0))-1),"")</f>
        <v/>
      </c>
      <c r="K852" s="7">
        <f>IF(OR(E852="",E851=""),"",E852/E851-1)</f>
        <v/>
      </c>
      <c r="L852" s="7">
        <f>IF(OR(F852="",F851=""),"",F852/F851-1)</f>
        <v/>
      </c>
      <c r="M852" s="7">
        <f>IF(OR(G852="",G851=""),"",G852/G851-1)</f>
        <v/>
      </c>
      <c r="N852" s="7">
        <f>IF(G852="","",E852/G852)</f>
        <v/>
      </c>
      <c r="O852" s="7">
        <f>IF(G852="","",F852/G852)</f>
        <v/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4">
        <f>IF(SUMIFS('Daily NSE Equity Cash'!$H:$H,'Daily NSE Equity Cash'!$A:$A,$A853)=0,"",SUMIFS('Daily NSE Equity Cash'!$H:$H,'Daily NSE Equity Cash'!$A:$A,$A853))</f>
        <v/>
      </c>
      <c r="F853" s="4">
        <f>IF(SUMIFS('Daily BSE Equity Cash'!$H:$H,'Daily BSE Equity Cash'!$A:$A,$A853)=0,"",SUMIFS('Daily BSE Equity Cash'!$H:$H,'Daily BSE Equity Cash'!$A:$A,$A853))</f>
        <v/>
      </c>
      <c r="G853" s="4">
        <f>IF(OR(E853="",F853=""),"",E853+F853)</f>
        <v/>
      </c>
      <c r="H853" s="7">
        <f>IFERROR(IF(OR(E853="",INDEX(E:E,MATCH(DATE(YEAR($A853)-1,MONTH($A853),DAY($A853)),$A:$A,0))=""),"",E853/INDEX(E:E,MATCH(DATE(YEAR($A853)-1,MONTH($A853),DAY($A853)),$A:$A,0))-1),"")</f>
        <v/>
      </c>
      <c r="I853" s="7">
        <f>IFERROR(IF(OR(F853="",INDEX(F:F,MATCH(DATE(YEAR($A853)-1,MONTH($A853),DAY($A853)),$A:$A,0))=""),"",F853/INDEX(F:F,MATCH(DATE(YEAR($A853)-1,MONTH($A853),DAY($A853)),$A:$A,0))-1),"")</f>
        <v/>
      </c>
      <c r="J853" s="7">
        <f>IFERROR(IF(OR(G853="",INDEX(G:G,MATCH(DATE(YEAR($A853)-1,MONTH($A853),DAY($A853)),$A:$A,0))=""),"",G853/INDEX(G:G,MATCH(DATE(YEAR($A853)-1,MONTH($A853),DAY($A853)),$A:$A,0))-1),"")</f>
        <v/>
      </c>
      <c r="K853" s="7">
        <f>IF(OR(E853="",E852=""),"",E853/E852-1)</f>
        <v/>
      </c>
      <c r="L853" s="7">
        <f>IF(OR(F853="",F852=""),"",F853/F852-1)</f>
        <v/>
      </c>
      <c r="M853" s="7">
        <f>IF(OR(G853="",G852=""),"",G853/G852-1)</f>
        <v/>
      </c>
      <c r="N853" s="7">
        <f>IF(G853="","",E853/G853)</f>
        <v/>
      </c>
      <c r="O853" s="7">
        <f>IF(G853="","",F853/G853)</f>
        <v/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4">
        <f>IF(SUMIFS('Daily NSE Equity Cash'!$H:$H,'Daily NSE Equity Cash'!$A:$A,$A854)=0,"",SUMIFS('Daily NSE Equity Cash'!$H:$H,'Daily NSE Equity Cash'!$A:$A,$A854))</f>
        <v/>
      </c>
      <c r="F854" s="4">
        <f>IF(SUMIFS('Daily BSE Equity Cash'!$H:$H,'Daily BSE Equity Cash'!$A:$A,$A854)=0,"",SUMIFS('Daily BSE Equity Cash'!$H:$H,'Daily BSE Equity Cash'!$A:$A,$A854))</f>
        <v/>
      </c>
      <c r="G854" s="4">
        <f>IF(OR(E854="",F854=""),"",E854+F854)</f>
        <v/>
      </c>
      <c r="H854" s="7">
        <f>IFERROR(IF(OR(E854="",INDEX(E:E,MATCH(DATE(YEAR($A854)-1,MONTH($A854),DAY($A854)),$A:$A,0))=""),"",E854/INDEX(E:E,MATCH(DATE(YEAR($A854)-1,MONTH($A854),DAY($A854)),$A:$A,0))-1),"")</f>
        <v/>
      </c>
      <c r="I854" s="7">
        <f>IFERROR(IF(OR(F854="",INDEX(F:F,MATCH(DATE(YEAR($A854)-1,MONTH($A854),DAY($A854)),$A:$A,0))=""),"",F854/INDEX(F:F,MATCH(DATE(YEAR($A854)-1,MONTH($A854),DAY($A854)),$A:$A,0))-1),"")</f>
        <v/>
      </c>
      <c r="J854" s="7">
        <f>IFERROR(IF(OR(G854="",INDEX(G:G,MATCH(DATE(YEAR($A854)-1,MONTH($A854),DAY($A854)),$A:$A,0))=""),"",G854/INDEX(G:G,MATCH(DATE(YEAR($A854)-1,MONTH($A854),DAY($A854)),$A:$A,0))-1),"")</f>
        <v/>
      </c>
      <c r="K854" s="7">
        <f>IF(OR(E854="",E853=""),"",E854/E853-1)</f>
        <v/>
      </c>
      <c r="L854" s="7">
        <f>IF(OR(F854="",F853=""),"",F854/F853-1)</f>
        <v/>
      </c>
      <c r="M854" s="7">
        <f>IF(OR(G854="",G853=""),"",G854/G853-1)</f>
        <v/>
      </c>
      <c r="N854" s="7">
        <f>IF(G854="","",E854/G854)</f>
        <v/>
      </c>
      <c r="O854" s="7">
        <f>IF(G854="","",F854/G854)</f>
        <v/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4">
        <f>IF(SUMIFS('Daily NSE Equity Cash'!$H:$H,'Daily NSE Equity Cash'!$A:$A,$A855)=0,"",SUMIFS('Daily NSE Equity Cash'!$H:$H,'Daily NSE Equity Cash'!$A:$A,$A855))</f>
        <v/>
      </c>
      <c r="F855" s="4">
        <f>IF(SUMIFS('Daily BSE Equity Cash'!$H:$H,'Daily BSE Equity Cash'!$A:$A,$A855)=0,"",SUMIFS('Daily BSE Equity Cash'!$H:$H,'Daily BSE Equity Cash'!$A:$A,$A855))</f>
        <v/>
      </c>
      <c r="G855" s="4">
        <f>IF(OR(E855="",F855=""),"",E855+F855)</f>
        <v/>
      </c>
      <c r="H855" s="7">
        <f>IFERROR(IF(OR(E855="",INDEX(E:E,MATCH(DATE(YEAR($A855)-1,MONTH($A855),DAY($A855)),$A:$A,0))=""),"",E855/INDEX(E:E,MATCH(DATE(YEAR($A855)-1,MONTH($A855),DAY($A855)),$A:$A,0))-1),"")</f>
        <v/>
      </c>
      <c r="I855" s="7">
        <f>IFERROR(IF(OR(F855="",INDEX(F:F,MATCH(DATE(YEAR($A855)-1,MONTH($A855),DAY($A855)),$A:$A,0))=""),"",F855/INDEX(F:F,MATCH(DATE(YEAR($A855)-1,MONTH($A855),DAY($A855)),$A:$A,0))-1),"")</f>
        <v/>
      </c>
      <c r="J855" s="7">
        <f>IFERROR(IF(OR(G855="",INDEX(G:G,MATCH(DATE(YEAR($A855)-1,MONTH($A855),DAY($A855)),$A:$A,0))=""),"",G855/INDEX(G:G,MATCH(DATE(YEAR($A855)-1,MONTH($A855),DAY($A855)),$A:$A,0))-1),"")</f>
        <v/>
      </c>
      <c r="K855" s="7">
        <f>IF(OR(E855="",E854=""),"",E855/E854-1)</f>
        <v/>
      </c>
      <c r="L855" s="7">
        <f>IF(OR(F855="",F854=""),"",F855/F854-1)</f>
        <v/>
      </c>
      <c r="M855" s="7">
        <f>IF(OR(G855="",G854=""),"",G855/G854-1)</f>
        <v/>
      </c>
      <c r="N855" s="7">
        <f>IF(G855="","",E855/G855)</f>
        <v/>
      </c>
      <c r="O855" s="7">
        <f>IF(G855="","",F855/G855)</f>
        <v/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4">
        <f>IF(SUMIFS('Daily NSE Equity Cash'!$H:$H,'Daily NSE Equity Cash'!$A:$A,$A856)=0,"",SUMIFS('Daily NSE Equity Cash'!$H:$H,'Daily NSE Equity Cash'!$A:$A,$A856))</f>
        <v/>
      </c>
      <c r="F856" s="4">
        <f>IF(SUMIFS('Daily BSE Equity Cash'!$H:$H,'Daily BSE Equity Cash'!$A:$A,$A856)=0,"",SUMIFS('Daily BSE Equity Cash'!$H:$H,'Daily BSE Equity Cash'!$A:$A,$A856))</f>
        <v/>
      </c>
      <c r="G856" s="4">
        <f>IF(OR(E856="",F856=""),"",E856+F856)</f>
        <v/>
      </c>
      <c r="H856" s="7">
        <f>IFERROR(IF(OR(E856="",INDEX(E:E,MATCH(DATE(YEAR($A856)-1,MONTH($A856),DAY($A856)),$A:$A,0))=""),"",E856/INDEX(E:E,MATCH(DATE(YEAR($A856)-1,MONTH($A856),DAY($A856)),$A:$A,0))-1),"")</f>
        <v/>
      </c>
      <c r="I856" s="7">
        <f>IFERROR(IF(OR(F856="",INDEX(F:F,MATCH(DATE(YEAR($A856)-1,MONTH($A856),DAY($A856)),$A:$A,0))=""),"",F856/INDEX(F:F,MATCH(DATE(YEAR($A856)-1,MONTH($A856),DAY($A856)),$A:$A,0))-1),"")</f>
        <v/>
      </c>
      <c r="J856" s="7">
        <f>IFERROR(IF(OR(G856="",INDEX(G:G,MATCH(DATE(YEAR($A856)-1,MONTH($A856),DAY($A856)),$A:$A,0))=""),"",G856/INDEX(G:G,MATCH(DATE(YEAR($A856)-1,MONTH($A856),DAY($A856)),$A:$A,0))-1),"")</f>
        <v/>
      </c>
      <c r="K856" s="7">
        <f>IF(OR(E856="",E855=""),"",E856/E855-1)</f>
        <v/>
      </c>
      <c r="L856" s="7">
        <f>IF(OR(F856="",F855=""),"",F856/F855-1)</f>
        <v/>
      </c>
      <c r="M856" s="7">
        <f>IF(OR(G856="",G855=""),"",G856/G855-1)</f>
        <v/>
      </c>
      <c r="N856" s="7">
        <f>IF(G856="","",E856/G856)</f>
        <v/>
      </c>
      <c r="O856" s="7">
        <f>IF(G856="","",F856/G856)</f>
        <v/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4">
        <f>IF(SUMIFS('Daily NSE Equity Cash'!$H:$H,'Daily NSE Equity Cash'!$A:$A,$A857)=0,"",SUMIFS('Daily NSE Equity Cash'!$H:$H,'Daily NSE Equity Cash'!$A:$A,$A857))</f>
        <v/>
      </c>
      <c r="F857" s="4">
        <f>IF(SUMIFS('Daily BSE Equity Cash'!$H:$H,'Daily BSE Equity Cash'!$A:$A,$A857)=0,"",SUMIFS('Daily BSE Equity Cash'!$H:$H,'Daily BSE Equity Cash'!$A:$A,$A857))</f>
        <v/>
      </c>
      <c r="G857" s="4">
        <f>IF(OR(E857="",F857=""),"",E857+F857)</f>
        <v/>
      </c>
      <c r="H857" s="7">
        <f>IFERROR(IF(OR(E857="",INDEX(E:E,MATCH(DATE(YEAR($A857)-1,MONTH($A857),DAY($A857)),$A:$A,0))=""),"",E857/INDEX(E:E,MATCH(DATE(YEAR($A857)-1,MONTH($A857),DAY($A857)),$A:$A,0))-1),"")</f>
        <v/>
      </c>
      <c r="I857" s="7">
        <f>IFERROR(IF(OR(F857="",INDEX(F:F,MATCH(DATE(YEAR($A857)-1,MONTH($A857),DAY($A857)),$A:$A,0))=""),"",F857/INDEX(F:F,MATCH(DATE(YEAR($A857)-1,MONTH($A857),DAY($A857)),$A:$A,0))-1),"")</f>
        <v/>
      </c>
      <c r="J857" s="7">
        <f>IFERROR(IF(OR(G857="",INDEX(G:G,MATCH(DATE(YEAR($A857)-1,MONTH($A857),DAY($A857)),$A:$A,0))=""),"",G857/INDEX(G:G,MATCH(DATE(YEAR($A857)-1,MONTH($A857),DAY($A857)),$A:$A,0))-1),"")</f>
        <v/>
      </c>
      <c r="K857" s="7">
        <f>IF(OR(E857="",E856=""),"",E857/E856-1)</f>
        <v/>
      </c>
      <c r="L857" s="7">
        <f>IF(OR(F857="",F856=""),"",F857/F856-1)</f>
        <v/>
      </c>
      <c r="M857" s="7">
        <f>IF(OR(G857="",G856=""),"",G857/G856-1)</f>
        <v/>
      </c>
      <c r="N857" s="7">
        <f>IF(G857="","",E857/G857)</f>
        <v/>
      </c>
      <c r="O857" s="7">
        <f>IF(G857="","",F857/G857)</f>
        <v/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4">
        <f>IF(SUMIFS('Daily NSE Equity Cash'!$H:$H,'Daily NSE Equity Cash'!$A:$A,$A858)=0,"",SUMIFS('Daily NSE Equity Cash'!$H:$H,'Daily NSE Equity Cash'!$A:$A,$A858))</f>
        <v/>
      </c>
      <c r="F858" s="4">
        <f>IF(SUMIFS('Daily BSE Equity Cash'!$H:$H,'Daily BSE Equity Cash'!$A:$A,$A858)=0,"",SUMIFS('Daily BSE Equity Cash'!$H:$H,'Daily BSE Equity Cash'!$A:$A,$A858))</f>
        <v/>
      </c>
      <c r="G858" s="4">
        <f>IF(OR(E858="",F858=""),"",E858+F858)</f>
        <v/>
      </c>
      <c r="H858" s="7">
        <f>IFERROR(IF(OR(E858="",INDEX(E:E,MATCH(DATE(YEAR($A858)-1,MONTH($A858),DAY($A858)),$A:$A,0))=""),"",E858/INDEX(E:E,MATCH(DATE(YEAR($A858)-1,MONTH($A858),DAY($A858)),$A:$A,0))-1),"")</f>
        <v/>
      </c>
      <c r="I858" s="7">
        <f>IFERROR(IF(OR(F858="",INDEX(F:F,MATCH(DATE(YEAR($A858)-1,MONTH($A858),DAY($A858)),$A:$A,0))=""),"",F858/INDEX(F:F,MATCH(DATE(YEAR($A858)-1,MONTH($A858),DAY($A858)),$A:$A,0))-1),"")</f>
        <v/>
      </c>
      <c r="J858" s="7">
        <f>IFERROR(IF(OR(G858="",INDEX(G:G,MATCH(DATE(YEAR($A858)-1,MONTH($A858),DAY($A858)),$A:$A,0))=""),"",G858/INDEX(G:G,MATCH(DATE(YEAR($A858)-1,MONTH($A858),DAY($A858)),$A:$A,0))-1),"")</f>
        <v/>
      </c>
      <c r="K858" s="7">
        <f>IF(OR(E858="",E857=""),"",E858/E857-1)</f>
        <v/>
      </c>
      <c r="L858" s="7">
        <f>IF(OR(F858="",F857=""),"",F858/F857-1)</f>
        <v/>
      </c>
      <c r="M858" s="7">
        <f>IF(OR(G858="",G857=""),"",G858/G857-1)</f>
        <v/>
      </c>
      <c r="N858" s="7">
        <f>IF(G858="","",E858/G858)</f>
        <v/>
      </c>
      <c r="O858" s="7">
        <f>IF(G858="","",F858/G858)</f>
        <v/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4">
        <f>IF(SUMIFS('Daily NSE Equity Cash'!$H:$H,'Daily NSE Equity Cash'!$A:$A,$A859)=0,"",SUMIFS('Daily NSE Equity Cash'!$H:$H,'Daily NSE Equity Cash'!$A:$A,$A859))</f>
        <v/>
      </c>
      <c r="F859" s="4">
        <f>IF(SUMIFS('Daily BSE Equity Cash'!$H:$H,'Daily BSE Equity Cash'!$A:$A,$A859)=0,"",SUMIFS('Daily BSE Equity Cash'!$H:$H,'Daily BSE Equity Cash'!$A:$A,$A859))</f>
        <v/>
      </c>
      <c r="G859" s="4">
        <f>IF(OR(E859="",F859=""),"",E859+F859)</f>
        <v/>
      </c>
      <c r="H859" s="7">
        <f>IFERROR(IF(OR(E859="",INDEX(E:E,MATCH(DATE(YEAR($A859)-1,MONTH($A859),DAY($A859)),$A:$A,0))=""),"",E859/INDEX(E:E,MATCH(DATE(YEAR($A859)-1,MONTH($A859),DAY($A859)),$A:$A,0))-1),"")</f>
        <v/>
      </c>
      <c r="I859" s="7">
        <f>IFERROR(IF(OR(F859="",INDEX(F:F,MATCH(DATE(YEAR($A859)-1,MONTH($A859),DAY($A859)),$A:$A,0))=""),"",F859/INDEX(F:F,MATCH(DATE(YEAR($A859)-1,MONTH($A859),DAY($A859)),$A:$A,0))-1),"")</f>
        <v/>
      </c>
      <c r="J859" s="7">
        <f>IFERROR(IF(OR(G859="",INDEX(G:G,MATCH(DATE(YEAR($A859)-1,MONTH($A859),DAY($A859)),$A:$A,0))=""),"",G859/INDEX(G:G,MATCH(DATE(YEAR($A859)-1,MONTH($A859),DAY($A859)),$A:$A,0))-1),"")</f>
        <v/>
      </c>
      <c r="K859" s="7">
        <f>IF(OR(E859="",E858=""),"",E859/E858-1)</f>
        <v/>
      </c>
      <c r="L859" s="7">
        <f>IF(OR(F859="",F858=""),"",F859/F858-1)</f>
        <v/>
      </c>
      <c r="M859" s="7">
        <f>IF(OR(G859="",G858=""),"",G859/G858-1)</f>
        <v/>
      </c>
      <c r="N859" s="7">
        <f>IF(G859="","",E859/G859)</f>
        <v/>
      </c>
      <c r="O859" s="7">
        <f>IF(G859="","",F859/G859)</f>
        <v/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4">
        <f>IF(SUMIFS('Daily NSE Equity Cash'!$H:$H,'Daily NSE Equity Cash'!$A:$A,$A860)=0,"",SUMIFS('Daily NSE Equity Cash'!$H:$H,'Daily NSE Equity Cash'!$A:$A,$A860))</f>
        <v/>
      </c>
      <c r="F860" s="4">
        <f>IF(SUMIFS('Daily BSE Equity Cash'!$H:$H,'Daily BSE Equity Cash'!$A:$A,$A860)=0,"",SUMIFS('Daily BSE Equity Cash'!$H:$H,'Daily BSE Equity Cash'!$A:$A,$A860))</f>
        <v/>
      </c>
      <c r="G860" s="4">
        <f>IF(OR(E860="",F860=""),"",E860+F860)</f>
        <v/>
      </c>
      <c r="H860" s="7">
        <f>IFERROR(IF(OR(E860="",INDEX(E:E,MATCH(DATE(YEAR($A860)-1,MONTH($A860),DAY($A860)),$A:$A,0))=""),"",E860/INDEX(E:E,MATCH(DATE(YEAR($A860)-1,MONTH($A860),DAY($A860)),$A:$A,0))-1),"")</f>
        <v/>
      </c>
      <c r="I860" s="7">
        <f>IFERROR(IF(OR(F860="",INDEX(F:F,MATCH(DATE(YEAR($A860)-1,MONTH($A860),DAY($A860)),$A:$A,0))=""),"",F860/INDEX(F:F,MATCH(DATE(YEAR($A860)-1,MONTH($A860),DAY($A860)),$A:$A,0))-1),"")</f>
        <v/>
      </c>
      <c r="J860" s="7">
        <f>IFERROR(IF(OR(G860="",INDEX(G:G,MATCH(DATE(YEAR($A860)-1,MONTH($A860),DAY($A860)),$A:$A,0))=""),"",G860/INDEX(G:G,MATCH(DATE(YEAR($A860)-1,MONTH($A860),DAY($A860)),$A:$A,0))-1),"")</f>
        <v/>
      </c>
      <c r="K860" s="7">
        <f>IF(OR(E860="",E859=""),"",E860/E859-1)</f>
        <v/>
      </c>
      <c r="L860" s="7">
        <f>IF(OR(F860="",F859=""),"",F860/F859-1)</f>
        <v/>
      </c>
      <c r="M860" s="7">
        <f>IF(OR(G860="",G859=""),"",G860/G859-1)</f>
        <v/>
      </c>
      <c r="N860" s="7">
        <f>IF(G860="","",E860/G860)</f>
        <v/>
      </c>
      <c r="O860" s="7">
        <f>IF(G860="","",F860/G860)</f>
        <v/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4">
        <f>IF(SUMIFS('Daily NSE Equity Cash'!$H:$H,'Daily NSE Equity Cash'!$A:$A,$A861)=0,"",SUMIFS('Daily NSE Equity Cash'!$H:$H,'Daily NSE Equity Cash'!$A:$A,$A861))</f>
        <v/>
      </c>
      <c r="F861" s="4">
        <f>IF(SUMIFS('Daily BSE Equity Cash'!$H:$H,'Daily BSE Equity Cash'!$A:$A,$A861)=0,"",SUMIFS('Daily BSE Equity Cash'!$H:$H,'Daily BSE Equity Cash'!$A:$A,$A861))</f>
        <v/>
      </c>
      <c r="G861" s="4">
        <f>IF(OR(E861="",F861=""),"",E861+F861)</f>
        <v/>
      </c>
      <c r="H861" s="7">
        <f>IFERROR(IF(OR(E861="",INDEX(E:E,MATCH(DATE(YEAR($A861)-1,MONTH($A861),DAY($A861)),$A:$A,0))=""),"",E861/INDEX(E:E,MATCH(DATE(YEAR($A861)-1,MONTH($A861),DAY($A861)),$A:$A,0))-1),"")</f>
        <v/>
      </c>
      <c r="I861" s="7">
        <f>IFERROR(IF(OR(F861="",INDEX(F:F,MATCH(DATE(YEAR($A861)-1,MONTH($A861),DAY($A861)),$A:$A,0))=""),"",F861/INDEX(F:F,MATCH(DATE(YEAR($A861)-1,MONTH($A861),DAY($A861)),$A:$A,0))-1),"")</f>
        <v/>
      </c>
      <c r="J861" s="7">
        <f>IFERROR(IF(OR(G861="",INDEX(G:G,MATCH(DATE(YEAR($A861)-1,MONTH($A861),DAY($A861)),$A:$A,0))=""),"",G861/INDEX(G:G,MATCH(DATE(YEAR($A861)-1,MONTH($A861),DAY($A861)),$A:$A,0))-1),"")</f>
        <v/>
      </c>
      <c r="K861" s="7">
        <f>IF(OR(E861="",E860=""),"",E861/E860-1)</f>
        <v/>
      </c>
      <c r="L861" s="7">
        <f>IF(OR(F861="",F860=""),"",F861/F860-1)</f>
        <v/>
      </c>
      <c r="M861" s="7">
        <f>IF(OR(G861="",G860=""),"",G861/G860-1)</f>
        <v/>
      </c>
      <c r="N861" s="7">
        <f>IF(G861="","",E861/G861)</f>
        <v/>
      </c>
      <c r="O861" s="7">
        <f>IF(G861="","",F861/G861)</f>
        <v/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4">
        <f>IF(SUMIFS('Daily NSE Equity Cash'!$H:$H,'Daily NSE Equity Cash'!$A:$A,$A862)=0,"",SUMIFS('Daily NSE Equity Cash'!$H:$H,'Daily NSE Equity Cash'!$A:$A,$A862))</f>
        <v/>
      </c>
      <c r="F862" s="4">
        <f>IF(SUMIFS('Daily BSE Equity Cash'!$H:$H,'Daily BSE Equity Cash'!$A:$A,$A862)=0,"",SUMIFS('Daily BSE Equity Cash'!$H:$H,'Daily BSE Equity Cash'!$A:$A,$A862))</f>
        <v/>
      </c>
      <c r="G862" s="4">
        <f>IF(OR(E862="",F862=""),"",E862+F862)</f>
        <v/>
      </c>
      <c r="H862" s="7">
        <f>IFERROR(IF(OR(E862="",INDEX(E:E,MATCH(DATE(YEAR($A862)-1,MONTH($A862),DAY($A862)),$A:$A,0))=""),"",E862/INDEX(E:E,MATCH(DATE(YEAR($A862)-1,MONTH($A862),DAY($A862)),$A:$A,0))-1),"")</f>
        <v/>
      </c>
      <c r="I862" s="7">
        <f>IFERROR(IF(OR(F862="",INDEX(F:F,MATCH(DATE(YEAR($A862)-1,MONTH($A862),DAY($A862)),$A:$A,0))=""),"",F862/INDEX(F:F,MATCH(DATE(YEAR($A862)-1,MONTH($A862),DAY($A862)),$A:$A,0))-1),"")</f>
        <v/>
      </c>
      <c r="J862" s="7">
        <f>IFERROR(IF(OR(G862="",INDEX(G:G,MATCH(DATE(YEAR($A862)-1,MONTH($A862),DAY($A862)),$A:$A,0))=""),"",G862/INDEX(G:G,MATCH(DATE(YEAR($A862)-1,MONTH($A862),DAY($A862)),$A:$A,0))-1),"")</f>
        <v/>
      </c>
      <c r="K862" s="7">
        <f>IF(OR(E862="",E861=""),"",E862/E861-1)</f>
        <v/>
      </c>
      <c r="L862" s="7">
        <f>IF(OR(F862="",F861=""),"",F862/F861-1)</f>
        <v/>
      </c>
      <c r="M862" s="7">
        <f>IF(OR(G862="",G861=""),"",G862/G861-1)</f>
        <v/>
      </c>
      <c r="N862" s="7">
        <f>IF(G862="","",E862/G862)</f>
        <v/>
      </c>
      <c r="O862" s="7">
        <f>IF(G862="","",F862/G862)</f>
        <v/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4">
        <f>IF(SUMIFS('Daily NSE Equity Cash'!$H:$H,'Daily NSE Equity Cash'!$A:$A,$A863)=0,"",SUMIFS('Daily NSE Equity Cash'!$H:$H,'Daily NSE Equity Cash'!$A:$A,$A863))</f>
        <v/>
      </c>
      <c r="F863" s="4">
        <f>IF(SUMIFS('Daily BSE Equity Cash'!$H:$H,'Daily BSE Equity Cash'!$A:$A,$A863)=0,"",SUMIFS('Daily BSE Equity Cash'!$H:$H,'Daily BSE Equity Cash'!$A:$A,$A863))</f>
        <v/>
      </c>
      <c r="G863" s="4">
        <f>IF(OR(E863="",F863=""),"",E863+F863)</f>
        <v/>
      </c>
      <c r="H863" s="7">
        <f>IFERROR(IF(OR(E863="",INDEX(E:E,MATCH(DATE(YEAR($A863)-1,MONTH($A863),DAY($A863)),$A:$A,0))=""),"",E863/INDEX(E:E,MATCH(DATE(YEAR($A863)-1,MONTH($A863),DAY($A863)),$A:$A,0))-1),"")</f>
        <v/>
      </c>
      <c r="I863" s="7">
        <f>IFERROR(IF(OR(F863="",INDEX(F:F,MATCH(DATE(YEAR($A863)-1,MONTH($A863),DAY($A863)),$A:$A,0))=""),"",F863/INDEX(F:F,MATCH(DATE(YEAR($A863)-1,MONTH($A863),DAY($A863)),$A:$A,0))-1),"")</f>
        <v/>
      </c>
      <c r="J863" s="7">
        <f>IFERROR(IF(OR(G863="",INDEX(G:G,MATCH(DATE(YEAR($A863)-1,MONTH($A863),DAY($A863)),$A:$A,0))=""),"",G863/INDEX(G:G,MATCH(DATE(YEAR($A863)-1,MONTH($A863),DAY($A863)),$A:$A,0))-1),"")</f>
        <v/>
      </c>
      <c r="K863" s="7">
        <f>IF(OR(E863="",E862=""),"",E863/E862-1)</f>
        <v/>
      </c>
      <c r="L863" s="7">
        <f>IF(OR(F863="",F862=""),"",F863/F862-1)</f>
        <v/>
      </c>
      <c r="M863" s="7">
        <f>IF(OR(G863="",G862=""),"",G863/G862-1)</f>
        <v/>
      </c>
      <c r="N863" s="7">
        <f>IF(G863="","",E863/G863)</f>
        <v/>
      </c>
      <c r="O863" s="7">
        <f>IF(G863="","",F863/G863)</f>
        <v/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4">
        <f>IF(SUMIFS('Daily NSE Equity Cash'!$H:$H,'Daily NSE Equity Cash'!$A:$A,$A864)=0,"",SUMIFS('Daily NSE Equity Cash'!$H:$H,'Daily NSE Equity Cash'!$A:$A,$A864))</f>
        <v/>
      </c>
      <c r="F864" s="4">
        <f>IF(SUMIFS('Daily BSE Equity Cash'!$H:$H,'Daily BSE Equity Cash'!$A:$A,$A864)=0,"",SUMIFS('Daily BSE Equity Cash'!$H:$H,'Daily BSE Equity Cash'!$A:$A,$A864))</f>
        <v/>
      </c>
      <c r="G864" s="4">
        <f>IF(OR(E864="",F864=""),"",E864+F864)</f>
        <v/>
      </c>
      <c r="H864" s="7">
        <f>IFERROR(IF(OR(E864="",INDEX(E:E,MATCH(DATE(YEAR($A864)-1,MONTH($A864),DAY($A864)),$A:$A,0))=""),"",E864/INDEX(E:E,MATCH(DATE(YEAR($A864)-1,MONTH($A864),DAY($A864)),$A:$A,0))-1),"")</f>
        <v/>
      </c>
      <c r="I864" s="7">
        <f>IFERROR(IF(OR(F864="",INDEX(F:F,MATCH(DATE(YEAR($A864)-1,MONTH($A864),DAY($A864)),$A:$A,0))=""),"",F864/INDEX(F:F,MATCH(DATE(YEAR($A864)-1,MONTH($A864),DAY($A864)),$A:$A,0))-1),"")</f>
        <v/>
      </c>
      <c r="J864" s="7">
        <f>IFERROR(IF(OR(G864="",INDEX(G:G,MATCH(DATE(YEAR($A864)-1,MONTH($A864),DAY($A864)),$A:$A,0))=""),"",G864/INDEX(G:G,MATCH(DATE(YEAR($A864)-1,MONTH($A864),DAY($A864)),$A:$A,0))-1),"")</f>
        <v/>
      </c>
      <c r="K864" s="7">
        <f>IF(OR(E864="",E863=""),"",E864/E863-1)</f>
        <v/>
      </c>
      <c r="L864" s="7">
        <f>IF(OR(F864="",F863=""),"",F864/F863-1)</f>
        <v/>
      </c>
      <c r="M864" s="7">
        <f>IF(OR(G864="",G863=""),"",G864/G863-1)</f>
        <v/>
      </c>
      <c r="N864" s="7">
        <f>IF(G864="","",E864/G864)</f>
        <v/>
      </c>
      <c r="O864" s="7">
        <f>IF(G864="","",F864/G864)</f>
        <v/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4">
        <f>IF(SUMIFS('Daily NSE Equity Cash'!$H:$H,'Daily NSE Equity Cash'!$A:$A,$A865)=0,"",SUMIFS('Daily NSE Equity Cash'!$H:$H,'Daily NSE Equity Cash'!$A:$A,$A865))</f>
        <v/>
      </c>
      <c r="F865" s="4">
        <f>IF(SUMIFS('Daily BSE Equity Cash'!$H:$H,'Daily BSE Equity Cash'!$A:$A,$A865)=0,"",SUMIFS('Daily BSE Equity Cash'!$H:$H,'Daily BSE Equity Cash'!$A:$A,$A865))</f>
        <v/>
      </c>
      <c r="G865" s="4">
        <f>IF(OR(E865="",F865=""),"",E865+F865)</f>
        <v/>
      </c>
      <c r="H865" s="7">
        <f>IFERROR(IF(OR(E865="",INDEX(E:E,MATCH(DATE(YEAR($A865)-1,MONTH($A865),DAY($A865)),$A:$A,0))=""),"",E865/INDEX(E:E,MATCH(DATE(YEAR($A865)-1,MONTH($A865),DAY($A865)),$A:$A,0))-1),"")</f>
        <v/>
      </c>
      <c r="I865" s="7">
        <f>IFERROR(IF(OR(F865="",INDEX(F:F,MATCH(DATE(YEAR($A865)-1,MONTH($A865),DAY($A865)),$A:$A,0))=""),"",F865/INDEX(F:F,MATCH(DATE(YEAR($A865)-1,MONTH($A865),DAY($A865)),$A:$A,0))-1),"")</f>
        <v/>
      </c>
      <c r="J865" s="7">
        <f>IFERROR(IF(OR(G865="",INDEX(G:G,MATCH(DATE(YEAR($A865)-1,MONTH($A865),DAY($A865)),$A:$A,0))=""),"",G865/INDEX(G:G,MATCH(DATE(YEAR($A865)-1,MONTH($A865),DAY($A865)),$A:$A,0))-1),"")</f>
        <v/>
      </c>
      <c r="K865" s="7">
        <f>IF(OR(E865="",E864=""),"",E865/E864-1)</f>
        <v/>
      </c>
      <c r="L865" s="7">
        <f>IF(OR(F865="",F864=""),"",F865/F864-1)</f>
        <v/>
      </c>
      <c r="M865" s="7">
        <f>IF(OR(G865="",G864=""),"",G865/G864-1)</f>
        <v/>
      </c>
      <c r="N865" s="7">
        <f>IF(G865="","",E865/G865)</f>
        <v/>
      </c>
      <c r="O865" s="7">
        <f>IF(G865="","",F865/G865)</f>
        <v/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4">
        <f>IF(SUMIFS('Daily NSE Equity Cash'!$H:$H,'Daily NSE Equity Cash'!$A:$A,$A866)=0,"",SUMIFS('Daily NSE Equity Cash'!$H:$H,'Daily NSE Equity Cash'!$A:$A,$A866))</f>
        <v/>
      </c>
      <c r="F866" s="4">
        <f>IF(SUMIFS('Daily BSE Equity Cash'!$H:$H,'Daily BSE Equity Cash'!$A:$A,$A866)=0,"",SUMIFS('Daily BSE Equity Cash'!$H:$H,'Daily BSE Equity Cash'!$A:$A,$A866))</f>
        <v/>
      </c>
      <c r="G866" s="4">
        <f>IF(OR(E866="",F866=""),"",E866+F866)</f>
        <v/>
      </c>
      <c r="H866" s="7">
        <f>IFERROR(IF(OR(E866="",INDEX(E:E,MATCH(DATE(YEAR($A866)-1,MONTH($A866),DAY($A866)),$A:$A,0))=""),"",E866/INDEX(E:E,MATCH(DATE(YEAR($A866)-1,MONTH($A866),DAY($A866)),$A:$A,0))-1),"")</f>
        <v/>
      </c>
      <c r="I866" s="7">
        <f>IFERROR(IF(OR(F866="",INDEX(F:F,MATCH(DATE(YEAR($A866)-1,MONTH($A866),DAY($A866)),$A:$A,0))=""),"",F866/INDEX(F:F,MATCH(DATE(YEAR($A866)-1,MONTH($A866),DAY($A866)),$A:$A,0))-1),"")</f>
        <v/>
      </c>
      <c r="J866" s="7">
        <f>IFERROR(IF(OR(G866="",INDEX(G:G,MATCH(DATE(YEAR($A866)-1,MONTH($A866),DAY($A866)),$A:$A,0))=""),"",G866/INDEX(G:G,MATCH(DATE(YEAR($A866)-1,MONTH($A866),DAY($A866)),$A:$A,0))-1),"")</f>
        <v/>
      </c>
      <c r="K866" s="7">
        <f>IF(OR(E866="",E865=""),"",E866/E865-1)</f>
        <v/>
      </c>
      <c r="L866" s="7">
        <f>IF(OR(F866="",F865=""),"",F866/F865-1)</f>
        <v/>
      </c>
      <c r="M866" s="7">
        <f>IF(OR(G866="",G865=""),"",G866/G865-1)</f>
        <v/>
      </c>
      <c r="N866" s="7">
        <f>IF(G866="","",E866/G866)</f>
        <v/>
      </c>
      <c r="O866" s="7">
        <f>IF(G866="","",F866/G866)</f>
        <v/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4">
        <f>IF(SUMIFS('Daily NSE Equity Cash'!$H:$H,'Daily NSE Equity Cash'!$A:$A,$A867)=0,"",SUMIFS('Daily NSE Equity Cash'!$H:$H,'Daily NSE Equity Cash'!$A:$A,$A867))</f>
        <v/>
      </c>
      <c r="F867" s="4">
        <f>IF(SUMIFS('Daily BSE Equity Cash'!$H:$H,'Daily BSE Equity Cash'!$A:$A,$A867)=0,"",SUMIFS('Daily BSE Equity Cash'!$H:$H,'Daily BSE Equity Cash'!$A:$A,$A867))</f>
        <v/>
      </c>
      <c r="G867" s="4">
        <f>IF(OR(E867="",F867=""),"",E867+F867)</f>
        <v/>
      </c>
      <c r="H867" s="7">
        <f>IFERROR(IF(OR(E867="",INDEX(E:E,MATCH(DATE(YEAR($A867)-1,MONTH($A867),DAY($A867)),$A:$A,0))=""),"",E867/INDEX(E:E,MATCH(DATE(YEAR($A867)-1,MONTH($A867),DAY($A867)),$A:$A,0))-1),"")</f>
        <v/>
      </c>
      <c r="I867" s="7">
        <f>IFERROR(IF(OR(F867="",INDEX(F:F,MATCH(DATE(YEAR($A867)-1,MONTH($A867),DAY($A867)),$A:$A,0))=""),"",F867/INDEX(F:F,MATCH(DATE(YEAR($A867)-1,MONTH($A867),DAY($A867)),$A:$A,0))-1),"")</f>
        <v/>
      </c>
      <c r="J867" s="7">
        <f>IFERROR(IF(OR(G867="",INDEX(G:G,MATCH(DATE(YEAR($A867)-1,MONTH($A867),DAY($A867)),$A:$A,0))=""),"",G867/INDEX(G:G,MATCH(DATE(YEAR($A867)-1,MONTH($A867),DAY($A867)),$A:$A,0))-1),"")</f>
        <v/>
      </c>
      <c r="K867" s="7">
        <f>IF(OR(E867="",E866=""),"",E867/E866-1)</f>
        <v/>
      </c>
      <c r="L867" s="7">
        <f>IF(OR(F867="",F866=""),"",F867/F866-1)</f>
        <v/>
      </c>
      <c r="M867" s="7">
        <f>IF(OR(G867="",G866=""),"",G867/G866-1)</f>
        <v/>
      </c>
      <c r="N867" s="7">
        <f>IF(G867="","",E867/G867)</f>
        <v/>
      </c>
      <c r="O867" s="7">
        <f>IF(G867="","",F867/G867)</f>
        <v/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4">
        <f>IF(SUMIFS('Daily NSE Equity Cash'!$H:$H,'Daily NSE Equity Cash'!$A:$A,$A868)=0,"",SUMIFS('Daily NSE Equity Cash'!$H:$H,'Daily NSE Equity Cash'!$A:$A,$A868))</f>
        <v/>
      </c>
      <c r="F868" s="4">
        <f>IF(SUMIFS('Daily BSE Equity Cash'!$H:$H,'Daily BSE Equity Cash'!$A:$A,$A868)=0,"",SUMIFS('Daily BSE Equity Cash'!$H:$H,'Daily BSE Equity Cash'!$A:$A,$A868))</f>
        <v/>
      </c>
      <c r="G868" s="4">
        <f>IF(OR(E868="",F868=""),"",E868+F868)</f>
        <v/>
      </c>
      <c r="H868" s="7">
        <f>IFERROR(IF(OR(E868="",INDEX(E:E,MATCH(DATE(YEAR($A868)-1,MONTH($A868),DAY($A868)),$A:$A,0))=""),"",E868/INDEX(E:E,MATCH(DATE(YEAR($A868)-1,MONTH($A868),DAY($A868)),$A:$A,0))-1),"")</f>
        <v/>
      </c>
      <c r="I868" s="7">
        <f>IFERROR(IF(OR(F868="",INDEX(F:F,MATCH(DATE(YEAR($A868)-1,MONTH($A868),DAY($A868)),$A:$A,0))=""),"",F868/INDEX(F:F,MATCH(DATE(YEAR($A868)-1,MONTH($A868),DAY($A868)),$A:$A,0))-1),"")</f>
        <v/>
      </c>
      <c r="J868" s="7">
        <f>IFERROR(IF(OR(G868="",INDEX(G:G,MATCH(DATE(YEAR($A868)-1,MONTH($A868),DAY($A868)),$A:$A,0))=""),"",G868/INDEX(G:G,MATCH(DATE(YEAR($A868)-1,MONTH($A868),DAY($A868)),$A:$A,0))-1),"")</f>
        <v/>
      </c>
      <c r="K868" s="7">
        <f>IF(OR(E868="",E867=""),"",E868/E867-1)</f>
        <v/>
      </c>
      <c r="L868" s="7">
        <f>IF(OR(F868="",F867=""),"",F868/F867-1)</f>
        <v/>
      </c>
      <c r="M868" s="7">
        <f>IF(OR(G868="",G867=""),"",G868/G867-1)</f>
        <v/>
      </c>
      <c r="N868" s="7">
        <f>IF(G868="","",E868/G868)</f>
        <v/>
      </c>
      <c r="O868" s="7">
        <f>IF(G868="","",F868/G868)</f>
        <v/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4">
        <f>IF(SUMIFS('Daily NSE Equity Cash'!$H:$H,'Daily NSE Equity Cash'!$A:$A,$A869)=0,"",SUMIFS('Daily NSE Equity Cash'!$H:$H,'Daily NSE Equity Cash'!$A:$A,$A869))</f>
        <v/>
      </c>
      <c r="F869" s="4">
        <f>IF(SUMIFS('Daily BSE Equity Cash'!$H:$H,'Daily BSE Equity Cash'!$A:$A,$A869)=0,"",SUMIFS('Daily BSE Equity Cash'!$H:$H,'Daily BSE Equity Cash'!$A:$A,$A869))</f>
        <v/>
      </c>
      <c r="G869" s="4">
        <f>IF(OR(E869="",F869=""),"",E869+F869)</f>
        <v/>
      </c>
      <c r="H869" s="7">
        <f>IFERROR(IF(OR(E869="",INDEX(E:E,MATCH(DATE(YEAR($A869)-1,MONTH($A869),DAY($A869)),$A:$A,0))=""),"",E869/INDEX(E:E,MATCH(DATE(YEAR($A869)-1,MONTH($A869),DAY($A869)),$A:$A,0))-1),"")</f>
        <v/>
      </c>
      <c r="I869" s="7">
        <f>IFERROR(IF(OR(F869="",INDEX(F:F,MATCH(DATE(YEAR($A869)-1,MONTH($A869),DAY($A869)),$A:$A,0))=""),"",F869/INDEX(F:F,MATCH(DATE(YEAR($A869)-1,MONTH($A869),DAY($A869)),$A:$A,0))-1),"")</f>
        <v/>
      </c>
      <c r="J869" s="7">
        <f>IFERROR(IF(OR(G869="",INDEX(G:G,MATCH(DATE(YEAR($A869)-1,MONTH($A869),DAY($A869)),$A:$A,0))=""),"",G869/INDEX(G:G,MATCH(DATE(YEAR($A869)-1,MONTH($A869),DAY($A869)),$A:$A,0))-1),"")</f>
        <v/>
      </c>
      <c r="K869" s="7">
        <f>IF(OR(E869="",E868=""),"",E869/E868-1)</f>
        <v/>
      </c>
      <c r="L869" s="7">
        <f>IF(OR(F869="",F868=""),"",F869/F868-1)</f>
        <v/>
      </c>
      <c r="M869" s="7">
        <f>IF(OR(G869="",G868=""),"",G869/G868-1)</f>
        <v/>
      </c>
      <c r="N869" s="7">
        <f>IF(G869="","",E869/G869)</f>
        <v/>
      </c>
      <c r="O869" s="7">
        <f>IF(G869="","",F869/G869)</f>
        <v/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4">
        <f>IF(SUMIFS('Daily NSE Equity Cash'!$H:$H,'Daily NSE Equity Cash'!$A:$A,$A870)=0,"",SUMIFS('Daily NSE Equity Cash'!$H:$H,'Daily NSE Equity Cash'!$A:$A,$A870))</f>
        <v/>
      </c>
      <c r="F870" s="4">
        <f>IF(SUMIFS('Daily BSE Equity Cash'!$H:$H,'Daily BSE Equity Cash'!$A:$A,$A870)=0,"",SUMIFS('Daily BSE Equity Cash'!$H:$H,'Daily BSE Equity Cash'!$A:$A,$A870))</f>
        <v/>
      </c>
      <c r="G870" s="4">
        <f>IF(OR(E870="",F870=""),"",E870+F870)</f>
        <v/>
      </c>
      <c r="H870" s="7">
        <f>IFERROR(IF(OR(E870="",INDEX(E:E,MATCH(DATE(YEAR($A870)-1,MONTH($A870),DAY($A870)),$A:$A,0))=""),"",E870/INDEX(E:E,MATCH(DATE(YEAR($A870)-1,MONTH($A870),DAY($A870)),$A:$A,0))-1),"")</f>
        <v/>
      </c>
      <c r="I870" s="7">
        <f>IFERROR(IF(OR(F870="",INDEX(F:F,MATCH(DATE(YEAR($A870)-1,MONTH($A870),DAY($A870)),$A:$A,0))=""),"",F870/INDEX(F:F,MATCH(DATE(YEAR($A870)-1,MONTH($A870),DAY($A870)),$A:$A,0))-1),"")</f>
        <v/>
      </c>
      <c r="J870" s="7">
        <f>IFERROR(IF(OR(G870="",INDEX(G:G,MATCH(DATE(YEAR($A870)-1,MONTH($A870),DAY($A870)),$A:$A,0))=""),"",G870/INDEX(G:G,MATCH(DATE(YEAR($A870)-1,MONTH($A870),DAY($A870)),$A:$A,0))-1),"")</f>
        <v/>
      </c>
      <c r="K870" s="7">
        <f>IF(OR(E870="",E869=""),"",E870/E869-1)</f>
        <v/>
      </c>
      <c r="L870" s="7">
        <f>IF(OR(F870="",F869=""),"",F870/F869-1)</f>
        <v/>
      </c>
      <c r="M870" s="7">
        <f>IF(OR(G870="",G869=""),"",G870/G869-1)</f>
        <v/>
      </c>
      <c r="N870" s="7">
        <f>IF(G870="","",E870/G870)</f>
        <v/>
      </c>
      <c r="O870" s="7">
        <f>IF(G870="","",F870/G870)</f>
        <v/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4">
        <f>IF(SUMIFS('Daily NSE Equity Cash'!$H:$H,'Daily NSE Equity Cash'!$A:$A,$A871)=0,"",SUMIFS('Daily NSE Equity Cash'!$H:$H,'Daily NSE Equity Cash'!$A:$A,$A871))</f>
        <v/>
      </c>
      <c r="F871" s="4">
        <f>IF(SUMIFS('Daily BSE Equity Cash'!$H:$H,'Daily BSE Equity Cash'!$A:$A,$A871)=0,"",SUMIFS('Daily BSE Equity Cash'!$H:$H,'Daily BSE Equity Cash'!$A:$A,$A871))</f>
        <v/>
      </c>
      <c r="G871" s="4">
        <f>IF(OR(E871="",F871=""),"",E871+F871)</f>
        <v/>
      </c>
      <c r="H871" s="7">
        <f>IFERROR(IF(OR(E871="",INDEX(E:E,MATCH(DATE(YEAR($A871)-1,MONTH($A871),DAY($A871)),$A:$A,0))=""),"",E871/INDEX(E:E,MATCH(DATE(YEAR($A871)-1,MONTH($A871),DAY($A871)),$A:$A,0))-1),"")</f>
        <v/>
      </c>
      <c r="I871" s="7">
        <f>IFERROR(IF(OR(F871="",INDEX(F:F,MATCH(DATE(YEAR($A871)-1,MONTH($A871),DAY($A871)),$A:$A,0))=""),"",F871/INDEX(F:F,MATCH(DATE(YEAR($A871)-1,MONTH($A871),DAY($A871)),$A:$A,0))-1),"")</f>
        <v/>
      </c>
      <c r="J871" s="7">
        <f>IFERROR(IF(OR(G871="",INDEX(G:G,MATCH(DATE(YEAR($A871)-1,MONTH($A871),DAY($A871)),$A:$A,0))=""),"",G871/INDEX(G:G,MATCH(DATE(YEAR($A871)-1,MONTH($A871),DAY($A871)),$A:$A,0))-1),"")</f>
        <v/>
      </c>
      <c r="K871" s="7">
        <f>IF(OR(E871="",E870=""),"",E871/E870-1)</f>
        <v/>
      </c>
      <c r="L871" s="7">
        <f>IF(OR(F871="",F870=""),"",F871/F870-1)</f>
        <v/>
      </c>
      <c r="M871" s="7">
        <f>IF(OR(G871="",G870=""),"",G871/G870-1)</f>
        <v/>
      </c>
      <c r="N871" s="7">
        <f>IF(G871="","",E871/G871)</f>
        <v/>
      </c>
      <c r="O871" s="7">
        <f>IF(G871="","",F871/G871)</f>
        <v/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4">
        <f>IF(SUMIFS('Daily NSE Equity Cash'!$H:$H,'Daily NSE Equity Cash'!$A:$A,$A872)=0,"",SUMIFS('Daily NSE Equity Cash'!$H:$H,'Daily NSE Equity Cash'!$A:$A,$A872))</f>
        <v/>
      </c>
      <c r="F872" s="4">
        <f>IF(SUMIFS('Daily BSE Equity Cash'!$H:$H,'Daily BSE Equity Cash'!$A:$A,$A872)=0,"",SUMIFS('Daily BSE Equity Cash'!$H:$H,'Daily BSE Equity Cash'!$A:$A,$A872))</f>
        <v/>
      </c>
      <c r="G872" s="4">
        <f>IF(OR(E872="",F872=""),"",E872+F872)</f>
        <v/>
      </c>
      <c r="H872" s="7">
        <f>IFERROR(IF(OR(E872="",INDEX(E:E,MATCH(DATE(YEAR($A872)-1,MONTH($A872),DAY($A872)),$A:$A,0))=""),"",E872/INDEX(E:E,MATCH(DATE(YEAR($A872)-1,MONTH($A872),DAY($A872)),$A:$A,0))-1),"")</f>
        <v/>
      </c>
      <c r="I872" s="7">
        <f>IFERROR(IF(OR(F872="",INDEX(F:F,MATCH(DATE(YEAR($A872)-1,MONTH($A872),DAY($A872)),$A:$A,0))=""),"",F872/INDEX(F:F,MATCH(DATE(YEAR($A872)-1,MONTH($A872),DAY($A872)),$A:$A,0))-1),"")</f>
        <v/>
      </c>
      <c r="J872" s="7">
        <f>IFERROR(IF(OR(G872="",INDEX(G:G,MATCH(DATE(YEAR($A872)-1,MONTH($A872),DAY($A872)),$A:$A,0))=""),"",G872/INDEX(G:G,MATCH(DATE(YEAR($A872)-1,MONTH($A872),DAY($A872)),$A:$A,0))-1),"")</f>
        <v/>
      </c>
      <c r="K872" s="7">
        <f>IF(OR(E872="",E871=""),"",E872/E871-1)</f>
        <v/>
      </c>
      <c r="L872" s="7">
        <f>IF(OR(F872="",F871=""),"",F872/F871-1)</f>
        <v/>
      </c>
      <c r="M872" s="7">
        <f>IF(OR(G872="",G871=""),"",G872/G871-1)</f>
        <v/>
      </c>
      <c r="N872" s="7">
        <f>IF(G872="","",E872/G872)</f>
        <v/>
      </c>
      <c r="O872" s="7">
        <f>IF(G872="","",F872/G872)</f>
        <v/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4">
        <f>IF(SUMIFS('Daily NSE Equity Cash'!$H:$H,'Daily NSE Equity Cash'!$A:$A,$A873)=0,"",SUMIFS('Daily NSE Equity Cash'!$H:$H,'Daily NSE Equity Cash'!$A:$A,$A873))</f>
        <v/>
      </c>
      <c r="F873" s="4">
        <f>IF(SUMIFS('Daily BSE Equity Cash'!$H:$H,'Daily BSE Equity Cash'!$A:$A,$A873)=0,"",SUMIFS('Daily BSE Equity Cash'!$H:$H,'Daily BSE Equity Cash'!$A:$A,$A873))</f>
        <v/>
      </c>
      <c r="G873" s="4">
        <f>IF(OR(E873="",F873=""),"",E873+F873)</f>
        <v/>
      </c>
      <c r="H873" s="7">
        <f>IFERROR(IF(OR(E873="",INDEX(E:E,MATCH(DATE(YEAR($A873)-1,MONTH($A873),DAY($A873)),$A:$A,0))=""),"",E873/INDEX(E:E,MATCH(DATE(YEAR($A873)-1,MONTH($A873),DAY($A873)),$A:$A,0))-1),"")</f>
        <v/>
      </c>
      <c r="I873" s="7">
        <f>IFERROR(IF(OR(F873="",INDEX(F:F,MATCH(DATE(YEAR($A873)-1,MONTH($A873),DAY($A873)),$A:$A,0))=""),"",F873/INDEX(F:F,MATCH(DATE(YEAR($A873)-1,MONTH($A873),DAY($A873)),$A:$A,0))-1),"")</f>
        <v/>
      </c>
      <c r="J873" s="7">
        <f>IFERROR(IF(OR(G873="",INDEX(G:G,MATCH(DATE(YEAR($A873)-1,MONTH($A873),DAY($A873)),$A:$A,0))=""),"",G873/INDEX(G:G,MATCH(DATE(YEAR($A873)-1,MONTH($A873),DAY($A873)),$A:$A,0))-1),"")</f>
        <v/>
      </c>
      <c r="K873" s="7">
        <f>IF(OR(E873="",E872=""),"",E873/E872-1)</f>
        <v/>
      </c>
      <c r="L873" s="7">
        <f>IF(OR(F873="",F872=""),"",F873/F872-1)</f>
        <v/>
      </c>
      <c r="M873" s="7">
        <f>IF(OR(G873="",G872=""),"",G873/G872-1)</f>
        <v/>
      </c>
      <c r="N873" s="7">
        <f>IF(G873="","",E873/G873)</f>
        <v/>
      </c>
      <c r="O873" s="7">
        <f>IF(G873="","",F873/G873)</f>
        <v/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4">
        <f>IF(SUMIFS('Daily NSE Equity Cash'!$H:$H,'Daily NSE Equity Cash'!$A:$A,$A874)=0,"",SUMIFS('Daily NSE Equity Cash'!$H:$H,'Daily NSE Equity Cash'!$A:$A,$A874))</f>
        <v/>
      </c>
      <c r="F874" s="4">
        <f>IF(SUMIFS('Daily BSE Equity Cash'!$H:$H,'Daily BSE Equity Cash'!$A:$A,$A874)=0,"",SUMIFS('Daily BSE Equity Cash'!$H:$H,'Daily BSE Equity Cash'!$A:$A,$A874))</f>
        <v/>
      </c>
      <c r="G874" s="4">
        <f>IF(OR(E874="",F874=""),"",E874+F874)</f>
        <v/>
      </c>
      <c r="H874" s="7">
        <f>IFERROR(IF(OR(E874="",INDEX(E:E,MATCH(DATE(YEAR($A874)-1,MONTH($A874),DAY($A874)),$A:$A,0))=""),"",E874/INDEX(E:E,MATCH(DATE(YEAR($A874)-1,MONTH($A874),DAY($A874)),$A:$A,0))-1),"")</f>
        <v/>
      </c>
      <c r="I874" s="7">
        <f>IFERROR(IF(OR(F874="",INDEX(F:F,MATCH(DATE(YEAR($A874)-1,MONTH($A874),DAY($A874)),$A:$A,0))=""),"",F874/INDEX(F:F,MATCH(DATE(YEAR($A874)-1,MONTH($A874),DAY($A874)),$A:$A,0))-1),"")</f>
        <v/>
      </c>
      <c r="J874" s="7">
        <f>IFERROR(IF(OR(G874="",INDEX(G:G,MATCH(DATE(YEAR($A874)-1,MONTH($A874),DAY($A874)),$A:$A,0))=""),"",G874/INDEX(G:G,MATCH(DATE(YEAR($A874)-1,MONTH($A874),DAY($A874)),$A:$A,0))-1),"")</f>
        <v/>
      </c>
      <c r="K874" s="7">
        <f>IF(OR(E874="",E873=""),"",E874/E873-1)</f>
        <v/>
      </c>
      <c r="L874" s="7">
        <f>IF(OR(F874="",F873=""),"",F874/F873-1)</f>
        <v/>
      </c>
      <c r="M874" s="7">
        <f>IF(OR(G874="",G873=""),"",G874/G873-1)</f>
        <v/>
      </c>
      <c r="N874" s="7">
        <f>IF(G874="","",E874/G874)</f>
        <v/>
      </c>
      <c r="O874" s="7">
        <f>IF(G874="","",F874/G874)</f>
        <v/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4">
        <f>IF(SUMIFS('Daily NSE Equity Cash'!$H:$H,'Daily NSE Equity Cash'!$A:$A,$A875)=0,"",SUMIFS('Daily NSE Equity Cash'!$H:$H,'Daily NSE Equity Cash'!$A:$A,$A875))</f>
        <v/>
      </c>
      <c r="F875" s="4">
        <f>IF(SUMIFS('Daily BSE Equity Cash'!$H:$H,'Daily BSE Equity Cash'!$A:$A,$A875)=0,"",SUMIFS('Daily BSE Equity Cash'!$H:$H,'Daily BSE Equity Cash'!$A:$A,$A875))</f>
        <v/>
      </c>
      <c r="G875" s="4">
        <f>IF(OR(E875="",F875=""),"",E875+F875)</f>
        <v/>
      </c>
      <c r="H875" s="7">
        <f>IFERROR(IF(OR(E875="",INDEX(E:E,MATCH(DATE(YEAR($A875)-1,MONTH($A875),DAY($A875)),$A:$A,0))=""),"",E875/INDEX(E:E,MATCH(DATE(YEAR($A875)-1,MONTH($A875),DAY($A875)),$A:$A,0))-1),"")</f>
        <v/>
      </c>
      <c r="I875" s="7">
        <f>IFERROR(IF(OR(F875="",INDEX(F:F,MATCH(DATE(YEAR($A875)-1,MONTH($A875),DAY($A875)),$A:$A,0))=""),"",F875/INDEX(F:F,MATCH(DATE(YEAR($A875)-1,MONTH($A875),DAY($A875)),$A:$A,0))-1),"")</f>
        <v/>
      </c>
      <c r="J875" s="7">
        <f>IFERROR(IF(OR(G875="",INDEX(G:G,MATCH(DATE(YEAR($A875)-1,MONTH($A875),DAY($A875)),$A:$A,0))=""),"",G875/INDEX(G:G,MATCH(DATE(YEAR($A875)-1,MONTH($A875),DAY($A875)),$A:$A,0))-1),"")</f>
        <v/>
      </c>
      <c r="K875" s="7">
        <f>IF(OR(E875="",E874=""),"",E875/E874-1)</f>
        <v/>
      </c>
      <c r="L875" s="7">
        <f>IF(OR(F875="",F874=""),"",F875/F874-1)</f>
        <v/>
      </c>
      <c r="M875" s="7">
        <f>IF(OR(G875="",G874=""),"",G875/G874-1)</f>
        <v/>
      </c>
      <c r="N875" s="7">
        <f>IF(G875="","",E875/G875)</f>
        <v/>
      </c>
      <c r="O875" s="7">
        <f>IF(G875="","",F875/G875)</f>
        <v/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4">
        <f>IF(SUMIFS('Daily NSE Equity Cash'!$H:$H,'Daily NSE Equity Cash'!$A:$A,$A876)=0,"",SUMIFS('Daily NSE Equity Cash'!$H:$H,'Daily NSE Equity Cash'!$A:$A,$A876))</f>
        <v/>
      </c>
      <c r="F876" s="4">
        <f>IF(SUMIFS('Daily BSE Equity Cash'!$H:$H,'Daily BSE Equity Cash'!$A:$A,$A876)=0,"",SUMIFS('Daily BSE Equity Cash'!$H:$H,'Daily BSE Equity Cash'!$A:$A,$A876))</f>
        <v/>
      </c>
      <c r="G876" s="4">
        <f>IF(OR(E876="",F876=""),"",E876+F876)</f>
        <v/>
      </c>
      <c r="H876" s="7">
        <f>IFERROR(IF(OR(E876="",INDEX(E:E,MATCH(DATE(YEAR($A876)-1,MONTH($A876),DAY($A876)),$A:$A,0))=""),"",E876/INDEX(E:E,MATCH(DATE(YEAR($A876)-1,MONTH($A876),DAY($A876)),$A:$A,0))-1),"")</f>
        <v/>
      </c>
      <c r="I876" s="7">
        <f>IFERROR(IF(OR(F876="",INDEX(F:F,MATCH(DATE(YEAR($A876)-1,MONTH($A876),DAY($A876)),$A:$A,0))=""),"",F876/INDEX(F:F,MATCH(DATE(YEAR($A876)-1,MONTH($A876),DAY($A876)),$A:$A,0))-1),"")</f>
        <v/>
      </c>
      <c r="J876" s="7">
        <f>IFERROR(IF(OR(G876="",INDEX(G:G,MATCH(DATE(YEAR($A876)-1,MONTH($A876),DAY($A876)),$A:$A,0))=""),"",G876/INDEX(G:G,MATCH(DATE(YEAR($A876)-1,MONTH($A876),DAY($A876)),$A:$A,0))-1),"")</f>
        <v/>
      </c>
      <c r="K876" s="7">
        <f>IF(OR(E876="",E875=""),"",E876/E875-1)</f>
        <v/>
      </c>
      <c r="L876" s="7">
        <f>IF(OR(F876="",F875=""),"",F876/F875-1)</f>
        <v/>
      </c>
      <c r="M876" s="7">
        <f>IF(OR(G876="",G875=""),"",G876/G875-1)</f>
        <v/>
      </c>
      <c r="N876" s="7">
        <f>IF(G876="","",E876/G876)</f>
        <v/>
      </c>
      <c r="O876" s="7">
        <f>IF(G876="","",F876/G876)</f>
        <v/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4">
        <f>IF(SUMIFS('Daily NSE Equity Cash'!$H:$H,'Daily NSE Equity Cash'!$A:$A,$A877)=0,"",SUMIFS('Daily NSE Equity Cash'!$H:$H,'Daily NSE Equity Cash'!$A:$A,$A877))</f>
        <v/>
      </c>
      <c r="F877" s="4">
        <f>IF(SUMIFS('Daily BSE Equity Cash'!$H:$H,'Daily BSE Equity Cash'!$A:$A,$A877)=0,"",SUMIFS('Daily BSE Equity Cash'!$H:$H,'Daily BSE Equity Cash'!$A:$A,$A877))</f>
        <v/>
      </c>
      <c r="G877" s="4">
        <f>IF(OR(E877="",F877=""),"",E877+F877)</f>
        <v/>
      </c>
      <c r="H877" s="7">
        <f>IFERROR(IF(OR(E877="",INDEX(E:E,MATCH(DATE(YEAR($A877)-1,MONTH($A877),DAY($A877)),$A:$A,0))=""),"",E877/INDEX(E:E,MATCH(DATE(YEAR($A877)-1,MONTH($A877),DAY($A877)),$A:$A,0))-1),"")</f>
        <v/>
      </c>
      <c r="I877" s="7">
        <f>IFERROR(IF(OR(F877="",INDEX(F:F,MATCH(DATE(YEAR($A877)-1,MONTH($A877),DAY($A877)),$A:$A,0))=""),"",F877/INDEX(F:F,MATCH(DATE(YEAR($A877)-1,MONTH($A877),DAY($A877)),$A:$A,0))-1),"")</f>
        <v/>
      </c>
      <c r="J877" s="7">
        <f>IFERROR(IF(OR(G877="",INDEX(G:G,MATCH(DATE(YEAR($A877)-1,MONTH($A877),DAY($A877)),$A:$A,0))=""),"",G877/INDEX(G:G,MATCH(DATE(YEAR($A877)-1,MONTH($A877),DAY($A877)),$A:$A,0))-1),"")</f>
        <v/>
      </c>
      <c r="K877" s="7">
        <f>IF(OR(E877="",E876=""),"",E877/E876-1)</f>
        <v/>
      </c>
      <c r="L877" s="7">
        <f>IF(OR(F877="",F876=""),"",F877/F876-1)</f>
        <v/>
      </c>
      <c r="M877" s="7">
        <f>IF(OR(G877="",G876=""),"",G877/G876-1)</f>
        <v/>
      </c>
      <c r="N877" s="7">
        <f>IF(G877="","",E877/G877)</f>
        <v/>
      </c>
      <c r="O877" s="7">
        <f>IF(G877="","",F877/G877)</f>
        <v/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4">
        <f>IF(SUMIFS('Daily NSE Equity Cash'!$H:$H,'Daily NSE Equity Cash'!$A:$A,$A878)=0,"",SUMIFS('Daily NSE Equity Cash'!$H:$H,'Daily NSE Equity Cash'!$A:$A,$A878))</f>
        <v/>
      </c>
      <c r="F878" s="4">
        <f>IF(SUMIFS('Daily BSE Equity Cash'!$H:$H,'Daily BSE Equity Cash'!$A:$A,$A878)=0,"",SUMIFS('Daily BSE Equity Cash'!$H:$H,'Daily BSE Equity Cash'!$A:$A,$A878))</f>
        <v/>
      </c>
      <c r="G878" s="4">
        <f>IF(OR(E878="",F878=""),"",E878+F878)</f>
        <v/>
      </c>
      <c r="H878" s="7">
        <f>IFERROR(IF(OR(E878="",INDEX(E:E,MATCH(DATE(YEAR($A878)-1,MONTH($A878),DAY($A878)),$A:$A,0))=""),"",E878/INDEX(E:E,MATCH(DATE(YEAR($A878)-1,MONTH($A878),DAY($A878)),$A:$A,0))-1),"")</f>
        <v/>
      </c>
      <c r="I878" s="7">
        <f>IFERROR(IF(OR(F878="",INDEX(F:F,MATCH(DATE(YEAR($A878)-1,MONTH($A878),DAY($A878)),$A:$A,0))=""),"",F878/INDEX(F:F,MATCH(DATE(YEAR($A878)-1,MONTH($A878),DAY($A878)),$A:$A,0))-1),"")</f>
        <v/>
      </c>
      <c r="J878" s="7">
        <f>IFERROR(IF(OR(G878="",INDEX(G:G,MATCH(DATE(YEAR($A878)-1,MONTH($A878),DAY($A878)),$A:$A,0))=""),"",G878/INDEX(G:G,MATCH(DATE(YEAR($A878)-1,MONTH($A878),DAY($A878)),$A:$A,0))-1),"")</f>
        <v/>
      </c>
      <c r="K878" s="7">
        <f>IF(OR(E878="",E877=""),"",E878/E877-1)</f>
        <v/>
      </c>
      <c r="L878" s="7">
        <f>IF(OR(F878="",F877=""),"",F878/F877-1)</f>
        <v/>
      </c>
      <c r="M878" s="7">
        <f>IF(OR(G878="",G877=""),"",G878/G877-1)</f>
        <v/>
      </c>
      <c r="N878" s="7">
        <f>IF(G878="","",E878/G878)</f>
        <v/>
      </c>
      <c r="O878" s="7">
        <f>IF(G878="","",F878/G878)</f>
        <v/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4">
        <f>IF(SUMIFS('Daily NSE Equity Cash'!$H:$H,'Daily NSE Equity Cash'!$A:$A,$A879)=0,"",SUMIFS('Daily NSE Equity Cash'!$H:$H,'Daily NSE Equity Cash'!$A:$A,$A879))</f>
        <v/>
      </c>
      <c r="F879" s="4">
        <f>IF(SUMIFS('Daily BSE Equity Cash'!$H:$H,'Daily BSE Equity Cash'!$A:$A,$A879)=0,"",SUMIFS('Daily BSE Equity Cash'!$H:$H,'Daily BSE Equity Cash'!$A:$A,$A879))</f>
        <v/>
      </c>
      <c r="G879" s="4">
        <f>IF(OR(E879="",F879=""),"",E879+F879)</f>
        <v/>
      </c>
      <c r="H879" s="7">
        <f>IFERROR(IF(OR(E879="",INDEX(E:E,MATCH(DATE(YEAR($A879)-1,MONTH($A879),DAY($A879)),$A:$A,0))=""),"",E879/INDEX(E:E,MATCH(DATE(YEAR($A879)-1,MONTH($A879),DAY($A879)),$A:$A,0))-1),"")</f>
        <v/>
      </c>
      <c r="I879" s="7">
        <f>IFERROR(IF(OR(F879="",INDEX(F:F,MATCH(DATE(YEAR($A879)-1,MONTH($A879),DAY($A879)),$A:$A,0))=""),"",F879/INDEX(F:F,MATCH(DATE(YEAR($A879)-1,MONTH($A879),DAY($A879)),$A:$A,0))-1),"")</f>
        <v/>
      </c>
      <c r="J879" s="7">
        <f>IFERROR(IF(OR(G879="",INDEX(G:G,MATCH(DATE(YEAR($A879)-1,MONTH($A879),DAY($A879)),$A:$A,0))=""),"",G879/INDEX(G:G,MATCH(DATE(YEAR($A879)-1,MONTH($A879),DAY($A879)),$A:$A,0))-1),"")</f>
        <v/>
      </c>
      <c r="K879" s="7">
        <f>IF(OR(E879="",E878=""),"",E879/E878-1)</f>
        <v/>
      </c>
      <c r="L879" s="7">
        <f>IF(OR(F879="",F878=""),"",F879/F878-1)</f>
        <v/>
      </c>
      <c r="M879" s="7">
        <f>IF(OR(G879="",G878=""),"",G879/G878-1)</f>
        <v/>
      </c>
      <c r="N879" s="7">
        <f>IF(G879="","",E879/G879)</f>
        <v/>
      </c>
      <c r="O879" s="7">
        <f>IF(G879="","",F879/G879)</f>
        <v/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4">
        <f>IF(SUMIFS('Daily NSE Equity Cash'!$H:$H,'Daily NSE Equity Cash'!$A:$A,$A880)=0,"",SUMIFS('Daily NSE Equity Cash'!$H:$H,'Daily NSE Equity Cash'!$A:$A,$A880))</f>
        <v/>
      </c>
      <c r="F880" s="4">
        <f>IF(SUMIFS('Daily BSE Equity Cash'!$H:$H,'Daily BSE Equity Cash'!$A:$A,$A880)=0,"",SUMIFS('Daily BSE Equity Cash'!$H:$H,'Daily BSE Equity Cash'!$A:$A,$A880))</f>
        <v/>
      </c>
      <c r="G880" s="4">
        <f>IF(OR(E880="",F880=""),"",E880+F880)</f>
        <v/>
      </c>
      <c r="H880" s="7">
        <f>IFERROR(IF(OR(E880="",INDEX(E:E,MATCH(DATE(YEAR($A880)-1,MONTH($A880),DAY($A880)),$A:$A,0))=""),"",E880/INDEX(E:E,MATCH(DATE(YEAR($A880)-1,MONTH($A880),DAY($A880)),$A:$A,0))-1),"")</f>
        <v/>
      </c>
      <c r="I880" s="7">
        <f>IFERROR(IF(OR(F880="",INDEX(F:F,MATCH(DATE(YEAR($A880)-1,MONTH($A880),DAY($A880)),$A:$A,0))=""),"",F880/INDEX(F:F,MATCH(DATE(YEAR($A880)-1,MONTH($A880),DAY($A880)),$A:$A,0))-1),"")</f>
        <v/>
      </c>
      <c r="J880" s="7">
        <f>IFERROR(IF(OR(G880="",INDEX(G:G,MATCH(DATE(YEAR($A880)-1,MONTH($A880),DAY($A880)),$A:$A,0))=""),"",G880/INDEX(G:G,MATCH(DATE(YEAR($A880)-1,MONTH($A880),DAY($A880)),$A:$A,0))-1),"")</f>
        <v/>
      </c>
      <c r="K880" s="7">
        <f>IF(OR(E880="",E879=""),"",E880/E879-1)</f>
        <v/>
      </c>
      <c r="L880" s="7">
        <f>IF(OR(F880="",F879=""),"",F880/F879-1)</f>
        <v/>
      </c>
      <c r="M880" s="7">
        <f>IF(OR(G880="",G879=""),"",G880/G879-1)</f>
        <v/>
      </c>
      <c r="N880" s="7">
        <f>IF(G880="","",E880/G880)</f>
        <v/>
      </c>
      <c r="O880" s="7">
        <f>IF(G880="","",F880/G880)</f>
        <v/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4">
        <f>IF(SUMIFS('Daily NSE Equity Cash'!$H:$H,'Daily NSE Equity Cash'!$A:$A,$A881)=0,"",SUMIFS('Daily NSE Equity Cash'!$H:$H,'Daily NSE Equity Cash'!$A:$A,$A881))</f>
        <v/>
      </c>
      <c r="F881" s="4">
        <f>IF(SUMIFS('Daily BSE Equity Cash'!$H:$H,'Daily BSE Equity Cash'!$A:$A,$A881)=0,"",SUMIFS('Daily BSE Equity Cash'!$H:$H,'Daily BSE Equity Cash'!$A:$A,$A881))</f>
        <v/>
      </c>
      <c r="G881" s="4">
        <f>IF(OR(E881="",F881=""),"",E881+F881)</f>
        <v/>
      </c>
      <c r="H881" s="7">
        <f>IFERROR(IF(OR(E881="",INDEX(E:E,MATCH(DATE(YEAR($A881)-1,MONTH($A881),DAY($A881)),$A:$A,0))=""),"",E881/INDEX(E:E,MATCH(DATE(YEAR($A881)-1,MONTH($A881),DAY($A881)),$A:$A,0))-1),"")</f>
        <v/>
      </c>
      <c r="I881" s="7">
        <f>IFERROR(IF(OR(F881="",INDEX(F:F,MATCH(DATE(YEAR($A881)-1,MONTH($A881),DAY($A881)),$A:$A,0))=""),"",F881/INDEX(F:F,MATCH(DATE(YEAR($A881)-1,MONTH($A881),DAY($A881)),$A:$A,0))-1),"")</f>
        <v/>
      </c>
      <c r="J881" s="7">
        <f>IFERROR(IF(OR(G881="",INDEX(G:G,MATCH(DATE(YEAR($A881)-1,MONTH($A881),DAY($A881)),$A:$A,0))=""),"",G881/INDEX(G:G,MATCH(DATE(YEAR($A881)-1,MONTH($A881),DAY($A881)),$A:$A,0))-1),"")</f>
        <v/>
      </c>
      <c r="K881" s="7">
        <f>IF(OR(E881="",E880=""),"",E881/E880-1)</f>
        <v/>
      </c>
      <c r="L881" s="7">
        <f>IF(OR(F881="",F880=""),"",F881/F880-1)</f>
        <v/>
      </c>
      <c r="M881" s="7">
        <f>IF(OR(G881="",G880=""),"",G881/G880-1)</f>
        <v/>
      </c>
      <c r="N881" s="7">
        <f>IF(G881="","",E881/G881)</f>
        <v/>
      </c>
      <c r="O881" s="7">
        <f>IF(G881="","",F881/G881)</f>
        <v/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4">
        <f>IF(SUMIFS('Daily NSE Equity Cash'!$H:$H,'Daily NSE Equity Cash'!$A:$A,$A882)=0,"",SUMIFS('Daily NSE Equity Cash'!$H:$H,'Daily NSE Equity Cash'!$A:$A,$A882))</f>
        <v/>
      </c>
      <c r="F882" s="4">
        <f>IF(SUMIFS('Daily BSE Equity Cash'!$H:$H,'Daily BSE Equity Cash'!$A:$A,$A882)=0,"",SUMIFS('Daily BSE Equity Cash'!$H:$H,'Daily BSE Equity Cash'!$A:$A,$A882))</f>
        <v/>
      </c>
      <c r="G882" s="4">
        <f>IF(OR(E882="",F882=""),"",E882+F882)</f>
        <v/>
      </c>
      <c r="H882" s="7">
        <f>IFERROR(IF(OR(E882="",INDEX(E:E,MATCH(DATE(YEAR($A882)-1,MONTH($A882),DAY($A882)),$A:$A,0))=""),"",E882/INDEX(E:E,MATCH(DATE(YEAR($A882)-1,MONTH($A882),DAY($A882)),$A:$A,0))-1),"")</f>
        <v/>
      </c>
      <c r="I882" s="7">
        <f>IFERROR(IF(OR(F882="",INDEX(F:F,MATCH(DATE(YEAR($A882)-1,MONTH($A882),DAY($A882)),$A:$A,0))=""),"",F882/INDEX(F:F,MATCH(DATE(YEAR($A882)-1,MONTH($A882),DAY($A882)),$A:$A,0))-1),"")</f>
        <v/>
      </c>
      <c r="J882" s="7">
        <f>IFERROR(IF(OR(G882="",INDEX(G:G,MATCH(DATE(YEAR($A882)-1,MONTH($A882),DAY($A882)),$A:$A,0))=""),"",G882/INDEX(G:G,MATCH(DATE(YEAR($A882)-1,MONTH($A882),DAY($A882)),$A:$A,0))-1),"")</f>
        <v/>
      </c>
      <c r="K882" s="7">
        <f>IF(OR(E882="",E881=""),"",E882/E881-1)</f>
        <v/>
      </c>
      <c r="L882" s="7">
        <f>IF(OR(F882="",F881=""),"",F882/F881-1)</f>
        <v/>
      </c>
      <c r="M882" s="7">
        <f>IF(OR(G882="",G881=""),"",G882/G881-1)</f>
        <v/>
      </c>
      <c r="N882" s="7">
        <f>IF(G882="","",E882/G882)</f>
        <v/>
      </c>
      <c r="O882" s="7">
        <f>IF(G882="","",F882/G882)</f>
        <v/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4">
        <f>IF(SUMIFS('Daily NSE Equity Cash'!$H:$H,'Daily NSE Equity Cash'!$A:$A,$A883)=0,"",SUMIFS('Daily NSE Equity Cash'!$H:$H,'Daily NSE Equity Cash'!$A:$A,$A883))</f>
        <v/>
      </c>
      <c r="F883" s="4">
        <f>IF(SUMIFS('Daily BSE Equity Cash'!$H:$H,'Daily BSE Equity Cash'!$A:$A,$A883)=0,"",SUMIFS('Daily BSE Equity Cash'!$H:$H,'Daily BSE Equity Cash'!$A:$A,$A883))</f>
        <v/>
      </c>
      <c r="G883" s="4">
        <f>IF(OR(E883="",F883=""),"",E883+F883)</f>
        <v/>
      </c>
      <c r="H883" s="7">
        <f>IFERROR(IF(OR(E883="",INDEX(E:E,MATCH(DATE(YEAR($A883)-1,MONTH($A883),DAY($A883)),$A:$A,0))=""),"",E883/INDEX(E:E,MATCH(DATE(YEAR($A883)-1,MONTH($A883),DAY($A883)),$A:$A,0))-1),"")</f>
        <v/>
      </c>
      <c r="I883" s="7">
        <f>IFERROR(IF(OR(F883="",INDEX(F:F,MATCH(DATE(YEAR($A883)-1,MONTH($A883),DAY($A883)),$A:$A,0))=""),"",F883/INDEX(F:F,MATCH(DATE(YEAR($A883)-1,MONTH($A883),DAY($A883)),$A:$A,0))-1),"")</f>
        <v/>
      </c>
      <c r="J883" s="7">
        <f>IFERROR(IF(OR(G883="",INDEX(G:G,MATCH(DATE(YEAR($A883)-1,MONTH($A883),DAY($A883)),$A:$A,0))=""),"",G883/INDEX(G:G,MATCH(DATE(YEAR($A883)-1,MONTH($A883),DAY($A883)),$A:$A,0))-1),"")</f>
        <v/>
      </c>
      <c r="K883" s="7">
        <f>IF(OR(E883="",E882=""),"",E883/E882-1)</f>
        <v/>
      </c>
      <c r="L883" s="7">
        <f>IF(OR(F883="",F882=""),"",F883/F882-1)</f>
        <v/>
      </c>
      <c r="M883" s="7">
        <f>IF(OR(G883="",G882=""),"",G883/G882-1)</f>
        <v/>
      </c>
      <c r="N883" s="7">
        <f>IF(G883="","",E883/G883)</f>
        <v/>
      </c>
      <c r="O883" s="7">
        <f>IF(G883="","",F883/G883)</f>
        <v/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4">
        <f>IF(SUMIFS('Daily NSE Equity Cash'!$H:$H,'Daily NSE Equity Cash'!$A:$A,$A884)=0,"",SUMIFS('Daily NSE Equity Cash'!$H:$H,'Daily NSE Equity Cash'!$A:$A,$A884))</f>
        <v/>
      </c>
      <c r="F884" s="4">
        <f>IF(SUMIFS('Daily BSE Equity Cash'!$H:$H,'Daily BSE Equity Cash'!$A:$A,$A884)=0,"",SUMIFS('Daily BSE Equity Cash'!$H:$H,'Daily BSE Equity Cash'!$A:$A,$A884))</f>
        <v/>
      </c>
      <c r="G884" s="4">
        <f>IF(OR(E884="",F884=""),"",E884+F884)</f>
        <v/>
      </c>
      <c r="H884" s="7">
        <f>IFERROR(IF(OR(E884="",INDEX(E:E,MATCH(DATE(YEAR($A884)-1,MONTH($A884),DAY($A884)),$A:$A,0))=""),"",E884/INDEX(E:E,MATCH(DATE(YEAR($A884)-1,MONTH($A884),DAY($A884)),$A:$A,0))-1),"")</f>
        <v/>
      </c>
      <c r="I884" s="7">
        <f>IFERROR(IF(OR(F884="",INDEX(F:F,MATCH(DATE(YEAR($A884)-1,MONTH($A884),DAY($A884)),$A:$A,0))=""),"",F884/INDEX(F:F,MATCH(DATE(YEAR($A884)-1,MONTH($A884),DAY($A884)),$A:$A,0))-1),"")</f>
        <v/>
      </c>
      <c r="J884" s="7">
        <f>IFERROR(IF(OR(G884="",INDEX(G:G,MATCH(DATE(YEAR($A884)-1,MONTH($A884),DAY($A884)),$A:$A,0))=""),"",G884/INDEX(G:G,MATCH(DATE(YEAR($A884)-1,MONTH($A884),DAY($A884)),$A:$A,0))-1),"")</f>
        <v/>
      </c>
      <c r="K884" s="7">
        <f>IF(OR(E884="",E883=""),"",E884/E883-1)</f>
        <v/>
      </c>
      <c r="L884" s="7">
        <f>IF(OR(F884="",F883=""),"",F884/F883-1)</f>
        <v/>
      </c>
      <c r="M884" s="7">
        <f>IF(OR(G884="",G883=""),"",G884/G883-1)</f>
        <v/>
      </c>
      <c r="N884" s="7">
        <f>IF(G884="","",E884/G884)</f>
        <v/>
      </c>
      <c r="O884" s="7">
        <f>IF(G884="","",F884/G884)</f>
        <v/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4">
        <f>IF(SUMIFS('Daily NSE Equity Cash'!$H:$H,'Daily NSE Equity Cash'!$A:$A,$A885)=0,"",SUMIFS('Daily NSE Equity Cash'!$H:$H,'Daily NSE Equity Cash'!$A:$A,$A885))</f>
        <v/>
      </c>
      <c r="F885" s="4">
        <f>IF(SUMIFS('Daily BSE Equity Cash'!$H:$H,'Daily BSE Equity Cash'!$A:$A,$A885)=0,"",SUMIFS('Daily BSE Equity Cash'!$H:$H,'Daily BSE Equity Cash'!$A:$A,$A885))</f>
        <v/>
      </c>
      <c r="G885" s="4">
        <f>IF(OR(E885="",F885=""),"",E885+F885)</f>
        <v/>
      </c>
      <c r="H885" s="7">
        <f>IFERROR(IF(OR(E885="",INDEX(E:E,MATCH(DATE(YEAR($A885)-1,MONTH($A885),DAY($A885)),$A:$A,0))=""),"",E885/INDEX(E:E,MATCH(DATE(YEAR($A885)-1,MONTH($A885),DAY($A885)),$A:$A,0))-1),"")</f>
        <v/>
      </c>
      <c r="I885" s="7">
        <f>IFERROR(IF(OR(F885="",INDEX(F:F,MATCH(DATE(YEAR($A885)-1,MONTH($A885),DAY($A885)),$A:$A,0))=""),"",F885/INDEX(F:F,MATCH(DATE(YEAR($A885)-1,MONTH($A885),DAY($A885)),$A:$A,0))-1),"")</f>
        <v/>
      </c>
      <c r="J885" s="7">
        <f>IFERROR(IF(OR(G885="",INDEX(G:G,MATCH(DATE(YEAR($A885)-1,MONTH($A885),DAY($A885)),$A:$A,0))=""),"",G885/INDEX(G:G,MATCH(DATE(YEAR($A885)-1,MONTH($A885),DAY($A885)),$A:$A,0))-1),"")</f>
        <v/>
      </c>
      <c r="K885" s="7">
        <f>IF(OR(E885="",E884=""),"",E885/E884-1)</f>
        <v/>
      </c>
      <c r="L885" s="7">
        <f>IF(OR(F885="",F884=""),"",F885/F884-1)</f>
        <v/>
      </c>
      <c r="M885" s="7">
        <f>IF(OR(G885="",G884=""),"",G885/G884-1)</f>
        <v/>
      </c>
      <c r="N885" s="7">
        <f>IF(G885="","",E885/G885)</f>
        <v/>
      </c>
      <c r="O885" s="7">
        <f>IF(G885="","",F885/G885)</f>
        <v/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4">
        <f>IF(SUMIFS('Daily NSE Equity Cash'!$H:$H,'Daily NSE Equity Cash'!$A:$A,$A886)=0,"",SUMIFS('Daily NSE Equity Cash'!$H:$H,'Daily NSE Equity Cash'!$A:$A,$A886))</f>
        <v/>
      </c>
      <c r="F886" s="4">
        <f>IF(SUMIFS('Daily BSE Equity Cash'!$H:$H,'Daily BSE Equity Cash'!$A:$A,$A886)=0,"",SUMIFS('Daily BSE Equity Cash'!$H:$H,'Daily BSE Equity Cash'!$A:$A,$A886))</f>
        <v/>
      </c>
      <c r="G886" s="4">
        <f>IF(OR(E886="",F886=""),"",E886+F886)</f>
        <v/>
      </c>
      <c r="H886" s="7">
        <f>IFERROR(IF(OR(E886="",INDEX(E:E,MATCH(DATE(YEAR($A886)-1,MONTH($A886),DAY($A886)),$A:$A,0))=""),"",E886/INDEX(E:E,MATCH(DATE(YEAR($A886)-1,MONTH($A886),DAY($A886)),$A:$A,0))-1),"")</f>
        <v/>
      </c>
      <c r="I886" s="7">
        <f>IFERROR(IF(OR(F886="",INDEX(F:F,MATCH(DATE(YEAR($A886)-1,MONTH($A886),DAY($A886)),$A:$A,0))=""),"",F886/INDEX(F:F,MATCH(DATE(YEAR($A886)-1,MONTH($A886),DAY($A886)),$A:$A,0))-1),"")</f>
        <v/>
      </c>
      <c r="J886" s="7">
        <f>IFERROR(IF(OR(G886="",INDEX(G:G,MATCH(DATE(YEAR($A886)-1,MONTH($A886),DAY($A886)),$A:$A,0))=""),"",G886/INDEX(G:G,MATCH(DATE(YEAR($A886)-1,MONTH($A886),DAY($A886)),$A:$A,0))-1),"")</f>
        <v/>
      </c>
      <c r="K886" s="7">
        <f>IF(OR(E886="",E885=""),"",E886/E885-1)</f>
        <v/>
      </c>
      <c r="L886" s="7">
        <f>IF(OR(F886="",F885=""),"",F886/F885-1)</f>
        <v/>
      </c>
      <c r="M886" s="7">
        <f>IF(OR(G886="",G885=""),"",G886/G885-1)</f>
        <v/>
      </c>
      <c r="N886" s="7">
        <f>IF(G886="","",E886/G886)</f>
        <v/>
      </c>
      <c r="O886" s="7">
        <f>IF(G886="","",F886/G886)</f>
        <v/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4">
        <f>IF(SUMIFS('Daily NSE Equity Cash'!$H:$H,'Daily NSE Equity Cash'!$A:$A,$A887)=0,"",SUMIFS('Daily NSE Equity Cash'!$H:$H,'Daily NSE Equity Cash'!$A:$A,$A887))</f>
        <v/>
      </c>
      <c r="F887" s="4">
        <f>IF(SUMIFS('Daily BSE Equity Cash'!$H:$H,'Daily BSE Equity Cash'!$A:$A,$A887)=0,"",SUMIFS('Daily BSE Equity Cash'!$H:$H,'Daily BSE Equity Cash'!$A:$A,$A887))</f>
        <v/>
      </c>
      <c r="G887" s="4">
        <f>IF(OR(E887="",F887=""),"",E887+F887)</f>
        <v/>
      </c>
      <c r="H887" s="7">
        <f>IFERROR(IF(OR(E887="",INDEX(E:E,MATCH(DATE(YEAR($A887)-1,MONTH($A887),DAY($A887)),$A:$A,0))=""),"",E887/INDEX(E:E,MATCH(DATE(YEAR($A887)-1,MONTH($A887),DAY($A887)),$A:$A,0))-1),"")</f>
        <v/>
      </c>
      <c r="I887" s="7">
        <f>IFERROR(IF(OR(F887="",INDEX(F:F,MATCH(DATE(YEAR($A887)-1,MONTH($A887),DAY($A887)),$A:$A,0))=""),"",F887/INDEX(F:F,MATCH(DATE(YEAR($A887)-1,MONTH($A887),DAY($A887)),$A:$A,0))-1),"")</f>
        <v/>
      </c>
      <c r="J887" s="7">
        <f>IFERROR(IF(OR(G887="",INDEX(G:G,MATCH(DATE(YEAR($A887)-1,MONTH($A887),DAY($A887)),$A:$A,0))=""),"",G887/INDEX(G:G,MATCH(DATE(YEAR($A887)-1,MONTH($A887),DAY($A887)),$A:$A,0))-1),"")</f>
        <v/>
      </c>
      <c r="K887" s="7">
        <f>IF(OR(E887="",E886=""),"",E887/E886-1)</f>
        <v/>
      </c>
      <c r="L887" s="7">
        <f>IF(OR(F887="",F886=""),"",F887/F886-1)</f>
        <v/>
      </c>
      <c r="M887" s="7">
        <f>IF(OR(G887="",G886=""),"",G887/G886-1)</f>
        <v/>
      </c>
      <c r="N887" s="7">
        <f>IF(G887="","",E887/G887)</f>
        <v/>
      </c>
      <c r="O887" s="7">
        <f>IF(G887="","",F887/G887)</f>
        <v/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4">
        <f>IF(SUMIFS('Daily NSE Equity Cash'!$H:$H,'Daily NSE Equity Cash'!$A:$A,$A888)=0,"",SUMIFS('Daily NSE Equity Cash'!$H:$H,'Daily NSE Equity Cash'!$A:$A,$A888))</f>
        <v/>
      </c>
      <c r="F888" s="4">
        <f>IF(SUMIFS('Daily BSE Equity Cash'!$H:$H,'Daily BSE Equity Cash'!$A:$A,$A888)=0,"",SUMIFS('Daily BSE Equity Cash'!$H:$H,'Daily BSE Equity Cash'!$A:$A,$A888))</f>
        <v/>
      </c>
      <c r="G888" s="4">
        <f>IF(OR(E888="",F888=""),"",E888+F888)</f>
        <v/>
      </c>
      <c r="H888" s="7">
        <f>IFERROR(IF(OR(E888="",INDEX(E:E,MATCH(DATE(YEAR($A888)-1,MONTH($A888),DAY($A888)),$A:$A,0))=""),"",E888/INDEX(E:E,MATCH(DATE(YEAR($A888)-1,MONTH($A888),DAY($A888)),$A:$A,0))-1),"")</f>
        <v/>
      </c>
      <c r="I888" s="7">
        <f>IFERROR(IF(OR(F888="",INDEX(F:F,MATCH(DATE(YEAR($A888)-1,MONTH($A888),DAY($A888)),$A:$A,0))=""),"",F888/INDEX(F:F,MATCH(DATE(YEAR($A888)-1,MONTH($A888),DAY($A888)),$A:$A,0))-1),"")</f>
        <v/>
      </c>
      <c r="J888" s="7">
        <f>IFERROR(IF(OR(G888="",INDEX(G:G,MATCH(DATE(YEAR($A888)-1,MONTH($A888),DAY($A888)),$A:$A,0))=""),"",G888/INDEX(G:G,MATCH(DATE(YEAR($A888)-1,MONTH($A888),DAY($A888)),$A:$A,0))-1),"")</f>
        <v/>
      </c>
      <c r="K888" s="7">
        <f>IF(OR(E888="",E887=""),"",E888/E887-1)</f>
        <v/>
      </c>
      <c r="L888" s="7">
        <f>IF(OR(F888="",F887=""),"",F888/F887-1)</f>
        <v/>
      </c>
      <c r="M888" s="7">
        <f>IF(OR(G888="",G887=""),"",G888/G887-1)</f>
        <v/>
      </c>
      <c r="N888" s="7">
        <f>IF(G888="","",E888/G888)</f>
        <v/>
      </c>
      <c r="O888" s="7">
        <f>IF(G888="","",F888/G888)</f>
        <v/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4">
        <f>IF(SUMIFS('Daily NSE Equity Cash'!$H:$H,'Daily NSE Equity Cash'!$A:$A,$A889)=0,"",SUMIFS('Daily NSE Equity Cash'!$H:$H,'Daily NSE Equity Cash'!$A:$A,$A889))</f>
        <v/>
      </c>
      <c r="F889" s="4">
        <f>IF(SUMIFS('Daily BSE Equity Cash'!$H:$H,'Daily BSE Equity Cash'!$A:$A,$A889)=0,"",SUMIFS('Daily BSE Equity Cash'!$H:$H,'Daily BSE Equity Cash'!$A:$A,$A889))</f>
        <v/>
      </c>
      <c r="G889" s="4">
        <f>IF(OR(E889="",F889=""),"",E889+F889)</f>
        <v/>
      </c>
      <c r="H889" s="7">
        <f>IFERROR(IF(OR(E889="",INDEX(E:E,MATCH(DATE(YEAR($A889)-1,MONTH($A889),DAY($A889)),$A:$A,0))=""),"",E889/INDEX(E:E,MATCH(DATE(YEAR($A889)-1,MONTH($A889),DAY($A889)),$A:$A,0))-1),"")</f>
        <v/>
      </c>
      <c r="I889" s="7">
        <f>IFERROR(IF(OR(F889="",INDEX(F:F,MATCH(DATE(YEAR($A889)-1,MONTH($A889),DAY($A889)),$A:$A,0))=""),"",F889/INDEX(F:F,MATCH(DATE(YEAR($A889)-1,MONTH($A889),DAY($A889)),$A:$A,0))-1),"")</f>
        <v/>
      </c>
      <c r="J889" s="7">
        <f>IFERROR(IF(OR(G889="",INDEX(G:G,MATCH(DATE(YEAR($A889)-1,MONTH($A889),DAY($A889)),$A:$A,0))=""),"",G889/INDEX(G:G,MATCH(DATE(YEAR($A889)-1,MONTH($A889),DAY($A889)),$A:$A,0))-1),"")</f>
        <v/>
      </c>
      <c r="K889" s="7">
        <f>IF(OR(E889="",E888=""),"",E889/E888-1)</f>
        <v/>
      </c>
      <c r="L889" s="7">
        <f>IF(OR(F889="",F888=""),"",F889/F888-1)</f>
        <v/>
      </c>
      <c r="M889" s="7">
        <f>IF(OR(G889="",G888=""),"",G889/G888-1)</f>
        <v/>
      </c>
      <c r="N889" s="7">
        <f>IF(G889="","",E889/G889)</f>
        <v/>
      </c>
      <c r="O889" s="7">
        <f>IF(G889="","",F889/G889)</f>
        <v/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4">
        <f>IF(SUMIFS('Daily NSE Equity Cash'!$H:$H,'Daily NSE Equity Cash'!$A:$A,$A890)=0,"",SUMIFS('Daily NSE Equity Cash'!$H:$H,'Daily NSE Equity Cash'!$A:$A,$A890))</f>
        <v/>
      </c>
      <c r="F890" s="4">
        <f>IF(SUMIFS('Daily BSE Equity Cash'!$H:$H,'Daily BSE Equity Cash'!$A:$A,$A890)=0,"",SUMIFS('Daily BSE Equity Cash'!$H:$H,'Daily BSE Equity Cash'!$A:$A,$A890))</f>
        <v/>
      </c>
      <c r="G890" s="4">
        <f>IF(OR(E890="",F890=""),"",E890+F890)</f>
        <v/>
      </c>
      <c r="H890" s="7">
        <f>IFERROR(IF(OR(E890="",INDEX(E:E,MATCH(DATE(YEAR($A890)-1,MONTH($A890),DAY($A890)),$A:$A,0))=""),"",E890/INDEX(E:E,MATCH(DATE(YEAR($A890)-1,MONTH($A890),DAY($A890)),$A:$A,0))-1),"")</f>
        <v/>
      </c>
      <c r="I890" s="7">
        <f>IFERROR(IF(OR(F890="",INDEX(F:F,MATCH(DATE(YEAR($A890)-1,MONTH($A890),DAY($A890)),$A:$A,0))=""),"",F890/INDEX(F:F,MATCH(DATE(YEAR($A890)-1,MONTH($A890),DAY($A890)),$A:$A,0))-1),"")</f>
        <v/>
      </c>
      <c r="J890" s="7">
        <f>IFERROR(IF(OR(G890="",INDEX(G:G,MATCH(DATE(YEAR($A890)-1,MONTH($A890),DAY($A890)),$A:$A,0))=""),"",G890/INDEX(G:G,MATCH(DATE(YEAR($A890)-1,MONTH($A890),DAY($A890)),$A:$A,0))-1),"")</f>
        <v/>
      </c>
      <c r="K890" s="7">
        <f>IF(OR(E890="",E889=""),"",E890/E889-1)</f>
        <v/>
      </c>
      <c r="L890" s="7">
        <f>IF(OR(F890="",F889=""),"",F890/F889-1)</f>
        <v/>
      </c>
      <c r="M890" s="7">
        <f>IF(OR(G890="",G889=""),"",G890/G889-1)</f>
        <v/>
      </c>
      <c r="N890" s="7">
        <f>IF(G890="","",E890/G890)</f>
        <v/>
      </c>
      <c r="O890" s="7">
        <f>IF(G890="","",F890/G890)</f>
        <v/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4">
        <f>IF(SUMIFS('Daily NSE Equity Cash'!$H:$H,'Daily NSE Equity Cash'!$A:$A,$A891)=0,"",SUMIFS('Daily NSE Equity Cash'!$H:$H,'Daily NSE Equity Cash'!$A:$A,$A891))</f>
        <v/>
      </c>
      <c r="F891" s="4">
        <f>IF(SUMIFS('Daily BSE Equity Cash'!$H:$H,'Daily BSE Equity Cash'!$A:$A,$A891)=0,"",SUMIFS('Daily BSE Equity Cash'!$H:$H,'Daily BSE Equity Cash'!$A:$A,$A891))</f>
        <v/>
      </c>
      <c r="G891" s="4">
        <f>IF(OR(E891="",F891=""),"",E891+F891)</f>
        <v/>
      </c>
      <c r="H891" s="7">
        <f>IFERROR(IF(OR(E891="",INDEX(E:E,MATCH(DATE(YEAR($A891)-1,MONTH($A891),DAY($A891)),$A:$A,0))=""),"",E891/INDEX(E:E,MATCH(DATE(YEAR($A891)-1,MONTH($A891),DAY($A891)),$A:$A,0))-1),"")</f>
        <v/>
      </c>
      <c r="I891" s="7">
        <f>IFERROR(IF(OR(F891="",INDEX(F:F,MATCH(DATE(YEAR($A891)-1,MONTH($A891),DAY($A891)),$A:$A,0))=""),"",F891/INDEX(F:F,MATCH(DATE(YEAR($A891)-1,MONTH($A891),DAY($A891)),$A:$A,0))-1),"")</f>
        <v/>
      </c>
      <c r="J891" s="7">
        <f>IFERROR(IF(OR(G891="",INDEX(G:G,MATCH(DATE(YEAR($A891)-1,MONTH($A891),DAY($A891)),$A:$A,0))=""),"",G891/INDEX(G:G,MATCH(DATE(YEAR($A891)-1,MONTH($A891),DAY($A891)),$A:$A,0))-1),"")</f>
        <v/>
      </c>
      <c r="K891" s="7">
        <f>IF(OR(E891="",E890=""),"",E891/E890-1)</f>
        <v/>
      </c>
      <c r="L891" s="7">
        <f>IF(OR(F891="",F890=""),"",F891/F890-1)</f>
        <v/>
      </c>
      <c r="M891" s="7">
        <f>IF(OR(G891="",G890=""),"",G891/G890-1)</f>
        <v/>
      </c>
      <c r="N891" s="7">
        <f>IF(G891="","",E891/G891)</f>
        <v/>
      </c>
      <c r="O891" s="7">
        <f>IF(G891="","",F891/G891)</f>
        <v/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4">
        <f>IF(SUMIFS('Daily NSE Equity Cash'!$H:$H,'Daily NSE Equity Cash'!$A:$A,$A892)=0,"",SUMIFS('Daily NSE Equity Cash'!$H:$H,'Daily NSE Equity Cash'!$A:$A,$A892))</f>
        <v/>
      </c>
      <c r="F892" s="4">
        <f>IF(SUMIFS('Daily BSE Equity Cash'!$H:$H,'Daily BSE Equity Cash'!$A:$A,$A892)=0,"",SUMIFS('Daily BSE Equity Cash'!$H:$H,'Daily BSE Equity Cash'!$A:$A,$A892))</f>
        <v/>
      </c>
      <c r="G892" s="4">
        <f>IF(OR(E892="",F892=""),"",E892+F892)</f>
        <v/>
      </c>
      <c r="H892" s="7">
        <f>IFERROR(IF(OR(E892="",INDEX(E:E,MATCH(DATE(YEAR($A892)-1,MONTH($A892),DAY($A892)),$A:$A,0))=""),"",E892/INDEX(E:E,MATCH(DATE(YEAR($A892)-1,MONTH($A892),DAY($A892)),$A:$A,0))-1),"")</f>
        <v/>
      </c>
      <c r="I892" s="7">
        <f>IFERROR(IF(OR(F892="",INDEX(F:F,MATCH(DATE(YEAR($A892)-1,MONTH($A892),DAY($A892)),$A:$A,0))=""),"",F892/INDEX(F:F,MATCH(DATE(YEAR($A892)-1,MONTH($A892),DAY($A892)),$A:$A,0))-1),"")</f>
        <v/>
      </c>
      <c r="J892" s="7">
        <f>IFERROR(IF(OR(G892="",INDEX(G:G,MATCH(DATE(YEAR($A892)-1,MONTH($A892),DAY($A892)),$A:$A,0))=""),"",G892/INDEX(G:G,MATCH(DATE(YEAR($A892)-1,MONTH($A892),DAY($A892)),$A:$A,0))-1),"")</f>
        <v/>
      </c>
      <c r="K892" s="7">
        <f>IF(OR(E892="",E891=""),"",E892/E891-1)</f>
        <v/>
      </c>
      <c r="L892" s="7">
        <f>IF(OR(F892="",F891=""),"",F892/F891-1)</f>
        <v/>
      </c>
      <c r="M892" s="7">
        <f>IF(OR(G892="",G891=""),"",G892/G891-1)</f>
        <v/>
      </c>
      <c r="N892" s="7">
        <f>IF(G892="","",E892/G892)</f>
        <v/>
      </c>
      <c r="O892" s="7">
        <f>IF(G892="","",F892/G892)</f>
        <v/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4">
        <f>IF(SUMIFS('Daily NSE Equity Cash'!$H:$H,'Daily NSE Equity Cash'!$A:$A,$A893)=0,"",SUMIFS('Daily NSE Equity Cash'!$H:$H,'Daily NSE Equity Cash'!$A:$A,$A893))</f>
        <v/>
      </c>
      <c r="F893" s="4">
        <f>IF(SUMIFS('Daily BSE Equity Cash'!$H:$H,'Daily BSE Equity Cash'!$A:$A,$A893)=0,"",SUMIFS('Daily BSE Equity Cash'!$H:$H,'Daily BSE Equity Cash'!$A:$A,$A893))</f>
        <v/>
      </c>
      <c r="G893" s="4">
        <f>IF(OR(E893="",F893=""),"",E893+F893)</f>
        <v/>
      </c>
      <c r="H893" s="7">
        <f>IFERROR(IF(OR(E893="",INDEX(E:E,MATCH(DATE(YEAR($A893)-1,MONTH($A893),DAY($A893)),$A:$A,0))=""),"",E893/INDEX(E:E,MATCH(DATE(YEAR($A893)-1,MONTH($A893),DAY($A893)),$A:$A,0))-1),"")</f>
        <v/>
      </c>
      <c r="I893" s="7">
        <f>IFERROR(IF(OR(F893="",INDEX(F:F,MATCH(DATE(YEAR($A893)-1,MONTH($A893),DAY($A893)),$A:$A,0))=""),"",F893/INDEX(F:F,MATCH(DATE(YEAR($A893)-1,MONTH($A893),DAY($A893)),$A:$A,0))-1),"")</f>
        <v/>
      </c>
      <c r="J893" s="7">
        <f>IFERROR(IF(OR(G893="",INDEX(G:G,MATCH(DATE(YEAR($A893)-1,MONTH($A893),DAY($A893)),$A:$A,0))=""),"",G893/INDEX(G:G,MATCH(DATE(YEAR($A893)-1,MONTH($A893),DAY($A893)),$A:$A,0))-1),"")</f>
        <v/>
      </c>
      <c r="K893" s="7">
        <f>IF(OR(E893="",E892=""),"",E893/E892-1)</f>
        <v/>
      </c>
      <c r="L893" s="7">
        <f>IF(OR(F893="",F892=""),"",F893/F892-1)</f>
        <v/>
      </c>
      <c r="M893" s="7">
        <f>IF(OR(G893="",G892=""),"",G893/G892-1)</f>
        <v/>
      </c>
      <c r="N893" s="7">
        <f>IF(G893="","",E893/G893)</f>
        <v/>
      </c>
      <c r="O893" s="7">
        <f>IF(G893="","",F893/G893)</f>
        <v/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4">
        <f>IF(SUMIFS('Daily NSE Equity Cash'!$H:$H,'Daily NSE Equity Cash'!$A:$A,$A894)=0,"",SUMIFS('Daily NSE Equity Cash'!$H:$H,'Daily NSE Equity Cash'!$A:$A,$A894))</f>
        <v/>
      </c>
      <c r="F894" s="4">
        <f>IF(SUMIFS('Daily BSE Equity Cash'!$H:$H,'Daily BSE Equity Cash'!$A:$A,$A894)=0,"",SUMIFS('Daily BSE Equity Cash'!$H:$H,'Daily BSE Equity Cash'!$A:$A,$A894))</f>
        <v/>
      </c>
      <c r="G894" s="4">
        <f>IF(OR(E894="",F894=""),"",E894+F894)</f>
        <v/>
      </c>
      <c r="H894" s="7">
        <f>IFERROR(IF(OR(E894="",INDEX(E:E,MATCH(DATE(YEAR($A894)-1,MONTH($A894),DAY($A894)),$A:$A,0))=""),"",E894/INDEX(E:E,MATCH(DATE(YEAR($A894)-1,MONTH($A894),DAY($A894)),$A:$A,0))-1),"")</f>
        <v/>
      </c>
      <c r="I894" s="7">
        <f>IFERROR(IF(OR(F894="",INDEX(F:F,MATCH(DATE(YEAR($A894)-1,MONTH($A894),DAY($A894)),$A:$A,0))=""),"",F894/INDEX(F:F,MATCH(DATE(YEAR($A894)-1,MONTH($A894),DAY($A894)),$A:$A,0))-1),"")</f>
        <v/>
      </c>
      <c r="J894" s="7">
        <f>IFERROR(IF(OR(G894="",INDEX(G:G,MATCH(DATE(YEAR($A894)-1,MONTH($A894),DAY($A894)),$A:$A,0))=""),"",G894/INDEX(G:G,MATCH(DATE(YEAR($A894)-1,MONTH($A894),DAY($A894)),$A:$A,0))-1),"")</f>
        <v/>
      </c>
      <c r="K894" s="7">
        <f>IF(OR(E894="",E893=""),"",E894/E893-1)</f>
        <v/>
      </c>
      <c r="L894" s="7">
        <f>IF(OR(F894="",F893=""),"",F894/F893-1)</f>
        <v/>
      </c>
      <c r="M894" s="7">
        <f>IF(OR(G894="",G893=""),"",G894/G893-1)</f>
        <v/>
      </c>
      <c r="N894" s="7">
        <f>IF(G894="","",E894/G894)</f>
        <v/>
      </c>
      <c r="O894" s="7">
        <f>IF(G894="","",F894/G894)</f>
        <v/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4">
        <f>IF(SUMIFS('Daily NSE Equity Cash'!$H:$H,'Daily NSE Equity Cash'!$A:$A,$A895)=0,"",SUMIFS('Daily NSE Equity Cash'!$H:$H,'Daily NSE Equity Cash'!$A:$A,$A895))</f>
        <v/>
      </c>
      <c r="F895" s="4">
        <f>IF(SUMIFS('Daily BSE Equity Cash'!$H:$H,'Daily BSE Equity Cash'!$A:$A,$A895)=0,"",SUMIFS('Daily BSE Equity Cash'!$H:$H,'Daily BSE Equity Cash'!$A:$A,$A895))</f>
        <v/>
      </c>
      <c r="G895" s="4">
        <f>IF(OR(E895="",F895=""),"",E895+F895)</f>
        <v/>
      </c>
      <c r="H895" s="7">
        <f>IFERROR(IF(OR(E895="",INDEX(E:E,MATCH(DATE(YEAR($A895)-1,MONTH($A895),DAY($A895)),$A:$A,0))=""),"",E895/INDEX(E:E,MATCH(DATE(YEAR($A895)-1,MONTH($A895),DAY($A895)),$A:$A,0))-1),"")</f>
        <v/>
      </c>
      <c r="I895" s="7">
        <f>IFERROR(IF(OR(F895="",INDEX(F:F,MATCH(DATE(YEAR($A895)-1,MONTH($A895),DAY($A895)),$A:$A,0))=""),"",F895/INDEX(F:F,MATCH(DATE(YEAR($A895)-1,MONTH($A895),DAY($A895)),$A:$A,0))-1),"")</f>
        <v/>
      </c>
      <c r="J895" s="7">
        <f>IFERROR(IF(OR(G895="",INDEX(G:G,MATCH(DATE(YEAR($A895)-1,MONTH($A895),DAY($A895)),$A:$A,0))=""),"",G895/INDEX(G:G,MATCH(DATE(YEAR($A895)-1,MONTH($A895),DAY($A895)),$A:$A,0))-1),"")</f>
        <v/>
      </c>
      <c r="K895" s="7">
        <f>IF(OR(E895="",E894=""),"",E895/E894-1)</f>
        <v/>
      </c>
      <c r="L895" s="7">
        <f>IF(OR(F895="",F894=""),"",F895/F894-1)</f>
        <v/>
      </c>
      <c r="M895" s="7">
        <f>IF(OR(G895="",G894=""),"",G895/G894-1)</f>
        <v/>
      </c>
      <c r="N895" s="7">
        <f>IF(G895="","",E895/G895)</f>
        <v/>
      </c>
      <c r="O895" s="7">
        <f>IF(G895="","",F895/G895)</f>
        <v/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4">
        <f>IF(SUMIFS('Daily NSE Equity Cash'!$H:$H,'Daily NSE Equity Cash'!$A:$A,$A896)=0,"",SUMIFS('Daily NSE Equity Cash'!$H:$H,'Daily NSE Equity Cash'!$A:$A,$A896))</f>
        <v/>
      </c>
      <c r="F896" s="4">
        <f>IF(SUMIFS('Daily BSE Equity Cash'!$H:$H,'Daily BSE Equity Cash'!$A:$A,$A896)=0,"",SUMIFS('Daily BSE Equity Cash'!$H:$H,'Daily BSE Equity Cash'!$A:$A,$A896))</f>
        <v/>
      </c>
      <c r="G896" s="4">
        <f>IF(OR(E896="",F896=""),"",E896+F896)</f>
        <v/>
      </c>
      <c r="H896" s="7">
        <f>IFERROR(IF(OR(E896="",INDEX(E:E,MATCH(DATE(YEAR($A896)-1,MONTH($A896),DAY($A896)),$A:$A,0))=""),"",E896/INDEX(E:E,MATCH(DATE(YEAR($A896)-1,MONTH($A896),DAY($A896)),$A:$A,0))-1),"")</f>
        <v/>
      </c>
      <c r="I896" s="7">
        <f>IFERROR(IF(OR(F896="",INDEX(F:F,MATCH(DATE(YEAR($A896)-1,MONTH($A896),DAY($A896)),$A:$A,0))=""),"",F896/INDEX(F:F,MATCH(DATE(YEAR($A896)-1,MONTH($A896),DAY($A896)),$A:$A,0))-1),"")</f>
        <v/>
      </c>
      <c r="J896" s="7">
        <f>IFERROR(IF(OR(G896="",INDEX(G:G,MATCH(DATE(YEAR($A896)-1,MONTH($A896),DAY($A896)),$A:$A,0))=""),"",G896/INDEX(G:G,MATCH(DATE(YEAR($A896)-1,MONTH($A896),DAY($A896)),$A:$A,0))-1),"")</f>
        <v/>
      </c>
      <c r="K896" s="7">
        <f>IF(OR(E896="",E895=""),"",E896/E895-1)</f>
        <v/>
      </c>
      <c r="L896" s="7">
        <f>IF(OR(F896="",F895=""),"",F896/F895-1)</f>
        <v/>
      </c>
      <c r="M896" s="7">
        <f>IF(OR(G896="",G895=""),"",G896/G895-1)</f>
        <v/>
      </c>
      <c r="N896" s="7">
        <f>IF(G896="","",E896/G896)</f>
        <v/>
      </c>
      <c r="O896" s="7">
        <f>IF(G896="","",F896/G896)</f>
        <v/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4">
        <f>IF(SUMIFS('Daily NSE Equity Cash'!$H:$H,'Daily NSE Equity Cash'!$A:$A,$A897)=0,"",SUMIFS('Daily NSE Equity Cash'!$H:$H,'Daily NSE Equity Cash'!$A:$A,$A897))</f>
        <v/>
      </c>
      <c r="F897" s="4">
        <f>IF(SUMIFS('Daily BSE Equity Cash'!$H:$H,'Daily BSE Equity Cash'!$A:$A,$A897)=0,"",SUMIFS('Daily BSE Equity Cash'!$H:$H,'Daily BSE Equity Cash'!$A:$A,$A897))</f>
        <v/>
      </c>
      <c r="G897" s="4">
        <f>IF(OR(E897="",F897=""),"",E897+F897)</f>
        <v/>
      </c>
      <c r="H897" s="7">
        <f>IFERROR(IF(OR(E897="",INDEX(E:E,MATCH(DATE(YEAR($A897)-1,MONTH($A897),DAY($A897)),$A:$A,0))=""),"",E897/INDEX(E:E,MATCH(DATE(YEAR($A897)-1,MONTH($A897),DAY($A897)),$A:$A,0))-1),"")</f>
        <v/>
      </c>
      <c r="I897" s="7">
        <f>IFERROR(IF(OR(F897="",INDEX(F:F,MATCH(DATE(YEAR($A897)-1,MONTH($A897),DAY($A897)),$A:$A,0))=""),"",F897/INDEX(F:F,MATCH(DATE(YEAR($A897)-1,MONTH($A897),DAY($A897)),$A:$A,0))-1),"")</f>
        <v/>
      </c>
      <c r="J897" s="7">
        <f>IFERROR(IF(OR(G897="",INDEX(G:G,MATCH(DATE(YEAR($A897)-1,MONTH($A897),DAY($A897)),$A:$A,0))=""),"",G897/INDEX(G:G,MATCH(DATE(YEAR($A897)-1,MONTH($A897),DAY($A897)),$A:$A,0))-1),"")</f>
        <v/>
      </c>
      <c r="K897" s="7">
        <f>IF(OR(E897="",E896=""),"",E897/E896-1)</f>
        <v/>
      </c>
      <c r="L897" s="7">
        <f>IF(OR(F897="",F896=""),"",F897/F896-1)</f>
        <v/>
      </c>
      <c r="M897" s="7">
        <f>IF(OR(G897="",G896=""),"",G897/G896-1)</f>
        <v/>
      </c>
      <c r="N897" s="7">
        <f>IF(G897="","",E897/G897)</f>
        <v/>
      </c>
      <c r="O897" s="7">
        <f>IF(G897="","",F897/G897)</f>
        <v/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4">
        <f>IF(SUMIFS('Daily NSE Equity Cash'!$H:$H,'Daily NSE Equity Cash'!$A:$A,$A898)=0,"",SUMIFS('Daily NSE Equity Cash'!$H:$H,'Daily NSE Equity Cash'!$A:$A,$A898))</f>
        <v/>
      </c>
      <c r="F898" s="4">
        <f>IF(SUMIFS('Daily BSE Equity Cash'!$H:$H,'Daily BSE Equity Cash'!$A:$A,$A898)=0,"",SUMIFS('Daily BSE Equity Cash'!$H:$H,'Daily BSE Equity Cash'!$A:$A,$A898))</f>
        <v/>
      </c>
      <c r="G898" s="4">
        <f>IF(OR(E898="",F898=""),"",E898+F898)</f>
        <v/>
      </c>
      <c r="H898" s="7">
        <f>IFERROR(IF(OR(E898="",INDEX(E:E,MATCH(DATE(YEAR($A898)-1,MONTH($A898),DAY($A898)),$A:$A,0))=""),"",E898/INDEX(E:E,MATCH(DATE(YEAR($A898)-1,MONTH($A898),DAY($A898)),$A:$A,0))-1),"")</f>
        <v/>
      </c>
      <c r="I898" s="7">
        <f>IFERROR(IF(OR(F898="",INDEX(F:F,MATCH(DATE(YEAR($A898)-1,MONTH($A898),DAY($A898)),$A:$A,0))=""),"",F898/INDEX(F:F,MATCH(DATE(YEAR($A898)-1,MONTH($A898),DAY($A898)),$A:$A,0))-1),"")</f>
        <v/>
      </c>
      <c r="J898" s="7">
        <f>IFERROR(IF(OR(G898="",INDEX(G:G,MATCH(DATE(YEAR($A898)-1,MONTH($A898),DAY($A898)),$A:$A,0))=""),"",G898/INDEX(G:G,MATCH(DATE(YEAR($A898)-1,MONTH($A898),DAY($A898)),$A:$A,0))-1),"")</f>
        <v/>
      </c>
      <c r="K898" s="7">
        <f>IF(OR(E898="",E897=""),"",E898/E897-1)</f>
        <v/>
      </c>
      <c r="L898" s="7">
        <f>IF(OR(F898="",F897=""),"",F898/F897-1)</f>
        <v/>
      </c>
      <c r="M898" s="7">
        <f>IF(OR(G898="",G897=""),"",G898/G897-1)</f>
        <v/>
      </c>
      <c r="N898" s="7">
        <f>IF(G898="","",E898/G898)</f>
        <v/>
      </c>
      <c r="O898" s="7">
        <f>IF(G898="","",F898/G898)</f>
        <v/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4">
        <f>IF(SUMIFS('Daily NSE Equity Cash'!$H:$H,'Daily NSE Equity Cash'!$A:$A,$A899)=0,"",SUMIFS('Daily NSE Equity Cash'!$H:$H,'Daily NSE Equity Cash'!$A:$A,$A899))</f>
        <v/>
      </c>
      <c r="F899" s="4">
        <f>IF(SUMIFS('Daily BSE Equity Cash'!$H:$H,'Daily BSE Equity Cash'!$A:$A,$A899)=0,"",SUMIFS('Daily BSE Equity Cash'!$H:$H,'Daily BSE Equity Cash'!$A:$A,$A899))</f>
        <v/>
      </c>
      <c r="G899" s="4">
        <f>IF(OR(E899="",F899=""),"",E899+F899)</f>
        <v/>
      </c>
      <c r="H899" s="7">
        <f>IFERROR(IF(OR(E899="",INDEX(E:E,MATCH(DATE(YEAR($A899)-1,MONTH($A899),DAY($A899)),$A:$A,0))=""),"",E899/INDEX(E:E,MATCH(DATE(YEAR($A899)-1,MONTH($A899),DAY($A899)),$A:$A,0))-1),"")</f>
        <v/>
      </c>
      <c r="I899" s="7">
        <f>IFERROR(IF(OR(F899="",INDEX(F:F,MATCH(DATE(YEAR($A899)-1,MONTH($A899),DAY($A899)),$A:$A,0))=""),"",F899/INDEX(F:F,MATCH(DATE(YEAR($A899)-1,MONTH($A899),DAY($A899)),$A:$A,0))-1),"")</f>
        <v/>
      </c>
      <c r="J899" s="7">
        <f>IFERROR(IF(OR(G899="",INDEX(G:G,MATCH(DATE(YEAR($A899)-1,MONTH($A899),DAY($A899)),$A:$A,0))=""),"",G899/INDEX(G:G,MATCH(DATE(YEAR($A899)-1,MONTH($A899),DAY($A899)),$A:$A,0))-1),"")</f>
        <v/>
      </c>
      <c r="K899" s="7">
        <f>IF(OR(E899="",E898=""),"",E899/E898-1)</f>
        <v/>
      </c>
      <c r="L899" s="7">
        <f>IF(OR(F899="",F898=""),"",F899/F898-1)</f>
        <v/>
      </c>
      <c r="M899" s="7">
        <f>IF(OR(G899="",G898=""),"",G899/G898-1)</f>
        <v/>
      </c>
      <c r="N899" s="7">
        <f>IF(G899="","",E899/G899)</f>
        <v/>
      </c>
      <c r="O899" s="7">
        <f>IF(G899="","",F899/G899)</f>
        <v/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4">
        <f>IF(SUMIFS('Daily NSE Equity Cash'!$H:$H,'Daily NSE Equity Cash'!$A:$A,$A900)=0,"",SUMIFS('Daily NSE Equity Cash'!$H:$H,'Daily NSE Equity Cash'!$A:$A,$A900))</f>
        <v/>
      </c>
      <c r="F900" s="4">
        <f>IF(SUMIFS('Daily BSE Equity Cash'!$H:$H,'Daily BSE Equity Cash'!$A:$A,$A900)=0,"",SUMIFS('Daily BSE Equity Cash'!$H:$H,'Daily BSE Equity Cash'!$A:$A,$A900))</f>
        <v/>
      </c>
      <c r="G900" s="4">
        <f>IF(OR(E900="",F900=""),"",E900+F900)</f>
        <v/>
      </c>
      <c r="H900" s="7">
        <f>IFERROR(IF(OR(E900="",INDEX(E:E,MATCH(DATE(YEAR($A900)-1,MONTH($A900),DAY($A900)),$A:$A,0))=""),"",E900/INDEX(E:E,MATCH(DATE(YEAR($A900)-1,MONTH($A900),DAY($A900)),$A:$A,0))-1),"")</f>
        <v/>
      </c>
      <c r="I900" s="7">
        <f>IFERROR(IF(OR(F900="",INDEX(F:F,MATCH(DATE(YEAR($A900)-1,MONTH($A900),DAY($A900)),$A:$A,0))=""),"",F900/INDEX(F:F,MATCH(DATE(YEAR($A900)-1,MONTH($A900),DAY($A900)),$A:$A,0))-1),"")</f>
        <v/>
      </c>
      <c r="J900" s="7">
        <f>IFERROR(IF(OR(G900="",INDEX(G:G,MATCH(DATE(YEAR($A900)-1,MONTH($A900),DAY($A900)),$A:$A,0))=""),"",G900/INDEX(G:G,MATCH(DATE(YEAR($A900)-1,MONTH($A900),DAY($A900)),$A:$A,0))-1),"")</f>
        <v/>
      </c>
      <c r="K900" s="7">
        <f>IF(OR(E900="",E899=""),"",E900/E899-1)</f>
        <v/>
      </c>
      <c r="L900" s="7">
        <f>IF(OR(F900="",F899=""),"",F900/F899-1)</f>
        <v/>
      </c>
      <c r="M900" s="7">
        <f>IF(OR(G900="",G899=""),"",G900/G899-1)</f>
        <v/>
      </c>
      <c r="N900" s="7">
        <f>IF(G900="","",E900/G900)</f>
        <v/>
      </c>
      <c r="O900" s="7">
        <f>IF(G900="","",F900/G900)</f>
        <v/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4">
        <f>IF(SUMIFS('Daily NSE Equity Cash'!$H:$H,'Daily NSE Equity Cash'!$A:$A,$A901)=0,"",SUMIFS('Daily NSE Equity Cash'!$H:$H,'Daily NSE Equity Cash'!$A:$A,$A901))</f>
        <v/>
      </c>
      <c r="F901" s="4">
        <f>IF(SUMIFS('Daily BSE Equity Cash'!$H:$H,'Daily BSE Equity Cash'!$A:$A,$A901)=0,"",SUMIFS('Daily BSE Equity Cash'!$H:$H,'Daily BSE Equity Cash'!$A:$A,$A901))</f>
        <v/>
      </c>
      <c r="G901" s="4">
        <f>IF(OR(E901="",F901=""),"",E901+F901)</f>
        <v/>
      </c>
      <c r="H901" s="7">
        <f>IFERROR(IF(OR(E901="",INDEX(E:E,MATCH(DATE(YEAR($A901)-1,MONTH($A901),DAY($A901)),$A:$A,0))=""),"",E901/INDEX(E:E,MATCH(DATE(YEAR($A901)-1,MONTH($A901),DAY($A901)),$A:$A,0))-1),"")</f>
        <v/>
      </c>
      <c r="I901" s="7">
        <f>IFERROR(IF(OR(F901="",INDEX(F:F,MATCH(DATE(YEAR($A901)-1,MONTH($A901),DAY($A901)),$A:$A,0))=""),"",F901/INDEX(F:F,MATCH(DATE(YEAR($A901)-1,MONTH($A901),DAY($A901)),$A:$A,0))-1),"")</f>
        <v/>
      </c>
      <c r="J901" s="7">
        <f>IFERROR(IF(OR(G901="",INDEX(G:G,MATCH(DATE(YEAR($A901)-1,MONTH($A901),DAY($A901)),$A:$A,0))=""),"",G901/INDEX(G:G,MATCH(DATE(YEAR($A901)-1,MONTH($A901),DAY($A901)),$A:$A,0))-1),"")</f>
        <v/>
      </c>
      <c r="K901" s="7">
        <f>IF(OR(E901="",E900=""),"",E901/E900-1)</f>
        <v/>
      </c>
      <c r="L901" s="7">
        <f>IF(OR(F901="",F900=""),"",F901/F900-1)</f>
        <v/>
      </c>
      <c r="M901" s="7">
        <f>IF(OR(G901="",G900=""),"",G901/G900-1)</f>
        <v/>
      </c>
      <c r="N901" s="7">
        <f>IF(G901="","",E901/G901)</f>
        <v/>
      </c>
      <c r="O901" s="7">
        <f>IF(G901="","",F901/G901)</f>
        <v/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4">
        <f>IF(SUMIFS('Daily NSE Equity Cash'!$H:$H,'Daily NSE Equity Cash'!$A:$A,$A902)=0,"",SUMIFS('Daily NSE Equity Cash'!$H:$H,'Daily NSE Equity Cash'!$A:$A,$A902))</f>
        <v/>
      </c>
      <c r="F902" s="4">
        <f>IF(SUMIFS('Daily BSE Equity Cash'!$H:$H,'Daily BSE Equity Cash'!$A:$A,$A902)=0,"",SUMIFS('Daily BSE Equity Cash'!$H:$H,'Daily BSE Equity Cash'!$A:$A,$A902))</f>
        <v/>
      </c>
      <c r="G902" s="4">
        <f>IF(OR(E902="",F902=""),"",E902+F902)</f>
        <v/>
      </c>
      <c r="H902" s="7">
        <f>IFERROR(IF(OR(E902="",INDEX(E:E,MATCH(DATE(YEAR($A902)-1,MONTH($A902),DAY($A902)),$A:$A,0))=""),"",E902/INDEX(E:E,MATCH(DATE(YEAR($A902)-1,MONTH($A902),DAY($A902)),$A:$A,0))-1),"")</f>
        <v/>
      </c>
      <c r="I902" s="7">
        <f>IFERROR(IF(OR(F902="",INDEX(F:F,MATCH(DATE(YEAR($A902)-1,MONTH($A902),DAY($A902)),$A:$A,0))=""),"",F902/INDEX(F:F,MATCH(DATE(YEAR($A902)-1,MONTH($A902),DAY($A902)),$A:$A,0))-1),"")</f>
        <v/>
      </c>
      <c r="J902" s="7">
        <f>IFERROR(IF(OR(G902="",INDEX(G:G,MATCH(DATE(YEAR($A902)-1,MONTH($A902),DAY($A902)),$A:$A,0))=""),"",G902/INDEX(G:G,MATCH(DATE(YEAR($A902)-1,MONTH($A902),DAY($A902)),$A:$A,0))-1),"")</f>
        <v/>
      </c>
      <c r="K902" s="7">
        <f>IF(OR(E902="",E901=""),"",E902/E901-1)</f>
        <v/>
      </c>
      <c r="L902" s="7">
        <f>IF(OR(F902="",F901=""),"",F902/F901-1)</f>
        <v/>
      </c>
      <c r="M902" s="7">
        <f>IF(OR(G902="",G901=""),"",G902/G901-1)</f>
        <v/>
      </c>
      <c r="N902" s="7">
        <f>IF(G902="","",E902/G902)</f>
        <v/>
      </c>
      <c r="O902" s="7">
        <f>IF(G902="","",F902/G902)</f>
        <v/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4">
        <f>IF(SUMIFS('Daily NSE Equity Cash'!$H:$H,'Daily NSE Equity Cash'!$A:$A,$A903)=0,"",SUMIFS('Daily NSE Equity Cash'!$H:$H,'Daily NSE Equity Cash'!$A:$A,$A903))</f>
        <v/>
      </c>
      <c r="F903" s="4">
        <f>IF(SUMIFS('Daily BSE Equity Cash'!$H:$H,'Daily BSE Equity Cash'!$A:$A,$A903)=0,"",SUMIFS('Daily BSE Equity Cash'!$H:$H,'Daily BSE Equity Cash'!$A:$A,$A903))</f>
        <v/>
      </c>
      <c r="G903" s="4">
        <f>IF(OR(E903="",F903=""),"",E903+F903)</f>
        <v/>
      </c>
      <c r="H903" s="7">
        <f>IFERROR(IF(OR(E903="",INDEX(E:E,MATCH(DATE(YEAR($A903)-1,MONTH($A903),DAY($A903)),$A:$A,0))=""),"",E903/INDEX(E:E,MATCH(DATE(YEAR($A903)-1,MONTH($A903),DAY($A903)),$A:$A,0))-1),"")</f>
        <v/>
      </c>
      <c r="I903" s="7">
        <f>IFERROR(IF(OR(F903="",INDEX(F:F,MATCH(DATE(YEAR($A903)-1,MONTH($A903),DAY($A903)),$A:$A,0))=""),"",F903/INDEX(F:F,MATCH(DATE(YEAR($A903)-1,MONTH($A903),DAY($A903)),$A:$A,0))-1),"")</f>
        <v/>
      </c>
      <c r="J903" s="7">
        <f>IFERROR(IF(OR(G903="",INDEX(G:G,MATCH(DATE(YEAR($A903)-1,MONTH($A903),DAY($A903)),$A:$A,0))=""),"",G903/INDEX(G:G,MATCH(DATE(YEAR($A903)-1,MONTH($A903),DAY($A903)),$A:$A,0))-1),"")</f>
        <v/>
      </c>
      <c r="K903" s="7">
        <f>IF(OR(E903="",E902=""),"",E903/E902-1)</f>
        <v/>
      </c>
      <c r="L903" s="7">
        <f>IF(OR(F903="",F902=""),"",F903/F902-1)</f>
        <v/>
      </c>
      <c r="M903" s="7">
        <f>IF(OR(G903="",G902=""),"",G903/G902-1)</f>
        <v/>
      </c>
      <c r="N903" s="7">
        <f>IF(G903="","",E903/G903)</f>
        <v/>
      </c>
      <c r="O903" s="7">
        <f>IF(G903="","",F903/G903)</f>
        <v/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4">
        <f>IF(SUMIFS('Daily NSE Equity Cash'!$H:$H,'Daily NSE Equity Cash'!$A:$A,$A904)=0,"",SUMIFS('Daily NSE Equity Cash'!$H:$H,'Daily NSE Equity Cash'!$A:$A,$A904))</f>
        <v/>
      </c>
      <c r="F904" s="4">
        <f>IF(SUMIFS('Daily BSE Equity Cash'!$H:$H,'Daily BSE Equity Cash'!$A:$A,$A904)=0,"",SUMIFS('Daily BSE Equity Cash'!$H:$H,'Daily BSE Equity Cash'!$A:$A,$A904))</f>
        <v/>
      </c>
      <c r="G904" s="4">
        <f>IF(OR(E904="",F904=""),"",E904+F904)</f>
        <v/>
      </c>
      <c r="H904" s="7">
        <f>IFERROR(IF(OR(E904="",INDEX(E:E,MATCH(DATE(YEAR($A904)-1,MONTH($A904),DAY($A904)),$A:$A,0))=""),"",E904/INDEX(E:E,MATCH(DATE(YEAR($A904)-1,MONTH($A904),DAY($A904)),$A:$A,0))-1),"")</f>
        <v/>
      </c>
      <c r="I904" s="7">
        <f>IFERROR(IF(OR(F904="",INDEX(F:F,MATCH(DATE(YEAR($A904)-1,MONTH($A904),DAY($A904)),$A:$A,0))=""),"",F904/INDEX(F:F,MATCH(DATE(YEAR($A904)-1,MONTH($A904),DAY($A904)),$A:$A,0))-1),"")</f>
        <v/>
      </c>
      <c r="J904" s="7">
        <f>IFERROR(IF(OR(G904="",INDEX(G:G,MATCH(DATE(YEAR($A904)-1,MONTH($A904),DAY($A904)),$A:$A,0))=""),"",G904/INDEX(G:G,MATCH(DATE(YEAR($A904)-1,MONTH($A904),DAY($A904)),$A:$A,0))-1),"")</f>
        <v/>
      </c>
      <c r="K904" s="7">
        <f>IF(OR(E904="",E903=""),"",E904/E903-1)</f>
        <v/>
      </c>
      <c r="L904" s="7">
        <f>IF(OR(F904="",F903=""),"",F904/F903-1)</f>
        <v/>
      </c>
      <c r="M904" s="7">
        <f>IF(OR(G904="",G903=""),"",G904/G903-1)</f>
        <v/>
      </c>
      <c r="N904" s="7">
        <f>IF(G904="","",E904/G904)</f>
        <v/>
      </c>
      <c r="O904" s="7">
        <f>IF(G904="","",F904/G904)</f>
        <v/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4">
        <f>IF(SUMIFS('Daily NSE Equity Cash'!$H:$H,'Daily NSE Equity Cash'!$A:$A,$A905)=0,"",SUMIFS('Daily NSE Equity Cash'!$H:$H,'Daily NSE Equity Cash'!$A:$A,$A905))</f>
        <v/>
      </c>
      <c r="F905" s="4">
        <f>IF(SUMIFS('Daily BSE Equity Cash'!$H:$H,'Daily BSE Equity Cash'!$A:$A,$A905)=0,"",SUMIFS('Daily BSE Equity Cash'!$H:$H,'Daily BSE Equity Cash'!$A:$A,$A905))</f>
        <v/>
      </c>
      <c r="G905" s="4">
        <f>IF(OR(E905="",F905=""),"",E905+F905)</f>
        <v/>
      </c>
      <c r="H905" s="7">
        <f>IFERROR(IF(OR(E905="",INDEX(E:E,MATCH(DATE(YEAR($A905)-1,MONTH($A905),DAY($A905)),$A:$A,0))=""),"",E905/INDEX(E:E,MATCH(DATE(YEAR($A905)-1,MONTH($A905),DAY($A905)),$A:$A,0))-1),"")</f>
        <v/>
      </c>
      <c r="I905" s="7">
        <f>IFERROR(IF(OR(F905="",INDEX(F:F,MATCH(DATE(YEAR($A905)-1,MONTH($A905),DAY($A905)),$A:$A,0))=""),"",F905/INDEX(F:F,MATCH(DATE(YEAR($A905)-1,MONTH($A905),DAY($A905)),$A:$A,0))-1),"")</f>
        <v/>
      </c>
      <c r="J905" s="7">
        <f>IFERROR(IF(OR(G905="",INDEX(G:G,MATCH(DATE(YEAR($A905)-1,MONTH($A905),DAY($A905)),$A:$A,0))=""),"",G905/INDEX(G:G,MATCH(DATE(YEAR($A905)-1,MONTH($A905),DAY($A905)),$A:$A,0))-1),"")</f>
        <v/>
      </c>
      <c r="K905" s="7">
        <f>IF(OR(E905="",E904=""),"",E905/E904-1)</f>
        <v/>
      </c>
      <c r="L905" s="7">
        <f>IF(OR(F905="",F904=""),"",F905/F904-1)</f>
        <v/>
      </c>
      <c r="M905" s="7">
        <f>IF(OR(G905="",G904=""),"",G905/G904-1)</f>
        <v/>
      </c>
      <c r="N905" s="7">
        <f>IF(G905="","",E905/G905)</f>
        <v/>
      </c>
      <c r="O905" s="7">
        <f>IF(G905="","",F905/G905)</f>
        <v/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4">
        <f>IF(SUMIFS('Daily NSE Equity Cash'!$H:$H,'Daily NSE Equity Cash'!$A:$A,$A906)=0,"",SUMIFS('Daily NSE Equity Cash'!$H:$H,'Daily NSE Equity Cash'!$A:$A,$A906))</f>
        <v/>
      </c>
      <c r="F906" s="4">
        <f>IF(SUMIFS('Daily BSE Equity Cash'!$H:$H,'Daily BSE Equity Cash'!$A:$A,$A906)=0,"",SUMIFS('Daily BSE Equity Cash'!$H:$H,'Daily BSE Equity Cash'!$A:$A,$A906))</f>
        <v/>
      </c>
      <c r="G906" s="4">
        <f>IF(OR(E906="",F906=""),"",E906+F906)</f>
        <v/>
      </c>
      <c r="H906" s="7">
        <f>IFERROR(IF(OR(E906="",INDEX(E:E,MATCH(DATE(YEAR($A906)-1,MONTH($A906),DAY($A906)),$A:$A,0))=""),"",E906/INDEX(E:E,MATCH(DATE(YEAR($A906)-1,MONTH($A906),DAY($A906)),$A:$A,0))-1),"")</f>
        <v/>
      </c>
      <c r="I906" s="7">
        <f>IFERROR(IF(OR(F906="",INDEX(F:F,MATCH(DATE(YEAR($A906)-1,MONTH($A906),DAY($A906)),$A:$A,0))=""),"",F906/INDEX(F:F,MATCH(DATE(YEAR($A906)-1,MONTH($A906),DAY($A906)),$A:$A,0))-1),"")</f>
        <v/>
      </c>
      <c r="J906" s="7">
        <f>IFERROR(IF(OR(G906="",INDEX(G:G,MATCH(DATE(YEAR($A906)-1,MONTH($A906),DAY($A906)),$A:$A,0))=""),"",G906/INDEX(G:G,MATCH(DATE(YEAR($A906)-1,MONTH($A906),DAY($A906)),$A:$A,0))-1),"")</f>
        <v/>
      </c>
      <c r="K906" s="7">
        <f>IF(OR(E906="",E905=""),"",E906/E905-1)</f>
        <v/>
      </c>
      <c r="L906" s="7">
        <f>IF(OR(F906="",F905=""),"",F906/F905-1)</f>
        <v/>
      </c>
      <c r="M906" s="7">
        <f>IF(OR(G906="",G905=""),"",G906/G905-1)</f>
        <v/>
      </c>
      <c r="N906" s="7">
        <f>IF(G906="","",E906/G906)</f>
        <v/>
      </c>
      <c r="O906" s="7">
        <f>IF(G906="","",F906/G906)</f>
        <v/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4">
        <f>IF(SUMIFS('Daily NSE Equity Cash'!$H:$H,'Daily NSE Equity Cash'!$A:$A,$A907)=0,"",SUMIFS('Daily NSE Equity Cash'!$H:$H,'Daily NSE Equity Cash'!$A:$A,$A907))</f>
        <v/>
      </c>
      <c r="F907" s="4">
        <f>IF(SUMIFS('Daily BSE Equity Cash'!$H:$H,'Daily BSE Equity Cash'!$A:$A,$A907)=0,"",SUMIFS('Daily BSE Equity Cash'!$H:$H,'Daily BSE Equity Cash'!$A:$A,$A907))</f>
        <v/>
      </c>
      <c r="G907" s="4">
        <f>IF(OR(E907="",F907=""),"",E907+F907)</f>
        <v/>
      </c>
      <c r="H907" s="7">
        <f>IFERROR(IF(OR(E907="",INDEX(E:E,MATCH(DATE(YEAR($A907)-1,MONTH($A907),DAY($A907)),$A:$A,0))=""),"",E907/INDEX(E:E,MATCH(DATE(YEAR($A907)-1,MONTH($A907),DAY($A907)),$A:$A,0))-1),"")</f>
        <v/>
      </c>
      <c r="I907" s="7">
        <f>IFERROR(IF(OR(F907="",INDEX(F:F,MATCH(DATE(YEAR($A907)-1,MONTH($A907),DAY($A907)),$A:$A,0))=""),"",F907/INDEX(F:F,MATCH(DATE(YEAR($A907)-1,MONTH($A907),DAY($A907)),$A:$A,0))-1),"")</f>
        <v/>
      </c>
      <c r="J907" s="7">
        <f>IFERROR(IF(OR(G907="",INDEX(G:G,MATCH(DATE(YEAR($A907)-1,MONTH($A907),DAY($A907)),$A:$A,0))=""),"",G907/INDEX(G:G,MATCH(DATE(YEAR($A907)-1,MONTH($A907),DAY($A907)),$A:$A,0))-1),"")</f>
        <v/>
      </c>
      <c r="K907" s="7">
        <f>IF(OR(E907="",E906=""),"",E907/E906-1)</f>
        <v/>
      </c>
      <c r="L907" s="7">
        <f>IF(OR(F907="",F906=""),"",F907/F906-1)</f>
        <v/>
      </c>
      <c r="M907" s="7">
        <f>IF(OR(G907="",G906=""),"",G907/G906-1)</f>
        <v/>
      </c>
      <c r="N907" s="7">
        <f>IF(G907="","",E907/G907)</f>
        <v/>
      </c>
      <c r="O907" s="7">
        <f>IF(G907="","",F907/G907)</f>
        <v/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4">
        <f>IF(SUMIFS('Daily NSE Equity Cash'!$H:$H,'Daily NSE Equity Cash'!$A:$A,$A908)=0,"",SUMIFS('Daily NSE Equity Cash'!$H:$H,'Daily NSE Equity Cash'!$A:$A,$A908))</f>
        <v/>
      </c>
      <c r="F908" s="4">
        <f>IF(SUMIFS('Daily BSE Equity Cash'!$H:$H,'Daily BSE Equity Cash'!$A:$A,$A908)=0,"",SUMIFS('Daily BSE Equity Cash'!$H:$H,'Daily BSE Equity Cash'!$A:$A,$A908))</f>
        <v/>
      </c>
      <c r="G908" s="4">
        <f>IF(OR(E908="",F908=""),"",E908+F908)</f>
        <v/>
      </c>
      <c r="H908" s="7">
        <f>IFERROR(IF(OR(E908="",INDEX(E:E,MATCH(DATE(YEAR($A908)-1,MONTH($A908),DAY($A908)),$A:$A,0))=""),"",E908/INDEX(E:E,MATCH(DATE(YEAR($A908)-1,MONTH($A908),DAY($A908)),$A:$A,0))-1),"")</f>
        <v/>
      </c>
      <c r="I908" s="7">
        <f>IFERROR(IF(OR(F908="",INDEX(F:F,MATCH(DATE(YEAR($A908)-1,MONTH($A908),DAY($A908)),$A:$A,0))=""),"",F908/INDEX(F:F,MATCH(DATE(YEAR($A908)-1,MONTH($A908),DAY($A908)),$A:$A,0))-1),"")</f>
        <v/>
      </c>
      <c r="J908" s="7">
        <f>IFERROR(IF(OR(G908="",INDEX(G:G,MATCH(DATE(YEAR($A908)-1,MONTH($A908),DAY($A908)),$A:$A,0))=""),"",G908/INDEX(G:G,MATCH(DATE(YEAR($A908)-1,MONTH($A908),DAY($A908)),$A:$A,0))-1),"")</f>
        <v/>
      </c>
      <c r="K908" s="7">
        <f>IF(OR(E908="",E907=""),"",E908/E907-1)</f>
        <v/>
      </c>
      <c r="L908" s="7">
        <f>IF(OR(F908="",F907=""),"",F908/F907-1)</f>
        <v/>
      </c>
      <c r="M908" s="7">
        <f>IF(OR(G908="",G907=""),"",G908/G907-1)</f>
        <v/>
      </c>
      <c r="N908" s="7">
        <f>IF(G908="","",E908/G908)</f>
        <v/>
      </c>
      <c r="O908" s="7">
        <f>IF(G908="","",F908/G908)</f>
        <v/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4">
        <f>IF(SUMIFS('Daily NSE Equity Cash'!$H:$H,'Daily NSE Equity Cash'!$A:$A,$A909)=0,"",SUMIFS('Daily NSE Equity Cash'!$H:$H,'Daily NSE Equity Cash'!$A:$A,$A909))</f>
        <v/>
      </c>
      <c r="F909" s="4">
        <f>IF(SUMIFS('Daily BSE Equity Cash'!$H:$H,'Daily BSE Equity Cash'!$A:$A,$A909)=0,"",SUMIFS('Daily BSE Equity Cash'!$H:$H,'Daily BSE Equity Cash'!$A:$A,$A909))</f>
        <v/>
      </c>
      <c r="G909" s="4">
        <f>IF(OR(E909="",F909=""),"",E909+F909)</f>
        <v/>
      </c>
      <c r="H909" s="7">
        <f>IFERROR(IF(OR(E909="",INDEX(E:E,MATCH(DATE(YEAR($A909)-1,MONTH($A909),DAY($A909)),$A:$A,0))=""),"",E909/INDEX(E:E,MATCH(DATE(YEAR($A909)-1,MONTH($A909),DAY($A909)),$A:$A,0))-1),"")</f>
        <v/>
      </c>
      <c r="I909" s="7">
        <f>IFERROR(IF(OR(F909="",INDEX(F:F,MATCH(DATE(YEAR($A909)-1,MONTH($A909),DAY($A909)),$A:$A,0))=""),"",F909/INDEX(F:F,MATCH(DATE(YEAR($A909)-1,MONTH($A909),DAY($A909)),$A:$A,0))-1),"")</f>
        <v/>
      </c>
      <c r="J909" s="7">
        <f>IFERROR(IF(OR(G909="",INDEX(G:G,MATCH(DATE(YEAR($A909)-1,MONTH($A909),DAY($A909)),$A:$A,0))=""),"",G909/INDEX(G:G,MATCH(DATE(YEAR($A909)-1,MONTH($A909),DAY($A909)),$A:$A,0))-1),"")</f>
        <v/>
      </c>
      <c r="K909" s="7">
        <f>IF(OR(E909="",E908=""),"",E909/E908-1)</f>
        <v/>
      </c>
      <c r="L909" s="7">
        <f>IF(OR(F909="",F908=""),"",F909/F908-1)</f>
        <v/>
      </c>
      <c r="M909" s="7">
        <f>IF(OR(G909="",G908=""),"",G909/G908-1)</f>
        <v/>
      </c>
      <c r="N909" s="7">
        <f>IF(G909="","",E909/G909)</f>
        <v/>
      </c>
      <c r="O909" s="7">
        <f>IF(G909="","",F909/G909)</f>
        <v/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4">
        <f>IF(SUMIFS('Daily NSE Equity Cash'!$H:$H,'Daily NSE Equity Cash'!$A:$A,$A910)=0,"",SUMIFS('Daily NSE Equity Cash'!$H:$H,'Daily NSE Equity Cash'!$A:$A,$A910))</f>
        <v/>
      </c>
      <c r="F910" s="4">
        <f>IF(SUMIFS('Daily BSE Equity Cash'!$H:$H,'Daily BSE Equity Cash'!$A:$A,$A910)=0,"",SUMIFS('Daily BSE Equity Cash'!$H:$H,'Daily BSE Equity Cash'!$A:$A,$A910))</f>
        <v/>
      </c>
      <c r="G910" s="4">
        <f>IF(OR(E910="",F910=""),"",E910+F910)</f>
        <v/>
      </c>
      <c r="H910" s="7">
        <f>IFERROR(IF(OR(E910="",INDEX(E:E,MATCH(DATE(YEAR($A910)-1,MONTH($A910),DAY($A910)),$A:$A,0))=""),"",E910/INDEX(E:E,MATCH(DATE(YEAR($A910)-1,MONTH($A910),DAY($A910)),$A:$A,0))-1),"")</f>
        <v/>
      </c>
      <c r="I910" s="7">
        <f>IFERROR(IF(OR(F910="",INDEX(F:F,MATCH(DATE(YEAR($A910)-1,MONTH($A910),DAY($A910)),$A:$A,0))=""),"",F910/INDEX(F:F,MATCH(DATE(YEAR($A910)-1,MONTH($A910),DAY($A910)),$A:$A,0))-1),"")</f>
        <v/>
      </c>
      <c r="J910" s="7">
        <f>IFERROR(IF(OR(G910="",INDEX(G:G,MATCH(DATE(YEAR($A910)-1,MONTH($A910),DAY($A910)),$A:$A,0))=""),"",G910/INDEX(G:G,MATCH(DATE(YEAR($A910)-1,MONTH($A910),DAY($A910)),$A:$A,0))-1),"")</f>
        <v/>
      </c>
      <c r="K910" s="7">
        <f>IF(OR(E910="",E909=""),"",E910/E909-1)</f>
        <v/>
      </c>
      <c r="L910" s="7">
        <f>IF(OR(F910="",F909=""),"",F910/F909-1)</f>
        <v/>
      </c>
      <c r="M910" s="7">
        <f>IF(OR(G910="",G909=""),"",G910/G909-1)</f>
        <v/>
      </c>
      <c r="N910" s="7">
        <f>IF(G910="","",E910/G910)</f>
        <v/>
      </c>
      <c r="O910" s="7">
        <f>IF(G910="","",F910/G910)</f>
        <v/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4">
        <f>IF(SUMIFS('Daily NSE Equity Cash'!$H:$H,'Daily NSE Equity Cash'!$A:$A,$A911)=0,"",SUMIFS('Daily NSE Equity Cash'!$H:$H,'Daily NSE Equity Cash'!$A:$A,$A911))</f>
        <v/>
      </c>
      <c r="F911" s="4">
        <f>IF(SUMIFS('Daily BSE Equity Cash'!$H:$H,'Daily BSE Equity Cash'!$A:$A,$A911)=0,"",SUMIFS('Daily BSE Equity Cash'!$H:$H,'Daily BSE Equity Cash'!$A:$A,$A911))</f>
        <v/>
      </c>
      <c r="G911" s="4">
        <f>IF(OR(E911="",F911=""),"",E911+F911)</f>
        <v/>
      </c>
      <c r="H911" s="7">
        <f>IFERROR(IF(OR(E911="",INDEX(E:E,MATCH(DATE(YEAR($A911)-1,MONTH($A911),DAY($A911)),$A:$A,0))=""),"",E911/INDEX(E:E,MATCH(DATE(YEAR($A911)-1,MONTH($A911),DAY($A911)),$A:$A,0))-1),"")</f>
        <v/>
      </c>
      <c r="I911" s="7">
        <f>IFERROR(IF(OR(F911="",INDEX(F:F,MATCH(DATE(YEAR($A911)-1,MONTH($A911),DAY($A911)),$A:$A,0))=""),"",F911/INDEX(F:F,MATCH(DATE(YEAR($A911)-1,MONTH($A911),DAY($A911)),$A:$A,0))-1),"")</f>
        <v/>
      </c>
      <c r="J911" s="7">
        <f>IFERROR(IF(OR(G911="",INDEX(G:G,MATCH(DATE(YEAR($A911)-1,MONTH($A911),DAY($A911)),$A:$A,0))=""),"",G911/INDEX(G:G,MATCH(DATE(YEAR($A911)-1,MONTH($A911),DAY($A911)),$A:$A,0))-1),"")</f>
        <v/>
      </c>
      <c r="K911" s="7">
        <f>IF(OR(E911="",E910=""),"",E911/E910-1)</f>
        <v/>
      </c>
      <c r="L911" s="7">
        <f>IF(OR(F911="",F910=""),"",F911/F910-1)</f>
        <v/>
      </c>
      <c r="M911" s="7">
        <f>IF(OR(G911="",G910=""),"",G911/G910-1)</f>
        <v/>
      </c>
      <c r="N911" s="7">
        <f>IF(G911="","",E911/G911)</f>
        <v/>
      </c>
      <c r="O911" s="7">
        <f>IF(G911="","",F911/G911)</f>
        <v/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4">
        <f>IF(SUMIFS('Daily NSE Equity Cash'!$H:$H,'Daily NSE Equity Cash'!$A:$A,$A912)=0,"",SUMIFS('Daily NSE Equity Cash'!$H:$H,'Daily NSE Equity Cash'!$A:$A,$A912))</f>
        <v/>
      </c>
      <c r="F912" s="4">
        <f>IF(SUMIFS('Daily BSE Equity Cash'!$H:$H,'Daily BSE Equity Cash'!$A:$A,$A912)=0,"",SUMIFS('Daily BSE Equity Cash'!$H:$H,'Daily BSE Equity Cash'!$A:$A,$A912))</f>
        <v/>
      </c>
      <c r="G912" s="4">
        <f>IF(OR(E912="",F912=""),"",E912+F912)</f>
        <v/>
      </c>
      <c r="H912" s="7">
        <f>IFERROR(IF(OR(E912="",INDEX(E:E,MATCH(DATE(YEAR($A912)-1,MONTH($A912),DAY($A912)),$A:$A,0))=""),"",E912/INDEX(E:E,MATCH(DATE(YEAR($A912)-1,MONTH($A912),DAY($A912)),$A:$A,0))-1),"")</f>
        <v/>
      </c>
      <c r="I912" s="7">
        <f>IFERROR(IF(OR(F912="",INDEX(F:F,MATCH(DATE(YEAR($A912)-1,MONTH($A912),DAY($A912)),$A:$A,0))=""),"",F912/INDEX(F:F,MATCH(DATE(YEAR($A912)-1,MONTH($A912),DAY($A912)),$A:$A,0))-1),"")</f>
        <v/>
      </c>
      <c r="J912" s="7">
        <f>IFERROR(IF(OR(G912="",INDEX(G:G,MATCH(DATE(YEAR($A912)-1,MONTH($A912),DAY($A912)),$A:$A,0))=""),"",G912/INDEX(G:G,MATCH(DATE(YEAR($A912)-1,MONTH($A912),DAY($A912)),$A:$A,0))-1),"")</f>
        <v/>
      </c>
      <c r="K912" s="7">
        <f>IF(OR(E912="",E911=""),"",E912/E911-1)</f>
        <v/>
      </c>
      <c r="L912" s="7">
        <f>IF(OR(F912="",F911=""),"",F912/F911-1)</f>
        <v/>
      </c>
      <c r="M912" s="7">
        <f>IF(OR(G912="",G911=""),"",G912/G911-1)</f>
        <v/>
      </c>
      <c r="N912" s="7">
        <f>IF(G912="","",E912/G912)</f>
        <v/>
      </c>
      <c r="O912" s="7">
        <f>IF(G912="","",F912/G912)</f>
        <v/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4">
        <f>IF(SUMIFS('Daily NSE Equity Cash'!$H:$H,'Daily NSE Equity Cash'!$A:$A,$A913)=0,"",SUMIFS('Daily NSE Equity Cash'!$H:$H,'Daily NSE Equity Cash'!$A:$A,$A913))</f>
        <v/>
      </c>
      <c r="F913" s="4">
        <f>IF(SUMIFS('Daily BSE Equity Cash'!$H:$H,'Daily BSE Equity Cash'!$A:$A,$A913)=0,"",SUMIFS('Daily BSE Equity Cash'!$H:$H,'Daily BSE Equity Cash'!$A:$A,$A913))</f>
        <v/>
      </c>
      <c r="G913" s="4">
        <f>IF(OR(E913="",F913=""),"",E913+F913)</f>
        <v/>
      </c>
      <c r="H913" s="7">
        <f>IFERROR(IF(OR(E913="",INDEX(E:E,MATCH(DATE(YEAR($A913)-1,MONTH($A913),DAY($A913)),$A:$A,0))=""),"",E913/INDEX(E:E,MATCH(DATE(YEAR($A913)-1,MONTH($A913),DAY($A913)),$A:$A,0))-1),"")</f>
        <v/>
      </c>
      <c r="I913" s="7">
        <f>IFERROR(IF(OR(F913="",INDEX(F:F,MATCH(DATE(YEAR($A913)-1,MONTH($A913),DAY($A913)),$A:$A,0))=""),"",F913/INDEX(F:F,MATCH(DATE(YEAR($A913)-1,MONTH($A913),DAY($A913)),$A:$A,0))-1),"")</f>
        <v/>
      </c>
      <c r="J913" s="7">
        <f>IFERROR(IF(OR(G913="",INDEX(G:G,MATCH(DATE(YEAR($A913)-1,MONTH($A913),DAY($A913)),$A:$A,0))=""),"",G913/INDEX(G:G,MATCH(DATE(YEAR($A913)-1,MONTH($A913),DAY($A913)),$A:$A,0))-1),"")</f>
        <v/>
      </c>
      <c r="K913" s="7">
        <f>IF(OR(E913="",E912=""),"",E913/E912-1)</f>
        <v/>
      </c>
      <c r="L913" s="7">
        <f>IF(OR(F913="",F912=""),"",F913/F912-1)</f>
        <v/>
      </c>
      <c r="M913" s="7">
        <f>IF(OR(G913="",G912=""),"",G913/G912-1)</f>
        <v/>
      </c>
      <c r="N913" s="7">
        <f>IF(G913="","",E913/G913)</f>
        <v/>
      </c>
      <c r="O913" s="7">
        <f>IF(G913="","",F913/G913)</f>
        <v/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4">
        <f>IF(SUMIFS('Daily NSE Equity Cash'!$H:$H,'Daily NSE Equity Cash'!$A:$A,$A914)=0,"",SUMIFS('Daily NSE Equity Cash'!$H:$H,'Daily NSE Equity Cash'!$A:$A,$A914))</f>
        <v/>
      </c>
      <c r="F914" s="4">
        <f>IF(SUMIFS('Daily BSE Equity Cash'!$H:$H,'Daily BSE Equity Cash'!$A:$A,$A914)=0,"",SUMIFS('Daily BSE Equity Cash'!$H:$H,'Daily BSE Equity Cash'!$A:$A,$A914))</f>
        <v/>
      </c>
      <c r="G914" s="4">
        <f>IF(OR(E914="",F914=""),"",E914+F914)</f>
        <v/>
      </c>
      <c r="H914" s="7">
        <f>IFERROR(IF(OR(E914="",INDEX(E:E,MATCH(DATE(YEAR($A914)-1,MONTH($A914),DAY($A914)),$A:$A,0))=""),"",E914/INDEX(E:E,MATCH(DATE(YEAR($A914)-1,MONTH($A914),DAY($A914)),$A:$A,0))-1),"")</f>
        <v/>
      </c>
      <c r="I914" s="7">
        <f>IFERROR(IF(OR(F914="",INDEX(F:F,MATCH(DATE(YEAR($A914)-1,MONTH($A914),DAY($A914)),$A:$A,0))=""),"",F914/INDEX(F:F,MATCH(DATE(YEAR($A914)-1,MONTH($A914),DAY($A914)),$A:$A,0))-1),"")</f>
        <v/>
      </c>
      <c r="J914" s="7">
        <f>IFERROR(IF(OR(G914="",INDEX(G:G,MATCH(DATE(YEAR($A914)-1,MONTH($A914),DAY($A914)),$A:$A,0))=""),"",G914/INDEX(G:G,MATCH(DATE(YEAR($A914)-1,MONTH($A914),DAY($A914)),$A:$A,0))-1),"")</f>
        <v/>
      </c>
      <c r="K914" s="7">
        <f>IF(OR(E914="",E913=""),"",E914/E913-1)</f>
        <v/>
      </c>
      <c r="L914" s="7">
        <f>IF(OR(F914="",F913=""),"",F914/F913-1)</f>
        <v/>
      </c>
      <c r="M914" s="7">
        <f>IF(OR(G914="",G913=""),"",G914/G913-1)</f>
        <v/>
      </c>
      <c r="N914" s="7">
        <f>IF(G914="","",E914/G914)</f>
        <v/>
      </c>
      <c r="O914" s="7">
        <f>IF(G914="","",F914/G914)</f>
        <v/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4">
        <f>IF(SUMIFS('Daily NSE Equity Cash'!$H:$H,'Daily NSE Equity Cash'!$A:$A,$A915)=0,"",SUMIFS('Daily NSE Equity Cash'!$H:$H,'Daily NSE Equity Cash'!$A:$A,$A915))</f>
        <v/>
      </c>
      <c r="F915" s="4">
        <f>IF(SUMIFS('Daily BSE Equity Cash'!$H:$H,'Daily BSE Equity Cash'!$A:$A,$A915)=0,"",SUMIFS('Daily BSE Equity Cash'!$H:$H,'Daily BSE Equity Cash'!$A:$A,$A915))</f>
        <v/>
      </c>
      <c r="G915" s="4">
        <f>IF(OR(E915="",F915=""),"",E915+F915)</f>
        <v/>
      </c>
      <c r="H915" s="7">
        <f>IFERROR(IF(OR(E915="",INDEX(E:E,MATCH(DATE(YEAR($A915)-1,MONTH($A915),DAY($A915)),$A:$A,0))=""),"",E915/INDEX(E:E,MATCH(DATE(YEAR($A915)-1,MONTH($A915),DAY($A915)),$A:$A,0))-1),"")</f>
        <v/>
      </c>
      <c r="I915" s="7">
        <f>IFERROR(IF(OR(F915="",INDEX(F:F,MATCH(DATE(YEAR($A915)-1,MONTH($A915),DAY($A915)),$A:$A,0))=""),"",F915/INDEX(F:F,MATCH(DATE(YEAR($A915)-1,MONTH($A915),DAY($A915)),$A:$A,0))-1),"")</f>
        <v/>
      </c>
      <c r="J915" s="7">
        <f>IFERROR(IF(OR(G915="",INDEX(G:G,MATCH(DATE(YEAR($A915)-1,MONTH($A915),DAY($A915)),$A:$A,0))=""),"",G915/INDEX(G:G,MATCH(DATE(YEAR($A915)-1,MONTH($A915),DAY($A915)),$A:$A,0))-1),"")</f>
        <v/>
      </c>
      <c r="K915" s="7">
        <f>IF(OR(E915="",E914=""),"",E915/E914-1)</f>
        <v/>
      </c>
      <c r="L915" s="7">
        <f>IF(OR(F915="",F914=""),"",F915/F914-1)</f>
        <v/>
      </c>
      <c r="M915" s="7">
        <f>IF(OR(G915="",G914=""),"",G915/G914-1)</f>
        <v/>
      </c>
      <c r="N915" s="7">
        <f>IF(G915="","",E915/G915)</f>
        <v/>
      </c>
      <c r="O915" s="7">
        <f>IF(G915="","",F915/G915)</f>
        <v/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4">
        <f>IF(SUMIFS('Daily NSE Equity Cash'!$H:$H,'Daily NSE Equity Cash'!$A:$A,$A916)=0,"",SUMIFS('Daily NSE Equity Cash'!$H:$H,'Daily NSE Equity Cash'!$A:$A,$A916))</f>
        <v/>
      </c>
      <c r="F916" s="4">
        <f>IF(SUMIFS('Daily BSE Equity Cash'!$H:$H,'Daily BSE Equity Cash'!$A:$A,$A916)=0,"",SUMIFS('Daily BSE Equity Cash'!$H:$H,'Daily BSE Equity Cash'!$A:$A,$A916))</f>
        <v/>
      </c>
      <c r="G916" s="4">
        <f>IF(OR(E916="",F916=""),"",E916+F916)</f>
        <v/>
      </c>
      <c r="H916" s="7">
        <f>IFERROR(IF(OR(E916="",INDEX(E:E,MATCH(DATE(YEAR($A916)-1,MONTH($A916),DAY($A916)),$A:$A,0))=""),"",E916/INDEX(E:E,MATCH(DATE(YEAR($A916)-1,MONTH($A916),DAY($A916)),$A:$A,0))-1),"")</f>
        <v/>
      </c>
      <c r="I916" s="7">
        <f>IFERROR(IF(OR(F916="",INDEX(F:F,MATCH(DATE(YEAR($A916)-1,MONTH($A916),DAY($A916)),$A:$A,0))=""),"",F916/INDEX(F:F,MATCH(DATE(YEAR($A916)-1,MONTH($A916),DAY($A916)),$A:$A,0))-1),"")</f>
        <v/>
      </c>
      <c r="J916" s="7">
        <f>IFERROR(IF(OR(G916="",INDEX(G:G,MATCH(DATE(YEAR($A916)-1,MONTH($A916),DAY($A916)),$A:$A,0))=""),"",G916/INDEX(G:G,MATCH(DATE(YEAR($A916)-1,MONTH($A916),DAY($A916)),$A:$A,0))-1),"")</f>
        <v/>
      </c>
      <c r="K916" s="7">
        <f>IF(OR(E916="",E915=""),"",E916/E915-1)</f>
        <v/>
      </c>
      <c r="L916" s="7">
        <f>IF(OR(F916="",F915=""),"",F916/F915-1)</f>
        <v/>
      </c>
      <c r="M916" s="7">
        <f>IF(OR(G916="",G915=""),"",G916/G915-1)</f>
        <v/>
      </c>
      <c r="N916" s="7">
        <f>IF(G916="","",E916/G916)</f>
        <v/>
      </c>
      <c r="O916" s="7">
        <f>IF(G916="","",F916/G916)</f>
        <v/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4">
        <f>IF(SUMIFS('Daily NSE Equity Cash'!$H:$H,'Daily NSE Equity Cash'!$A:$A,$A917)=0,"",SUMIFS('Daily NSE Equity Cash'!$H:$H,'Daily NSE Equity Cash'!$A:$A,$A917))</f>
        <v/>
      </c>
      <c r="F917" s="4">
        <f>IF(SUMIFS('Daily BSE Equity Cash'!$H:$H,'Daily BSE Equity Cash'!$A:$A,$A917)=0,"",SUMIFS('Daily BSE Equity Cash'!$H:$H,'Daily BSE Equity Cash'!$A:$A,$A917))</f>
        <v/>
      </c>
      <c r="G917" s="4">
        <f>IF(OR(E917="",F917=""),"",E917+F917)</f>
        <v/>
      </c>
      <c r="H917" s="7">
        <f>IFERROR(IF(OR(E917="",INDEX(E:E,MATCH(DATE(YEAR($A917)-1,MONTH($A917),DAY($A917)),$A:$A,0))=""),"",E917/INDEX(E:E,MATCH(DATE(YEAR($A917)-1,MONTH($A917),DAY($A917)),$A:$A,0))-1),"")</f>
        <v/>
      </c>
      <c r="I917" s="7">
        <f>IFERROR(IF(OR(F917="",INDEX(F:F,MATCH(DATE(YEAR($A917)-1,MONTH($A917),DAY($A917)),$A:$A,0))=""),"",F917/INDEX(F:F,MATCH(DATE(YEAR($A917)-1,MONTH($A917),DAY($A917)),$A:$A,0))-1),"")</f>
        <v/>
      </c>
      <c r="J917" s="7">
        <f>IFERROR(IF(OR(G917="",INDEX(G:G,MATCH(DATE(YEAR($A917)-1,MONTH($A917),DAY($A917)),$A:$A,0))=""),"",G917/INDEX(G:G,MATCH(DATE(YEAR($A917)-1,MONTH($A917),DAY($A917)),$A:$A,0))-1),"")</f>
        <v/>
      </c>
      <c r="K917" s="7">
        <f>IF(OR(E917="",E916=""),"",E917/E916-1)</f>
        <v/>
      </c>
      <c r="L917" s="7">
        <f>IF(OR(F917="",F916=""),"",F917/F916-1)</f>
        <v/>
      </c>
      <c r="M917" s="7">
        <f>IF(OR(G917="",G916=""),"",G917/G916-1)</f>
        <v/>
      </c>
      <c r="N917" s="7">
        <f>IF(G917="","",E917/G917)</f>
        <v/>
      </c>
      <c r="O917" s="7">
        <f>IF(G917="","",F917/G917)</f>
        <v/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4">
        <f>IF(SUMIFS('Daily NSE Equity Cash'!$H:$H,'Daily NSE Equity Cash'!$A:$A,$A918)=0,"",SUMIFS('Daily NSE Equity Cash'!$H:$H,'Daily NSE Equity Cash'!$A:$A,$A918))</f>
        <v/>
      </c>
      <c r="F918" s="4">
        <f>IF(SUMIFS('Daily BSE Equity Cash'!$H:$H,'Daily BSE Equity Cash'!$A:$A,$A918)=0,"",SUMIFS('Daily BSE Equity Cash'!$H:$H,'Daily BSE Equity Cash'!$A:$A,$A918))</f>
        <v/>
      </c>
      <c r="G918" s="4">
        <f>IF(OR(E918="",F918=""),"",E918+F918)</f>
        <v/>
      </c>
      <c r="H918" s="7">
        <f>IFERROR(IF(OR(E918="",INDEX(E:E,MATCH(DATE(YEAR($A918)-1,MONTH($A918),DAY($A918)),$A:$A,0))=""),"",E918/INDEX(E:E,MATCH(DATE(YEAR($A918)-1,MONTH($A918),DAY($A918)),$A:$A,0))-1),"")</f>
        <v/>
      </c>
      <c r="I918" s="7">
        <f>IFERROR(IF(OR(F918="",INDEX(F:F,MATCH(DATE(YEAR($A918)-1,MONTH($A918),DAY($A918)),$A:$A,0))=""),"",F918/INDEX(F:F,MATCH(DATE(YEAR($A918)-1,MONTH($A918),DAY($A918)),$A:$A,0))-1),"")</f>
        <v/>
      </c>
      <c r="J918" s="7">
        <f>IFERROR(IF(OR(G918="",INDEX(G:G,MATCH(DATE(YEAR($A918)-1,MONTH($A918),DAY($A918)),$A:$A,0))=""),"",G918/INDEX(G:G,MATCH(DATE(YEAR($A918)-1,MONTH($A918),DAY($A918)),$A:$A,0))-1),"")</f>
        <v/>
      </c>
      <c r="K918" s="7">
        <f>IF(OR(E918="",E917=""),"",E918/E917-1)</f>
        <v/>
      </c>
      <c r="L918" s="7">
        <f>IF(OR(F918="",F917=""),"",F918/F917-1)</f>
        <v/>
      </c>
      <c r="M918" s="7">
        <f>IF(OR(G918="",G917=""),"",G918/G917-1)</f>
        <v/>
      </c>
      <c r="N918" s="7">
        <f>IF(G918="","",E918/G918)</f>
        <v/>
      </c>
      <c r="O918" s="7">
        <f>IF(G918="","",F918/G918)</f>
        <v/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4">
        <f>IF(SUMIFS('Daily NSE Equity Cash'!$H:$H,'Daily NSE Equity Cash'!$A:$A,$A919)=0,"",SUMIFS('Daily NSE Equity Cash'!$H:$H,'Daily NSE Equity Cash'!$A:$A,$A919))</f>
        <v/>
      </c>
      <c r="F919" s="4">
        <f>IF(SUMIFS('Daily BSE Equity Cash'!$H:$H,'Daily BSE Equity Cash'!$A:$A,$A919)=0,"",SUMIFS('Daily BSE Equity Cash'!$H:$H,'Daily BSE Equity Cash'!$A:$A,$A919))</f>
        <v/>
      </c>
      <c r="G919" s="4">
        <f>IF(OR(E919="",F919=""),"",E919+F919)</f>
        <v/>
      </c>
      <c r="H919" s="7">
        <f>IFERROR(IF(OR(E919="",INDEX(E:E,MATCH(DATE(YEAR($A919)-1,MONTH($A919),DAY($A919)),$A:$A,0))=""),"",E919/INDEX(E:E,MATCH(DATE(YEAR($A919)-1,MONTH($A919),DAY($A919)),$A:$A,0))-1),"")</f>
        <v/>
      </c>
      <c r="I919" s="7">
        <f>IFERROR(IF(OR(F919="",INDEX(F:F,MATCH(DATE(YEAR($A919)-1,MONTH($A919),DAY($A919)),$A:$A,0))=""),"",F919/INDEX(F:F,MATCH(DATE(YEAR($A919)-1,MONTH($A919),DAY($A919)),$A:$A,0))-1),"")</f>
        <v/>
      </c>
      <c r="J919" s="7">
        <f>IFERROR(IF(OR(G919="",INDEX(G:G,MATCH(DATE(YEAR($A919)-1,MONTH($A919),DAY($A919)),$A:$A,0))=""),"",G919/INDEX(G:G,MATCH(DATE(YEAR($A919)-1,MONTH($A919),DAY($A919)),$A:$A,0))-1),"")</f>
        <v/>
      </c>
      <c r="K919" s="7">
        <f>IF(OR(E919="",E918=""),"",E919/E918-1)</f>
        <v/>
      </c>
      <c r="L919" s="7">
        <f>IF(OR(F919="",F918=""),"",F919/F918-1)</f>
        <v/>
      </c>
      <c r="M919" s="7">
        <f>IF(OR(G919="",G918=""),"",G919/G918-1)</f>
        <v/>
      </c>
      <c r="N919" s="7">
        <f>IF(G919="","",E919/G919)</f>
        <v/>
      </c>
      <c r="O919" s="7">
        <f>IF(G919="","",F919/G919)</f>
        <v/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4">
        <f>IF(SUMIFS('Daily NSE Equity Cash'!$H:$H,'Daily NSE Equity Cash'!$A:$A,$A920)=0,"",SUMIFS('Daily NSE Equity Cash'!$H:$H,'Daily NSE Equity Cash'!$A:$A,$A920))</f>
        <v/>
      </c>
      <c r="F920" s="4">
        <f>IF(SUMIFS('Daily BSE Equity Cash'!$H:$H,'Daily BSE Equity Cash'!$A:$A,$A920)=0,"",SUMIFS('Daily BSE Equity Cash'!$H:$H,'Daily BSE Equity Cash'!$A:$A,$A920))</f>
        <v/>
      </c>
      <c r="G920" s="4">
        <f>IF(OR(E920="",F920=""),"",E920+F920)</f>
        <v/>
      </c>
      <c r="H920" s="7">
        <f>IFERROR(IF(OR(E920="",INDEX(E:E,MATCH(DATE(YEAR($A920)-1,MONTH($A920),DAY($A920)),$A:$A,0))=""),"",E920/INDEX(E:E,MATCH(DATE(YEAR($A920)-1,MONTH($A920),DAY($A920)),$A:$A,0))-1),"")</f>
        <v/>
      </c>
      <c r="I920" s="7">
        <f>IFERROR(IF(OR(F920="",INDEX(F:F,MATCH(DATE(YEAR($A920)-1,MONTH($A920),DAY($A920)),$A:$A,0))=""),"",F920/INDEX(F:F,MATCH(DATE(YEAR($A920)-1,MONTH($A920),DAY($A920)),$A:$A,0))-1),"")</f>
        <v/>
      </c>
      <c r="J920" s="7">
        <f>IFERROR(IF(OR(G920="",INDEX(G:G,MATCH(DATE(YEAR($A920)-1,MONTH($A920),DAY($A920)),$A:$A,0))=""),"",G920/INDEX(G:G,MATCH(DATE(YEAR($A920)-1,MONTH($A920),DAY($A920)),$A:$A,0))-1),"")</f>
        <v/>
      </c>
      <c r="K920" s="7">
        <f>IF(OR(E920="",E919=""),"",E920/E919-1)</f>
        <v/>
      </c>
      <c r="L920" s="7">
        <f>IF(OR(F920="",F919=""),"",F920/F919-1)</f>
        <v/>
      </c>
      <c r="M920" s="7">
        <f>IF(OR(G920="",G919=""),"",G920/G919-1)</f>
        <v/>
      </c>
      <c r="N920" s="7">
        <f>IF(G920="","",E920/G920)</f>
        <v/>
      </c>
      <c r="O920" s="7">
        <f>IF(G920="","",F920/G920)</f>
        <v/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4">
        <f>IF(SUMIFS('Daily NSE Equity Cash'!$H:$H,'Daily NSE Equity Cash'!$A:$A,$A921)=0,"",SUMIFS('Daily NSE Equity Cash'!$H:$H,'Daily NSE Equity Cash'!$A:$A,$A921))</f>
        <v/>
      </c>
      <c r="F921" s="4">
        <f>IF(SUMIFS('Daily BSE Equity Cash'!$H:$H,'Daily BSE Equity Cash'!$A:$A,$A921)=0,"",SUMIFS('Daily BSE Equity Cash'!$H:$H,'Daily BSE Equity Cash'!$A:$A,$A921))</f>
        <v/>
      </c>
      <c r="G921" s="4">
        <f>IF(OR(E921="",F921=""),"",E921+F921)</f>
        <v/>
      </c>
      <c r="H921" s="7">
        <f>IFERROR(IF(OR(E921="",INDEX(E:E,MATCH(DATE(YEAR($A921)-1,MONTH($A921),DAY($A921)),$A:$A,0))=""),"",E921/INDEX(E:E,MATCH(DATE(YEAR($A921)-1,MONTH($A921),DAY($A921)),$A:$A,0))-1),"")</f>
        <v/>
      </c>
      <c r="I921" s="7">
        <f>IFERROR(IF(OR(F921="",INDEX(F:F,MATCH(DATE(YEAR($A921)-1,MONTH($A921),DAY($A921)),$A:$A,0))=""),"",F921/INDEX(F:F,MATCH(DATE(YEAR($A921)-1,MONTH($A921),DAY($A921)),$A:$A,0))-1),"")</f>
        <v/>
      </c>
      <c r="J921" s="7">
        <f>IFERROR(IF(OR(G921="",INDEX(G:G,MATCH(DATE(YEAR($A921)-1,MONTH($A921),DAY($A921)),$A:$A,0))=""),"",G921/INDEX(G:G,MATCH(DATE(YEAR($A921)-1,MONTH($A921),DAY($A921)),$A:$A,0))-1),"")</f>
        <v/>
      </c>
      <c r="K921" s="7">
        <f>IF(OR(E921="",E920=""),"",E921/E920-1)</f>
        <v/>
      </c>
      <c r="L921" s="7">
        <f>IF(OR(F921="",F920=""),"",F921/F920-1)</f>
        <v/>
      </c>
      <c r="M921" s="7">
        <f>IF(OR(G921="",G920=""),"",G921/G920-1)</f>
        <v/>
      </c>
      <c r="N921" s="7">
        <f>IF(G921="","",E921/G921)</f>
        <v/>
      </c>
      <c r="O921" s="7">
        <f>IF(G921="","",F921/G921)</f>
        <v/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4">
        <f>IF(SUMIFS('Daily NSE Equity Cash'!$H:$H,'Daily NSE Equity Cash'!$A:$A,$A922)=0,"",SUMIFS('Daily NSE Equity Cash'!$H:$H,'Daily NSE Equity Cash'!$A:$A,$A922))</f>
        <v/>
      </c>
      <c r="F922" s="4">
        <f>IF(SUMIFS('Daily BSE Equity Cash'!$H:$H,'Daily BSE Equity Cash'!$A:$A,$A922)=0,"",SUMIFS('Daily BSE Equity Cash'!$H:$H,'Daily BSE Equity Cash'!$A:$A,$A922))</f>
        <v/>
      </c>
      <c r="G922" s="4">
        <f>IF(OR(E922="",F922=""),"",E922+F922)</f>
        <v/>
      </c>
      <c r="H922" s="7">
        <f>IFERROR(IF(OR(E922="",INDEX(E:E,MATCH(DATE(YEAR($A922)-1,MONTH($A922),DAY($A922)),$A:$A,0))=""),"",E922/INDEX(E:E,MATCH(DATE(YEAR($A922)-1,MONTH($A922),DAY($A922)),$A:$A,0))-1),"")</f>
        <v/>
      </c>
      <c r="I922" s="7">
        <f>IFERROR(IF(OR(F922="",INDEX(F:F,MATCH(DATE(YEAR($A922)-1,MONTH($A922),DAY($A922)),$A:$A,0))=""),"",F922/INDEX(F:F,MATCH(DATE(YEAR($A922)-1,MONTH($A922),DAY($A922)),$A:$A,0))-1),"")</f>
        <v/>
      </c>
      <c r="J922" s="7">
        <f>IFERROR(IF(OR(G922="",INDEX(G:G,MATCH(DATE(YEAR($A922)-1,MONTH($A922),DAY($A922)),$A:$A,0))=""),"",G922/INDEX(G:G,MATCH(DATE(YEAR($A922)-1,MONTH($A922),DAY($A922)),$A:$A,0))-1),"")</f>
        <v/>
      </c>
      <c r="K922" s="7">
        <f>IF(OR(E922="",E921=""),"",E922/E921-1)</f>
        <v/>
      </c>
      <c r="L922" s="7">
        <f>IF(OR(F922="",F921=""),"",F922/F921-1)</f>
        <v/>
      </c>
      <c r="M922" s="7">
        <f>IF(OR(G922="",G921=""),"",G922/G921-1)</f>
        <v/>
      </c>
      <c r="N922" s="7">
        <f>IF(G922="","",E922/G922)</f>
        <v/>
      </c>
      <c r="O922" s="7">
        <f>IF(G922="","",F922/G922)</f>
        <v/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4">
        <f>IF(SUMIFS('Daily NSE Equity Cash'!$H:$H,'Daily NSE Equity Cash'!$A:$A,$A923)=0,"",SUMIFS('Daily NSE Equity Cash'!$H:$H,'Daily NSE Equity Cash'!$A:$A,$A923))</f>
        <v/>
      </c>
      <c r="F923" s="4">
        <f>IF(SUMIFS('Daily BSE Equity Cash'!$H:$H,'Daily BSE Equity Cash'!$A:$A,$A923)=0,"",SUMIFS('Daily BSE Equity Cash'!$H:$H,'Daily BSE Equity Cash'!$A:$A,$A923))</f>
        <v/>
      </c>
      <c r="G923" s="4">
        <f>IF(OR(E923="",F923=""),"",E923+F923)</f>
        <v/>
      </c>
      <c r="H923" s="7">
        <f>IFERROR(IF(OR(E923="",INDEX(E:E,MATCH(DATE(YEAR($A923)-1,MONTH($A923),DAY($A923)),$A:$A,0))=""),"",E923/INDEX(E:E,MATCH(DATE(YEAR($A923)-1,MONTH($A923),DAY($A923)),$A:$A,0))-1),"")</f>
        <v/>
      </c>
      <c r="I923" s="7">
        <f>IFERROR(IF(OR(F923="",INDEX(F:F,MATCH(DATE(YEAR($A923)-1,MONTH($A923),DAY($A923)),$A:$A,0))=""),"",F923/INDEX(F:F,MATCH(DATE(YEAR($A923)-1,MONTH($A923),DAY($A923)),$A:$A,0))-1),"")</f>
        <v/>
      </c>
      <c r="J923" s="7">
        <f>IFERROR(IF(OR(G923="",INDEX(G:G,MATCH(DATE(YEAR($A923)-1,MONTH($A923),DAY($A923)),$A:$A,0))=""),"",G923/INDEX(G:G,MATCH(DATE(YEAR($A923)-1,MONTH($A923),DAY($A923)),$A:$A,0))-1),"")</f>
        <v/>
      </c>
      <c r="K923" s="7">
        <f>IF(OR(E923="",E922=""),"",E923/E922-1)</f>
        <v/>
      </c>
      <c r="L923" s="7">
        <f>IF(OR(F923="",F922=""),"",F923/F922-1)</f>
        <v/>
      </c>
      <c r="M923" s="7">
        <f>IF(OR(G923="",G922=""),"",G923/G922-1)</f>
        <v/>
      </c>
      <c r="N923" s="7">
        <f>IF(G923="","",E923/G923)</f>
        <v/>
      </c>
      <c r="O923" s="7">
        <f>IF(G923="","",F923/G923)</f>
        <v/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4">
        <f>IF(SUMIFS('Daily NSE Equity Cash'!$H:$H,'Daily NSE Equity Cash'!$A:$A,$A924)=0,"",SUMIFS('Daily NSE Equity Cash'!$H:$H,'Daily NSE Equity Cash'!$A:$A,$A924))</f>
        <v/>
      </c>
      <c r="F924" s="4">
        <f>IF(SUMIFS('Daily BSE Equity Cash'!$H:$H,'Daily BSE Equity Cash'!$A:$A,$A924)=0,"",SUMIFS('Daily BSE Equity Cash'!$H:$H,'Daily BSE Equity Cash'!$A:$A,$A924))</f>
        <v/>
      </c>
      <c r="G924" s="4">
        <f>IF(OR(E924="",F924=""),"",E924+F924)</f>
        <v/>
      </c>
      <c r="H924" s="7">
        <f>IFERROR(IF(OR(E924="",INDEX(E:E,MATCH(DATE(YEAR($A924)-1,MONTH($A924),DAY($A924)),$A:$A,0))=""),"",E924/INDEX(E:E,MATCH(DATE(YEAR($A924)-1,MONTH($A924),DAY($A924)),$A:$A,0))-1),"")</f>
        <v/>
      </c>
      <c r="I924" s="7">
        <f>IFERROR(IF(OR(F924="",INDEX(F:F,MATCH(DATE(YEAR($A924)-1,MONTH($A924),DAY($A924)),$A:$A,0))=""),"",F924/INDEX(F:F,MATCH(DATE(YEAR($A924)-1,MONTH($A924),DAY($A924)),$A:$A,0))-1),"")</f>
        <v/>
      </c>
      <c r="J924" s="7">
        <f>IFERROR(IF(OR(G924="",INDEX(G:G,MATCH(DATE(YEAR($A924)-1,MONTH($A924),DAY($A924)),$A:$A,0))=""),"",G924/INDEX(G:G,MATCH(DATE(YEAR($A924)-1,MONTH($A924),DAY($A924)),$A:$A,0))-1),"")</f>
        <v/>
      </c>
      <c r="K924" s="7">
        <f>IF(OR(E924="",E923=""),"",E924/E923-1)</f>
        <v/>
      </c>
      <c r="L924" s="7">
        <f>IF(OR(F924="",F923=""),"",F924/F923-1)</f>
        <v/>
      </c>
      <c r="M924" s="7">
        <f>IF(OR(G924="",G923=""),"",G924/G923-1)</f>
        <v/>
      </c>
      <c r="N924" s="7">
        <f>IF(G924="","",E924/G924)</f>
        <v/>
      </c>
      <c r="O924" s="7">
        <f>IF(G924="","",F924/G924)</f>
        <v/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4">
        <f>IF(SUMIFS('Daily NSE Equity Cash'!$H:$H,'Daily NSE Equity Cash'!$A:$A,$A925)=0,"",SUMIFS('Daily NSE Equity Cash'!$H:$H,'Daily NSE Equity Cash'!$A:$A,$A925))</f>
        <v/>
      </c>
      <c r="F925" s="4">
        <f>IF(SUMIFS('Daily BSE Equity Cash'!$H:$H,'Daily BSE Equity Cash'!$A:$A,$A925)=0,"",SUMIFS('Daily BSE Equity Cash'!$H:$H,'Daily BSE Equity Cash'!$A:$A,$A925))</f>
        <v/>
      </c>
      <c r="G925" s="4">
        <f>IF(OR(E925="",F925=""),"",E925+F925)</f>
        <v/>
      </c>
      <c r="H925" s="7">
        <f>IFERROR(IF(OR(E925="",INDEX(E:E,MATCH(DATE(YEAR($A925)-1,MONTH($A925),DAY($A925)),$A:$A,0))=""),"",E925/INDEX(E:E,MATCH(DATE(YEAR($A925)-1,MONTH($A925),DAY($A925)),$A:$A,0))-1),"")</f>
        <v/>
      </c>
      <c r="I925" s="7">
        <f>IFERROR(IF(OR(F925="",INDEX(F:F,MATCH(DATE(YEAR($A925)-1,MONTH($A925),DAY($A925)),$A:$A,0))=""),"",F925/INDEX(F:F,MATCH(DATE(YEAR($A925)-1,MONTH($A925),DAY($A925)),$A:$A,0))-1),"")</f>
        <v/>
      </c>
      <c r="J925" s="7">
        <f>IFERROR(IF(OR(G925="",INDEX(G:G,MATCH(DATE(YEAR($A925)-1,MONTH($A925),DAY($A925)),$A:$A,0))=""),"",G925/INDEX(G:G,MATCH(DATE(YEAR($A925)-1,MONTH($A925),DAY($A925)),$A:$A,0))-1),"")</f>
        <v/>
      </c>
      <c r="K925" s="7">
        <f>IF(OR(E925="",E924=""),"",E925/E924-1)</f>
        <v/>
      </c>
      <c r="L925" s="7">
        <f>IF(OR(F925="",F924=""),"",F925/F924-1)</f>
        <v/>
      </c>
      <c r="M925" s="7">
        <f>IF(OR(G925="",G924=""),"",G925/G924-1)</f>
        <v/>
      </c>
      <c r="N925" s="7">
        <f>IF(G925="","",E925/G925)</f>
        <v/>
      </c>
      <c r="O925" s="7">
        <f>IF(G925="","",F925/G925)</f>
        <v/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4">
        <f>IF(SUMIFS('Daily NSE Equity Cash'!$H:$H,'Daily NSE Equity Cash'!$A:$A,$A926)=0,"",SUMIFS('Daily NSE Equity Cash'!$H:$H,'Daily NSE Equity Cash'!$A:$A,$A926))</f>
        <v/>
      </c>
      <c r="F926" s="4">
        <f>IF(SUMIFS('Daily BSE Equity Cash'!$H:$H,'Daily BSE Equity Cash'!$A:$A,$A926)=0,"",SUMIFS('Daily BSE Equity Cash'!$H:$H,'Daily BSE Equity Cash'!$A:$A,$A926))</f>
        <v/>
      </c>
      <c r="G926" s="4">
        <f>IF(OR(E926="",F926=""),"",E926+F926)</f>
        <v/>
      </c>
      <c r="H926" s="7">
        <f>IFERROR(IF(OR(E926="",INDEX(E:E,MATCH(DATE(YEAR($A926)-1,MONTH($A926),DAY($A926)),$A:$A,0))=""),"",E926/INDEX(E:E,MATCH(DATE(YEAR($A926)-1,MONTH($A926),DAY($A926)),$A:$A,0))-1),"")</f>
        <v/>
      </c>
      <c r="I926" s="7">
        <f>IFERROR(IF(OR(F926="",INDEX(F:F,MATCH(DATE(YEAR($A926)-1,MONTH($A926),DAY($A926)),$A:$A,0))=""),"",F926/INDEX(F:F,MATCH(DATE(YEAR($A926)-1,MONTH($A926),DAY($A926)),$A:$A,0))-1),"")</f>
        <v/>
      </c>
      <c r="J926" s="7">
        <f>IFERROR(IF(OR(G926="",INDEX(G:G,MATCH(DATE(YEAR($A926)-1,MONTH($A926),DAY($A926)),$A:$A,0))=""),"",G926/INDEX(G:G,MATCH(DATE(YEAR($A926)-1,MONTH($A926),DAY($A926)),$A:$A,0))-1),"")</f>
        <v/>
      </c>
      <c r="K926" s="7">
        <f>IF(OR(E926="",E925=""),"",E926/E925-1)</f>
        <v/>
      </c>
      <c r="L926" s="7">
        <f>IF(OR(F926="",F925=""),"",F926/F925-1)</f>
        <v/>
      </c>
      <c r="M926" s="7">
        <f>IF(OR(G926="",G925=""),"",G926/G925-1)</f>
        <v/>
      </c>
      <c r="N926" s="7">
        <f>IF(G926="","",E926/G926)</f>
        <v/>
      </c>
      <c r="O926" s="7">
        <f>IF(G926="","",F926/G926)</f>
        <v/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4">
        <f>IF(SUMIFS('Daily NSE Equity Cash'!$H:$H,'Daily NSE Equity Cash'!$A:$A,$A927)=0,"",SUMIFS('Daily NSE Equity Cash'!$H:$H,'Daily NSE Equity Cash'!$A:$A,$A927))</f>
        <v/>
      </c>
      <c r="F927" s="4">
        <f>IF(SUMIFS('Daily BSE Equity Cash'!$H:$H,'Daily BSE Equity Cash'!$A:$A,$A927)=0,"",SUMIFS('Daily BSE Equity Cash'!$H:$H,'Daily BSE Equity Cash'!$A:$A,$A927))</f>
        <v/>
      </c>
      <c r="G927" s="4">
        <f>IF(OR(E927="",F927=""),"",E927+F927)</f>
        <v/>
      </c>
      <c r="H927" s="7">
        <f>IFERROR(IF(OR(E927="",INDEX(E:E,MATCH(DATE(YEAR($A927)-1,MONTH($A927),DAY($A927)),$A:$A,0))=""),"",E927/INDEX(E:E,MATCH(DATE(YEAR($A927)-1,MONTH($A927),DAY($A927)),$A:$A,0))-1),"")</f>
        <v/>
      </c>
      <c r="I927" s="7">
        <f>IFERROR(IF(OR(F927="",INDEX(F:F,MATCH(DATE(YEAR($A927)-1,MONTH($A927),DAY($A927)),$A:$A,0))=""),"",F927/INDEX(F:F,MATCH(DATE(YEAR($A927)-1,MONTH($A927),DAY($A927)),$A:$A,0))-1),"")</f>
        <v/>
      </c>
      <c r="J927" s="7">
        <f>IFERROR(IF(OR(G927="",INDEX(G:G,MATCH(DATE(YEAR($A927)-1,MONTH($A927),DAY($A927)),$A:$A,0))=""),"",G927/INDEX(G:G,MATCH(DATE(YEAR($A927)-1,MONTH($A927),DAY($A927)),$A:$A,0))-1),"")</f>
        <v/>
      </c>
      <c r="K927" s="7">
        <f>IF(OR(E927="",E926=""),"",E927/E926-1)</f>
        <v/>
      </c>
      <c r="L927" s="7">
        <f>IF(OR(F927="",F926=""),"",F927/F926-1)</f>
        <v/>
      </c>
      <c r="M927" s="7">
        <f>IF(OR(G927="",G926=""),"",G927/G926-1)</f>
        <v/>
      </c>
      <c r="N927" s="7">
        <f>IF(G927="","",E927/G927)</f>
        <v/>
      </c>
      <c r="O927" s="7">
        <f>IF(G927="","",F927/G927)</f>
        <v/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4">
        <f>IF(SUMIFS('Daily NSE Equity Cash'!$H:$H,'Daily NSE Equity Cash'!$A:$A,$A928)=0,"",SUMIFS('Daily NSE Equity Cash'!$H:$H,'Daily NSE Equity Cash'!$A:$A,$A928))</f>
        <v/>
      </c>
      <c r="F928" s="4">
        <f>IF(SUMIFS('Daily BSE Equity Cash'!$H:$H,'Daily BSE Equity Cash'!$A:$A,$A928)=0,"",SUMIFS('Daily BSE Equity Cash'!$H:$H,'Daily BSE Equity Cash'!$A:$A,$A928))</f>
        <v/>
      </c>
      <c r="G928" s="4">
        <f>IF(OR(E928="",F928=""),"",E928+F928)</f>
        <v/>
      </c>
      <c r="H928" s="7">
        <f>IFERROR(IF(OR(E928="",INDEX(E:E,MATCH(DATE(YEAR($A928)-1,MONTH($A928),DAY($A928)),$A:$A,0))=""),"",E928/INDEX(E:E,MATCH(DATE(YEAR($A928)-1,MONTH($A928),DAY($A928)),$A:$A,0))-1),"")</f>
        <v/>
      </c>
      <c r="I928" s="7">
        <f>IFERROR(IF(OR(F928="",INDEX(F:F,MATCH(DATE(YEAR($A928)-1,MONTH($A928),DAY($A928)),$A:$A,0))=""),"",F928/INDEX(F:F,MATCH(DATE(YEAR($A928)-1,MONTH($A928),DAY($A928)),$A:$A,0))-1),"")</f>
        <v/>
      </c>
      <c r="J928" s="7">
        <f>IFERROR(IF(OR(G928="",INDEX(G:G,MATCH(DATE(YEAR($A928)-1,MONTH($A928),DAY($A928)),$A:$A,0))=""),"",G928/INDEX(G:G,MATCH(DATE(YEAR($A928)-1,MONTH($A928),DAY($A928)),$A:$A,0))-1),"")</f>
        <v/>
      </c>
      <c r="K928" s="7">
        <f>IF(OR(E928="",E927=""),"",E928/E927-1)</f>
        <v/>
      </c>
      <c r="L928" s="7">
        <f>IF(OR(F928="",F927=""),"",F928/F927-1)</f>
        <v/>
      </c>
      <c r="M928" s="7">
        <f>IF(OR(G928="",G927=""),"",G928/G927-1)</f>
        <v/>
      </c>
      <c r="N928" s="7">
        <f>IF(G928="","",E928/G928)</f>
        <v/>
      </c>
      <c r="O928" s="7">
        <f>IF(G928="","",F928/G928)</f>
        <v/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4">
        <f>IF(SUMIFS('Daily NSE Equity Cash'!$H:$H,'Daily NSE Equity Cash'!$A:$A,$A929)=0,"",SUMIFS('Daily NSE Equity Cash'!$H:$H,'Daily NSE Equity Cash'!$A:$A,$A929))</f>
        <v/>
      </c>
      <c r="F929" s="4">
        <f>IF(SUMIFS('Daily BSE Equity Cash'!$H:$H,'Daily BSE Equity Cash'!$A:$A,$A929)=0,"",SUMIFS('Daily BSE Equity Cash'!$H:$H,'Daily BSE Equity Cash'!$A:$A,$A929))</f>
        <v/>
      </c>
      <c r="G929" s="4">
        <f>IF(OR(E929="",F929=""),"",E929+F929)</f>
        <v/>
      </c>
      <c r="H929" s="7">
        <f>IFERROR(IF(OR(E929="",INDEX(E:E,MATCH(DATE(YEAR($A929)-1,MONTH($A929),DAY($A929)),$A:$A,0))=""),"",E929/INDEX(E:E,MATCH(DATE(YEAR($A929)-1,MONTH($A929),DAY($A929)),$A:$A,0))-1),"")</f>
        <v/>
      </c>
      <c r="I929" s="7">
        <f>IFERROR(IF(OR(F929="",INDEX(F:F,MATCH(DATE(YEAR($A929)-1,MONTH($A929),DAY($A929)),$A:$A,0))=""),"",F929/INDEX(F:F,MATCH(DATE(YEAR($A929)-1,MONTH($A929),DAY($A929)),$A:$A,0))-1),"")</f>
        <v/>
      </c>
      <c r="J929" s="7">
        <f>IFERROR(IF(OR(G929="",INDEX(G:G,MATCH(DATE(YEAR($A929)-1,MONTH($A929),DAY($A929)),$A:$A,0))=""),"",G929/INDEX(G:G,MATCH(DATE(YEAR($A929)-1,MONTH($A929),DAY($A929)),$A:$A,0))-1),"")</f>
        <v/>
      </c>
      <c r="K929" s="7">
        <f>IF(OR(E929="",E928=""),"",E929/E928-1)</f>
        <v/>
      </c>
      <c r="L929" s="7">
        <f>IF(OR(F929="",F928=""),"",F929/F928-1)</f>
        <v/>
      </c>
      <c r="M929" s="7">
        <f>IF(OR(G929="",G928=""),"",G929/G928-1)</f>
        <v/>
      </c>
      <c r="N929" s="7">
        <f>IF(G929="","",E929/G929)</f>
        <v/>
      </c>
      <c r="O929" s="7">
        <f>IF(G929="","",F929/G929)</f>
        <v/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4">
        <f>IF(SUMIFS('Daily NSE Equity Cash'!$H:$H,'Daily NSE Equity Cash'!$A:$A,$A930)=0,"",SUMIFS('Daily NSE Equity Cash'!$H:$H,'Daily NSE Equity Cash'!$A:$A,$A930))</f>
        <v/>
      </c>
      <c r="F930" s="4">
        <f>IF(SUMIFS('Daily BSE Equity Cash'!$H:$H,'Daily BSE Equity Cash'!$A:$A,$A930)=0,"",SUMIFS('Daily BSE Equity Cash'!$H:$H,'Daily BSE Equity Cash'!$A:$A,$A930))</f>
        <v/>
      </c>
      <c r="G930" s="4">
        <f>IF(OR(E930="",F930=""),"",E930+F930)</f>
        <v/>
      </c>
      <c r="H930" s="7">
        <f>IFERROR(IF(OR(E930="",INDEX(E:E,MATCH(DATE(YEAR($A930)-1,MONTH($A930),DAY($A930)),$A:$A,0))=""),"",E930/INDEX(E:E,MATCH(DATE(YEAR($A930)-1,MONTH($A930),DAY($A930)),$A:$A,0))-1),"")</f>
        <v/>
      </c>
      <c r="I930" s="7">
        <f>IFERROR(IF(OR(F930="",INDEX(F:F,MATCH(DATE(YEAR($A930)-1,MONTH($A930),DAY($A930)),$A:$A,0))=""),"",F930/INDEX(F:F,MATCH(DATE(YEAR($A930)-1,MONTH($A930),DAY($A930)),$A:$A,0))-1),"")</f>
        <v/>
      </c>
      <c r="J930" s="7">
        <f>IFERROR(IF(OR(G930="",INDEX(G:G,MATCH(DATE(YEAR($A930)-1,MONTH($A930),DAY($A930)),$A:$A,0))=""),"",G930/INDEX(G:G,MATCH(DATE(YEAR($A930)-1,MONTH($A930),DAY($A930)),$A:$A,0))-1),"")</f>
        <v/>
      </c>
      <c r="K930" s="7">
        <f>IF(OR(E930="",E929=""),"",E930/E929-1)</f>
        <v/>
      </c>
      <c r="L930" s="7">
        <f>IF(OR(F930="",F929=""),"",F930/F929-1)</f>
        <v/>
      </c>
      <c r="M930" s="7">
        <f>IF(OR(G930="",G929=""),"",G930/G929-1)</f>
        <v/>
      </c>
      <c r="N930" s="7">
        <f>IF(G930="","",E930/G930)</f>
        <v/>
      </c>
      <c r="O930" s="7">
        <f>IF(G930="","",F930/G930)</f>
        <v/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4">
        <f>IF(SUMIFS('Daily NSE Equity Cash'!$H:$H,'Daily NSE Equity Cash'!$A:$A,$A931)=0,"",SUMIFS('Daily NSE Equity Cash'!$H:$H,'Daily NSE Equity Cash'!$A:$A,$A931))</f>
        <v/>
      </c>
      <c r="F931" s="4">
        <f>IF(SUMIFS('Daily BSE Equity Cash'!$H:$H,'Daily BSE Equity Cash'!$A:$A,$A931)=0,"",SUMIFS('Daily BSE Equity Cash'!$H:$H,'Daily BSE Equity Cash'!$A:$A,$A931))</f>
        <v/>
      </c>
      <c r="G931" s="4">
        <f>IF(OR(E931="",F931=""),"",E931+F931)</f>
        <v/>
      </c>
      <c r="H931" s="7">
        <f>IFERROR(IF(OR(E931="",INDEX(E:E,MATCH(DATE(YEAR($A931)-1,MONTH($A931),DAY($A931)),$A:$A,0))=""),"",E931/INDEX(E:E,MATCH(DATE(YEAR($A931)-1,MONTH($A931),DAY($A931)),$A:$A,0))-1),"")</f>
        <v/>
      </c>
      <c r="I931" s="7">
        <f>IFERROR(IF(OR(F931="",INDEX(F:F,MATCH(DATE(YEAR($A931)-1,MONTH($A931),DAY($A931)),$A:$A,0))=""),"",F931/INDEX(F:F,MATCH(DATE(YEAR($A931)-1,MONTH($A931),DAY($A931)),$A:$A,0))-1),"")</f>
        <v/>
      </c>
      <c r="J931" s="7">
        <f>IFERROR(IF(OR(G931="",INDEX(G:G,MATCH(DATE(YEAR($A931)-1,MONTH($A931),DAY($A931)),$A:$A,0))=""),"",G931/INDEX(G:G,MATCH(DATE(YEAR($A931)-1,MONTH($A931),DAY($A931)),$A:$A,0))-1),"")</f>
        <v/>
      </c>
      <c r="K931" s="7">
        <f>IF(OR(E931="",E930=""),"",E931/E930-1)</f>
        <v/>
      </c>
      <c r="L931" s="7">
        <f>IF(OR(F931="",F930=""),"",F931/F930-1)</f>
        <v/>
      </c>
      <c r="M931" s="7">
        <f>IF(OR(G931="",G930=""),"",G931/G930-1)</f>
        <v/>
      </c>
      <c r="N931" s="7">
        <f>IF(G931="","",E931/G931)</f>
        <v/>
      </c>
      <c r="O931" s="7">
        <f>IF(G931="","",F931/G931)</f>
        <v/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4">
        <f>IF(SUMIFS('Daily NSE Equity Cash'!$H:$H,'Daily NSE Equity Cash'!$A:$A,$A932)=0,"",SUMIFS('Daily NSE Equity Cash'!$H:$H,'Daily NSE Equity Cash'!$A:$A,$A932))</f>
        <v/>
      </c>
      <c r="F932" s="4">
        <f>IF(SUMIFS('Daily BSE Equity Cash'!$H:$H,'Daily BSE Equity Cash'!$A:$A,$A932)=0,"",SUMIFS('Daily BSE Equity Cash'!$H:$H,'Daily BSE Equity Cash'!$A:$A,$A932))</f>
        <v/>
      </c>
      <c r="G932" s="4">
        <f>IF(OR(E932="",F932=""),"",E932+F932)</f>
        <v/>
      </c>
      <c r="H932" s="7">
        <f>IFERROR(IF(OR(E932="",INDEX(E:E,MATCH(DATE(YEAR($A932)-1,MONTH($A932),DAY($A932)),$A:$A,0))=""),"",E932/INDEX(E:E,MATCH(DATE(YEAR($A932)-1,MONTH($A932),DAY($A932)),$A:$A,0))-1),"")</f>
        <v/>
      </c>
      <c r="I932" s="7">
        <f>IFERROR(IF(OR(F932="",INDEX(F:F,MATCH(DATE(YEAR($A932)-1,MONTH($A932),DAY($A932)),$A:$A,0))=""),"",F932/INDEX(F:F,MATCH(DATE(YEAR($A932)-1,MONTH($A932),DAY($A932)),$A:$A,0))-1),"")</f>
        <v/>
      </c>
      <c r="J932" s="7">
        <f>IFERROR(IF(OR(G932="",INDEX(G:G,MATCH(DATE(YEAR($A932)-1,MONTH($A932),DAY($A932)),$A:$A,0))=""),"",G932/INDEX(G:G,MATCH(DATE(YEAR($A932)-1,MONTH($A932),DAY($A932)),$A:$A,0))-1),"")</f>
        <v/>
      </c>
      <c r="K932" s="7">
        <f>IF(OR(E932="",E931=""),"",E932/E931-1)</f>
        <v/>
      </c>
      <c r="L932" s="7">
        <f>IF(OR(F932="",F931=""),"",F932/F931-1)</f>
        <v/>
      </c>
      <c r="M932" s="7">
        <f>IF(OR(G932="",G931=""),"",G932/G931-1)</f>
        <v/>
      </c>
      <c r="N932" s="7">
        <f>IF(G932="","",E932/G932)</f>
        <v/>
      </c>
      <c r="O932" s="7">
        <f>IF(G932="","",F932/G932)</f>
        <v/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4">
        <f>IF(SUMIFS('Daily NSE Equity Cash'!$H:$H,'Daily NSE Equity Cash'!$A:$A,$A933)=0,"",SUMIFS('Daily NSE Equity Cash'!$H:$H,'Daily NSE Equity Cash'!$A:$A,$A933))</f>
        <v/>
      </c>
      <c r="F933" s="4">
        <f>IF(SUMIFS('Daily BSE Equity Cash'!$H:$H,'Daily BSE Equity Cash'!$A:$A,$A933)=0,"",SUMIFS('Daily BSE Equity Cash'!$H:$H,'Daily BSE Equity Cash'!$A:$A,$A933))</f>
        <v/>
      </c>
      <c r="G933" s="4">
        <f>IF(OR(E933="",F933=""),"",E933+F933)</f>
        <v/>
      </c>
      <c r="H933" s="7">
        <f>IFERROR(IF(OR(E933="",INDEX(E:E,MATCH(DATE(YEAR($A933)-1,MONTH($A933),DAY($A933)),$A:$A,0))=""),"",E933/INDEX(E:E,MATCH(DATE(YEAR($A933)-1,MONTH($A933),DAY($A933)),$A:$A,0))-1),"")</f>
        <v/>
      </c>
      <c r="I933" s="7">
        <f>IFERROR(IF(OR(F933="",INDEX(F:F,MATCH(DATE(YEAR($A933)-1,MONTH($A933),DAY($A933)),$A:$A,0))=""),"",F933/INDEX(F:F,MATCH(DATE(YEAR($A933)-1,MONTH($A933),DAY($A933)),$A:$A,0))-1),"")</f>
        <v/>
      </c>
      <c r="J933" s="7">
        <f>IFERROR(IF(OR(G933="",INDEX(G:G,MATCH(DATE(YEAR($A933)-1,MONTH($A933),DAY($A933)),$A:$A,0))=""),"",G933/INDEX(G:G,MATCH(DATE(YEAR($A933)-1,MONTH($A933),DAY($A933)),$A:$A,0))-1),"")</f>
        <v/>
      </c>
      <c r="K933" s="7">
        <f>IF(OR(E933="",E932=""),"",E933/E932-1)</f>
        <v/>
      </c>
      <c r="L933" s="7">
        <f>IF(OR(F933="",F932=""),"",F933/F932-1)</f>
        <v/>
      </c>
      <c r="M933" s="7">
        <f>IF(OR(G933="",G932=""),"",G933/G932-1)</f>
        <v/>
      </c>
      <c r="N933" s="7">
        <f>IF(G933="","",E933/G933)</f>
        <v/>
      </c>
      <c r="O933" s="7">
        <f>IF(G933="","",F933/G933)</f>
        <v/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4">
        <f>IF(SUMIFS('Daily NSE Equity Cash'!$H:$H,'Daily NSE Equity Cash'!$A:$A,$A934)=0,"",SUMIFS('Daily NSE Equity Cash'!$H:$H,'Daily NSE Equity Cash'!$A:$A,$A934))</f>
        <v/>
      </c>
      <c r="F934" s="4">
        <f>IF(SUMIFS('Daily BSE Equity Cash'!$H:$H,'Daily BSE Equity Cash'!$A:$A,$A934)=0,"",SUMIFS('Daily BSE Equity Cash'!$H:$H,'Daily BSE Equity Cash'!$A:$A,$A934))</f>
        <v/>
      </c>
      <c r="G934" s="4">
        <f>IF(OR(E934="",F934=""),"",E934+F934)</f>
        <v/>
      </c>
      <c r="H934" s="7">
        <f>IFERROR(IF(OR(E934="",INDEX(E:E,MATCH(DATE(YEAR($A934)-1,MONTH($A934),DAY($A934)),$A:$A,0))=""),"",E934/INDEX(E:E,MATCH(DATE(YEAR($A934)-1,MONTH($A934),DAY($A934)),$A:$A,0))-1),"")</f>
        <v/>
      </c>
      <c r="I934" s="7">
        <f>IFERROR(IF(OR(F934="",INDEX(F:F,MATCH(DATE(YEAR($A934)-1,MONTH($A934),DAY($A934)),$A:$A,0))=""),"",F934/INDEX(F:F,MATCH(DATE(YEAR($A934)-1,MONTH($A934),DAY($A934)),$A:$A,0))-1),"")</f>
        <v/>
      </c>
      <c r="J934" s="7">
        <f>IFERROR(IF(OR(G934="",INDEX(G:G,MATCH(DATE(YEAR($A934)-1,MONTH($A934),DAY($A934)),$A:$A,0))=""),"",G934/INDEX(G:G,MATCH(DATE(YEAR($A934)-1,MONTH($A934),DAY($A934)),$A:$A,0))-1),"")</f>
        <v/>
      </c>
      <c r="K934" s="7">
        <f>IF(OR(E934="",E933=""),"",E934/E933-1)</f>
        <v/>
      </c>
      <c r="L934" s="7">
        <f>IF(OR(F934="",F933=""),"",F934/F933-1)</f>
        <v/>
      </c>
      <c r="M934" s="7">
        <f>IF(OR(G934="",G933=""),"",G934/G933-1)</f>
        <v/>
      </c>
      <c r="N934" s="7">
        <f>IF(G934="","",E934/G934)</f>
        <v/>
      </c>
      <c r="O934" s="7">
        <f>IF(G934="","",F934/G934)</f>
        <v/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4">
        <f>IF(SUMIFS('Daily NSE Equity Cash'!$H:$H,'Daily NSE Equity Cash'!$A:$A,$A935)=0,"",SUMIFS('Daily NSE Equity Cash'!$H:$H,'Daily NSE Equity Cash'!$A:$A,$A935))</f>
        <v/>
      </c>
      <c r="F935" s="4">
        <f>IF(SUMIFS('Daily BSE Equity Cash'!$H:$H,'Daily BSE Equity Cash'!$A:$A,$A935)=0,"",SUMIFS('Daily BSE Equity Cash'!$H:$H,'Daily BSE Equity Cash'!$A:$A,$A935))</f>
        <v/>
      </c>
      <c r="G935" s="4">
        <f>IF(OR(E935="",F935=""),"",E935+F935)</f>
        <v/>
      </c>
      <c r="H935" s="7">
        <f>IFERROR(IF(OR(E935="",INDEX(E:E,MATCH(DATE(YEAR($A935)-1,MONTH($A935),DAY($A935)),$A:$A,0))=""),"",E935/INDEX(E:E,MATCH(DATE(YEAR($A935)-1,MONTH($A935),DAY($A935)),$A:$A,0))-1),"")</f>
        <v/>
      </c>
      <c r="I935" s="7">
        <f>IFERROR(IF(OR(F935="",INDEX(F:F,MATCH(DATE(YEAR($A935)-1,MONTH($A935),DAY($A935)),$A:$A,0))=""),"",F935/INDEX(F:F,MATCH(DATE(YEAR($A935)-1,MONTH($A935),DAY($A935)),$A:$A,0))-1),"")</f>
        <v/>
      </c>
      <c r="J935" s="7">
        <f>IFERROR(IF(OR(G935="",INDEX(G:G,MATCH(DATE(YEAR($A935)-1,MONTH($A935),DAY($A935)),$A:$A,0))=""),"",G935/INDEX(G:G,MATCH(DATE(YEAR($A935)-1,MONTH($A935),DAY($A935)),$A:$A,0))-1),"")</f>
        <v/>
      </c>
      <c r="K935" s="7">
        <f>IF(OR(E935="",E934=""),"",E935/E934-1)</f>
        <v/>
      </c>
      <c r="L935" s="7">
        <f>IF(OR(F935="",F934=""),"",F935/F934-1)</f>
        <v/>
      </c>
      <c r="M935" s="7">
        <f>IF(OR(G935="",G934=""),"",G935/G934-1)</f>
        <v/>
      </c>
      <c r="N935" s="7">
        <f>IF(G935="","",E935/G935)</f>
        <v/>
      </c>
      <c r="O935" s="7">
        <f>IF(G935="","",F935/G935)</f>
        <v/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4">
        <f>IF(SUMIFS('Daily NSE Equity Cash'!$H:$H,'Daily NSE Equity Cash'!$A:$A,$A936)=0,"",SUMIFS('Daily NSE Equity Cash'!$H:$H,'Daily NSE Equity Cash'!$A:$A,$A936))</f>
        <v/>
      </c>
      <c r="F936" s="4">
        <f>IF(SUMIFS('Daily BSE Equity Cash'!$H:$H,'Daily BSE Equity Cash'!$A:$A,$A936)=0,"",SUMIFS('Daily BSE Equity Cash'!$H:$H,'Daily BSE Equity Cash'!$A:$A,$A936))</f>
        <v/>
      </c>
      <c r="G936" s="4">
        <f>IF(OR(E936="",F936=""),"",E936+F936)</f>
        <v/>
      </c>
      <c r="H936" s="7">
        <f>IFERROR(IF(OR(E936="",INDEX(E:E,MATCH(DATE(YEAR($A936)-1,MONTH($A936),DAY($A936)),$A:$A,0))=""),"",E936/INDEX(E:E,MATCH(DATE(YEAR($A936)-1,MONTH($A936),DAY($A936)),$A:$A,0))-1),"")</f>
        <v/>
      </c>
      <c r="I936" s="7">
        <f>IFERROR(IF(OR(F936="",INDEX(F:F,MATCH(DATE(YEAR($A936)-1,MONTH($A936),DAY($A936)),$A:$A,0))=""),"",F936/INDEX(F:F,MATCH(DATE(YEAR($A936)-1,MONTH($A936),DAY($A936)),$A:$A,0))-1),"")</f>
        <v/>
      </c>
      <c r="J936" s="7">
        <f>IFERROR(IF(OR(G936="",INDEX(G:G,MATCH(DATE(YEAR($A936)-1,MONTH($A936),DAY($A936)),$A:$A,0))=""),"",G936/INDEX(G:G,MATCH(DATE(YEAR($A936)-1,MONTH($A936),DAY($A936)),$A:$A,0))-1),"")</f>
        <v/>
      </c>
      <c r="K936" s="7">
        <f>IF(OR(E936="",E935=""),"",E936/E935-1)</f>
        <v/>
      </c>
      <c r="L936" s="7">
        <f>IF(OR(F936="",F935=""),"",F936/F935-1)</f>
        <v/>
      </c>
      <c r="M936" s="7">
        <f>IF(OR(G936="",G935=""),"",G936/G935-1)</f>
        <v/>
      </c>
      <c r="N936" s="7">
        <f>IF(G936="","",E936/G936)</f>
        <v/>
      </c>
      <c r="O936" s="7">
        <f>IF(G936="","",F936/G936)</f>
        <v/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4">
        <f>IF(SUMIFS('Daily NSE Equity Cash'!$H:$H,'Daily NSE Equity Cash'!$A:$A,$A937)=0,"",SUMIFS('Daily NSE Equity Cash'!$H:$H,'Daily NSE Equity Cash'!$A:$A,$A937))</f>
        <v/>
      </c>
      <c r="F937" s="4">
        <f>IF(SUMIFS('Daily BSE Equity Cash'!$H:$H,'Daily BSE Equity Cash'!$A:$A,$A937)=0,"",SUMIFS('Daily BSE Equity Cash'!$H:$H,'Daily BSE Equity Cash'!$A:$A,$A937))</f>
        <v/>
      </c>
      <c r="G937" s="4">
        <f>IF(OR(E937="",F937=""),"",E937+F937)</f>
        <v/>
      </c>
      <c r="H937" s="7">
        <f>IFERROR(IF(OR(E937="",INDEX(E:E,MATCH(DATE(YEAR($A937)-1,MONTH($A937),DAY($A937)),$A:$A,0))=""),"",E937/INDEX(E:E,MATCH(DATE(YEAR($A937)-1,MONTH($A937),DAY($A937)),$A:$A,0))-1),"")</f>
        <v/>
      </c>
      <c r="I937" s="7">
        <f>IFERROR(IF(OR(F937="",INDEX(F:F,MATCH(DATE(YEAR($A937)-1,MONTH($A937),DAY($A937)),$A:$A,0))=""),"",F937/INDEX(F:F,MATCH(DATE(YEAR($A937)-1,MONTH($A937),DAY($A937)),$A:$A,0))-1),"")</f>
        <v/>
      </c>
      <c r="J937" s="7">
        <f>IFERROR(IF(OR(G937="",INDEX(G:G,MATCH(DATE(YEAR($A937)-1,MONTH($A937),DAY($A937)),$A:$A,0))=""),"",G937/INDEX(G:G,MATCH(DATE(YEAR($A937)-1,MONTH($A937),DAY($A937)),$A:$A,0))-1),"")</f>
        <v/>
      </c>
      <c r="K937" s="7">
        <f>IF(OR(E937="",E936=""),"",E937/E936-1)</f>
        <v/>
      </c>
      <c r="L937" s="7">
        <f>IF(OR(F937="",F936=""),"",F937/F936-1)</f>
        <v/>
      </c>
      <c r="M937" s="7">
        <f>IF(OR(G937="",G936=""),"",G937/G936-1)</f>
        <v/>
      </c>
      <c r="N937" s="7">
        <f>IF(G937="","",E937/G937)</f>
        <v/>
      </c>
      <c r="O937" s="7">
        <f>IF(G937="","",F937/G937)</f>
        <v/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4">
        <f>IF(SUMIFS('Daily NSE Equity Cash'!$H:$H,'Daily NSE Equity Cash'!$A:$A,$A938)=0,"",SUMIFS('Daily NSE Equity Cash'!$H:$H,'Daily NSE Equity Cash'!$A:$A,$A938))</f>
        <v/>
      </c>
      <c r="F938" s="4">
        <f>IF(SUMIFS('Daily BSE Equity Cash'!$H:$H,'Daily BSE Equity Cash'!$A:$A,$A938)=0,"",SUMIFS('Daily BSE Equity Cash'!$H:$H,'Daily BSE Equity Cash'!$A:$A,$A938))</f>
        <v/>
      </c>
      <c r="G938" s="4">
        <f>IF(OR(E938="",F938=""),"",E938+F938)</f>
        <v/>
      </c>
      <c r="H938" s="7">
        <f>IFERROR(IF(OR(E938="",INDEX(E:E,MATCH(DATE(YEAR($A938)-1,MONTH($A938),DAY($A938)),$A:$A,0))=""),"",E938/INDEX(E:E,MATCH(DATE(YEAR($A938)-1,MONTH($A938),DAY($A938)),$A:$A,0))-1),"")</f>
        <v/>
      </c>
      <c r="I938" s="7">
        <f>IFERROR(IF(OR(F938="",INDEX(F:F,MATCH(DATE(YEAR($A938)-1,MONTH($A938),DAY($A938)),$A:$A,0))=""),"",F938/INDEX(F:F,MATCH(DATE(YEAR($A938)-1,MONTH($A938),DAY($A938)),$A:$A,0))-1),"")</f>
        <v/>
      </c>
      <c r="J938" s="7">
        <f>IFERROR(IF(OR(G938="",INDEX(G:G,MATCH(DATE(YEAR($A938)-1,MONTH($A938),DAY($A938)),$A:$A,0))=""),"",G938/INDEX(G:G,MATCH(DATE(YEAR($A938)-1,MONTH($A938),DAY($A938)),$A:$A,0))-1),"")</f>
        <v/>
      </c>
      <c r="K938" s="7">
        <f>IF(OR(E938="",E937=""),"",E938/E937-1)</f>
        <v/>
      </c>
      <c r="L938" s="7">
        <f>IF(OR(F938="",F937=""),"",F938/F937-1)</f>
        <v/>
      </c>
      <c r="M938" s="7">
        <f>IF(OR(G938="",G937=""),"",G938/G937-1)</f>
        <v/>
      </c>
      <c r="N938" s="7">
        <f>IF(G938="","",E938/G938)</f>
        <v/>
      </c>
      <c r="O938" s="7">
        <f>IF(G938="","",F938/G938)</f>
        <v/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4">
        <f>IF(SUMIFS('Daily NSE Equity Cash'!$H:$H,'Daily NSE Equity Cash'!$A:$A,$A939)=0,"",SUMIFS('Daily NSE Equity Cash'!$H:$H,'Daily NSE Equity Cash'!$A:$A,$A939))</f>
        <v/>
      </c>
      <c r="F939" s="4">
        <f>IF(SUMIFS('Daily BSE Equity Cash'!$H:$H,'Daily BSE Equity Cash'!$A:$A,$A939)=0,"",SUMIFS('Daily BSE Equity Cash'!$H:$H,'Daily BSE Equity Cash'!$A:$A,$A939))</f>
        <v/>
      </c>
      <c r="G939" s="4">
        <f>IF(OR(E939="",F939=""),"",E939+F939)</f>
        <v/>
      </c>
      <c r="H939" s="7">
        <f>IFERROR(IF(OR(E939="",INDEX(E:E,MATCH(DATE(YEAR($A939)-1,MONTH($A939),DAY($A939)),$A:$A,0))=""),"",E939/INDEX(E:E,MATCH(DATE(YEAR($A939)-1,MONTH($A939),DAY($A939)),$A:$A,0))-1),"")</f>
        <v/>
      </c>
      <c r="I939" s="7">
        <f>IFERROR(IF(OR(F939="",INDEX(F:F,MATCH(DATE(YEAR($A939)-1,MONTH($A939),DAY($A939)),$A:$A,0))=""),"",F939/INDEX(F:F,MATCH(DATE(YEAR($A939)-1,MONTH($A939),DAY($A939)),$A:$A,0))-1),"")</f>
        <v/>
      </c>
      <c r="J939" s="7">
        <f>IFERROR(IF(OR(G939="",INDEX(G:G,MATCH(DATE(YEAR($A939)-1,MONTH($A939),DAY($A939)),$A:$A,0))=""),"",G939/INDEX(G:G,MATCH(DATE(YEAR($A939)-1,MONTH($A939),DAY($A939)),$A:$A,0))-1),"")</f>
        <v/>
      </c>
      <c r="K939" s="7">
        <f>IF(OR(E939="",E938=""),"",E939/E938-1)</f>
        <v/>
      </c>
      <c r="L939" s="7">
        <f>IF(OR(F939="",F938=""),"",F939/F938-1)</f>
        <v/>
      </c>
      <c r="M939" s="7">
        <f>IF(OR(G939="",G938=""),"",G939/G938-1)</f>
        <v/>
      </c>
      <c r="N939" s="7">
        <f>IF(G939="","",E939/G939)</f>
        <v/>
      </c>
      <c r="O939" s="7">
        <f>IF(G939="","",F939/G939)</f>
        <v/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4">
        <f>IF(SUMIFS('Daily NSE Equity Cash'!$H:$H,'Daily NSE Equity Cash'!$A:$A,$A940)=0,"",SUMIFS('Daily NSE Equity Cash'!$H:$H,'Daily NSE Equity Cash'!$A:$A,$A940))</f>
        <v/>
      </c>
      <c r="F940" s="4">
        <f>IF(SUMIFS('Daily BSE Equity Cash'!$H:$H,'Daily BSE Equity Cash'!$A:$A,$A940)=0,"",SUMIFS('Daily BSE Equity Cash'!$H:$H,'Daily BSE Equity Cash'!$A:$A,$A940))</f>
        <v/>
      </c>
      <c r="G940" s="4">
        <f>IF(OR(E940="",F940=""),"",E940+F940)</f>
        <v/>
      </c>
      <c r="H940" s="7">
        <f>IFERROR(IF(OR(E940="",INDEX(E:E,MATCH(DATE(YEAR($A940)-1,MONTH($A940),DAY($A940)),$A:$A,0))=""),"",E940/INDEX(E:E,MATCH(DATE(YEAR($A940)-1,MONTH($A940),DAY($A940)),$A:$A,0))-1),"")</f>
        <v/>
      </c>
      <c r="I940" s="7">
        <f>IFERROR(IF(OR(F940="",INDEX(F:F,MATCH(DATE(YEAR($A940)-1,MONTH($A940),DAY($A940)),$A:$A,0))=""),"",F940/INDEX(F:F,MATCH(DATE(YEAR($A940)-1,MONTH($A940),DAY($A940)),$A:$A,0))-1),"")</f>
        <v/>
      </c>
      <c r="J940" s="7">
        <f>IFERROR(IF(OR(G940="",INDEX(G:G,MATCH(DATE(YEAR($A940)-1,MONTH($A940),DAY($A940)),$A:$A,0))=""),"",G940/INDEX(G:G,MATCH(DATE(YEAR($A940)-1,MONTH($A940),DAY($A940)),$A:$A,0))-1),"")</f>
        <v/>
      </c>
      <c r="K940" s="7">
        <f>IF(OR(E940="",E939=""),"",E940/E939-1)</f>
        <v/>
      </c>
      <c r="L940" s="7">
        <f>IF(OR(F940="",F939=""),"",F940/F939-1)</f>
        <v/>
      </c>
      <c r="M940" s="7">
        <f>IF(OR(G940="",G939=""),"",G940/G939-1)</f>
        <v/>
      </c>
      <c r="N940" s="7">
        <f>IF(G940="","",E940/G940)</f>
        <v/>
      </c>
      <c r="O940" s="7">
        <f>IF(G940="","",F940/G940)</f>
        <v/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4">
        <f>IF(SUMIFS('Daily NSE Equity Cash'!$H:$H,'Daily NSE Equity Cash'!$A:$A,$A941)=0,"",SUMIFS('Daily NSE Equity Cash'!$H:$H,'Daily NSE Equity Cash'!$A:$A,$A941))</f>
        <v/>
      </c>
      <c r="F941" s="4">
        <f>IF(SUMIFS('Daily BSE Equity Cash'!$H:$H,'Daily BSE Equity Cash'!$A:$A,$A941)=0,"",SUMIFS('Daily BSE Equity Cash'!$H:$H,'Daily BSE Equity Cash'!$A:$A,$A941))</f>
        <v/>
      </c>
      <c r="G941" s="4">
        <f>IF(OR(E941="",F941=""),"",E941+F941)</f>
        <v/>
      </c>
      <c r="H941" s="7">
        <f>IFERROR(IF(OR(E941="",INDEX(E:E,MATCH(DATE(YEAR($A941)-1,MONTH($A941),DAY($A941)),$A:$A,0))=""),"",E941/INDEX(E:E,MATCH(DATE(YEAR($A941)-1,MONTH($A941),DAY($A941)),$A:$A,0))-1),"")</f>
        <v/>
      </c>
      <c r="I941" s="7">
        <f>IFERROR(IF(OR(F941="",INDEX(F:F,MATCH(DATE(YEAR($A941)-1,MONTH($A941),DAY($A941)),$A:$A,0))=""),"",F941/INDEX(F:F,MATCH(DATE(YEAR($A941)-1,MONTH($A941),DAY($A941)),$A:$A,0))-1),"")</f>
        <v/>
      </c>
      <c r="J941" s="7">
        <f>IFERROR(IF(OR(G941="",INDEX(G:G,MATCH(DATE(YEAR($A941)-1,MONTH($A941),DAY($A941)),$A:$A,0))=""),"",G941/INDEX(G:G,MATCH(DATE(YEAR($A941)-1,MONTH($A941),DAY($A941)),$A:$A,0))-1),"")</f>
        <v/>
      </c>
      <c r="K941" s="7">
        <f>IF(OR(E941="",E940=""),"",E941/E940-1)</f>
        <v/>
      </c>
      <c r="L941" s="7">
        <f>IF(OR(F941="",F940=""),"",F941/F940-1)</f>
        <v/>
      </c>
      <c r="M941" s="7">
        <f>IF(OR(G941="",G940=""),"",G941/G940-1)</f>
        <v/>
      </c>
      <c r="N941" s="7">
        <f>IF(G941="","",E941/G941)</f>
        <v/>
      </c>
      <c r="O941" s="7">
        <f>IF(G941="","",F941/G941)</f>
        <v/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4">
        <f>IF(SUMIFS('Daily NSE Equity Cash'!$H:$H,'Daily NSE Equity Cash'!$A:$A,$A942)=0,"",SUMIFS('Daily NSE Equity Cash'!$H:$H,'Daily NSE Equity Cash'!$A:$A,$A942))</f>
        <v/>
      </c>
      <c r="F942" s="4">
        <f>IF(SUMIFS('Daily BSE Equity Cash'!$H:$H,'Daily BSE Equity Cash'!$A:$A,$A942)=0,"",SUMIFS('Daily BSE Equity Cash'!$H:$H,'Daily BSE Equity Cash'!$A:$A,$A942))</f>
        <v/>
      </c>
      <c r="G942" s="4">
        <f>IF(OR(E942="",F942=""),"",E942+F942)</f>
        <v/>
      </c>
      <c r="H942" s="7">
        <f>IFERROR(IF(OR(E942="",INDEX(E:E,MATCH(DATE(YEAR($A942)-1,MONTH($A942),DAY($A942)),$A:$A,0))=""),"",E942/INDEX(E:E,MATCH(DATE(YEAR($A942)-1,MONTH($A942),DAY($A942)),$A:$A,0))-1),"")</f>
        <v/>
      </c>
      <c r="I942" s="7">
        <f>IFERROR(IF(OR(F942="",INDEX(F:F,MATCH(DATE(YEAR($A942)-1,MONTH($A942),DAY($A942)),$A:$A,0))=""),"",F942/INDEX(F:F,MATCH(DATE(YEAR($A942)-1,MONTH($A942),DAY($A942)),$A:$A,0))-1),"")</f>
        <v/>
      </c>
      <c r="J942" s="7">
        <f>IFERROR(IF(OR(G942="",INDEX(G:G,MATCH(DATE(YEAR($A942)-1,MONTH($A942),DAY($A942)),$A:$A,0))=""),"",G942/INDEX(G:G,MATCH(DATE(YEAR($A942)-1,MONTH($A942),DAY($A942)),$A:$A,0))-1),"")</f>
        <v/>
      </c>
      <c r="K942" s="7">
        <f>IF(OR(E942="",E941=""),"",E942/E941-1)</f>
        <v/>
      </c>
      <c r="L942" s="7">
        <f>IF(OR(F942="",F941=""),"",F942/F941-1)</f>
        <v/>
      </c>
      <c r="M942" s="7">
        <f>IF(OR(G942="",G941=""),"",G942/G941-1)</f>
        <v/>
      </c>
      <c r="N942" s="7">
        <f>IF(G942="","",E942/G942)</f>
        <v/>
      </c>
      <c r="O942" s="7">
        <f>IF(G942="","",F942/G942)</f>
        <v/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4">
        <f>IF(SUMIFS('Daily NSE Equity Cash'!$H:$H,'Daily NSE Equity Cash'!$A:$A,$A943)=0,"",SUMIFS('Daily NSE Equity Cash'!$H:$H,'Daily NSE Equity Cash'!$A:$A,$A943))</f>
        <v/>
      </c>
      <c r="F943" s="4">
        <f>IF(SUMIFS('Daily BSE Equity Cash'!$H:$H,'Daily BSE Equity Cash'!$A:$A,$A943)=0,"",SUMIFS('Daily BSE Equity Cash'!$H:$H,'Daily BSE Equity Cash'!$A:$A,$A943))</f>
        <v/>
      </c>
      <c r="G943" s="4">
        <f>IF(OR(E943="",F943=""),"",E943+F943)</f>
        <v/>
      </c>
      <c r="H943" s="7">
        <f>IFERROR(IF(OR(E943="",INDEX(E:E,MATCH(DATE(YEAR($A943)-1,MONTH($A943),DAY($A943)),$A:$A,0))=""),"",E943/INDEX(E:E,MATCH(DATE(YEAR($A943)-1,MONTH($A943),DAY($A943)),$A:$A,0))-1),"")</f>
        <v/>
      </c>
      <c r="I943" s="7">
        <f>IFERROR(IF(OR(F943="",INDEX(F:F,MATCH(DATE(YEAR($A943)-1,MONTH($A943),DAY($A943)),$A:$A,0))=""),"",F943/INDEX(F:F,MATCH(DATE(YEAR($A943)-1,MONTH($A943),DAY($A943)),$A:$A,0))-1),"")</f>
        <v/>
      </c>
      <c r="J943" s="7">
        <f>IFERROR(IF(OR(G943="",INDEX(G:G,MATCH(DATE(YEAR($A943)-1,MONTH($A943),DAY($A943)),$A:$A,0))=""),"",G943/INDEX(G:G,MATCH(DATE(YEAR($A943)-1,MONTH($A943),DAY($A943)),$A:$A,0))-1),"")</f>
        <v/>
      </c>
      <c r="K943" s="7">
        <f>IF(OR(E943="",E942=""),"",E943/E942-1)</f>
        <v/>
      </c>
      <c r="L943" s="7">
        <f>IF(OR(F943="",F942=""),"",F943/F942-1)</f>
        <v/>
      </c>
      <c r="M943" s="7">
        <f>IF(OR(G943="",G942=""),"",G943/G942-1)</f>
        <v/>
      </c>
      <c r="N943" s="7">
        <f>IF(G943="","",E943/G943)</f>
        <v/>
      </c>
      <c r="O943" s="7">
        <f>IF(G943="","",F943/G943)</f>
        <v/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4">
        <f>IF(SUMIFS('Daily NSE Equity Cash'!$H:$H,'Daily NSE Equity Cash'!$A:$A,$A944)=0,"",SUMIFS('Daily NSE Equity Cash'!$H:$H,'Daily NSE Equity Cash'!$A:$A,$A944))</f>
        <v/>
      </c>
      <c r="F944" s="4">
        <f>IF(SUMIFS('Daily BSE Equity Cash'!$H:$H,'Daily BSE Equity Cash'!$A:$A,$A944)=0,"",SUMIFS('Daily BSE Equity Cash'!$H:$H,'Daily BSE Equity Cash'!$A:$A,$A944))</f>
        <v/>
      </c>
      <c r="G944" s="4">
        <f>IF(OR(E944="",F944=""),"",E944+F944)</f>
        <v/>
      </c>
      <c r="H944" s="7">
        <f>IFERROR(IF(OR(E944="",INDEX(E:E,MATCH(DATE(YEAR($A944)-1,MONTH($A944),DAY($A944)),$A:$A,0))=""),"",E944/INDEX(E:E,MATCH(DATE(YEAR($A944)-1,MONTH($A944),DAY($A944)),$A:$A,0))-1),"")</f>
        <v/>
      </c>
      <c r="I944" s="7">
        <f>IFERROR(IF(OR(F944="",INDEX(F:F,MATCH(DATE(YEAR($A944)-1,MONTH($A944),DAY($A944)),$A:$A,0))=""),"",F944/INDEX(F:F,MATCH(DATE(YEAR($A944)-1,MONTH($A944),DAY($A944)),$A:$A,0))-1),"")</f>
        <v/>
      </c>
      <c r="J944" s="7">
        <f>IFERROR(IF(OR(G944="",INDEX(G:G,MATCH(DATE(YEAR($A944)-1,MONTH($A944),DAY($A944)),$A:$A,0))=""),"",G944/INDEX(G:G,MATCH(DATE(YEAR($A944)-1,MONTH($A944),DAY($A944)),$A:$A,0))-1),"")</f>
        <v/>
      </c>
      <c r="K944" s="7">
        <f>IF(OR(E944="",E943=""),"",E944/E943-1)</f>
        <v/>
      </c>
      <c r="L944" s="7">
        <f>IF(OR(F944="",F943=""),"",F944/F943-1)</f>
        <v/>
      </c>
      <c r="M944" s="7">
        <f>IF(OR(G944="",G943=""),"",G944/G943-1)</f>
        <v/>
      </c>
      <c r="N944" s="7">
        <f>IF(G944="","",E944/G944)</f>
        <v/>
      </c>
      <c r="O944" s="7">
        <f>IF(G944="","",F944/G944)</f>
        <v/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4">
        <f>IF(SUMIFS('Daily NSE Equity Cash'!$H:$H,'Daily NSE Equity Cash'!$A:$A,$A945)=0,"",SUMIFS('Daily NSE Equity Cash'!$H:$H,'Daily NSE Equity Cash'!$A:$A,$A945))</f>
        <v/>
      </c>
      <c r="F945" s="4">
        <f>IF(SUMIFS('Daily BSE Equity Cash'!$H:$H,'Daily BSE Equity Cash'!$A:$A,$A945)=0,"",SUMIFS('Daily BSE Equity Cash'!$H:$H,'Daily BSE Equity Cash'!$A:$A,$A945))</f>
        <v/>
      </c>
      <c r="G945" s="4">
        <f>IF(OR(E945="",F945=""),"",E945+F945)</f>
        <v/>
      </c>
      <c r="H945" s="7">
        <f>IFERROR(IF(OR(E945="",INDEX(E:E,MATCH(DATE(YEAR($A945)-1,MONTH($A945),DAY($A945)),$A:$A,0))=""),"",E945/INDEX(E:E,MATCH(DATE(YEAR($A945)-1,MONTH($A945),DAY($A945)),$A:$A,0))-1),"")</f>
        <v/>
      </c>
      <c r="I945" s="7">
        <f>IFERROR(IF(OR(F945="",INDEX(F:F,MATCH(DATE(YEAR($A945)-1,MONTH($A945),DAY($A945)),$A:$A,0))=""),"",F945/INDEX(F:F,MATCH(DATE(YEAR($A945)-1,MONTH($A945),DAY($A945)),$A:$A,0))-1),"")</f>
        <v/>
      </c>
      <c r="J945" s="7">
        <f>IFERROR(IF(OR(G945="",INDEX(G:G,MATCH(DATE(YEAR($A945)-1,MONTH($A945),DAY($A945)),$A:$A,0))=""),"",G945/INDEX(G:G,MATCH(DATE(YEAR($A945)-1,MONTH($A945),DAY($A945)),$A:$A,0))-1),"")</f>
        <v/>
      </c>
      <c r="K945" s="7">
        <f>IF(OR(E945="",E944=""),"",E945/E944-1)</f>
        <v/>
      </c>
      <c r="L945" s="7">
        <f>IF(OR(F945="",F944=""),"",F945/F944-1)</f>
        <v/>
      </c>
      <c r="M945" s="7">
        <f>IF(OR(G945="",G944=""),"",G945/G944-1)</f>
        <v/>
      </c>
      <c r="N945" s="7">
        <f>IF(G945="","",E945/G945)</f>
        <v/>
      </c>
      <c r="O945" s="7">
        <f>IF(G945="","",F945/G945)</f>
        <v/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4">
        <f>IF(SUMIFS('Daily NSE Equity Cash'!$H:$H,'Daily NSE Equity Cash'!$A:$A,$A946)=0,"",SUMIFS('Daily NSE Equity Cash'!$H:$H,'Daily NSE Equity Cash'!$A:$A,$A946))</f>
        <v/>
      </c>
      <c r="F946" s="4">
        <f>IF(SUMIFS('Daily BSE Equity Cash'!$H:$H,'Daily BSE Equity Cash'!$A:$A,$A946)=0,"",SUMIFS('Daily BSE Equity Cash'!$H:$H,'Daily BSE Equity Cash'!$A:$A,$A946))</f>
        <v/>
      </c>
      <c r="G946" s="4">
        <f>IF(OR(E946="",F946=""),"",E946+F946)</f>
        <v/>
      </c>
      <c r="H946" s="7">
        <f>IFERROR(IF(OR(E946="",INDEX(E:E,MATCH(DATE(YEAR($A946)-1,MONTH($A946),DAY($A946)),$A:$A,0))=""),"",E946/INDEX(E:E,MATCH(DATE(YEAR($A946)-1,MONTH($A946),DAY($A946)),$A:$A,0))-1),"")</f>
        <v/>
      </c>
      <c r="I946" s="7">
        <f>IFERROR(IF(OR(F946="",INDEX(F:F,MATCH(DATE(YEAR($A946)-1,MONTH($A946),DAY($A946)),$A:$A,0))=""),"",F946/INDEX(F:F,MATCH(DATE(YEAR($A946)-1,MONTH($A946),DAY($A946)),$A:$A,0))-1),"")</f>
        <v/>
      </c>
      <c r="J946" s="7">
        <f>IFERROR(IF(OR(G946="",INDEX(G:G,MATCH(DATE(YEAR($A946)-1,MONTH($A946),DAY($A946)),$A:$A,0))=""),"",G946/INDEX(G:G,MATCH(DATE(YEAR($A946)-1,MONTH($A946),DAY($A946)),$A:$A,0))-1),"")</f>
        <v/>
      </c>
      <c r="K946" s="7">
        <f>IF(OR(E946="",E945=""),"",E946/E945-1)</f>
        <v/>
      </c>
      <c r="L946" s="7">
        <f>IF(OR(F946="",F945=""),"",F946/F945-1)</f>
        <v/>
      </c>
      <c r="M946" s="7">
        <f>IF(OR(G946="",G945=""),"",G946/G945-1)</f>
        <v/>
      </c>
      <c r="N946" s="7">
        <f>IF(G946="","",E946/G946)</f>
        <v/>
      </c>
      <c r="O946" s="7">
        <f>IF(G946="","",F946/G946)</f>
        <v/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4">
        <f>IF(SUMIFS('Daily NSE Equity Cash'!$H:$H,'Daily NSE Equity Cash'!$A:$A,$A947)=0,"",SUMIFS('Daily NSE Equity Cash'!$H:$H,'Daily NSE Equity Cash'!$A:$A,$A947))</f>
        <v/>
      </c>
      <c r="F947" s="4">
        <f>IF(SUMIFS('Daily BSE Equity Cash'!$H:$H,'Daily BSE Equity Cash'!$A:$A,$A947)=0,"",SUMIFS('Daily BSE Equity Cash'!$H:$H,'Daily BSE Equity Cash'!$A:$A,$A947))</f>
        <v/>
      </c>
      <c r="G947" s="4">
        <f>IF(OR(E947="",F947=""),"",E947+F947)</f>
        <v/>
      </c>
      <c r="H947" s="7">
        <f>IFERROR(IF(OR(E947="",INDEX(E:E,MATCH(DATE(YEAR($A947)-1,MONTH($A947),DAY($A947)),$A:$A,0))=""),"",E947/INDEX(E:E,MATCH(DATE(YEAR($A947)-1,MONTH($A947),DAY($A947)),$A:$A,0))-1),"")</f>
        <v/>
      </c>
      <c r="I947" s="7">
        <f>IFERROR(IF(OR(F947="",INDEX(F:F,MATCH(DATE(YEAR($A947)-1,MONTH($A947),DAY($A947)),$A:$A,0))=""),"",F947/INDEX(F:F,MATCH(DATE(YEAR($A947)-1,MONTH($A947),DAY($A947)),$A:$A,0))-1),"")</f>
        <v/>
      </c>
      <c r="J947" s="7">
        <f>IFERROR(IF(OR(G947="",INDEX(G:G,MATCH(DATE(YEAR($A947)-1,MONTH($A947),DAY($A947)),$A:$A,0))=""),"",G947/INDEX(G:G,MATCH(DATE(YEAR($A947)-1,MONTH($A947),DAY($A947)),$A:$A,0))-1),"")</f>
        <v/>
      </c>
      <c r="K947" s="7">
        <f>IF(OR(E947="",E946=""),"",E947/E946-1)</f>
        <v/>
      </c>
      <c r="L947" s="7">
        <f>IF(OR(F947="",F946=""),"",F947/F946-1)</f>
        <v/>
      </c>
      <c r="M947" s="7">
        <f>IF(OR(G947="",G946=""),"",G947/G946-1)</f>
        <v/>
      </c>
      <c r="N947" s="7">
        <f>IF(G947="","",E947/G947)</f>
        <v/>
      </c>
      <c r="O947" s="7">
        <f>IF(G947="","",F947/G947)</f>
        <v/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4">
        <f>IF(SUMIFS('Daily NSE Equity Cash'!$H:$H,'Daily NSE Equity Cash'!$A:$A,$A948)=0,"",SUMIFS('Daily NSE Equity Cash'!$H:$H,'Daily NSE Equity Cash'!$A:$A,$A948))</f>
        <v/>
      </c>
      <c r="F948" s="4">
        <f>IF(SUMIFS('Daily BSE Equity Cash'!$H:$H,'Daily BSE Equity Cash'!$A:$A,$A948)=0,"",SUMIFS('Daily BSE Equity Cash'!$H:$H,'Daily BSE Equity Cash'!$A:$A,$A948))</f>
        <v/>
      </c>
      <c r="G948" s="4">
        <f>IF(OR(E948="",F948=""),"",E948+F948)</f>
        <v/>
      </c>
      <c r="H948" s="7">
        <f>IFERROR(IF(OR(E948="",INDEX(E:E,MATCH(DATE(YEAR($A948)-1,MONTH($A948),DAY($A948)),$A:$A,0))=""),"",E948/INDEX(E:E,MATCH(DATE(YEAR($A948)-1,MONTH($A948),DAY($A948)),$A:$A,0))-1),"")</f>
        <v/>
      </c>
      <c r="I948" s="7">
        <f>IFERROR(IF(OR(F948="",INDEX(F:F,MATCH(DATE(YEAR($A948)-1,MONTH($A948),DAY($A948)),$A:$A,0))=""),"",F948/INDEX(F:F,MATCH(DATE(YEAR($A948)-1,MONTH($A948),DAY($A948)),$A:$A,0))-1),"")</f>
        <v/>
      </c>
      <c r="J948" s="7">
        <f>IFERROR(IF(OR(G948="",INDEX(G:G,MATCH(DATE(YEAR($A948)-1,MONTH($A948),DAY($A948)),$A:$A,0))=""),"",G948/INDEX(G:G,MATCH(DATE(YEAR($A948)-1,MONTH($A948),DAY($A948)),$A:$A,0))-1),"")</f>
        <v/>
      </c>
      <c r="K948" s="7">
        <f>IF(OR(E948="",E947=""),"",E948/E947-1)</f>
        <v/>
      </c>
      <c r="L948" s="7">
        <f>IF(OR(F948="",F947=""),"",F948/F947-1)</f>
        <v/>
      </c>
      <c r="M948" s="7">
        <f>IF(OR(G948="",G947=""),"",G948/G947-1)</f>
        <v/>
      </c>
      <c r="N948" s="7">
        <f>IF(G948="","",E948/G948)</f>
        <v/>
      </c>
      <c r="O948" s="7">
        <f>IF(G948="","",F948/G948)</f>
        <v/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4">
        <f>IF(SUMIFS('Daily NSE Equity Cash'!$H:$H,'Daily NSE Equity Cash'!$A:$A,$A949)=0,"",SUMIFS('Daily NSE Equity Cash'!$H:$H,'Daily NSE Equity Cash'!$A:$A,$A949))</f>
        <v/>
      </c>
      <c r="F949" s="4">
        <f>IF(SUMIFS('Daily BSE Equity Cash'!$H:$H,'Daily BSE Equity Cash'!$A:$A,$A949)=0,"",SUMIFS('Daily BSE Equity Cash'!$H:$H,'Daily BSE Equity Cash'!$A:$A,$A949))</f>
        <v/>
      </c>
      <c r="G949" s="4">
        <f>IF(OR(E949="",F949=""),"",E949+F949)</f>
        <v/>
      </c>
      <c r="H949" s="7">
        <f>IFERROR(IF(OR(E949="",INDEX(E:E,MATCH(DATE(YEAR($A949)-1,MONTH($A949),DAY($A949)),$A:$A,0))=""),"",E949/INDEX(E:E,MATCH(DATE(YEAR($A949)-1,MONTH($A949),DAY($A949)),$A:$A,0))-1),"")</f>
        <v/>
      </c>
      <c r="I949" s="7">
        <f>IFERROR(IF(OR(F949="",INDEX(F:F,MATCH(DATE(YEAR($A949)-1,MONTH($A949),DAY($A949)),$A:$A,0))=""),"",F949/INDEX(F:F,MATCH(DATE(YEAR($A949)-1,MONTH($A949),DAY($A949)),$A:$A,0))-1),"")</f>
        <v/>
      </c>
      <c r="J949" s="7">
        <f>IFERROR(IF(OR(G949="",INDEX(G:G,MATCH(DATE(YEAR($A949)-1,MONTH($A949),DAY($A949)),$A:$A,0))=""),"",G949/INDEX(G:G,MATCH(DATE(YEAR($A949)-1,MONTH($A949),DAY($A949)),$A:$A,0))-1),"")</f>
        <v/>
      </c>
      <c r="K949" s="7">
        <f>IF(OR(E949="",E948=""),"",E949/E948-1)</f>
        <v/>
      </c>
      <c r="L949" s="7">
        <f>IF(OR(F949="",F948=""),"",F949/F948-1)</f>
        <v/>
      </c>
      <c r="M949" s="7">
        <f>IF(OR(G949="",G948=""),"",G949/G948-1)</f>
        <v/>
      </c>
      <c r="N949" s="7">
        <f>IF(G949="","",E949/G949)</f>
        <v/>
      </c>
      <c r="O949" s="7">
        <f>IF(G949="","",F949/G949)</f>
        <v/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4">
        <f>IF(SUMIFS('Daily NSE Equity Cash'!$H:$H,'Daily NSE Equity Cash'!$A:$A,$A950)=0,"",SUMIFS('Daily NSE Equity Cash'!$H:$H,'Daily NSE Equity Cash'!$A:$A,$A950))</f>
        <v/>
      </c>
      <c r="F950" s="4">
        <f>IF(SUMIFS('Daily BSE Equity Cash'!$H:$H,'Daily BSE Equity Cash'!$A:$A,$A950)=0,"",SUMIFS('Daily BSE Equity Cash'!$H:$H,'Daily BSE Equity Cash'!$A:$A,$A950))</f>
        <v/>
      </c>
      <c r="G950" s="4">
        <f>IF(OR(E950="",F950=""),"",E950+F950)</f>
        <v/>
      </c>
      <c r="H950" s="7">
        <f>IFERROR(IF(OR(E950="",INDEX(E:E,MATCH(DATE(YEAR($A950)-1,MONTH($A950),DAY($A950)),$A:$A,0))=""),"",E950/INDEX(E:E,MATCH(DATE(YEAR($A950)-1,MONTH($A950),DAY($A950)),$A:$A,0))-1),"")</f>
        <v/>
      </c>
      <c r="I950" s="7">
        <f>IFERROR(IF(OR(F950="",INDEX(F:F,MATCH(DATE(YEAR($A950)-1,MONTH($A950),DAY($A950)),$A:$A,0))=""),"",F950/INDEX(F:F,MATCH(DATE(YEAR($A950)-1,MONTH($A950),DAY($A950)),$A:$A,0))-1),"")</f>
        <v/>
      </c>
      <c r="J950" s="7">
        <f>IFERROR(IF(OR(G950="",INDEX(G:G,MATCH(DATE(YEAR($A950)-1,MONTH($A950),DAY($A950)),$A:$A,0))=""),"",G950/INDEX(G:G,MATCH(DATE(YEAR($A950)-1,MONTH($A950),DAY($A950)),$A:$A,0))-1),"")</f>
        <v/>
      </c>
      <c r="K950" s="7">
        <f>IF(OR(E950="",E949=""),"",E950/E949-1)</f>
        <v/>
      </c>
      <c r="L950" s="7">
        <f>IF(OR(F950="",F949=""),"",F950/F949-1)</f>
        <v/>
      </c>
      <c r="M950" s="7">
        <f>IF(OR(G950="",G949=""),"",G950/G949-1)</f>
        <v/>
      </c>
      <c r="N950" s="7">
        <f>IF(G950="","",E950/G950)</f>
        <v/>
      </c>
      <c r="O950" s="7">
        <f>IF(G950="","",F950/G950)</f>
        <v/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4">
        <f>IF(SUMIFS('Daily NSE Equity Cash'!$H:$H,'Daily NSE Equity Cash'!$A:$A,$A951)=0,"",SUMIFS('Daily NSE Equity Cash'!$H:$H,'Daily NSE Equity Cash'!$A:$A,$A951))</f>
        <v/>
      </c>
      <c r="F951" s="4">
        <f>IF(SUMIFS('Daily BSE Equity Cash'!$H:$H,'Daily BSE Equity Cash'!$A:$A,$A951)=0,"",SUMIFS('Daily BSE Equity Cash'!$H:$H,'Daily BSE Equity Cash'!$A:$A,$A951))</f>
        <v/>
      </c>
      <c r="G951" s="4">
        <f>IF(OR(E951="",F951=""),"",E951+F951)</f>
        <v/>
      </c>
      <c r="H951" s="7">
        <f>IFERROR(IF(OR(E951="",INDEX(E:E,MATCH(DATE(YEAR($A951)-1,MONTH($A951),DAY($A951)),$A:$A,0))=""),"",E951/INDEX(E:E,MATCH(DATE(YEAR($A951)-1,MONTH($A951),DAY($A951)),$A:$A,0))-1),"")</f>
        <v/>
      </c>
      <c r="I951" s="7">
        <f>IFERROR(IF(OR(F951="",INDEX(F:F,MATCH(DATE(YEAR($A951)-1,MONTH($A951),DAY($A951)),$A:$A,0))=""),"",F951/INDEX(F:F,MATCH(DATE(YEAR($A951)-1,MONTH($A951),DAY($A951)),$A:$A,0))-1),"")</f>
        <v/>
      </c>
      <c r="J951" s="7">
        <f>IFERROR(IF(OR(G951="",INDEX(G:G,MATCH(DATE(YEAR($A951)-1,MONTH($A951),DAY($A951)),$A:$A,0))=""),"",G951/INDEX(G:G,MATCH(DATE(YEAR($A951)-1,MONTH($A951),DAY($A951)),$A:$A,0))-1),"")</f>
        <v/>
      </c>
      <c r="K951" s="7">
        <f>IF(OR(E951="",E950=""),"",E951/E950-1)</f>
        <v/>
      </c>
      <c r="L951" s="7">
        <f>IF(OR(F951="",F950=""),"",F951/F950-1)</f>
        <v/>
      </c>
      <c r="M951" s="7">
        <f>IF(OR(G951="",G950=""),"",G951/G950-1)</f>
        <v/>
      </c>
      <c r="N951" s="7">
        <f>IF(G951="","",E951/G951)</f>
        <v/>
      </c>
      <c r="O951" s="7">
        <f>IF(G951="","",F951/G951)</f>
        <v/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4">
        <f>IF(SUMIFS('Daily NSE Equity Cash'!$H:$H,'Daily NSE Equity Cash'!$A:$A,$A952)=0,"",SUMIFS('Daily NSE Equity Cash'!$H:$H,'Daily NSE Equity Cash'!$A:$A,$A952))</f>
        <v/>
      </c>
      <c r="F952" s="4">
        <f>IF(SUMIFS('Daily BSE Equity Cash'!$H:$H,'Daily BSE Equity Cash'!$A:$A,$A952)=0,"",SUMIFS('Daily BSE Equity Cash'!$H:$H,'Daily BSE Equity Cash'!$A:$A,$A952))</f>
        <v/>
      </c>
      <c r="G952" s="4">
        <f>IF(OR(E952="",F952=""),"",E952+F952)</f>
        <v/>
      </c>
      <c r="H952" s="7">
        <f>IFERROR(IF(OR(E952="",INDEX(E:E,MATCH(DATE(YEAR($A952)-1,MONTH($A952),DAY($A952)),$A:$A,0))=""),"",E952/INDEX(E:E,MATCH(DATE(YEAR($A952)-1,MONTH($A952),DAY($A952)),$A:$A,0))-1),"")</f>
        <v/>
      </c>
      <c r="I952" s="7">
        <f>IFERROR(IF(OR(F952="",INDEX(F:F,MATCH(DATE(YEAR($A952)-1,MONTH($A952),DAY($A952)),$A:$A,0))=""),"",F952/INDEX(F:F,MATCH(DATE(YEAR($A952)-1,MONTH($A952),DAY($A952)),$A:$A,0))-1),"")</f>
        <v/>
      </c>
      <c r="J952" s="7">
        <f>IFERROR(IF(OR(G952="",INDEX(G:G,MATCH(DATE(YEAR($A952)-1,MONTH($A952),DAY($A952)),$A:$A,0))=""),"",G952/INDEX(G:G,MATCH(DATE(YEAR($A952)-1,MONTH($A952),DAY($A952)),$A:$A,0))-1),"")</f>
        <v/>
      </c>
      <c r="K952" s="7">
        <f>IF(OR(E952="",E951=""),"",E952/E951-1)</f>
        <v/>
      </c>
      <c r="L952" s="7">
        <f>IF(OR(F952="",F951=""),"",F952/F951-1)</f>
        <v/>
      </c>
      <c r="M952" s="7">
        <f>IF(OR(G952="",G951=""),"",G952/G951-1)</f>
        <v/>
      </c>
      <c r="N952" s="7">
        <f>IF(G952="","",E952/G952)</f>
        <v/>
      </c>
      <c r="O952" s="7">
        <f>IF(G952="","",F952/G952)</f>
        <v/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4">
        <f>IF(SUMIFS('Daily NSE Equity Cash'!$H:$H,'Daily NSE Equity Cash'!$A:$A,$A953)=0,"",SUMIFS('Daily NSE Equity Cash'!$H:$H,'Daily NSE Equity Cash'!$A:$A,$A953))</f>
        <v/>
      </c>
      <c r="F953" s="4">
        <f>IF(SUMIFS('Daily BSE Equity Cash'!$H:$H,'Daily BSE Equity Cash'!$A:$A,$A953)=0,"",SUMIFS('Daily BSE Equity Cash'!$H:$H,'Daily BSE Equity Cash'!$A:$A,$A953))</f>
        <v/>
      </c>
      <c r="G953" s="4">
        <f>IF(OR(E953="",F953=""),"",E953+F953)</f>
        <v/>
      </c>
      <c r="H953" s="7">
        <f>IFERROR(IF(OR(E953="",INDEX(E:E,MATCH(DATE(YEAR($A953)-1,MONTH($A953),DAY($A953)),$A:$A,0))=""),"",E953/INDEX(E:E,MATCH(DATE(YEAR($A953)-1,MONTH($A953),DAY($A953)),$A:$A,0))-1),"")</f>
        <v/>
      </c>
      <c r="I953" s="7">
        <f>IFERROR(IF(OR(F953="",INDEX(F:F,MATCH(DATE(YEAR($A953)-1,MONTH($A953),DAY($A953)),$A:$A,0))=""),"",F953/INDEX(F:F,MATCH(DATE(YEAR($A953)-1,MONTH($A953),DAY($A953)),$A:$A,0))-1),"")</f>
        <v/>
      </c>
      <c r="J953" s="7">
        <f>IFERROR(IF(OR(G953="",INDEX(G:G,MATCH(DATE(YEAR($A953)-1,MONTH($A953),DAY($A953)),$A:$A,0))=""),"",G953/INDEX(G:G,MATCH(DATE(YEAR($A953)-1,MONTH($A953),DAY($A953)),$A:$A,0))-1),"")</f>
        <v/>
      </c>
      <c r="K953" s="7">
        <f>IF(OR(E953="",E952=""),"",E953/E952-1)</f>
        <v/>
      </c>
      <c r="L953" s="7">
        <f>IF(OR(F953="",F952=""),"",F953/F952-1)</f>
        <v/>
      </c>
      <c r="M953" s="7">
        <f>IF(OR(G953="",G952=""),"",G953/G952-1)</f>
        <v/>
      </c>
      <c r="N953" s="7">
        <f>IF(G953="","",E953/G953)</f>
        <v/>
      </c>
      <c r="O953" s="7">
        <f>IF(G953="","",F953/G953)</f>
        <v/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4">
        <f>IF(SUMIFS('Daily NSE Equity Cash'!$H:$H,'Daily NSE Equity Cash'!$A:$A,$A954)=0,"",SUMIFS('Daily NSE Equity Cash'!$H:$H,'Daily NSE Equity Cash'!$A:$A,$A954))</f>
        <v/>
      </c>
      <c r="F954" s="4">
        <f>IF(SUMIFS('Daily BSE Equity Cash'!$H:$H,'Daily BSE Equity Cash'!$A:$A,$A954)=0,"",SUMIFS('Daily BSE Equity Cash'!$H:$H,'Daily BSE Equity Cash'!$A:$A,$A954))</f>
        <v/>
      </c>
      <c r="G954" s="4">
        <f>IF(OR(E954="",F954=""),"",E954+F954)</f>
        <v/>
      </c>
      <c r="H954" s="7">
        <f>IFERROR(IF(OR(E954="",INDEX(E:E,MATCH(DATE(YEAR($A954)-1,MONTH($A954),DAY($A954)),$A:$A,0))=""),"",E954/INDEX(E:E,MATCH(DATE(YEAR($A954)-1,MONTH($A954),DAY($A954)),$A:$A,0))-1),"")</f>
        <v/>
      </c>
      <c r="I954" s="7">
        <f>IFERROR(IF(OR(F954="",INDEX(F:F,MATCH(DATE(YEAR($A954)-1,MONTH($A954),DAY($A954)),$A:$A,0))=""),"",F954/INDEX(F:F,MATCH(DATE(YEAR($A954)-1,MONTH($A954),DAY($A954)),$A:$A,0))-1),"")</f>
        <v/>
      </c>
      <c r="J954" s="7">
        <f>IFERROR(IF(OR(G954="",INDEX(G:G,MATCH(DATE(YEAR($A954)-1,MONTH($A954),DAY($A954)),$A:$A,0))=""),"",G954/INDEX(G:G,MATCH(DATE(YEAR($A954)-1,MONTH($A954),DAY($A954)),$A:$A,0))-1),"")</f>
        <v/>
      </c>
      <c r="K954" s="7">
        <f>IF(OR(E954="",E953=""),"",E954/E953-1)</f>
        <v/>
      </c>
      <c r="L954" s="7">
        <f>IF(OR(F954="",F953=""),"",F954/F953-1)</f>
        <v/>
      </c>
      <c r="M954" s="7">
        <f>IF(OR(G954="",G953=""),"",G954/G953-1)</f>
        <v/>
      </c>
      <c r="N954" s="7">
        <f>IF(G954="","",E954/G954)</f>
        <v/>
      </c>
      <c r="O954" s="7">
        <f>IF(G954="","",F954/G954)</f>
        <v/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4">
        <f>IF(SUMIFS('Daily NSE Equity Cash'!$H:$H,'Daily NSE Equity Cash'!$A:$A,$A955)=0,"",SUMIFS('Daily NSE Equity Cash'!$H:$H,'Daily NSE Equity Cash'!$A:$A,$A955))</f>
        <v/>
      </c>
      <c r="F955" s="4">
        <f>IF(SUMIFS('Daily BSE Equity Cash'!$H:$H,'Daily BSE Equity Cash'!$A:$A,$A955)=0,"",SUMIFS('Daily BSE Equity Cash'!$H:$H,'Daily BSE Equity Cash'!$A:$A,$A955))</f>
        <v/>
      </c>
      <c r="G955" s="4">
        <f>IF(OR(E955="",F955=""),"",E955+F955)</f>
        <v/>
      </c>
      <c r="H955" s="7">
        <f>IFERROR(IF(OR(E955="",INDEX(E:E,MATCH(DATE(YEAR($A955)-1,MONTH($A955),DAY($A955)),$A:$A,0))=""),"",E955/INDEX(E:E,MATCH(DATE(YEAR($A955)-1,MONTH($A955),DAY($A955)),$A:$A,0))-1),"")</f>
        <v/>
      </c>
      <c r="I955" s="7">
        <f>IFERROR(IF(OR(F955="",INDEX(F:F,MATCH(DATE(YEAR($A955)-1,MONTH($A955),DAY($A955)),$A:$A,0))=""),"",F955/INDEX(F:F,MATCH(DATE(YEAR($A955)-1,MONTH($A955),DAY($A955)),$A:$A,0))-1),"")</f>
        <v/>
      </c>
      <c r="J955" s="7">
        <f>IFERROR(IF(OR(G955="",INDEX(G:G,MATCH(DATE(YEAR($A955)-1,MONTH($A955),DAY($A955)),$A:$A,0))=""),"",G955/INDEX(G:G,MATCH(DATE(YEAR($A955)-1,MONTH($A955),DAY($A955)),$A:$A,0))-1),"")</f>
        <v/>
      </c>
      <c r="K955" s="7">
        <f>IF(OR(E955="",E954=""),"",E955/E954-1)</f>
        <v/>
      </c>
      <c r="L955" s="7">
        <f>IF(OR(F955="",F954=""),"",F955/F954-1)</f>
        <v/>
      </c>
      <c r="M955" s="7">
        <f>IF(OR(G955="",G954=""),"",G955/G954-1)</f>
        <v/>
      </c>
      <c r="N955" s="7">
        <f>IF(G955="","",E955/G955)</f>
        <v/>
      </c>
      <c r="O955" s="7">
        <f>IF(G955="","",F955/G955)</f>
        <v/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4">
        <f>IF(SUMIFS('Daily NSE Equity Cash'!$H:$H,'Daily NSE Equity Cash'!$A:$A,$A956)=0,"",SUMIFS('Daily NSE Equity Cash'!$H:$H,'Daily NSE Equity Cash'!$A:$A,$A956))</f>
        <v/>
      </c>
      <c r="F956" s="4">
        <f>IF(SUMIFS('Daily BSE Equity Cash'!$H:$H,'Daily BSE Equity Cash'!$A:$A,$A956)=0,"",SUMIFS('Daily BSE Equity Cash'!$H:$H,'Daily BSE Equity Cash'!$A:$A,$A956))</f>
        <v/>
      </c>
      <c r="G956" s="4">
        <f>IF(OR(E956="",F956=""),"",E956+F956)</f>
        <v/>
      </c>
      <c r="H956" s="7">
        <f>IFERROR(IF(OR(E956="",INDEX(E:E,MATCH(DATE(YEAR($A956)-1,MONTH($A956),DAY($A956)),$A:$A,0))=""),"",E956/INDEX(E:E,MATCH(DATE(YEAR($A956)-1,MONTH($A956),DAY($A956)),$A:$A,0))-1),"")</f>
        <v/>
      </c>
      <c r="I956" s="7">
        <f>IFERROR(IF(OR(F956="",INDEX(F:F,MATCH(DATE(YEAR($A956)-1,MONTH($A956),DAY($A956)),$A:$A,0))=""),"",F956/INDEX(F:F,MATCH(DATE(YEAR($A956)-1,MONTH($A956),DAY($A956)),$A:$A,0))-1),"")</f>
        <v/>
      </c>
      <c r="J956" s="7">
        <f>IFERROR(IF(OR(G956="",INDEX(G:G,MATCH(DATE(YEAR($A956)-1,MONTH($A956),DAY($A956)),$A:$A,0))=""),"",G956/INDEX(G:G,MATCH(DATE(YEAR($A956)-1,MONTH($A956),DAY($A956)),$A:$A,0))-1),"")</f>
        <v/>
      </c>
      <c r="K956" s="7">
        <f>IF(OR(E956="",E955=""),"",E956/E955-1)</f>
        <v/>
      </c>
      <c r="L956" s="7">
        <f>IF(OR(F956="",F955=""),"",F956/F955-1)</f>
        <v/>
      </c>
      <c r="M956" s="7">
        <f>IF(OR(G956="",G955=""),"",G956/G955-1)</f>
        <v/>
      </c>
      <c r="N956" s="7">
        <f>IF(G956="","",E956/G956)</f>
        <v/>
      </c>
      <c r="O956" s="7">
        <f>IF(G956="","",F956/G956)</f>
        <v/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4">
        <f>IF(SUMIFS('Daily NSE Equity Cash'!$H:$H,'Daily NSE Equity Cash'!$A:$A,$A957)=0,"",SUMIFS('Daily NSE Equity Cash'!$H:$H,'Daily NSE Equity Cash'!$A:$A,$A957))</f>
        <v/>
      </c>
      <c r="F957" s="4">
        <f>IF(SUMIFS('Daily BSE Equity Cash'!$H:$H,'Daily BSE Equity Cash'!$A:$A,$A957)=0,"",SUMIFS('Daily BSE Equity Cash'!$H:$H,'Daily BSE Equity Cash'!$A:$A,$A957))</f>
        <v/>
      </c>
      <c r="G957" s="4">
        <f>IF(OR(E957="",F957=""),"",E957+F957)</f>
        <v/>
      </c>
      <c r="H957" s="7">
        <f>IFERROR(IF(OR(E957="",INDEX(E:E,MATCH(DATE(YEAR($A957)-1,MONTH($A957),DAY($A957)),$A:$A,0))=""),"",E957/INDEX(E:E,MATCH(DATE(YEAR($A957)-1,MONTH($A957),DAY($A957)),$A:$A,0))-1),"")</f>
        <v/>
      </c>
      <c r="I957" s="7">
        <f>IFERROR(IF(OR(F957="",INDEX(F:F,MATCH(DATE(YEAR($A957)-1,MONTH($A957),DAY($A957)),$A:$A,0))=""),"",F957/INDEX(F:F,MATCH(DATE(YEAR($A957)-1,MONTH($A957),DAY($A957)),$A:$A,0))-1),"")</f>
        <v/>
      </c>
      <c r="J957" s="7">
        <f>IFERROR(IF(OR(G957="",INDEX(G:G,MATCH(DATE(YEAR($A957)-1,MONTH($A957),DAY($A957)),$A:$A,0))=""),"",G957/INDEX(G:G,MATCH(DATE(YEAR($A957)-1,MONTH($A957),DAY($A957)),$A:$A,0))-1),"")</f>
        <v/>
      </c>
      <c r="K957" s="7">
        <f>IF(OR(E957="",E956=""),"",E957/E956-1)</f>
        <v/>
      </c>
      <c r="L957" s="7">
        <f>IF(OR(F957="",F956=""),"",F957/F956-1)</f>
        <v/>
      </c>
      <c r="M957" s="7">
        <f>IF(OR(G957="",G956=""),"",G957/G956-1)</f>
        <v/>
      </c>
      <c r="N957" s="7">
        <f>IF(G957="","",E957/G957)</f>
        <v/>
      </c>
      <c r="O957" s="7">
        <f>IF(G957="","",F957/G957)</f>
        <v/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4">
        <f>IF(SUMIFS('Daily NSE Equity Cash'!$H:$H,'Daily NSE Equity Cash'!$A:$A,$A958)=0,"",SUMIFS('Daily NSE Equity Cash'!$H:$H,'Daily NSE Equity Cash'!$A:$A,$A958))</f>
        <v/>
      </c>
      <c r="F958" s="4">
        <f>IF(SUMIFS('Daily BSE Equity Cash'!$H:$H,'Daily BSE Equity Cash'!$A:$A,$A958)=0,"",SUMIFS('Daily BSE Equity Cash'!$H:$H,'Daily BSE Equity Cash'!$A:$A,$A958))</f>
        <v/>
      </c>
      <c r="G958" s="4">
        <f>IF(OR(E958="",F958=""),"",E958+F958)</f>
        <v/>
      </c>
      <c r="H958" s="7">
        <f>IFERROR(IF(OR(E958="",INDEX(E:E,MATCH(DATE(YEAR($A958)-1,MONTH($A958),DAY($A958)),$A:$A,0))=""),"",E958/INDEX(E:E,MATCH(DATE(YEAR($A958)-1,MONTH($A958),DAY($A958)),$A:$A,0))-1),"")</f>
        <v/>
      </c>
      <c r="I958" s="7">
        <f>IFERROR(IF(OR(F958="",INDEX(F:F,MATCH(DATE(YEAR($A958)-1,MONTH($A958),DAY($A958)),$A:$A,0))=""),"",F958/INDEX(F:F,MATCH(DATE(YEAR($A958)-1,MONTH($A958),DAY($A958)),$A:$A,0))-1),"")</f>
        <v/>
      </c>
      <c r="J958" s="7">
        <f>IFERROR(IF(OR(G958="",INDEX(G:G,MATCH(DATE(YEAR($A958)-1,MONTH($A958),DAY($A958)),$A:$A,0))=""),"",G958/INDEX(G:G,MATCH(DATE(YEAR($A958)-1,MONTH($A958),DAY($A958)),$A:$A,0))-1),"")</f>
        <v/>
      </c>
      <c r="K958" s="7">
        <f>IF(OR(E958="",E957=""),"",E958/E957-1)</f>
        <v/>
      </c>
      <c r="L958" s="7">
        <f>IF(OR(F958="",F957=""),"",F958/F957-1)</f>
        <v/>
      </c>
      <c r="M958" s="7">
        <f>IF(OR(G958="",G957=""),"",G958/G957-1)</f>
        <v/>
      </c>
      <c r="N958" s="7">
        <f>IF(G958="","",E958/G958)</f>
        <v/>
      </c>
      <c r="O958" s="7">
        <f>IF(G958="","",F958/G958)</f>
        <v/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4">
        <f>IF(SUMIFS('Daily NSE Equity Cash'!$H:$H,'Daily NSE Equity Cash'!$A:$A,$A959)=0,"",SUMIFS('Daily NSE Equity Cash'!$H:$H,'Daily NSE Equity Cash'!$A:$A,$A959))</f>
        <v/>
      </c>
      <c r="F959" s="4">
        <f>IF(SUMIFS('Daily BSE Equity Cash'!$H:$H,'Daily BSE Equity Cash'!$A:$A,$A959)=0,"",SUMIFS('Daily BSE Equity Cash'!$H:$H,'Daily BSE Equity Cash'!$A:$A,$A959))</f>
        <v/>
      </c>
      <c r="G959" s="4">
        <f>IF(OR(E959="",F959=""),"",E959+F959)</f>
        <v/>
      </c>
      <c r="H959" s="7">
        <f>IFERROR(IF(OR(E959="",INDEX(E:E,MATCH(DATE(YEAR($A959)-1,MONTH($A959),DAY($A959)),$A:$A,0))=""),"",E959/INDEX(E:E,MATCH(DATE(YEAR($A959)-1,MONTH($A959),DAY($A959)),$A:$A,0))-1),"")</f>
        <v/>
      </c>
      <c r="I959" s="7">
        <f>IFERROR(IF(OR(F959="",INDEX(F:F,MATCH(DATE(YEAR($A959)-1,MONTH($A959),DAY($A959)),$A:$A,0))=""),"",F959/INDEX(F:F,MATCH(DATE(YEAR($A959)-1,MONTH($A959),DAY($A959)),$A:$A,0))-1),"")</f>
        <v/>
      </c>
      <c r="J959" s="7">
        <f>IFERROR(IF(OR(G959="",INDEX(G:G,MATCH(DATE(YEAR($A959)-1,MONTH($A959),DAY($A959)),$A:$A,0))=""),"",G959/INDEX(G:G,MATCH(DATE(YEAR($A959)-1,MONTH($A959),DAY($A959)),$A:$A,0))-1),"")</f>
        <v/>
      </c>
      <c r="K959" s="7">
        <f>IF(OR(E959="",E958=""),"",E959/E958-1)</f>
        <v/>
      </c>
      <c r="L959" s="7">
        <f>IF(OR(F959="",F958=""),"",F959/F958-1)</f>
        <v/>
      </c>
      <c r="M959" s="7">
        <f>IF(OR(G959="",G958=""),"",G959/G958-1)</f>
        <v/>
      </c>
      <c r="N959" s="7">
        <f>IF(G959="","",E959/G959)</f>
        <v/>
      </c>
      <c r="O959" s="7">
        <f>IF(G959="","",F959/G959)</f>
        <v/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4">
        <f>IF(SUMIFS('Daily NSE Equity Cash'!$H:$H,'Daily NSE Equity Cash'!$A:$A,$A960)=0,"",SUMIFS('Daily NSE Equity Cash'!$H:$H,'Daily NSE Equity Cash'!$A:$A,$A960))</f>
        <v/>
      </c>
      <c r="F960" s="4">
        <f>IF(SUMIFS('Daily BSE Equity Cash'!$H:$H,'Daily BSE Equity Cash'!$A:$A,$A960)=0,"",SUMIFS('Daily BSE Equity Cash'!$H:$H,'Daily BSE Equity Cash'!$A:$A,$A960))</f>
        <v/>
      </c>
      <c r="G960" s="4">
        <f>IF(OR(E960="",F960=""),"",E960+F960)</f>
        <v/>
      </c>
      <c r="H960" s="7">
        <f>IFERROR(IF(OR(E960="",INDEX(E:E,MATCH(DATE(YEAR($A960)-1,MONTH($A960),DAY($A960)),$A:$A,0))=""),"",E960/INDEX(E:E,MATCH(DATE(YEAR($A960)-1,MONTH($A960),DAY($A960)),$A:$A,0))-1),"")</f>
        <v/>
      </c>
      <c r="I960" s="7">
        <f>IFERROR(IF(OR(F960="",INDEX(F:F,MATCH(DATE(YEAR($A960)-1,MONTH($A960),DAY($A960)),$A:$A,0))=""),"",F960/INDEX(F:F,MATCH(DATE(YEAR($A960)-1,MONTH($A960),DAY($A960)),$A:$A,0))-1),"")</f>
        <v/>
      </c>
      <c r="J960" s="7">
        <f>IFERROR(IF(OR(G960="",INDEX(G:G,MATCH(DATE(YEAR($A960)-1,MONTH($A960),DAY($A960)),$A:$A,0))=""),"",G960/INDEX(G:G,MATCH(DATE(YEAR($A960)-1,MONTH($A960),DAY($A960)),$A:$A,0))-1),"")</f>
        <v/>
      </c>
      <c r="K960" s="7">
        <f>IF(OR(E960="",E959=""),"",E960/E959-1)</f>
        <v/>
      </c>
      <c r="L960" s="7">
        <f>IF(OR(F960="",F959=""),"",F960/F959-1)</f>
        <v/>
      </c>
      <c r="M960" s="7">
        <f>IF(OR(G960="",G959=""),"",G960/G959-1)</f>
        <v/>
      </c>
      <c r="N960" s="7">
        <f>IF(G960="","",E960/G960)</f>
        <v/>
      </c>
      <c r="O960" s="7">
        <f>IF(G960="","",F960/G960)</f>
        <v/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4">
        <f>IF(SUMIFS('Daily NSE Equity Cash'!$H:$H,'Daily NSE Equity Cash'!$A:$A,$A961)=0,"",SUMIFS('Daily NSE Equity Cash'!$H:$H,'Daily NSE Equity Cash'!$A:$A,$A961))</f>
        <v/>
      </c>
      <c r="F961" s="4">
        <f>IF(SUMIFS('Daily BSE Equity Cash'!$H:$H,'Daily BSE Equity Cash'!$A:$A,$A961)=0,"",SUMIFS('Daily BSE Equity Cash'!$H:$H,'Daily BSE Equity Cash'!$A:$A,$A961))</f>
        <v/>
      </c>
      <c r="G961" s="4">
        <f>IF(OR(E961="",F961=""),"",E961+F961)</f>
        <v/>
      </c>
      <c r="H961" s="7">
        <f>IFERROR(IF(OR(E961="",INDEX(E:E,MATCH(DATE(YEAR($A961)-1,MONTH($A961),DAY($A961)),$A:$A,0))=""),"",E961/INDEX(E:E,MATCH(DATE(YEAR($A961)-1,MONTH($A961),DAY($A961)),$A:$A,0))-1),"")</f>
        <v/>
      </c>
      <c r="I961" s="7">
        <f>IFERROR(IF(OR(F961="",INDEX(F:F,MATCH(DATE(YEAR($A961)-1,MONTH($A961),DAY($A961)),$A:$A,0))=""),"",F961/INDEX(F:F,MATCH(DATE(YEAR($A961)-1,MONTH($A961),DAY($A961)),$A:$A,0))-1),"")</f>
        <v/>
      </c>
      <c r="J961" s="7">
        <f>IFERROR(IF(OR(G961="",INDEX(G:G,MATCH(DATE(YEAR($A961)-1,MONTH($A961),DAY($A961)),$A:$A,0))=""),"",G961/INDEX(G:G,MATCH(DATE(YEAR($A961)-1,MONTH($A961),DAY($A961)),$A:$A,0))-1),"")</f>
        <v/>
      </c>
      <c r="K961" s="7">
        <f>IF(OR(E961="",E960=""),"",E961/E960-1)</f>
        <v/>
      </c>
      <c r="L961" s="7">
        <f>IF(OR(F961="",F960=""),"",F961/F960-1)</f>
        <v/>
      </c>
      <c r="M961" s="7">
        <f>IF(OR(G961="",G960=""),"",G961/G960-1)</f>
        <v/>
      </c>
      <c r="N961" s="7">
        <f>IF(G961="","",E961/G961)</f>
        <v/>
      </c>
      <c r="O961" s="7">
        <f>IF(G961="","",F961/G961)</f>
        <v/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4">
        <f>IF(SUMIFS('Daily NSE Equity Cash'!$H:$H,'Daily NSE Equity Cash'!$A:$A,$A962)=0,"",SUMIFS('Daily NSE Equity Cash'!$H:$H,'Daily NSE Equity Cash'!$A:$A,$A962))</f>
        <v/>
      </c>
      <c r="F962" s="4">
        <f>IF(SUMIFS('Daily BSE Equity Cash'!$H:$H,'Daily BSE Equity Cash'!$A:$A,$A962)=0,"",SUMIFS('Daily BSE Equity Cash'!$H:$H,'Daily BSE Equity Cash'!$A:$A,$A962))</f>
        <v/>
      </c>
      <c r="G962" s="4">
        <f>IF(OR(E962="",F962=""),"",E962+F962)</f>
        <v/>
      </c>
      <c r="H962" s="7">
        <f>IFERROR(IF(OR(E962="",INDEX(E:E,MATCH(DATE(YEAR($A962)-1,MONTH($A962),DAY($A962)),$A:$A,0))=""),"",E962/INDEX(E:E,MATCH(DATE(YEAR($A962)-1,MONTH($A962),DAY($A962)),$A:$A,0))-1),"")</f>
        <v/>
      </c>
      <c r="I962" s="7">
        <f>IFERROR(IF(OR(F962="",INDEX(F:F,MATCH(DATE(YEAR($A962)-1,MONTH($A962),DAY($A962)),$A:$A,0))=""),"",F962/INDEX(F:F,MATCH(DATE(YEAR($A962)-1,MONTH($A962),DAY($A962)),$A:$A,0))-1),"")</f>
        <v/>
      </c>
      <c r="J962" s="7">
        <f>IFERROR(IF(OR(G962="",INDEX(G:G,MATCH(DATE(YEAR($A962)-1,MONTH($A962),DAY($A962)),$A:$A,0))=""),"",G962/INDEX(G:G,MATCH(DATE(YEAR($A962)-1,MONTH($A962),DAY($A962)),$A:$A,0))-1),"")</f>
        <v/>
      </c>
      <c r="K962" s="7">
        <f>IF(OR(E962="",E961=""),"",E962/E961-1)</f>
        <v/>
      </c>
      <c r="L962" s="7">
        <f>IF(OR(F962="",F961=""),"",F962/F961-1)</f>
        <v/>
      </c>
      <c r="M962" s="7">
        <f>IF(OR(G962="",G961=""),"",G962/G961-1)</f>
        <v/>
      </c>
      <c r="N962" s="7">
        <f>IF(G962="","",E962/G962)</f>
        <v/>
      </c>
      <c r="O962" s="7">
        <f>IF(G962="","",F962/G962)</f>
        <v/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4">
        <f>IF(SUMIFS('Daily NSE Equity Cash'!$H:$H,'Daily NSE Equity Cash'!$A:$A,$A963)=0,"",SUMIFS('Daily NSE Equity Cash'!$H:$H,'Daily NSE Equity Cash'!$A:$A,$A963))</f>
        <v/>
      </c>
      <c r="F963" s="4">
        <f>IF(SUMIFS('Daily BSE Equity Cash'!$H:$H,'Daily BSE Equity Cash'!$A:$A,$A963)=0,"",SUMIFS('Daily BSE Equity Cash'!$H:$H,'Daily BSE Equity Cash'!$A:$A,$A963))</f>
        <v/>
      </c>
      <c r="G963" s="4">
        <f>IF(OR(E963="",F963=""),"",E963+F963)</f>
        <v/>
      </c>
      <c r="H963" s="7">
        <f>IFERROR(IF(OR(E963="",INDEX(E:E,MATCH(DATE(YEAR($A963)-1,MONTH($A963),DAY($A963)),$A:$A,0))=""),"",E963/INDEX(E:E,MATCH(DATE(YEAR($A963)-1,MONTH($A963),DAY($A963)),$A:$A,0))-1),"")</f>
        <v/>
      </c>
      <c r="I963" s="7">
        <f>IFERROR(IF(OR(F963="",INDEX(F:F,MATCH(DATE(YEAR($A963)-1,MONTH($A963),DAY($A963)),$A:$A,0))=""),"",F963/INDEX(F:F,MATCH(DATE(YEAR($A963)-1,MONTH($A963),DAY($A963)),$A:$A,0))-1),"")</f>
        <v/>
      </c>
      <c r="J963" s="7">
        <f>IFERROR(IF(OR(G963="",INDEX(G:G,MATCH(DATE(YEAR($A963)-1,MONTH($A963),DAY($A963)),$A:$A,0))=""),"",G963/INDEX(G:G,MATCH(DATE(YEAR($A963)-1,MONTH($A963),DAY($A963)),$A:$A,0))-1),"")</f>
        <v/>
      </c>
      <c r="K963" s="7">
        <f>IF(OR(E963="",E962=""),"",E963/E962-1)</f>
        <v/>
      </c>
      <c r="L963" s="7">
        <f>IF(OR(F963="",F962=""),"",F963/F962-1)</f>
        <v/>
      </c>
      <c r="M963" s="7">
        <f>IF(OR(G963="",G962=""),"",G963/G962-1)</f>
        <v/>
      </c>
      <c r="N963" s="7">
        <f>IF(G963="","",E963/G963)</f>
        <v/>
      </c>
      <c r="O963" s="7">
        <f>IF(G963="","",F963/G963)</f>
        <v/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4">
        <f>IF(SUMIFS('Daily NSE Equity Cash'!$H:$H,'Daily NSE Equity Cash'!$A:$A,$A964)=0,"",SUMIFS('Daily NSE Equity Cash'!$H:$H,'Daily NSE Equity Cash'!$A:$A,$A964))</f>
        <v/>
      </c>
      <c r="F964" s="4">
        <f>IF(SUMIFS('Daily BSE Equity Cash'!$H:$H,'Daily BSE Equity Cash'!$A:$A,$A964)=0,"",SUMIFS('Daily BSE Equity Cash'!$H:$H,'Daily BSE Equity Cash'!$A:$A,$A964))</f>
        <v/>
      </c>
      <c r="G964" s="4">
        <f>IF(OR(E964="",F964=""),"",E964+F964)</f>
        <v/>
      </c>
      <c r="H964" s="7">
        <f>IFERROR(IF(OR(E964="",INDEX(E:E,MATCH(DATE(YEAR($A964)-1,MONTH($A964),DAY($A964)),$A:$A,0))=""),"",E964/INDEX(E:E,MATCH(DATE(YEAR($A964)-1,MONTH($A964),DAY($A964)),$A:$A,0))-1),"")</f>
        <v/>
      </c>
      <c r="I964" s="7">
        <f>IFERROR(IF(OR(F964="",INDEX(F:F,MATCH(DATE(YEAR($A964)-1,MONTH($A964),DAY($A964)),$A:$A,0))=""),"",F964/INDEX(F:F,MATCH(DATE(YEAR($A964)-1,MONTH($A964),DAY($A964)),$A:$A,0))-1),"")</f>
        <v/>
      </c>
      <c r="J964" s="7">
        <f>IFERROR(IF(OR(G964="",INDEX(G:G,MATCH(DATE(YEAR($A964)-1,MONTH($A964),DAY($A964)),$A:$A,0))=""),"",G964/INDEX(G:G,MATCH(DATE(YEAR($A964)-1,MONTH($A964),DAY($A964)),$A:$A,0))-1),"")</f>
        <v/>
      </c>
      <c r="K964" s="7">
        <f>IF(OR(E964="",E963=""),"",E964/E963-1)</f>
        <v/>
      </c>
      <c r="L964" s="7">
        <f>IF(OR(F964="",F963=""),"",F964/F963-1)</f>
        <v/>
      </c>
      <c r="M964" s="7">
        <f>IF(OR(G964="",G963=""),"",G964/G963-1)</f>
        <v/>
      </c>
      <c r="N964" s="7">
        <f>IF(G964="","",E964/G964)</f>
        <v/>
      </c>
      <c r="O964" s="7">
        <f>IF(G964="","",F964/G964)</f>
        <v/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4">
        <f>IF(SUMIFS('Daily NSE Equity Cash'!$H:$H,'Daily NSE Equity Cash'!$A:$A,$A965)=0,"",SUMIFS('Daily NSE Equity Cash'!$H:$H,'Daily NSE Equity Cash'!$A:$A,$A965))</f>
        <v/>
      </c>
      <c r="F965" s="4">
        <f>IF(SUMIFS('Daily BSE Equity Cash'!$H:$H,'Daily BSE Equity Cash'!$A:$A,$A965)=0,"",SUMIFS('Daily BSE Equity Cash'!$H:$H,'Daily BSE Equity Cash'!$A:$A,$A965))</f>
        <v/>
      </c>
      <c r="G965" s="4">
        <f>IF(OR(E965="",F965=""),"",E965+F965)</f>
        <v/>
      </c>
      <c r="H965" s="7">
        <f>IFERROR(IF(OR(E965="",INDEX(E:E,MATCH(DATE(YEAR($A965)-1,MONTH($A965),DAY($A965)),$A:$A,0))=""),"",E965/INDEX(E:E,MATCH(DATE(YEAR($A965)-1,MONTH($A965),DAY($A965)),$A:$A,0))-1),"")</f>
        <v/>
      </c>
      <c r="I965" s="7">
        <f>IFERROR(IF(OR(F965="",INDEX(F:F,MATCH(DATE(YEAR($A965)-1,MONTH($A965),DAY($A965)),$A:$A,0))=""),"",F965/INDEX(F:F,MATCH(DATE(YEAR($A965)-1,MONTH($A965),DAY($A965)),$A:$A,0))-1),"")</f>
        <v/>
      </c>
      <c r="J965" s="7">
        <f>IFERROR(IF(OR(G965="",INDEX(G:G,MATCH(DATE(YEAR($A965)-1,MONTH($A965),DAY($A965)),$A:$A,0))=""),"",G965/INDEX(G:G,MATCH(DATE(YEAR($A965)-1,MONTH($A965),DAY($A965)),$A:$A,0))-1),"")</f>
        <v/>
      </c>
      <c r="K965" s="7">
        <f>IF(OR(E965="",E964=""),"",E965/E964-1)</f>
        <v/>
      </c>
      <c r="L965" s="7">
        <f>IF(OR(F965="",F964=""),"",F965/F964-1)</f>
        <v/>
      </c>
      <c r="M965" s="7">
        <f>IF(OR(G965="",G964=""),"",G965/G964-1)</f>
        <v/>
      </c>
      <c r="N965" s="7">
        <f>IF(G965="","",E965/G965)</f>
        <v/>
      </c>
      <c r="O965" s="7">
        <f>IF(G965="","",F965/G965)</f>
        <v/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4">
        <f>IF(SUMIFS('Daily NSE Equity Cash'!$H:$H,'Daily NSE Equity Cash'!$A:$A,$A966)=0,"",SUMIFS('Daily NSE Equity Cash'!$H:$H,'Daily NSE Equity Cash'!$A:$A,$A966))</f>
        <v/>
      </c>
      <c r="F966" s="4">
        <f>IF(SUMIFS('Daily BSE Equity Cash'!$H:$H,'Daily BSE Equity Cash'!$A:$A,$A966)=0,"",SUMIFS('Daily BSE Equity Cash'!$H:$H,'Daily BSE Equity Cash'!$A:$A,$A966))</f>
        <v/>
      </c>
      <c r="G966" s="4">
        <f>IF(OR(E966="",F966=""),"",E966+F966)</f>
        <v/>
      </c>
      <c r="H966" s="7">
        <f>IFERROR(IF(OR(E966="",INDEX(E:E,MATCH(DATE(YEAR($A966)-1,MONTH($A966),DAY($A966)),$A:$A,0))=""),"",E966/INDEX(E:E,MATCH(DATE(YEAR($A966)-1,MONTH($A966),DAY($A966)),$A:$A,0))-1),"")</f>
        <v/>
      </c>
      <c r="I966" s="7">
        <f>IFERROR(IF(OR(F966="",INDEX(F:F,MATCH(DATE(YEAR($A966)-1,MONTH($A966),DAY($A966)),$A:$A,0))=""),"",F966/INDEX(F:F,MATCH(DATE(YEAR($A966)-1,MONTH($A966),DAY($A966)),$A:$A,0))-1),"")</f>
        <v/>
      </c>
      <c r="J966" s="7">
        <f>IFERROR(IF(OR(G966="",INDEX(G:G,MATCH(DATE(YEAR($A966)-1,MONTH($A966),DAY($A966)),$A:$A,0))=""),"",G966/INDEX(G:G,MATCH(DATE(YEAR($A966)-1,MONTH($A966),DAY($A966)),$A:$A,0))-1),"")</f>
        <v/>
      </c>
      <c r="K966" s="7">
        <f>IF(OR(E966="",E965=""),"",E966/E965-1)</f>
        <v/>
      </c>
      <c r="L966" s="7">
        <f>IF(OR(F966="",F965=""),"",F966/F965-1)</f>
        <v/>
      </c>
      <c r="M966" s="7">
        <f>IF(OR(G966="",G965=""),"",G966/G965-1)</f>
        <v/>
      </c>
      <c r="N966" s="7">
        <f>IF(G966="","",E966/G966)</f>
        <v/>
      </c>
      <c r="O966" s="7">
        <f>IF(G966="","",F966/G966)</f>
        <v/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4">
        <f>IF(SUMIFS('Daily NSE Equity Cash'!$H:$H,'Daily NSE Equity Cash'!$A:$A,$A967)=0,"",SUMIFS('Daily NSE Equity Cash'!$H:$H,'Daily NSE Equity Cash'!$A:$A,$A967))</f>
        <v/>
      </c>
      <c r="F967" s="4">
        <f>IF(SUMIFS('Daily BSE Equity Cash'!$H:$H,'Daily BSE Equity Cash'!$A:$A,$A967)=0,"",SUMIFS('Daily BSE Equity Cash'!$H:$H,'Daily BSE Equity Cash'!$A:$A,$A967))</f>
        <v/>
      </c>
      <c r="G967" s="4">
        <f>IF(OR(E967="",F967=""),"",E967+F967)</f>
        <v/>
      </c>
      <c r="H967" s="7">
        <f>IFERROR(IF(OR(E967="",INDEX(E:E,MATCH(DATE(YEAR($A967)-1,MONTH($A967),DAY($A967)),$A:$A,0))=""),"",E967/INDEX(E:E,MATCH(DATE(YEAR($A967)-1,MONTH($A967),DAY($A967)),$A:$A,0))-1),"")</f>
        <v/>
      </c>
      <c r="I967" s="7">
        <f>IFERROR(IF(OR(F967="",INDEX(F:F,MATCH(DATE(YEAR($A967)-1,MONTH($A967),DAY($A967)),$A:$A,0))=""),"",F967/INDEX(F:F,MATCH(DATE(YEAR($A967)-1,MONTH($A967),DAY($A967)),$A:$A,0))-1),"")</f>
        <v/>
      </c>
      <c r="J967" s="7">
        <f>IFERROR(IF(OR(G967="",INDEX(G:G,MATCH(DATE(YEAR($A967)-1,MONTH($A967),DAY($A967)),$A:$A,0))=""),"",G967/INDEX(G:G,MATCH(DATE(YEAR($A967)-1,MONTH($A967),DAY($A967)),$A:$A,0))-1),"")</f>
        <v/>
      </c>
      <c r="K967" s="7">
        <f>IF(OR(E967="",E966=""),"",E967/E966-1)</f>
        <v/>
      </c>
      <c r="L967" s="7">
        <f>IF(OR(F967="",F966=""),"",F967/F966-1)</f>
        <v/>
      </c>
      <c r="M967" s="7">
        <f>IF(OR(G967="",G966=""),"",G967/G966-1)</f>
        <v/>
      </c>
      <c r="N967" s="7">
        <f>IF(G967="","",E967/G967)</f>
        <v/>
      </c>
      <c r="O967" s="7">
        <f>IF(G967="","",F967/G967)</f>
        <v/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4">
        <f>IF(SUMIFS('Daily NSE Equity Cash'!$H:$H,'Daily NSE Equity Cash'!$A:$A,$A968)=0,"",SUMIFS('Daily NSE Equity Cash'!$H:$H,'Daily NSE Equity Cash'!$A:$A,$A968))</f>
        <v/>
      </c>
      <c r="F968" s="4">
        <f>IF(SUMIFS('Daily BSE Equity Cash'!$H:$H,'Daily BSE Equity Cash'!$A:$A,$A968)=0,"",SUMIFS('Daily BSE Equity Cash'!$H:$H,'Daily BSE Equity Cash'!$A:$A,$A968))</f>
        <v/>
      </c>
      <c r="G968" s="4">
        <f>IF(OR(E968="",F968=""),"",E968+F968)</f>
        <v/>
      </c>
      <c r="H968" s="7">
        <f>IFERROR(IF(OR(E968="",INDEX(E:E,MATCH(DATE(YEAR($A968)-1,MONTH($A968),DAY($A968)),$A:$A,0))=""),"",E968/INDEX(E:E,MATCH(DATE(YEAR($A968)-1,MONTH($A968),DAY($A968)),$A:$A,0))-1),"")</f>
        <v/>
      </c>
      <c r="I968" s="7">
        <f>IFERROR(IF(OR(F968="",INDEX(F:F,MATCH(DATE(YEAR($A968)-1,MONTH($A968),DAY($A968)),$A:$A,0))=""),"",F968/INDEX(F:F,MATCH(DATE(YEAR($A968)-1,MONTH($A968),DAY($A968)),$A:$A,0))-1),"")</f>
        <v/>
      </c>
      <c r="J968" s="7">
        <f>IFERROR(IF(OR(G968="",INDEX(G:G,MATCH(DATE(YEAR($A968)-1,MONTH($A968),DAY($A968)),$A:$A,0))=""),"",G968/INDEX(G:G,MATCH(DATE(YEAR($A968)-1,MONTH($A968),DAY($A968)),$A:$A,0))-1),"")</f>
        <v/>
      </c>
      <c r="K968" s="7">
        <f>IF(OR(E968="",E967=""),"",E968/E967-1)</f>
        <v/>
      </c>
      <c r="L968" s="7">
        <f>IF(OR(F968="",F967=""),"",F968/F967-1)</f>
        <v/>
      </c>
      <c r="M968" s="7">
        <f>IF(OR(G968="",G967=""),"",G968/G967-1)</f>
        <v/>
      </c>
      <c r="N968" s="7">
        <f>IF(G968="","",E968/G968)</f>
        <v/>
      </c>
      <c r="O968" s="7">
        <f>IF(G968="","",F968/G968)</f>
        <v/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4">
        <f>IF(SUMIFS('Daily NSE Equity Cash'!$H:$H,'Daily NSE Equity Cash'!$A:$A,$A969)=0,"",SUMIFS('Daily NSE Equity Cash'!$H:$H,'Daily NSE Equity Cash'!$A:$A,$A969))</f>
        <v/>
      </c>
      <c r="F969" s="4">
        <f>IF(SUMIFS('Daily BSE Equity Cash'!$H:$H,'Daily BSE Equity Cash'!$A:$A,$A969)=0,"",SUMIFS('Daily BSE Equity Cash'!$H:$H,'Daily BSE Equity Cash'!$A:$A,$A969))</f>
        <v/>
      </c>
      <c r="G969" s="4">
        <f>IF(OR(E969="",F969=""),"",E969+F969)</f>
        <v/>
      </c>
      <c r="H969" s="7">
        <f>IFERROR(IF(OR(E969="",INDEX(E:E,MATCH(DATE(YEAR($A969)-1,MONTH($A969),DAY($A969)),$A:$A,0))=""),"",E969/INDEX(E:E,MATCH(DATE(YEAR($A969)-1,MONTH($A969),DAY($A969)),$A:$A,0))-1),"")</f>
        <v/>
      </c>
      <c r="I969" s="7">
        <f>IFERROR(IF(OR(F969="",INDEX(F:F,MATCH(DATE(YEAR($A969)-1,MONTH($A969),DAY($A969)),$A:$A,0))=""),"",F969/INDEX(F:F,MATCH(DATE(YEAR($A969)-1,MONTH($A969),DAY($A969)),$A:$A,0))-1),"")</f>
        <v/>
      </c>
      <c r="J969" s="7">
        <f>IFERROR(IF(OR(G969="",INDEX(G:G,MATCH(DATE(YEAR($A969)-1,MONTH($A969),DAY($A969)),$A:$A,0))=""),"",G969/INDEX(G:G,MATCH(DATE(YEAR($A969)-1,MONTH($A969),DAY($A969)),$A:$A,0))-1),"")</f>
        <v/>
      </c>
      <c r="K969" s="7">
        <f>IF(OR(E969="",E968=""),"",E969/E968-1)</f>
        <v/>
      </c>
      <c r="L969" s="7">
        <f>IF(OR(F969="",F968=""),"",F969/F968-1)</f>
        <v/>
      </c>
      <c r="M969" s="7">
        <f>IF(OR(G969="",G968=""),"",G969/G968-1)</f>
        <v/>
      </c>
      <c r="N969" s="7">
        <f>IF(G969="","",E969/G969)</f>
        <v/>
      </c>
      <c r="O969" s="7">
        <f>IF(G969="","",F969/G969)</f>
        <v/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4">
        <f>IF(SUMIFS('Daily NSE Equity Cash'!$H:$H,'Daily NSE Equity Cash'!$A:$A,$A970)=0,"",SUMIFS('Daily NSE Equity Cash'!$H:$H,'Daily NSE Equity Cash'!$A:$A,$A970))</f>
        <v/>
      </c>
      <c r="F970" s="4">
        <f>IF(SUMIFS('Daily BSE Equity Cash'!$H:$H,'Daily BSE Equity Cash'!$A:$A,$A970)=0,"",SUMIFS('Daily BSE Equity Cash'!$H:$H,'Daily BSE Equity Cash'!$A:$A,$A970))</f>
        <v/>
      </c>
      <c r="G970" s="4">
        <f>IF(OR(E970="",F970=""),"",E970+F970)</f>
        <v/>
      </c>
      <c r="H970" s="7">
        <f>IFERROR(IF(OR(E970="",INDEX(E:E,MATCH(DATE(YEAR($A970)-1,MONTH($A970),DAY($A970)),$A:$A,0))=""),"",E970/INDEX(E:E,MATCH(DATE(YEAR($A970)-1,MONTH($A970),DAY($A970)),$A:$A,0))-1),"")</f>
        <v/>
      </c>
      <c r="I970" s="7">
        <f>IFERROR(IF(OR(F970="",INDEX(F:F,MATCH(DATE(YEAR($A970)-1,MONTH($A970),DAY($A970)),$A:$A,0))=""),"",F970/INDEX(F:F,MATCH(DATE(YEAR($A970)-1,MONTH($A970),DAY($A970)),$A:$A,0))-1),"")</f>
        <v/>
      </c>
      <c r="J970" s="7">
        <f>IFERROR(IF(OR(G970="",INDEX(G:G,MATCH(DATE(YEAR($A970)-1,MONTH($A970),DAY($A970)),$A:$A,0))=""),"",G970/INDEX(G:G,MATCH(DATE(YEAR($A970)-1,MONTH($A970),DAY($A970)),$A:$A,0))-1),"")</f>
        <v/>
      </c>
      <c r="K970" s="7">
        <f>IF(OR(E970="",E969=""),"",E970/E969-1)</f>
        <v/>
      </c>
      <c r="L970" s="7">
        <f>IF(OR(F970="",F969=""),"",F970/F969-1)</f>
        <v/>
      </c>
      <c r="M970" s="7">
        <f>IF(OR(G970="",G969=""),"",G970/G969-1)</f>
        <v/>
      </c>
      <c r="N970" s="7">
        <f>IF(G970="","",E970/G970)</f>
        <v/>
      </c>
      <c r="O970" s="7">
        <f>IF(G970="","",F970/G970)</f>
        <v/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4">
        <f>IF(SUMIFS('Daily NSE Equity Cash'!$H:$H,'Daily NSE Equity Cash'!$A:$A,$A971)=0,"",SUMIFS('Daily NSE Equity Cash'!$H:$H,'Daily NSE Equity Cash'!$A:$A,$A971))</f>
        <v/>
      </c>
      <c r="F971" s="4">
        <f>IF(SUMIFS('Daily BSE Equity Cash'!$H:$H,'Daily BSE Equity Cash'!$A:$A,$A971)=0,"",SUMIFS('Daily BSE Equity Cash'!$H:$H,'Daily BSE Equity Cash'!$A:$A,$A971))</f>
        <v/>
      </c>
      <c r="G971" s="4">
        <f>IF(OR(E971="",F971=""),"",E971+F971)</f>
        <v/>
      </c>
      <c r="H971" s="7">
        <f>IFERROR(IF(OR(E971="",INDEX(E:E,MATCH(DATE(YEAR($A971)-1,MONTH($A971),DAY($A971)),$A:$A,0))=""),"",E971/INDEX(E:E,MATCH(DATE(YEAR($A971)-1,MONTH($A971),DAY($A971)),$A:$A,0))-1),"")</f>
        <v/>
      </c>
      <c r="I971" s="7">
        <f>IFERROR(IF(OR(F971="",INDEX(F:F,MATCH(DATE(YEAR($A971)-1,MONTH($A971),DAY($A971)),$A:$A,0))=""),"",F971/INDEX(F:F,MATCH(DATE(YEAR($A971)-1,MONTH($A971),DAY($A971)),$A:$A,0))-1),"")</f>
        <v/>
      </c>
      <c r="J971" s="7">
        <f>IFERROR(IF(OR(G971="",INDEX(G:G,MATCH(DATE(YEAR($A971)-1,MONTH($A971),DAY($A971)),$A:$A,0))=""),"",G971/INDEX(G:G,MATCH(DATE(YEAR($A971)-1,MONTH($A971),DAY($A971)),$A:$A,0))-1),"")</f>
        <v/>
      </c>
      <c r="K971" s="7">
        <f>IF(OR(E971="",E970=""),"",E971/E970-1)</f>
        <v/>
      </c>
      <c r="L971" s="7">
        <f>IF(OR(F971="",F970=""),"",F971/F970-1)</f>
        <v/>
      </c>
      <c r="M971" s="7">
        <f>IF(OR(G971="",G970=""),"",G971/G970-1)</f>
        <v/>
      </c>
      <c r="N971" s="7">
        <f>IF(G971="","",E971/G971)</f>
        <v/>
      </c>
      <c r="O971" s="7">
        <f>IF(G971="","",F971/G971)</f>
        <v/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4">
        <f>IF(SUMIFS('Daily NSE Equity Cash'!$H:$H,'Daily NSE Equity Cash'!$A:$A,$A972)=0,"",SUMIFS('Daily NSE Equity Cash'!$H:$H,'Daily NSE Equity Cash'!$A:$A,$A972))</f>
        <v/>
      </c>
      <c r="F972" s="4">
        <f>IF(SUMIFS('Daily BSE Equity Cash'!$H:$H,'Daily BSE Equity Cash'!$A:$A,$A972)=0,"",SUMIFS('Daily BSE Equity Cash'!$H:$H,'Daily BSE Equity Cash'!$A:$A,$A972))</f>
        <v/>
      </c>
      <c r="G972" s="4">
        <f>IF(OR(E972="",F972=""),"",E972+F972)</f>
        <v/>
      </c>
      <c r="H972" s="7">
        <f>IFERROR(IF(OR(E972="",INDEX(E:E,MATCH(DATE(YEAR($A972)-1,MONTH($A972),DAY($A972)),$A:$A,0))=""),"",E972/INDEX(E:E,MATCH(DATE(YEAR($A972)-1,MONTH($A972),DAY($A972)),$A:$A,0))-1),"")</f>
        <v/>
      </c>
      <c r="I972" s="7">
        <f>IFERROR(IF(OR(F972="",INDEX(F:F,MATCH(DATE(YEAR($A972)-1,MONTH($A972),DAY($A972)),$A:$A,0))=""),"",F972/INDEX(F:F,MATCH(DATE(YEAR($A972)-1,MONTH($A972),DAY($A972)),$A:$A,0))-1),"")</f>
        <v/>
      </c>
      <c r="J972" s="7">
        <f>IFERROR(IF(OR(G972="",INDEX(G:G,MATCH(DATE(YEAR($A972)-1,MONTH($A972),DAY($A972)),$A:$A,0))=""),"",G972/INDEX(G:G,MATCH(DATE(YEAR($A972)-1,MONTH($A972),DAY($A972)),$A:$A,0))-1),"")</f>
        <v/>
      </c>
      <c r="K972" s="7">
        <f>IF(OR(E972="",E971=""),"",E972/E971-1)</f>
        <v/>
      </c>
      <c r="L972" s="7">
        <f>IF(OR(F972="",F971=""),"",F972/F971-1)</f>
        <v/>
      </c>
      <c r="M972" s="7">
        <f>IF(OR(G972="",G971=""),"",G972/G971-1)</f>
        <v/>
      </c>
      <c r="N972" s="7">
        <f>IF(G972="","",E972/G972)</f>
        <v/>
      </c>
      <c r="O972" s="7">
        <f>IF(G972="","",F972/G972)</f>
        <v/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4">
        <f>IF(SUMIFS('Daily NSE Equity Cash'!$H:$H,'Daily NSE Equity Cash'!$A:$A,$A973)=0,"",SUMIFS('Daily NSE Equity Cash'!$H:$H,'Daily NSE Equity Cash'!$A:$A,$A973))</f>
        <v/>
      </c>
      <c r="F973" s="4">
        <f>IF(SUMIFS('Daily BSE Equity Cash'!$H:$H,'Daily BSE Equity Cash'!$A:$A,$A973)=0,"",SUMIFS('Daily BSE Equity Cash'!$H:$H,'Daily BSE Equity Cash'!$A:$A,$A973))</f>
        <v/>
      </c>
      <c r="G973" s="4">
        <f>IF(OR(E973="",F973=""),"",E973+F973)</f>
        <v/>
      </c>
      <c r="H973" s="7">
        <f>IFERROR(IF(OR(E973="",INDEX(E:E,MATCH(DATE(YEAR($A973)-1,MONTH($A973),DAY($A973)),$A:$A,0))=""),"",E973/INDEX(E:E,MATCH(DATE(YEAR($A973)-1,MONTH($A973),DAY($A973)),$A:$A,0))-1),"")</f>
        <v/>
      </c>
      <c r="I973" s="7">
        <f>IFERROR(IF(OR(F973="",INDEX(F:F,MATCH(DATE(YEAR($A973)-1,MONTH($A973),DAY($A973)),$A:$A,0))=""),"",F973/INDEX(F:F,MATCH(DATE(YEAR($A973)-1,MONTH($A973),DAY($A973)),$A:$A,0))-1),"")</f>
        <v/>
      </c>
      <c r="J973" s="7">
        <f>IFERROR(IF(OR(G973="",INDEX(G:G,MATCH(DATE(YEAR($A973)-1,MONTH($A973),DAY($A973)),$A:$A,0))=""),"",G973/INDEX(G:G,MATCH(DATE(YEAR($A973)-1,MONTH($A973),DAY($A973)),$A:$A,0))-1),"")</f>
        <v/>
      </c>
      <c r="K973" s="7">
        <f>IF(OR(E973="",E972=""),"",E973/E972-1)</f>
        <v/>
      </c>
      <c r="L973" s="7">
        <f>IF(OR(F973="",F972=""),"",F973/F972-1)</f>
        <v/>
      </c>
      <c r="M973" s="7">
        <f>IF(OR(G973="",G972=""),"",G973/G972-1)</f>
        <v/>
      </c>
      <c r="N973" s="7">
        <f>IF(G973="","",E973/G973)</f>
        <v/>
      </c>
      <c r="O973" s="7">
        <f>IF(G973="","",F973/G973)</f>
        <v/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4">
        <f>IF(SUMIFS('Daily NSE Equity Cash'!$H:$H,'Daily NSE Equity Cash'!$A:$A,$A974)=0,"",SUMIFS('Daily NSE Equity Cash'!$H:$H,'Daily NSE Equity Cash'!$A:$A,$A974))</f>
        <v/>
      </c>
      <c r="F974" s="4">
        <f>IF(SUMIFS('Daily BSE Equity Cash'!$H:$H,'Daily BSE Equity Cash'!$A:$A,$A974)=0,"",SUMIFS('Daily BSE Equity Cash'!$H:$H,'Daily BSE Equity Cash'!$A:$A,$A974))</f>
        <v/>
      </c>
      <c r="G974" s="4">
        <f>IF(OR(E974="",F974=""),"",E974+F974)</f>
        <v/>
      </c>
      <c r="H974" s="7">
        <f>IFERROR(IF(OR(E974="",INDEX(E:E,MATCH(DATE(YEAR($A974)-1,MONTH($A974),DAY($A974)),$A:$A,0))=""),"",E974/INDEX(E:E,MATCH(DATE(YEAR($A974)-1,MONTH($A974),DAY($A974)),$A:$A,0))-1),"")</f>
        <v/>
      </c>
      <c r="I974" s="7">
        <f>IFERROR(IF(OR(F974="",INDEX(F:F,MATCH(DATE(YEAR($A974)-1,MONTH($A974),DAY($A974)),$A:$A,0))=""),"",F974/INDEX(F:F,MATCH(DATE(YEAR($A974)-1,MONTH($A974),DAY($A974)),$A:$A,0))-1),"")</f>
        <v/>
      </c>
      <c r="J974" s="7">
        <f>IFERROR(IF(OR(G974="",INDEX(G:G,MATCH(DATE(YEAR($A974)-1,MONTH($A974),DAY($A974)),$A:$A,0))=""),"",G974/INDEX(G:G,MATCH(DATE(YEAR($A974)-1,MONTH($A974),DAY($A974)),$A:$A,0))-1),"")</f>
        <v/>
      </c>
      <c r="K974" s="7">
        <f>IF(OR(E974="",E973=""),"",E974/E973-1)</f>
        <v/>
      </c>
      <c r="L974" s="7">
        <f>IF(OR(F974="",F973=""),"",F974/F973-1)</f>
        <v/>
      </c>
      <c r="M974" s="7">
        <f>IF(OR(G974="",G973=""),"",G974/G973-1)</f>
        <v/>
      </c>
      <c r="N974" s="7">
        <f>IF(G974="","",E974/G974)</f>
        <v/>
      </c>
      <c r="O974" s="7">
        <f>IF(G974="","",F974/G974)</f>
        <v/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4">
        <f>IF(SUMIFS('Daily NSE Equity Cash'!$H:$H,'Daily NSE Equity Cash'!$A:$A,$A975)=0,"",SUMIFS('Daily NSE Equity Cash'!$H:$H,'Daily NSE Equity Cash'!$A:$A,$A975))</f>
        <v/>
      </c>
      <c r="F975" s="4">
        <f>IF(SUMIFS('Daily BSE Equity Cash'!$H:$H,'Daily BSE Equity Cash'!$A:$A,$A975)=0,"",SUMIFS('Daily BSE Equity Cash'!$H:$H,'Daily BSE Equity Cash'!$A:$A,$A975))</f>
        <v/>
      </c>
      <c r="G975" s="4">
        <f>IF(OR(E975="",F975=""),"",E975+F975)</f>
        <v/>
      </c>
      <c r="H975" s="7">
        <f>IFERROR(IF(OR(E975="",INDEX(E:E,MATCH(DATE(YEAR($A975)-1,MONTH($A975),DAY($A975)),$A:$A,0))=""),"",E975/INDEX(E:E,MATCH(DATE(YEAR($A975)-1,MONTH($A975),DAY($A975)),$A:$A,0))-1),"")</f>
        <v/>
      </c>
      <c r="I975" s="7">
        <f>IFERROR(IF(OR(F975="",INDEX(F:F,MATCH(DATE(YEAR($A975)-1,MONTH($A975),DAY($A975)),$A:$A,0))=""),"",F975/INDEX(F:F,MATCH(DATE(YEAR($A975)-1,MONTH($A975),DAY($A975)),$A:$A,0))-1),"")</f>
        <v/>
      </c>
      <c r="J975" s="7">
        <f>IFERROR(IF(OR(G975="",INDEX(G:G,MATCH(DATE(YEAR($A975)-1,MONTH($A975),DAY($A975)),$A:$A,0))=""),"",G975/INDEX(G:G,MATCH(DATE(YEAR($A975)-1,MONTH($A975),DAY($A975)),$A:$A,0))-1),"")</f>
        <v/>
      </c>
      <c r="K975" s="7">
        <f>IF(OR(E975="",E974=""),"",E975/E974-1)</f>
        <v/>
      </c>
      <c r="L975" s="7">
        <f>IF(OR(F975="",F974=""),"",F975/F974-1)</f>
        <v/>
      </c>
      <c r="M975" s="7">
        <f>IF(OR(G975="",G974=""),"",G975/G974-1)</f>
        <v/>
      </c>
      <c r="N975" s="7">
        <f>IF(G975="","",E975/G975)</f>
        <v/>
      </c>
      <c r="O975" s="7">
        <f>IF(G975="","",F975/G975)</f>
        <v/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4">
        <f>IF(SUMIFS('Daily NSE Equity Cash'!$H:$H,'Daily NSE Equity Cash'!$A:$A,$A976)=0,"",SUMIFS('Daily NSE Equity Cash'!$H:$H,'Daily NSE Equity Cash'!$A:$A,$A976))</f>
        <v/>
      </c>
      <c r="F976" s="4">
        <f>IF(SUMIFS('Daily BSE Equity Cash'!$H:$H,'Daily BSE Equity Cash'!$A:$A,$A976)=0,"",SUMIFS('Daily BSE Equity Cash'!$H:$H,'Daily BSE Equity Cash'!$A:$A,$A976))</f>
        <v/>
      </c>
      <c r="G976" s="4">
        <f>IF(OR(E976="",F976=""),"",E976+F976)</f>
        <v/>
      </c>
      <c r="H976" s="7">
        <f>IFERROR(IF(OR(E976="",INDEX(E:E,MATCH(DATE(YEAR($A976)-1,MONTH($A976),DAY($A976)),$A:$A,0))=""),"",E976/INDEX(E:E,MATCH(DATE(YEAR($A976)-1,MONTH($A976),DAY($A976)),$A:$A,0))-1),"")</f>
        <v/>
      </c>
      <c r="I976" s="7">
        <f>IFERROR(IF(OR(F976="",INDEX(F:F,MATCH(DATE(YEAR($A976)-1,MONTH($A976),DAY($A976)),$A:$A,0))=""),"",F976/INDEX(F:F,MATCH(DATE(YEAR($A976)-1,MONTH($A976),DAY($A976)),$A:$A,0))-1),"")</f>
        <v/>
      </c>
      <c r="J976" s="7">
        <f>IFERROR(IF(OR(G976="",INDEX(G:G,MATCH(DATE(YEAR($A976)-1,MONTH($A976),DAY($A976)),$A:$A,0))=""),"",G976/INDEX(G:G,MATCH(DATE(YEAR($A976)-1,MONTH($A976),DAY($A976)),$A:$A,0))-1),"")</f>
        <v/>
      </c>
      <c r="K976" s="7">
        <f>IF(OR(E976="",E975=""),"",E976/E975-1)</f>
        <v/>
      </c>
      <c r="L976" s="7">
        <f>IF(OR(F976="",F975=""),"",F976/F975-1)</f>
        <v/>
      </c>
      <c r="M976" s="7">
        <f>IF(OR(G976="",G975=""),"",G976/G975-1)</f>
        <v/>
      </c>
      <c r="N976" s="7">
        <f>IF(G976="","",E976/G976)</f>
        <v/>
      </c>
      <c r="O976" s="7">
        <f>IF(G976="","",F976/G976)</f>
        <v/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4">
        <f>IF(SUMIFS('Daily NSE Equity Cash'!$H:$H,'Daily NSE Equity Cash'!$A:$A,$A977)=0,"",SUMIFS('Daily NSE Equity Cash'!$H:$H,'Daily NSE Equity Cash'!$A:$A,$A977))</f>
        <v/>
      </c>
      <c r="F977" s="4">
        <f>IF(SUMIFS('Daily BSE Equity Cash'!$H:$H,'Daily BSE Equity Cash'!$A:$A,$A977)=0,"",SUMIFS('Daily BSE Equity Cash'!$H:$H,'Daily BSE Equity Cash'!$A:$A,$A977))</f>
        <v/>
      </c>
      <c r="G977" s="4">
        <f>IF(OR(E977="",F977=""),"",E977+F977)</f>
        <v/>
      </c>
      <c r="H977" s="7">
        <f>IFERROR(IF(OR(E977="",INDEX(E:E,MATCH(DATE(YEAR($A977)-1,MONTH($A977),DAY($A977)),$A:$A,0))=""),"",E977/INDEX(E:E,MATCH(DATE(YEAR($A977)-1,MONTH($A977),DAY($A977)),$A:$A,0))-1),"")</f>
        <v/>
      </c>
      <c r="I977" s="7">
        <f>IFERROR(IF(OR(F977="",INDEX(F:F,MATCH(DATE(YEAR($A977)-1,MONTH($A977),DAY($A977)),$A:$A,0))=""),"",F977/INDEX(F:F,MATCH(DATE(YEAR($A977)-1,MONTH($A977),DAY($A977)),$A:$A,0))-1),"")</f>
        <v/>
      </c>
      <c r="J977" s="7">
        <f>IFERROR(IF(OR(G977="",INDEX(G:G,MATCH(DATE(YEAR($A977)-1,MONTH($A977),DAY($A977)),$A:$A,0))=""),"",G977/INDEX(G:G,MATCH(DATE(YEAR($A977)-1,MONTH($A977),DAY($A977)),$A:$A,0))-1),"")</f>
        <v/>
      </c>
      <c r="K977" s="7">
        <f>IF(OR(E977="",E976=""),"",E977/E976-1)</f>
        <v/>
      </c>
      <c r="L977" s="7">
        <f>IF(OR(F977="",F976=""),"",F977/F976-1)</f>
        <v/>
      </c>
      <c r="M977" s="7">
        <f>IF(OR(G977="",G976=""),"",G977/G976-1)</f>
        <v/>
      </c>
      <c r="N977" s="7">
        <f>IF(G977="","",E977/G977)</f>
        <v/>
      </c>
      <c r="O977" s="7">
        <f>IF(G977="","",F977/G977)</f>
        <v/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4">
        <f>IF(SUMIFS('Daily NSE Equity Cash'!$H:$H,'Daily NSE Equity Cash'!$A:$A,$A978)=0,"",SUMIFS('Daily NSE Equity Cash'!$H:$H,'Daily NSE Equity Cash'!$A:$A,$A978))</f>
        <v/>
      </c>
      <c r="F978" s="4">
        <f>IF(SUMIFS('Daily BSE Equity Cash'!$H:$H,'Daily BSE Equity Cash'!$A:$A,$A978)=0,"",SUMIFS('Daily BSE Equity Cash'!$H:$H,'Daily BSE Equity Cash'!$A:$A,$A978))</f>
        <v/>
      </c>
      <c r="G978" s="4">
        <f>IF(OR(E978="",F978=""),"",E978+F978)</f>
        <v/>
      </c>
      <c r="H978" s="7">
        <f>IFERROR(IF(OR(E978="",INDEX(E:E,MATCH(DATE(YEAR($A978)-1,MONTH($A978),DAY($A978)),$A:$A,0))=""),"",E978/INDEX(E:E,MATCH(DATE(YEAR($A978)-1,MONTH($A978),DAY($A978)),$A:$A,0))-1),"")</f>
        <v/>
      </c>
      <c r="I978" s="7">
        <f>IFERROR(IF(OR(F978="",INDEX(F:F,MATCH(DATE(YEAR($A978)-1,MONTH($A978),DAY($A978)),$A:$A,0))=""),"",F978/INDEX(F:F,MATCH(DATE(YEAR($A978)-1,MONTH($A978),DAY($A978)),$A:$A,0))-1),"")</f>
        <v/>
      </c>
      <c r="J978" s="7">
        <f>IFERROR(IF(OR(G978="",INDEX(G:G,MATCH(DATE(YEAR($A978)-1,MONTH($A978),DAY($A978)),$A:$A,0))=""),"",G978/INDEX(G:G,MATCH(DATE(YEAR($A978)-1,MONTH($A978),DAY($A978)),$A:$A,0))-1),"")</f>
        <v/>
      </c>
      <c r="K978" s="7">
        <f>IF(OR(E978="",E977=""),"",E978/E977-1)</f>
        <v/>
      </c>
      <c r="L978" s="7">
        <f>IF(OR(F978="",F977=""),"",F978/F977-1)</f>
        <v/>
      </c>
      <c r="M978" s="7">
        <f>IF(OR(G978="",G977=""),"",G978/G977-1)</f>
        <v/>
      </c>
      <c r="N978" s="7">
        <f>IF(G978="","",E978/G978)</f>
        <v/>
      </c>
      <c r="O978" s="7">
        <f>IF(G978="","",F978/G978)</f>
        <v/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4">
        <f>IF(SUMIFS('Daily NSE Equity Cash'!$H:$H,'Daily NSE Equity Cash'!$A:$A,$A979)=0,"",SUMIFS('Daily NSE Equity Cash'!$H:$H,'Daily NSE Equity Cash'!$A:$A,$A979))</f>
        <v/>
      </c>
      <c r="F979" s="4">
        <f>IF(SUMIFS('Daily BSE Equity Cash'!$H:$H,'Daily BSE Equity Cash'!$A:$A,$A979)=0,"",SUMIFS('Daily BSE Equity Cash'!$H:$H,'Daily BSE Equity Cash'!$A:$A,$A979))</f>
        <v/>
      </c>
      <c r="G979" s="4">
        <f>IF(OR(E979="",F979=""),"",E979+F979)</f>
        <v/>
      </c>
      <c r="H979" s="7">
        <f>IFERROR(IF(OR(E979="",INDEX(E:E,MATCH(DATE(YEAR($A979)-1,MONTH($A979),DAY($A979)),$A:$A,0))=""),"",E979/INDEX(E:E,MATCH(DATE(YEAR($A979)-1,MONTH($A979),DAY($A979)),$A:$A,0))-1),"")</f>
        <v/>
      </c>
      <c r="I979" s="7">
        <f>IFERROR(IF(OR(F979="",INDEX(F:F,MATCH(DATE(YEAR($A979)-1,MONTH($A979),DAY($A979)),$A:$A,0))=""),"",F979/INDEX(F:F,MATCH(DATE(YEAR($A979)-1,MONTH($A979),DAY($A979)),$A:$A,0))-1),"")</f>
        <v/>
      </c>
      <c r="J979" s="7">
        <f>IFERROR(IF(OR(G979="",INDEX(G:G,MATCH(DATE(YEAR($A979)-1,MONTH($A979),DAY($A979)),$A:$A,0))=""),"",G979/INDEX(G:G,MATCH(DATE(YEAR($A979)-1,MONTH($A979),DAY($A979)),$A:$A,0))-1),"")</f>
        <v/>
      </c>
      <c r="K979" s="7">
        <f>IF(OR(E979="",E978=""),"",E979/E978-1)</f>
        <v/>
      </c>
      <c r="L979" s="7">
        <f>IF(OR(F979="",F978=""),"",F979/F978-1)</f>
        <v/>
      </c>
      <c r="M979" s="7">
        <f>IF(OR(G979="",G978=""),"",G979/G978-1)</f>
        <v/>
      </c>
      <c r="N979" s="7">
        <f>IF(G979="","",E979/G979)</f>
        <v/>
      </c>
      <c r="O979" s="7">
        <f>IF(G979="","",F979/G979)</f>
        <v/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4">
        <f>IF(SUMIFS('Daily NSE Equity Cash'!$H:$H,'Daily NSE Equity Cash'!$A:$A,$A980)=0,"",SUMIFS('Daily NSE Equity Cash'!$H:$H,'Daily NSE Equity Cash'!$A:$A,$A980))</f>
        <v/>
      </c>
      <c r="F980" s="4">
        <f>IF(SUMIFS('Daily BSE Equity Cash'!$H:$H,'Daily BSE Equity Cash'!$A:$A,$A980)=0,"",SUMIFS('Daily BSE Equity Cash'!$H:$H,'Daily BSE Equity Cash'!$A:$A,$A980))</f>
        <v/>
      </c>
      <c r="G980" s="4">
        <f>IF(OR(E980="",F980=""),"",E980+F980)</f>
        <v/>
      </c>
      <c r="H980" s="7">
        <f>IFERROR(IF(OR(E980="",INDEX(E:E,MATCH(DATE(YEAR($A980)-1,MONTH($A980),DAY($A980)),$A:$A,0))=""),"",E980/INDEX(E:E,MATCH(DATE(YEAR($A980)-1,MONTH($A980),DAY($A980)),$A:$A,0))-1),"")</f>
        <v/>
      </c>
      <c r="I980" s="7">
        <f>IFERROR(IF(OR(F980="",INDEX(F:F,MATCH(DATE(YEAR($A980)-1,MONTH($A980),DAY($A980)),$A:$A,0))=""),"",F980/INDEX(F:F,MATCH(DATE(YEAR($A980)-1,MONTH($A980),DAY($A980)),$A:$A,0))-1),"")</f>
        <v/>
      </c>
      <c r="J980" s="7">
        <f>IFERROR(IF(OR(G980="",INDEX(G:G,MATCH(DATE(YEAR($A980)-1,MONTH($A980),DAY($A980)),$A:$A,0))=""),"",G980/INDEX(G:G,MATCH(DATE(YEAR($A980)-1,MONTH($A980),DAY($A980)),$A:$A,0))-1),"")</f>
        <v/>
      </c>
      <c r="K980" s="7">
        <f>IF(OR(E980="",E979=""),"",E980/E979-1)</f>
        <v/>
      </c>
      <c r="L980" s="7">
        <f>IF(OR(F980="",F979=""),"",F980/F979-1)</f>
        <v/>
      </c>
      <c r="M980" s="7">
        <f>IF(OR(G980="",G979=""),"",G980/G979-1)</f>
        <v/>
      </c>
      <c r="N980" s="7">
        <f>IF(G980="","",E980/G980)</f>
        <v/>
      </c>
      <c r="O980" s="7">
        <f>IF(G980="","",F980/G980)</f>
        <v/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4">
        <f>IF(SUMIFS('Daily NSE Equity Cash'!$H:$H,'Daily NSE Equity Cash'!$A:$A,$A981)=0,"",SUMIFS('Daily NSE Equity Cash'!$H:$H,'Daily NSE Equity Cash'!$A:$A,$A981))</f>
        <v/>
      </c>
      <c r="F981" s="4">
        <f>IF(SUMIFS('Daily BSE Equity Cash'!$H:$H,'Daily BSE Equity Cash'!$A:$A,$A981)=0,"",SUMIFS('Daily BSE Equity Cash'!$H:$H,'Daily BSE Equity Cash'!$A:$A,$A981))</f>
        <v/>
      </c>
      <c r="G981" s="4">
        <f>IF(OR(E981="",F981=""),"",E981+F981)</f>
        <v/>
      </c>
      <c r="H981" s="7">
        <f>IFERROR(IF(OR(E981="",INDEX(E:E,MATCH(DATE(YEAR($A981)-1,MONTH($A981),DAY($A981)),$A:$A,0))=""),"",E981/INDEX(E:E,MATCH(DATE(YEAR($A981)-1,MONTH($A981),DAY($A981)),$A:$A,0))-1),"")</f>
        <v/>
      </c>
      <c r="I981" s="7">
        <f>IFERROR(IF(OR(F981="",INDEX(F:F,MATCH(DATE(YEAR($A981)-1,MONTH($A981),DAY($A981)),$A:$A,0))=""),"",F981/INDEX(F:F,MATCH(DATE(YEAR($A981)-1,MONTH($A981),DAY($A981)),$A:$A,0))-1),"")</f>
        <v/>
      </c>
      <c r="J981" s="7">
        <f>IFERROR(IF(OR(G981="",INDEX(G:G,MATCH(DATE(YEAR($A981)-1,MONTH($A981),DAY($A981)),$A:$A,0))=""),"",G981/INDEX(G:G,MATCH(DATE(YEAR($A981)-1,MONTH($A981),DAY($A981)),$A:$A,0))-1),"")</f>
        <v/>
      </c>
      <c r="K981" s="7">
        <f>IF(OR(E981="",E980=""),"",E981/E980-1)</f>
        <v/>
      </c>
      <c r="L981" s="7">
        <f>IF(OR(F981="",F980=""),"",F981/F980-1)</f>
        <v/>
      </c>
      <c r="M981" s="7">
        <f>IF(OR(G981="",G980=""),"",G981/G980-1)</f>
        <v/>
      </c>
      <c r="N981" s="7">
        <f>IF(G981="","",E981/G981)</f>
        <v/>
      </c>
      <c r="O981" s="7">
        <f>IF(G981="","",F981/G981)</f>
        <v/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4">
        <f>IF(SUMIFS('Daily NSE Equity Cash'!$H:$H,'Daily NSE Equity Cash'!$A:$A,$A982)=0,"",SUMIFS('Daily NSE Equity Cash'!$H:$H,'Daily NSE Equity Cash'!$A:$A,$A982))</f>
        <v/>
      </c>
      <c r="F982" s="4">
        <f>IF(SUMIFS('Daily BSE Equity Cash'!$H:$H,'Daily BSE Equity Cash'!$A:$A,$A982)=0,"",SUMIFS('Daily BSE Equity Cash'!$H:$H,'Daily BSE Equity Cash'!$A:$A,$A982))</f>
        <v/>
      </c>
      <c r="G982" s="4">
        <f>IF(OR(E982="",F982=""),"",E982+F982)</f>
        <v/>
      </c>
      <c r="H982" s="7">
        <f>IFERROR(IF(OR(E982="",INDEX(E:E,MATCH(DATE(YEAR($A982)-1,MONTH($A982),DAY($A982)),$A:$A,0))=""),"",E982/INDEX(E:E,MATCH(DATE(YEAR($A982)-1,MONTH($A982),DAY($A982)),$A:$A,0))-1),"")</f>
        <v/>
      </c>
      <c r="I982" s="7">
        <f>IFERROR(IF(OR(F982="",INDEX(F:F,MATCH(DATE(YEAR($A982)-1,MONTH($A982),DAY($A982)),$A:$A,0))=""),"",F982/INDEX(F:F,MATCH(DATE(YEAR($A982)-1,MONTH($A982),DAY($A982)),$A:$A,0))-1),"")</f>
        <v/>
      </c>
      <c r="J982" s="7">
        <f>IFERROR(IF(OR(G982="",INDEX(G:G,MATCH(DATE(YEAR($A982)-1,MONTH($A982),DAY($A982)),$A:$A,0))=""),"",G982/INDEX(G:G,MATCH(DATE(YEAR($A982)-1,MONTH($A982),DAY($A982)),$A:$A,0))-1),"")</f>
        <v/>
      </c>
      <c r="K982" s="7">
        <f>IF(OR(E982="",E981=""),"",E982/E981-1)</f>
        <v/>
      </c>
      <c r="L982" s="7">
        <f>IF(OR(F982="",F981=""),"",F982/F981-1)</f>
        <v/>
      </c>
      <c r="M982" s="7">
        <f>IF(OR(G982="",G981=""),"",G982/G981-1)</f>
        <v/>
      </c>
      <c r="N982" s="7">
        <f>IF(G982="","",E982/G982)</f>
        <v/>
      </c>
      <c r="O982" s="7">
        <f>IF(G982="","",F982/G982)</f>
        <v/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4">
        <f>IF(SUMIFS('Daily NSE Equity Cash'!$H:$H,'Daily NSE Equity Cash'!$A:$A,$A983)=0,"",SUMIFS('Daily NSE Equity Cash'!$H:$H,'Daily NSE Equity Cash'!$A:$A,$A983))</f>
        <v/>
      </c>
      <c r="F983" s="4">
        <f>IF(SUMIFS('Daily BSE Equity Cash'!$H:$H,'Daily BSE Equity Cash'!$A:$A,$A983)=0,"",SUMIFS('Daily BSE Equity Cash'!$H:$H,'Daily BSE Equity Cash'!$A:$A,$A983))</f>
        <v/>
      </c>
      <c r="G983" s="4">
        <f>IF(OR(E983="",F983=""),"",E983+F983)</f>
        <v/>
      </c>
      <c r="H983" s="7">
        <f>IFERROR(IF(OR(E983="",INDEX(E:E,MATCH(DATE(YEAR($A983)-1,MONTH($A983),DAY($A983)),$A:$A,0))=""),"",E983/INDEX(E:E,MATCH(DATE(YEAR($A983)-1,MONTH($A983),DAY($A983)),$A:$A,0))-1),"")</f>
        <v/>
      </c>
      <c r="I983" s="7">
        <f>IFERROR(IF(OR(F983="",INDEX(F:F,MATCH(DATE(YEAR($A983)-1,MONTH($A983),DAY($A983)),$A:$A,0))=""),"",F983/INDEX(F:F,MATCH(DATE(YEAR($A983)-1,MONTH($A983),DAY($A983)),$A:$A,0))-1),"")</f>
        <v/>
      </c>
      <c r="J983" s="7">
        <f>IFERROR(IF(OR(G983="",INDEX(G:G,MATCH(DATE(YEAR($A983)-1,MONTH($A983),DAY($A983)),$A:$A,0))=""),"",G983/INDEX(G:G,MATCH(DATE(YEAR($A983)-1,MONTH($A983),DAY($A983)),$A:$A,0))-1),"")</f>
        <v/>
      </c>
      <c r="K983" s="7">
        <f>IF(OR(E983="",E982=""),"",E983/E982-1)</f>
        <v/>
      </c>
      <c r="L983" s="7">
        <f>IF(OR(F983="",F982=""),"",F983/F982-1)</f>
        <v/>
      </c>
      <c r="M983" s="7">
        <f>IF(OR(G983="",G982=""),"",G983/G982-1)</f>
        <v/>
      </c>
      <c r="N983" s="7">
        <f>IF(G983="","",E983/G983)</f>
        <v/>
      </c>
      <c r="O983" s="7">
        <f>IF(G983="","",F983/G983)</f>
        <v/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4">
        <f>IF(SUMIFS('Daily NSE Equity Cash'!$H:$H,'Daily NSE Equity Cash'!$A:$A,$A984)=0,"",SUMIFS('Daily NSE Equity Cash'!$H:$H,'Daily NSE Equity Cash'!$A:$A,$A984))</f>
        <v/>
      </c>
      <c r="F984" s="4">
        <f>IF(SUMIFS('Daily BSE Equity Cash'!$H:$H,'Daily BSE Equity Cash'!$A:$A,$A984)=0,"",SUMIFS('Daily BSE Equity Cash'!$H:$H,'Daily BSE Equity Cash'!$A:$A,$A984))</f>
        <v/>
      </c>
      <c r="G984" s="4">
        <f>IF(OR(E984="",F984=""),"",E984+F984)</f>
        <v/>
      </c>
      <c r="H984" s="7">
        <f>IFERROR(IF(OR(E984="",INDEX(E:E,MATCH(DATE(YEAR($A984)-1,MONTH($A984),DAY($A984)),$A:$A,0))=""),"",E984/INDEX(E:E,MATCH(DATE(YEAR($A984)-1,MONTH($A984),DAY($A984)),$A:$A,0))-1),"")</f>
        <v/>
      </c>
      <c r="I984" s="7">
        <f>IFERROR(IF(OR(F984="",INDEX(F:F,MATCH(DATE(YEAR($A984)-1,MONTH($A984),DAY($A984)),$A:$A,0))=""),"",F984/INDEX(F:F,MATCH(DATE(YEAR($A984)-1,MONTH($A984),DAY($A984)),$A:$A,0))-1),"")</f>
        <v/>
      </c>
      <c r="J984" s="7">
        <f>IFERROR(IF(OR(G984="",INDEX(G:G,MATCH(DATE(YEAR($A984)-1,MONTH($A984),DAY($A984)),$A:$A,0))=""),"",G984/INDEX(G:G,MATCH(DATE(YEAR($A984)-1,MONTH($A984),DAY($A984)),$A:$A,0))-1),"")</f>
        <v/>
      </c>
      <c r="K984" s="7">
        <f>IF(OR(E984="",E983=""),"",E984/E983-1)</f>
        <v/>
      </c>
      <c r="L984" s="7">
        <f>IF(OR(F984="",F983=""),"",F984/F983-1)</f>
        <v/>
      </c>
      <c r="M984" s="7">
        <f>IF(OR(G984="",G983=""),"",G984/G983-1)</f>
        <v/>
      </c>
      <c r="N984" s="7">
        <f>IF(G984="","",E984/G984)</f>
        <v/>
      </c>
      <c r="O984" s="7">
        <f>IF(G984="","",F984/G984)</f>
        <v/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4">
        <f>IF(SUMIFS('Daily NSE Equity Cash'!$H:$H,'Daily NSE Equity Cash'!$A:$A,$A985)=0,"",SUMIFS('Daily NSE Equity Cash'!$H:$H,'Daily NSE Equity Cash'!$A:$A,$A985))</f>
        <v/>
      </c>
      <c r="F985" s="4">
        <f>IF(SUMIFS('Daily BSE Equity Cash'!$H:$H,'Daily BSE Equity Cash'!$A:$A,$A985)=0,"",SUMIFS('Daily BSE Equity Cash'!$H:$H,'Daily BSE Equity Cash'!$A:$A,$A985))</f>
        <v/>
      </c>
      <c r="G985" s="4">
        <f>IF(OR(E985="",F985=""),"",E985+F985)</f>
        <v/>
      </c>
      <c r="H985" s="7">
        <f>IFERROR(IF(OR(E985="",INDEX(E:E,MATCH(DATE(YEAR($A985)-1,MONTH($A985),DAY($A985)),$A:$A,0))=""),"",E985/INDEX(E:E,MATCH(DATE(YEAR($A985)-1,MONTH($A985),DAY($A985)),$A:$A,0))-1),"")</f>
        <v/>
      </c>
      <c r="I985" s="7">
        <f>IFERROR(IF(OR(F985="",INDEX(F:F,MATCH(DATE(YEAR($A985)-1,MONTH($A985),DAY($A985)),$A:$A,0))=""),"",F985/INDEX(F:F,MATCH(DATE(YEAR($A985)-1,MONTH($A985),DAY($A985)),$A:$A,0))-1),"")</f>
        <v/>
      </c>
      <c r="J985" s="7">
        <f>IFERROR(IF(OR(G985="",INDEX(G:G,MATCH(DATE(YEAR($A985)-1,MONTH($A985),DAY($A985)),$A:$A,0))=""),"",G985/INDEX(G:G,MATCH(DATE(YEAR($A985)-1,MONTH($A985),DAY($A985)),$A:$A,0))-1),"")</f>
        <v/>
      </c>
      <c r="K985" s="7">
        <f>IF(OR(E985="",E984=""),"",E985/E984-1)</f>
        <v/>
      </c>
      <c r="L985" s="7">
        <f>IF(OR(F985="",F984=""),"",F985/F984-1)</f>
        <v/>
      </c>
      <c r="M985" s="7">
        <f>IF(OR(G985="",G984=""),"",G985/G984-1)</f>
        <v/>
      </c>
      <c r="N985" s="7">
        <f>IF(G985="","",E985/G985)</f>
        <v/>
      </c>
      <c r="O985" s="7">
        <f>IF(G985="","",F985/G985)</f>
        <v/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4">
        <f>IF(SUMIFS('Daily NSE Equity Cash'!$H:$H,'Daily NSE Equity Cash'!$A:$A,$A986)=0,"",SUMIFS('Daily NSE Equity Cash'!$H:$H,'Daily NSE Equity Cash'!$A:$A,$A986))</f>
        <v/>
      </c>
      <c r="F986" s="4">
        <f>IF(SUMIFS('Daily BSE Equity Cash'!$H:$H,'Daily BSE Equity Cash'!$A:$A,$A986)=0,"",SUMIFS('Daily BSE Equity Cash'!$H:$H,'Daily BSE Equity Cash'!$A:$A,$A986))</f>
        <v/>
      </c>
      <c r="G986" s="4">
        <f>IF(OR(E986="",F986=""),"",E986+F986)</f>
        <v/>
      </c>
      <c r="H986" s="7">
        <f>IFERROR(IF(OR(E986="",INDEX(E:E,MATCH(DATE(YEAR($A986)-1,MONTH($A986),DAY($A986)),$A:$A,0))=""),"",E986/INDEX(E:E,MATCH(DATE(YEAR($A986)-1,MONTH($A986),DAY($A986)),$A:$A,0))-1),"")</f>
        <v/>
      </c>
      <c r="I986" s="7">
        <f>IFERROR(IF(OR(F986="",INDEX(F:F,MATCH(DATE(YEAR($A986)-1,MONTH($A986),DAY($A986)),$A:$A,0))=""),"",F986/INDEX(F:F,MATCH(DATE(YEAR($A986)-1,MONTH($A986),DAY($A986)),$A:$A,0))-1),"")</f>
        <v/>
      </c>
      <c r="J986" s="7">
        <f>IFERROR(IF(OR(G986="",INDEX(G:G,MATCH(DATE(YEAR($A986)-1,MONTH($A986),DAY($A986)),$A:$A,0))=""),"",G986/INDEX(G:G,MATCH(DATE(YEAR($A986)-1,MONTH($A986),DAY($A986)),$A:$A,0))-1),"")</f>
        <v/>
      </c>
      <c r="K986" s="7">
        <f>IF(OR(E986="",E985=""),"",E986/E985-1)</f>
        <v/>
      </c>
      <c r="L986" s="7">
        <f>IF(OR(F986="",F985=""),"",F986/F985-1)</f>
        <v/>
      </c>
      <c r="M986" s="7">
        <f>IF(OR(G986="",G985=""),"",G986/G985-1)</f>
        <v/>
      </c>
      <c r="N986" s="7">
        <f>IF(G986="","",E986/G986)</f>
        <v/>
      </c>
      <c r="O986" s="7">
        <f>IF(G986="","",F986/G986)</f>
        <v/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4">
        <f>IF(SUMIFS('Daily NSE Equity Cash'!$H:$H,'Daily NSE Equity Cash'!$A:$A,$A987)=0,"",SUMIFS('Daily NSE Equity Cash'!$H:$H,'Daily NSE Equity Cash'!$A:$A,$A987))</f>
        <v/>
      </c>
      <c r="F987" s="4">
        <f>IF(SUMIFS('Daily BSE Equity Cash'!$H:$H,'Daily BSE Equity Cash'!$A:$A,$A987)=0,"",SUMIFS('Daily BSE Equity Cash'!$H:$H,'Daily BSE Equity Cash'!$A:$A,$A987))</f>
        <v/>
      </c>
      <c r="G987" s="4">
        <f>IF(OR(E987="",F987=""),"",E987+F987)</f>
        <v/>
      </c>
      <c r="H987" s="7">
        <f>IFERROR(IF(OR(E987="",INDEX(E:E,MATCH(DATE(YEAR($A987)-1,MONTH($A987),DAY($A987)),$A:$A,0))=""),"",E987/INDEX(E:E,MATCH(DATE(YEAR($A987)-1,MONTH($A987),DAY($A987)),$A:$A,0))-1),"")</f>
        <v/>
      </c>
      <c r="I987" s="7">
        <f>IFERROR(IF(OR(F987="",INDEX(F:F,MATCH(DATE(YEAR($A987)-1,MONTH($A987),DAY($A987)),$A:$A,0))=""),"",F987/INDEX(F:F,MATCH(DATE(YEAR($A987)-1,MONTH($A987),DAY($A987)),$A:$A,0))-1),"")</f>
        <v/>
      </c>
      <c r="J987" s="7">
        <f>IFERROR(IF(OR(G987="",INDEX(G:G,MATCH(DATE(YEAR($A987)-1,MONTH($A987),DAY($A987)),$A:$A,0))=""),"",G987/INDEX(G:G,MATCH(DATE(YEAR($A987)-1,MONTH($A987),DAY($A987)),$A:$A,0))-1),"")</f>
        <v/>
      </c>
      <c r="K987" s="7">
        <f>IF(OR(E987="",E986=""),"",E987/E986-1)</f>
        <v/>
      </c>
      <c r="L987" s="7">
        <f>IF(OR(F987="",F986=""),"",F987/F986-1)</f>
        <v/>
      </c>
      <c r="M987" s="7">
        <f>IF(OR(G987="",G986=""),"",G987/G986-1)</f>
        <v/>
      </c>
      <c r="N987" s="7">
        <f>IF(G987="","",E987/G987)</f>
        <v/>
      </c>
      <c r="O987" s="7">
        <f>IF(G987="","",F987/G987)</f>
        <v/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4">
        <f>IF(SUMIFS('Daily NSE Equity Cash'!$H:$H,'Daily NSE Equity Cash'!$A:$A,$A988)=0,"",SUMIFS('Daily NSE Equity Cash'!$H:$H,'Daily NSE Equity Cash'!$A:$A,$A988))</f>
        <v/>
      </c>
      <c r="F988" s="4">
        <f>IF(SUMIFS('Daily BSE Equity Cash'!$H:$H,'Daily BSE Equity Cash'!$A:$A,$A988)=0,"",SUMIFS('Daily BSE Equity Cash'!$H:$H,'Daily BSE Equity Cash'!$A:$A,$A988))</f>
        <v/>
      </c>
      <c r="G988" s="4">
        <f>IF(OR(E988="",F988=""),"",E988+F988)</f>
        <v/>
      </c>
      <c r="H988" s="7">
        <f>IFERROR(IF(OR(E988="",INDEX(E:E,MATCH(DATE(YEAR($A988)-1,MONTH($A988),DAY($A988)),$A:$A,0))=""),"",E988/INDEX(E:E,MATCH(DATE(YEAR($A988)-1,MONTH($A988),DAY($A988)),$A:$A,0))-1),"")</f>
        <v/>
      </c>
      <c r="I988" s="7">
        <f>IFERROR(IF(OR(F988="",INDEX(F:F,MATCH(DATE(YEAR($A988)-1,MONTH($A988),DAY($A988)),$A:$A,0))=""),"",F988/INDEX(F:F,MATCH(DATE(YEAR($A988)-1,MONTH($A988),DAY($A988)),$A:$A,0))-1),"")</f>
        <v/>
      </c>
      <c r="J988" s="7">
        <f>IFERROR(IF(OR(G988="",INDEX(G:G,MATCH(DATE(YEAR($A988)-1,MONTH($A988),DAY($A988)),$A:$A,0))=""),"",G988/INDEX(G:G,MATCH(DATE(YEAR($A988)-1,MONTH($A988),DAY($A988)),$A:$A,0))-1),"")</f>
        <v/>
      </c>
      <c r="K988" s="7">
        <f>IF(OR(E988="",E987=""),"",E988/E987-1)</f>
        <v/>
      </c>
      <c r="L988" s="7">
        <f>IF(OR(F988="",F987=""),"",F988/F987-1)</f>
        <v/>
      </c>
      <c r="M988" s="7">
        <f>IF(OR(G988="",G987=""),"",G988/G987-1)</f>
        <v/>
      </c>
      <c r="N988" s="7">
        <f>IF(G988="","",E988/G988)</f>
        <v/>
      </c>
      <c r="O988" s="7">
        <f>IF(G988="","",F988/G988)</f>
        <v/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4">
        <f>IF(SUMIFS('Daily NSE Equity Cash'!$H:$H,'Daily NSE Equity Cash'!$A:$A,$A989)=0,"",SUMIFS('Daily NSE Equity Cash'!$H:$H,'Daily NSE Equity Cash'!$A:$A,$A989))</f>
        <v/>
      </c>
      <c r="F989" s="4">
        <f>IF(SUMIFS('Daily BSE Equity Cash'!$H:$H,'Daily BSE Equity Cash'!$A:$A,$A989)=0,"",SUMIFS('Daily BSE Equity Cash'!$H:$H,'Daily BSE Equity Cash'!$A:$A,$A989))</f>
        <v/>
      </c>
      <c r="G989" s="4">
        <f>IF(OR(E989="",F989=""),"",E989+F989)</f>
        <v/>
      </c>
      <c r="H989" s="7">
        <f>IFERROR(IF(OR(E989="",INDEX(E:E,MATCH(DATE(YEAR($A989)-1,MONTH($A989),DAY($A989)),$A:$A,0))=""),"",E989/INDEX(E:E,MATCH(DATE(YEAR($A989)-1,MONTH($A989),DAY($A989)),$A:$A,0))-1),"")</f>
        <v/>
      </c>
      <c r="I989" s="7">
        <f>IFERROR(IF(OR(F989="",INDEX(F:F,MATCH(DATE(YEAR($A989)-1,MONTH($A989),DAY($A989)),$A:$A,0))=""),"",F989/INDEX(F:F,MATCH(DATE(YEAR($A989)-1,MONTH($A989),DAY($A989)),$A:$A,0))-1),"")</f>
        <v/>
      </c>
      <c r="J989" s="7">
        <f>IFERROR(IF(OR(G989="",INDEX(G:G,MATCH(DATE(YEAR($A989)-1,MONTH($A989),DAY($A989)),$A:$A,0))=""),"",G989/INDEX(G:G,MATCH(DATE(YEAR($A989)-1,MONTH($A989),DAY($A989)),$A:$A,0))-1),"")</f>
        <v/>
      </c>
      <c r="K989" s="7">
        <f>IF(OR(E989="",E988=""),"",E989/E988-1)</f>
        <v/>
      </c>
      <c r="L989" s="7">
        <f>IF(OR(F989="",F988=""),"",F989/F988-1)</f>
        <v/>
      </c>
      <c r="M989" s="7">
        <f>IF(OR(G989="",G988=""),"",G989/G988-1)</f>
        <v/>
      </c>
      <c r="N989" s="7">
        <f>IF(G989="","",E989/G989)</f>
        <v/>
      </c>
      <c r="O989" s="7">
        <f>IF(G989="","",F989/G989)</f>
        <v/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4">
        <f>IF(SUMIFS('Daily NSE Equity Cash'!$H:$H,'Daily NSE Equity Cash'!$A:$A,$A990)=0,"",SUMIFS('Daily NSE Equity Cash'!$H:$H,'Daily NSE Equity Cash'!$A:$A,$A990))</f>
        <v/>
      </c>
      <c r="F990" s="4">
        <f>IF(SUMIFS('Daily BSE Equity Cash'!$H:$H,'Daily BSE Equity Cash'!$A:$A,$A990)=0,"",SUMIFS('Daily BSE Equity Cash'!$H:$H,'Daily BSE Equity Cash'!$A:$A,$A990))</f>
        <v/>
      </c>
      <c r="G990" s="4">
        <f>IF(OR(E990="",F990=""),"",E990+F990)</f>
        <v/>
      </c>
      <c r="H990" s="7">
        <f>IFERROR(IF(OR(E990="",INDEX(E:E,MATCH(DATE(YEAR($A990)-1,MONTH($A990),DAY($A990)),$A:$A,0))=""),"",E990/INDEX(E:E,MATCH(DATE(YEAR($A990)-1,MONTH($A990),DAY($A990)),$A:$A,0))-1),"")</f>
        <v/>
      </c>
      <c r="I990" s="7">
        <f>IFERROR(IF(OR(F990="",INDEX(F:F,MATCH(DATE(YEAR($A990)-1,MONTH($A990),DAY($A990)),$A:$A,0))=""),"",F990/INDEX(F:F,MATCH(DATE(YEAR($A990)-1,MONTH($A990),DAY($A990)),$A:$A,0))-1),"")</f>
        <v/>
      </c>
      <c r="J990" s="7">
        <f>IFERROR(IF(OR(G990="",INDEX(G:G,MATCH(DATE(YEAR($A990)-1,MONTH($A990),DAY($A990)),$A:$A,0))=""),"",G990/INDEX(G:G,MATCH(DATE(YEAR($A990)-1,MONTH($A990),DAY($A990)),$A:$A,0))-1),"")</f>
        <v/>
      </c>
      <c r="K990" s="7">
        <f>IF(OR(E990="",E989=""),"",E990/E989-1)</f>
        <v/>
      </c>
      <c r="L990" s="7">
        <f>IF(OR(F990="",F989=""),"",F990/F989-1)</f>
        <v/>
      </c>
      <c r="M990" s="7">
        <f>IF(OR(G990="",G989=""),"",G990/G989-1)</f>
        <v/>
      </c>
      <c r="N990" s="7">
        <f>IF(G990="","",E990/G990)</f>
        <v/>
      </c>
      <c r="O990" s="7">
        <f>IF(G990="","",F990/G990)</f>
        <v/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4">
        <f>IF(SUMIFS('Daily NSE Equity Cash'!$H:$H,'Daily NSE Equity Cash'!$A:$A,$A991)=0,"",SUMIFS('Daily NSE Equity Cash'!$H:$H,'Daily NSE Equity Cash'!$A:$A,$A991))</f>
        <v/>
      </c>
      <c r="F991" s="4">
        <f>IF(SUMIFS('Daily BSE Equity Cash'!$H:$H,'Daily BSE Equity Cash'!$A:$A,$A991)=0,"",SUMIFS('Daily BSE Equity Cash'!$H:$H,'Daily BSE Equity Cash'!$A:$A,$A991))</f>
        <v/>
      </c>
      <c r="G991" s="4">
        <f>IF(OR(E991="",F991=""),"",E991+F991)</f>
        <v/>
      </c>
      <c r="H991" s="7">
        <f>IFERROR(IF(OR(E991="",INDEX(E:E,MATCH(DATE(YEAR($A991)-1,MONTH($A991),DAY($A991)),$A:$A,0))=""),"",E991/INDEX(E:E,MATCH(DATE(YEAR($A991)-1,MONTH($A991),DAY($A991)),$A:$A,0))-1),"")</f>
        <v/>
      </c>
      <c r="I991" s="7">
        <f>IFERROR(IF(OR(F991="",INDEX(F:F,MATCH(DATE(YEAR($A991)-1,MONTH($A991),DAY($A991)),$A:$A,0))=""),"",F991/INDEX(F:F,MATCH(DATE(YEAR($A991)-1,MONTH($A991),DAY($A991)),$A:$A,0))-1),"")</f>
        <v/>
      </c>
      <c r="J991" s="7">
        <f>IFERROR(IF(OR(G991="",INDEX(G:G,MATCH(DATE(YEAR($A991)-1,MONTH($A991),DAY($A991)),$A:$A,0))=""),"",G991/INDEX(G:G,MATCH(DATE(YEAR($A991)-1,MONTH($A991),DAY($A991)),$A:$A,0))-1),"")</f>
        <v/>
      </c>
      <c r="K991" s="7">
        <f>IF(OR(E991="",E990=""),"",E991/E990-1)</f>
        <v/>
      </c>
      <c r="L991" s="7">
        <f>IF(OR(F991="",F990=""),"",F991/F990-1)</f>
        <v/>
      </c>
      <c r="M991" s="7">
        <f>IF(OR(G991="",G990=""),"",G991/G990-1)</f>
        <v/>
      </c>
      <c r="N991" s="7">
        <f>IF(G991="","",E991/G991)</f>
        <v/>
      </c>
      <c r="O991" s="7">
        <f>IF(G991="","",F991/G991)</f>
        <v/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4">
        <f>IF(SUMIFS('Daily NSE Equity Cash'!$H:$H,'Daily NSE Equity Cash'!$A:$A,$A992)=0,"",SUMIFS('Daily NSE Equity Cash'!$H:$H,'Daily NSE Equity Cash'!$A:$A,$A992))</f>
        <v/>
      </c>
      <c r="F992" s="4">
        <f>IF(SUMIFS('Daily BSE Equity Cash'!$H:$H,'Daily BSE Equity Cash'!$A:$A,$A992)=0,"",SUMIFS('Daily BSE Equity Cash'!$H:$H,'Daily BSE Equity Cash'!$A:$A,$A992))</f>
        <v/>
      </c>
      <c r="G992" s="4">
        <f>IF(OR(E992="",F992=""),"",E992+F992)</f>
        <v/>
      </c>
      <c r="H992" s="7">
        <f>IFERROR(IF(OR(E992="",INDEX(E:E,MATCH(DATE(YEAR($A992)-1,MONTH($A992),DAY($A992)),$A:$A,0))=""),"",E992/INDEX(E:E,MATCH(DATE(YEAR($A992)-1,MONTH($A992),DAY($A992)),$A:$A,0))-1),"")</f>
        <v/>
      </c>
      <c r="I992" s="7">
        <f>IFERROR(IF(OR(F992="",INDEX(F:F,MATCH(DATE(YEAR($A992)-1,MONTH($A992),DAY($A992)),$A:$A,0))=""),"",F992/INDEX(F:F,MATCH(DATE(YEAR($A992)-1,MONTH($A992),DAY($A992)),$A:$A,0))-1),"")</f>
        <v/>
      </c>
      <c r="J992" s="7">
        <f>IFERROR(IF(OR(G992="",INDEX(G:G,MATCH(DATE(YEAR($A992)-1,MONTH($A992),DAY($A992)),$A:$A,0))=""),"",G992/INDEX(G:G,MATCH(DATE(YEAR($A992)-1,MONTH($A992),DAY($A992)),$A:$A,0))-1),"")</f>
        <v/>
      </c>
      <c r="K992" s="7">
        <f>IF(OR(E992="",E991=""),"",E992/E991-1)</f>
        <v/>
      </c>
      <c r="L992" s="7">
        <f>IF(OR(F992="",F991=""),"",F992/F991-1)</f>
        <v/>
      </c>
      <c r="M992" s="7">
        <f>IF(OR(G992="",G991=""),"",G992/G991-1)</f>
        <v/>
      </c>
      <c r="N992" s="7">
        <f>IF(G992="","",E992/G992)</f>
        <v/>
      </c>
      <c r="O992" s="7">
        <f>IF(G992="","",F992/G992)</f>
        <v/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4">
        <f>IF(SUMIFS('Daily NSE Equity Cash'!$H:$H,'Daily NSE Equity Cash'!$A:$A,$A993)=0,"",SUMIFS('Daily NSE Equity Cash'!$H:$H,'Daily NSE Equity Cash'!$A:$A,$A993))</f>
        <v/>
      </c>
      <c r="F993" s="4">
        <f>IF(SUMIFS('Daily BSE Equity Cash'!$H:$H,'Daily BSE Equity Cash'!$A:$A,$A993)=0,"",SUMIFS('Daily BSE Equity Cash'!$H:$H,'Daily BSE Equity Cash'!$A:$A,$A993))</f>
        <v/>
      </c>
      <c r="G993" s="4">
        <f>IF(OR(E993="",F993=""),"",E993+F993)</f>
        <v/>
      </c>
      <c r="H993" s="7">
        <f>IFERROR(IF(OR(E993="",INDEX(E:E,MATCH(DATE(YEAR($A993)-1,MONTH($A993),DAY($A993)),$A:$A,0))=""),"",E993/INDEX(E:E,MATCH(DATE(YEAR($A993)-1,MONTH($A993),DAY($A993)),$A:$A,0))-1),"")</f>
        <v/>
      </c>
      <c r="I993" s="7">
        <f>IFERROR(IF(OR(F993="",INDEX(F:F,MATCH(DATE(YEAR($A993)-1,MONTH($A993),DAY($A993)),$A:$A,0))=""),"",F993/INDEX(F:F,MATCH(DATE(YEAR($A993)-1,MONTH($A993),DAY($A993)),$A:$A,0))-1),"")</f>
        <v/>
      </c>
      <c r="J993" s="7">
        <f>IFERROR(IF(OR(G993="",INDEX(G:G,MATCH(DATE(YEAR($A993)-1,MONTH($A993),DAY($A993)),$A:$A,0))=""),"",G993/INDEX(G:G,MATCH(DATE(YEAR($A993)-1,MONTH($A993),DAY($A993)),$A:$A,0))-1),"")</f>
        <v/>
      </c>
      <c r="K993" s="7">
        <f>IF(OR(E993="",E992=""),"",E993/E992-1)</f>
        <v/>
      </c>
      <c r="L993" s="7">
        <f>IF(OR(F993="",F992=""),"",F993/F992-1)</f>
        <v/>
      </c>
      <c r="M993" s="7">
        <f>IF(OR(G993="",G992=""),"",G993/G992-1)</f>
        <v/>
      </c>
      <c r="N993" s="7">
        <f>IF(G993="","",E993/G993)</f>
        <v/>
      </c>
      <c r="O993" s="7">
        <f>IF(G993="","",F993/G993)</f>
        <v/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4">
        <f>IF(SUMIFS('Daily NSE Equity Cash'!$H:$H,'Daily NSE Equity Cash'!$A:$A,$A994)=0,"",SUMIFS('Daily NSE Equity Cash'!$H:$H,'Daily NSE Equity Cash'!$A:$A,$A994))</f>
        <v/>
      </c>
      <c r="F994" s="4">
        <f>IF(SUMIFS('Daily BSE Equity Cash'!$H:$H,'Daily BSE Equity Cash'!$A:$A,$A994)=0,"",SUMIFS('Daily BSE Equity Cash'!$H:$H,'Daily BSE Equity Cash'!$A:$A,$A994))</f>
        <v/>
      </c>
      <c r="G994" s="4">
        <f>IF(OR(E994="",F994=""),"",E994+F994)</f>
        <v/>
      </c>
      <c r="H994" s="7">
        <f>IFERROR(IF(OR(E994="",INDEX(E:E,MATCH(DATE(YEAR($A994)-1,MONTH($A994),DAY($A994)),$A:$A,0))=""),"",E994/INDEX(E:E,MATCH(DATE(YEAR($A994)-1,MONTH($A994),DAY($A994)),$A:$A,0))-1),"")</f>
        <v/>
      </c>
      <c r="I994" s="7">
        <f>IFERROR(IF(OR(F994="",INDEX(F:F,MATCH(DATE(YEAR($A994)-1,MONTH($A994),DAY($A994)),$A:$A,0))=""),"",F994/INDEX(F:F,MATCH(DATE(YEAR($A994)-1,MONTH($A994),DAY($A994)),$A:$A,0))-1),"")</f>
        <v/>
      </c>
      <c r="J994" s="7">
        <f>IFERROR(IF(OR(G994="",INDEX(G:G,MATCH(DATE(YEAR($A994)-1,MONTH($A994),DAY($A994)),$A:$A,0))=""),"",G994/INDEX(G:G,MATCH(DATE(YEAR($A994)-1,MONTH($A994),DAY($A994)),$A:$A,0))-1),"")</f>
        <v/>
      </c>
      <c r="K994" s="7">
        <f>IF(OR(E994="",E993=""),"",E994/E993-1)</f>
        <v/>
      </c>
      <c r="L994" s="7">
        <f>IF(OR(F994="",F993=""),"",F994/F993-1)</f>
        <v/>
      </c>
      <c r="M994" s="7">
        <f>IF(OR(G994="",G993=""),"",G994/G993-1)</f>
        <v/>
      </c>
      <c r="N994" s="7">
        <f>IF(G994="","",E994/G994)</f>
        <v/>
      </c>
      <c r="O994" s="7">
        <f>IF(G994="","",F994/G994)</f>
        <v/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4">
        <f>IF(SUMIFS('Daily NSE Equity Cash'!$H:$H,'Daily NSE Equity Cash'!$A:$A,$A995)=0,"",SUMIFS('Daily NSE Equity Cash'!$H:$H,'Daily NSE Equity Cash'!$A:$A,$A995))</f>
        <v/>
      </c>
      <c r="F995" s="4">
        <f>IF(SUMIFS('Daily BSE Equity Cash'!$H:$H,'Daily BSE Equity Cash'!$A:$A,$A995)=0,"",SUMIFS('Daily BSE Equity Cash'!$H:$H,'Daily BSE Equity Cash'!$A:$A,$A995))</f>
        <v/>
      </c>
      <c r="G995" s="4">
        <f>IF(OR(E995="",F995=""),"",E995+F995)</f>
        <v/>
      </c>
      <c r="H995" s="7">
        <f>IFERROR(IF(OR(E995="",INDEX(E:E,MATCH(DATE(YEAR($A995)-1,MONTH($A995),DAY($A995)),$A:$A,0))=""),"",E995/INDEX(E:E,MATCH(DATE(YEAR($A995)-1,MONTH($A995),DAY($A995)),$A:$A,0))-1),"")</f>
        <v/>
      </c>
      <c r="I995" s="7">
        <f>IFERROR(IF(OR(F995="",INDEX(F:F,MATCH(DATE(YEAR($A995)-1,MONTH($A995),DAY($A995)),$A:$A,0))=""),"",F995/INDEX(F:F,MATCH(DATE(YEAR($A995)-1,MONTH($A995),DAY($A995)),$A:$A,0))-1),"")</f>
        <v/>
      </c>
      <c r="J995" s="7">
        <f>IFERROR(IF(OR(G995="",INDEX(G:G,MATCH(DATE(YEAR($A995)-1,MONTH($A995),DAY($A995)),$A:$A,0))=""),"",G995/INDEX(G:G,MATCH(DATE(YEAR($A995)-1,MONTH($A995),DAY($A995)),$A:$A,0))-1),"")</f>
        <v/>
      </c>
      <c r="K995" s="7">
        <f>IF(OR(E995="",E994=""),"",E995/E994-1)</f>
        <v/>
      </c>
      <c r="L995" s="7">
        <f>IF(OR(F995="",F994=""),"",F995/F994-1)</f>
        <v/>
      </c>
      <c r="M995" s="7">
        <f>IF(OR(G995="",G994=""),"",G995/G994-1)</f>
        <v/>
      </c>
      <c r="N995" s="7">
        <f>IF(G995="","",E995/G995)</f>
        <v/>
      </c>
      <c r="O995" s="7">
        <f>IF(G995="","",F995/G995)</f>
        <v/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4">
        <f>IF(SUMIFS('Daily NSE Equity Cash'!$H:$H,'Daily NSE Equity Cash'!$A:$A,$A996)=0,"",SUMIFS('Daily NSE Equity Cash'!$H:$H,'Daily NSE Equity Cash'!$A:$A,$A996))</f>
        <v/>
      </c>
      <c r="F996" s="4">
        <f>IF(SUMIFS('Daily BSE Equity Cash'!$H:$H,'Daily BSE Equity Cash'!$A:$A,$A996)=0,"",SUMIFS('Daily BSE Equity Cash'!$H:$H,'Daily BSE Equity Cash'!$A:$A,$A996))</f>
        <v/>
      </c>
      <c r="G996" s="4">
        <f>IF(OR(E996="",F996=""),"",E996+F996)</f>
        <v/>
      </c>
      <c r="H996" s="7">
        <f>IFERROR(IF(OR(E996="",INDEX(E:E,MATCH(DATE(YEAR($A996)-1,MONTH($A996),DAY($A996)),$A:$A,0))=""),"",E996/INDEX(E:E,MATCH(DATE(YEAR($A996)-1,MONTH($A996),DAY($A996)),$A:$A,0))-1),"")</f>
        <v/>
      </c>
      <c r="I996" s="7">
        <f>IFERROR(IF(OR(F996="",INDEX(F:F,MATCH(DATE(YEAR($A996)-1,MONTH($A996),DAY($A996)),$A:$A,0))=""),"",F996/INDEX(F:F,MATCH(DATE(YEAR($A996)-1,MONTH($A996),DAY($A996)),$A:$A,0))-1),"")</f>
        <v/>
      </c>
      <c r="J996" s="7">
        <f>IFERROR(IF(OR(G996="",INDEX(G:G,MATCH(DATE(YEAR($A996)-1,MONTH($A996),DAY($A996)),$A:$A,0))=""),"",G996/INDEX(G:G,MATCH(DATE(YEAR($A996)-1,MONTH($A996),DAY($A996)),$A:$A,0))-1),"")</f>
        <v/>
      </c>
      <c r="K996" s="7">
        <f>IF(OR(E996="",E995=""),"",E996/E995-1)</f>
        <v/>
      </c>
      <c r="L996" s="7">
        <f>IF(OR(F996="",F995=""),"",F996/F995-1)</f>
        <v/>
      </c>
      <c r="M996" s="7">
        <f>IF(OR(G996="",G995=""),"",G996/G995-1)</f>
        <v/>
      </c>
      <c r="N996" s="7">
        <f>IF(G996="","",E996/G996)</f>
        <v/>
      </c>
      <c r="O996" s="7">
        <f>IF(G996="","",F996/G996)</f>
        <v/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4">
        <f>IF(SUMIFS('Daily NSE Equity Cash'!$H:$H,'Daily NSE Equity Cash'!$A:$A,$A997)=0,"",SUMIFS('Daily NSE Equity Cash'!$H:$H,'Daily NSE Equity Cash'!$A:$A,$A997))</f>
        <v/>
      </c>
      <c r="F997" s="4">
        <f>IF(SUMIFS('Daily BSE Equity Cash'!$H:$H,'Daily BSE Equity Cash'!$A:$A,$A997)=0,"",SUMIFS('Daily BSE Equity Cash'!$H:$H,'Daily BSE Equity Cash'!$A:$A,$A997))</f>
        <v/>
      </c>
      <c r="G997" s="4">
        <f>IF(OR(E997="",F997=""),"",E997+F997)</f>
        <v/>
      </c>
      <c r="H997" s="7">
        <f>IFERROR(IF(OR(E997="",INDEX(E:E,MATCH(DATE(YEAR($A997)-1,MONTH($A997),DAY($A997)),$A:$A,0))=""),"",E997/INDEX(E:E,MATCH(DATE(YEAR($A997)-1,MONTH($A997),DAY($A997)),$A:$A,0))-1),"")</f>
        <v/>
      </c>
      <c r="I997" s="7">
        <f>IFERROR(IF(OR(F997="",INDEX(F:F,MATCH(DATE(YEAR($A997)-1,MONTH($A997),DAY($A997)),$A:$A,0))=""),"",F997/INDEX(F:F,MATCH(DATE(YEAR($A997)-1,MONTH($A997),DAY($A997)),$A:$A,0))-1),"")</f>
        <v/>
      </c>
      <c r="J997" s="7">
        <f>IFERROR(IF(OR(G997="",INDEX(G:G,MATCH(DATE(YEAR($A997)-1,MONTH($A997),DAY($A997)),$A:$A,0))=""),"",G997/INDEX(G:G,MATCH(DATE(YEAR($A997)-1,MONTH($A997),DAY($A997)),$A:$A,0))-1),"")</f>
        <v/>
      </c>
      <c r="K997" s="7">
        <f>IF(OR(E997="",E996=""),"",E997/E996-1)</f>
        <v/>
      </c>
      <c r="L997" s="7">
        <f>IF(OR(F997="",F996=""),"",F997/F996-1)</f>
        <v/>
      </c>
      <c r="M997" s="7">
        <f>IF(OR(G997="",G996=""),"",G997/G996-1)</f>
        <v/>
      </c>
      <c r="N997" s="7">
        <f>IF(G997="","",E997/G997)</f>
        <v/>
      </c>
      <c r="O997" s="7">
        <f>IF(G997="","",F997/G997)</f>
        <v/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4">
        <f>IF(SUMIFS('Daily NSE Equity Cash'!$H:$H,'Daily NSE Equity Cash'!$A:$A,$A998)=0,"",SUMIFS('Daily NSE Equity Cash'!$H:$H,'Daily NSE Equity Cash'!$A:$A,$A998))</f>
        <v/>
      </c>
      <c r="F998" s="4">
        <f>IF(SUMIFS('Daily BSE Equity Cash'!$H:$H,'Daily BSE Equity Cash'!$A:$A,$A998)=0,"",SUMIFS('Daily BSE Equity Cash'!$H:$H,'Daily BSE Equity Cash'!$A:$A,$A998))</f>
        <v/>
      </c>
      <c r="G998" s="4">
        <f>IF(OR(E998="",F998=""),"",E998+F998)</f>
        <v/>
      </c>
      <c r="H998" s="7">
        <f>IFERROR(IF(OR(E998="",INDEX(E:E,MATCH(DATE(YEAR($A998)-1,MONTH($A998),DAY($A998)),$A:$A,0))=""),"",E998/INDEX(E:E,MATCH(DATE(YEAR($A998)-1,MONTH($A998),DAY($A998)),$A:$A,0))-1),"")</f>
        <v/>
      </c>
      <c r="I998" s="7">
        <f>IFERROR(IF(OR(F998="",INDEX(F:F,MATCH(DATE(YEAR($A998)-1,MONTH($A998),DAY($A998)),$A:$A,0))=""),"",F998/INDEX(F:F,MATCH(DATE(YEAR($A998)-1,MONTH($A998),DAY($A998)),$A:$A,0))-1),"")</f>
        <v/>
      </c>
      <c r="J998" s="7">
        <f>IFERROR(IF(OR(G998="",INDEX(G:G,MATCH(DATE(YEAR($A998)-1,MONTH($A998),DAY($A998)),$A:$A,0))=""),"",G998/INDEX(G:G,MATCH(DATE(YEAR($A998)-1,MONTH($A998),DAY($A998)),$A:$A,0))-1),"")</f>
        <v/>
      </c>
      <c r="K998" s="7">
        <f>IF(OR(E998="",E997=""),"",E998/E997-1)</f>
        <v/>
      </c>
      <c r="L998" s="7">
        <f>IF(OR(F998="",F997=""),"",F998/F997-1)</f>
        <v/>
      </c>
      <c r="M998" s="7">
        <f>IF(OR(G998="",G997=""),"",G998/G997-1)</f>
        <v/>
      </c>
      <c r="N998" s="7">
        <f>IF(G998="","",E998/G998)</f>
        <v/>
      </c>
      <c r="O998" s="7">
        <f>IF(G998="","",F998/G998)</f>
        <v/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4">
        <f>IF(SUMIFS('Daily NSE Equity Cash'!$H:$H,'Daily NSE Equity Cash'!$A:$A,$A999)=0,"",SUMIFS('Daily NSE Equity Cash'!$H:$H,'Daily NSE Equity Cash'!$A:$A,$A999))</f>
        <v/>
      </c>
      <c r="F999" s="4">
        <f>IF(SUMIFS('Daily BSE Equity Cash'!$H:$H,'Daily BSE Equity Cash'!$A:$A,$A999)=0,"",SUMIFS('Daily BSE Equity Cash'!$H:$H,'Daily BSE Equity Cash'!$A:$A,$A999))</f>
        <v/>
      </c>
      <c r="G999" s="4">
        <f>IF(OR(E999="",F999=""),"",E999+F999)</f>
        <v/>
      </c>
      <c r="H999" s="7">
        <f>IFERROR(IF(OR(E999="",INDEX(E:E,MATCH(DATE(YEAR($A999)-1,MONTH($A999),DAY($A999)),$A:$A,0))=""),"",E999/INDEX(E:E,MATCH(DATE(YEAR($A999)-1,MONTH($A999),DAY($A999)),$A:$A,0))-1),"")</f>
        <v/>
      </c>
      <c r="I999" s="7">
        <f>IFERROR(IF(OR(F999="",INDEX(F:F,MATCH(DATE(YEAR($A999)-1,MONTH($A999),DAY($A999)),$A:$A,0))=""),"",F999/INDEX(F:F,MATCH(DATE(YEAR($A999)-1,MONTH($A999),DAY($A999)),$A:$A,0))-1),"")</f>
        <v/>
      </c>
      <c r="J999" s="7">
        <f>IFERROR(IF(OR(G999="",INDEX(G:G,MATCH(DATE(YEAR($A999)-1,MONTH($A999),DAY($A999)),$A:$A,0))=""),"",G999/INDEX(G:G,MATCH(DATE(YEAR($A999)-1,MONTH($A999),DAY($A999)),$A:$A,0))-1),"")</f>
        <v/>
      </c>
      <c r="K999" s="7">
        <f>IF(OR(E999="",E998=""),"",E999/E998-1)</f>
        <v/>
      </c>
      <c r="L999" s="7">
        <f>IF(OR(F999="",F998=""),"",F999/F998-1)</f>
        <v/>
      </c>
      <c r="M999" s="7">
        <f>IF(OR(G999="",G998=""),"",G999/G998-1)</f>
        <v/>
      </c>
      <c r="N999" s="7">
        <f>IF(G999="","",E999/G999)</f>
        <v/>
      </c>
      <c r="O999" s="7">
        <f>IF(G999="","",F999/G999)</f>
        <v/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4">
        <f>IF(SUMIFS('Daily NSE Equity Cash'!$H:$H,'Daily NSE Equity Cash'!$A:$A,$A1000)=0,"",SUMIFS('Daily NSE Equity Cash'!$H:$H,'Daily NSE Equity Cash'!$A:$A,$A1000))</f>
        <v/>
      </c>
      <c r="F1000" s="4">
        <f>IF(SUMIFS('Daily BSE Equity Cash'!$H:$H,'Daily BSE Equity Cash'!$A:$A,$A1000)=0,"",SUMIFS('Daily BSE Equity Cash'!$H:$H,'Daily BSE Equity Cash'!$A:$A,$A1000))</f>
        <v/>
      </c>
      <c r="G1000" s="4">
        <f>IF(OR(E1000="",F1000=""),"",E1000+F1000)</f>
        <v/>
      </c>
      <c r="H1000" s="7">
        <f>IFERROR(IF(OR(E1000="",INDEX(E:E,MATCH(DATE(YEAR($A1000)-1,MONTH($A1000),DAY($A1000)),$A:$A,0))=""),"",E1000/INDEX(E:E,MATCH(DATE(YEAR($A1000)-1,MONTH($A1000),DAY($A1000)),$A:$A,0))-1),"")</f>
        <v/>
      </c>
      <c r="I1000" s="7">
        <f>IFERROR(IF(OR(F1000="",INDEX(F:F,MATCH(DATE(YEAR($A1000)-1,MONTH($A1000),DAY($A1000)),$A:$A,0))=""),"",F1000/INDEX(F:F,MATCH(DATE(YEAR($A1000)-1,MONTH($A1000),DAY($A1000)),$A:$A,0))-1),"")</f>
        <v/>
      </c>
      <c r="J1000" s="7">
        <f>IFERROR(IF(OR(G1000="",INDEX(G:G,MATCH(DATE(YEAR($A1000)-1,MONTH($A1000),DAY($A1000)),$A:$A,0))=""),"",G1000/INDEX(G:G,MATCH(DATE(YEAR($A1000)-1,MONTH($A1000),DAY($A1000)),$A:$A,0))-1),"")</f>
        <v/>
      </c>
      <c r="K1000" s="7">
        <f>IF(OR(E1000="",E999=""),"",E1000/E999-1)</f>
        <v/>
      </c>
      <c r="L1000" s="7">
        <f>IF(OR(F1000="",F999=""),"",F1000/F999-1)</f>
        <v/>
      </c>
      <c r="M1000" s="7">
        <f>IF(OR(G1000="",G999=""),"",G1000/G999-1)</f>
        <v/>
      </c>
      <c r="N1000" s="7">
        <f>IF(G1000="","",E1000/G1000)</f>
        <v/>
      </c>
      <c r="O1000" s="7">
        <f>IF(G1000="","",F1000/G1000)</f>
        <v/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4">
        <f>IF(SUMIFS('Daily NSE Equity Cash'!$H:$H,'Daily NSE Equity Cash'!$A:$A,$A1001)=0,"",SUMIFS('Daily NSE Equity Cash'!$H:$H,'Daily NSE Equity Cash'!$A:$A,$A1001))</f>
        <v/>
      </c>
      <c r="F1001" s="4">
        <f>IF(SUMIFS('Daily BSE Equity Cash'!$H:$H,'Daily BSE Equity Cash'!$A:$A,$A1001)=0,"",SUMIFS('Daily BSE Equity Cash'!$H:$H,'Daily BSE Equity Cash'!$A:$A,$A1001))</f>
        <v/>
      </c>
      <c r="G1001" s="4">
        <f>IF(OR(E1001="",F1001=""),"",E1001+F1001)</f>
        <v/>
      </c>
      <c r="H1001" s="7">
        <f>IFERROR(IF(OR(E1001="",INDEX(E:E,MATCH(DATE(YEAR($A1001)-1,MONTH($A1001),DAY($A1001)),$A:$A,0))=""),"",E1001/INDEX(E:E,MATCH(DATE(YEAR($A1001)-1,MONTH($A1001),DAY($A1001)),$A:$A,0))-1),"")</f>
        <v/>
      </c>
      <c r="I1001" s="7">
        <f>IFERROR(IF(OR(F1001="",INDEX(F:F,MATCH(DATE(YEAR($A1001)-1,MONTH($A1001),DAY($A1001)),$A:$A,0))=""),"",F1001/INDEX(F:F,MATCH(DATE(YEAR($A1001)-1,MONTH($A1001),DAY($A1001)),$A:$A,0))-1),"")</f>
        <v/>
      </c>
      <c r="J1001" s="7">
        <f>IFERROR(IF(OR(G1001="",INDEX(G:G,MATCH(DATE(YEAR($A1001)-1,MONTH($A1001),DAY($A1001)),$A:$A,0))=""),"",G1001/INDEX(G:G,MATCH(DATE(YEAR($A1001)-1,MONTH($A1001),DAY($A1001)),$A:$A,0))-1),"")</f>
        <v/>
      </c>
      <c r="K1001" s="7">
        <f>IF(OR(E1001="",E1000=""),"",E1001/E1000-1)</f>
        <v/>
      </c>
      <c r="L1001" s="7">
        <f>IF(OR(F1001="",F1000=""),"",F1001/F1000-1)</f>
        <v/>
      </c>
      <c r="M1001" s="7">
        <f>IF(OR(G1001="",G1000=""),"",G1001/G1000-1)</f>
        <v/>
      </c>
      <c r="N1001" s="7">
        <f>IF(G1001="","",E1001/G1001)</f>
        <v/>
      </c>
      <c r="O1001" s="7">
        <f>IF(G1001="","",F1001/G1001)</f>
        <v/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4">
        <f>IF(SUMIFS('Daily NSE Equity Cash'!$H:$H,'Daily NSE Equity Cash'!$A:$A,$A1002)=0,"",SUMIFS('Daily NSE Equity Cash'!$H:$H,'Daily NSE Equity Cash'!$A:$A,$A1002))</f>
        <v/>
      </c>
      <c r="F1002" s="4">
        <f>IF(SUMIFS('Daily BSE Equity Cash'!$H:$H,'Daily BSE Equity Cash'!$A:$A,$A1002)=0,"",SUMIFS('Daily BSE Equity Cash'!$H:$H,'Daily BSE Equity Cash'!$A:$A,$A1002))</f>
        <v/>
      </c>
      <c r="G1002" s="4">
        <f>IF(OR(E1002="",F1002=""),"",E1002+F1002)</f>
        <v/>
      </c>
      <c r="H1002" s="7">
        <f>IFERROR(IF(OR(E1002="",INDEX(E:E,MATCH(DATE(YEAR($A1002)-1,MONTH($A1002),DAY($A1002)),$A:$A,0))=""),"",E1002/INDEX(E:E,MATCH(DATE(YEAR($A1002)-1,MONTH($A1002),DAY($A1002)),$A:$A,0))-1),"")</f>
        <v/>
      </c>
      <c r="I1002" s="7">
        <f>IFERROR(IF(OR(F1002="",INDEX(F:F,MATCH(DATE(YEAR($A1002)-1,MONTH($A1002),DAY($A1002)),$A:$A,0))=""),"",F1002/INDEX(F:F,MATCH(DATE(YEAR($A1002)-1,MONTH($A1002),DAY($A1002)),$A:$A,0))-1),"")</f>
        <v/>
      </c>
      <c r="J1002" s="7">
        <f>IFERROR(IF(OR(G1002="",INDEX(G:G,MATCH(DATE(YEAR($A1002)-1,MONTH($A1002),DAY($A1002)),$A:$A,0))=""),"",G1002/INDEX(G:G,MATCH(DATE(YEAR($A1002)-1,MONTH($A1002),DAY($A1002)),$A:$A,0))-1),"")</f>
        <v/>
      </c>
      <c r="K1002" s="7">
        <f>IF(OR(E1002="",E1001=""),"",E1002/E1001-1)</f>
        <v/>
      </c>
      <c r="L1002" s="7">
        <f>IF(OR(F1002="",F1001=""),"",F1002/F1001-1)</f>
        <v/>
      </c>
      <c r="M1002" s="7">
        <f>IF(OR(G1002="",G1001=""),"",G1002/G1001-1)</f>
        <v/>
      </c>
      <c r="N1002" s="7">
        <f>IF(G1002="","",E1002/G1002)</f>
        <v/>
      </c>
      <c r="O1002" s="7">
        <f>IF(G1002="","",F1002/G1002)</f>
        <v/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4">
        <f>IF(SUMIFS('Daily NSE Equity Cash'!$H:$H,'Daily NSE Equity Cash'!$A:$A,$A1003)=0,"",SUMIFS('Daily NSE Equity Cash'!$H:$H,'Daily NSE Equity Cash'!$A:$A,$A1003))</f>
        <v/>
      </c>
      <c r="F1003" s="4">
        <f>IF(SUMIFS('Daily BSE Equity Cash'!$H:$H,'Daily BSE Equity Cash'!$A:$A,$A1003)=0,"",SUMIFS('Daily BSE Equity Cash'!$H:$H,'Daily BSE Equity Cash'!$A:$A,$A1003))</f>
        <v/>
      </c>
      <c r="G1003" s="4">
        <f>IF(OR(E1003="",F1003=""),"",E1003+F1003)</f>
        <v/>
      </c>
      <c r="H1003" s="7">
        <f>IFERROR(IF(OR(E1003="",INDEX(E:E,MATCH(DATE(YEAR($A1003)-1,MONTH($A1003),DAY($A1003)),$A:$A,0))=""),"",E1003/INDEX(E:E,MATCH(DATE(YEAR($A1003)-1,MONTH($A1003),DAY($A1003)),$A:$A,0))-1),"")</f>
        <v/>
      </c>
      <c r="I1003" s="7">
        <f>IFERROR(IF(OR(F1003="",INDEX(F:F,MATCH(DATE(YEAR($A1003)-1,MONTH($A1003),DAY($A1003)),$A:$A,0))=""),"",F1003/INDEX(F:F,MATCH(DATE(YEAR($A1003)-1,MONTH($A1003),DAY($A1003)),$A:$A,0))-1),"")</f>
        <v/>
      </c>
      <c r="J1003" s="7">
        <f>IFERROR(IF(OR(G1003="",INDEX(G:G,MATCH(DATE(YEAR($A1003)-1,MONTH($A1003),DAY($A1003)),$A:$A,0))=""),"",G1003/INDEX(G:G,MATCH(DATE(YEAR($A1003)-1,MONTH($A1003),DAY($A1003)),$A:$A,0))-1),"")</f>
        <v/>
      </c>
      <c r="K1003" s="7">
        <f>IF(OR(E1003="",E1002=""),"",E1003/E1002-1)</f>
        <v/>
      </c>
      <c r="L1003" s="7">
        <f>IF(OR(F1003="",F1002=""),"",F1003/F1002-1)</f>
        <v/>
      </c>
      <c r="M1003" s="7">
        <f>IF(OR(G1003="",G1002=""),"",G1003/G1002-1)</f>
        <v/>
      </c>
      <c r="N1003" s="7">
        <f>IF(G1003="","",E1003/G1003)</f>
        <v/>
      </c>
      <c r="O1003" s="7">
        <f>IF(G1003="","",F1003/G1003)</f>
        <v/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4">
        <f>IF(SUMIFS('Daily NSE Equity Cash'!$H:$H,'Daily NSE Equity Cash'!$A:$A,$A1004)=0,"",SUMIFS('Daily NSE Equity Cash'!$H:$H,'Daily NSE Equity Cash'!$A:$A,$A1004))</f>
        <v/>
      </c>
      <c r="F1004" s="4">
        <f>IF(SUMIFS('Daily BSE Equity Cash'!$H:$H,'Daily BSE Equity Cash'!$A:$A,$A1004)=0,"",SUMIFS('Daily BSE Equity Cash'!$H:$H,'Daily BSE Equity Cash'!$A:$A,$A1004))</f>
        <v/>
      </c>
      <c r="G1004" s="4">
        <f>IF(OR(E1004="",F1004=""),"",E1004+F1004)</f>
        <v/>
      </c>
      <c r="H1004" s="7">
        <f>IFERROR(IF(OR(E1004="",INDEX(E:E,MATCH(DATE(YEAR($A1004)-1,MONTH($A1004),DAY($A1004)),$A:$A,0))=""),"",E1004/INDEX(E:E,MATCH(DATE(YEAR($A1004)-1,MONTH($A1004),DAY($A1004)),$A:$A,0))-1),"")</f>
        <v/>
      </c>
      <c r="I1004" s="7">
        <f>IFERROR(IF(OR(F1004="",INDEX(F:F,MATCH(DATE(YEAR($A1004)-1,MONTH($A1004),DAY($A1004)),$A:$A,0))=""),"",F1004/INDEX(F:F,MATCH(DATE(YEAR($A1004)-1,MONTH($A1004),DAY($A1004)),$A:$A,0))-1),"")</f>
        <v/>
      </c>
      <c r="J1004" s="7">
        <f>IFERROR(IF(OR(G1004="",INDEX(G:G,MATCH(DATE(YEAR($A1004)-1,MONTH($A1004),DAY($A1004)),$A:$A,0))=""),"",G1004/INDEX(G:G,MATCH(DATE(YEAR($A1004)-1,MONTH($A1004),DAY($A1004)),$A:$A,0))-1),"")</f>
        <v/>
      </c>
      <c r="K1004" s="7">
        <f>IF(OR(E1004="",E1003=""),"",E1004/E1003-1)</f>
        <v/>
      </c>
      <c r="L1004" s="7">
        <f>IF(OR(F1004="",F1003=""),"",F1004/F1003-1)</f>
        <v/>
      </c>
      <c r="M1004" s="7">
        <f>IF(OR(G1004="",G1003=""),"",G1004/G1003-1)</f>
        <v/>
      </c>
      <c r="N1004" s="7">
        <f>IF(G1004="","",E1004/G1004)</f>
        <v/>
      </c>
      <c r="O1004" s="7">
        <f>IF(G1004="","",F1004/G1004)</f>
        <v/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4">
        <f>IF(SUMIFS('Daily NSE Equity Cash'!$H:$H,'Daily NSE Equity Cash'!$A:$A,$A1005)=0,"",SUMIFS('Daily NSE Equity Cash'!$H:$H,'Daily NSE Equity Cash'!$A:$A,$A1005))</f>
        <v/>
      </c>
      <c r="F1005" s="4">
        <f>IF(SUMIFS('Daily BSE Equity Cash'!$H:$H,'Daily BSE Equity Cash'!$A:$A,$A1005)=0,"",SUMIFS('Daily BSE Equity Cash'!$H:$H,'Daily BSE Equity Cash'!$A:$A,$A1005))</f>
        <v/>
      </c>
      <c r="G1005" s="4">
        <f>IF(OR(E1005="",F1005=""),"",E1005+F1005)</f>
        <v/>
      </c>
      <c r="H1005" s="7">
        <f>IFERROR(IF(OR(E1005="",INDEX(E:E,MATCH(DATE(YEAR($A1005)-1,MONTH($A1005),DAY($A1005)),$A:$A,0))=""),"",E1005/INDEX(E:E,MATCH(DATE(YEAR($A1005)-1,MONTH($A1005),DAY($A1005)),$A:$A,0))-1),"")</f>
        <v/>
      </c>
      <c r="I1005" s="7">
        <f>IFERROR(IF(OR(F1005="",INDEX(F:F,MATCH(DATE(YEAR($A1005)-1,MONTH($A1005),DAY($A1005)),$A:$A,0))=""),"",F1005/INDEX(F:F,MATCH(DATE(YEAR($A1005)-1,MONTH($A1005),DAY($A1005)),$A:$A,0))-1),"")</f>
        <v/>
      </c>
      <c r="J1005" s="7">
        <f>IFERROR(IF(OR(G1005="",INDEX(G:G,MATCH(DATE(YEAR($A1005)-1,MONTH($A1005),DAY($A1005)),$A:$A,0))=""),"",G1005/INDEX(G:G,MATCH(DATE(YEAR($A1005)-1,MONTH($A1005),DAY($A1005)),$A:$A,0))-1),"")</f>
        <v/>
      </c>
      <c r="K1005" s="7">
        <f>IF(OR(E1005="",E1004=""),"",E1005/E1004-1)</f>
        <v/>
      </c>
      <c r="L1005" s="7">
        <f>IF(OR(F1005="",F1004=""),"",F1005/F1004-1)</f>
        <v/>
      </c>
      <c r="M1005" s="7">
        <f>IF(OR(G1005="",G1004=""),"",G1005/G1004-1)</f>
        <v/>
      </c>
      <c r="N1005" s="7">
        <f>IF(G1005="","",E1005/G1005)</f>
        <v/>
      </c>
      <c r="O1005" s="7">
        <f>IF(G1005="","",F1005/G1005)</f>
        <v/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4">
        <f>IF(SUMIFS('Daily NSE Equity Cash'!$H:$H,'Daily NSE Equity Cash'!$A:$A,$A1006)=0,"",SUMIFS('Daily NSE Equity Cash'!$H:$H,'Daily NSE Equity Cash'!$A:$A,$A1006))</f>
        <v/>
      </c>
      <c r="F1006" s="4">
        <f>IF(SUMIFS('Daily BSE Equity Cash'!$H:$H,'Daily BSE Equity Cash'!$A:$A,$A1006)=0,"",SUMIFS('Daily BSE Equity Cash'!$H:$H,'Daily BSE Equity Cash'!$A:$A,$A1006))</f>
        <v/>
      </c>
      <c r="G1006" s="4">
        <f>IF(OR(E1006="",F1006=""),"",E1006+F1006)</f>
        <v/>
      </c>
      <c r="H1006" s="7">
        <f>IFERROR(IF(OR(E1006="",INDEX(E:E,MATCH(DATE(YEAR($A1006)-1,MONTH($A1006),DAY($A1006)),$A:$A,0))=""),"",E1006/INDEX(E:E,MATCH(DATE(YEAR($A1006)-1,MONTH($A1006),DAY($A1006)),$A:$A,0))-1),"")</f>
        <v/>
      </c>
      <c r="I1006" s="7">
        <f>IFERROR(IF(OR(F1006="",INDEX(F:F,MATCH(DATE(YEAR($A1006)-1,MONTH($A1006),DAY($A1006)),$A:$A,0))=""),"",F1006/INDEX(F:F,MATCH(DATE(YEAR($A1006)-1,MONTH($A1006),DAY($A1006)),$A:$A,0))-1),"")</f>
        <v/>
      </c>
      <c r="J1006" s="7">
        <f>IFERROR(IF(OR(G1006="",INDEX(G:G,MATCH(DATE(YEAR($A1006)-1,MONTH($A1006),DAY($A1006)),$A:$A,0))=""),"",G1006/INDEX(G:G,MATCH(DATE(YEAR($A1006)-1,MONTH($A1006),DAY($A1006)),$A:$A,0))-1),"")</f>
        <v/>
      </c>
      <c r="K1006" s="7">
        <f>IF(OR(E1006="",E1005=""),"",E1006/E1005-1)</f>
        <v/>
      </c>
      <c r="L1006" s="7">
        <f>IF(OR(F1006="",F1005=""),"",F1006/F1005-1)</f>
        <v/>
      </c>
      <c r="M1006" s="7">
        <f>IF(OR(G1006="",G1005=""),"",G1006/G1005-1)</f>
        <v/>
      </c>
      <c r="N1006" s="7">
        <f>IF(G1006="","",E1006/G1006)</f>
        <v/>
      </c>
      <c r="O1006" s="7">
        <f>IF(G1006="","",F1006/G1006)</f>
        <v/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4">
        <f>IF(SUMIFS('Daily NSE Equity Cash'!$H:$H,'Daily NSE Equity Cash'!$A:$A,$A1007)=0,"",SUMIFS('Daily NSE Equity Cash'!$H:$H,'Daily NSE Equity Cash'!$A:$A,$A1007))</f>
        <v/>
      </c>
      <c r="F1007" s="4">
        <f>IF(SUMIFS('Daily BSE Equity Cash'!$H:$H,'Daily BSE Equity Cash'!$A:$A,$A1007)=0,"",SUMIFS('Daily BSE Equity Cash'!$H:$H,'Daily BSE Equity Cash'!$A:$A,$A1007))</f>
        <v/>
      </c>
      <c r="G1007" s="4">
        <f>IF(OR(E1007="",F1007=""),"",E1007+F1007)</f>
        <v/>
      </c>
      <c r="H1007" s="7">
        <f>IFERROR(IF(OR(E1007="",INDEX(E:E,MATCH(DATE(YEAR($A1007)-1,MONTH($A1007),DAY($A1007)),$A:$A,0))=""),"",E1007/INDEX(E:E,MATCH(DATE(YEAR($A1007)-1,MONTH($A1007),DAY($A1007)),$A:$A,0))-1),"")</f>
        <v/>
      </c>
      <c r="I1007" s="7">
        <f>IFERROR(IF(OR(F1007="",INDEX(F:F,MATCH(DATE(YEAR($A1007)-1,MONTH($A1007),DAY($A1007)),$A:$A,0))=""),"",F1007/INDEX(F:F,MATCH(DATE(YEAR($A1007)-1,MONTH($A1007),DAY($A1007)),$A:$A,0))-1),"")</f>
        <v/>
      </c>
      <c r="J1007" s="7">
        <f>IFERROR(IF(OR(G1007="",INDEX(G:G,MATCH(DATE(YEAR($A1007)-1,MONTH($A1007),DAY($A1007)),$A:$A,0))=""),"",G1007/INDEX(G:G,MATCH(DATE(YEAR($A1007)-1,MONTH($A1007),DAY($A1007)),$A:$A,0))-1),"")</f>
        <v/>
      </c>
      <c r="K1007" s="7">
        <f>IF(OR(E1007="",E1006=""),"",E1007/E1006-1)</f>
        <v/>
      </c>
      <c r="L1007" s="7">
        <f>IF(OR(F1007="",F1006=""),"",F1007/F1006-1)</f>
        <v/>
      </c>
      <c r="M1007" s="7">
        <f>IF(OR(G1007="",G1006=""),"",G1007/G1006-1)</f>
        <v/>
      </c>
      <c r="N1007" s="7">
        <f>IF(G1007="","",E1007/G1007)</f>
        <v/>
      </c>
      <c r="O1007" s="7">
        <f>IF(G1007="","",F1007/G1007)</f>
        <v/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4">
        <f>IF(SUMIFS('Daily NSE Equity Cash'!$H:$H,'Daily NSE Equity Cash'!$A:$A,$A1008)=0,"",SUMIFS('Daily NSE Equity Cash'!$H:$H,'Daily NSE Equity Cash'!$A:$A,$A1008))</f>
        <v/>
      </c>
      <c r="F1008" s="4">
        <f>IF(SUMIFS('Daily BSE Equity Cash'!$H:$H,'Daily BSE Equity Cash'!$A:$A,$A1008)=0,"",SUMIFS('Daily BSE Equity Cash'!$H:$H,'Daily BSE Equity Cash'!$A:$A,$A1008))</f>
        <v/>
      </c>
      <c r="G1008" s="4">
        <f>IF(OR(E1008="",F1008=""),"",E1008+F1008)</f>
        <v/>
      </c>
      <c r="H1008" s="7">
        <f>IFERROR(IF(OR(E1008="",INDEX(E:E,MATCH(DATE(YEAR($A1008)-1,MONTH($A1008),DAY($A1008)),$A:$A,0))=""),"",E1008/INDEX(E:E,MATCH(DATE(YEAR($A1008)-1,MONTH($A1008),DAY($A1008)),$A:$A,0))-1),"")</f>
        <v/>
      </c>
      <c r="I1008" s="7">
        <f>IFERROR(IF(OR(F1008="",INDEX(F:F,MATCH(DATE(YEAR($A1008)-1,MONTH($A1008),DAY($A1008)),$A:$A,0))=""),"",F1008/INDEX(F:F,MATCH(DATE(YEAR($A1008)-1,MONTH($A1008),DAY($A1008)),$A:$A,0))-1),"")</f>
        <v/>
      </c>
      <c r="J1008" s="7">
        <f>IFERROR(IF(OR(G1008="",INDEX(G:G,MATCH(DATE(YEAR($A1008)-1,MONTH($A1008),DAY($A1008)),$A:$A,0))=""),"",G1008/INDEX(G:G,MATCH(DATE(YEAR($A1008)-1,MONTH($A1008),DAY($A1008)),$A:$A,0))-1),"")</f>
        <v/>
      </c>
      <c r="K1008" s="7">
        <f>IF(OR(E1008="",E1007=""),"",E1008/E1007-1)</f>
        <v/>
      </c>
      <c r="L1008" s="7">
        <f>IF(OR(F1008="",F1007=""),"",F1008/F1007-1)</f>
        <v/>
      </c>
      <c r="M1008" s="7">
        <f>IF(OR(G1008="",G1007=""),"",G1008/G1007-1)</f>
        <v/>
      </c>
      <c r="N1008" s="7">
        <f>IF(G1008="","",E1008/G1008)</f>
        <v/>
      </c>
      <c r="O1008" s="7">
        <f>IF(G1008="","",F1008/G1008)</f>
        <v/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4">
        <f>IF(SUMIFS('Daily NSE Equity Cash'!$H:$H,'Daily NSE Equity Cash'!$A:$A,$A1009)=0,"",SUMIFS('Daily NSE Equity Cash'!$H:$H,'Daily NSE Equity Cash'!$A:$A,$A1009))</f>
        <v/>
      </c>
      <c r="F1009" s="4">
        <f>IF(SUMIFS('Daily BSE Equity Cash'!$H:$H,'Daily BSE Equity Cash'!$A:$A,$A1009)=0,"",SUMIFS('Daily BSE Equity Cash'!$H:$H,'Daily BSE Equity Cash'!$A:$A,$A1009))</f>
        <v/>
      </c>
      <c r="G1009" s="4">
        <f>IF(OR(E1009="",F1009=""),"",E1009+F1009)</f>
        <v/>
      </c>
      <c r="H1009" s="7">
        <f>IFERROR(IF(OR(E1009="",INDEX(E:E,MATCH(DATE(YEAR($A1009)-1,MONTH($A1009),DAY($A1009)),$A:$A,0))=""),"",E1009/INDEX(E:E,MATCH(DATE(YEAR($A1009)-1,MONTH($A1009),DAY($A1009)),$A:$A,0))-1),"")</f>
        <v/>
      </c>
      <c r="I1009" s="7">
        <f>IFERROR(IF(OR(F1009="",INDEX(F:F,MATCH(DATE(YEAR($A1009)-1,MONTH($A1009),DAY($A1009)),$A:$A,0))=""),"",F1009/INDEX(F:F,MATCH(DATE(YEAR($A1009)-1,MONTH($A1009),DAY($A1009)),$A:$A,0))-1),"")</f>
        <v/>
      </c>
      <c r="J1009" s="7">
        <f>IFERROR(IF(OR(G1009="",INDEX(G:G,MATCH(DATE(YEAR($A1009)-1,MONTH($A1009),DAY($A1009)),$A:$A,0))=""),"",G1009/INDEX(G:G,MATCH(DATE(YEAR($A1009)-1,MONTH($A1009),DAY($A1009)),$A:$A,0))-1),"")</f>
        <v/>
      </c>
      <c r="K1009" s="7">
        <f>IF(OR(E1009="",E1008=""),"",E1009/E1008-1)</f>
        <v/>
      </c>
      <c r="L1009" s="7">
        <f>IF(OR(F1009="",F1008=""),"",F1009/F1008-1)</f>
        <v/>
      </c>
      <c r="M1009" s="7">
        <f>IF(OR(G1009="",G1008=""),"",G1009/G1008-1)</f>
        <v/>
      </c>
      <c r="N1009" s="7">
        <f>IF(G1009="","",E1009/G1009)</f>
        <v/>
      </c>
      <c r="O1009" s="7">
        <f>IF(G1009="","",F1009/G1009)</f>
        <v/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4">
        <f>IF(SUMIFS('Daily NSE Equity Cash'!$H:$H,'Daily NSE Equity Cash'!$A:$A,$A1010)=0,"",SUMIFS('Daily NSE Equity Cash'!$H:$H,'Daily NSE Equity Cash'!$A:$A,$A1010))</f>
        <v/>
      </c>
      <c r="F1010" s="4">
        <f>IF(SUMIFS('Daily BSE Equity Cash'!$H:$H,'Daily BSE Equity Cash'!$A:$A,$A1010)=0,"",SUMIFS('Daily BSE Equity Cash'!$H:$H,'Daily BSE Equity Cash'!$A:$A,$A1010))</f>
        <v/>
      </c>
      <c r="G1010" s="4">
        <f>IF(OR(E1010="",F1010=""),"",E1010+F1010)</f>
        <v/>
      </c>
      <c r="H1010" s="7">
        <f>IFERROR(IF(OR(E1010="",INDEX(E:E,MATCH(DATE(YEAR($A1010)-1,MONTH($A1010),DAY($A1010)),$A:$A,0))=""),"",E1010/INDEX(E:E,MATCH(DATE(YEAR($A1010)-1,MONTH($A1010),DAY($A1010)),$A:$A,0))-1),"")</f>
        <v/>
      </c>
      <c r="I1010" s="7">
        <f>IFERROR(IF(OR(F1010="",INDEX(F:F,MATCH(DATE(YEAR($A1010)-1,MONTH($A1010),DAY($A1010)),$A:$A,0))=""),"",F1010/INDEX(F:F,MATCH(DATE(YEAR($A1010)-1,MONTH($A1010),DAY($A1010)),$A:$A,0))-1),"")</f>
        <v/>
      </c>
      <c r="J1010" s="7">
        <f>IFERROR(IF(OR(G1010="",INDEX(G:G,MATCH(DATE(YEAR($A1010)-1,MONTH($A1010),DAY($A1010)),$A:$A,0))=""),"",G1010/INDEX(G:G,MATCH(DATE(YEAR($A1010)-1,MONTH($A1010),DAY($A1010)),$A:$A,0))-1),"")</f>
        <v/>
      </c>
      <c r="K1010" s="7">
        <f>IF(OR(E1010="",E1009=""),"",E1010/E1009-1)</f>
        <v/>
      </c>
      <c r="L1010" s="7">
        <f>IF(OR(F1010="",F1009=""),"",F1010/F1009-1)</f>
        <v/>
      </c>
      <c r="M1010" s="7">
        <f>IF(OR(G1010="",G1009=""),"",G1010/G1009-1)</f>
        <v/>
      </c>
      <c r="N1010" s="7">
        <f>IF(G1010="","",E1010/G1010)</f>
        <v/>
      </c>
      <c r="O1010" s="7">
        <f>IF(G1010="","",F1010/G1010)</f>
        <v/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4">
        <f>IF(SUMIFS('Daily NSE Equity Cash'!$H:$H,'Daily NSE Equity Cash'!$A:$A,$A1011)=0,"",SUMIFS('Daily NSE Equity Cash'!$H:$H,'Daily NSE Equity Cash'!$A:$A,$A1011))</f>
        <v/>
      </c>
      <c r="F1011" s="4">
        <f>IF(SUMIFS('Daily BSE Equity Cash'!$H:$H,'Daily BSE Equity Cash'!$A:$A,$A1011)=0,"",SUMIFS('Daily BSE Equity Cash'!$H:$H,'Daily BSE Equity Cash'!$A:$A,$A1011))</f>
        <v/>
      </c>
      <c r="G1011" s="4">
        <f>IF(OR(E1011="",F1011=""),"",E1011+F1011)</f>
        <v/>
      </c>
      <c r="H1011" s="7">
        <f>IFERROR(IF(OR(E1011="",INDEX(E:E,MATCH(DATE(YEAR($A1011)-1,MONTH($A1011),DAY($A1011)),$A:$A,0))=""),"",E1011/INDEX(E:E,MATCH(DATE(YEAR($A1011)-1,MONTH($A1011),DAY($A1011)),$A:$A,0))-1),"")</f>
        <v/>
      </c>
      <c r="I1011" s="7">
        <f>IFERROR(IF(OR(F1011="",INDEX(F:F,MATCH(DATE(YEAR($A1011)-1,MONTH($A1011),DAY($A1011)),$A:$A,0))=""),"",F1011/INDEX(F:F,MATCH(DATE(YEAR($A1011)-1,MONTH($A1011),DAY($A1011)),$A:$A,0))-1),"")</f>
        <v/>
      </c>
      <c r="J1011" s="7">
        <f>IFERROR(IF(OR(G1011="",INDEX(G:G,MATCH(DATE(YEAR($A1011)-1,MONTH($A1011),DAY($A1011)),$A:$A,0))=""),"",G1011/INDEX(G:G,MATCH(DATE(YEAR($A1011)-1,MONTH($A1011),DAY($A1011)),$A:$A,0))-1),"")</f>
        <v/>
      </c>
      <c r="K1011" s="7">
        <f>IF(OR(E1011="",E1010=""),"",E1011/E1010-1)</f>
        <v/>
      </c>
      <c r="L1011" s="7">
        <f>IF(OR(F1011="",F1010=""),"",F1011/F1010-1)</f>
        <v/>
      </c>
      <c r="M1011" s="7">
        <f>IF(OR(G1011="",G1010=""),"",G1011/G1010-1)</f>
        <v/>
      </c>
      <c r="N1011" s="7">
        <f>IF(G1011="","",E1011/G1011)</f>
        <v/>
      </c>
      <c r="O1011" s="7">
        <f>IF(G1011="","",F1011/G1011)</f>
        <v/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4">
        <f>IF(SUMIFS('Daily NSE Equity Cash'!$H:$H,'Daily NSE Equity Cash'!$A:$A,$A1012)=0,"",SUMIFS('Daily NSE Equity Cash'!$H:$H,'Daily NSE Equity Cash'!$A:$A,$A1012))</f>
        <v/>
      </c>
      <c r="F1012" s="4">
        <f>IF(SUMIFS('Daily BSE Equity Cash'!$H:$H,'Daily BSE Equity Cash'!$A:$A,$A1012)=0,"",SUMIFS('Daily BSE Equity Cash'!$H:$H,'Daily BSE Equity Cash'!$A:$A,$A1012))</f>
        <v/>
      </c>
      <c r="G1012" s="4">
        <f>IF(OR(E1012="",F1012=""),"",E1012+F1012)</f>
        <v/>
      </c>
      <c r="H1012" s="7">
        <f>IFERROR(IF(OR(E1012="",INDEX(E:E,MATCH(DATE(YEAR($A1012)-1,MONTH($A1012),DAY($A1012)),$A:$A,0))=""),"",E1012/INDEX(E:E,MATCH(DATE(YEAR($A1012)-1,MONTH($A1012),DAY($A1012)),$A:$A,0))-1),"")</f>
        <v/>
      </c>
      <c r="I1012" s="7">
        <f>IFERROR(IF(OR(F1012="",INDEX(F:F,MATCH(DATE(YEAR($A1012)-1,MONTH($A1012),DAY($A1012)),$A:$A,0))=""),"",F1012/INDEX(F:F,MATCH(DATE(YEAR($A1012)-1,MONTH($A1012),DAY($A1012)),$A:$A,0))-1),"")</f>
        <v/>
      </c>
      <c r="J1012" s="7">
        <f>IFERROR(IF(OR(G1012="",INDEX(G:G,MATCH(DATE(YEAR($A1012)-1,MONTH($A1012),DAY($A1012)),$A:$A,0))=""),"",G1012/INDEX(G:G,MATCH(DATE(YEAR($A1012)-1,MONTH($A1012),DAY($A1012)),$A:$A,0))-1),"")</f>
        <v/>
      </c>
      <c r="K1012" s="7">
        <f>IF(OR(E1012="",E1011=""),"",E1012/E1011-1)</f>
        <v/>
      </c>
      <c r="L1012" s="7">
        <f>IF(OR(F1012="",F1011=""),"",F1012/F1011-1)</f>
        <v/>
      </c>
      <c r="M1012" s="7">
        <f>IF(OR(G1012="",G1011=""),"",G1012/G1011-1)</f>
        <v/>
      </c>
      <c r="N1012" s="7">
        <f>IF(G1012="","",E1012/G1012)</f>
        <v/>
      </c>
      <c r="O1012" s="7">
        <f>IF(G1012="","",F1012/G1012)</f>
        <v/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4">
        <f>IF(SUMIFS('Daily NSE Equity Cash'!$H:$H,'Daily NSE Equity Cash'!$A:$A,$A1013)=0,"",SUMIFS('Daily NSE Equity Cash'!$H:$H,'Daily NSE Equity Cash'!$A:$A,$A1013))</f>
        <v/>
      </c>
      <c r="F1013" s="4">
        <f>IF(SUMIFS('Daily BSE Equity Cash'!$H:$H,'Daily BSE Equity Cash'!$A:$A,$A1013)=0,"",SUMIFS('Daily BSE Equity Cash'!$H:$H,'Daily BSE Equity Cash'!$A:$A,$A1013))</f>
        <v/>
      </c>
      <c r="G1013" s="4">
        <f>IF(OR(E1013="",F1013=""),"",E1013+F1013)</f>
        <v/>
      </c>
      <c r="H1013" s="7">
        <f>IFERROR(IF(OR(E1013="",INDEX(E:E,MATCH(DATE(YEAR($A1013)-1,MONTH($A1013),DAY($A1013)),$A:$A,0))=""),"",E1013/INDEX(E:E,MATCH(DATE(YEAR($A1013)-1,MONTH($A1013),DAY($A1013)),$A:$A,0))-1),"")</f>
        <v/>
      </c>
      <c r="I1013" s="7">
        <f>IFERROR(IF(OR(F1013="",INDEX(F:F,MATCH(DATE(YEAR($A1013)-1,MONTH($A1013),DAY($A1013)),$A:$A,0))=""),"",F1013/INDEX(F:F,MATCH(DATE(YEAR($A1013)-1,MONTH($A1013),DAY($A1013)),$A:$A,0))-1),"")</f>
        <v/>
      </c>
      <c r="J1013" s="7">
        <f>IFERROR(IF(OR(G1013="",INDEX(G:G,MATCH(DATE(YEAR($A1013)-1,MONTH($A1013),DAY($A1013)),$A:$A,0))=""),"",G1013/INDEX(G:G,MATCH(DATE(YEAR($A1013)-1,MONTH($A1013),DAY($A1013)),$A:$A,0))-1),"")</f>
        <v/>
      </c>
      <c r="K1013" s="7">
        <f>IF(OR(E1013="",E1012=""),"",E1013/E1012-1)</f>
        <v/>
      </c>
      <c r="L1013" s="7">
        <f>IF(OR(F1013="",F1012=""),"",F1013/F1012-1)</f>
        <v/>
      </c>
      <c r="M1013" s="7">
        <f>IF(OR(G1013="",G1012=""),"",G1013/G1012-1)</f>
        <v/>
      </c>
      <c r="N1013" s="7">
        <f>IF(G1013="","",E1013/G1013)</f>
        <v/>
      </c>
      <c r="O1013" s="7">
        <f>IF(G1013="","",F1013/G1013)</f>
        <v/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4">
        <f>IF(SUMIFS('Daily NSE Equity Cash'!$H:$H,'Daily NSE Equity Cash'!$A:$A,$A1014)=0,"",SUMIFS('Daily NSE Equity Cash'!$H:$H,'Daily NSE Equity Cash'!$A:$A,$A1014))</f>
        <v/>
      </c>
      <c r="F1014" s="4">
        <f>IF(SUMIFS('Daily BSE Equity Cash'!$H:$H,'Daily BSE Equity Cash'!$A:$A,$A1014)=0,"",SUMIFS('Daily BSE Equity Cash'!$H:$H,'Daily BSE Equity Cash'!$A:$A,$A1014))</f>
        <v/>
      </c>
      <c r="G1014" s="4">
        <f>IF(OR(E1014="",F1014=""),"",E1014+F1014)</f>
        <v/>
      </c>
      <c r="H1014" s="7">
        <f>IFERROR(IF(OR(E1014="",INDEX(E:E,MATCH(DATE(YEAR($A1014)-1,MONTH($A1014),DAY($A1014)),$A:$A,0))=""),"",E1014/INDEX(E:E,MATCH(DATE(YEAR($A1014)-1,MONTH($A1014),DAY($A1014)),$A:$A,0))-1),"")</f>
        <v/>
      </c>
      <c r="I1014" s="7">
        <f>IFERROR(IF(OR(F1014="",INDEX(F:F,MATCH(DATE(YEAR($A1014)-1,MONTH($A1014),DAY($A1014)),$A:$A,0))=""),"",F1014/INDEX(F:F,MATCH(DATE(YEAR($A1014)-1,MONTH($A1014),DAY($A1014)),$A:$A,0))-1),"")</f>
        <v/>
      </c>
      <c r="J1014" s="7">
        <f>IFERROR(IF(OR(G1014="",INDEX(G:G,MATCH(DATE(YEAR($A1014)-1,MONTH($A1014),DAY($A1014)),$A:$A,0))=""),"",G1014/INDEX(G:G,MATCH(DATE(YEAR($A1014)-1,MONTH($A1014),DAY($A1014)),$A:$A,0))-1),"")</f>
        <v/>
      </c>
      <c r="K1014" s="7">
        <f>IF(OR(E1014="",E1013=""),"",E1014/E1013-1)</f>
        <v/>
      </c>
      <c r="L1014" s="7">
        <f>IF(OR(F1014="",F1013=""),"",F1014/F1013-1)</f>
        <v/>
      </c>
      <c r="M1014" s="7">
        <f>IF(OR(G1014="",G1013=""),"",G1014/G1013-1)</f>
        <v/>
      </c>
      <c r="N1014" s="7">
        <f>IF(G1014="","",E1014/G1014)</f>
        <v/>
      </c>
      <c r="O1014" s="7">
        <f>IF(G1014="","",F1014/G1014)</f>
        <v/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4">
        <f>IF(SUMIFS('Daily NSE Equity Cash'!$H:$H,'Daily NSE Equity Cash'!$A:$A,$A1015)=0,"",SUMIFS('Daily NSE Equity Cash'!$H:$H,'Daily NSE Equity Cash'!$A:$A,$A1015))</f>
        <v/>
      </c>
      <c r="F1015" s="4">
        <f>IF(SUMIFS('Daily BSE Equity Cash'!$H:$H,'Daily BSE Equity Cash'!$A:$A,$A1015)=0,"",SUMIFS('Daily BSE Equity Cash'!$H:$H,'Daily BSE Equity Cash'!$A:$A,$A1015))</f>
        <v/>
      </c>
      <c r="G1015" s="4">
        <f>IF(OR(E1015="",F1015=""),"",E1015+F1015)</f>
        <v/>
      </c>
      <c r="H1015" s="7">
        <f>IFERROR(IF(OR(E1015="",INDEX(E:E,MATCH(DATE(YEAR($A1015)-1,MONTH($A1015),DAY($A1015)),$A:$A,0))=""),"",E1015/INDEX(E:E,MATCH(DATE(YEAR($A1015)-1,MONTH($A1015),DAY($A1015)),$A:$A,0))-1),"")</f>
        <v/>
      </c>
      <c r="I1015" s="7">
        <f>IFERROR(IF(OR(F1015="",INDEX(F:F,MATCH(DATE(YEAR($A1015)-1,MONTH($A1015),DAY($A1015)),$A:$A,0))=""),"",F1015/INDEX(F:F,MATCH(DATE(YEAR($A1015)-1,MONTH($A1015),DAY($A1015)),$A:$A,0))-1),"")</f>
        <v/>
      </c>
      <c r="J1015" s="7">
        <f>IFERROR(IF(OR(G1015="",INDEX(G:G,MATCH(DATE(YEAR($A1015)-1,MONTH($A1015),DAY($A1015)),$A:$A,0))=""),"",G1015/INDEX(G:G,MATCH(DATE(YEAR($A1015)-1,MONTH($A1015),DAY($A1015)),$A:$A,0))-1),"")</f>
        <v/>
      </c>
      <c r="K1015" s="7">
        <f>IF(OR(E1015="",E1014=""),"",E1015/E1014-1)</f>
        <v/>
      </c>
      <c r="L1015" s="7">
        <f>IF(OR(F1015="",F1014=""),"",F1015/F1014-1)</f>
        <v/>
      </c>
      <c r="M1015" s="7">
        <f>IF(OR(G1015="",G1014=""),"",G1015/G1014-1)</f>
        <v/>
      </c>
      <c r="N1015" s="7">
        <f>IF(G1015="","",E1015/G1015)</f>
        <v/>
      </c>
      <c r="O1015" s="7">
        <f>IF(G1015="","",F1015/G1015)</f>
        <v/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4">
        <f>IF(SUMIFS('Daily NSE Equity Cash'!$H:$H,'Daily NSE Equity Cash'!$A:$A,$A1016)=0,"",SUMIFS('Daily NSE Equity Cash'!$H:$H,'Daily NSE Equity Cash'!$A:$A,$A1016))</f>
        <v/>
      </c>
      <c r="F1016" s="4">
        <f>IF(SUMIFS('Daily BSE Equity Cash'!$H:$H,'Daily BSE Equity Cash'!$A:$A,$A1016)=0,"",SUMIFS('Daily BSE Equity Cash'!$H:$H,'Daily BSE Equity Cash'!$A:$A,$A1016))</f>
        <v/>
      </c>
      <c r="G1016" s="4">
        <f>IF(OR(E1016="",F1016=""),"",E1016+F1016)</f>
        <v/>
      </c>
      <c r="H1016" s="7">
        <f>IFERROR(IF(OR(E1016="",INDEX(E:E,MATCH(DATE(YEAR($A1016)-1,MONTH($A1016),DAY($A1016)),$A:$A,0))=""),"",E1016/INDEX(E:E,MATCH(DATE(YEAR($A1016)-1,MONTH($A1016),DAY($A1016)),$A:$A,0))-1),"")</f>
        <v/>
      </c>
      <c r="I1016" s="7">
        <f>IFERROR(IF(OR(F1016="",INDEX(F:F,MATCH(DATE(YEAR($A1016)-1,MONTH($A1016),DAY($A1016)),$A:$A,0))=""),"",F1016/INDEX(F:F,MATCH(DATE(YEAR($A1016)-1,MONTH($A1016),DAY($A1016)),$A:$A,0))-1),"")</f>
        <v/>
      </c>
      <c r="J1016" s="7">
        <f>IFERROR(IF(OR(G1016="",INDEX(G:G,MATCH(DATE(YEAR($A1016)-1,MONTH($A1016),DAY($A1016)),$A:$A,0))=""),"",G1016/INDEX(G:G,MATCH(DATE(YEAR($A1016)-1,MONTH($A1016),DAY($A1016)),$A:$A,0))-1),"")</f>
        <v/>
      </c>
      <c r="K1016" s="7">
        <f>IF(OR(E1016="",E1015=""),"",E1016/E1015-1)</f>
        <v/>
      </c>
      <c r="L1016" s="7">
        <f>IF(OR(F1016="",F1015=""),"",F1016/F1015-1)</f>
        <v/>
      </c>
      <c r="M1016" s="7">
        <f>IF(OR(G1016="",G1015=""),"",G1016/G1015-1)</f>
        <v/>
      </c>
      <c r="N1016" s="7">
        <f>IF(G1016="","",E1016/G1016)</f>
        <v/>
      </c>
      <c r="O1016" s="7">
        <f>IF(G1016="","",F1016/G1016)</f>
        <v/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4">
        <f>IF(SUMIFS('Daily NSE Equity Cash'!$H:$H,'Daily NSE Equity Cash'!$A:$A,$A1017)=0,"",SUMIFS('Daily NSE Equity Cash'!$H:$H,'Daily NSE Equity Cash'!$A:$A,$A1017))</f>
        <v/>
      </c>
      <c r="F1017" s="4">
        <f>IF(SUMIFS('Daily BSE Equity Cash'!$H:$H,'Daily BSE Equity Cash'!$A:$A,$A1017)=0,"",SUMIFS('Daily BSE Equity Cash'!$H:$H,'Daily BSE Equity Cash'!$A:$A,$A1017))</f>
        <v/>
      </c>
      <c r="G1017" s="4">
        <f>IF(OR(E1017="",F1017=""),"",E1017+F1017)</f>
        <v/>
      </c>
      <c r="H1017" s="7">
        <f>IFERROR(IF(OR(E1017="",INDEX(E:E,MATCH(DATE(YEAR($A1017)-1,MONTH($A1017),DAY($A1017)),$A:$A,0))=""),"",E1017/INDEX(E:E,MATCH(DATE(YEAR($A1017)-1,MONTH($A1017),DAY($A1017)),$A:$A,0))-1),"")</f>
        <v/>
      </c>
      <c r="I1017" s="7">
        <f>IFERROR(IF(OR(F1017="",INDEX(F:F,MATCH(DATE(YEAR($A1017)-1,MONTH($A1017),DAY($A1017)),$A:$A,0))=""),"",F1017/INDEX(F:F,MATCH(DATE(YEAR($A1017)-1,MONTH($A1017),DAY($A1017)),$A:$A,0))-1),"")</f>
        <v/>
      </c>
      <c r="J1017" s="7">
        <f>IFERROR(IF(OR(G1017="",INDEX(G:G,MATCH(DATE(YEAR($A1017)-1,MONTH($A1017),DAY($A1017)),$A:$A,0))=""),"",G1017/INDEX(G:G,MATCH(DATE(YEAR($A1017)-1,MONTH($A1017),DAY($A1017)),$A:$A,0))-1),"")</f>
        <v/>
      </c>
      <c r="K1017" s="7">
        <f>IF(OR(E1017="",E1016=""),"",E1017/E1016-1)</f>
        <v/>
      </c>
      <c r="L1017" s="7">
        <f>IF(OR(F1017="",F1016=""),"",F1017/F1016-1)</f>
        <v/>
      </c>
      <c r="M1017" s="7">
        <f>IF(OR(G1017="",G1016=""),"",G1017/G1016-1)</f>
        <v/>
      </c>
      <c r="N1017" s="7">
        <f>IF(G1017="","",E1017/G1017)</f>
        <v/>
      </c>
      <c r="O1017" s="7">
        <f>IF(G1017="","",F1017/G1017)</f>
        <v/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4">
        <f>IF(SUMIFS('Daily NSE Equity Cash'!$H:$H,'Daily NSE Equity Cash'!$A:$A,$A1018)=0,"",SUMIFS('Daily NSE Equity Cash'!$H:$H,'Daily NSE Equity Cash'!$A:$A,$A1018))</f>
        <v/>
      </c>
      <c r="F1018" s="4">
        <f>IF(SUMIFS('Daily BSE Equity Cash'!$H:$H,'Daily BSE Equity Cash'!$A:$A,$A1018)=0,"",SUMIFS('Daily BSE Equity Cash'!$H:$H,'Daily BSE Equity Cash'!$A:$A,$A1018))</f>
        <v/>
      </c>
      <c r="G1018" s="4">
        <f>IF(OR(E1018="",F1018=""),"",E1018+F1018)</f>
        <v/>
      </c>
      <c r="H1018" s="7">
        <f>IFERROR(IF(OR(E1018="",INDEX(E:E,MATCH(DATE(YEAR($A1018)-1,MONTH($A1018),DAY($A1018)),$A:$A,0))=""),"",E1018/INDEX(E:E,MATCH(DATE(YEAR($A1018)-1,MONTH($A1018),DAY($A1018)),$A:$A,0))-1),"")</f>
        <v/>
      </c>
      <c r="I1018" s="7">
        <f>IFERROR(IF(OR(F1018="",INDEX(F:F,MATCH(DATE(YEAR($A1018)-1,MONTH($A1018),DAY($A1018)),$A:$A,0))=""),"",F1018/INDEX(F:F,MATCH(DATE(YEAR($A1018)-1,MONTH($A1018),DAY($A1018)),$A:$A,0))-1),"")</f>
        <v/>
      </c>
      <c r="J1018" s="7">
        <f>IFERROR(IF(OR(G1018="",INDEX(G:G,MATCH(DATE(YEAR($A1018)-1,MONTH($A1018),DAY($A1018)),$A:$A,0))=""),"",G1018/INDEX(G:G,MATCH(DATE(YEAR($A1018)-1,MONTH($A1018),DAY($A1018)),$A:$A,0))-1),"")</f>
        <v/>
      </c>
      <c r="K1018" s="7">
        <f>IF(OR(E1018="",E1017=""),"",E1018/E1017-1)</f>
        <v/>
      </c>
      <c r="L1018" s="7">
        <f>IF(OR(F1018="",F1017=""),"",F1018/F1017-1)</f>
        <v/>
      </c>
      <c r="M1018" s="7">
        <f>IF(OR(G1018="",G1017=""),"",G1018/G1017-1)</f>
        <v/>
      </c>
      <c r="N1018" s="7">
        <f>IF(G1018="","",E1018/G1018)</f>
        <v/>
      </c>
      <c r="O1018" s="7">
        <f>IF(G1018="","",F1018/G1018)</f>
        <v/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4">
        <f>IF(SUMIFS('Daily NSE Equity Cash'!$H:$H,'Daily NSE Equity Cash'!$A:$A,$A1019)=0,"",SUMIFS('Daily NSE Equity Cash'!$H:$H,'Daily NSE Equity Cash'!$A:$A,$A1019))</f>
        <v/>
      </c>
      <c r="F1019" s="4">
        <f>IF(SUMIFS('Daily BSE Equity Cash'!$H:$H,'Daily BSE Equity Cash'!$A:$A,$A1019)=0,"",SUMIFS('Daily BSE Equity Cash'!$H:$H,'Daily BSE Equity Cash'!$A:$A,$A1019))</f>
        <v/>
      </c>
      <c r="G1019" s="4">
        <f>IF(OR(E1019="",F1019=""),"",E1019+F1019)</f>
        <v/>
      </c>
      <c r="H1019" s="7">
        <f>IFERROR(IF(OR(E1019="",INDEX(E:E,MATCH(DATE(YEAR($A1019)-1,MONTH($A1019),DAY($A1019)),$A:$A,0))=""),"",E1019/INDEX(E:E,MATCH(DATE(YEAR($A1019)-1,MONTH($A1019),DAY($A1019)),$A:$A,0))-1),"")</f>
        <v/>
      </c>
      <c r="I1019" s="7">
        <f>IFERROR(IF(OR(F1019="",INDEX(F:F,MATCH(DATE(YEAR($A1019)-1,MONTH($A1019),DAY($A1019)),$A:$A,0))=""),"",F1019/INDEX(F:F,MATCH(DATE(YEAR($A1019)-1,MONTH($A1019),DAY($A1019)),$A:$A,0))-1),"")</f>
        <v/>
      </c>
      <c r="J1019" s="7">
        <f>IFERROR(IF(OR(G1019="",INDEX(G:G,MATCH(DATE(YEAR($A1019)-1,MONTH($A1019),DAY($A1019)),$A:$A,0))=""),"",G1019/INDEX(G:G,MATCH(DATE(YEAR($A1019)-1,MONTH($A1019),DAY($A1019)),$A:$A,0))-1),"")</f>
        <v/>
      </c>
      <c r="K1019" s="7">
        <f>IF(OR(E1019="",E1018=""),"",E1019/E1018-1)</f>
        <v/>
      </c>
      <c r="L1019" s="7">
        <f>IF(OR(F1019="",F1018=""),"",F1019/F1018-1)</f>
        <v/>
      </c>
      <c r="M1019" s="7">
        <f>IF(OR(G1019="",G1018=""),"",G1019/G1018-1)</f>
        <v/>
      </c>
      <c r="N1019" s="7">
        <f>IF(G1019="","",E1019/G1019)</f>
        <v/>
      </c>
      <c r="O1019" s="7">
        <f>IF(G1019="","",F1019/G1019)</f>
        <v/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4">
        <f>IF(SUMIFS('Daily NSE Equity Cash'!$H:$H,'Daily NSE Equity Cash'!$A:$A,$A1020)=0,"",SUMIFS('Daily NSE Equity Cash'!$H:$H,'Daily NSE Equity Cash'!$A:$A,$A1020))</f>
        <v/>
      </c>
      <c r="F1020" s="4">
        <f>IF(SUMIFS('Daily BSE Equity Cash'!$H:$H,'Daily BSE Equity Cash'!$A:$A,$A1020)=0,"",SUMIFS('Daily BSE Equity Cash'!$H:$H,'Daily BSE Equity Cash'!$A:$A,$A1020))</f>
        <v/>
      </c>
      <c r="G1020" s="4">
        <f>IF(OR(E1020="",F1020=""),"",E1020+F1020)</f>
        <v/>
      </c>
      <c r="H1020" s="7">
        <f>IFERROR(IF(OR(E1020="",INDEX(E:E,MATCH(DATE(YEAR($A1020)-1,MONTH($A1020),DAY($A1020)),$A:$A,0))=""),"",E1020/INDEX(E:E,MATCH(DATE(YEAR($A1020)-1,MONTH($A1020),DAY($A1020)),$A:$A,0))-1),"")</f>
        <v/>
      </c>
      <c r="I1020" s="7">
        <f>IFERROR(IF(OR(F1020="",INDEX(F:F,MATCH(DATE(YEAR($A1020)-1,MONTH($A1020),DAY($A1020)),$A:$A,0))=""),"",F1020/INDEX(F:F,MATCH(DATE(YEAR($A1020)-1,MONTH($A1020),DAY($A1020)),$A:$A,0))-1),"")</f>
        <v/>
      </c>
      <c r="J1020" s="7">
        <f>IFERROR(IF(OR(G1020="",INDEX(G:G,MATCH(DATE(YEAR($A1020)-1,MONTH($A1020),DAY($A1020)),$A:$A,0))=""),"",G1020/INDEX(G:G,MATCH(DATE(YEAR($A1020)-1,MONTH($A1020),DAY($A1020)),$A:$A,0))-1),"")</f>
        <v/>
      </c>
      <c r="K1020" s="7">
        <f>IF(OR(E1020="",E1019=""),"",E1020/E1019-1)</f>
        <v/>
      </c>
      <c r="L1020" s="7">
        <f>IF(OR(F1020="",F1019=""),"",F1020/F1019-1)</f>
        <v/>
      </c>
      <c r="M1020" s="7">
        <f>IF(OR(G1020="",G1019=""),"",G1020/G1019-1)</f>
        <v/>
      </c>
      <c r="N1020" s="7">
        <f>IF(G1020="","",E1020/G1020)</f>
        <v/>
      </c>
      <c r="O1020" s="7">
        <f>IF(G1020="","",F1020/G1020)</f>
        <v/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4">
        <f>IF(SUMIFS('Daily NSE Equity Cash'!$H:$H,'Daily NSE Equity Cash'!$A:$A,$A1021)=0,"",SUMIFS('Daily NSE Equity Cash'!$H:$H,'Daily NSE Equity Cash'!$A:$A,$A1021))</f>
        <v/>
      </c>
      <c r="F1021" s="4">
        <f>IF(SUMIFS('Daily BSE Equity Cash'!$H:$H,'Daily BSE Equity Cash'!$A:$A,$A1021)=0,"",SUMIFS('Daily BSE Equity Cash'!$H:$H,'Daily BSE Equity Cash'!$A:$A,$A1021))</f>
        <v/>
      </c>
      <c r="G1021" s="4">
        <f>IF(OR(E1021="",F1021=""),"",E1021+F1021)</f>
        <v/>
      </c>
      <c r="H1021" s="7">
        <f>IFERROR(IF(OR(E1021="",INDEX(E:E,MATCH(DATE(YEAR($A1021)-1,MONTH($A1021),DAY($A1021)),$A:$A,0))=""),"",E1021/INDEX(E:E,MATCH(DATE(YEAR($A1021)-1,MONTH($A1021),DAY($A1021)),$A:$A,0))-1),"")</f>
        <v/>
      </c>
      <c r="I1021" s="7">
        <f>IFERROR(IF(OR(F1021="",INDEX(F:F,MATCH(DATE(YEAR($A1021)-1,MONTH($A1021),DAY($A1021)),$A:$A,0))=""),"",F1021/INDEX(F:F,MATCH(DATE(YEAR($A1021)-1,MONTH($A1021),DAY($A1021)),$A:$A,0))-1),"")</f>
        <v/>
      </c>
      <c r="J1021" s="7">
        <f>IFERROR(IF(OR(G1021="",INDEX(G:G,MATCH(DATE(YEAR($A1021)-1,MONTH($A1021),DAY($A1021)),$A:$A,0))=""),"",G1021/INDEX(G:G,MATCH(DATE(YEAR($A1021)-1,MONTH($A1021),DAY($A1021)),$A:$A,0))-1),"")</f>
        <v/>
      </c>
      <c r="K1021" s="7">
        <f>IF(OR(E1021="",E1020=""),"",E1021/E1020-1)</f>
        <v/>
      </c>
      <c r="L1021" s="7">
        <f>IF(OR(F1021="",F1020=""),"",F1021/F1020-1)</f>
        <v/>
      </c>
      <c r="M1021" s="7">
        <f>IF(OR(G1021="",G1020=""),"",G1021/G1020-1)</f>
        <v/>
      </c>
      <c r="N1021" s="7">
        <f>IF(G1021="","",E1021/G1021)</f>
        <v/>
      </c>
      <c r="O1021" s="7">
        <f>IF(G1021="","",F1021/G1021)</f>
        <v/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4">
        <f>IF(SUMIFS('Daily NSE Equity Cash'!$H:$H,'Daily NSE Equity Cash'!$A:$A,$A1022)=0,"",SUMIFS('Daily NSE Equity Cash'!$H:$H,'Daily NSE Equity Cash'!$A:$A,$A1022))</f>
        <v/>
      </c>
      <c r="F1022" s="4">
        <f>IF(SUMIFS('Daily BSE Equity Cash'!$H:$H,'Daily BSE Equity Cash'!$A:$A,$A1022)=0,"",SUMIFS('Daily BSE Equity Cash'!$H:$H,'Daily BSE Equity Cash'!$A:$A,$A1022))</f>
        <v/>
      </c>
      <c r="G1022" s="4">
        <f>IF(OR(E1022="",F1022=""),"",E1022+F1022)</f>
        <v/>
      </c>
      <c r="H1022" s="7">
        <f>IFERROR(IF(OR(E1022="",INDEX(E:E,MATCH(DATE(YEAR($A1022)-1,MONTH($A1022),DAY($A1022)),$A:$A,0))=""),"",E1022/INDEX(E:E,MATCH(DATE(YEAR($A1022)-1,MONTH($A1022),DAY($A1022)),$A:$A,0))-1),"")</f>
        <v/>
      </c>
      <c r="I1022" s="7">
        <f>IFERROR(IF(OR(F1022="",INDEX(F:F,MATCH(DATE(YEAR($A1022)-1,MONTH($A1022),DAY($A1022)),$A:$A,0))=""),"",F1022/INDEX(F:F,MATCH(DATE(YEAR($A1022)-1,MONTH($A1022),DAY($A1022)),$A:$A,0))-1),"")</f>
        <v/>
      </c>
      <c r="J1022" s="7">
        <f>IFERROR(IF(OR(G1022="",INDEX(G:G,MATCH(DATE(YEAR($A1022)-1,MONTH($A1022),DAY($A1022)),$A:$A,0))=""),"",G1022/INDEX(G:G,MATCH(DATE(YEAR($A1022)-1,MONTH($A1022),DAY($A1022)),$A:$A,0))-1),"")</f>
        <v/>
      </c>
      <c r="K1022" s="7">
        <f>IF(OR(E1022="",E1021=""),"",E1022/E1021-1)</f>
        <v/>
      </c>
      <c r="L1022" s="7">
        <f>IF(OR(F1022="",F1021=""),"",F1022/F1021-1)</f>
        <v/>
      </c>
      <c r="M1022" s="7">
        <f>IF(OR(G1022="",G1021=""),"",G1022/G1021-1)</f>
        <v/>
      </c>
      <c r="N1022" s="7">
        <f>IF(G1022="","",E1022/G1022)</f>
        <v/>
      </c>
      <c r="O1022" s="7">
        <f>IF(G1022="","",F1022/G1022)</f>
        <v/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4">
        <f>IF(SUMIFS('Daily NSE Equity Cash'!$H:$H,'Daily NSE Equity Cash'!$A:$A,$A1023)=0,"",SUMIFS('Daily NSE Equity Cash'!$H:$H,'Daily NSE Equity Cash'!$A:$A,$A1023))</f>
        <v/>
      </c>
      <c r="F1023" s="4">
        <f>IF(SUMIFS('Daily BSE Equity Cash'!$H:$H,'Daily BSE Equity Cash'!$A:$A,$A1023)=0,"",SUMIFS('Daily BSE Equity Cash'!$H:$H,'Daily BSE Equity Cash'!$A:$A,$A1023))</f>
        <v/>
      </c>
      <c r="G1023" s="4">
        <f>IF(OR(E1023="",F1023=""),"",E1023+F1023)</f>
        <v/>
      </c>
      <c r="H1023" s="7">
        <f>IFERROR(IF(OR(E1023="",INDEX(E:E,MATCH(DATE(YEAR($A1023)-1,MONTH($A1023),DAY($A1023)),$A:$A,0))=""),"",E1023/INDEX(E:E,MATCH(DATE(YEAR($A1023)-1,MONTH($A1023),DAY($A1023)),$A:$A,0))-1),"")</f>
        <v/>
      </c>
      <c r="I1023" s="7">
        <f>IFERROR(IF(OR(F1023="",INDEX(F:F,MATCH(DATE(YEAR($A1023)-1,MONTH($A1023),DAY($A1023)),$A:$A,0))=""),"",F1023/INDEX(F:F,MATCH(DATE(YEAR($A1023)-1,MONTH($A1023),DAY($A1023)),$A:$A,0))-1),"")</f>
        <v/>
      </c>
      <c r="J1023" s="7">
        <f>IFERROR(IF(OR(G1023="",INDEX(G:G,MATCH(DATE(YEAR($A1023)-1,MONTH($A1023),DAY($A1023)),$A:$A,0))=""),"",G1023/INDEX(G:G,MATCH(DATE(YEAR($A1023)-1,MONTH($A1023),DAY($A1023)),$A:$A,0))-1),"")</f>
        <v/>
      </c>
      <c r="K1023" s="7">
        <f>IF(OR(E1023="",E1022=""),"",E1023/E1022-1)</f>
        <v/>
      </c>
      <c r="L1023" s="7">
        <f>IF(OR(F1023="",F1022=""),"",F1023/F1022-1)</f>
        <v/>
      </c>
      <c r="M1023" s="7">
        <f>IF(OR(G1023="",G1022=""),"",G1023/G1022-1)</f>
        <v/>
      </c>
      <c r="N1023" s="7">
        <f>IF(G1023="","",E1023/G1023)</f>
        <v/>
      </c>
      <c r="O1023" s="7">
        <f>IF(G1023="","",F1023/G1023)</f>
        <v/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4">
        <f>IF(SUMIFS('Daily NSE Equity Cash'!$H:$H,'Daily NSE Equity Cash'!$A:$A,$A1024)=0,"",SUMIFS('Daily NSE Equity Cash'!$H:$H,'Daily NSE Equity Cash'!$A:$A,$A1024))</f>
        <v/>
      </c>
      <c r="F1024" s="4">
        <f>IF(SUMIFS('Daily BSE Equity Cash'!$H:$H,'Daily BSE Equity Cash'!$A:$A,$A1024)=0,"",SUMIFS('Daily BSE Equity Cash'!$H:$H,'Daily BSE Equity Cash'!$A:$A,$A1024))</f>
        <v/>
      </c>
      <c r="G1024" s="4">
        <f>IF(OR(E1024="",F1024=""),"",E1024+F1024)</f>
        <v/>
      </c>
      <c r="H1024" s="7">
        <f>IFERROR(IF(OR(E1024="",INDEX(E:E,MATCH(DATE(YEAR($A1024)-1,MONTH($A1024),DAY($A1024)),$A:$A,0))=""),"",E1024/INDEX(E:E,MATCH(DATE(YEAR($A1024)-1,MONTH($A1024),DAY($A1024)),$A:$A,0))-1),"")</f>
        <v/>
      </c>
      <c r="I1024" s="7">
        <f>IFERROR(IF(OR(F1024="",INDEX(F:F,MATCH(DATE(YEAR($A1024)-1,MONTH($A1024),DAY($A1024)),$A:$A,0))=""),"",F1024/INDEX(F:F,MATCH(DATE(YEAR($A1024)-1,MONTH($A1024),DAY($A1024)),$A:$A,0))-1),"")</f>
        <v/>
      </c>
      <c r="J1024" s="7">
        <f>IFERROR(IF(OR(G1024="",INDEX(G:G,MATCH(DATE(YEAR($A1024)-1,MONTH($A1024),DAY($A1024)),$A:$A,0))=""),"",G1024/INDEX(G:G,MATCH(DATE(YEAR($A1024)-1,MONTH($A1024),DAY($A1024)),$A:$A,0))-1),"")</f>
        <v/>
      </c>
      <c r="K1024" s="7">
        <f>IF(OR(E1024="",E1023=""),"",E1024/E1023-1)</f>
        <v/>
      </c>
      <c r="L1024" s="7">
        <f>IF(OR(F1024="",F1023=""),"",F1024/F1023-1)</f>
        <v/>
      </c>
      <c r="M1024" s="7">
        <f>IF(OR(G1024="",G1023=""),"",G1024/G1023-1)</f>
        <v/>
      </c>
      <c r="N1024" s="7">
        <f>IF(G1024="","",E1024/G1024)</f>
        <v/>
      </c>
      <c r="O1024" s="7">
        <f>IF(G1024="","",F1024/G1024)</f>
        <v/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4">
        <f>IF(SUMIFS('Daily NSE Equity Cash'!$H:$H,'Daily NSE Equity Cash'!$A:$A,$A1025)=0,"",SUMIFS('Daily NSE Equity Cash'!$H:$H,'Daily NSE Equity Cash'!$A:$A,$A1025))</f>
        <v/>
      </c>
      <c r="F1025" s="4">
        <f>IF(SUMIFS('Daily BSE Equity Cash'!$H:$H,'Daily BSE Equity Cash'!$A:$A,$A1025)=0,"",SUMIFS('Daily BSE Equity Cash'!$H:$H,'Daily BSE Equity Cash'!$A:$A,$A1025))</f>
        <v/>
      </c>
      <c r="G1025" s="4">
        <f>IF(OR(E1025="",F1025=""),"",E1025+F1025)</f>
        <v/>
      </c>
      <c r="H1025" s="7">
        <f>IFERROR(IF(OR(E1025="",INDEX(E:E,MATCH(DATE(YEAR($A1025)-1,MONTH($A1025),DAY($A1025)),$A:$A,0))=""),"",E1025/INDEX(E:E,MATCH(DATE(YEAR($A1025)-1,MONTH($A1025),DAY($A1025)),$A:$A,0))-1),"")</f>
        <v/>
      </c>
      <c r="I1025" s="7">
        <f>IFERROR(IF(OR(F1025="",INDEX(F:F,MATCH(DATE(YEAR($A1025)-1,MONTH($A1025),DAY($A1025)),$A:$A,0))=""),"",F1025/INDEX(F:F,MATCH(DATE(YEAR($A1025)-1,MONTH($A1025),DAY($A1025)),$A:$A,0))-1),"")</f>
        <v/>
      </c>
      <c r="J1025" s="7">
        <f>IFERROR(IF(OR(G1025="",INDEX(G:G,MATCH(DATE(YEAR($A1025)-1,MONTH($A1025),DAY($A1025)),$A:$A,0))=""),"",G1025/INDEX(G:G,MATCH(DATE(YEAR($A1025)-1,MONTH($A1025),DAY($A1025)),$A:$A,0))-1),"")</f>
        <v/>
      </c>
      <c r="K1025" s="7">
        <f>IF(OR(E1025="",E1024=""),"",E1025/E1024-1)</f>
        <v/>
      </c>
      <c r="L1025" s="7">
        <f>IF(OR(F1025="",F1024=""),"",F1025/F1024-1)</f>
        <v/>
      </c>
      <c r="M1025" s="7">
        <f>IF(OR(G1025="",G1024=""),"",G1025/G1024-1)</f>
        <v/>
      </c>
      <c r="N1025" s="7">
        <f>IF(G1025="","",E1025/G1025)</f>
        <v/>
      </c>
      <c r="O1025" s="7">
        <f>IF(G1025="","",F1025/G1025)</f>
        <v/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4">
        <f>IF(SUMIFS('Daily NSE Equity Cash'!$H:$H,'Daily NSE Equity Cash'!$A:$A,$A1026)=0,"",SUMIFS('Daily NSE Equity Cash'!$H:$H,'Daily NSE Equity Cash'!$A:$A,$A1026))</f>
        <v/>
      </c>
      <c r="F1026" s="4">
        <f>IF(SUMIFS('Daily BSE Equity Cash'!$H:$H,'Daily BSE Equity Cash'!$A:$A,$A1026)=0,"",SUMIFS('Daily BSE Equity Cash'!$H:$H,'Daily BSE Equity Cash'!$A:$A,$A1026))</f>
        <v/>
      </c>
      <c r="G1026" s="4">
        <f>IF(OR(E1026="",F1026=""),"",E1026+F1026)</f>
        <v/>
      </c>
      <c r="H1026" s="7">
        <f>IFERROR(IF(OR(E1026="",INDEX(E:E,MATCH(DATE(YEAR($A1026)-1,MONTH($A1026),DAY($A1026)),$A:$A,0))=""),"",E1026/INDEX(E:E,MATCH(DATE(YEAR($A1026)-1,MONTH($A1026),DAY($A1026)),$A:$A,0))-1),"")</f>
        <v/>
      </c>
      <c r="I1026" s="7">
        <f>IFERROR(IF(OR(F1026="",INDEX(F:F,MATCH(DATE(YEAR($A1026)-1,MONTH($A1026),DAY($A1026)),$A:$A,0))=""),"",F1026/INDEX(F:F,MATCH(DATE(YEAR($A1026)-1,MONTH($A1026),DAY($A1026)),$A:$A,0))-1),"")</f>
        <v/>
      </c>
      <c r="J1026" s="7">
        <f>IFERROR(IF(OR(G1026="",INDEX(G:G,MATCH(DATE(YEAR($A1026)-1,MONTH($A1026),DAY($A1026)),$A:$A,0))=""),"",G1026/INDEX(G:G,MATCH(DATE(YEAR($A1026)-1,MONTH($A1026),DAY($A1026)),$A:$A,0))-1),"")</f>
        <v/>
      </c>
      <c r="K1026" s="7">
        <f>IF(OR(E1026="",E1025=""),"",E1026/E1025-1)</f>
        <v/>
      </c>
      <c r="L1026" s="7">
        <f>IF(OR(F1026="",F1025=""),"",F1026/F1025-1)</f>
        <v/>
      </c>
      <c r="M1026" s="7">
        <f>IF(OR(G1026="",G1025=""),"",G1026/G1025-1)</f>
        <v/>
      </c>
      <c r="N1026" s="7">
        <f>IF(G1026="","",E1026/G1026)</f>
        <v/>
      </c>
      <c r="O1026" s="7">
        <f>IF(G1026="","",F1026/G1026)</f>
        <v/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4">
        <f>IF(SUMIFS('Daily NSE Equity Cash'!$H:$H,'Daily NSE Equity Cash'!$A:$A,$A1027)=0,"",SUMIFS('Daily NSE Equity Cash'!$H:$H,'Daily NSE Equity Cash'!$A:$A,$A1027))</f>
        <v/>
      </c>
      <c r="F1027" s="4">
        <f>IF(SUMIFS('Daily BSE Equity Cash'!$H:$H,'Daily BSE Equity Cash'!$A:$A,$A1027)=0,"",SUMIFS('Daily BSE Equity Cash'!$H:$H,'Daily BSE Equity Cash'!$A:$A,$A1027))</f>
        <v/>
      </c>
      <c r="G1027" s="4">
        <f>IF(OR(E1027="",F1027=""),"",E1027+F1027)</f>
        <v/>
      </c>
      <c r="H1027" s="7">
        <f>IFERROR(IF(OR(E1027="",INDEX(E:E,MATCH(DATE(YEAR($A1027)-1,MONTH($A1027),DAY($A1027)),$A:$A,0))=""),"",E1027/INDEX(E:E,MATCH(DATE(YEAR($A1027)-1,MONTH($A1027),DAY($A1027)),$A:$A,0))-1),"")</f>
        <v/>
      </c>
      <c r="I1027" s="7">
        <f>IFERROR(IF(OR(F1027="",INDEX(F:F,MATCH(DATE(YEAR($A1027)-1,MONTH($A1027),DAY($A1027)),$A:$A,0))=""),"",F1027/INDEX(F:F,MATCH(DATE(YEAR($A1027)-1,MONTH($A1027),DAY($A1027)),$A:$A,0))-1),"")</f>
        <v/>
      </c>
      <c r="J1027" s="7">
        <f>IFERROR(IF(OR(G1027="",INDEX(G:G,MATCH(DATE(YEAR($A1027)-1,MONTH($A1027),DAY($A1027)),$A:$A,0))=""),"",G1027/INDEX(G:G,MATCH(DATE(YEAR($A1027)-1,MONTH($A1027),DAY($A1027)),$A:$A,0))-1),"")</f>
        <v/>
      </c>
      <c r="K1027" s="7">
        <f>IF(OR(E1027="",E1026=""),"",E1027/E1026-1)</f>
        <v/>
      </c>
      <c r="L1027" s="7">
        <f>IF(OR(F1027="",F1026=""),"",F1027/F1026-1)</f>
        <v/>
      </c>
      <c r="M1027" s="7">
        <f>IF(OR(G1027="",G1026=""),"",G1027/G1026-1)</f>
        <v/>
      </c>
      <c r="N1027" s="7">
        <f>IF(G1027="","",E1027/G1027)</f>
        <v/>
      </c>
      <c r="O1027" s="7">
        <f>IF(G1027="","",F1027/G1027)</f>
        <v/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4">
        <f>IF(SUMIFS('Daily NSE Equity Cash'!$H:$H,'Daily NSE Equity Cash'!$A:$A,$A1028)=0,"",SUMIFS('Daily NSE Equity Cash'!$H:$H,'Daily NSE Equity Cash'!$A:$A,$A1028))</f>
        <v/>
      </c>
      <c r="F1028" s="4">
        <f>IF(SUMIFS('Daily BSE Equity Cash'!$H:$H,'Daily BSE Equity Cash'!$A:$A,$A1028)=0,"",SUMIFS('Daily BSE Equity Cash'!$H:$H,'Daily BSE Equity Cash'!$A:$A,$A1028))</f>
        <v/>
      </c>
      <c r="G1028" s="4">
        <f>IF(OR(E1028="",F1028=""),"",E1028+F1028)</f>
        <v/>
      </c>
      <c r="H1028" s="7">
        <f>IFERROR(IF(OR(E1028="",INDEX(E:E,MATCH(DATE(YEAR($A1028)-1,MONTH($A1028),DAY($A1028)),$A:$A,0))=""),"",E1028/INDEX(E:E,MATCH(DATE(YEAR($A1028)-1,MONTH($A1028),DAY($A1028)),$A:$A,0))-1),"")</f>
        <v/>
      </c>
      <c r="I1028" s="7">
        <f>IFERROR(IF(OR(F1028="",INDEX(F:F,MATCH(DATE(YEAR($A1028)-1,MONTH($A1028),DAY($A1028)),$A:$A,0))=""),"",F1028/INDEX(F:F,MATCH(DATE(YEAR($A1028)-1,MONTH($A1028),DAY($A1028)),$A:$A,0))-1),"")</f>
        <v/>
      </c>
      <c r="J1028" s="7">
        <f>IFERROR(IF(OR(G1028="",INDEX(G:G,MATCH(DATE(YEAR($A1028)-1,MONTH($A1028),DAY($A1028)),$A:$A,0))=""),"",G1028/INDEX(G:G,MATCH(DATE(YEAR($A1028)-1,MONTH($A1028),DAY($A1028)),$A:$A,0))-1),"")</f>
        <v/>
      </c>
      <c r="K1028" s="7">
        <f>IF(OR(E1028="",E1027=""),"",E1028/E1027-1)</f>
        <v/>
      </c>
      <c r="L1028" s="7">
        <f>IF(OR(F1028="",F1027=""),"",F1028/F1027-1)</f>
        <v/>
      </c>
      <c r="M1028" s="7">
        <f>IF(OR(G1028="",G1027=""),"",G1028/G1027-1)</f>
        <v/>
      </c>
      <c r="N1028" s="7">
        <f>IF(G1028="","",E1028/G1028)</f>
        <v/>
      </c>
      <c r="O1028" s="7">
        <f>IF(G1028="","",F1028/G1028)</f>
        <v/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4">
        <f>IF(SUMIFS('Daily NSE Equity Cash'!$H:$H,'Daily NSE Equity Cash'!$A:$A,$A1029)=0,"",SUMIFS('Daily NSE Equity Cash'!$H:$H,'Daily NSE Equity Cash'!$A:$A,$A1029))</f>
        <v/>
      </c>
      <c r="F1029" s="4">
        <f>IF(SUMIFS('Daily BSE Equity Cash'!$H:$H,'Daily BSE Equity Cash'!$A:$A,$A1029)=0,"",SUMIFS('Daily BSE Equity Cash'!$H:$H,'Daily BSE Equity Cash'!$A:$A,$A1029))</f>
        <v/>
      </c>
      <c r="G1029" s="4">
        <f>IF(OR(E1029="",F1029=""),"",E1029+F1029)</f>
        <v/>
      </c>
      <c r="H1029" s="7">
        <f>IFERROR(IF(OR(E1029="",INDEX(E:E,MATCH(DATE(YEAR($A1029)-1,MONTH($A1029),DAY($A1029)),$A:$A,0))=""),"",E1029/INDEX(E:E,MATCH(DATE(YEAR($A1029)-1,MONTH($A1029),DAY($A1029)),$A:$A,0))-1),"")</f>
        <v/>
      </c>
      <c r="I1029" s="7">
        <f>IFERROR(IF(OR(F1029="",INDEX(F:F,MATCH(DATE(YEAR($A1029)-1,MONTH($A1029),DAY($A1029)),$A:$A,0))=""),"",F1029/INDEX(F:F,MATCH(DATE(YEAR($A1029)-1,MONTH($A1029),DAY($A1029)),$A:$A,0))-1),"")</f>
        <v/>
      </c>
      <c r="J1029" s="7">
        <f>IFERROR(IF(OR(G1029="",INDEX(G:G,MATCH(DATE(YEAR($A1029)-1,MONTH($A1029),DAY($A1029)),$A:$A,0))=""),"",G1029/INDEX(G:G,MATCH(DATE(YEAR($A1029)-1,MONTH($A1029),DAY($A1029)),$A:$A,0))-1),"")</f>
        <v/>
      </c>
      <c r="K1029" s="7">
        <f>IF(OR(E1029="",E1028=""),"",E1029/E1028-1)</f>
        <v/>
      </c>
      <c r="L1029" s="7">
        <f>IF(OR(F1029="",F1028=""),"",F1029/F1028-1)</f>
        <v/>
      </c>
      <c r="M1029" s="7">
        <f>IF(OR(G1029="",G1028=""),"",G1029/G1028-1)</f>
        <v/>
      </c>
      <c r="N1029" s="7">
        <f>IF(G1029="","",E1029/G1029)</f>
        <v/>
      </c>
      <c r="O1029" s="7">
        <f>IF(G1029="","",F1029/G1029)</f>
        <v/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4">
        <f>IF(SUMIFS('Daily NSE Equity Cash'!$H:$H,'Daily NSE Equity Cash'!$A:$A,$A1030)=0,"",SUMIFS('Daily NSE Equity Cash'!$H:$H,'Daily NSE Equity Cash'!$A:$A,$A1030))</f>
        <v/>
      </c>
      <c r="F1030" s="4">
        <f>IF(SUMIFS('Daily BSE Equity Cash'!$H:$H,'Daily BSE Equity Cash'!$A:$A,$A1030)=0,"",SUMIFS('Daily BSE Equity Cash'!$H:$H,'Daily BSE Equity Cash'!$A:$A,$A1030))</f>
        <v/>
      </c>
      <c r="G1030" s="4">
        <f>IF(OR(E1030="",F1030=""),"",E1030+F1030)</f>
        <v/>
      </c>
      <c r="H1030" s="7">
        <f>IFERROR(IF(OR(E1030="",INDEX(E:E,MATCH(DATE(YEAR($A1030)-1,MONTH($A1030),DAY($A1030)),$A:$A,0))=""),"",E1030/INDEX(E:E,MATCH(DATE(YEAR($A1030)-1,MONTH($A1030),DAY($A1030)),$A:$A,0))-1),"")</f>
        <v/>
      </c>
      <c r="I1030" s="7">
        <f>IFERROR(IF(OR(F1030="",INDEX(F:F,MATCH(DATE(YEAR($A1030)-1,MONTH($A1030),DAY($A1030)),$A:$A,0))=""),"",F1030/INDEX(F:F,MATCH(DATE(YEAR($A1030)-1,MONTH($A1030),DAY($A1030)),$A:$A,0))-1),"")</f>
        <v/>
      </c>
      <c r="J1030" s="7">
        <f>IFERROR(IF(OR(G1030="",INDEX(G:G,MATCH(DATE(YEAR($A1030)-1,MONTH($A1030),DAY($A1030)),$A:$A,0))=""),"",G1030/INDEX(G:G,MATCH(DATE(YEAR($A1030)-1,MONTH($A1030),DAY($A1030)),$A:$A,0))-1),"")</f>
        <v/>
      </c>
      <c r="K1030" s="7">
        <f>IF(OR(E1030="",E1029=""),"",E1030/E1029-1)</f>
        <v/>
      </c>
      <c r="L1030" s="7">
        <f>IF(OR(F1030="",F1029=""),"",F1030/F1029-1)</f>
        <v/>
      </c>
      <c r="M1030" s="7">
        <f>IF(OR(G1030="",G1029=""),"",G1030/G1029-1)</f>
        <v/>
      </c>
      <c r="N1030" s="7">
        <f>IF(G1030="","",E1030/G1030)</f>
        <v/>
      </c>
      <c r="O1030" s="7">
        <f>IF(G1030="","",F1030/G1030)</f>
        <v/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4">
        <f>IF(SUMIFS('Daily NSE Equity Cash'!$H:$H,'Daily NSE Equity Cash'!$A:$A,$A1031)=0,"",SUMIFS('Daily NSE Equity Cash'!$H:$H,'Daily NSE Equity Cash'!$A:$A,$A1031))</f>
        <v/>
      </c>
      <c r="F1031" s="4">
        <f>IF(SUMIFS('Daily BSE Equity Cash'!$H:$H,'Daily BSE Equity Cash'!$A:$A,$A1031)=0,"",SUMIFS('Daily BSE Equity Cash'!$H:$H,'Daily BSE Equity Cash'!$A:$A,$A1031))</f>
        <v/>
      </c>
      <c r="G1031" s="4">
        <f>IF(OR(E1031="",F1031=""),"",E1031+F1031)</f>
        <v/>
      </c>
      <c r="H1031" s="7">
        <f>IFERROR(IF(OR(E1031="",INDEX(E:E,MATCH(DATE(YEAR($A1031)-1,MONTH($A1031),DAY($A1031)),$A:$A,0))=""),"",E1031/INDEX(E:E,MATCH(DATE(YEAR($A1031)-1,MONTH($A1031),DAY($A1031)),$A:$A,0))-1),"")</f>
        <v/>
      </c>
      <c r="I1031" s="7">
        <f>IFERROR(IF(OR(F1031="",INDEX(F:F,MATCH(DATE(YEAR($A1031)-1,MONTH($A1031),DAY($A1031)),$A:$A,0))=""),"",F1031/INDEX(F:F,MATCH(DATE(YEAR($A1031)-1,MONTH($A1031),DAY($A1031)),$A:$A,0))-1),"")</f>
        <v/>
      </c>
      <c r="J1031" s="7">
        <f>IFERROR(IF(OR(G1031="",INDEX(G:G,MATCH(DATE(YEAR($A1031)-1,MONTH($A1031),DAY($A1031)),$A:$A,0))=""),"",G1031/INDEX(G:G,MATCH(DATE(YEAR($A1031)-1,MONTH($A1031),DAY($A1031)),$A:$A,0))-1),"")</f>
        <v/>
      </c>
      <c r="K1031" s="7">
        <f>IF(OR(E1031="",E1030=""),"",E1031/E1030-1)</f>
        <v/>
      </c>
      <c r="L1031" s="7">
        <f>IF(OR(F1031="",F1030=""),"",F1031/F1030-1)</f>
        <v/>
      </c>
      <c r="M1031" s="7">
        <f>IF(OR(G1031="",G1030=""),"",G1031/G1030-1)</f>
        <v/>
      </c>
      <c r="N1031" s="7">
        <f>IF(G1031="","",E1031/G1031)</f>
        <v/>
      </c>
      <c r="O1031" s="7">
        <f>IF(G1031="","",F1031/G1031)</f>
        <v/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4">
        <f>IF(SUMIFS('Daily NSE Equity Cash'!$H:$H,'Daily NSE Equity Cash'!$A:$A,$A1032)=0,"",SUMIFS('Daily NSE Equity Cash'!$H:$H,'Daily NSE Equity Cash'!$A:$A,$A1032))</f>
        <v/>
      </c>
      <c r="F1032" s="4">
        <f>IF(SUMIFS('Daily BSE Equity Cash'!$H:$H,'Daily BSE Equity Cash'!$A:$A,$A1032)=0,"",SUMIFS('Daily BSE Equity Cash'!$H:$H,'Daily BSE Equity Cash'!$A:$A,$A1032))</f>
        <v/>
      </c>
      <c r="G1032" s="4">
        <f>IF(OR(E1032="",F1032=""),"",E1032+F1032)</f>
        <v/>
      </c>
      <c r="H1032" s="7">
        <f>IFERROR(IF(OR(E1032="",INDEX(E:E,MATCH(DATE(YEAR($A1032)-1,MONTH($A1032),DAY($A1032)),$A:$A,0))=""),"",E1032/INDEX(E:E,MATCH(DATE(YEAR($A1032)-1,MONTH($A1032),DAY($A1032)),$A:$A,0))-1),"")</f>
        <v/>
      </c>
      <c r="I1032" s="7">
        <f>IFERROR(IF(OR(F1032="",INDEX(F:F,MATCH(DATE(YEAR($A1032)-1,MONTH($A1032),DAY($A1032)),$A:$A,0))=""),"",F1032/INDEX(F:F,MATCH(DATE(YEAR($A1032)-1,MONTH($A1032),DAY($A1032)),$A:$A,0))-1),"")</f>
        <v/>
      </c>
      <c r="J1032" s="7">
        <f>IFERROR(IF(OR(G1032="",INDEX(G:G,MATCH(DATE(YEAR($A1032)-1,MONTH($A1032),DAY($A1032)),$A:$A,0))=""),"",G1032/INDEX(G:G,MATCH(DATE(YEAR($A1032)-1,MONTH($A1032),DAY($A1032)),$A:$A,0))-1),"")</f>
        <v/>
      </c>
      <c r="K1032" s="7">
        <f>IF(OR(E1032="",E1031=""),"",E1032/E1031-1)</f>
        <v/>
      </c>
      <c r="L1032" s="7">
        <f>IF(OR(F1032="",F1031=""),"",F1032/F1031-1)</f>
        <v/>
      </c>
      <c r="M1032" s="7">
        <f>IF(OR(G1032="",G1031=""),"",G1032/G1031-1)</f>
        <v/>
      </c>
      <c r="N1032" s="7">
        <f>IF(G1032="","",E1032/G1032)</f>
        <v/>
      </c>
      <c r="O1032" s="7">
        <f>IF(G1032="","",F1032/G1032)</f>
        <v/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4">
        <f>IF(SUMIFS('Daily NSE Equity Cash'!$H:$H,'Daily NSE Equity Cash'!$A:$A,$A1033)=0,"",SUMIFS('Daily NSE Equity Cash'!$H:$H,'Daily NSE Equity Cash'!$A:$A,$A1033))</f>
        <v/>
      </c>
      <c r="F1033" s="4">
        <f>IF(SUMIFS('Daily BSE Equity Cash'!$H:$H,'Daily BSE Equity Cash'!$A:$A,$A1033)=0,"",SUMIFS('Daily BSE Equity Cash'!$H:$H,'Daily BSE Equity Cash'!$A:$A,$A1033))</f>
        <v/>
      </c>
      <c r="G1033" s="4">
        <f>IF(OR(E1033="",F1033=""),"",E1033+F1033)</f>
        <v/>
      </c>
      <c r="H1033" s="7">
        <f>IFERROR(IF(OR(E1033="",INDEX(E:E,MATCH(DATE(YEAR($A1033)-1,MONTH($A1033),DAY($A1033)),$A:$A,0))=""),"",E1033/INDEX(E:E,MATCH(DATE(YEAR($A1033)-1,MONTH($A1033),DAY($A1033)),$A:$A,0))-1),"")</f>
        <v/>
      </c>
      <c r="I1033" s="7">
        <f>IFERROR(IF(OR(F1033="",INDEX(F:F,MATCH(DATE(YEAR($A1033)-1,MONTH($A1033),DAY($A1033)),$A:$A,0))=""),"",F1033/INDEX(F:F,MATCH(DATE(YEAR($A1033)-1,MONTH($A1033),DAY($A1033)),$A:$A,0))-1),"")</f>
        <v/>
      </c>
      <c r="J1033" s="7">
        <f>IFERROR(IF(OR(G1033="",INDEX(G:G,MATCH(DATE(YEAR($A1033)-1,MONTH($A1033),DAY($A1033)),$A:$A,0))=""),"",G1033/INDEX(G:G,MATCH(DATE(YEAR($A1033)-1,MONTH($A1033),DAY($A1033)),$A:$A,0))-1),"")</f>
        <v/>
      </c>
      <c r="K1033" s="7">
        <f>IF(OR(E1033="",E1032=""),"",E1033/E1032-1)</f>
        <v/>
      </c>
      <c r="L1033" s="7">
        <f>IF(OR(F1033="",F1032=""),"",F1033/F1032-1)</f>
        <v/>
      </c>
      <c r="M1033" s="7">
        <f>IF(OR(G1033="",G1032=""),"",G1033/G1032-1)</f>
        <v/>
      </c>
      <c r="N1033" s="7">
        <f>IF(G1033="","",E1033/G1033)</f>
        <v/>
      </c>
      <c r="O1033" s="7">
        <f>IF(G1033="","",F1033/G1033)</f>
        <v/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4">
        <f>IF(SUMIFS('Daily NSE Equity Cash'!$H:$H,'Daily NSE Equity Cash'!$A:$A,$A1034)=0,"",SUMIFS('Daily NSE Equity Cash'!$H:$H,'Daily NSE Equity Cash'!$A:$A,$A1034))</f>
        <v/>
      </c>
      <c r="F1034" s="4">
        <f>IF(SUMIFS('Daily BSE Equity Cash'!$H:$H,'Daily BSE Equity Cash'!$A:$A,$A1034)=0,"",SUMIFS('Daily BSE Equity Cash'!$H:$H,'Daily BSE Equity Cash'!$A:$A,$A1034))</f>
        <v/>
      </c>
      <c r="G1034" s="4">
        <f>IF(OR(E1034="",F1034=""),"",E1034+F1034)</f>
        <v/>
      </c>
      <c r="H1034" s="7">
        <f>IFERROR(IF(OR(E1034="",INDEX(E:E,MATCH(DATE(YEAR($A1034)-1,MONTH($A1034),DAY($A1034)),$A:$A,0))=""),"",E1034/INDEX(E:E,MATCH(DATE(YEAR($A1034)-1,MONTH($A1034),DAY($A1034)),$A:$A,0))-1),"")</f>
        <v/>
      </c>
      <c r="I1034" s="7">
        <f>IFERROR(IF(OR(F1034="",INDEX(F:F,MATCH(DATE(YEAR($A1034)-1,MONTH($A1034),DAY($A1034)),$A:$A,0))=""),"",F1034/INDEX(F:F,MATCH(DATE(YEAR($A1034)-1,MONTH($A1034),DAY($A1034)),$A:$A,0))-1),"")</f>
        <v/>
      </c>
      <c r="J1034" s="7">
        <f>IFERROR(IF(OR(G1034="",INDEX(G:G,MATCH(DATE(YEAR($A1034)-1,MONTH($A1034),DAY($A1034)),$A:$A,0))=""),"",G1034/INDEX(G:G,MATCH(DATE(YEAR($A1034)-1,MONTH($A1034),DAY($A1034)),$A:$A,0))-1),"")</f>
        <v/>
      </c>
      <c r="K1034" s="7">
        <f>IF(OR(E1034="",E1033=""),"",E1034/E1033-1)</f>
        <v/>
      </c>
      <c r="L1034" s="7">
        <f>IF(OR(F1034="",F1033=""),"",F1034/F1033-1)</f>
        <v/>
      </c>
      <c r="M1034" s="7">
        <f>IF(OR(G1034="",G1033=""),"",G1034/G1033-1)</f>
        <v/>
      </c>
      <c r="N1034" s="7">
        <f>IF(G1034="","",E1034/G1034)</f>
        <v/>
      </c>
      <c r="O1034" s="7">
        <f>IF(G1034="","",F1034/G1034)</f>
        <v/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4">
        <f>IF(SUMIFS('Daily NSE Equity Cash'!$H:$H,'Daily NSE Equity Cash'!$A:$A,$A1035)=0,"",SUMIFS('Daily NSE Equity Cash'!$H:$H,'Daily NSE Equity Cash'!$A:$A,$A1035))</f>
        <v/>
      </c>
      <c r="F1035" s="4">
        <f>IF(SUMIFS('Daily BSE Equity Cash'!$H:$H,'Daily BSE Equity Cash'!$A:$A,$A1035)=0,"",SUMIFS('Daily BSE Equity Cash'!$H:$H,'Daily BSE Equity Cash'!$A:$A,$A1035))</f>
        <v/>
      </c>
      <c r="G1035" s="4">
        <f>IF(OR(E1035="",F1035=""),"",E1035+F1035)</f>
        <v/>
      </c>
      <c r="H1035" s="7">
        <f>IFERROR(IF(OR(E1035="",INDEX(E:E,MATCH(DATE(YEAR($A1035)-1,MONTH($A1035),DAY($A1035)),$A:$A,0))=""),"",E1035/INDEX(E:E,MATCH(DATE(YEAR($A1035)-1,MONTH($A1035),DAY($A1035)),$A:$A,0))-1),"")</f>
        <v/>
      </c>
      <c r="I1035" s="7">
        <f>IFERROR(IF(OR(F1035="",INDEX(F:F,MATCH(DATE(YEAR($A1035)-1,MONTH($A1035),DAY($A1035)),$A:$A,0))=""),"",F1035/INDEX(F:F,MATCH(DATE(YEAR($A1035)-1,MONTH($A1035),DAY($A1035)),$A:$A,0))-1),"")</f>
        <v/>
      </c>
      <c r="J1035" s="7">
        <f>IFERROR(IF(OR(G1035="",INDEX(G:G,MATCH(DATE(YEAR($A1035)-1,MONTH($A1035),DAY($A1035)),$A:$A,0))=""),"",G1035/INDEX(G:G,MATCH(DATE(YEAR($A1035)-1,MONTH($A1035),DAY($A1035)),$A:$A,0))-1),"")</f>
        <v/>
      </c>
      <c r="K1035" s="7">
        <f>IF(OR(E1035="",E1034=""),"",E1035/E1034-1)</f>
        <v/>
      </c>
      <c r="L1035" s="7">
        <f>IF(OR(F1035="",F1034=""),"",F1035/F1034-1)</f>
        <v/>
      </c>
      <c r="M1035" s="7">
        <f>IF(OR(G1035="",G1034=""),"",G1035/G1034-1)</f>
        <v/>
      </c>
      <c r="N1035" s="7">
        <f>IF(G1035="","",E1035/G1035)</f>
        <v/>
      </c>
      <c r="O1035" s="7">
        <f>IF(G1035="","",F1035/G1035)</f>
        <v/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4">
        <f>IF(SUMIFS('Daily NSE Equity Cash'!$H:$H,'Daily NSE Equity Cash'!$A:$A,$A1036)=0,"",SUMIFS('Daily NSE Equity Cash'!$H:$H,'Daily NSE Equity Cash'!$A:$A,$A1036))</f>
        <v/>
      </c>
      <c r="F1036" s="4">
        <f>IF(SUMIFS('Daily BSE Equity Cash'!$H:$H,'Daily BSE Equity Cash'!$A:$A,$A1036)=0,"",SUMIFS('Daily BSE Equity Cash'!$H:$H,'Daily BSE Equity Cash'!$A:$A,$A1036))</f>
        <v/>
      </c>
      <c r="G1036" s="4">
        <f>IF(OR(E1036="",F1036=""),"",E1036+F1036)</f>
        <v/>
      </c>
      <c r="H1036" s="7">
        <f>IFERROR(IF(OR(E1036="",INDEX(E:E,MATCH(DATE(YEAR($A1036)-1,MONTH($A1036),DAY($A1036)),$A:$A,0))=""),"",E1036/INDEX(E:E,MATCH(DATE(YEAR($A1036)-1,MONTH($A1036),DAY($A1036)),$A:$A,0))-1),"")</f>
        <v/>
      </c>
      <c r="I1036" s="7">
        <f>IFERROR(IF(OR(F1036="",INDEX(F:F,MATCH(DATE(YEAR($A1036)-1,MONTH($A1036),DAY($A1036)),$A:$A,0))=""),"",F1036/INDEX(F:F,MATCH(DATE(YEAR($A1036)-1,MONTH($A1036),DAY($A1036)),$A:$A,0))-1),"")</f>
        <v/>
      </c>
      <c r="J1036" s="7">
        <f>IFERROR(IF(OR(G1036="",INDEX(G:G,MATCH(DATE(YEAR($A1036)-1,MONTH($A1036),DAY($A1036)),$A:$A,0))=""),"",G1036/INDEX(G:G,MATCH(DATE(YEAR($A1036)-1,MONTH($A1036),DAY($A1036)),$A:$A,0))-1),"")</f>
        <v/>
      </c>
      <c r="K1036" s="7">
        <f>IF(OR(E1036="",E1035=""),"",E1036/E1035-1)</f>
        <v/>
      </c>
      <c r="L1036" s="7">
        <f>IF(OR(F1036="",F1035=""),"",F1036/F1035-1)</f>
        <v/>
      </c>
      <c r="M1036" s="7">
        <f>IF(OR(G1036="",G1035=""),"",G1036/G1035-1)</f>
        <v/>
      </c>
      <c r="N1036" s="7">
        <f>IF(G1036="","",E1036/G1036)</f>
        <v/>
      </c>
      <c r="O1036" s="7">
        <f>IF(G1036="","",F1036/G1036)</f>
        <v/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4">
        <f>IF(SUMIFS('Daily NSE Equity Cash'!$H:$H,'Daily NSE Equity Cash'!$A:$A,$A1037)=0,"",SUMIFS('Daily NSE Equity Cash'!$H:$H,'Daily NSE Equity Cash'!$A:$A,$A1037))</f>
        <v/>
      </c>
      <c r="F1037" s="4">
        <f>IF(SUMIFS('Daily BSE Equity Cash'!$H:$H,'Daily BSE Equity Cash'!$A:$A,$A1037)=0,"",SUMIFS('Daily BSE Equity Cash'!$H:$H,'Daily BSE Equity Cash'!$A:$A,$A1037))</f>
        <v/>
      </c>
      <c r="G1037" s="4">
        <f>IF(OR(E1037="",F1037=""),"",E1037+F1037)</f>
        <v/>
      </c>
      <c r="H1037" s="7">
        <f>IFERROR(IF(OR(E1037="",INDEX(E:E,MATCH(DATE(YEAR($A1037)-1,MONTH($A1037),DAY($A1037)),$A:$A,0))=""),"",E1037/INDEX(E:E,MATCH(DATE(YEAR($A1037)-1,MONTH($A1037),DAY($A1037)),$A:$A,0))-1),"")</f>
        <v/>
      </c>
      <c r="I1037" s="7">
        <f>IFERROR(IF(OR(F1037="",INDEX(F:F,MATCH(DATE(YEAR($A1037)-1,MONTH($A1037),DAY($A1037)),$A:$A,0))=""),"",F1037/INDEX(F:F,MATCH(DATE(YEAR($A1037)-1,MONTH($A1037),DAY($A1037)),$A:$A,0))-1),"")</f>
        <v/>
      </c>
      <c r="J1037" s="7">
        <f>IFERROR(IF(OR(G1037="",INDEX(G:G,MATCH(DATE(YEAR($A1037)-1,MONTH($A1037),DAY($A1037)),$A:$A,0))=""),"",G1037/INDEX(G:G,MATCH(DATE(YEAR($A1037)-1,MONTH($A1037),DAY($A1037)),$A:$A,0))-1),"")</f>
        <v/>
      </c>
      <c r="K1037" s="7">
        <f>IF(OR(E1037="",E1036=""),"",E1037/E1036-1)</f>
        <v/>
      </c>
      <c r="L1037" s="7">
        <f>IF(OR(F1037="",F1036=""),"",F1037/F1036-1)</f>
        <v/>
      </c>
      <c r="M1037" s="7">
        <f>IF(OR(G1037="",G1036=""),"",G1037/G1036-1)</f>
        <v/>
      </c>
      <c r="N1037" s="7">
        <f>IF(G1037="","",E1037/G1037)</f>
        <v/>
      </c>
      <c r="O1037" s="7">
        <f>IF(G1037="","",F1037/G1037)</f>
        <v/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4">
        <f>IF(SUMIFS('Daily NSE Equity Cash'!$H:$H,'Daily NSE Equity Cash'!$A:$A,$A1038)=0,"",SUMIFS('Daily NSE Equity Cash'!$H:$H,'Daily NSE Equity Cash'!$A:$A,$A1038))</f>
        <v/>
      </c>
      <c r="F1038" s="4">
        <f>IF(SUMIFS('Daily BSE Equity Cash'!$H:$H,'Daily BSE Equity Cash'!$A:$A,$A1038)=0,"",SUMIFS('Daily BSE Equity Cash'!$H:$H,'Daily BSE Equity Cash'!$A:$A,$A1038))</f>
        <v/>
      </c>
      <c r="G1038" s="4">
        <f>IF(OR(E1038="",F1038=""),"",E1038+F1038)</f>
        <v/>
      </c>
      <c r="H1038" s="7">
        <f>IFERROR(IF(OR(E1038="",INDEX(E:E,MATCH(DATE(YEAR($A1038)-1,MONTH($A1038),DAY($A1038)),$A:$A,0))=""),"",E1038/INDEX(E:E,MATCH(DATE(YEAR($A1038)-1,MONTH($A1038),DAY($A1038)),$A:$A,0))-1),"")</f>
        <v/>
      </c>
      <c r="I1038" s="7">
        <f>IFERROR(IF(OR(F1038="",INDEX(F:F,MATCH(DATE(YEAR($A1038)-1,MONTH($A1038),DAY($A1038)),$A:$A,0))=""),"",F1038/INDEX(F:F,MATCH(DATE(YEAR($A1038)-1,MONTH($A1038),DAY($A1038)),$A:$A,0))-1),"")</f>
        <v/>
      </c>
      <c r="J1038" s="7">
        <f>IFERROR(IF(OR(G1038="",INDEX(G:G,MATCH(DATE(YEAR($A1038)-1,MONTH($A1038),DAY($A1038)),$A:$A,0))=""),"",G1038/INDEX(G:G,MATCH(DATE(YEAR($A1038)-1,MONTH($A1038),DAY($A1038)),$A:$A,0))-1),"")</f>
        <v/>
      </c>
      <c r="K1038" s="7">
        <f>IF(OR(E1038="",E1037=""),"",E1038/E1037-1)</f>
        <v/>
      </c>
      <c r="L1038" s="7">
        <f>IF(OR(F1038="",F1037=""),"",F1038/F1037-1)</f>
        <v/>
      </c>
      <c r="M1038" s="7">
        <f>IF(OR(G1038="",G1037=""),"",G1038/G1037-1)</f>
        <v/>
      </c>
      <c r="N1038" s="7">
        <f>IF(G1038="","",E1038/G1038)</f>
        <v/>
      </c>
      <c r="O1038" s="7">
        <f>IF(G1038="","",F1038/G1038)</f>
        <v/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4">
        <f>IF(SUMIFS('Daily NSE Equity Cash'!$H:$H,'Daily NSE Equity Cash'!$A:$A,$A1039)=0,"",SUMIFS('Daily NSE Equity Cash'!$H:$H,'Daily NSE Equity Cash'!$A:$A,$A1039))</f>
        <v/>
      </c>
      <c r="F1039" s="4">
        <f>IF(SUMIFS('Daily BSE Equity Cash'!$H:$H,'Daily BSE Equity Cash'!$A:$A,$A1039)=0,"",SUMIFS('Daily BSE Equity Cash'!$H:$H,'Daily BSE Equity Cash'!$A:$A,$A1039))</f>
        <v/>
      </c>
      <c r="G1039" s="4">
        <f>IF(OR(E1039="",F1039=""),"",E1039+F1039)</f>
        <v/>
      </c>
      <c r="H1039" s="7">
        <f>IFERROR(IF(OR(E1039="",INDEX(E:E,MATCH(DATE(YEAR($A1039)-1,MONTH($A1039),DAY($A1039)),$A:$A,0))=""),"",E1039/INDEX(E:E,MATCH(DATE(YEAR($A1039)-1,MONTH($A1039),DAY($A1039)),$A:$A,0))-1),"")</f>
        <v/>
      </c>
      <c r="I1039" s="7">
        <f>IFERROR(IF(OR(F1039="",INDEX(F:F,MATCH(DATE(YEAR($A1039)-1,MONTH($A1039),DAY($A1039)),$A:$A,0))=""),"",F1039/INDEX(F:F,MATCH(DATE(YEAR($A1039)-1,MONTH($A1039),DAY($A1039)),$A:$A,0))-1),"")</f>
        <v/>
      </c>
      <c r="J1039" s="7">
        <f>IFERROR(IF(OR(G1039="",INDEX(G:G,MATCH(DATE(YEAR($A1039)-1,MONTH($A1039),DAY($A1039)),$A:$A,0))=""),"",G1039/INDEX(G:G,MATCH(DATE(YEAR($A1039)-1,MONTH($A1039),DAY($A1039)),$A:$A,0))-1),"")</f>
        <v/>
      </c>
      <c r="K1039" s="7">
        <f>IF(OR(E1039="",E1038=""),"",E1039/E1038-1)</f>
        <v/>
      </c>
      <c r="L1039" s="7">
        <f>IF(OR(F1039="",F1038=""),"",F1039/F1038-1)</f>
        <v/>
      </c>
      <c r="M1039" s="7">
        <f>IF(OR(G1039="",G1038=""),"",G1039/G1038-1)</f>
        <v/>
      </c>
      <c r="N1039" s="7">
        <f>IF(G1039="","",E1039/G1039)</f>
        <v/>
      </c>
      <c r="O1039" s="7">
        <f>IF(G1039="","",F1039/G1039)</f>
        <v/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4">
        <f>IF(SUMIFS('Daily NSE Equity Cash'!$H:$H,'Daily NSE Equity Cash'!$A:$A,$A1040)=0,"",SUMIFS('Daily NSE Equity Cash'!$H:$H,'Daily NSE Equity Cash'!$A:$A,$A1040))</f>
        <v/>
      </c>
      <c r="F1040" s="4">
        <f>IF(SUMIFS('Daily BSE Equity Cash'!$H:$H,'Daily BSE Equity Cash'!$A:$A,$A1040)=0,"",SUMIFS('Daily BSE Equity Cash'!$H:$H,'Daily BSE Equity Cash'!$A:$A,$A1040))</f>
        <v/>
      </c>
      <c r="G1040" s="4">
        <f>IF(OR(E1040="",F1040=""),"",E1040+F1040)</f>
        <v/>
      </c>
      <c r="H1040" s="7">
        <f>IFERROR(IF(OR(E1040="",INDEX(E:E,MATCH(DATE(YEAR($A1040)-1,MONTH($A1040),DAY($A1040)),$A:$A,0))=""),"",E1040/INDEX(E:E,MATCH(DATE(YEAR($A1040)-1,MONTH($A1040),DAY($A1040)),$A:$A,0))-1),"")</f>
        <v/>
      </c>
      <c r="I1040" s="7">
        <f>IFERROR(IF(OR(F1040="",INDEX(F:F,MATCH(DATE(YEAR($A1040)-1,MONTH($A1040),DAY($A1040)),$A:$A,0))=""),"",F1040/INDEX(F:F,MATCH(DATE(YEAR($A1040)-1,MONTH($A1040),DAY($A1040)),$A:$A,0))-1),"")</f>
        <v/>
      </c>
      <c r="J1040" s="7">
        <f>IFERROR(IF(OR(G1040="",INDEX(G:G,MATCH(DATE(YEAR($A1040)-1,MONTH($A1040),DAY($A1040)),$A:$A,0))=""),"",G1040/INDEX(G:G,MATCH(DATE(YEAR($A1040)-1,MONTH($A1040),DAY($A1040)),$A:$A,0))-1),"")</f>
        <v/>
      </c>
      <c r="K1040" s="7">
        <f>IF(OR(E1040="",E1039=""),"",E1040/E1039-1)</f>
        <v/>
      </c>
      <c r="L1040" s="7">
        <f>IF(OR(F1040="",F1039=""),"",F1040/F1039-1)</f>
        <v/>
      </c>
      <c r="M1040" s="7">
        <f>IF(OR(G1040="",G1039=""),"",G1040/G1039-1)</f>
        <v/>
      </c>
      <c r="N1040" s="7">
        <f>IF(G1040="","",E1040/G1040)</f>
        <v/>
      </c>
      <c r="O1040" s="7">
        <f>IF(G1040="","",F1040/G1040)</f>
        <v/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4">
        <f>IF(SUMIFS('Daily NSE Equity Cash'!$H:$H,'Daily NSE Equity Cash'!$A:$A,$A1041)=0,"",SUMIFS('Daily NSE Equity Cash'!$H:$H,'Daily NSE Equity Cash'!$A:$A,$A1041))</f>
        <v/>
      </c>
      <c r="F1041" s="4">
        <f>IF(SUMIFS('Daily BSE Equity Cash'!$H:$H,'Daily BSE Equity Cash'!$A:$A,$A1041)=0,"",SUMIFS('Daily BSE Equity Cash'!$H:$H,'Daily BSE Equity Cash'!$A:$A,$A1041))</f>
        <v/>
      </c>
      <c r="G1041" s="4">
        <f>IF(OR(E1041="",F1041=""),"",E1041+F1041)</f>
        <v/>
      </c>
      <c r="H1041" s="7">
        <f>IFERROR(IF(OR(E1041="",INDEX(E:E,MATCH(DATE(YEAR($A1041)-1,MONTH($A1041),DAY($A1041)),$A:$A,0))=""),"",E1041/INDEX(E:E,MATCH(DATE(YEAR($A1041)-1,MONTH($A1041),DAY($A1041)),$A:$A,0))-1),"")</f>
        <v/>
      </c>
      <c r="I1041" s="7">
        <f>IFERROR(IF(OR(F1041="",INDEX(F:F,MATCH(DATE(YEAR($A1041)-1,MONTH($A1041),DAY($A1041)),$A:$A,0))=""),"",F1041/INDEX(F:F,MATCH(DATE(YEAR($A1041)-1,MONTH($A1041),DAY($A1041)),$A:$A,0))-1),"")</f>
        <v/>
      </c>
      <c r="J1041" s="7">
        <f>IFERROR(IF(OR(G1041="",INDEX(G:G,MATCH(DATE(YEAR($A1041)-1,MONTH($A1041),DAY($A1041)),$A:$A,0))=""),"",G1041/INDEX(G:G,MATCH(DATE(YEAR($A1041)-1,MONTH($A1041),DAY($A1041)),$A:$A,0))-1),"")</f>
        <v/>
      </c>
      <c r="K1041" s="7">
        <f>IF(OR(E1041="",E1040=""),"",E1041/E1040-1)</f>
        <v/>
      </c>
      <c r="L1041" s="7">
        <f>IF(OR(F1041="",F1040=""),"",F1041/F1040-1)</f>
        <v/>
      </c>
      <c r="M1041" s="7">
        <f>IF(OR(G1041="",G1040=""),"",G1041/G1040-1)</f>
        <v/>
      </c>
      <c r="N1041" s="7">
        <f>IF(G1041="","",E1041/G1041)</f>
        <v/>
      </c>
      <c r="O1041" s="7">
        <f>IF(G1041="","",F1041/G1041)</f>
        <v/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4">
        <f>IF(SUMIFS('Daily NSE Equity Cash'!$H:$H,'Daily NSE Equity Cash'!$A:$A,$A1042)=0,"",SUMIFS('Daily NSE Equity Cash'!$H:$H,'Daily NSE Equity Cash'!$A:$A,$A1042))</f>
        <v/>
      </c>
      <c r="F1042" s="4">
        <f>IF(SUMIFS('Daily BSE Equity Cash'!$H:$H,'Daily BSE Equity Cash'!$A:$A,$A1042)=0,"",SUMIFS('Daily BSE Equity Cash'!$H:$H,'Daily BSE Equity Cash'!$A:$A,$A1042))</f>
        <v/>
      </c>
      <c r="G1042" s="4">
        <f>IF(OR(E1042="",F1042=""),"",E1042+F1042)</f>
        <v/>
      </c>
      <c r="H1042" s="7">
        <f>IFERROR(IF(OR(E1042="",INDEX(E:E,MATCH(DATE(YEAR($A1042)-1,MONTH($A1042),DAY($A1042)),$A:$A,0))=""),"",E1042/INDEX(E:E,MATCH(DATE(YEAR($A1042)-1,MONTH($A1042),DAY($A1042)),$A:$A,0))-1),"")</f>
        <v/>
      </c>
      <c r="I1042" s="7">
        <f>IFERROR(IF(OR(F1042="",INDEX(F:F,MATCH(DATE(YEAR($A1042)-1,MONTH($A1042),DAY($A1042)),$A:$A,0))=""),"",F1042/INDEX(F:F,MATCH(DATE(YEAR($A1042)-1,MONTH($A1042),DAY($A1042)),$A:$A,0))-1),"")</f>
        <v/>
      </c>
      <c r="J1042" s="7">
        <f>IFERROR(IF(OR(G1042="",INDEX(G:G,MATCH(DATE(YEAR($A1042)-1,MONTH($A1042),DAY($A1042)),$A:$A,0))=""),"",G1042/INDEX(G:G,MATCH(DATE(YEAR($A1042)-1,MONTH($A1042),DAY($A1042)),$A:$A,0))-1),"")</f>
        <v/>
      </c>
      <c r="K1042" s="7">
        <f>IF(OR(E1042="",E1041=""),"",E1042/E1041-1)</f>
        <v/>
      </c>
      <c r="L1042" s="7">
        <f>IF(OR(F1042="",F1041=""),"",F1042/F1041-1)</f>
        <v/>
      </c>
      <c r="M1042" s="7">
        <f>IF(OR(G1042="",G1041=""),"",G1042/G1041-1)</f>
        <v/>
      </c>
      <c r="N1042" s="7">
        <f>IF(G1042="","",E1042/G1042)</f>
        <v/>
      </c>
      <c r="O1042" s="7">
        <f>IF(G1042="","",F1042/G1042)</f>
        <v/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4">
        <f>IF(SUMIFS('Daily NSE Equity Cash'!$H:$H,'Daily NSE Equity Cash'!$A:$A,$A1043)=0,"",SUMIFS('Daily NSE Equity Cash'!$H:$H,'Daily NSE Equity Cash'!$A:$A,$A1043))</f>
        <v/>
      </c>
      <c r="F1043" s="4">
        <f>IF(SUMIFS('Daily BSE Equity Cash'!$H:$H,'Daily BSE Equity Cash'!$A:$A,$A1043)=0,"",SUMIFS('Daily BSE Equity Cash'!$H:$H,'Daily BSE Equity Cash'!$A:$A,$A1043))</f>
        <v/>
      </c>
      <c r="G1043" s="4">
        <f>IF(OR(E1043="",F1043=""),"",E1043+F1043)</f>
        <v/>
      </c>
      <c r="H1043" s="7">
        <f>IFERROR(IF(OR(E1043="",INDEX(E:E,MATCH(DATE(YEAR($A1043)-1,MONTH($A1043),DAY($A1043)),$A:$A,0))=""),"",E1043/INDEX(E:E,MATCH(DATE(YEAR($A1043)-1,MONTH($A1043),DAY($A1043)),$A:$A,0))-1),"")</f>
        <v/>
      </c>
      <c r="I1043" s="7">
        <f>IFERROR(IF(OR(F1043="",INDEX(F:F,MATCH(DATE(YEAR($A1043)-1,MONTH($A1043),DAY($A1043)),$A:$A,0))=""),"",F1043/INDEX(F:F,MATCH(DATE(YEAR($A1043)-1,MONTH($A1043),DAY($A1043)),$A:$A,0))-1),"")</f>
        <v/>
      </c>
      <c r="J1043" s="7">
        <f>IFERROR(IF(OR(G1043="",INDEX(G:G,MATCH(DATE(YEAR($A1043)-1,MONTH($A1043),DAY($A1043)),$A:$A,0))=""),"",G1043/INDEX(G:G,MATCH(DATE(YEAR($A1043)-1,MONTH($A1043),DAY($A1043)),$A:$A,0))-1),"")</f>
        <v/>
      </c>
      <c r="K1043" s="7">
        <f>IF(OR(E1043="",E1042=""),"",E1043/E1042-1)</f>
        <v/>
      </c>
      <c r="L1043" s="7">
        <f>IF(OR(F1043="",F1042=""),"",F1043/F1042-1)</f>
        <v/>
      </c>
      <c r="M1043" s="7">
        <f>IF(OR(G1043="",G1042=""),"",G1043/G1042-1)</f>
        <v/>
      </c>
      <c r="N1043" s="7">
        <f>IF(G1043="","",E1043/G1043)</f>
        <v/>
      </c>
      <c r="O1043" s="7">
        <f>IF(G1043="","",F1043/G1043)</f>
        <v/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4">
        <f>IF(SUMIFS('Daily NSE Equity Cash'!$H:$H,'Daily NSE Equity Cash'!$A:$A,$A1044)=0,"",SUMIFS('Daily NSE Equity Cash'!$H:$H,'Daily NSE Equity Cash'!$A:$A,$A1044))</f>
        <v/>
      </c>
      <c r="F1044" s="4">
        <f>IF(SUMIFS('Daily BSE Equity Cash'!$H:$H,'Daily BSE Equity Cash'!$A:$A,$A1044)=0,"",SUMIFS('Daily BSE Equity Cash'!$H:$H,'Daily BSE Equity Cash'!$A:$A,$A1044))</f>
        <v/>
      </c>
      <c r="G1044" s="4">
        <f>IF(OR(E1044="",F1044=""),"",E1044+F1044)</f>
        <v/>
      </c>
      <c r="H1044" s="7">
        <f>IFERROR(IF(OR(E1044="",INDEX(E:E,MATCH(DATE(YEAR($A1044)-1,MONTH($A1044),DAY($A1044)),$A:$A,0))=""),"",E1044/INDEX(E:E,MATCH(DATE(YEAR($A1044)-1,MONTH($A1044),DAY($A1044)),$A:$A,0))-1),"")</f>
        <v/>
      </c>
      <c r="I1044" s="7">
        <f>IFERROR(IF(OR(F1044="",INDEX(F:F,MATCH(DATE(YEAR($A1044)-1,MONTH($A1044),DAY($A1044)),$A:$A,0))=""),"",F1044/INDEX(F:F,MATCH(DATE(YEAR($A1044)-1,MONTH($A1044),DAY($A1044)),$A:$A,0))-1),"")</f>
        <v/>
      </c>
      <c r="J1044" s="7">
        <f>IFERROR(IF(OR(G1044="",INDEX(G:G,MATCH(DATE(YEAR($A1044)-1,MONTH($A1044),DAY($A1044)),$A:$A,0))=""),"",G1044/INDEX(G:G,MATCH(DATE(YEAR($A1044)-1,MONTH($A1044),DAY($A1044)),$A:$A,0))-1),"")</f>
        <v/>
      </c>
      <c r="K1044" s="7">
        <f>IF(OR(E1044="",E1043=""),"",E1044/E1043-1)</f>
        <v/>
      </c>
      <c r="L1044" s="7">
        <f>IF(OR(F1044="",F1043=""),"",F1044/F1043-1)</f>
        <v/>
      </c>
      <c r="M1044" s="7">
        <f>IF(OR(G1044="",G1043=""),"",G1044/G1043-1)</f>
        <v/>
      </c>
      <c r="N1044" s="7">
        <f>IF(G1044="","",E1044/G1044)</f>
        <v/>
      </c>
      <c r="O1044" s="7">
        <f>IF(G1044="","",F1044/G1044)</f>
        <v/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4">
        <f>IF(SUMIFS('Daily NSE Equity Cash'!$H:$H,'Daily NSE Equity Cash'!$A:$A,$A1045)=0,"",SUMIFS('Daily NSE Equity Cash'!$H:$H,'Daily NSE Equity Cash'!$A:$A,$A1045))</f>
        <v/>
      </c>
      <c r="F1045" s="4">
        <f>IF(SUMIFS('Daily BSE Equity Cash'!$H:$H,'Daily BSE Equity Cash'!$A:$A,$A1045)=0,"",SUMIFS('Daily BSE Equity Cash'!$H:$H,'Daily BSE Equity Cash'!$A:$A,$A1045))</f>
        <v/>
      </c>
      <c r="G1045" s="4">
        <f>IF(OR(E1045="",F1045=""),"",E1045+F1045)</f>
        <v/>
      </c>
      <c r="H1045" s="7">
        <f>IFERROR(IF(OR(E1045="",INDEX(E:E,MATCH(DATE(YEAR($A1045)-1,MONTH($A1045),DAY($A1045)),$A:$A,0))=""),"",E1045/INDEX(E:E,MATCH(DATE(YEAR($A1045)-1,MONTH($A1045),DAY($A1045)),$A:$A,0))-1),"")</f>
        <v/>
      </c>
      <c r="I1045" s="7">
        <f>IFERROR(IF(OR(F1045="",INDEX(F:F,MATCH(DATE(YEAR($A1045)-1,MONTH($A1045),DAY($A1045)),$A:$A,0))=""),"",F1045/INDEX(F:F,MATCH(DATE(YEAR($A1045)-1,MONTH($A1045),DAY($A1045)),$A:$A,0))-1),"")</f>
        <v/>
      </c>
      <c r="J1045" s="7">
        <f>IFERROR(IF(OR(G1045="",INDEX(G:G,MATCH(DATE(YEAR($A1045)-1,MONTH($A1045),DAY($A1045)),$A:$A,0))=""),"",G1045/INDEX(G:G,MATCH(DATE(YEAR($A1045)-1,MONTH($A1045),DAY($A1045)),$A:$A,0))-1),"")</f>
        <v/>
      </c>
      <c r="K1045" s="7">
        <f>IF(OR(E1045="",E1044=""),"",E1045/E1044-1)</f>
        <v/>
      </c>
      <c r="L1045" s="7">
        <f>IF(OR(F1045="",F1044=""),"",F1045/F1044-1)</f>
        <v/>
      </c>
      <c r="M1045" s="7">
        <f>IF(OR(G1045="",G1044=""),"",G1045/G1044-1)</f>
        <v/>
      </c>
      <c r="N1045" s="7">
        <f>IF(G1045="","",E1045/G1045)</f>
        <v/>
      </c>
      <c r="O1045" s="7">
        <f>IF(G1045="","",F1045/G1045)</f>
        <v/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4">
        <f>IF(SUMIFS('Daily NSE Equity Cash'!$H:$H,'Daily NSE Equity Cash'!$A:$A,$A1046)=0,"",SUMIFS('Daily NSE Equity Cash'!$H:$H,'Daily NSE Equity Cash'!$A:$A,$A1046))</f>
        <v/>
      </c>
      <c r="F1046" s="4">
        <f>IF(SUMIFS('Daily BSE Equity Cash'!$H:$H,'Daily BSE Equity Cash'!$A:$A,$A1046)=0,"",SUMIFS('Daily BSE Equity Cash'!$H:$H,'Daily BSE Equity Cash'!$A:$A,$A1046))</f>
        <v/>
      </c>
      <c r="G1046" s="4">
        <f>IF(OR(E1046="",F1046=""),"",E1046+F1046)</f>
        <v/>
      </c>
      <c r="H1046" s="7">
        <f>IFERROR(IF(OR(E1046="",INDEX(E:E,MATCH(DATE(YEAR($A1046)-1,MONTH($A1046),DAY($A1046)),$A:$A,0))=""),"",E1046/INDEX(E:E,MATCH(DATE(YEAR($A1046)-1,MONTH($A1046),DAY($A1046)),$A:$A,0))-1),"")</f>
        <v/>
      </c>
      <c r="I1046" s="7">
        <f>IFERROR(IF(OR(F1046="",INDEX(F:F,MATCH(DATE(YEAR($A1046)-1,MONTH($A1046),DAY($A1046)),$A:$A,0))=""),"",F1046/INDEX(F:F,MATCH(DATE(YEAR($A1046)-1,MONTH($A1046),DAY($A1046)),$A:$A,0))-1),"")</f>
        <v/>
      </c>
      <c r="J1046" s="7">
        <f>IFERROR(IF(OR(G1046="",INDEX(G:G,MATCH(DATE(YEAR($A1046)-1,MONTH($A1046),DAY($A1046)),$A:$A,0))=""),"",G1046/INDEX(G:G,MATCH(DATE(YEAR($A1046)-1,MONTH($A1046),DAY($A1046)),$A:$A,0))-1),"")</f>
        <v/>
      </c>
      <c r="K1046" s="7">
        <f>IF(OR(E1046="",E1045=""),"",E1046/E1045-1)</f>
        <v/>
      </c>
      <c r="L1046" s="7">
        <f>IF(OR(F1046="",F1045=""),"",F1046/F1045-1)</f>
        <v/>
      </c>
      <c r="M1046" s="7">
        <f>IF(OR(G1046="",G1045=""),"",G1046/G1045-1)</f>
        <v/>
      </c>
      <c r="N1046" s="7">
        <f>IF(G1046="","",E1046/G1046)</f>
        <v/>
      </c>
      <c r="O1046" s="7">
        <f>IF(G1046="","",F1046/G1046)</f>
        <v/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4">
        <f>IF(SUMIFS('Daily NSE Equity Cash'!$H:$H,'Daily NSE Equity Cash'!$A:$A,$A1047)=0,"",SUMIFS('Daily NSE Equity Cash'!$H:$H,'Daily NSE Equity Cash'!$A:$A,$A1047))</f>
        <v/>
      </c>
      <c r="F1047" s="4">
        <f>IF(SUMIFS('Daily BSE Equity Cash'!$H:$H,'Daily BSE Equity Cash'!$A:$A,$A1047)=0,"",SUMIFS('Daily BSE Equity Cash'!$H:$H,'Daily BSE Equity Cash'!$A:$A,$A1047))</f>
        <v/>
      </c>
      <c r="G1047" s="4">
        <f>IF(OR(E1047="",F1047=""),"",E1047+F1047)</f>
        <v/>
      </c>
      <c r="H1047" s="7">
        <f>IFERROR(IF(OR(E1047="",INDEX(E:E,MATCH(DATE(YEAR($A1047)-1,MONTH($A1047),DAY($A1047)),$A:$A,0))=""),"",E1047/INDEX(E:E,MATCH(DATE(YEAR($A1047)-1,MONTH($A1047),DAY($A1047)),$A:$A,0))-1),"")</f>
        <v/>
      </c>
      <c r="I1047" s="7">
        <f>IFERROR(IF(OR(F1047="",INDEX(F:F,MATCH(DATE(YEAR($A1047)-1,MONTH($A1047),DAY($A1047)),$A:$A,0))=""),"",F1047/INDEX(F:F,MATCH(DATE(YEAR($A1047)-1,MONTH($A1047),DAY($A1047)),$A:$A,0))-1),"")</f>
        <v/>
      </c>
      <c r="J1047" s="7">
        <f>IFERROR(IF(OR(G1047="",INDEX(G:G,MATCH(DATE(YEAR($A1047)-1,MONTH($A1047),DAY($A1047)),$A:$A,0))=""),"",G1047/INDEX(G:G,MATCH(DATE(YEAR($A1047)-1,MONTH($A1047),DAY($A1047)),$A:$A,0))-1),"")</f>
        <v/>
      </c>
      <c r="K1047" s="7">
        <f>IF(OR(E1047="",E1046=""),"",E1047/E1046-1)</f>
        <v/>
      </c>
      <c r="L1047" s="7">
        <f>IF(OR(F1047="",F1046=""),"",F1047/F1046-1)</f>
        <v/>
      </c>
      <c r="M1047" s="7">
        <f>IF(OR(G1047="",G1046=""),"",G1047/G1046-1)</f>
        <v/>
      </c>
      <c r="N1047" s="7">
        <f>IF(G1047="","",E1047/G1047)</f>
        <v/>
      </c>
      <c r="O1047" s="7">
        <f>IF(G1047="","",F1047/G1047)</f>
        <v/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4">
        <f>IF(SUMIFS('Daily NSE Equity Cash'!$H:$H,'Daily NSE Equity Cash'!$A:$A,$A1048)=0,"",SUMIFS('Daily NSE Equity Cash'!$H:$H,'Daily NSE Equity Cash'!$A:$A,$A1048))</f>
        <v/>
      </c>
      <c r="F1048" s="4">
        <f>IF(SUMIFS('Daily BSE Equity Cash'!$H:$H,'Daily BSE Equity Cash'!$A:$A,$A1048)=0,"",SUMIFS('Daily BSE Equity Cash'!$H:$H,'Daily BSE Equity Cash'!$A:$A,$A1048))</f>
        <v/>
      </c>
      <c r="G1048" s="4">
        <f>IF(OR(E1048="",F1048=""),"",E1048+F1048)</f>
        <v/>
      </c>
      <c r="H1048" s="7">
        <f>IFERROR(IF(OR(E1048="",INDEX(E:E,MATCH(DATE(YEAR($A1048)-1,MONTH($A1048),DAY($A1048)),$A:$A,0))=""),"",E1048/INDEX(E:E,MATCH(DATE(YEAR($A1048)-1,MONTH($A1048),DAY($A1048)),$A:$A,0))-1),"")</f>
        <v/>
      </c>
      <c r="I1048" s="7">
        <f>IFERROR(IF(OR(F1048="",INDEX(F:F,MATCH(DATE(YEAR($A1048)-1,MONTH($A1048),DAY($A1048)),$A:$A,0))=""),"",F1048/INDEX(F:F,MATCH(DATE(YEAR($A1048)-1,MONTH($A1048),DAY($A1048)),$A:$A,0))-1),"")</f>
        <v/>
      </c>
      <c r="J1048" s="7">
        <f>IFERROR(IF(OR(G1048="",INDEX(G:G,MATCH(DATE(YEAR($A1048)-1,MONTH($A1048),DAY($A1048)),$A:$A,0))=""),"",G1048/INDEX(G:G,MATCH(DATE(YEAR($A1048)-1,MONTH($A1048),DAY($A1048)),$A:$A,0))-1),"")</f>
        <v/>
      </c>
      <c r="K1048" s="7">
        <f>IF(OR(E1048="",E1047=""),"",E1048/E1047-1)</f>
        <v/>
      </c>
      <c r="L1048" s="7">
        <f>IF(OR(F1048="",F1047=""),"",F1048/F1047-1)</f>
        <v/>
      </c>
      <c r="M1048" s="7">
        <f>IF(OR(G1048="",G1047=""),"",G1048/G1047-1)</f>
        <v/>
      </c>
      <c r="N1048" s="7">
        <f>IF(G1048="","",E1048/G1048)</f>
        <v/>
      </c>
      <c r="O1048" s="7">
        <f>IF(G1048="","",F1048/G1048)</f>
        <v/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4">
        <f>IF(SUMIFS('Daily NSE Equity Cash'!$H:$H,'Daily NSE Equity Cash'!$A:$A,$A1049)=0,"",SUMIFS('Daily NSE Equity Cash'!$H:$H,'Daily NSE Equity Cash'!$A:$A,$A1049))</f>
        <v/>
      </c>
      <c r="F1049" s="4">
        <f>IF(SUMIFS('Daily BSE Equity Cash'!$H:$H,'Daily BSE Equity Cash'!$A:$A,$A1049)=0,"",SUMIFS('Daily BSE Equity Cash'!$H:$H,'Daily BSE Equity Cash'!$A:$A,$A1049))</f>
        <v/>
      </c>
      <c r="G1049" s="4">
        <f>IF(OR(E1049="",F1049=""),"",E1049+F1049)</f>
        <v/>
      </c>
      <c r="H1049" s="7">
        <f>IFERROR(IF(OR(E1049="",INDEX(E:E,MATCH(DATE(YEAR($A1049)-1,MONTH($A1049),DAY($A1049)),$A:$A,0))=""),"",E1049/INDEX(E:E,MATCH(DATE(YEAR($A1049)-1,MONTH($A1049),DAY($A1049)),$A:$A,0))-1),"")</f>
        <v/>
      </c>
      <c r="I1049" s="7">
        <f>IFERROR(IF(OR(F1049="",INDEX(F:F,MATCH(DATE(YEAR($A1049)-1,MONTH($A1049),DAY($A1049)),$A:$A,0))=""),"",F1049/INDEX(F:F,MATCH(DATE(YEAR($A1049)-1,MONTH($A1049),DAY($A1049)),$A:$A,0))-1),"")</f>
        <v/>
      </c>
      <c r="J1049" s="7">
        <f>IFERROR(IF(OR(G1049="",INDEX(G:G,MATCH(DATE(YEAR($A1049)-1,MONTH($A1049),DAY($A1049)),$A:$A,0))=""),"",G1049/INDEX(G:G,MATCH(DATE(YEAR($A1049)-1,MONTH($A1049),DAY($A1049)),$A:$A,0))-1),"")</f>
        <v/>
      </c>
      <c r="K1049" s="7">
        <f>IF(OR(E1049="",E1048=""),"",E1049/E1048-1)</f>
        <v/>
      </c>
      <c r="L1049" s="7">
        <f>IF(OR(F1049="",F1048=""),"",F1049/F1048-1)</f>
        <v/>
      </c>
      <c r="M1049" s="7">
        <f>IF(OR(G1049="",G1048=""),"",G1049/G1048-1)</f>
        <v/>
      </c>
      <c r="N1049" s="7">
        <f>IF(G1049="","",E1049/G1049)</f>
        <v/>
      </c>
      <c r="O1049" s="7">
        <f>IF(G1049="","",F1049/G1049)</f>
        <v/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4">
        <f>IF(SUMIFS('Daily NSE Equity Cash'!$H:$H,'Daily NSE Equity Cash'!$A:$A,$A1050)=0,"",SUMIFS('Daily NSE Equity Cash'!$H:$H,'Daily NSE Equity Cash'!$A:$A,$A1050))</f>
        <v/>
      </c>
      <c r="F1050" s="4">
        <f>IF(SUMIFS('Daily BSE Equity Cash'!$H:$H,'Daily BSE Equity Cash'!$A:$A,$A1050)=0,"",SUMIFS('Daily BSE Equity Cash'!$H:$H,'Daily BSE Equity Cash'!$A:$A,$A1050))</f>
        <v/>
      </c>
      <c r="G1050" s="4">
        <f>IF(OR(E1050="",F1050=""),"",E1050+F1050)</f>
        <v/>
      </c>
      <c r="H1050" s="7">
        <f>IFERROR(IF(OR(E1050="",INDEX(E:E,MATCH(DATE(YEAR($A1050)-1,MONTH($A1050),DAY($A1050)),$A:$A,0))=""),"",E1050/INDEX(E:E,MATCH(DATE(YEAR($A1050)-1,MONTH($A1050),DAY($A1050)),$A:$A,0))-1),"")</f>
        <v/>
      </c>
      <c r="I1050" s="7">
        <f>IFERROR(IF(OR(F1050="",INDEX(F:F,MATCH(DATE(YEAR($A1050)-1,MONTH($A1050),DAY($A1050)),$A:$A,0))=""),"",F1050/INDEX(F:F,MATCH(DATE(YEAR($A1050)-1,MONTH($A1050),DAY($A1050)),$A:$A,0))-1),"")</f>
        <v/>
      </c>
      <c r="J1050" s="7">
        <f>IFERROR(IF(OR(G1050="",INDEX(G:G,MATCH(DATE(YEAR($A1050)-1,MONTH($A1050),DAY($A1050)),$A:$A,0))=""),"",G1050/INDEX(G:G,MATCH(DATE(YEAR($A1050)-1,MONTH($A1050),DAY($A1050)),$A:$A,0))-1),"")</f>
        <v/>
      </c>
      <c r="K1050" s="7">
        <f>IF(OR(E1050="",E1049=""),"",E1050/E1049-1)</f>
        <v/>
      </c>
      <c r="L1050" s="7">
        <f>IF(OR(F1050="",F1049=""),"",F1050/F1049-1)</f>
        <v/>
      </c>
      <c r="M1050" s="7">
        <f>IF(OR(G1050="",G1049=""),"",G1050/G1049-1)</f>
        <v/>
      </c>
      <c r="N1050" s="7">
        <f>IF(G1050="","",E1050/G1050)</f>
        <v/>
      </c>
      <c r="O1050" s="7">
        <f>IF(G1050="","",F1050/G1050)</f>
        <v/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4">
        <f>IF(SUMIFS('Daily NSE Equity Cash'!$H:$H,'Daily NSE Equity Cash'!$A:$A,$A1051)=0,"",SUMIFS('Daily NSE Equity Cash'!$H:$H,'Daily NSE Equity Cash'!$A:$A,$A1051))</f>
        <v/>
      </c>
      <c r="F1051" s="4">
        <f>IF(SUMIFS('Daily BSE Equity Cash'!$H:$H,'Daily BSE Equity Cash'!$A:$A,$A1051)=0,"",SUMIFS('Daily BSE Equity Cash'!$H:$H,'Daily BSE Equity Cash'!$A:$A,$A1051))</f>
        <v/>
      </c>
      <c r="G1051" s="4">
        <f>IF(OR(E1051="",F1051=""),"",E1051+F1051)</f>
        <v/>
      </c>
      <c r="H1051" s="7">
        <f>IFERROR(IF(OR(E1051="",INDEX(E:E,MATCH(DATE(YEAR($A1051)-1,MONTH($A1051),DAY($A1051)),$A:$A,0))=""),"",E1051/INDEX(E:E,MATCH(DATE(YEAR($A1051)-1,MONTH($A1051),DAY($A1051)),$A:$A,0))-1),"")</f>
        <v/>
      </c>
      <c r="I1051" s="7">
        <f>IFERROR(IF(OR(F1051="",INDEX(F:F,MATCH(DATE(YEAR($A1051)-1,MONTH($A1051),DAY($A1051)),$A:$A,0))=""),"",F1051/INDEX(F:F,MATCH(DATE(YEAR($A1051)-1,MONTH($A1051),DAY($A1051)),$A:$A,0))-1),"")</f>
        <v/>
      </c>
      <c r="J1051" s="7">
        <f>IFERROR(IF(OR(G1051="",INDEX(G:G,MATCH(DATE(YEAR($A1051)-1,MONTH($A1051),DAY($A1051)),$A:$A,0))=""),"",G1051/INDEX(G:G,MATCH(DATE(YEAR($A1051)-1,MONTH($A1051),DAY($A1051)),$A:$A,0))-1),"")</f>
        <v/>
      </c>
      <c r="K1051" s="7">
        <f>IF(OR(E1051="",E1050=""),"",E1051/E1050-1)</f>
        <v/>
      </c>
      <c r="L1051" s="7">
        <f>IF(OR(F1051="",F1050=""),"",F1051/F1050-1)</f>
        <v/>
      </c>
      <c r="M1051" s="7">
        <f>IF(OR(G1051="",G1050=""),"",G1051/G1050-1)</f>
        <v/>
      </c>
      <c r="N1051" s="7">
        <f>IF(G1051="","",E1051/G1051)</f>
        <v/>
      </c>
      <c r="O1051" s="7">
        <f>IF(G1051="","",F1051/G1051)</f>
        <v/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4">
        <f>IF(SUMIFS('Daily NSE Equity Cash'!$H:$H,'Daily NSE Equity Cash'!$A:$A,$A1052)=0,"",SUMIFS('Daily NSE Equity Cash'!$H:$H,'Daily NSE Equity Cash'!$A:$A,$A1052))</f>
        <v/>
      </c>
      <c r="F1052" s="4">
        <f>IF(SUMIFS('Daily BSE Equity Cash'!$H:$H,'Daily BSE Equity Cash'!$A:$A,$A1052)=0,"",SUMIFS('Daily BSE Equity Cash'!$H:$H,'Daily BSE Equity Cash'!$A:$A,$A1052))</f>
        <v/>
      </c>
      <c r="G1052" s="4">
        <f>IF(OR(E1052="",F1052=""),"",E1052+F1052)</f>
        <v/>
      </c>
      <c r="H1052" s="7">
        <f>IFERROR(IF(OR(E1052="",INDEX(E:E,MATCH(DATE(YEAR($A1052)-1,MONTH($A1052),DAY($A1052)),$A:$A,0))=""),"",E1052/INDEX(E:E,MATCH(DATE(YEAR($A1052)-1,MONTH($A1052),DAY($A1052)),$A:$A,0))-1),"")</f>
        <v/>
      </c>
      <c r="I1052" s="7">
        <f>IFERROR(IF(OR(F1052="",INDEX(F:F,MATCH(DATE(YEAR($A1052)-1,MONTH($A1052),DAY($A1052)),$A:$A,0))=""),"",F1052/INDEX(F:F,MATCH(DATE(YEAR($A1052)-1,MONTH($A1052),DAY($A1052)),$A:$A,0))-1),"")</f>
        <v/>
      </c>
      <c r="J1052" s="7">
        <f>IFERROR(IF(OR(G1052="",INDEX(G:G,MATCH(DATE(YEAR($A1052)-1,MONTH($A1052),DAY($A1052)),$A:$A,0))=""),"",G1052/INDEX(G:G,MATCH(DATE(YEAR($A1052)-1,MONTH($A1052),DAY($A1052)),$A:$A,0))-1),"")</f>
        <v/>
      </c>
      <c r="K1052" s="7">
        <f>IF(OR(E1052="",E1051=""),"",E1052/E1051-1)</f>
        <v/>
      </c>
      <c r="L1052" s="7">
        <f>IF(OR(F1052="",F1051=""),"",F1052/F1051-1)</f>
        <v/>
      </c>
      <c r="M1052" s="7">
        <f>IF(OR(G1052="",G1051=""),"",G1052/G1051-1)</f>
        <v/>
      </c>
      <c r="N1052" s="7">
        <f>IF(G1052="","",E1052/G1052)</f>
        <v/>
      </c>
      <c r="O1052" s="7">
        <f>IF(G1052="","",F1052/G1052)</f>
        <v/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4">
        <f>IF(SUMIFS('Daily NSE Equity Cash'!$H:$H,'Daily NSE Equity Cash'!$A:$A,$A1053)=0,"",SUMIFS('Daily NSE Equity Cash'!$H:$H,'Daily NSE Equity Cash'!$A:$A,$A1053))</f>
        <v/>
      </c>
      <c r="F1053" s="4">
        <f>IF(SUMIFS('Daily BSE Equity Cash'!$H:$H,'Daily BSE Equity Cash'!$A:$A,$A1053)=0,"",SUMIFS('Daily BSE Equity Cash'!$H:$H,'Daily BSE Equity Cash'!$A:$A,$A1053))</f>
        <v/>
      </c>
      <c r="G1053" s="4">
        <f>IF(OR(E1053="",F1053=""),"",E1053+F1053)</f>
        <v/>
      </c>
      <c r="H1053" s="7">
        <f>IFERROR(IF(OR(E1053="",INDEX(E:E,MATCH(DATE(YEAR($A1053)-1,MONTH($A1053),DAY($A1053)),$A:$A,0))=""),"",E1053/INDEX(E:E,MATCH(DATE(YEAR($A1053)-1,MONTH($A1053),DAY($A1053)),$A:$A,0))-1),"")</f>
        <v/>
      </c>
      <c r="I1053" s="7">
        <f>IFERROR(IF(OR(F1053="",INDEX(F:F,MATCH(DATE(YEAR($A1053)-1,MONTH($A1053),DAY($A1053)),$A:$A,0))=""),"",F1053/INDEX(F:F,MATCH(DATE(YEAR($A1053)-1,MONTH($A1053),DAY($A1053)),$A:$A,0))-1),"")</f>
        <v/>
      </c>
      <c r="J1053" s="7">
        <f>IFERROR(IF(OR(G1053="",INDEX(G:G,MATCH(DATE(YEAR($A1053)-1,MONTH($A1053),DAY($A1053)),$A:$A,0))=""),"",G1053/INDEX(G:G,MATCH(DATE(YEAR($A1053)-1,MONTH($A1053),DAY($A1053)),$A:$A,0))-1),"")</f>
        <v/>
      </c>
      <c r="K1053" s="7">
        <f>IF(OR(E1053="",E1052=""),"",E1053/E1052-1)</f>
        <v/>
      </c>
      <c r="L1053" s="7">
        <f>IF(OR(F1053="",F1052=""),"",F1053/F1052-1)</f>
        <v/>
      </c>
      <c r="M1053" s="7">
        <f>IF(OR(G1053="",G1052=""),"",G1053/G1052-1)</f>
        <v/>
      </c>
      <c r="N1053" s="7">
        <f>IF(G1053="","",E1053/G1053)</f>
        <v/>
      </c>
      <c r="O1053" s="7">
        <f>IF(G1053="","",F1053/G1053)</f>
        <v/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4">
        <f>IF(SUMIFS('Daily NSE Equity Cash'!$H:$H,'Daily NSE Equity Cash'!$A:$A,$A1054)=0,"",SUMIFS('Daily NSE Equity Cash'!$H:$H,'Daily NSE Equity Cash'!$A:$A,$A1054))</f>
        <v/>
      </c>
      <c r="F1054" s="4">
        <f>IF(SUMIFS('Daily BSE Equity Cash'!$H:$H,'Daily BSE Equity Cash'!$A:$A,$A1054)=0,"",SUMIFS('Daily BSE Equity Cash'!$H:$H,'Daily BSE Equity Cash'!$A:$A,$A1054))</f>
        <v/>
      </c>
      <c r="G1054" s="4">
        <f>IF(OR(E1054="",F1054=""),"",E1054+F1054)</f>
        <v/>
      </c>
      <c r="H1054" s="7">
        <f>IFERROR(IF(OR(E1054="",INDEX(E:E,MATCH(DATE(YEAR($A1054)-1,MONTH($A1054),DAY($A1054)),$A:$A,0))=""),"",E1054/INDEX(E:E,MATCH(DATE(YEAR($A1054)-1,MONTH($A1054),DAY($A1054)),$A:$A,0))-1),"")</f>
        <v/>
      </c>
      <c r="I1054" s="7">
        <f>IFERROR(IF(OR(F1054="",INDEX(F:F,MATCH(DATE(YEAR($A1054)-1,MONTH($A1054),DAY($A1054)),$A:$A,0))=""),"",F1054/INDEX(F:F,MATCH(DATE(YEAR($A1054)-1,MONTH($A1054),DAY($A1054)),$A:$A,0))-1),"")</f>
        <v/>
      </c>
      <c r="J1054" s="7">
        <f>IFERROR(IF(OR(G1054="",INDEX(G:G,MATCH(DATE(YEAR($A1054)-1,MONTH($A1054),DAY($A1054)),$A:$A,0))=""),"",G1054/INDEX(G:G,MATCH(DATE(YEAR($A1054)-1,MONTH($A1054),DAY($A1054)),$A:$A,0))-1),"")</f>
        <v/>
      </c>
      <c r="K1054" s="7">
        <f>IF(OR(E1054="",E1053=""),"",E1054/E1053-1)</f>
        <v/>
      </c>
      <c r="L1054" s="7">
        <f>IF(OR(F1054="",F1053=""),"",F1054/F1053-1)</f>
        <v/>
      </c>
      <c r="M1054" s="7">
        <f>IF(OR(G1054="",G1053=""),"",G1054/G1053-1)</f>
        <v/>
      </c>
      <c r="N1054" s="7">
        <f>IF(G1054="","",E1054/G1054)</f>
        <v/>
      </c>
      <c r="O1054" s="7">
        <f>IF(G1054="","",F1054/G1054)</f>
        <v/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4">
        <f>IF(SUMIFS('Daily NSE Equity Cash'!$H:$H,'Daily NSE Equity Cash'!$A:$A,$A1055)=0,"",SUMIFS('Daily NSE Equity Cash'!$H:$H,'Daily NSE Equity Cash'!$A:$A,$A1055))</f>
        <v/>
      </c>
      <c r="F1055" s="4">
        <f>IF(SUMIFS('Daily BSE Equity Cash'!$H:$H,'Daily BSE Equity Cash'!$A:$A,$A1055)=0,"",SUMIFS('Daily BSE Equity Cash'!$H:$H,'Daily BSE Equity Cash'!$A:$A,$A1055))</f>
        <v/>
      </c>
      <c r="G1055" s="4">
        <f>IF(OR(E1055="",F1055=""),"",E1055+F1055)</f>
        <v/>
      </c>
      <c r="H1055" s="7">
        <f>IFERROR(IF(OR(E1055="",INDEX(E:E,MATCH(DATE(YEAR($A1055)-1,MONTH($A1055),DAY($A1055)),$A:$A,0))=""),"",E1055/INDEX(E:E,MATCH(DATE(YEAR($A1055)-1,MONTH($A1055),DAY($A1055)),$A:$A,0))-1),"")</f>
        <v/>
      </c>
      <c r="I1055" s="7">
        <f>IFERROR(IF(OR(F1055="",INDEX(F:F,MATCH(DATE(YEAR($A1055)-1,MONTH($A1055),DAY($A1055)),$A:$A,0))=""),"",F1055/INDEX(F:F,MATCH(DATE(YEAR($A1055)-1,MONTH($A1055),DAY($A1055)),$A:$A,0))-1),"")</f>
        <v/>
      </c>
      <c r="J1055" s="7">
        <f>IFERROR(IF(OR(G1055="",INDEX(G:G,MATCH(DATE(YEAR($A1055)-1,MONTH($A1055),DAY($A1055)),$A:$A,0))=""),"",G1055/INDEX(G:G,MATCH(DATE(YEAR($A1055)-1,MONTH($A1055),DAY($A1055)),$A:$A,0))-1),"")</f>
        <v/>
      </c>
      <c r="K1055" s="7">
        <f>IF(OR(E1055="",E1054=""),"",E1055/E1054-1)</f>
        <v/>
      </c>
      <c r="L1055" s="7">
        <f>IF(OR(F1055="",F1054=""),"",F1055/F1054-1)</f>
        <v/>
      </c>
      <c r="M1055" s="7">
        <f>IF(OR(G1055="",G1054=""),"",G1055/G1054-1)</f>
        <v/>
      </c>
      <c r="N1055" s="7">
        <f>IF(G1055="","",E1055/G1055)</f>
        <v/>
      </c>
      <c r="O1055" s="7">
        <f>IF(G1055="","",F1055/G1055)</f>
        <v/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4">
        <f>IF(SUMIFS('Daily NSE Equity Cash'!$H:$H,'Daily NSE Equity Cash'!$A:$A,$A1056)=0,"",SUMIFS('Daily NSE Equity Cash'!$H:$H,'Daily NSE Equity Cash'!$A:$A,$A1056))</f>
        <v/>
      </c>
      <c r="F1056" s="4">
        <f>IF(SUMIFS('Daily BSE Equity Cash'!$H:$H,'Daily BSE Equity Cash'!$A:$A,$A1056)=0,"",SUMIFS('Daily BSE Equity Cash'!$H:$H,'Daily BSE Equity Cash'!$A:$A,$A1056))</f>
        <v/>
      </c>
      <c r="G1056" s="4">
        <f>IF(OR(E1056="",F1056=""),"",E1056+F1056)</f>
        <v/>
      </c>
      <c r="H1056" s="7">
        <f>IFERROR(IF(OR(E1056="",INDEX(E:E,MATCH(DATE(YEAR($A1056)-1,MONTH($A1056),DAY($A1056)),$A:$A,0))=""),"",E1056/INDEX(E:E,MATCH(DATE(YEAR($A1056)-1,MONTH($A1056),DAY($A1056)),$A:$A,0))-1),"")</f>
        <v/>
      </c>
      <c r="I1056" s="7">
        <f>IFERROR(IF(OR(F1056="",INDEX(F:F,MATCH(DATE(YEAR($A1056)-1,MONTH($A1056),DAY($A1056)),$A:$A,0))=""),"",F1056/INDEX(F:F,MATCH(DATE(YEAR($A1056)-1,MONTH($A1056),DAY($A1056)),$A:$A,0))-1),"")</f>
        <v/>
      </c>
      <c r="J1056" s="7">
        <f>IFERROR(IF(OR(G1056="",INDEX(G:G,MATCH(DATE(YEAR($A1056)-1,MONTH($A1056),DAY($A1056)),$A:$A,0))=""),"",G1056/INDEX(G:G,MATCH(DATE(YEAR($A1056)-1,MONTH($A1056),DAY($A1056)),$A:$A,0))-1),"")</f>
        <v/>
      </c>
      <c r="K1056" s="7">
        <f>IF(OR(E1056="",E1055=""),"",E1056/E1055-1)</f>
        <v/>
      </c>
      <c r="L1056" s="7">
        <f>IF(OR(F1056="",F1055=""),"",F1056/F1055-1)</f>
        <v/>
      </c>
      <c r="M1056" s="7">
        <f>IF(OR(G1056="",G1055=""),"",G1056/G1055-1)</f>
        <v/>
      </c>
      <c r="N1056" s="7">
        <f>IF(G1056="","",E1056/G1056)</f>
        <v/>
      </c>
      <c r="O1056" s="7">
        <f>IF(G1056="","",F1056/G1056)</f>
        <v/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4">
        <f>IF(SUMIFS('Daily NSE Equity Cash'!$H:$H,'Daily NSE Equity Cash'!$A:$A,$A1057)=0,"",SUMIFS('Daily NSE Equity Cash'!$H:$H,'Daily NSE Equity Cash'!$A:$A,$A1057))</f>
        <v/>
      </c>
      <c r="F1057" s="4">
        <f>IF(SUMIFS('Daily BSE Equity Cash'!$H:$H,'Daily BSE Equity Cash'!$A:$A,$A1057)=0,"",SUMIFS('Daily BSE Equity Cash'!$H:$H,'Daily BSE Equity Cash'!$A:$A,$A1057))</f>
        <v/>
      </c>
      <c r="G1057" s="4">
        <f>IF(OR(E1057="",F1057=""),"",E1057+F1057)</f>
        <v/>
      </c>
      <c r="H1057" s="7">
        <f>IFERROR(IF(OR(E1057="",INDEX(E:E,MATCH(DATE(YEAR($A1057)-1,MONTH($A1057),DAY($A1057)),$A:$A,0))=""),"",E1057/INDEX(E:E,MATCH(DATE(YEAR($A1057)-1,MONTH($A1057),DAY($A1057)),$A:$A,0))-1),"")</f>
        <v/>
      </c>
      <c r="I1057" s="7">
        <f>IFERROR(IF(OR(F1057="",INDEX(F:F,MATCH(DATE(YEAR($A1057)-1,MONTH($A1057),DAY($A1057)),$A:$A,0))=""),"",F1057/INDEX(F:F,MATCH(DATE(YEAR($A1057)-1,MONTH($A1057),DAY($A1057)),$A:$A,0))-1),"")</f>
        <v/>
      </c>
      <c r="J1057" s="7">
        <f>IFERROR(IF(OR(G1057="",INDEX(G:G,MATCH(DATE(YEAR($A1057)-1,MONTH($A1057),DAY($A1057)),$A:$A,0))=""),"",G1057/INDEX(G:G,MATCH(DATE(YEAR($A1057)-1,MONTH($A1057),DAY($A1057)),$A:$A,0))-1),"")</f>
        <v/>
      </c>
      <c r="K1057" s="7">
        <f>IF(OR(E1057="",E1056=""),"",E1057/E1056-1)</f>
        <v/>
      </c>
      <c r="L1057" s="7">
        <f>IF(OR(F1057="",F1056=""),"",F1057/F1056-1)</f>
        <v/>
      </c>
      <c r="M1057" s="7">
        <f>IF(OR(G1057="",G1056=""),"",G1057/G1056-1)</f>
        <v/>
      </c>
      <c r="N1057" s="7">
        <f>IF(G1057="","",E1057/G1057)</f>
        <v/>
      </c>
      <c r="O1057" s="7">
        <f>IF(G1057="","",F1057/G1057)</f>
        <v/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4">
        <f>IF(SUMIFS('Daily NSE Equity Cash'!$H:$H,'Daily NSE Equity Cash'!$A:$A,$A1058)=0,"",SUMIFS('Daily NSE Equity Cash'!$H:$H,'Daily NSE Equity Cash'!$A:$A,$A1058))</f>
        <v/>
      </c>
      <c r="F1058" s="4">
        <f>IF(SUMIFS('Daily BSE Equity Cash'!$H:$H,'Daily BSE Equity Cash'!$A:$A,$A1058)=0,"",SUMIFS('Daily BSE Equity Cash'!$H:$H,'Daily BSE Equity Cash'!$A:$A,$A1058))</f>
        <v/>
      </c>
      <c r="G1058" s="4">
        <f>IF(OR(E1058="",F1058=""),"",E1058+F1058)</f>
        <v/>
      </c>
      <c r="H1058" s="7">
        <f>IFERROR(IF(OR(E1058="",INDEX(E:E,MATCH(DATE(YEAR($A1058)-1,MONTH($A1058),DAY($A1058)),$A:$A,0))=""),"",E1058/INDEX(E:E,MATCH(DATE(YEAR($A1058)-1,MONTH($A1058),DAY($A1058)),$A:$A,0))-1),"")</f>
        <v/>
      </c>
      <c r="I1058" s="7">
        <f>IFERROR(IF(OR(F1058="",INDEX(F:F,MATCH(DATE(YEAR($A1058)-1,MONTH($A1058),DAY($A1058)),$A:$A,0))=""),"",F1058/INDEX(F:F,MATCH(DATE(YEAR($A1058)-1,MONTH($A1058),DAY($A1058)),$A:$A,0))-1),"")</f>
        <v/>
      </c>
      <c r="J1058" s="7">
        <f>IFERROR(IF(OR(G1058="",INDEX(G:G,MATCH(DATE(YEAR($A1058)-1,MONTH($A1058),DAY($A1058)),$A:$A,0))=""),"",G1058/INDEX(G:G,MATCH(DATE(YEAR($A1058)-1,MONTH($A1058),DAY($A1058)),$A:$A,0))-1),"")</f>
        <v/>
      </c>
      <c r="K1058" s="7">
        <f>IF(OR(E1058="",E1057=""),"",E1058/E1057-1)</f>
        <v/>
      </c>
      <c r="L1058" s="7">
        <f>IF(OR(F1058="",F1057=""),"",F1058/F1057-1)</f>
        <v/>
      </c>
      <c r="M1058" s="7">
        <f>IF(OR(G1058="",G1057=""),"",G1058/G1057-1)</f>
        <v/>
      </c>
      <c r="N1058" s="7">
        <f>IF(G1058="","",E1058/G1058)</f>
        <v/>
      </c>
      <c r="O1058" s="7">
        <f>IF(G1058="","",F1058/G1058)</f>
        <v/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4">
        <f>IF(SUMIFS('Daily NSE Equity Cash'!$H:$H,'Daily NSE Equity Cash'!$A:$A,$A1059)=0,"",SUMIFS('Daily NSE Equity Cash'!$H:$H,'Daily NSE Equity Cash'!$A:$A,$A1059))</f>
        <v/>
      </c>
      <c r="F1059" s="4">
        <f>IF(SUMIFS('Daily BSE Equity Cash'!$H:$H,'Daily BSE Equity Cash'!$A:$A,$A1059)=0,"",SUMIFS('Daily BSE Equity Cash'!$H:$H,'Daily BSE Equity Cash'!$A:$A,$A1059))</f>
        <v/>
      </c>
      <c r="G1059" s="4">
        <f>IF(OR(E1059="",F1059=""),"",E1059+F1059)</f>
        <v/>
      </c>
      <c r="H1059" s="7">
        <f>IFERROR(IF(OR(E1059="",INDEX(E:E,MATCH(DATE(YEAR($A1059)-1,MONTH($A1059),DAY($A1059)),$A:$A,0))=""),"",E1059/INDEX(E:E,MATCH(DATE(YEAR($A1059)-1,MONTH($A1059),DAY($A1059)),$A:$A,0))-1),"")</f>
        <v/>
      </c>
      <c r="I1059" s="7">
        <f>IFERROR(IF(OR(F1059="",INDEX(F:F,MATCH(DATE(YEAR($A1059)-1,MONTH($A1059),DAY($A1059)),$A:$A,0))=""),"",F1059/INDEX(F:F,MATCH(DATE(YEAR($A1059)-1,MONTH($A1059),DAY($A1059)),$A:$A,0))-1),"")</f>
        <v/>
      </c>
      <c r="J1059" s="7">
        <f>IFERROR(IF(OR(G1059="",INDEX(G:G,MATCH(DATE(YEAR($A1059)-1,MONTH($A1059),DAY($A1059)),$A:$A,0))=""),"",G1059/INDEX(G:G,MATCH(DATE(YEAR($A1059)-1,MONTH($A1059),DAY($A1059)),$A:$A,0))-1),"")</f>
        <v/>
      </c>
      <c r="K1059" s="7">
        <f>IF(OR(E1059="",E1058=""),"",E1059/E1058-1)</f>
        <v/>
      </c>
      <c r="L1059" s="7">
        <f>IF(OR(F1059="",F1058=""),"",F1059/F1058-1)</f>
        <v/>
      </c>
      <c r="M1059" s="7">
        <f>IF(OR(G1059="",G1058=""),"",G1059/G1058-1)</f>
        <v/>
      </c>
      <c r="N1059" s="7">
        <f>IF(G1059="","",E1059/G1059)</f>
        <v/>
      </c>
      <c r="O1059" s="7">
        <f>IF(G1059="","",F1059/G1059)</f>
        <v/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4">
        <f>IF(SUMIFS('Daily NSE Equity Cash'!$H:$H,'Daily NSE Equity Cash'!$A:$A,$A1060)=0,"",SUMIFS('Daily NSE Equity Cash'!$H:$H,'Daily NSE Equity Cash'!$A:$A,$A1060))</f>
        <v/>
      </c>
      <c r="F1060" s="4">
        <f>IF(SUMIFS('Daily BSE Equity Cash'!$H:$H,'Daily BSE Equity Cash'!$A:$A,$A1060)=0,"",SUMIFS('Daily BSE Equity Cash'!$H:$H,'Daily BSE Equity Cash'!$A:$A,$A1060))</f>
        <v/>
      </c>
      <c r="G1060" s="4">
        <f>IF(OR(E1060="",F1060=""),"",E1060+F1060)</f>
        <v/>
      </c>
      <c r="H1060" s="7">
        <f>IFERROR(IF(OR(E1060="",INDEX(E:E,MATCH(DATE(YEAR($A1060)-1,MONTH($A1060),DAY($A1060)),$A:$A,0))=""),"",E1060/INDEX(E:E,MATCH(DATE(YEAR($A1060)-1,MONTH($A1060),DAY($A1060)),$A:$A,0))-1),"")</f>
        <v/>
      </c>
      <c r="I1060" s="7">
        <f>IFERROR(IF(OR(F1060="",INDEX(F:F,MATCH(DATE(YEAR($A1060)-1,MONTH($A1060),DAY($A1060)),$A:$A,0))=""),"",F1060/INDEX(F:F,MATCH(DATE(YEAR($A1060)-1,MONTH($A1060),DAY($A1060)),$A:$A,0))-1),"")</f>
        <v/>
      </c>
      <c r="J1060" s="7">
        <f>IFERROR(IF(OR(G1060="",INDEX(G:G,MATCH(DATE(YEAR($A1060)-1,MONTH($A1060),DAY($A1060)),$A:$A,0))=""),"",G1060/INDEX(G:G,MATCH(DATE(YEAR($A1060)-1,MONTH($A1060),DAY($A1060)),$A:$A,0))-1),"")</f>
        <v/>
      </c>
      <c r="K1060" s="7">
        <f>IF(OR(E1060="",E1059=""),"",E1060/E1059-1)</f>
        <v/>
      </c>
      <c r="L1060" s="7">
        <f>IF(OR(F1060="",F1059=""),"",F1060/F1059-1)</f>
        <v/>
      </c>
      <c r="M1060" s="7">
        <f>IF(OR(G1060="",G1059=""),"",G1060/G1059-1)</f>
        <v/>
      </c>
      <c r="N1060" s="7">
        <f>IF(G1060="","",E1060/G1060)</f>
        <v/>
      </c>
      <c r="O1060" s="7">
        <f>IF(G1060="","",F1060/G1060)</f>
        <v/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4">
        <f>IF(SUMIFS('Daily NSE Equity Cash'!$H:$H,'Daily NSE Equity Cash'!$A:$A,$A1061)=0,"",SUMIFS('Daily NSE Equity Cash'!$H:$H,'Daily NSE Equity Cash'!$A:$A,$A1061))</f>
        <v/>
      </c>
      <c r="F1061" s="4">
        <f>IF(SUMIFS('Daily BSE Equity Cash'!$H:$H,'Daily BSE Equity Cash'!$A:$A,$A1061)=0,"",SUMIFS('Daily BSE Equity Cash'!$H:$H,'Daily BSE Equity Cash'!$A:$A,$A1061))</f>
        <v/>
      </c>
      <c r="G1061" s="4">
        <f>IF(OR(E1061="",F1061=""),"",E1061+F1061)</f>
        <v/>
      </c>
      <c r="H1061" s="7">
        <f>IFERROR(IF(OR(E1061="",INDEX(E:E,MATCH(DATE(YEAR($A1061)-1,MONTH($A1061),DAY($A1061)),$A:$A,0))=""),"",E1061/INDEX(E:E,MATCH(DATE(YEAR($A1061)-1,MONTH($A1061),DAY($A1061)),$A:$A,0))-1),"")</f>
        <v/>
      </c>
      <c r="I1061" s="7">
        <f>IFERROR(IF(OR(F1061="",INDEX(F:F,MATCH(DATE(YEAR($A1061)-1,MONTH($A1061),DAY($A1061)),$A:$A,0))=""),"",F1061/INDEX(F:F,MATCH(DATE(YEAR($A1061)-1,MONTH($A1061),DAY($A1061)),$A:$A,0))-1),"")</f>
        <v/>
      </c>
      <c r="J1061" s="7">
        <f>IFERROR(IF(OR(G1061="",INDEX(G:G,MATCH(DATE(YEAR($A1061)-1,MONTH($A1061),DAY($A1061)),$A:$A,0))=""),"",G1061/INDEX(G:G,MATCH(DATE(YEAR($A1061)-1,MONTH($A1061),DAY($A1061)),$A:$A,0))-1),"")</f>
        <v/>
      </c>
      <c r="K1061" s="7">
        <f>IF(OR(E1061="",E1060=""),"",E1061/E1060-1)</f>
        <v/>
      </c>
      <c r="L1061" s="7">
        <f>IF(OR(F1061="",F1060=""),"",F1061/F1060-1)</f>
        <v/>
      </c>
      <c r="M1061" s="7">
        <f>IF(OR(G1061="",G1060=""),"",G1061/G1060-1)</f>
        <v/>
      </c>
      <c r="N1061" s="7">
        <f>IF(G1061="","",E1061/G1061)</f>
        <v/>
      </c>
      <c r="O1061" s="7">
        <f>IF(G1061="","",F1061/G1061)</f>
        <v/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4">
        <f>IF(SUMIFS('Daily NSE Equity Cash'!$H:$H,'Daily NSE Equity Cash'!$A:$A,$A1062)=0,"",SUMIFS('Daily NSE Equity Cash'!$H:$H,'Daily NSE Equity Cash'!$A:$A,$A1062))</f>
        <v/>
      </c>
      <c r="F1062" s="4">
        <f>IF(SUMIFS('Daily BSE Equity Cash'!$H:$H,'Daily BSE Equity Cash'!$A:$A,$A1062)=0,"",SUMIFS('Daily BSE Equity Cash'!$H:$H,'Daily BSE Equity Cash'!$A:$A,$A1062))</f>
        <v/>
      </c>
      <c r="G1062" s="4">
        <f>IF(OR(E1062="",F1062=""),"",E1062+F1062)</f>
        <v/>
      </c>
      <c r="H1062" s="7">
        <f>IFERROR(IF(OR(E1062="",INDEX(E:E,MATCH(DATE(YEAR($A1062)-1,MONTH($A1062),DAY($A1062)),$A:$A,0))=""),"",E1062/INDEX(E:E,MATCH(DATE(YEAR($A1062)-1,MONTH($A1062),DAY($A1062)),$A:$A,0))-1),"")</f>
        <v/>
      </c>
      <c r="I1062" s="7">
        <f>IFERROR(IF(OR(F1062="",INDEX(F:F,MATCH(DATE(YEAR($A1062)-1,MONTH($A1062),DAY($A1062)),$A:$A,0))=""),"",F1062/INDEX(F:F,MATCH(DATE(YEAR($A1062)-1,MONTH($A1062),DAY($A1062)),$A:$A,0))-1),"")</f>
        <v/>
      </c>
      <c r="J1062" s="7">
        <f>IFERROR(IF(OR(G1062="",INDEX(G:G,MATCH(DATE(YEAR($A1062)-1,MONTH($A1062),DAY($A1062)),$A:$A,0))=""),"",G1062/INDEX(G:G,MATCH(DATE(YEAR($A1062)-1,MONTH($A1062),DAY($A1062)),$A:$A,0))-1),"")</f>
        <v/>
      </c>
      <c r="K1062" s="7">
        <f>IF(OR(E1062="",E1061=""),"",E1062/E1061-1)</f>
        <v/>
      </c>
      <c r="L1062" s="7">
        <f>IF(OR(F1062="",F1061=""),"",F1062/F1061-1)</f>
        <v/>
      </c>
      <c r="M1062" s="7">
        <f>IF(OR(G1062="",G1061=""),"",G1062/G1061-1)</f>
        <v/>
      </c>
      <c r="N1062" s="7">
        <f>IF(G1062="","",E1062/G1062)</f>
        <v/>
      </c>
      <c r="O1062" s="7">
        <f>IF(G1062="","",F1062/G1062)</f>
        <v/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4">
        <f>IF(SUMIFS('Daily NSE Equity Cash'!$H:$H,'Daily NSE Equity Cash'!$A:$A,$A1063)=0,"",SUMIFS('Daily NSE Equity Cash'!$H:$H,'Daily NSE Equity Cash'!$A:$A,$A1063))</f>
        <v/>
      </c>
      <c r="F1063" s="4">
        <f>IF(SUMIFS('Daily BSE Equity Cash'!$H:$H,'Daily BSE Equity Cash'!$A:$A,$A1063)=0,"",SUMIFS('Daily BSE Equity Cash'!$H:$H,'Daily BSE Equity Cash'!$A:$A,$A1063))</f>
        <v/>
      </c>
      <c r="G1063" s="4">
        <f>IF(OR(E1063="",F1063=""),"",E1063+F1063)</f>
        <v/>
      </c>
      <c r="H1063" s="7">
        <f>IFERROR(IF(OR(E1063="",INDEX(E:E,MATCH(DATE(YEAR($A1063)-1,MONTH($A1063),DAY($A1063)),$A:$A,0))=""),"",E1063/INDEX(E:E,MATCH(DATE(YEAR($A1063)-1,MONTH($A1063),DAY($A1063)),$A:$A,0))-1),"")</f>
        <v/>
      </c>
      <c r="I1063" s="7">
        <f>IFERROR(IF(OR(F1063="",INDEX(F:F,MATCH(DATE(YEAR($A1063)-1,MONTH($A1063),DAY($A1063)),$A:$A,0))=""),"",F1063/INDEX(F:F,MATCH(DATE(YEAR($A1063)-1,MONTH($A1063),DAY($A1063)),$A:$A,0))-1),"")</f>
        <v/>
      </c>
      <c r="J1063" s="7">
        <f>IFERROR(IF(OR(G1063="",INDEX(G:G,MATCH(DATE(YEAR($A1063)-1,MONTH($A1063),DAY($A1063)),$A:$A,0))=""),"",G1063/INDEX(G:G,MATCH(DATE(YEAR($A1063)-1,MONTH($A1063),DAY($A1063)),$A:$A,0))-1),"")</f>
        <v/>
      </c>
      <c r="K1063" s="7">
        <f>IF(OR(E1063="",E1062=""),"",E1063/E1062-1)</f>
        <v/>
      </c>
      <c r="L1063" s="7">
        <f>IF(OR(F1063="",F1062=""),"",F1063/F1062-1)</f>
        <v/>
      </c>
      <c r="M1063" s="7">
        <f>IF(OR(G1063="",G1062=""),"",G1063/G1062-1)</f>
        <v/>
      </c>
      <c r="N1063" s="7">
        <f>IF(G1063="","",E1063/G1063)</f>
        <v/>
      </c>
      <c r="O1063" s="7">
        <f>IF(G1063="","",F1063/G1063)</f>
        <v/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4">
        <f>IF(SUMIFS('Daily NSE Equity Cash'!$H:$H,'Daily NSE Equity Cash'!$A:$A,$A1064)=0,"",SUMIFS('Daily NSE Equity Cash'!$H:$H,'Daily NSE Equity Cash'!$A:$A,$A1064))</f>
        <v/>
      </c>
      <c r="F1064" s="4">
        <f>IF(SUMIFS('Daily BSE Equity Cash'!$H:$H,'Daily BSE Equity Cash'!$A:$A,$A1064)=0,"",SUMIFS('Daily BSE Equity Cash'!$H:$H,'Daily BSE Equity Cash'!$A:$A,$A1064))</f>
        <v/>
      </c>
      <c r="G1064" s="4">
        <f>IF(OR(E1064="",F1064=""),"",E1064+F1064)</f>
        <v/>
      </c>
      <c r="H1064" s="7">
        <f>IFERROR(IF(OR(E1064="",INDEX(E:E,MATCH(DATE(YEAR($A1064)-1,MONTH($A1064),DAY($A1064)),$A:$A,0))=""),"",E1064/INDEX(E:E,MATCH(DATE(YEAR($A1064)-1,MONTH($A1064),DAY($A1064)),$A:$A,0))-1),"")</f>
        <v/>
      </c>
      <c r="I1064" s="7">
        <f>IFERROR(IF(OR(F1064="",INDEX(F:F,MATCH(DATE(YEAR($A1064)-1,MONTH($A1064),DAY($A1064)),$A:$A,0))=""),"",F1064/INDEX(F:F,MATCH(DATE(YEAR($A1064)-1,MONTH($A1064),DAY($A1064)),$A:$A,0))-1),"")</f>
        <v/>
      </c>
      <c r="J1064" s="7">
        <f>IFERROR(IF(OR(G1064="",INDEX(G:G,MATCH(DATE(YEAR($A1064)-1,MONTH($A1064),DAY($A1064)),$A:$A,0))=""),"",G1064/INDEX(G:G,MATCH(DATE(YEAR($A1064)-1,MONTH($A1064),DAY($A1064)),$A:$A,0))-1),"")</f>
        <v/>
      </c>
      <c r="K1064" s="7">
        <f>IF(OR(E1064="",E1063=""),"",E1064/E1063-1)</f>
        <v/>
      </c>
      <c r="L1064" s="7">
        <f>IF(OR(F1064="",F1063=""),"",F1064/F1063-1)</f>
        <v/>
      </c>
      <c r="M1064" s="7">
        <f>IF(OR(G1064="",G1063=""),"",G1064/G1063-1)</f>
        <v/>
      </c>
      <c r="N1064" s="7">
        <f>IF(G1064="","",E1064/G1064)</f>
        <v/>
      </c>
      <c r="O1064" s="7">
        <f>IF(G1064="","",F1064/G1064)</f>
        <v/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4">
        <f>IF(SUMIFS('Daily NSE Equity Cash'!$H:$H,'Daily NSE Equity Cash'!$A:$A,$A1065)=0,"",SUMIFS('Daily NSE Equity Cash'!$H:$H,'Daily NSE Equity Cash'!$A:$A,$A1065))</f>
        <v/>
      </c>
      <c r="F1065" s="4">
        <f>IF(SUMIFS('Daily BSE Equity Cash'!$H:$H,'Daily BSE Equity Cash'!$A:$A,$A1065)=0,"",SUMIFS('Daily BSE Equity Cash'!$H:$H,'Daily BSE Equity Cash'!$A:$A,$A1065))</f>
        <v/>
      </c>
      <c r="G1065" s="4">
        <f>IF(OR(E1065="",F1065=""),"",E1065+F1065)</f>
        <v/>
      </c>
      <c r="H1065" s="7">
        <f>IFERROR(IF(OR(E1065="",INDEX(E:E,MATCH(DATE(YEAR($A1065)-1,MONTH($A1065),DAY($A1065)),$A:$A,0))=""),"",E1065/INDEX(E:E,MATCH(DATE(YEAR($A1065)-1,MONTH($A1065),DAY($A1065)),$A:$A,0))-1),"")</f>
        <v/>
      </c>
      <c r="I1065" s="7">
        <f>IFERROR(IF(OR(F1065="",INDEX(F:F,MATCH(DATE(YEAR($A1065)-1,MONTH($A1065),DAY($A1065)),$A:$A,0))=""),"",F1065/INDEX(F:F,MATCH(DATE(YEAR($A1065)-1,MONTH($A1065),DAY($A1065)),$A:$A,0))-1),"")</f>
        <v/>
      </c>
      <c r="J1065" s="7">
        <f>IFERROR(IF(OR(G1065="",INDEX(G:G,MATCH(DATE(YEAR($A1065)-1,MONTH($A1065),DAY($A1065)),$A:$A,0))=""),"",G1065/INDEX(G:G,MATCH(DATE(YEAR($A1065)-1,MONTH($A1065),DAY($A1065)),$A:$A,0))-1),"")</f>
        <v/>
      </c>
      <c r="K1065" s="7">
        <f>IF(OR(E1065="",E1064=""),"",E1065/E1064-1)</f>
        <v/>
      </c>
      <c r="L1065" s="7">
        <f>IF(OR(F1065="",F1064=""),"",F1065/F1064-1)</f>
        <v/>
      </c>
      <c r="M1065" s="7">
        <f>IF(OR(G1065="",G1064=""),"",G1065/G1064-1)</f>
        <v/>
      </c>
      <c r="N1065" s="7">
        <f>IF(G1065="","",E1065/G1065)</f>
        <v/>
      </c>
      <c r="O1065" s="7">
        <f>IF(G1065="","",F1065/G1065)</f>
        <v/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4">
        <f>IF(SUMIFS('Daily NSE Equity Cash'!$H:$H,'Daily NSE Equity Cash'!$A:$A,$A1066)=0,"",SUMIFS('Daily NSE Equity Cash'!$H:$H,'Daily NSE Equity Cash'!$A:$A,$A1066))</f>
        <v/>
      </c>
      <c r="F1066" s="4">
        <f>IF(SUMIFS('Daily BSE Equity Cash'!$H:$H,'Daily BSE Equity Cash'!$A:$A,$A1066)=0,"",SUMIFS('Daily BSE Equity Cash'!$H:$H,'Daily BSE Equity Cash'!$A:$A,$A1066))</f>
        <v/>
      </c>
      <c r="G1066" s="4">
        <f>IF(OR(E1066="",F1066=""),"",E1066+F1066)</f>
        <v/>
      </c>
      <c r="H1066" s="7">
        <f>IFERROR(IF(OR(E1066="",INDEX(E:E,MATCH(DATE(YEAR($A1066)-1,MONTH($A1066),DAY($A1066)),$A:$A,0))=""),"",E1066/INDEX(E:E,MATCH(DATE(YEAR($A1066)-1,MONTH($A1066),DAY($A1066)),$A:$A,0))-1),"")</f>
        <v/>
      </c>
      <c r="I1066" s="7">
        <f>IFERROR(IF(OR(F1066="",INDEX(F:F,MATCH(DATE(YEAR($A1066)-1,MONTH($A1066),DAY($A1066)),$A:$A,0))=""),"",F1066/INDEX(F:F,MATCH(DATE(YEAR($A1066)-1,MONTH($A1066),DAY($A1066)),$A:$A,0))-1),"")</f>
        <v/>
      </c>
      <c r="J1066" s="7">
        <f>IFERROR(IF(OR(G1066="",INDEX(G:G,MATCH(DATE(YEAR($A1066)-1,MONTH($A1066),DAY($A1066)),$A:$A,0))=""),"",G1066/INDEX(G:G,MATCH(DATE(YEAR($A1066)-1,MONTH($A1066),DAY($A1066)),$A:$A,0))-1),"")</f>
        <v/>
      </c>
      <c r="K1066" s="7">
        <f>IF(OR(E1066="",E1065=""),"",E1066/E1065-1)</f>
        <v/>
      </c>
      <c r="L1066" s="7">
        <f>IF(OR(F1066="",F1065=""),"",F1066/F1065-1)</f>
        <v/>
      </c>
      <c r="M1066" s="7">
        <f>IF(OR(G1066="",G1065=""),"",G1066/G1065-1)</f>
        <v/>
      </c>
      <c r="N1066" s="7">
        <f>IF(G1066="","",E1066/G1066)</f>
        <v/>
      </c>
      <c r="O1066" s="7">
        <f>IF(G1066="","",F1066/G1066)</f>
        <v/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4">
        <f>IF(SUMIFS('Daily NSE Equity Cash'!$H:$H,'Daily NSE Equity Cash'!$A:$A,$A1067)=0,"",SUMIFS('Daily NSE Equity Cash'!$H:$H,'Daily NSE Equity Cash'!$A:$A,$A1067))</f>
        <v/>
      </c>
      <c r="F1067" s="4">
        <f>IF(SUMIFS('Daily BSE Equity Cash'!$H:$H,'Daily BSE Equity Cash'!$A:$A,$A1067)=0,"",SUMIFS('Daily BSE Equity Cash'!$H:$H,'Daily BSE Equity Cash'!$A:$A,$A1067))</f>
        <v/>
      </c>
      <c r="G1067" s="4">
        <f>IF(OR(E1067="",F1067=""),"",E1067+F1067)</f>
        <v/>
      </c>
      <c r="H1067" s="7">
        <f>IFERROR(IF(OR(E1067="",INDEX(E:E,MATCH(DATE(YEAR($A1067)-1,MONTH($A1067),DAY($A1067)),$A:$A,0))=""),"",E1067/INDEX(E:E,MATCH(DATE(YEAR($A1067)-1,MONTH($A1067),DAY($A1067)),$A:$A,0))-1),"")</f>
        <v/>
      </c>
      <c r="I1067" s="7">
        <f>IFERROR(IF(OR(F1067="",INDEX(F:F,MATCH(DATE(YEAR($A1067)-1,MONTH($A1067),DAY($A1067)),$A:$A,0))=""),"",F1067/INDEX(F:F,MATCH(DATE(YEAR($A1067)-1,MONTH($A1067),DAY($A1067)),$A:$A,0))-1),"")</f>
        <v/>
      </c>
      <c r="J1067" s="7">
        <f>IFERROR(IF(OR(G1067="",INDEX(G:G,MATCH(DATE(YEAR($A1067)-1,MONTH($A1067),DAY($A1067)),$A:$A,0))=""),"",G1067/INDEX(G:G,MATCH(DATE(YEAR($A1067)-1,MONTH($A1067),DAY($A1067)),$A:$A,0))-1),"")</f>
        <v/>
      </c>
      <c r="K1067" s="7">
        <f>IF(OR(E1067="",E1066=""),"",E1067/E1066-1)</f>
        <v/>
      </c>
      <c r="L1067" s="7">
        <f>IF(OR(F1067="",F1066=""),"",F1067/F1066-1)</f>
        <v/>
      </c>
      <c r="M1067" s="7">
        <f>IF(OR(G1067="",G1066=""),"",G1067/G1066-1)</f>
        <v/>
      </c>
      <c r="N1067" s="7">
        <f>IF(G1067="","",E1067/G1067)</f>
        <v/>
      </c>
      <c r="O1067" s="7">
        <f>IF(G1067="","",F1067/G1067)</f>
        <v/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4">
        <f>IF(SUMIFS('Daily NSE Equity Cash'!$H:$H,'Daily NSE Equity Cash'!$A:$A,$A1068)=0,"",SUMIFS('Daily NSE Equity Cash'!$H:$H,'Daily NSE Equity Cash'!$A:$A,$A1068))</f>
        <v/>
      </c>
      <c r="F1068" s="4">
        <f>IF(SUMIFS('Daily BSE Equity Cash'!$H:$H,'Daily BSE Equity Cash'!$A:$A,$A1068)=0,"",SUMIFS('Daily BSE Equity Cash'!$H:$H,'Daily BSE Equity Cash'!$A:$A,$A1068))</f>
        <v/>
      </c>
      <c r="G1068" s="4">
        <f>IF(OR(E1068="",F1068=""),"",E1068+F1068)</f>
        <v/>
      </c>
      <c r="H1068" s="7">
        <f>IFERROR(IF(OR(E1068="",INDEX(E:E,MATCH(DATE(YEAR($A1068)-1,MONTH($A1068),DAY($A1068)),$A:$A,0))=""),"",E1068/INDEX(E:E,MATCH(DATE(YEAR($A1068)-1,MONTH($A1068),DAY($A1068)),$A:$A,0))-1),"")</f>
        <v/>
      </c>
      <c r="I1068" s="7">
        <f>IFERROR(IF(OR(F1068="",INDEX(F:F,MATCH(DATE(YEAR($A1068)-1,MONTH($A1068),DAY($A1068)),$A:$A,0))=""),"",F1068/INDEX(F:F,MATCH(DATE(YEAR($A1068)-1,MONTH($A1068),DAY($A1068)),$A:$A,0))-1),"")</f>
        <v/>
      </c>
      <c r="J1068" s="7">
        <f>IFERROR(IF(OR(G1068="",INDEX(G:G,MATCH(DATE(YEAR($A1068)-1,MONTH($A1068),DAY($A1068)),$A:$A,0))=""),"",G1068/INDEX(G:G,MATCH(DATE(YEAR($A1068)-1,MONTH($A1068),DAY($A1068)),$A:$A,0))-1),"")</f>
        <v/>
      </c>
      <c r="K1068" s="7">
        <f>IF(OR(E1068="",E1067=""),"",E1068/E1067-1)</f>
        <v/>
      </c>
      <c r="L1068" s="7">
        <f>IF(OR(F1068="",F1067=""),"",F1068/F1067-1)</f>
        <v/>
      </c>
      <c r="M1068" s="7">
        <f>IF(OR(G1068="",G1067=""),"",G1068/G1067-1)</f>
        <v/>
      </c>
      <c r="N1068" s="7">
        <f>IF(G1068="","",E1068/G1068)</f>
        <v/>
      </c>
      <c r="O1068" s="7">
        <f>IF(G1068="","",F1068/G1068)</f>
        <v/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4">
        <f>IF(SUMIFS('Daily NSE Equity Cash'!$H:$H,'Daily NSE Equity Cash'!$A:$A,$A1069)=0,"",SUMIFS('Daily NSE Equity Cash'!$H:$H,'Daily NSE Equity Cash'!$A:$A,$A1069))</f>
        <v/>
      </c>
      <c r="F1069" s="4">
        <f>IF(SUMIFS('Daily BSE Equity Cash'!$H:$H,'Daily BSE Equity Cash'!$A:$A,$A1069)=0,"",SUMIFS('Daily BSE Equity Cash'!$H:$H,'Daily BSE Equity Cash'!$A:$A,$A1069))</f>
        <v/>
      </c>
      <c r="G1069" s="4">
        <f>IF(OR(E1069="",F1069=""),"",E1069+F1069)</f>
        <v/>
      </c>
      <c r="H1069" s="7">
        <f>IFERROR(IF(OR(E1069="",INDEX(E:E,MATCH(DATE(YEAR($A1069)-1,MONTH($A1069),DAY($A1069)),$A:$A,0))=""),"",E1069/INDEX(E:E,MATCH(DATE(YEAR($A1069)-1,MONTH($A1069),DAY($A1069)),$A:$A,0))-1),"")</f>
        <v/>
      </c>
      <c r="I1069" s="7">
        <f>IFERROR(IF(OR(F1069="",INDEX(F:F,MATCH(DATE(YEAR($A1069)-1,MONTH($A1069),DAY($A1069)),$A:$A,0))=""),"",F1069/INDEX(F:F,MATCH(DATE(YEAR($A1069)-1,MONTH($A1069),DAY($A1069)),$A:$A,0))-1),"")</f>
        <v/>
      </c>
      <c r="J1069" s="7">
        <f>IFERROR(IF(OR(G1069="",INDEX(G:G,MATCH(DATE(YEAR($A1069)-1,MONTH($A1069),DAY($A1069)),$A:$A,0))=""),"",G1069/INDEX(G:G,MATCH(DATE(YEAR($A1069)-1,MONTH($A1069),DAY($A1069)),$A:$A,0))-1),"")</f>
        <v/>
      </c>
      <c r="K1069" s="7">
        <f>IF(OR(E1069="",E1068=""),"",E1069/E1068-1)</f>
        <v/>
      </c>
      <c r="L1069" s="7">
        <f>IF(OR(F1069="",F1068=""),"",F1069/F1068-1)</f>
        <v/>
      </c>
      <c r="M1069" s="7">
        <f>IF(OR(G1069="",G1068=""),"",G1069/G1068-1)</f>
        <v/>
      </c>
      <c r="N1069" s="7">
        <f>IF(G1069="","",E1069/G1069)</f>
        <v/>
      </c>
      <c r="O1069" s="7">
        <f>IF(G1069="","",F1069/G1069)</f>
        <v/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4">
        <f>IF(SUMIFS('Daily NSE Equity Cash'!$H:$H,'Daily NSE Equity Cash'!$A:$A,$A1070)=0,"",SUMIFS('Daily NSE Equity Cash'!$H:$H,'Daily NSE Equity Cash'!$A:$A,$A1070))</f>
        <v/>
      </c>
      <c r="F1070" s="4">
        <f>IF(SUMIFS('Daily BSE Equity Cash'!$H:$H,'Daily BSE Equity Cash'!$A:$A,$A1070)=0,"",SUMIFS('Daily BSE Equity Cash'!$H:$H,'Daily BSE Equity Cash'!$A:$A,$A1070))</f>
        <v/>
      </c>
      <c r="G1070" s="4">
        <f>IF(OR(E1070="",F1070=""),"",E1070+F1070)</f>
        <v/>
      </c>
      <c r="H1070" s="7">
        <f>IFERROR(IF(OR(E1070="",INDEX(E:E,MATCH(DATE(YEAR($A1070)-1,MONTH($A1070),DAY($A1070)),$A:$A,0))=""),"",E1070/INDEX(E:E,MATCH(DATE(YEAR($A1070)-1,MONTH($A1070),DAY($A1070)),$A:$A,0))-1),"")</f>
        <v/>
      </c>
      <c r="I1070" s="7">
        <f>IFERROR(IF(OR(F1070="",INDEX(F:F,MATCH(DATE(YEAR($A1070)-1,MONTH($A1070),DAY($A1070)),$A:$A,0))=""),"",F1070/INDEX(F:F,MATCH(DATE(YEAR($A1070)-1,MONTH($A1070),DAY($A1070)),$A:$A,0))-1),"")</f>
        <v/>
      </c>
      <c r="J1070" s="7">
        <f>IFERROR(IF(OR(G1070="",INDEX(G:G,MATCH(DATE(YEAR($A1070)-1,MONTH($A1070),DAY($A1070)),$A:$A,0))=""),"",G1070/INDEX(G:G,MATCH(DATE(YEAR($A1070)-1,MONTH($A1070),DAY($A1070)),$A:$A,0))-1),"")</f>
        <v/>
      </c>
      <c r="K1070" s="7">
        <f>IF(OR(E1070="",E1069=""),"",E1070/E1069-1)</f>
        <v/>
      </c>
      <c r="L1070" s="7">
        <f>IF(OR(F1070="",F1069=""),"",F1070/F1069-1)</f>
        <v/>
      </c>
      <c r="M1070" s="7">
        <f>IF(OR(G1070="",G1069=""),"",G1070/G1069-1)</f>
        <v/>
      </c>
      <c r="N1070" s="7">
        <f>IF(G1070="","",E1070/G1070)</f>
        <v/>
      </c>
      <c r="O1070" s="7">
        <f>IF(G1070="","",F1070/G1070)</f>
        <v/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4">
        <f>IF(SUMIFS('Daily NSE Equity Cash'!$H:$H,'Daily NSE Equity Cash'!$A:$A,$A1071)=0,"",SUMIFS('Daily NSE Equity Cash'!$H:$H,'Daily NSE Equity Cash'!$A:$A,$A1071))</f>
        <v/>
      </c>
      <c r="F1071" s="4">
        <f>IF(SUMIFS('Daily BSE Equity Cash'!$H:$H,'Daily BSE Equity Cash'!$A:$A,$A1071)=0,"",SUMIFS('Daily BSE Equity Cash'!$H:$H,'Daily BSE Equity Cash'!$A:$A,$A1071))</f>
        <v/>
      </c>
      <c r="G1071" s="4">
        <f>IF(OR(E1071="",F1071=""),"",E1071+F1071)</f>
        <v/>
      </c>
      <c r="H1071" s="7">
        <f>IFERROR(IF(OR(E1071="",INDEX(E:E,MATCH(DATE(YEAR($A1071)-1,MONTH($A1071),DAY($A1071)),$A:$A,0))=""),"",E1071/INDEX(E:E,MATCH(DATE(YEAR($A1071)-1,MONTH($A1071),DAY($A1071)),$A:$A,0))-1),"")</f>
        <v/>
      </c>
      <c r="I1071" s="7">
        <f>IFERROR(IF(OR(F1071="",INDEX(F:F,MATCH(DATE(YEAR($A1071)-1,MONTH($A1071),DAY($A1071)),$A:$A,0))=""),"",F1071/INDEX(F:F,MATCH(DATE(YEAR($A1071)-1,MONTH($A1071),DAY($A1071)),$A:$A,0))-1),"")</f>
        <v/>
      </c>
      <c r="J1071" s="7">
        <f>IFERROR(IF(OR(G1071="",INDEX(G:G,MATCH(DATE(YEAR($A1071)-1,MONTH($A1071),DAY($A1071)),$A:$A,0))=""),"",G1071/INDEX(G:G,MATCH(DATE(YEAR($A1071)-1,MONTH($A1071),DAY($A1071)),$A:$A,0))-1),"")</f>
        <v/>
      </c>
      <c r="K1071" s="7">
        <f>IF(OR(E1071="",E1070=""),"",E1071/E1070-1)</f>
        <v/>
      </c>
      <c r="L1071" s="7">
        <f>IF(OR(F1071="",F1070=""),"",F1071/F1070-1)</f>
        <v/>
      </c>
      <c r="M1071" s="7">
        <f>IF(OR(G1071="",G1070=""),"",G1071/G1070-1)</f>
        <v/>
      </c>
      <c r="N1071" s="7">
        <f>IF(G1071="","",E1071/G1071)</f>
        <v/>
      </c>
      <c r="O1071" s="7">
        <f>IF(G1071="","",F1071/G1071)</f>
        <v/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4">
        <f>IF(SUMIFS('Daily NSE Equity Cash'!$H:$H,'Daily NSE Equity Cash'!$A:$A,$A1072)=0,"",SUMIFS('Daily NSE Equity Cash'!$H:$H,'Daily NSE Equity Cash'!$A:$A,$A1072))</f>
        <v/>
      </c>
      <c r="F1072" s="4">
        <f>IF(SUMIFS('Daily BSE Equity Cash'!$H:$H,'Daily BSE Equity Cash'!$A:$A,$A1072)=0,"",SUMIFS('Daily BSE Equity Cash'!$H:$H,'Daily BSE Equity Cash'!$A:$A,$A1072))</f>
        <v/>
      </c>
      <c r="G1072" s="4">
        <f>IF(OR(E1072="",F1072=""),"",E1072+F1072)</f>
        <v/>
      </c>
      <c r="H1072" s="7">
        <f>IFERROR(IF(OR(E1072="",INDEX(E:E,MATCH(DATE(YEAR($A1072)-1,MONTH($A1072),DAY($A1072)),$A:$A,0))=""),"",E1072/INDEX(E:E,MATCH(DATE(YEAR($A1072)-1,MONTH($A1072),DAY($A1072)),$A:$A,0))-1),"")</f>
        <v/>
      </c>
      <c r="I1072" s="7">
        <f>IFERROR(IF(OR(F1072="",INDEX(F:F,MATCH(DATE(YEAR($A1072)-1,MONTH($A1072),DAY($A1072)),$A:$A,0))=""),"",F1072/INDEX(F:F,MATCH(DATE(YEAR($A1072)-1,MONTH($A1072),DAY($A1072)),$A:$A,0))-1),"")</f>
        <v/>
      </c>
      <c r="J1072" s="7">
        <f>IFERROR(IF(OR(G1072="",INDEX(G:G,MATCH(DATE(YEAR($A1072)-1,MONTH($A1072),DAY($A1072)),$A:$A,0))=""),"",G1072/INDEX(G:G,MATCH(DATE(YEAR($A1072)-1,MONTH($A1072),DAY($A1072)),$A:$A,0))-1),"")</f>
        <v/>
      </c>
      <c r="K1072" s="7">
        <f>IF(OR(E1072="",E1071=""),"",E1072/E1071-1)</f>
        <v/>
      </c>
      <c r="L1072" s="7">
        <f>IF(OR(F1072="",F1071=""),"",F1072/F1071-1)</f>
        <v/>
      </c>
      <c r="M1072" s="7">
        <f>IF(OR(G1072="",G1071=""),"",G1072/G1071-1)</f>
        <v/>
      </c>
      <c r="N1072" s="7">
        <f>IF(G1072="","",E1072/G1072)</f>
        <v/>
      </c>
      <c r="O1072" s="7">
        <f>IF(G1072="","",F1072/G1072)</f>
        <v/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4">
        <f>IF(SUMIFS('Daily NSE Equity Cash'!$H:$H,'Daily NSE Equity Cash'!$A:$A,$A1073)=0,"",SUMIFS('Daily NSE Equity Cash'!$H:$H,'Daily NSE Equity Cash'!$A:$A,$A1073))</f>
        <v/>
      </c>
      <c r="F1073" s="4">
        <f>IF(SUMIFS('Daily BSE Equity Cash'!$H:$H,'Daily BSE Equity Cash'!$A:$A,$A1073)=0,"",SUMIFS('Daily BSE Equity Cash'!$H:$H,'Daily BSE Equity Cash'!$A:$A,$A1073))</f>
        <v/>
      </c>
      <c r="G1073" s="4">
        <f>IF(OR(E1073="",F1073=""),"",E1073+F1073)</f>
        <v/>
      </c>
      <c r="H1073" s="7">
        <f>IFERROR(IF(OR(E1073="",INDEX(E:E,MATCH(DATE(YEAR($A1073)-1,MONTH($A1073),DAY($A1073)),$A:$A,0))=""),"",E1073/INDEX(E:E,MATCH(DATE(YEAR($A1073)-1,MONTH($A1073),DAY($A1073)),$A:$A,0))-1),"")</f>
        <v/>
      </c>
      <c r="I1073" s="7">
        <f>IFERROR(IF(OR(F1073="",INDEX(F:F,MATCH(DATE(YEAR($A1073)-1,MONTH($A1073),DAY($A1073)),$A:$A,0))=""),"",F1073/INDEX(F:F,MATCH(DATE(YEAR($A1073)-1,MONTH($A1073),DAY($A1073)),$A:$A,0))-1),"")</f>
        <v/>
      </c>
      <c r="J1073" s="7">
        <f>IFERROR(IF(OR(G1073="",INDEX(G:G,MATCH(DATE(YEAR($A1073)-1,MONTH($A1073),DAY($A1073)),$A:$A,0))=""),"",G1073/INDEX(G:G,MATCH(DATE(YEAR($A1073)-1,MONTH($A1073),DAY($A1073)),$A:$A,0))-1),"")</f>
        <v/>
      </c>
      <c r="K1073" s="7">
        <f>IF(OR(E1073="",E1072=""),"",E1073/E1072-1)</f>
        <v/>
      </c>
      <c r="L1073" s="7">
        <f>IF(OR(F1073="",F1072=""),"",F1073/F1072-1)</f>
        <v/>
      </c>
      <c r="M1073" s="7">
        <f>IF(OR(G1073="",G1072=""),"",G1073/G1072-1)</f>
        <v/>
      </c>
      <c r="N1073" s="7">
        <f>IF(G1073="","",E1073/G1073)</f>
        <v/>
      </c>
      <c r="O1073" s="7">
        <f>IF(G1073="","",F1073/G1073)</f>
        <v/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4">
        <f>IF(SUMIFS('Daily NSE Equity Cash'!$H:$H,'Daily NSE Equity Cash'!$A:$A,$A1074)=0,"",SUMIFS('Daily NSE Equity Cash'!$H:$H,'Daily NSE Equity Cash'!$A:$A,$A1074))</f>
        <v/>
      </c>
      <c r="F1074" s="4">
        <f>IF(SUMIFS('Daily BSE Equity Cash'!$H:$H,'Daily BSE Equity Cash'!$A:$A,$A1074)=0,"",SUMIFS('Daily BSE Equity Cash'!$H:$H,'Daily BSE Equity Cash'!$A:$A,$A1074))</f>
        <v/>
      </c>
      <c r="G1074" s="4">
        <f>IF(OR(E1074="",F1074=""),"",E1074+F1074)</f>
        <v/>
      </c>
      <c r="H1074" s="7">
        <f>IFERROR(IF(OR(E1074="",INDEX(E:E,MATCH(DATE(YEAR($A1074)-1,MONTH($A1074),DAY($A1074)),$A:$A,0))=""),"",E1074/INDEX(E:E,MATCH(DATE(YEAR($A1074)-1,MONTH($A1074),DAY($A1074)),$A:$A,0))-1),"")</f>
        <v/>
      </c>
      <c r="I1074" s="7">
        <f>IFERROR(IF(OR(F1074="",INDEX(F:F,MATCH(DATE(YEAR($A1074)-1,MONTH($A1074),DAY($A1074)),$A:$A,0))=""),"",F1074/INDEX(F:F,MATCH(DATE(YEAR($A1074)-1,MONTH($A1074),DAY($A1074)),$A:$A,0))-1),"")</f>
        <v/>
      </c>
      <c r="J1074" s="7">
        <f>IFERROR(IF(OR(G1074="",INDEX(G:G,MATCH(DATE(YEAR($A1074)-1,MONTH($A1074),DAY($A1074)),$A:$A,0))=""),"",G1074/INDEX(G:G,MATCH(DATE(YEAR($A1074)-1,MONTH($A1074),DAY($A1074)),$A:$A,0))-1),"")</f>
        <v/>
      </c>
      <c r="K1074" s="7">
        <f>IF(OR(E1074="",E1073=""),"",E1074/E1073-1)</f>
        <v/>
      </c>
      <c r="L1074" s="7">
        <f>IF(OR(F1074="",F1073=""),"",F1074/F1073-1)</f>
        <v/>
      </c>
      <c r="M1074" s="7">
        <f>IF(OR(G1074="",G1073=""),"",G1074/G1073-1)</f>
        <v/>
      </c>
      <c r="N1074" s="7">
        <f>IF(G1074="","",E1074/G1074)</f>
        <v/>
      </c>
      <c r="O1074" s="7">
        <f>IF(G1074="","",F1074/G1074)</f>
        <v/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4">
        <f>IF(SUMIFS('Daily NSE Equity Cash'!$H:$H,'Daily NSE Equity Cash'!$A:$A,$A1075)=0,"",SUMIFS('Daily NSE Equity Cash'!$H:$H,'Daily NSE Equity Cash'!$A:$A,$A1075))</f>
        <v/>
      </c>
      <c r="F1075" s="4">
        <f>IF(SUMIFS('Daily BSE Equity Cash'!$H:$H,'Daily BSE Equity Cash'!$A:$A,$A1075)=0,"",SUMIFS('Daily BSE Equity Cash'!$H:$H,'Daily BSE Equity Cash'!$A:$A,$A1075))</f>
        <v/>
      </c>
      <c r="G1075" s="4">
        <f>IF(OR(E1075="",F1075=""),"",E1075+F1075)</f>
        <v/>
      </c>
      <c r="H1075" s="7">
        <f>IFERROR(IF(OR(E1075="",INDEX(E:E,MATCH(DATE(YEAR($A1075)-1,MONTH($A1075),DAY($A1075)),$A:$A,0))=""),"",E1075/INDEX(E:E,MATCH(DATE(YEAR($A1075)-1,MONTH($A1075),DAY($A1075)),$A:$A,0))-1),"")</f>
        <v/>
      </c>
      <c r="I1075" s="7">
        <f>IFERROR(IF(OR(F1075="",INDEX(F:F,MATCH(DATE(YEAR($A1075)-1,MONTH($A1075),DAY($A1075)),$A:$A,0))=""),"",F1075/INDEX(F:F,MATCH(DATE(YEAR($A1075)-1,MONTH($A1075),DAY($A1075)),$A:$A,0))-1),"")</f>
        <v/>
      </c>
      <c r="J1075" s="7">
        <f>IFERROR(IF(OR(G1075="",INDEX(G:G,MATCH(DATE(YEAR($A1075)-1,MONTH($A1075),DAY($A1075)),$A:$A,0))=""),"",G1075/INDEX(G:G,MATCH(DATE(YEAR($A1075)-1,MONTH($A1075),DAY($A1075)),$A:$A,0))-1),"")</f>
        <v/>
      </c>
      <c r="K1075" s="7">
        <f>IF(OR(E1075="",E1074=""),"",E1075/E1074-1)</f>
        <v/>
      </c>
      <c r="L1075" s="7">
        <f>IF(OR(F1075="",F1074=""),"",F1075/F1074-1)</f>
        <v/>
      </c>
      <c r="M1075" s="7">
        <f>IF(OR(G1075="",G1074=""),"",G1075/G1074-1)</f>
        <v/>
      </c>
      <c r="N1075" s="7">
        <f>IF(G1075="","",E1075/G1075)</f>
        <v/>
      </c>
      <c r="O1075" s="7">
        <f>IF(G1075="","",F1075/G1075)</f>
        <v/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4">
        <f>IF(SUMIFS('Daily NSE Equity Cash'!$H:$H,'Daily NSE Equity Cash'!$A:$A,$A1076)=0,"",SUMIFS('Daily NSE Equity Cash'!$H:$H,'Daily NSE Equity Cash'!$A:$A,$A1076))</f>
        <v/>
      </c>
      <c r="F1076" s="4">
        <f>IF(SUMIFS('Daily BSE Equity Cash'!$H:$H,'Daily BSE Equity Cash'!$A:$A,$A1076)=0,"",SUMIFS('Daily BSE Equity Cash'!$H:$H,'Daily BSE Equity Cash'!$A:$A,$A1076))</f>
        <v/>
      </c>
      <c r="G1076" s="4">
        <f>IF(OR(E1076="",F1076=""),"",E1076+F1076)</f>
        <v/>
      </c>
      <c r="H1076" s="7">
        <f>IFERROR(IF(OR(E1076="",INDEX(E:E,MATCH(DATE(YEAR($A1076)-1,MONTH($A1076),DAY($A1076)),$A:$A,0))=""),"",E1076/INDEX(E:E,MATCH(DATE(YEAR($A1076)-1,MONTH($A1076),DAY($A1076)),$A:$A,0))-1),"")</f>
        <v/>
      </c>
      <c r="I1076" s="7">
        <f>IFERROR(IF(OR(F1076="",INDEX(F:F,MATCH(DATE(YEAR($A1076)-1,MONTH($A1076),DAY($A1076)),$A:$A,0))=""),"",F1076/INDEX(F:F,MATCH(DATE(YEAR($A1076)-1,MONTH($A1076),DAY($A1076)),$A:$A,0))-1),"")</f>
        <v/>
      </c>
      <c r="J1076" s="7">
        <f>IFERROR(IF(OR(G1076="",INDEX(G:G,MATCH(DATE(YEAR($A1076)-1,MONTH($A1076),DAY($A1076)),$A:$A,0))=""),"",G1076/INDEX(G:G,MATCH(DATE(YEAR($A1076)-1,MONTH($A1076),DAY($A1076)),$A:$A,0))-1),"")</f>
        <v/>
      </c>
      <c r="K1076" s="7">
        <f>IF(OR(E1076="",E1075=""),"",E1076/E1075-1)</f>
        <v/>
      </c>
      <c r="L1076" s="7">
        <f>IF(OR(F1076="",F1075=""),"",F1076/F1075-1)</f>
        <v/>
      </c>
      <c r="M1076" s="7">
        <f>IF(OR(G1076="",G1075=""),"",G1076/G1075-1)</f>
        <v/>
      </c>
      <c r="N1076" s="7">
        <f>IF(G1076="","",E1076/G1076)</f>
        <v/>
      </c>
      <c r="O1076" s="7">
        <f>IF(G1076="","",F1076/G1076)</f>
        <v/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4">
        <f>IF(SUMIFS('Daily NSE Equity Cash'!$H:$H,'Daily NSE Equity Cash'!$A:$A,$A1077)=0,"",SUMIFS('Daily NSE Equity Cash'!$H:$H,'Daily NSE Equity Cash'!$A:$A,$A1077))</f>
        <v/>
      </c>
      <c r="F1077" s="4">
        <f>IF(SUMIFS('Daily BSE Equity Cash'!$H:$H,'Daily BSE Equity Cash'!$A:$A,$A1077)=0,"",SUMIFS('Daily BSE Equity Cash'!$H:$H,'Daily BSE Equity Cash'!$A:$A,$A1077))</f>
        <v/>
      </c>
      <c r="G1077" s="4">
        <f>IF(OR(E1077="",F1077=""),"",E1077+F1077)</f>
        <v/>
      </c>
      <c r="H1077" s="7">
        <f>IFERROR(IF(OR(E1077="",INDEX(E:E,MATCH(DATE(YEAR($A1077)-1,MONTH($A1077),DAY($A1077)),$A:$A,0))=""),"",E1077/INDEX(E:E,MATCH(DATE(YEAR($A1077)-1,MONTH($A1077),DAY($A1077)),$A:$A,0))-1),"")</f>
        <v/>
      </c>
      <c r="I1077" s="7">
        <f>IFERROR(IF(OR(F1077="",INDEX(F:F,MATCH(DATE(YEAR($A1077)-1,MONTH($A1077),DAY($A1077)),$A:$A,0))=""),"",F1077/INDEX(F:F,MATCH(DATE(YEAR($A1077)-1,MONTH($A1077),DAY($A1077)),$A:$A,0))-1),"")</f>
        <v/>
      </c>
      <c r="J1077" s="7">
        <f>IFERROR(IF(OR(G1077="",INDEX(G:G,MATCH(DATE(YEAR($A1077)-1,MONTH($A1077),DAY($A1077)),$A:$A,0))=""),"",G1077/INDEX(G:G,MATCH(DATE(YEAR($A1077)-1,MONTH($A1077),DAY($A1077)),$A:$A,0))-1),"")</f>
        <v/>
      </c>
      <c r="K1077" s="7">
        <f>IF(OR(E1077="",E1076=""),"",E1077/E1076-1)</f>
        <v/>
      </c>
      <c r="L1077" s="7">
        <f>IF(OR(F1077="",F1076=""),"",F1077/F1076-1)</f>
        <v/>
      </c>
      <c r="M1077" s="7">
        <f>IF(OR(G1077="",G1076=""),"",G1077/G1076-1)</f>
        <v/>
      </c>
      <c r="N1077" s="7">
        <f>IF(G1077="","",E1077/G1077)</f>
        <v/>
      </c>
      <c r="O1077" s="7">
        <f>IF(G1077="","",F1077/G1077)</f>
        <v/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4">
        <f>IF(SUMIFS('Daily NSE Equity Cash'!$H:$H,'Daily NSE Equity Cash'!$A:$A,$A1078)=0,"",SUMIFS('Daily NSE Equity Cash'!$H:$H,'Daily NSE Equity Cash'!$A:$A,$A1078))</f>
        <v/>
      </c>
      <c r="F1078" s="4">
        <f>IF(SUMIFS('Daily BSE Equity Cash'!$H:$H,'Daily BSE Equity Cash'!$A:$A,$A1078)=0,"",SUMIFS('Daily BSE Equity Cash'!$H:$H,'Daily BSE Equity Cash'!$A:$A,$A1078))</f>
        <v/>
      </c>
      <c r="G1078" s="4">
        <f>IF(OR(E1078="",F1078=""),"",E1078+F1078)</f>
        <v/>
      </c>
      <c r="H1078" s="7">
        <f>IFERROR(IF(OR(E1078="",INDEX(E:E,MATCH(DATE(YEAR($A1078)-1,MONTH($A1078),DAY($A1078)),$A:$A,0))=""),"",E1078/INDEX(E:E,MATCH(DATE(YEAR($A1078)-1,MONTH($A1078),DAY($A1078)),$A:$A,0))-1),"")</f>
        <v/>
      </c>
      <c r="I1078" s="7">
        <f>IFERROR(IF(OR(F1078="",INDEX(F:F,MATCH(DATE(YEAR($A1078)-1,MONTH($A1078),DAY($A1078)),$A:$A,0))=""),"",F1078/INDEX(F:F,MATCH(DATE(YEAR($A1078)-1,MONTH($A1078),DAY($A1078)),$A:$A,0))-1),"")</f>
        <v/>
      </c>
      <c r="J1078" s="7">
        <f>IFERROR(IF(OR(G1078="",INDEX(G:G,MATCH(DATE(YEAR($A1078)-1,MONTH($A1078),DAY($A1078)),$A:$A,0))=""),"",G1078/INDEX(G:G,MATCH(DATE(YEAR($A1078)-1,MONTH($A1078),DAY($A1078)),$A:$A,0))-1),"")</f>
        <v/>
      </c>
      <c r="K1078" s="7">
        <f>IF(OR(E1078="",E1077=""),"",E1078/E1077-1)</f>
        <v/>
      </c>
      <c r="L1078" s="7">
        <f>IF(OR(F1078="",F1077=""),"",F1078/F1077-1)</f>
        <v/>
      </c>
      <c r="M1078" s="7">
        <f>IF(OR(G1078="",G1077=""),"",G1078/G1077-1)</f>
        <v/>
      </c>
      <c r="N1078" s="7">
        <f>IF(G1078="","",E1078/G1078)</f>
        <v/>
      </c>
      <c r="O1078" s="7">
        <f>IF(G1078="","",F1078/G1078)</f>
        <v/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4">
        <f>IF(SUMIFS('Daily NSE Equity Cash'!$H:$H,'Daily NSE Equity Cash'!$A:$A,$A1079)=0,"",SUMIFS('Daily NSE Equity Cash'!$H:$H,'Daily NSE Equity Cash'!$A:$A,$A1079))</f>
        <v/>
      </c>
      <c r="F1079" s="4">
        <f>IF(SUMIFS('Daily BSE Equity Cash'!$H:$H,'Daily BSE Equity Cash'!$A:$A,$A1079)=0,"",SUMIFS('Daily BSE Equity Cash'!$H:$H,'Daily BSE Equity Cash'!$A:$A,$A1079))</f>
        <v/>
      </c>
      <c r="G1079" s="4">
        <f>IF(OR(E1079="",F1079=""),"",E1079+F1079)</f>
        <v/>
      </c>
      <c r="H1079" s="7">
        <f>IFERROR(IF(OR(E1079="",INDEX(E:E,MATCH(DATE(YEAR($A1079)-1,MONTH($A1079),DAY($A1079)),$A:$A,0))=""),"",E1079/INDEX(E:E,MATCH(DATE(YEAR($A1079)-1,MONTH($A1079),DAY($A1079)),$A:$A,0))-1),"")</f>
        <v/>
      </c>
      <c r="I1079" s="7">
        <f>IFERROR(IF(OR(F1079="",INDEX(F:F,MATCH(DATE(YEAR($A1079)-1,MONTH($A1079),DAY($A1079)),$A:$A,0))=""),"",F1079/INDEX(F:F,MATCH(DATE(YEAR($A1079)-1,MONTH($A1079),DAY($A1079)),$A:$A,0))-1),"")</f>
        <v/>
      </c>
      <c r="J1079" s="7">
        <f>IFERROR(IF(OR(G1079="",INDEX(G:G,MATCH(DATE(YEAR($A1079)-1,MONTH($A1079),DAY($A1079)),$A:$A,0))=""),"",G1079/INDEX(G:G,MATCH(DATE(YEAR($A1079)-1,MONTH($A1079),DAY($A1079)),$A:$A,0))-1),"")</f>
        <v/>
      </c>
      <c r="K1079" s="7">
        <f>IF(OR(E1079="",E1078=""),"",E1079/E1078-1)</f>
        <v/>
      </c>
      <c r="L1079" s="7">
        <f>IF(OR(F1079="",F1078=""),"",F1079/F1078-1)</f>
        <v/>
      </c>
      <c r="M1079" s="7">
        <f>IF(OR(G1079="",G1078=""),"",G1079/G1078-1)</f>
        <v/>
      </c>
      <c r="N1079" s="7">
        <f>IF(G1079="","",E1079/G1079)</f>
        <v/>
      </c>
      <c r="O1079" s="7">
        <f>IF(G1079="","",F1079/G1079)</f>
        <v/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4">
        <f>IF(SUMIFS('Daily NSE Equity Cash'!$H:$H,'Daily NSE Equity Cash'!$A:$A,$A1080)=0,"",SUMIFS('Daily NSE Equity Cash'!$H:$H,'Daily NSE Equity Cash'!$A:$A,$A1080))</f>
        <v/>
      </c>
      <c r="F1080" s="4">
        <f>IF(SUMIFS('Daily BSE Equity Cash'!$H:$H,'Daily BSE Equity Cash'!$A:$A,$A1080)=0,"",SUMIFS('Daily BSE Equity Cash'!$H:$H,'Daily BSE Equity Cash'!$A:$A,$A1080))</f>
        <v/>
      </c>
      <c r="G1080" s="4">
        <f>IF(OR(E1080="",F1080=""),"",E1080+F1080)</f>
        <v/>
      </c>
      <c r="H1080" s="7">
        <f>IFERROR(IF(OR(E1080="",INDEX(E:E,MATCH(DATE(YEAR($A1080)-1,MONTH($A1080),DAY($A1080)),$A:$A,0))=""),"",E1080/INDEX(E:E,MATCH(DATE(YEAR($A1080)-1,MONTH($A1080),DAY($A1080)),$A:$A,0))-1),"")</f>
        <v/>
      </c>
      <c r="I1080" s="7">
        <f>IFERROR(IF(OR(F1080="",INDEX(F:F,MATCH(DATE(YEAR($A1080)-1,MONTH($A1080),DAY($A1080)),$A:$A,0))=""),"",F1080/INDEX(F:F,MATCH(DATE(YEAR($A1080)-1,MONTH($A1080),DAY($A1080)),$A:$A,0))-1),"")</f>
        <v/>
      </c>
      <c r="J1080" s="7">
        <f>IFERROR(IF(OR(G1080="",INDEX(G:G,MATCH(DATE(YEAR($A1080)-1,MONTH($A1080),DAY($A1080)),$A:$A,0))=""),"",G1080/INDEX(G:G,MATCH(DATE(YEAR($A1080)-1,MONTH($A1080),DAY($A1080)),$A:$A,0))-1),"")</f>
        <v/>
      </c>
      <c r="K1080" s="7">
        <f>IF(OR(E1080="",E1079=""),"",E1080/E1079-1)</f>
        <v/>
      </c>
      <c r="L1080" s="7">
        <f>IF(OR(F1080="",F1079=""),"",F1080/F1079-1)</f>
        <v/>
      </c>
      <c r="M1080" s="7">
        <f>IF(OR(G1080="",G1079=""),"",G1080/G1079-1)</f>
        <v/>
      </c>
      <c r="N1080" s="7">
        <f>IF(G1080="","",E1080/G1080)</f>
        <v/>
      </c>
      <c r="O1080" s="7">
        <f>IF(G1080="","",F1080/G1080)</f>
        <v/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4">
        <f>IF(SUMIFS('Daily NSE Equity Cash'!$H:$H,'Daily NSE Equity Cash'!$A:$A,$A1081)=0,"",SUMIFS('Daily NSE Equity Cash'!$H:$H,'Daily NSE Equity Cash'!$A:$A,$A1081))</f>
        <v/>
      </c>
      <c r="F1081" s="4">
        <f>IF(SUMIFS('Daily BSE Equity Cash'!$H:$H,'Daily BSE Equity Cash'!$A:$A,$A1081)=0,"",SUMIFS('Daily BSE Equity Cash'!$H:$H,'Daily BSE Equity Cash'!$A:$A,$A1081))</f>
        <v/>
      </c>
      <c r="G1081" s="4">
        <f>IF(OR(E1081="",F1081=""),"",E1081+F1081)</f>
        <v/>
      </c>
      <c r="H1081" s="7">
        <f>IFERROR(IF(OR(E1081="",INDEX(E:E,MATCH(DATE(YEAR($A1081)-1,MONTH($A1081),DAY($A1081)),$A:$A,0))=""),"",E1081/INDEX(E:E,MATCH(DATE(YEAR($A1081)-1,MONTH($A1081),DAY($A1081)),$A:$A,0))-1),"")</f>
        <v/>
      </c>
      <c r="I1081" s="7">
        <f>IFERROR(IF(OR(F1081="",INDEX(F:F,MATCH(DATE(YEAR($A1081)-1,MONTH($A1081),DAY($A1081)),$A:$A,0))=""),"",F1081/INDEX(F:F,MATCH(DATE(YEAR($A1081)-1,MONTH($A1081),DAY($A1081)),$A:$A,0))-1),"")</f>
        <v/>
      </c>
      <c r="J1081" s="7">
        <f>IFERROR(IF(OR(G1081="",INDEX(G:G,MATCH(DATE(YEAR($A1081)-1,MONTH($A1081),DAY($A1081)),$A:$A,0))=""),"",G1081/INDEX(G:G,MATCH(DATE(YEAR($A1081)-1,MONTH($A1081),DAY($A1081)),$A:$A,0))-1),"")</f>
        <v/>
      </c>
      <c r="K1081" s="7">
        <f>IF(OR(E1081="",E1080=""),"",E1081/E1080-1)</f>
        <v/>
      </c>
      <c r="L1081" s="7">
        <f>IF(OR(F1081="",F1080=""),"",F1081/F1080-1)</f>
        <v/>
      </c>
      <c r="M1081" s="7">
        <f>IF(OR(G1081="",G1080=""),"",G1081/G1080-1)</f>
        <v/>
      </c>
      <c r="N1081" s="7">
        <f>IF(G1081="","",E1081/G1081)</f>
        <v/>
      </c>
      <c r="O1081" s="7">
        <f>IF(G1081="","",F1081/G1081)</f>
        <v/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4">
        <f>IF(SUMIFS('Daily NSE Equity Cash'!$H:$H,'Daily NSE Equity Cash'!$A:$A,$A1082)=0,"",SUMIFS('Daily NSE Equity Cash'!$H:$H,'Daily NSE Equity Cash'!$A:$A,$A1082))</f>
        <v/>
      </c>
      <c r="F1082" s="4">
        <f>IF(SUMIFS('Daily BSE Equity Cash'!$H:$H,'Daily BSE Equity Cash'!$A:$A,$A1082)=0,"",SUMIFS('Daily BSE Equity Cash'!$H:$H,'Daily BSE Equity Cash'!$A:$A,$A1082))</f>
        <v/>
      </c>
      <c r="G1082" s="4">
        <f>IF(OR(E1082="",F1082=""),"",E1082+F1082)</f>
        <v/>
      </c>
      <c r="H1082" s="7">
        <f>IFERROR(IF(OR(E1082="",INDEX(E:E,MATCH(DATE(YEAR($A1082)-1,MONTH($A1082),DAY($A1082)),$A:$A,0))=""),"",E1082/INDEX(E:E,MATCH(DATE(YEAR($A1082)-1,MONTH($A1082),DAY($A1082)),$A:$A,0))-1),"")</f>
        <v/>
      </c>
      <c r="I1082" s="7">
        <f>IFERROR(IF(OR(F1082="",INDEX(F:F,MATCH(DATE(YEAR($A1082)-1,MONTH($A1082),DAY($A1082)),$A:$A,0))=""),"",F1082/INDEX(F:F,MATCH(DATE(YEAR($A1082)-1,MONTH($A1082),DAY($A1082)),$A:$A,0))-1),"")</f>
        <v/>
      </c>
      <c r="J1082" s="7">
        <f>IFERROR(IF(OR(G1082="",INDEX(G:G,MATCH(DATE(YEAR($A1082)-1,MONTH($A1082),DAY($A1082)),$A:$A,0))=""),"",G1082/INDEX(G:G,MATCH(DATE(YEAR($A1082)-1,MONTH($A1082),DAY($A1082)),$A:$A,0))-1),"")</f>
        <v/>
      </c>
      <c r="K1082" s="7">
        <f>IF(OR(E1082="",E1081=""),"",E1082/E1081-1)</f>
        <v/>
      </c>
      <c r="L1082" s="7">
        <f>IF(OR(F1082="",F1081=""),"",F1082/F1081-1)</f>
        <v/>
      </c>
      <c r="M1082" s="7">
        <f>IF(OR(G1082="",G1081=""),"",G1082/G1081-1)</f>
        <v/>
      </c>
      <c r="N1082" s="7">
        <f>IF(G1082="","",E1082/G1082)</f>
        <v/>
      </c>
      <c r="O1082" s="7">
        <f>IF(G1082="","",F1082/G1082)</f>
        <v/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4">
        <f>IF(SUMIFS('Daily NSE Equity Cash'!$H:$H,'Daily NSE Equity Cash'!$A:$A,$A1083)=0,"",SUMIFS('Daily NSE Equity Cash'!$H:$H,'Daily NSE Equity Cash'!$A:$A,$A1083))</f>
        <v/>
      </c>
      <c r="F1083" s="4">
        <f>IF(SUMIFS('Daily BSE Equity Cash'!$H:$H,'Daily BSE Equity Cash'!$A:$A,$A1083)=0,"",SUMIFS('Daily BSE Equity Cash'!$H:$H,'Daily BSE Equity Cash'!$A:$A,$A1083))</f>
        <v/>
      </c>
      <c r="G1083" s="4">
        <f>IF(OR(E1083="",F1083=""),"",E1083+F1083)</f>
        <v/>
      </c>
      <c r="H1083" s="7">
        <f>IFERROR(IF(OR(E1083="",INDEX(E:E,MATCH(DATE(YEAR($A1083)-1,MONTH($A1083),DAY($A1083)),$A:$A,0))=""),"",E1083/INDEX(E:E,MATCH(DATE(YEAR($A1083)-1,MONTH($A1083),DAY($A1083)),$A:$A,0))-1),"")</f>
        <v/>
      </c>
      <c r="I1083" s="7">
        <f>IFERROR(IF(OR(F1083="",INDEX(F:F,MATCH(DATE(YEAR($A1083)-1,MONTH($A1083),DAY($A1083)),$A:$A,0))=""),"",F1083/INDEX(F:F,MATCH(DATE(YEAR($A1083)-1,MONTH($A1083),DAY($A1083)),$A:$A,0))-1),"")</f>
        <v/>
      </c>
      <c r="J1083" s="7">
        <f>IFERROR(IF(OR(G1083="",INDEX(G:G,MATCH(DATE(YEAR($A1083)-1,MONTH($A1083),DAY($A1083)),$A:$A,0))=""),"",G1083/INDEX(G:G,MATCH(DATE(YEAR($A1083)-1,MONTH($A1083),DAY($A1083)),$A:$A,0))-1),"")</f>
        <v/>
      </c>
      <c r="K1083" s="7">
        <f>IF(OR(E1083="",E1082=""),"",E1083/E1082-1)</f>
        <v/>
      </c>
      <c r="L1083" s="7">
        <f>IF(OR(F1083="",F1082=""),"",F1083/F1082-1)</f>
        <v/>
      </c>
      <c r="M1083" s="7">
        <f>IF(OR(G1083="",G1082=""),"",G1083/G1082-1)</f>
        <v/>
      </c>
      <c r="N1083" s="7">
        <f>IF(G1083="","",E1083/G1083)</f>
        <v/>
      </c>
      <c r="O1083" s="7">
        <f>IF(G1083="","",F1083/G1083)</f>
        <v/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4">
        <f>IF(SUMIFS('Daily NSE Equity Cash'!$H:$H,'Daily NSE Equity Cash'!$A:$A,$A1084)=0,"",SUMIFS('Daily NSE Equity Cash'!$H:$H,'Daily NSE Equity Cash'!$A:$A,$A1084))</f>
        <v/>
      </c>
      <c r="F1084" s="4">
        <f>IF(SUMIFS('Daily BSE Equity Cash'!$H:$H,'Daily BSE Equity Cash'!$A:$A,$A1084)=0,"",SUMIFS('Daily BSE Equity Cash'!$H:$H,'Daily BSE Equity Cash'!$A:$A,$A1084))</f>
        <v/>
      </c>
      <c r="G1084" s="4">
        <f>IF(OR(E1084="",F1084=""),"",E1084+F1084)</f>
        <v/>
      </c>
      <c r="H1084" s="7">
        <f>IFERROR(IF(OR(E1084="",INDEX(E:E,MATCH(DATE(YEAR($A1084)-1,MONTH($A1084),DAY($A1084)),$A:$A,0))=""),"",E1084/INDEX(E:E,MATCH(DATE(YEAR($A1084)-1,MONTH($A1084),DAY($A1084)),$A:$A,0))-1),"")</f>
        <v/>
      </c>
      <c r="I1084" s="7">
        <f>IFERROR(IF(OR(F1084="",INDEX(F:F,MATCH(DATE(YEAR($A1084)-1,MONTH($A1084),DAY($A1084)),$A:$A,0))=""),"",F1084/INDEX(F:F,MATCH(DATE(YEAR($A1084)-1,MONTH($A1084),DAY($A1084)),$A:$A,0))-1),"")</f>
        <v/>
      </c>
      <c r="J1084" s="7">
        <f>IFERROR(IF(OR(G1084="",INDEX(G:G,MATCH(DATE(YEAR($A1084)-1,MONTH($A1084),DAY($A1084)),$A:$A,0))=""),"",G1084/INDEX(G:G,MATCH(DATE(YEAR($A1084)-1,MONTH($A1084),DAY($A1084)),$A:$A,0))-1),"")</f>
        <v/>
      </c>
      <c r="K1084" s="7">
        <f>IF(OR(E1084="",E1083=""),"",E1084/E1083-1)</f>
        <v/>
      </c>
      <c r="L1084" s="7">
        <f>IF(OR(F1084="",F1083=""),"",F1084/F1083-1)</f>
        <v/>
      </c>
      <c r="M1084" s="7">
        <f>IF(OR(G1084="",G1083=""),"",G1084/G1083-1)</f>
        <v/>
      </c>
      <c r="N1084" s="7">
        <f>IF(G1084="","",E1084/G1084)</f>
        <v/>
      </c>
      <c r="O1084" s="7">
        <f>IF(G1084="","",F1084/G1084)</f>
        <v/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4">
        <f>IF(SUMIFS('Daily NSE Equity Cash'!$H:$H,'Daily NSE Equity Cash'!$A:$A,$A1085)=0,"",SUMIFS('Daily NSE Equity Cash'!$H:$H,'Daily NSE Equity Cash'!$A:$A,$A1085))</f>
        <v/>
      </c>
      <c r="F1085" s="4">
        <f>IF(SUMIFS('Daily BSE Equity Cash'!$H:$H,'Daily BSE Equity Cash'!$A:$A,$A1085)=0,"",SUMIFS('Daily BSE Equity Cash'!$H:$H,'Daily BSE Equity Cash'!$A:$A,$A1085))</f>
        <v/>
      </c>
      <c r="G1085" s="4">
        <f>IF(OR(E1085="",F1085=""),"",E1085+F1085)</f>
        <v/>
      </c>
      <c r="H1085" s="7">
        <f>IFERROR(IF(OR(E1085="",INDEX(E:E,MATCH(DATE(YEAR($A1085)-1,MONTH($A1085),DAY($A1085)),$A:$A,0))=""),"",E1085/INDEX(E:E,MATCH(DATE(YEAR($A1085)-1,MONTH($A1085),DAY($A1085)),$A:$A,0))-1),"")</f>
        <v/>
      </c>
      <c r="I1085" s="7">
        <f>IFERROR(IF(OR(F1085="",INDEX(F:F,MATCH(DATE(YEAR($A1085)-1,MONTH($A1085),DAY($A1085)),$A:$A,0))=""),"",F1085/INDEX(F:F,MATCH(DATE(YEAR($A1085)-1,MONTH($A1085),DAY($A1085)),$A:$A,0))-1),"")</f>
        <v/>
      </c>
      <c r="J1085" s="7">
        <f>IFERROR(IF(OR(G1085="",INDEX(G:G,MATCH(DATE(YEAR($A1085)-1,MONTH($A1085),DAY($A1085)),$A:$A,0))=""),"",G1085/INDEX(G:G,MATCH(DATE(YEAR($A1085)-1,MONTH($A1085),DAY($A1085)),$A:$A,0))-1),"")</f>
        <v/>
      </c>
      <c r="K1085" s="7">
        <f>IF(OR(E1085="",E1084=""),"",E1085/E1084-1)</f>
        <v/>
      </c>
      <c r="L1085" s="7">
        <f>IF(OR(F1085="",F1084=""),"",F1085/F1084-1)</f>
        <v/>
      </c>
      <c r="M1085" s="7">
        <f>IF(OR(G1085="",G1084=""),"",G1085/G1084-1)</f>
        <v/>
      </c>
      <c r="N1085" s="7">
        <f>IF(G1085="","",E1085/G1085)</f>
        <v/>
      </c>
      <c r="O1085" s="7">
        <f>IF(G1085="","",F1085/G1085)</f>
        <v/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4">
        <f>IF(SUMIFS('Daily NSE Equity Cash'!$H:$H,'Daily NSE Equity Cash'!$A:$A,$A1086)=0,"",SUMIFS('Daily NSE Equity Cash'!$H:$H,'Daily NSE Equity Cash'!$A:$A,$A1086))</f>
        <v/>
      </c>
      <c r="F1086" s="4">
        <f>IF(SUMIFS('Daily BSE Equity Cash'!$H:$H,'Daily BSE Equity Cash'!$A:$A,$A1086)=0,"",SUMIFS('Daily BSE Equity Cash'!$H:$H,'Daily BSE Equity Cash'!$A:$A,$A1086))</f>
        <v/>
      </c>
      <c r="G1086" s="4">
        <f>IF(OR(E1086="",F1086=""),"",E1086+F1086)</f>
        <v/>
      </c>
      <c r="H1086" s="7">
        <f>IFERROR(IF(OR(E1086="",INDEX(E:E,MATCH(DATE(YEAR($A1086)-1,MONTH($A1086),DAY($A1086)),$A:$A,0))=""),"",E1086/INDEX(E:E,MATCH(DATE(YEAR($A1086)-1,MONTH($A1086),DAY($A1086)),$A:$A,0))-1),"")</f>
        <v/>
      </c>
      <c r="I1086" s="7">
        <f>IFERROR(IF(OR(F1086="",INDEX(F:F,MATCH(DATE(YEAR($A1086)-1,MONTH($A1086),DAY($A1086)),$A:$A,0))=""),"",F1086/INDEX(F:F,MATCH(DATE(YEAR($A1086)-1,MONTH($A1086),DAY($A1086)),$A:$A,0))-1),"")</f>
        <v/>
      </c>
      <c r="J1086" s="7">
        <f>IFERROR(IF(OR(G1086="",INDEX(G:G,MATCH(DATE(YEAR($A1086)-1,MONTH($A1086),DAY($A1086)),$A:$A,0))=""),"",G1086/INDEX(G:G,MATCH(DATE(YEAR($A1086)-1,MONTH($A1086),DAY($A1086)),$A:$A,0))-1),"")</f>
        <v/>
      </c>
      <c r="K1086" s="7">
        <f>IF(OR(E1086="",E1085=""),"",E1086/E1085-1)</f>
        <v/>
      </c>
      <c r="L1086" s="7">
        <f>IF(OR(F1086="",F1085=""),"",F1086/F1085-1)</f>
        <v/>
      </c>
      <c r="M1086" s="7">
        <f>IF(OR(G1086="",G1085=""),"",G1086/G1085-1)</f>
        <v/>
      </c>
      <c r="N1086" s="7">
        <f>IF(G1086="","",E1086/G1086)</f>
        <v/>
      </c>
      <c r="O1086" s="7">
        <f>IF(G1086="","",F1086/G1086)</f>
        <v/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4">
        <f>IF(SUMIFS('Daily NSE Equity Cash'!$H:$H,'Daily NSE Equity Cash'!$A:$A,$A1087)=0,"",SUMIFS('Daily NSE Equity Cash'!$H:$H,'Daily NSE Equity Cash'!$A:$A,$A1087))</f>
        <v/>
      </c>
      <c r="F1087" s="4">
        <f>IF(SUMIFS('Daily BSE Equity Cash'!$H:$H,'Daily BSE Equity Cash'!$A:$A,$A1087)=0,"",SUMIFS('Daily BSE Equity Cash'!$H:$H,'Daily BSE Equity Cash'!$A:$A,$A1087))</f>
        <v/>
      </c>
      <c r="G1087" s="4">
        <f>IF(OR(E1087="",F1087=""),"",E1087+F1087)</f>
        <v/>
      </c>
      <c r="H1087" s="7">
        <f>IFERROR(IF(OR(E1087="",INDEX(E:E,MATCH(DATE(YEAR($A1087)-1,MONTH($A1087),DAY($A1087)),$A:$A,0))=""),"",E1087/INDEX(E:E,MATCH(DATE(YEAR($A1087)-1,MONTH($A1087),DAY($A1087)),$A:$A,0))-1),"")</f>
        <v/>
      </c>
      <c r="I1087" s="7">
        <f>IFERROR(IF(OR(F1087="",INDEX(F:F,MATCH(DATE(YEAR($A1087)-1,MONTH($A1087),DAY($A1087)),$A:$A,0))=""),"",F1087/INDEX(F:F,MATCH(DATE(YEAR($A1087)-1,MONTH($A1087),DAY($A1087)),$A:$A,0))-1),"")</f>
        <v/>
      </c>
      <c r="J1087" s="7">
        <f>IFERROR(IF(OR(G1087="",INDEX(G:G,MATCH(DATE(YEAR($A1087)-1,MONTH($A1087),DAY($A1087)),$A:$A,0))=""),"",G1087/INDEX(G:G,MATCH(DATE(YEAR($A1087)-1,MONTH($A1087),DAY($A1087)),$A:$A,0))-1),"")</f>
        <v/>
      </c>
      <c r="K1087" s="7">
        <f>IF(OR(E1087="",E1086=""),"",E1087/E1086-1)</f>
        <v/>
      </c>
      <c r="L1087" s="7">
        <f>IF(OR(F1087="",F1086=""),"",F1087/F1086-1)</f>
        <v/>
      </c>
      <c r="M1087" s="7">
        <f>IF(OR(G1087="",G1086=""),"",G1087/G1086-1)</f>
        <v/>
      </c>
      <c r="N1087" s="7">
        <f>IF(G1087="","",E1087/G1087)</f>
        <v/>
      </c>
      <c r="O1087" s="7">
        <f>IF(G1087="","",F1087/G1087)</f>
        <v/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4">
        <f>IF(SUMIFS('Daily NSE Equity Cash'!$H:$H,'Daily NSE Equity Cash'!$A:$A,$A1088)=0,"",SUMIFS('Daily NSE Equity Cash'!$H:$H,'Daily NSE Equity Cash'!$A:$A,$A1088))</f>
        <v/>
      </c>
      <c r="F1088" s="4">
        <f>IF(SUMIFS('Daily BSE Equity Cash'!$H:$H,'Daily BSE Equity Cash'!$A:$A,$A1088)=0,"",SUMIFS('Daily BSE Equity Cash'!$H:$H,'Daily BSE Equity Cash'!$A:$A,$A1088))</f>
        <v/>
      </c>
      <c r="G1088" s="4">
        <f>IF(OR(E1088="",F1088=""),"",E1088+F1088)</f>
        <v/>
      </c>
      <c r="H1088" s="7">
        <f>IFERROR(IF(OR(E1088="",INDEX(E:E,MATCH(DATE(YEAR($A1088)-1,MONTH($A1088),DAY($A1088)),$A:$A,0))=""),"",E1088/INDEX(E:E,MATCH(DATE(YEAR($A1088)-1,MONTH($A1088),DAY($A1088)),$A:$A,0))-1),"")</f>
        <v/>
      </c>
      <c r="I1088" s="7">
        <f>IFERROR(IF(OR(F1088="",INDEX(F:F,MATCH(DATE(YEAR($A1088)-1,MONTH($A1088),DAY($A1088)),$A:$A,0))=""),"",F1088/INDEX(F:F,MATCH(DATE(YEAR($A1088)-1,MONTH($A1088),DAY($A1088)),$A:$A,0))-1),"")</f>
        <v/>
      </c>
      <c r="J1088" s="7">
        <f>IFERROR(IF(OR(G1088="",INDEX(G:G,MATCH(DATE(YEAR($A1088)-1,MONTH($A1088),DAY($A1088)),$A:$A,0))=""),"",G1088/INDEX(G:G,MATCH(DATE(YEAR($A1088)-1,MONTH($A1088),DAY($A1088)),$A:$A,0))-1),"")</f>
        <v/>
      </c>
      <c r="K1088" s="7">
        <f>IF(OR(E1088="",E1087=""),"",E1088/E1087-1)</f>
        <v/>
      </c>
      <c r="L1088" s="7">
        <f>IF(OR(F1088="",F1087=""),"",F1088/F1087-1)</f>
        <v/>
      </c>
      <c r="M1088" s="7">
        <f>IF(OR(G1088="",G1087=""),"",G1088/G1087-1)</f>
        <v/>
      </c>
      <c r="N1088" s="7">
        <f>IF(G1088="","",E1088/G1088)</f>
        <v/>
      </c>
      <c r="O1088" s="7">
        <f>IF(G1088="","",F1088/G1088)</f>
        <v/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4">
        <f>IF(SUMIFS('Daily NSE Equity Cash'!$H:$H,'Daily NSE Equity Cash'!$A:$A,$A1089)=0,"",SUMIFS('Daily NSE Equity Cash'!$H:$H,'Daily NSE Equity Cash'!$A:$A,$A1089))</f>
        <v/>
      </c>
      <c r="F1089" s="4">
        <f>IF(SUMIFS('Daily BSE Equity Cash'!$H:$H,'Daily BSE Equity Cash'!$A:$A,$A1089)=0,"",SUMIFS('Daily BSE Equity Cash'!$H:$H,'Daily BSE Equity Cash'!$A:$A,$A1089))</f>
        <v/>
      </c>
      <c r="G1089" s="4">
        <f>IF(OR(E1089="",F1089=""),"",E1089+F1089)</f>
        <v/>
      </c>
      <c r="H1089" s="7">
        <f>IFERROR(IF(OR(E1089="",INDEX(E:E,MATCH(DATE(YEAR($A1089)-1,MONTH($A1089),DAY($A1089)),$A:$A,0))=""),"",E1089/INDEX(E:E,MATCH(DATE(YEAR($A1089)-1,MONTH($A1089),DAY($A1089)),$A:$A,0))-1),"")</f>
        <v/>
      </c>
      <c r="I1089" s="7">
        <f>IFERROR(IF(OR(F1089="",INDEX(F:F,MATCH(DATE(YEAR($A1089)-1,MONTH($A1089),DAY($A1089)),$A:$A,0))=""),"",F1089/INDEX(F:F,MATCH(DATE(YEAR($A1089)-1,MONTH($A1089),DAY($A1089)),$A:$A,0))-1),"")</f>
        <v/>
      </c>
      <c r="J1089" s="7">
        <f>IFERROR(IF(OR(G1089="",INDEX(G:G,MATCH(DATE(YEAR($A1089)-1,MONTH($A1089),DAY($A1089)),$A:$A,0))=""),"",G1089/INDEX(G:G,MATCH(DATE(YEAR($A1089)-1,MONTH($A1089),DAY($A1089)),$A:$A,0))-1),"")</f>
        <v/>
      </c>
      <c r="K1089" s="7">
        <f>IF(OR(E1089="",E1088=""),"",E1089/E1088-1)</f>
        <v/>
      </c>
      <c r="L1089" s="7">
        <f>IF(OR(F1089="",F1088=""),"",F1089/F1088-1)</f>
        <v/>
      </c>
      <c r="M1089" s="7">
        <f>IF(OR(G1089="",G1088=""),"",G1089/G1088-1)</f>
        <v/>
      </c>
      <c r="N1089" s="7">
        <f>IF(G1089="","",E1089/G1089)</f>
        <v/>
      </c>
      <c r="O1089" s="7">
        <f>IF(G1089="","",F1089/G1089)</f>
        <v/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4">
        <f>IF(SUMIFS('Daily NSE Equity Cash'!$H:$H,'Daily NSE Equity Cash'!$A:$A,$A1090)=0,"",SUMIFS('Daily NSE Equity Cash'!$H:$H,'Daily NSE Equity Cash'!$A:$A,$A1090))</f>
        <v/>
      </c>
      <c r="F1090" s="4">
        <f>IF(SUMIFS('Daily BSE Equity Cash'!$H:$H,'Daily BSE Equity Cash'!$A:$A,$A1090)=0,"",SUMIFS('Daily BSE Equity Cash'!$H:$H,'Daily BSE Equity Cash'!$A:$A,$A1090))</f>
        <v/>
      </c>
      <c r="G1090" s="4">
        <f>IF(OR(E1090="",F1090=""),"",E1090+F1090)</f>
        <v/>
      </c>
      <c r="H1090" s="7">
        <f>IFERROR(IF(OR(E1090="",INDEX(E:E,MATCH(DATE(YEAR($A1090)-1,MONTH($A1090),DAY($A1090)),$A:$A,0))=""),"",E1090/INDEX(E:E,MATCH(DATE(YEAR($A1090)-1,MONTH($A1090),DAY($A1090)),$A:$A,0))-1),"")</f>
        <v/>
      </c>
      <c r="I1090" s="7">
        <f>IFERROR(IF(OR(F1090="",INDEX(F:F,MATCH(DATE(YEAR($A1090)-1,MONTH($A1090),DAY($A1090)),$A:$A,0))=""),"",F1090/INDEX(F:F,MATCH(DATE(YEAR($A1090)-1,MONTH($A1090),DAY($A1090)),$A:$A,0))-1),"")</f>
        <v/>
      </c>
      <c r="J1090" s="7">
        <f>IFERROR(IF(OR(G1090="",INDEX(G:G,MATCH(DATE(YEAR($A1090)-1,MONTH($A1090),DAY($A1090)),$A:$A,0))=""),"",G1090/INDEX(G:G,MATCH(DATE(YEAR($A1090)-1,MONTH($A1090),DAY($A1090)),$A:$A,0))-1),"")</f>
        <v/>
      </c>
      <c r="K1090" s="7">
        <f>IF(OR(E1090="",E1089=""),"",E1090/E1089-1)</f>
        <v/>
      </c>
      <c r="L1090" s="7">
        <f>IF(OR(F1090="",F1089=""),"",F1090/F1089-1)</f>
        <v/>
      </c>
      <c r="M1090" s="7">
        <f>IF(OR(G1090="",G1089=""),"",G1090/G1089-1)</f>
        <v/>
      </c>
      <c r="N1090" s="7">
        <f>IF(G1090="","",E1090/G1090)</f>
        <v/>
      </c>
      <c r="O1090" s="7">
        <f>IF(G1090="","",F1090/G1090)</f>
        <v/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4">
        <f>IF(SUMIFS('Daily NSE Equity Cash'!$H:$H,'Daily NSE Equity Cash'!$A:$A,$A1091)=0,"",SUMIFS('Daily NSE Equity Cash'!$H:$H,'Daily NSE Equity Cash'!$A:$A,$A1091))</f>
        <v/>
      </c>
      <c r="F1091" s="4">
        <f>IF(SUMIFS('Daily BSE Equity Cash'!$H:$H,'Daily BSE Equity Cash'!$A:$A,$A1091)=0,"",SUMIFS('Daily BSE Equity Cash'!$H:$H,'Daily BSE Equity Cash'!$A:$A,$A1091))</f>
        <v/>
      </c>
      <c r="G1091" s="4">
        <f>IF(OR(E1091="",F1091=""),"",E1091+F1091)</f>
        <v/>
      </c>
      <c r="H1091" s="7">
        <f>IFERROR(IF(OR(E1091="",INDEX(E:E,MATCH(DATE(YEAR($A1091)-1,MONTH($A1091),DAY($A1091)),$A:$A,0))=""),"",E1091/INDEX(E:E,MATCH(DATE(YEAR($A1091)-1,MONTH($A1091),DAY($A1091)),$A:$A,0))-1),"")</f>
        <v/>
      </c>
      <c r="I1091" s="7">
        <f>IFERROR(IF(OR(F1091="",INDEX(F:F,MATCH(DATE(YEAR($A1091)-1,MONTH($A1091),DAY($A1091)),$A:$A,0))=""),"",F1091/INDEX(F:F,MATCH(DATE(YEAR($A1091)-1,MONTH($A1091),DAY($A1091)),$A:$A,0))-1),"")</f>
        <v/>
      </c>
      <c r="J1091" s="7">
        <f>IFERROR(IF(OR(G1091="",INDEX(G:G,MATCH(DATE(YEAR($A1091)-1,MONTH($A1091),DAY($A1091)),$A:$A,0))=""),"",G1091/INDEX(G:G,MATCH(DATE(YEAR($A1091)-1,MONTH($A1091),DAY($A1091)),$A:$A,0))-1),"")</f>
        <v/>
      </c>
      <c r="K1091" s="7">
        <f>IF(OR(E1091="",E1090=""),"",E1091/E1090-1)</f>
        <v/>
      </c>
      <c r="L1091" s="7">
        <f>IF(OR(F1091="",F1090=""),"",F1091/F1090-1)</f>
        <v/>
      </c>
      <c r="M1091" s="7">
        <f>IF(OR(G1091="",G1090=""),"",G1091/G1090-1)</f>
        <v/>
      </c>
      <c r="N1091" s="7">
        <f>IF(G1091="","",E1091/G1091)</f>
        <v/>
      </c>
      <c r="O1091" s="7">
        <f>IF(G1091="","",F1091/G1091)</f>
        <v/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4">
        <f>IF(SUMIFS('Daily NSE Equity Cash'!$H:$H,'Daily NSE Equity Cash'!$A:$A,$A1092)=0,"",SUMIFS('Daily NSE Equity Cash'!$H:$H,'Daily NSE Equity Cash'!$A:$A,$A1092))</f>
        <v/>
      </c>
      <c r="F1092" s="4">
        <f>IF(SUMIFS('Daily BSE Equity Cash'!$H:$H,'Daily BSE Equity Cash'!$A:$A,$A1092)=0,"",SUMIFS('Daily BSE Equity Cash'!$H:$H,'Daily BSE Equity Cash'!$A:$A,$A1092))</f>
        <v/>
      </c>
      <c r="G1092" s="4">
        <f>IF(OR(E1092="",F1092=""),"",E1092+F1092)</f>
        <v/>
      </c>
      <c r="H1092" s="7">
        <f>IFERROR(IF(OR(E1092="",INDEX(E:E,MATCH(DATE(YEAR($A1092)-1,MONTH($A1092),DAY($A1092)),$A:$A,0))=""),"",E1092/INDEX(E:E,MATCH(DATE(YEAR($A1092)-1,MONTH($A1092),DAY($A1092)),$A:$A,0))-1),"")</f>
        <v/>
      </c>
      <c r="I1092" s="7">
        <f>IFERROR(IF(OR(F1092="",INDEX(F:F,MATCH(DATE(YEAR($A1092)-1,MONTH($A1092),DAY($A1092)),$A:$A,0))=""),"",F1092/INDEX(F:F,MATCH(DATE(YEAR($A1092)-1,MONTH($A1092),DAY($A1092)),$A:$A,0))-1),"")</f>
        <v/>
      </c>
      <c r="J1092" s="7">
        <f>IFERROR(IF(OR(G1092="",INDEX(G:G,MATCH(DATE(YEAR($A1092)-1,MONTH($A1092),DAY($A1092)),$A:$A,0))=""),"",G1092/INDEX(G:G,MATCH(DATE(YEAR($A1092)-1,MONTH($A1092),DAY($A1092)),$A:$A,0))-1),"")</f>
        <v/>
      </c>
      <c r="K1092" s="7">
        <f>IF(OR(E1092="",E1091=""),"",E1092/E1091-1)</f>
        <v/>
      </c>
      <c r="L1092" s="7">
        <f>IF(OR(F1092="",F1091=""),"",F1092/F1091-1)</f>
        <v/>
      </c>
      <c r="M1092" s="7">
        <f>IF(OR(G1092="",G1091=""),"",G1092/G1091-1)</f>
        <v/>
      </c>
      <c r="N1092" s="7">
        <f>IF(G1092="","",E1092/G1092)</f>
        <v/>
      </c>
      <c r="O1092" s="7">
        <f>IF(G1092="","",F1092/G1092)</f>
        <v/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4">
        <f>IF(SUMIFS('Daily NSE Equity Cash'!$H:$H,'Daily NSE Equity Cash'!$A:$A,$A1093)=0,"",SUMIFS('Daily NSE Equity Cash'!$H:$H,'Daily NSE Equity Cash'!$A:$A,$A1093))</f>
        <v/>
      </c>
      <c r="F1093" s="4">
        <f>IF(SUMIFS('Daily BSE Equity Cash'!$H:$H,'Daily BSE Equity Cash'!$A:$A,$A1093)=0,"",SUMIFS('Daily BSE Equity Cash'!$H:$H,'Daily BSE Equity Cash'!$A:$A,$A1093))</f>
        <v/>
      </c>
      <c r="G1093" s="4">
        <f>IF(OR(E1093="",F1093=""),"",E1093+F1093)</f>
        <v/>
      </c>
      <c r="H1093" s="7">
        <f>IFERROR(IF(OR(E1093="",INDEX(E:E,MATCH(DATE(YEAR($A1093)-1,MONTH($A1093),DAY($A1093)),$A:$A,0))=""),"",E1093/INDEX(E:E,MATCH(DATE(YEAR($A1093)-1,MONTH($A1093),DAY($A1093)),$A:$A,0))-1),"")</f>
        <v/>
      </c>
      <c r="I1093" s="7">
        <f>IFERROR(IF(OR(F1093="",INDEX(F:F,MATCH(DATE(YEAR($A1093)-1,MONTH($A1093),DAY($A1093)),$A:$A,0))=""),"",F1093/INDEX(F:F,MATCH(DATE(YEAR($A1093)-1,MONTH($A1093),DAY($A1093)),$A:$A,0))-1),"")</f>
        <v/>
      </c>
      <c r="J1093" s="7">
        <f>IFERROR(IF(OR(G1093="",INDEX(G:G,MATCH(DATE(YEAR($A1093)-1,MONTH($A1093),DAY($A1093)),$A:$A,0))=""),"",G1093/INDEX(G:G,MATCH(DATE(YEAR($A1093)-1,MONTH($A1093),DAY($A1093)),$A:$A,0))-1),"")</f>
        <v/>
      </c>
      <c r="K1093" s="7">
        <f>IF(OR(E1093="",E1092=""),"",E1093/E1092-1)</f>
        <v/>
      </c>
      <c r="L1093" s="7">
        <f>IF(OR(F1093="",F1092=""),"",F1093/F1092-1)</f>
        <v/>
      </c>
      <c r="M1093" s="7">
        <f>IF(OR(G1093="",G1092=""),"",G1093/G1092-1)</f>
        <v/>
      </c>
      <c r="N1093" s="7">
        <f>IF(G1093="","",E1093/G1093)</f>
        <v/>
      </c>
      <c r="O1093" s="7">
        <f>IF(G1093="","",F1093/G1093)</f>
        <v/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4">
        <f>IF(SUMIFS('Daily NSE Equity Cash'!$H:$H,'Daily NSE Equity Cash'!$A:$A,$A1094)=0,"",SUMIFS('Daily NSE Equity Cash'!$H:$H,'Daily NSE Equity Cash'!$A:$A,$A1094))</f>
        <v/>
      </c>
      <c r="F1094" s="4">
        <f>IF(SUMIFS('Daily BSE Equity Cash'!$H:$H,'Daily BSE Equity Cash'!$A:$A,$A1094)=0,"",SUMIFS('Daily BSE Equity Cash'!$H:$H,'Daily BSE Equity Cash'!$A:$A,$A1094))</f>
        <v/>
      </c>
      <c r="G1094" s="4">
        <f>IF(OR(E1094="",F1094=""),"",E1094+F1094)</f>
        <v/>
      </c>
      <c r="H1094" s="7">
        <f>IFERROR(IF(OR(E1094="",INDEX(E:E,MATCH(DATE(YEAR($A1094)-1,MONTH($A1094),DAY($A1094)),$A:$A,0))=""),"",E1094/INDEX(E:E,MATCH(DATE(YEAR($A1094)-1,MONTH($A1094),DAY($A1094)),$A:$A,0))-1),"")</f>
        <v/>
      </c>
      <c r="I1094" s="7">
        <f>IFERROR(IF(OR(F1094="",INDEX(F:F,MATCH(DATE(YEAR($A1094)-1,MONTH($A1094),DAY($A1094)),$A:$A,0))=""),"",F1094/INDEX(F:F,MATCH(DATE(YEAR($A1094)-1,MONTH($A1094),DAY($A1094)),$A:$A,0))-1),"")</f>
        <v/>
      </c>
      <c r="J1094" s="7">
        <f>IFERROR(IF(OR(G1094="",INDEX(G:G,MATCH(DATE(YEAR($A1094)-1,MONTH($A1094),DAY($A1094)),$A:$A,0))=""),"",G1094/INDEX(G:G,MATCH(DATE(YEAR($A1094)-1,MONTH($A1094),DAY($A1094)),$A:$A,0))-1),"")</f>
        <v/>
      </c>
      <c r="K1094" s="7">
        <f>IF(OR(E1094="",E1093=""),"",E1094/E1093-1)</f>
        <v/>
      </c>
      <c r="L1094" s="7">
        <f>IF(OR(F1094="",F1093=""),"",F1094/F1093-1)</f>
        <v/>
      </c>
      <c r="M1094" s="7">
        <f>IF(OR(G1094="",G1093=""),"",G1094/G1093-1)</f>
        <v/>
      </c>
      <c r="N1094" s="7">
        <f>IF(G1094="","",E1094/G1094)</f>
        <v/>
      </c>
      <c r="O1094" s="7">
        <f>IF(G1094="","",F1094/G1094)</f>
        <v/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4">
        <f>IF(SUMIFS('Daily NSE Equity Cash'!$H:$H,'Daily NSE Equity Cash'!$A:$A,$A1095)=0,"",SUMIFS('Daily NSE Equity Cash'!$H:$H,'Daily NSE Equity Cash'!$A:$A,$A1095))</f>
        <v/>
      </c>
      <c r="F1095" s="4">
        <f>IF(SUMIFS('Daily BSE Equity Cash'!$H:$H,'Daily BSE Equity Cash'!$A:$A,$A1095)=0,"",SUMIFS('Daily BSE Equity Cash'!$H:$H,'Daily BSE Equity Cash'!$A:$A,$A1095))</f>
        <v/>
      </c>
      <c r="G1095" s="4">
        <f>IF(OR(E1095="",F1095=""),"",E1095+F1095)</f>
        <v/>
      </c>
      <c r="H1095" s="7">
        <f>IFERROR(IF(OR(E1095="",INDEX(E:E,MATCH(DATE(YEAR($A1095)-1,MONTH($A1095),DAY($A1095)),$A:$A,0))=""),"",E1095/INDEX(E:E,MATCH(DATE(YEAR($A1095)-1,MONTH($A1095),DAY($A1095)),$A:$A,0))-1),"")</f>
        <v/>
      </c>
      <c r="I1095" s="7">
        <f>IFERROR(IF(OR(F1095="",INDEX(F:F,MATCH(DATE(YEAR($A1095)-1,MONTH($A1095),DAY($A1095)),$A:$A,0))=""),"",F1095/INDEX(F:F,MATCH(DATE(YEAR($A1095)-1,MONTH($A1095),DAY($A1095)),$A:$A,0))-1),"")</f>
        <v/>
      </c>
      <c r="J1095" s="7">
        <f>IFERROR(IF(OR(G1095="",INDEX(G:G,MATCH(DATE(YEAR($A1095)-1,MONTH($A1095),DAY($A1095)),$A:$A,0))=""),"",G1095/INDEX(G:G,MATCH(DATE(YEAR($A1095)-1,MONTH($A1095),DAY($A1095)),$A:$A,0))-1),"")</f>
        <v/>
      </c>
      <c r="K1095" s="7">
        <f>IF(OR(E1095="",E1094=""),"",E1095/E1094-1)</f>
        <v/>
      </c>
      <c r="L1095" s="7">
        <f>IF(OR(F1095="",F1094=""),"",F1095/F1094-1)</f>
        <v/>
      </c>
      <c r="M1095" s="7">
        <f>IF(OR(G1095="",G1094=""),"",G1095/G1094-1)</f>
        <v/>
      </c>
      <c r="N1095" s="7">
        <f>IF(G1095="","",E1095/G1095)</f>
        <v/>
      </c>
      <c r="O1095" s="7">
        <f>IF(G1095="","",F1095/G1095)</f>
        <v/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4">
        <f>IF(SUMIFS('Daily NSE Equity Cash'!$H:$H,'Daily NSE Equity Cash'!$A:$A,$A1096)=0,"",SUMIFS('Daily NSE Equity Cash'!$H:$H,'Daily NSE Equity Cash'!$A:$A,$A1096))</f>
        <v/>
      </c>
      <c r="F1096" s="4">
        <f>IF(SUMIFS('Daily BSE Equity Cash'!$H:$H,'Daily BSE Equity Cash'!$A:$A,$A1096)=0,"",SUMIFS('Daily BSE Equity Cash'!$H:$H,'Daily BSE Equity Cash'!$A:$A,$A1096))</f>
        <v/>
      </c>
      <c r="G1096" s="4">
        <f>IF(OR(E1096="",F1096=""),"",E1096+F1096)</f>
        <v/>
      </c>
      <c r="H1096" s="7">
        <f>IFERROR(IF(OR(E1096="",INDEX(E:E,MATCH(DATE(YEAR($A1096)-1,MONTH($A1096),DAY($A1096)),$A:$A,0))=""),"",E1096/INDEX(E:E,MATCH(DATE(YEAR($A1096)-1,MONTH($A1096),DAY($A1096)),$A:$A,0))-1),"")</f>
        <v/>
      </c>
      <c r="I1096" s="7">
        <f>IFERROR(IF(OR(F1096="",INDEX(F:F,MATCH(DATE(YEAR($A1096)-1,MONTH($A1096),DAY($A1096)),$A:$A,0))=""),"",F1096/INDEX(F:F,MATCH(DATE(YEAR($A1096)-1,MONTH($A1096),DAY($A1096)),$A:$A,0))-1),"")</f>
        <v/>
      </c>
      <c r="J1096" s="7">
        <f>IFERROR(IF(OR(G1096="",INDEX(G:G,MATCH(DATE(YEAR($A1096)-1,MONTH($A1096),DAY($A1096)),$A:$A,0))=""),"",G1096/INDEX(G:G,MATCH(DATE(YEAR($A1096)-1,MONTH($A1096),DAY($A1096)),$A:$A,0))-1),"")</f>
        <v/>
      </c>
      <c r="K1096" s="7">
        <f>IF(OR(E1096="",E1095=""),"",E1096/E1095-1)</f>
        <v/>
      </c>
      <c r="L1096" s="7">
        <f>IF(OR(F1096="",F1095=""),"",F1096/F1095-1)</f>
        <v/>
      </c>
      <c r="M1096" s="7">
        <f>IF(OR(G1096="",G1095=""),"",G1096/G1095-1)</f>
        <v/>
      </c>
      <c r="N1096" s="7">
        <f>IF(G1096="","",E1096/G1096)</f>
        <v/>
      </c>
      <c r="O1096" s="7">
        <f>IF(G1096="","",F1096/G1096)</f>
        <v/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4">
        <f>IF(SUMIFS('Daily NSE Equity Cash'!$H:$H,'Daily NSE Equity Cash'!$A:$A,$A1097)=0,"",SUMIFS('Daily NSE Equity Cash'!$H:$H,'Daily NSE Equity Cash'!$A:$A,$A1097))</f>
        <v/>
      </c>
      <c r="F1097" s="4">
        <f>IF(SUMIFS('Daily BSE Equity Cash'!$H:$H,'Daily BSE Equity Cash'!$A:$A,$A1097)=0,"",SUMIFS('Daily BSE Equity Cash'!$H:$H,'Daily BSE Equity Cash'!$A:$A,$A1097))</f>
        <v/>
      </c>
      <c r="G1097" s="4">
        <f>IF(OR(E1097="",F1097=""),"",E1097+F1097)</f>
        <v/>
      </c>
      <c r="H1097" s="7">
        <f>IFERROR(IF(OR(E1097="",INDEX(E:E,MATCH(DATE(YEAR($A1097)-1,MONTH($A1097),DAY($A1097)),$A:$A,0))=""),"",E1097/INDEX(E:E,MATCH(DATE(YEAR($A1097)-1,MONTH($A1097),DAY($A1097)),$A:$A,0))-1),"")</f>
        <v/>
      </c>
      <c r="I1097" s="7">
        <f>IFERROR(IF(OR(F1097="",INDEX(F:F,MATCH(DATE(YEAR($A1097)-1,MONTH($A1097),DAY($A1097)),$A:$A,0))=""),"",F1097/INDEX(F:F,MATCH(DATE(YEAR($A1097)-1,MONTH($A1097),DAY($A1097)),$A:$A,0))-1),"")</f>
        <v/>
      </c>
      <c r="J1097" s="7">
        <f>IFERROR(IF(OR(G1097="",INDEX(G:G,MATCH(DATE(YEAR($A1097)-1,MONTH($A1097),DAY($A1097)),$A:$A,0))=""),"",G1097/INDEX(G:G,MATCH(DATE(YEAR($A1097)-1,MONTH($A1097),DAY($A1097)),$A:$A,0))-1),"")</f>
        <v/>
      </c>
      <c r="K1097" s="7">
        <f>IF(OR(E1097="",E1096=""),"",E1097/E1096-1)</f>
        <v/>
      </c>
      <c r="L1097" s="7">
        <f>IF(OR(F1097="",F1096=""),"",F1097/F1096-1)</f>
        <v/>
      </c>
      <c r="M1097" s="7">
        <f>IF(OR(G1097="",G1096=""),"",G1097/G1096-1)</f>
        <v/>
      </c>
      <c r="N1097" s="7">
        <f>IF(G1097="","",E1097/G1097)</f>
        <v/>
      </c>
      <c r="O1097" s="7">
        <f>IF(G1097="","",F1097/G1097)</f>
        <v/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4">
        <f>IF(SUMIFS('Daily NSE Equity Cash'!$H:$H,'Daily NSE Equity Cash'!$A:$A,$A1098)=0,"",SUMIFS('Daily NSE Equity Cash'!$H:$H,'Daily NSE Equity Cash'!$A:$A,$A1098))</f>
        <v/>
      </c>
      <c r="F1098" s="4">
        <f>IF(SUMIFS('Daily BSE Equity Cash'!$H:$H,'Daily BSE Equity Cash'!$A:$A,$A1098)=0,"",SUMIFS('Daily BSE Equity Cash'!$H:$H,'Daily BSE Equity Cash'!$A:$A,$A1098))</f>
        <v/>
      </c>
      <c r="G1098" s="4">
        <f>IF(OR(E1098="",F1098=""),"",E1098+F1098)</f>
        <v/>
      </c>
      <c r="H1098" s="7">
        <f>IFERROR(IF(OR(E1098="",INDEX(E:E,MATCH(DATE(YEAR($A1098)-1,MONTH($A1098),DAY($A1098)),$A:$A,0))=""),"",E1098/INDEX(E:E,MATCH(DATE(YEAR($A1098)-1,MONTH($A1098),DAY($A1098)),$A:$A,0))-1),"")</f>
        <v/>
      </c>
      <c r="I1098" s="7">
        <f>IFERROR(IF(OR(F1098="",INDEX(F:F,MATCH(DATE(YEAR($A1098)-1,MONTH($A1098),DAY($A1098)),$A:$A,0))=""),"",F1098/INDEX(F:F,MATCH(DATE(YEAR($A1098)-1,MONTH($A1098),DAY($A1098)),$A:$A,0))-1),"")</f>
        <v/>
      </c>
      <c r="J1098" s="7">
        <f>IFERROR(IF(OR(G1098="",INDEX(G:G,MATCH(DATE(YEAR($A1098)-1,MONTH($A1098),DAY($A1098)),$A:$A,0))=""),"",G1098/INDEX(G:G,MATCH(DATE(YEAR($A1098)-1,MONTH($A1098),DAY($A1098)),$A:$A,0))-1),"")</f>
        <v/>
      </c>
      <c r="K1098" s="7">
        <f>IF(OR(E1098="",E1097=""),"",E1098/E1097-1)</f>
        <v/>
      </c>
      <c r="L1098" s="7">
        <f>IF(OR(F1098="",F1097=""),"",F1098/F1097-1)</f>
        <v/>
      </c>
      <c r="M1098" s="7">
        <f>IF(OR(G1098="",G1097=""),"",G1098/G1097-1)</f>
        <v/>
      </c>
      <c r="N1098" s="7">
        <f>IF(G1098="","",E1098/G1098)</f>
        <v/>
      </c>
      <c r="O1098" s="7">
        <f>IF(G1098="","",F1098/G1098)</f>
        <v/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4">
        <f>IF(SUMIFS('Daily NSE Equity Cash'!$H:$H,'Daily NSE Equity Cash'!$A:$A,$A1099)=0,"",SUMIFS('Daily NSE Equity Cash'!$H:$H,'Daily NSE Equity Cash'!$A:$A,$A1099))</f>
        <v/>
      </c>
      <c r="F1099" s="4">
        <f>IF(SUMIFS('Daily BSE Equity Cash'!$H:$H,'Daily BSE Equity Cash'!$A:$A,$A1099)=0,"",SUMIFS('Daily BSE Equity Cash'!$H:$H,'Daily BSE Equity Cash'!$A:$A,$A1099))</f>
        <v/>
      </c>
      <c r="G1099" s="4">
        <f>IF(OR(E1099="",F1099=""),"",E1099+F1099)</f>
        <v/>
      </c>
      <c r="H1099" s="7">
        <f>IFERROR(IF(OR(E1099="",INDEX(E:E,MATCH(DATE(YEAR($A1099)-1,MONTH($A1099),DAY($A1099)),$A:$A,0))=""),"",E1099/INDEX(E:E,MATCH(DATE(YEAR($A1099)-1,MONTH($A1099),DAY($A1099)),$A:$A,0))-1),"")</f>
        <v/>
      </c>
      <c r="I1099" s="7">
        <f>IFERROR(IF(OR(F1099="",INDEX(F:F,MATCH(DATE(YEAR($A1099)-1,MONTH($A1099),DAY($A1099)),$A:$A,0))=""),"",F1099/INDEX(F:F,MATCH(DATE(YEAR($A1099)-1,MONTH($A1099),DAY($A1099)),$A:$A,0))-1),"")</f>
        <v/>
      </c>
      <c r="J1099" s="7">
        <f>IFERROR(IF(OR(G1099="",INDEX(G:G,MATCH(DATE(YEAR($A1099)-1,MONTH($A1099),DAY($A1099)),$A:$A,0))=""),"",G1099/INDEX(G:G,MATCH(DATE(YEAR($A1099)-1,MONTH($A1099),DAY($A1099)),$A:$A,0))-1),"")</f>
        <v/>
      </c>
      <c r="K1099" s="7">
        <f>IF(OR(E1099="",E1098=""),"",E1099/E1098-1)</f>
        <v/>
      </c>
      <c r="L1099" s="7">
        <f>IF(OR(F1099="",F1098=""),"",F1099/F1098-1)</f>
        <v/>
      </c>
      <c r="M1099" s="7">
        <f>IF(OR(G1099="",G1098=""),"",G1099/G1098-1)</f>
        <v/>
      </c>
      <c r="N1099" s="7">
        <f>IF(G1099="","",E1099/G1099)</f>
        <v/>
      </c>
      <c r="O1099" s="7">
        <f>IF(G1099="","",F1099/G1099)</f>
        <v/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4">
        <f>IF(SUMIFS('Daily NSE Equity Cash'!$H:$H,'Daily NSE Equity Cash'!$A:$A,$A1100)=0,"",SUMIFS('Daily NSE Equity Cash'!$H:$H,'Daily NSE Equity Cash'!$A:$A,$A1100))</f>
        <v/>
      </c>
      <c r="F1100" s="4">
        <f>IF(SUMIFS('Daily BSE Equity Cash'!$H:$H,'Daily BSE Equity Cash'!$A:$A,$A1100)=0,"",SUMIFS('Daily BSE Equity Cash'!$H:$H,'Daily BSE Equity Cash'!$A:$A,$A1100))</f>
        <v/>
      </c>
      <c r="G1100" s="4">
        <f>IF(OR(E1100="",F1100=""),"",E1100+F1100)</f>
        <v/>
      </c>
      <c r="H1100" s="7">
        <f>IFERROR(IF(OR(E1100="",INDEX(E:E,MATCH(DATE(YEAR($A1100)-1,MONTH($A1100),DAY($A1100)),$A:$A,0))=""),"",E1100/INDEX(E:E,MATCH(DATE(YEAR($A1100)-1,MONTH($A1100),DAY($A1100)),$A:$A,0))-1),"")</f>
        <v/>
      </c>
      <c r="I1100" s="7">
        <f>IFERROR(IF(OR(F1100="",INDEX(F:F,MATCH(DATE(YEAR($A1100)-1,MONTH($A1100),DAY($A1100)),$A:$A,0))=""),"",F1100/INDEX(F:F,MATCH(DATE(YEAR($A1100)-1,MONTH($A1100),DAY($A1100)),$A:$A,0))-1),"")</f>
        <v/>
      </c>
      <c r="J1100" s="7">
        <f>IFERROR(IF(OR(G1100="",INDEX(G:G,MATCH(DATE(YEAR($A1100)-1,MONTH($A1100),DAY($A1100)),$A:$A,0))=""),"",G1100/INDEX(G:G,MATCH(DATE(YEAR($A1100)-1,MONTH($A1100),DAY($A1100)),$A:$A,0))-1),"")</f>
        <v/>
      </c>
      <c r="K1100" s="7">
        <f>IF(OR(E1100="",E1099=""),"",E1100/E1099-1)</f>
        <v/>
      </c>
      <c r="L1100" s="7">
        <f>IF(OR(F1100="",F1099=""),"",F1100/F1099-1)</f>
        <v/>
      </c>
      <c r="M1100" s="7">
        <f>IF(OR(G1100="",G1099=""),"",G1100/G1099-1)</f>
        <v/>
      </c>
      <c r="N1100" s="7">
        <f>IF(G1100="","",E1100/G1100)</f>
        <v/>
      </c>
      <c r="O1100" s="7">
        <f>IF(G1100="","",F1100/G1100)</f>
        <v/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4">
        <f>IF(SUMIFS('Daily NSE Equity Cash'!$H:$H,'Daily NSE Equity Cash'!$A:$A,$A1101)=0,"",SUMIFS('Daily NSE Equity Cash'!$H:$H,'Daily NSE Equity Cash'!$A:$A,$A1101))</f>
        <v/>
      </c>
      <c r="F1101" s="4">
        <f>IF(SUMIFS('Daily BSE Equity Cash'!$H:$H,'Daily BSE Equity Cash'!$A:$A,$A1101)=0,"",SUMIFS('Daily BSE Equity Cash'!$H:$H,'Daily BSE Equity Cash'!$A:$A,$A1101))</f>
        <v/>
      </c>
      <c r="G1101" s="4">
        <f>IF(OR(E1101="",F1101=""),"",E1101+F1101)</f>
        <v/>
      </c>
      <c r="H1101" s="7">
        <f>IFERROR(IF(OR(E1101="",INDEX(E:E,MATCH(DATE(YEAR($A1101)-1,MONTH($A1101),DAY($A1101)),$A:$A,0))=""),"",E1101/INDEX(E:E,MATCH(DATE(YEAR($A1101)-1,MONTH($A1101),DAY($A1101)),$A:$A,0))-1),"")</f>
        <v/>
      </c>
      <c r="I1101" s="7">
        <f>IFERROR(IF(OR(F1101="",INDEX(F:F,MATCH(DATE(YEAR($A1101)-1,MONTH($A1101),DAY($A1101)),$A:$A,0))=""),"",F1101/INDEX(F:F,MATCH(DATE(YEAR($A1101)-1,MONTH($A1101),DAY($A1101)),$A:$A,0))-1),"")</f>
        <v/>
      </c>
      <c r="J1101" s="7">
        <f>IFERROR(IF(OR(G1101="",INDEX(G:G,MATCH(DATE(YEAR($A1101)-1,MONTH($A1101),DAY($A1101)),$A:$A,0))=""),"",G1101/INDEX(G:G,MATCH(DATE(YEAR($A1101)-1,MONTH($A1101),DAY($A1101)),$A:$A,0))-1),"")</f>
        <v/>
      </c>
      <c r="K1101" s="7">
        <f>IF(OR(E1101="",E1100=""),"",E1101/E1100-1)</f>
        <v/>
      </c>
      <c r="L1101" s="7">
        <f>IF(OR(F1101="",F1100=""),"",F1101/F1100-1)</f>
        <v/>
      </c>
      <c r="M1101" s="7">
        <f>IF(OR(G1101="",G1100=""),"",G1101/G1100-1)</f>
        <v/>
      </c>
      <c r="N1101" s="7">
        <f>IF(G1101="","",E1101/G1101)</f>
        <v/>
      </c>
      <c r="O1101" s="7">
        <f>IF(G1101="","",F1101/G1101)</f>
        <v/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4">
        <f>IF(SUMIFS('Daily NSE Equity Cash'!$H:$H,'Daily NSE Equity Cash'!$A:$A,$A1102)=0,"",SUMIFS('Daily NSE Equity Cash'!$H:$H,'Daily NSE Equity Cash'!$A:$A,$A1102))</f>
        <v/>
      </c>
      <c r="F1102" s="4">
        <f>IF(SUMIFS('Daily BSE Equity Cash'!$H:$H,'Daily BSE Equity Cash'!$A:$A,$A1102)=0,"",SUMIFS('Daily BSE Equity Cash'!$H:$H,'Daily BSE Equity Cash'!$A:$A,$A1102))</f>
        <v/>
      </c>
      <c r="G1102" s="4">
        <f>IF(OR(E1102="",F1102=""),"",E1102+F1102)</f>
        <v/>
      </c>
      <c r="H1102" s="7">
        <f>IFERROR(IF(OR(E1102="",INDEX(E:E,MATCH(DATE(YEAR($A1102)-1,MONTH($A1102),DAY($A1102)),$A:$A,0))=""),"",E1102/INDEX(E:E,MATCH(DATE(YEAR($A1102)-1,MONTH($A1102),DAY($A1102)),$A:$A,0))-1),"")</f>
        <v/>
      </c>
      <c r="I1102" s="7">
        <f>IFERROR(IF(OR(F1102="",INDEX(F:F,MATCH(DATE(YEAR($A1102)-1,MONTH($A1102),DAY($A1102)),$A:$A,0))=""),"",F1102/INDEX(F:F,MATCH(DATE(YEAR($A1102)-1,MONTH($A1102),DAY($A1102)),$A:$A,0))-1),"")</f>
        <v/>
      </c>
      <c r="J1102" s="7">
        <f>IFERROR(IF(OR(G1102="",INDEX(G:G,MATCH(DATE(YEAR($A1102)-1,MONTH($A1102),DAY($A1102)),$A:$A,0))=""),"",G1102/INDEX(G:G,MATCH(DATE(YEAR($A1102)-1,MONTH($A1102),DAY($A1102)),$A:$A,0))-1),"")</f>
        <v/>
      </c>
      <c r="K1102" s="7">
        <f>IF(OR(E1102="",E1101=""),"",E1102/E1101-1)</f>
        <v/>
      </c>
      <c r="L1102" s="7">
        <f>IF(OR(F1102="",F1101=""),"",F1102/F1101-1)</f>
        <v/>
      </c>
      <c r="M1102" s="7">
        <f>IF(OR(G1102="",G1101=""),"",G1102/G1101-1)</f>
        <v/>
      </c>
      <c r="N1102" s="7">
        <f>IF(G1102="","",E1102/G1102)</f>
        <v/>
      </c>
      <c r="O1102" s="7">
        <f>IF(G1102="","",F1102/G1102)</f>
        <v/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4">
        <f>IF(SUMIFS('Daily NSE Equity Cash'!$H:$H,'Daily NSE Equity Cash'!$A:$A,$A1103)=0,"",SUMIFS('Daily NSE Equity Cash'!$H:$H,'Daily NSE Equity Cash'!$A:$A,$A1103))</f>
        <v/>
      </c>
      <c r="F1103" s="4">
        <f>IF(SUMIFS('Daily BSE Equity Cash'!$H:$H,'Daily BSE Equity Cash'!$A:$A,$A1103)=0,"",SUMIFS('Daily BSE Equity Cash'!$H:$H,'Daily BSE Equity Cash'!$A:$A,$A1103))</f>
        <v/>
      </c>
      <c r="G1103" s="4">
        <f>IF(OR(E1103="",F1103=""),"",E1103+F1103)</f>
        <v/>
      </c>
      <c r="H1103" s="7">
        <f>IFERROR(IF(OR(E1103="",INDEX(E:E,MATCH(DATE(YEAR($A1103)-1,MONTH($A1103),DAY($A1103)),$A:$A,0))=""),"",E1103/INDEX(E:E,MATCH(DATE(YEAR($A1103)-1,MONTH($A1103),DAY($A1103)),$A:$A,0))-1),"")</f>
        <v/>
      </c>
      <c r="I1103" s="7">
        <f>IFERROR(IF(OR(F1103="",INDEX(F:F,MATCH(DATE(YEAR($A1103)-1,MONTH($A1103),DAY($A1103)),$A:$A,0))=""),"",F1103/INDEX(F:F,MATCH(DATE(YEAR($A1103)-1,MONTH($A1103),DAY($A1103)),$A:$A,0))-1),"")</f>
        <v/>
      </c>
      <c r="J1103" s="7">
        <f>IFERROR(IF(OR(G1103="",INDEX(G:G,MATCH(DATE(YEAR($A1103)-1,MONTH($A1103),DAY($A1103)),$A:$A,0))=""),"",G1103/INDEX(G:G,MATCH(DATE(YEAR($A1103)-1,MONTH($A1103),DAY($A1103)),$A:$A,0))-1),"")</f>
        <v/>
      </c>
      <c r="K1103" s="7">
        <f>IF(OR(E1103="",E1102=""),"",E1103/E1102-1)</f>
        <v/>
      </c>
      <c r="L1103" s="7">
        <f>IF(OR(F1103="",F1102=""),"",F1103/F1102-1)</f>
        <v/>
      </c>
      <c r="M1103" s="7">
        <f>IF(OR(G1103="",G1102=""),"",G1103/G1102-1)</f>
        <v/>
      </c>
      <c r="N1103" s="7">
        <f>IF(G1103="","",E1103/G1103)</f>
        <v/>
      </c>
      <c r="O1103" s="7">
        <f>IF(G1103="","",F1103/G1103)</f>
        <v/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4">
        <f>IF(SUMIFS('Daily NSE Equity Cash'!$H:$H,'Daily NSE Equity Cash'!$A:$A,$A1104)=0,"",SUMIFS('Daily NSE Equity Cash'!$H:$H,'Daily NSE Equity Cash'!$A:$A,$A1104))</f>
        <v/>
      </c>
      <c r="F1104" s="4">
        <f>IF(SUMIFS('Daily BSE Equity Cash'!$H:$H,'Daily BSE Equity Cash'!$A:$A,$A1104)=0,"",SUMIFS('Daily BSE Equity Cash'!$H:$H,'Daily BSE Equity Cash'!$A:$A,$A1104))</f>
        <v/>
      </c>
      <c r="G1104" s="4">
        <f>IF(OR(E1104="",F1104=""),"",E1104+F1104)</f>
        <v/>
      </c>
      <c r="H1104" s="7">
        <f>IFERROR(IF(OR(E1104="",INDEX(E:E,MATCH(DATE(YEAR($A1104)-1,MONTH($A1104),DAY($A1104)),$A:$A,0))=""),"",E1104/INDEX(E:E,MATCH(DATE(YEAR($A1104)-1,MONTH($A1104),DAY($A1104)),$A:$A,0))-1),"")</f>
        <v/>
      </c>
      <c r="I1104" s="7">
        <f>IFERROR(IF(OR(F1104="",INDEX(F:F,MATCH(DATE(YEAR($A1104)-1,MONTH($A1104),DAY($A1104)),$A:$A,0))=""),"",F1104/INDEX(F:F,MATCH(DATE(YEAR($A1104)-1,MONTH($A1104),DAY($A1104)),$A:$A,0))-1),"")</f>
        <v/>
      </c>
      <c r="J1104" s="7">
        <f>IFERROR(IF(OR(G1104="",INDEX(G:G,MATCH(DATE(YEAR($A1104)-1,MONTH($A1104),DAY($A1104)),$A:$A,0))=""),"",G1104/INDEX(G:G,MATCH(DATE(YEAR($A1104)-1,MONTH($A1104),DAY($A1104)),$A:$A,0))-1),"")</f>
        <v/>
      </c>
      <c r="K1104" s="7">
        <f>IF(OR(E1104="",E1103=""),"",E1104/E1103-1)</f>
        <v/>
      </c>
      <c r="L1104" s="7">
        <f>IF(OR(F1104="",F1103=""),"",F1104/F1103-1)</f>
        <v/>
      </c>
      <c r="M1104" s="7">
        <f>IF(OR(G1104="",G1103=""),"",G1104/G1103-1)</f>
        <v/>
      </c>
      <c r="N1104" s="7">
        <f>IF(G1104="","",E1104/G1104)</f>
        <v/>
      </c>
      <c r="O1104" s="7">
        <f>IF(G1104="","",F1104/G1104)</f>
        <v/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4">
        <f>IF(SUMIFS('Daily NSE Equity Cash'!$H:$H,'Daily NSE Equity Cash'!$A:$A,$A1105)=0,"",SUMIFS('Daily NSE Equity Cash'!$H:$H,'Daily NSE Equity Cash'!$A:$A,$A1105))</f>
        <v/>
      </c>
      <c r="F1105" s="4">
        <f>IF(SUMIFS('Daily BSE Equity Cash'!$H:$H,'Daily BSE Equity Cash'!$A:$A,$A1105)=0,"",SUMIFS('Daily BSE Equity Cash'!$H:$H,'Daily BSE Equity Cash'!$A:$A,$A1105))</f>
        <v/>
      </c>
      <c r="G1105" s="4">
        <f>IF(OR(E1105="",F1105=""),"",E1105+F1105)</f>
        <v/>
      </c>
      <c r="H1105" s="7">
        <f>IFERROR(IF(OR(E1105="",INDEX(E:E,MATCH(DATE(YEAR($A1105)-1,MONTH($A1105),DAY($A1105)),$A:$A,0))=""),"",E1105/INDEX(E:E,MATCH(DATE(YEAR($A1105)-1,MONTH($A1105),DAY($A1105)),$A:$A,0))-1),"")</f>
        <v/>
      </c>
      <c r="I1105" s="7">
        <f>IFERROR(IF(OR(F1105="",INDEX(F:F,MATCH(DATE(YEAR($A1105)-1,MONTH($A1105),DAY($A1105)),$A:$A,0))=""),"",F1105/INDEX(F:F,MATCH(DATE(YEAR($A1105)-1,MONTH($A1105),DAY($A1105)),$A:$A,0))-1),"")</f>
        <v/>
      </c>
      <c r="J1105" s="7">
        <f>IFERROR(IF(OR(G1105="",INDEX(G:G,MATCH(DATE(YEAR($A1105)-1,MONTH($A1105),DAY($A1105)),$A:$A,0))=""),"",G1105/INDEX(G:G,MATCH(DATE(YEAR($A1105)-1,MONTH($A1105),DAY($A1105)),$A:$A,0))-1),"")</f>
        <v/>
      </c>
      <c r="K1105" s="7">
        <f>IF(OR(E1105="",E1104=""),"",E1105/E1104-1)</f>
        <v/>
      </c>
      <c r="L1105" s="7">
        <f>IF(OR(F1105="",F1104=""),"",F1105/F1104-1)</f>
        <v/>
      </c>
      <c r="M1105" s="7">
        <f>IF(OR(G1105="",G1104=""),"",G1105/G1104-1)</f>
        <v/>
      </c>
      <c r="N1105" s="7">
        <f>IF(G1105="","",E1105/G1105)</f>
        <v/>
      </c>
      <c r="O1105" s="7">
        <f>IF(G1105="","",F1105/G1105)</f>
        <v/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4">
        <f>IF(SUMIFS('Daily NSE Equity Cash'!$H:$H,'Daily NSE Equity Cash'!$A:$A,$A1106)=0,"",SUMIFS('Daily NSE Equity Cash'!$H:$H,'Daily NSE Equity Cash'!$A:$A,$A1106))</f>
        <v/>
      </c>
      <c r="F1106" s="4">
        <f>IF(SUMIFS('Daily BSE Equity Cash'!$H:$H,'Daily BSE Equity Cash'!$A:$A,$A1106)=0,"",SUMIFS('Daily BSE Equity Cash'!$H:$H,'Daily BSE Equity Cash'!$A:$A,$A1106))</f>
        <v/>
      </c>
      <c r="G1106" s="4">
        <f>IF(OR(E1106="",F1106=""),"",E1106+F1106)</f>
        <v/>
      </c>
      <c r="H1106" s="7">
        <f>IFERROR(IF(OR(E1106="",INDEX(E:E,MATCH(DATE(YEAR($A1106)-1,MONTH($A1106),DAY($A1106)),$A:$A,0))=""),"",E1106/INDEX(E:E,MATCH(DATE(YEAR($A1106)-1,MONTH($A1106),DAY($A1106)),$A:$A,0))-1),"")</f>
        <v/>
      </c>
      <c r="I1106" s="7">
        <f>IFERROR(IF(OR(F1106="",INDEX(F:F,MATCH(DATE(YEAR($A1106)-1,MONTH($A1106),DAY($A1106)),$A:$A,0))=""),"",F1106/INDEX(F:F,MATCH(DATE(YEAR($A1106)-1,MONTH($A1106),DAY($A1106)),$A:$A,0))-1),"")</f>
        <v/>
      </c>
      <c r="J1106" s="7">
        <f>IFERROR(IF(OR(G1106="",INDEX(G:G,MATCH(DATE(YEAR($A1106)-1,MONTH($A1106),DAY($A1106)),$A:$A,0))=""),"",G1106/INDEX(G:G,MATCH(DATE(YEAR($A1106)-1,MONTH($A1106),DAY($A1106)),$A:$A,0))-1),"")</f>
        <v/>
      </c>
      <c r="K1106" s="7">
        <f>IF(OR(E1106="",E1105=""),"",E1106/E1105-1)</f>
        <v/>
      </c>
      <c r="L1106" s="7">
        <f>IF(OR(F1106="",F1105=""),"",F1106/F1105-1)</f>
        <v/>
      </c>
      <c r="M1106" s="7">
        <f>IF(OR(G1106="",G1105=""),"",G1106/G1105-1)</f>
        <v/>
      </c>
      <c r="N1106" s="7">
        <f>IF(G1106="","",E1106/G1106)</f>
        <v/>
      </c>
      <c r="O1106" s="7">
        <f>IF(G1106="","",F1106/G1106)</f>
        <v/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4">
        <f>IF(SUMIFS('Daily NSE Equity Cash'!$H:$H,'Daily NSE Equity Cash'!$A:$A,$A1107)=0,"",SUMIFS('Daily NSE Equity Cash'!$H:$H,'Daily NSE Equity Cash'!$A:$A,$A1107))</f>
        <v/>
      </c>
      <c r="F1107" s="4">
        <f>IF(SUMIFS('Daily BSE Equity Cash'!$H:$H,'Daily BSE Equity Cash'!$A:$A,$A1107)=0,"",SUMIFS('Daily BSE Equity Cash'!$H:$H,'Daily BSE Equity Cash'!$A:$A,$A1107))</f>
        <v/>
      </c>
      <c r="G1107" s="4">
        <f>IF(OR(E1107="",F1107=""),"",E1107+F1107)</f>
        <v/>
      </c>
      <c r="H1107" s="7">
        <f>IFERROR(IF(OR(E1107="",INDEX(E:E,MATCH(DATE(YEAR($A1107)-1,MONTH($A1107),DAY($A1107)),$A:$A,0))=""),"",E1107/INDEX(E:E,MATCH(DATE(YEAR($A1107)-1,MONTH($A1107),DAY($A1107)),$A:$A,0))-1),"")</f>
        <v/>
      </c>
      <c r="I1107" s="7">
        <f>IFERROR(IF(OR(F1107="",INDEX(F:F,MATCH(DATE(YEAR($A1107)-1,MONTH($A1107),DAY($A1107)),$A:$A,0))=""),"",F1107/INDEX(F:F,MATCH(DATE(YEAR($A1107)-1,MONTH($A1107),DAY($A1107)),$A:$A,0))-1),"")</f>
        <v/>
      </c>
      <c r="J1107" s="7">
        <f>IFERROR(IF(OR(G1107="",INDEX(G:G,MATCH(DATE(YEAR($A1107)-1,MONTH($A1107),DAY($A1107)),$A:$A,0))=""),"",G1107/INDEX(G:G,MATCH(DATE(YEAR($A1107)-1,MONTH($A1107),DAY($A1107)),$A:$A,0))-1),"")</f>
        <v/>
      </c>
      <c r="K1107" s="7">
        <f>IF(OR(E1107="",E1106=""),"",E1107/E1106-1)</f>
        <v/>
      </c>
      <c r="L1107" s="7">
        <f>IF(OR(F1107="",F1106=""),"",F1107/F1106-1)</f>
        <v/>
      </c>
      <c r="M1107" s="7">
        <f>IF(OR(G1107="",G1106=""),"",G1107/G1106-1)</f>
        <v/>
      </c>
      <c r="N1107" s="7">
        <f>IF(G1107="","",E1107/G1107)</f>
        <v/>
      </c>
      <c r="O1107" s="7">
        <f>IF(G1107="","",F1107/G1107)</f>
        <v/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4">
        <f>IF(SUMIFS('Daily NSE Equity Cash'!$H:$H,'Daily NSE Equity Cash'!$A:$A,$A1108)=0,"",SUMIFS('Daily NSE Equity Cash'!$H:$H,'Daily NSE Equity Cash'!$A:$A,$A1108))</f>
        <v/>
      </c>
      <c r="F1108" s="4">
        <f>IF(SUMIFS('Daily BSE Equity Cash'!$H:$H,'Daily BSE Equity Cash'!$A:$A,$A1108)=0,"",SUMIFS('Daily BSE Equity Cash'!$H:$H,'Daily BSE Equity Cash'!$A:$A,$A1108))</f>
        <v/>
      </c>
      <c r="G1108" s="4">
        <f>IF(OR(E1108="",F1108=""),"",E1108+F1108)</f>
        <v/>
      </c>
      <c r="H1108" s="7">
        <f>IFERROR(IF(OR(E1108="",INDEX(E:E,MATCH(DATE(YEAR($A1108)-1,MONTH($A1108),DAY($A1108)),$A:$A,0))=""),"",E1108/INDEX(E:E,MATCH(DATE(YEAR($A1108)-1,MONTH($A1108),DAY($A1108)),$A:$A,0))-1),"")</f>
        <v/>
      </c>
      <c r="I1108" s="7">
        <f>IFERROR(IF(OR(F1108="",INDEX(F:F,MATCH(DATE(YEAR($A1108)-1,MONTH($A1108),DAY($A1108)),$A:$A,0))=""),"",F1108/INDEX(F:F,MATCH(DATE(YEAR($A1108)-1,MONTH($A1108),DAY($A1108)),$A:$A,0))-1),"")</f>
        <v/>
      </c>
      <c r="J1108" s="7">
        <f>IFERROR(IF(OR(G1108="",INDEX(G:G,MATCH(DATE(YEAR($A1108)-1,MONTH($A1108),DAY($A1108)),$A:$A,0))=""),"",G1108/INDEX(G:G,MATCH(DATE(YEAR($A1108)-1,MONTH($A1108),DAY($A1108)),$A:$A,0))-1),"")</f>
        <v/>
      </c>
      <c r="K1108" s="7">
        <f>IF(OR(E1108="",E1107=""),"",E1108/E1107-1)</f>
        <v/>
      </c>
      <c r="L1108" s="7">
        <f>IF(OR(F1108="",F1107=""),"",F1108/F1107-1)</f>
        <v/>
      </c>
      <c r="M1108" s="7">
        <f>IF(OR(G1108="",G1107=""),"",G1108/G1107-1)</f>
        <v/>
      </c>
      <c r="N1108" s="7">
        <f>IF(G1108="","",E1108/G1108)</f>
        <v/>
      </c>
      <c r="O1108" s="7">
        <f>IF(G1108="","",F1108/G1108)</f>
        <v/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4">
        <f>IF(SUMIFS('Daily NSE Equity Cash'!$H:$H,'Daily NSE Equity Cash'!$A:$A,$A1109)=0,"",SUMIFS('Daily NSE Equity Cash'!$H:$H,'Daily NSE Equity Cash'!$A:$A,$A1109))</f>
        <v/>
      </c>
      <c r="F1109" s="4">
        <f>IF(SUMIFS('Daily BSE Equity Cash'!$H:$H,'Daily BSE Equity Cash'!$A:$A,$A1109)=0,"",SUMIFS('Daily BSE Equity Cash'!$H:$H,'Daily BSE Equity Cash'!$A:$A,$A1109))</f>
        <v/>
      </c>
      <c r="G1109" s="4">
        <f>IF(OR(E1109="",F1109=""),"",E1109+F1109)</f>
        <v/>
      </c>
      <c r="H1109" s="7">
        <f>IFERROR(IF(OR(E1109="",INDEX(E:E,MATCH(DATE(YEAR($A1109)-1,MONTH($A1109),DAY($A1109)),$A:$A,0))=""),"",E1109/INDEX(E:E,MATCH(DATE(YEAR($A1109)-1,MONTH($A1109),DAY($A1109)),$A:$A,0))-1),"")</f>
        <v/>
      </c>
      <c r="I1109" s="7">
        <f>IFERROR(IF(OR(F1109="",INDEX(F:F,MATCH(DATE(YEAR($A1109)-1,MONTH($A1109),DAY($A1109)),$A:$A,0))=""),"",F1109/INDEX(F:F,MATCH(DATE(YEAR($A1109)-1,MONTH($A1109),DAY($A1109)),$A:$A,0))-1),"")</f>
        <v/>
      </c>
      <c r="J1109" s="7">
        <f>IFERROR(IF(OR(G1109="",INDEX(G:G,MATCH(DATE(YEAR($A1109)-1,MONTH($A1109),DAY($A1109)),$A:$A,0))=""),"",G1109/INDEX(G:G,MATCH(DATE(YEAR($A1109)-1,MONTH($A1109),DAY($A1109)),$A:$A,0))-1),"")</f>
        <v/>
      </c>
      <c r="K1109" s="7">
        <f>IF(OR(E1109="",E1108=""),"",E1109/E1108-1)</f>
        <v/>
      </c>
      <c r="L1109" s="7">
        <f>IF(OR(F1109="",F1108=""),"",F1109/F1108-1)</f>
        <v/>
      </c>
      <c r="M1109" s="7">
        <f>IF(OR(G1109="",G1108=""),"",G1109/G1108-1)</f>
        <v/>
      </c>
      <c r="N1109" s="7">
        <f>IF(G1109="","",E1109/G1109)</f>
        <v/>
      </c>
      <c r="O1109" s="7">
        <f>IF(G1109="","",F1109/G1109)</f>
        <v/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4">
        <f>IF(SUMIFS('Daily NSE Equity Cash'!$H:$H,'Daily NSE Equity Cash'!$A:$A,$A1110)=0,"",SUMIFS('Daily NSE Equity Cash'!$H:$H,'Daily NSE Equity Cash'!$A:$A,$A1110))</f>
        <v/>
      </c>
      <c r="F1110" s="4">
        <f>IF(SUMIFS('Daily BSE Equity Cash'!$H:$H,'Daily BSE Equity Cash'!$A:$A,$A1110)=0,"",SUMIFS('Daily BSE Equity Cash'!$H:$H,'Daily BSE Equity Cash'!$A:$A,$A1110))</f>
        <v/>
      </c>
      <c r="G1110" s="4">
        <f>IF(OR(E1110="",F1110=""),"",E1110+F1110)</f>
        <v/>
      </c>
      <c r="H1110" s="7">
        <f>IFERROR(IF(OR(E1110="",INDEX(E:E,MATCH(DATE(YEAR($A1110)-1,MONTH($A1110),DAY($A1110)),$A:$A,0))=""),"",E1110/INDEX(E:E,MATCH(DATE(YEAR($A1110)-1,MONTH($A1110),DAY($A1110)),$A:$A,0))-1),"")</f>
        <v/>
      </c>
      <c r="I1110" s="7">
        <f>IFERROR(IF(OR(F1110="",INDEX(F:F,MATCH(DATE(YEAR($A1110)-1,MONTH($A1110),DAY($A1110)),$A:$A,0))=""),"",F1110/INDEX(F:F,MATCH(DATE(YEAR($A1110)-1,MONTH($A1110),DAY($A1110)),$A:$A,0))-1),"")</f>
        <v/>
      </c>
      <c r="J1110" s="7">
        <f>IFERROR(IF(OR(G1110="",INDEX(G:G,MATCH(DATE(YEAR($A1110)-1,MONTH($A1110),DAY($A1110)),$A:$A,0))=""),"",G1110/INDEX(G:G,MATCH(DATE(YEAR($A1110)-1,MONTH($A1110),DAY($A1110)),$A:$A,0))-1),"")</f>
        <v/>
      </c>
      <c r="K1110" s="7">
        <f>IF(OR(E1110="",E1109=""),"",E1110/E1109-1)</f>
        <v/>
      </c>
      <c r="L1110" s="7">
        <f>IF(OR(F1110="",F1109=""),"",F1110/F1109-1)</f>
        <v/>
      </c>
      <c r="M1110" s="7">
        <f>IF(OR(G1110="",G1109=""),"",G1110/G1109-1)</f>
        <v/>
      </c>
      <c r="N1110" s="7">
        <f>IF(G1110="","",E1110/G1110)</f>
        <v/>
      </c>
      <c r="O1110" s="7">
        <f>IF(G1110="","",F1110/G1110)</f>
        <v/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4">
        <f>IF(SUMIFS('Daily NSE Equity Cash'!$H:$H,'Daily NSE Equity Cash'!$A:$A,$A1111)=0,"",SUMIFS('Daily NSE Equity Cash'!$H:$H,'Daily NSE Equity Cash'!$A:$A,$A1111))</f>
        <v/>
      </c>
      <c r="F1111" s="4">
        <f>IF(SUMIFS('Daily BSE Equity Cash'!$H:$H,'Daily BSE Equity Cash'!$A:$A,$A1111)=0,"",SUMIFS('Daily BSE Equity Cash'!$H:$H,'Daily BSE Equity Cash'!$A:$A,$A1111))</f>
        <v/>
      </c>
      <c r="G1111" s="4">
        <f>IF(OR(E1111="",F1111=""),"",E1111+F1111)</f>
        <v/>
      </c>
      <c r="H1111" s="7">
        <f>IFERROR(IF(OR(E1111="",INDEX(E:E,MATCH(DATE(YEAR($A1111)-1,MONTH($A1111),DAY($A1111)),$A:$A,0))=""),"",E1111/INDEX(E:E,MATCH(DATE(YEAR($A1111)-1,MONTH($A1111),DAY($A1111)),$A:$A,0))-1),"")</f>
        <v/>
      </c>
      <c r="I1111" s="7">
        <f>IFERROR(IF(OR(F1111="",INDEX(F:F,MATCH(DATE(YEAR($A1111)-1,MONTH($A1111),DAY($A1111)),$A:$A,0))=""),"",F1111/INDEX(F:F,MATCH(DATE(YEAR($A1111)-1,MONTH($A1111),DAY($A1111)),$A:$A,0))-1),"")</f>
        <v/>
      </c>
      <c r="J1111" s="7">
        <f>IFERROR(IF(OR(G1111="",INDEX(G:G,MATCH(DATE(YEAR($A1111)-1,MONTH($A1111),DAY($A1111)),$A:$A,0))=""),"",G1111/INDEX(G:G,MATCH(DATE(YEAR($A1111)-1,MONTH($A1111),DAY($A1111)),$A:$A,0))-1),"")</f>
        <v/>
      </c>
      <c r="K1111" s="7">
        <f>IF(OR(E1111="",E1110=""),"",E1111/E1110-1)</f>
        <v/>
      </c>
      <c r="L1111" s="7">
        <f>IF(OR(F1111="",F1110=""),"",F1111/F1110-1)</f>
        <v/>
      </c>
      <c r="M1111" s="7">
        <f>IF(OR(G1111="",G1110=""),"",G1111/G1110-1)</f>
        <v/>
      </c>
      <c r="N1111" s="7">
        <f>IF(G1111="","",E1111/G1111)</f>
        <v/>
      </c>
      <c r="O1111" s="7">
        <f>IF(G1111="","",F1111/G1111)</f>
        <v/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4">
        <f>IF(SUMIFS('Daily NSE Equity Cash'!$H:$H,'Daily NSE Equity Cash'!$A:$A,$A1112)=0,"",SUMIFS('Daily NSE Equity Cash'!$H:$H,'Daily NSE Equity Cash'!$A:$A,$A1112))</f>
        <v/>
      </c>
      <c r="F1112" s="4">
        <f>IF(SUMIFS('Daily BSE Equity Cash'!$H:$H,'Daily BSE Equity Cash'!$A:$A,$A1112)=0,"",SUMIFS('Daily BSE Equity Cash'!$H:$H,'Daily BSE Equity Cash'!$A:$A,$A1112))</f>
        <v/>
      </c>
      <c r="G1112" s="4">
        <f>IF(OR(E1112="",F1112=""),"",E1112+F1112)</f>
        <v/>
      </c>
      <c r="H1112" s="7">
        <f>IFERROR(IF(OR(E1112="",INDEX(E:E,MATCH(DATE(YEAR($A1112)-1,MONTH($A1112),DAY($A1112)),$A:$A,0))=""),"",E1112/INDEX(E:E,MATCH(DATE(YEAR($A1112)-1,MONTH($A1112),DAY($A1112)),$A:$A,0))-1),"")</f>
        <v/>
      </c>
      <c r="I1112" s="7">
        <f>IFERROR(IF(OR(F1112="",INDEX(F:F,MATCH(DATE(YEAR($A1112)-1,MONTH($A1112),DAY($A1112)),$A:$A,0))=""),"",F1112/INDEX(F:F,MATCH(DATE(YEAR($A1112)-1,MONTH($A1112),DAY($A1112)),$A:$A,0))-1),"")</f>
        <v/>
      </c>
      <c r="J1112" s="7">
        <f>IFERROR(IF(OR(G1112="",INDEX(G:G,MATCH(DATE(YEAR($A1112)-1,MONTH($A1112),DAY($A1112)),$A:$A,0))=""),"",G1112/INDEX(G:G,MATCH(DATE(YEAR($A1112)-1,MONTH($A1112),DAY($A1112)),$A:$A,0))-1),"")</f>
        <v/>
      </c>
      <c r="K1112" s="7">
        <f>IF(OR(E1112="",E1111=""),"",E1112/E1111-1)</f>
        <v/>
      </c>
      <c r="L1112" s="7">
        <f>IF(OR(F1112="",F1111=""),"",F1112/F1111-1)</f>
        <v/>
      </c>
      <c r="M1112" s="7">
        <f>IF(OR(G1112="",G1111=""),"",G1112/G1111-1)</f>
        <v/>
      </c>
      <c r="N1112" s="7">
        <f>IF(G1112="","",E1112/G1112)</f>
        <v/>
      </c>
      <c r="O1112" s="7">
        <f>IF(G1112="","",F1112/G1112)</f>
        <v/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4">
        <f>IF(SUMIFS('Daily NSE Equity Cash'!$H:$H,'Daily NSE Equity Cash'!$A:$A,$A1113)=0,"",SUMIFS('Daily NSE Equity Cash'!$H:$H,'Daily NSE Equity Cash'!$A:$A,$A1113))</f>
        <v/>
      </c>
      <c r="F1113" s="4">
        <f>IF(SUMIFS('Daily BSE Equity Cash'!$H:$H,'Daily BSE Equity Cash'!$A:$A,$A1113)=0,"",SUMIFS('Daily BSE Equity Cash'!$H:$H,'Daily BSE Equity Cash'!$A:$A,$A1113))</f>
        <v/>
      </c>
      <c r="G1113" s="4">
        <f>IF(OR(E1113="",F1113=""),"",E1113+F1113)</f>
        <v/>
      </c>
      <c r="H1113" s="7">
        <f>IFERROR(IF(OR(E1113="",INDEX(E:E,MATCH(DATE(YEAR($A1113)-1,MONTH($A1113),DAY($A1113)),$A:$A,0))=""),"",E1113/INDEX(E:E,MATCH(DATE(YEAR($A1113)-1,MONTH($A1113),DAY($A1113)),$A:$A,0))-1),"")</f>
        <v/>
      </c>
      <c r="I1113" s="7">
        <f>IFERROR(IF(OR(F1113="",INDEX(F:F,MATCH(DATE(YEAR($A1113)-1,MONTH($A1113),DAY($A1113)),$A:$A,0))=""),"",F1113/INDEX(F:F,MATCH(DATE(YEAR($A1113)-1,MONTH($A1113),DAY($A1113)),$A:$A,0))-1),"")</f>
        <v/>
      </c>
      <c r="J1113" s="7">
        <f>IFERROR(IF(OR(G1113="",INDEX(G:G,MATCH(DATE(YEAR($A1113)-1,MONTH($A1113),DAY($A1113)),$A:$A,0))=""),"",G1113/INDEX(G:G,MATCH(DATE(YEAR($A1113)-1,MONTH($A1113),DAY($A1113)),$A:$A,0))-1),"")</f>
        <v/>
      </c>
      <c r="K1113" s="7">
        <f>IF(OR(E1113="",E1112=""),"",E1113/E1112-1)</f>
        <v/>
      </c>
      <c r="L1113" s="7">
        <f>IF(OR(F1113="",F1112=""),"",F1113/F1112-1)</f>
        <v/>
      </c>
      <c r="M1113" s="7">
        <f>IF(OR(G1113="",G1112=""),"",G1113/G1112-1)</f>
        <v/>
      </c>
      <c r="N1113" s="7">
        <f>IF(G1113="","",E1113/G1113)</f>
        <v/>
      </c>
      <c r="O1113" s="7">
        <f>IF(G1113="","",F1113/G1113)</f>
        <v/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4">
        <f>IF(SUMIFS('Daily NSE Equity Cash'!$H:$H,'Daily NSE Equity Cash'!$A:$A,$A1114)=0,"",SUMIFS('Daily NSE Equity Cash'!$H:$H,'Daily NSE Equity Cash'!$A:$A,$A1114))</f>
        <v/>
      </c>
      <c r="F1114" s="4">
        <f>IF(SUMIFS('Daily BSE Equity Cash'!$H:$H,'Daily BSE Equity Cash'!$A:$A,$A1114)=0,"",SUMIFS('Daily BSE Equity Cash'!$H:$H,'Daily BSE Equity Cash'!$A:$A,$A1114))</f>
        <v/>
      </c>
      <c r="G1114" s="4">
        <f>IF(OR(E1114="",F1114=""),"",E1114+F1114)</f>
        <v/>
      </c>
      <c r="H1114" s="7">
        <f>IFERROR(IF(OR(E1114="",INDEX(E:E,MATCH(DATE(YEAR($A1114)-1,MONTH($A1114),DAY($A1114)),$A:$A,0))=""),"",E1114/INDEX(E:E,MATCH(DATE(YEAR($A1114)-1,MONTH($A1114),DAY($A1114)),$A:$A,0))-1),"")</f>
        <v/>
      </c>
      <c r="I1114" s="7">
        <f>IFERROR(IF(OR(F1114="",INDEX(F:F,MATCH(DATE(YEAR($A1114)-1,MONTH($A1114),DAY($A1114)),$A:$A,0))=""),"",F1114/INDEX(F:F,MATCH(DATE(YEAR($A1114)-1,MONTH($A1114),DAY($A1114)),$A:$A,0))-1),"")</f>
        <v/>
      </c>
      <c r="J1114" s="7">
        <f>IFERROR(IF(OR(G1114="",INDEX(G:G,MATCH(DATE(YEAR($A1114)-1,MONTH($A1114),DAY($A1114)),$A:$A,0))=""),"",G1114/INDEX(G:G,MATCH(DATE(YEAR($A1114)-1,MONTH($A1114),DAY($A1114)),$A:$A,0))-1),"")</f>
        <v/>
      </c>
      <c r="K1114" s="7">
        <f>IF(OR(E1114="",E1113=""),"",E1114/E1113-1)</f>
        <v/>
      </c>
      <c r="L1114" s="7">
        <f>IF(OR(F1114="",F1113=""),"",F1114/F1113-1)</f>
        <v/>
      </c>
      <c r="M1114" s="7">
        <f>IF(OR(G1114="",G1113=""),"",G1114/G1113-1)</f>
        <v/>
      </c>
      <c r="N1114" s="7">
        <f>IF(G1114="","",E1114/G1114)</f>
        <v/>
      </c>
      <c r="O1114" s="7">
        <f>IF(G1114="","",F1114/G1114)</f>
        <v/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4">
        <f>IF(SUMIFS('Daily NSE Equity Cash'!$H:$H,'Daily NSE Equity Cash'!$A:$A,$A1115)=0,"",SUMIFS('Daily NSE Equity Cash'!$H:$H,'Daily NSE Equity Cash'!$A:$A,$A1115))</f>
        <v/>
      </c>
      <c r="F1115" s="4">
        <f>IF(SUMIFS('Daily BSE Equity Cash'!$H:$H,'Daily BSE Equity Cash'!$A:$A,$A1115)=0,"",SUMIFS('Daily BSE Equity Cash'!$H:$H,'Daily BSE Equity Cash'!$A:$A,$A1115))</f>
        <v/>
      </c>
      <c r="G1115" s="4">
        <f>IF(OR(E1115="",F1115=""),"",E1115+F1115)</f>
        <v/>
      </c>
      <c r="H1115" s="7">
        <f>IFERROR(IF(OR(E1115="",INDEX(E:E,MATCH(DATE(YEAR($A1115)-1,MONTH($A1115),DAY($A1115)),$A:$A,0))=""),"",E1115/INDEX(E:E,MATCH(DATE(YEAR($A1115)-1,MONTH($A1115),DAY($A1115)),$A:$A,0))-1),"")</f>
        <v/>
      </c>
      <c r="I1115" s="7">
        <f>IFERROR(IF(OR(F1115="",INDEX(F:F,MATCH(DATE(YEAR($A1115)-1,MONTH($A1115),DAY($A1115)),$A:$A,0))=""),"",F1115/INDEX(F:F,MATCH(DATE(YEAR($A1115)-1,MONTH($A1115),DAY($A1115)),$A:$A,0))-1),"")</f>
        <v/>
      </c>
      <c r="J1115" s="7">
        <f>IFERROR(IF(OR(G1115="",INDEX(G:G,MATCH(DATE(YEAR($A1115)-1,MONTH($A1115),DAY($A1115)),$A:$A,0))=""),"",G1115/INDEX(G:G,MATCH(DATE(YEAR($A1115)-1,MONTH($A1115),DAY($A1115)),$A:$A,0))-1),"")</f>
        <v/>
      </c>
      <c r="K1115" s="7">
        <f>IF(OR(E1115="",E1114=""),"",E1115/E1114-1)</f>
        <v/>
      </c>
      <c r="L1115" s="7">
        <f>IF(OR(F1115="",F1114=""),"",F1115/F1114-1)</f>
        <v/>
      </c>
      <c r="M1115" s="7">
        <f>IF(OR(G1115="",G1114=""),"",G1115/G1114-1)</f>
        <v/>
      </c>
      <c r="N1115" s="7">
        <f>IF(G1115="","",E1115/G1115)</f>
        <v/>
      </c>
      <c r="O1115" s="7">
        <f>IF(G1115="","",F1115/G1115)</f>
        <v/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4">
        <f>IF(SUMIFS('Daily NSE Equity Cash'!$H:$H,'Daily NSE Equity Cash'!$A:$A,$A1116)=0,"",SUMIFS('Daily NSE Equity Cash'!$H:$H,'Daily NSE Equity Cash'!$A:$A,$A1116))</f>
        <v/>
      </c>
      <c r="F1116" s="4">
        <f>IF(SUMIFS('Daily BSE Equity Cash'!$H:$H,'Daily BSE Equity Cash'!$A:$A,$A1116)=0,"",SUMIFS('Daily BSE Equity Cash'!$H:$H,'Daily BSE Equity Cash'!$A:$A,$A1116))</f>
        <v/>
      </c>
      <c r="G1116" s="4">
        <f>IF(OR(E1116="",F1116=""),"",E1116+F1116)</f>
        <v/>
      </c>
      <c r="H1116" s="7">
        <f>IFERROR(IF(OR(E1116="",INDEX(E:E,MATCH(DATE(YEAR($A1116)-1,MONTH($A1116),DAY($A1116)),$A:$A,0))=""),"",E1116/INDEX(E:E,MATCH(DATE(YEAR($A1116)-1,MONTH($A1116),DAY($A1116)),$A:$A,0))-1),"")</f>
        <v/>
      </c>
      <c r="I1116" s="7">
        <f>IFERROR(IF(OR(F1116="",INDEX(F:F,MATCH(DATE(YEAR($A1116)-1,MONTH($A1116),DAY($A1116)),$A:$A,0))=""),"",F1116/INDEX(F:F,MATCH(DATE(YEAR($A1116)-1,MONTH($A1116),DAY($A1116)),$A:$A,0))-1),"")</f>
        <v/>
      </c>
      <c r="J1116" s="7">
        <f>IFERROR(IF(OR(G1116="",INDEX(G:G,MATCH(DATE(YEAR($A1116)-1,MONTH($A1116),DAY($A1116)),$A:$A,0))=""),"",G1116/INDEX(G:G,MATCH(DATE(YEAR($A1116)-1,MONTH($A1116),DAY($A1116)),$A:$A,0))-1),"")</f>
        <v/>
      </c>
      <c r="K1116" s="7">
        <f>IF(OR(E1116="",E1115=""),"",E1116/E1115-1)</f>
        <v/>
      </c>
      <c r="L1116" s="7">
        <f>IF(OR(F1116="",F1115=""),"",F1116/F1115-1)</f>
        <v/>
      </c>
      <c r="M1116" s="7">
        <f>IF(OR(G1116="",G1115=""),"",G1116/G1115-1)</f>
        <v/>
      </c>
      <c r="N1116" s="7">
        <f>IF(G1116="","",E1116/G1116)</f>
        <v/>
      </c>
      <c r="O1116" s="7">
        <f>IF(G1116="","",F1116/G1116)</f>
        <v/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4">
        <f>IF(SUMIFS('Daily NSE Equity Cash'!$H:$H,'Daily NSE Equity Cash'!$A:$A,$A1117)=0,"",SUMIFS('Daily NSE Equity Cash'!$H:$H,'Daily NSE Equity Cash'!$A:$A,$A1117))</f>
        <v/>
      </c>
      <c r="F1117" s="4">
        <f>IF(SUMIFS('Daily BSE Equity Cash'!$H:$H,'Daily BSE Equity Cash'!$A:$A,$A1117)=0,"",SUMIFS('Daily BSE Equity Cash'!$H:$H,'Daily BSE Equity Cash'!$A:$A,$A1117))</f>
        <v/>
      </c>
      <c r="G1117" s="4">
        <f>IF(OR(E1117="",F1117=""),"",E1117+F1117)</f>
        <v/>
      </c>
      <c r="H1117" s="7">
        <f>IFERROR(IF(OR(E1117="",INDEX(E:E,MATCH(DATE(YEAR($A1117)-1,MONTH($A1117),DAY($A1117)),$A:$A,0))=""),"",E1117/INDEX(E:E,MATCH(DATE(YEAR($A1117)-1,MONTH($A1117),DAY($A1117)),$A:$A,0))-1),"")</f>
        <v/>
      </c>
      <c r="I1117" s="7">
        <f>IFERROR(IF(OR(F1117="",INDEX(F:F,MATCH(DATE(YEAR($A1117)-1,MONTH($A1117),DAY($A1117)),$A:$A,0))=""),"",F1117/INDEX(F:F,MATCH(DATE(YEAR($A1117)-1,MONTH($A1117),DAY($A1117)),$A:$A,0))-1),"")</f>
        <v/>
      </c>
      <c r="J1117" s="7">
        <f>IFERROR(IF(OR(G1117="",INDEX(G:G,MATCH(DATE(YEAR($A1117)-1,MONTH($A1117),DAY($A1117)),$A:$A,0))=""),"",G1117/INDEX(G:G,MATCH(DATE(YEAR($A1117)-1,MONTH($A1117),DAY($A1117)),$A:$A,0))-1),"")</f>
        <v/>
      </c>
      <c r="K1117" s="7">
        <f>IF(OR(E1117="",E1116=""),"",E1117/E1116-1)</f>
        <v/>
      </c>
      <c r="L1117" s="7">
        <f>IF(OR(F1117="",F1116=""),"",F1117/F1116-1)</f>
        <v/>
      </c>
      <c r="M1117" s="7">
        <f>IF(OR(G1117="",G1116=""),"",G1117/G1116-1)</f>
        <v/>
      </c>
      <c r="N1117" s="7">
        <f>IF(G1117="","",E1117/G1117)</f>
        <v/>
      </c>
      <c r="O1117" s="7">
        <f>IF(G1117="","",F1117/G1117)</f>
        <v/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4">
        <f>IF(SUMIFS('Daily NSE Equity Cash'!$H:$H,'Daily NSE Equity Cash'!$A:$A,$A1118)=0,"",SUMIFS('Daily NSE Equity Cash'!$H:$H,'Daily NSE Equity Cash'!$A:$A,$A1118))</f>
        <v/>
      </c>
      <c r="F1118" s="4">
        <f>IF(SUMIFS('Daily BSE Equity Cash'!$H:$H,'Daily BSE Equity Cash'!$A:$A,$A1118)=0,"",SUMIFS('Daily BSE Equity Cash'!$H:$H,'Daily BSE Equity Cash'!$A:$A,$A1118))</f>
        <v/>
      </c>
      <c r="G1118" s="4">
        <f>IF(OR(E1118="",F1118=""),"",E1118+F1118)</f>
        <v/>
      </c>
      <c r="H1118" s="7">
        <f>IFERROR(IF(OR(E1118="",INDEX(E:E,MATCH(DATE(YEAR($A1118)-1,MONTH($A1118),DAY($A1118)),$A:$A,0))=""),"",E1118/INDEX(E:E,MATCH(DATE(YEAR($A1118)-1,MONTH($A1118),DAY($A1118)),$A:$A,0))-1),"")</f>
        <v/>
      </c>
      <c r="I1118" s="7">
        <f>IFERROR(IF(OR(F1118="",INDEX(F:F,MATCH(DATE(YEAR($A1118)-1,MONTH($A1118),DAY($A1118)),$A:$A,0))=""),"",F1118/INDEX(F:F,MATCH(DATE(YEAR($A1118)-1,MONTH($A1118),DAY($A1118)),$A:$A,0))-1),"")</f>
        <v/>
      </c>
      <c r="J1118" s="7">
        <f>IFERROR(IF(OR(G1118="",INDEX(G:G,MATCH(DATE(YEAR($A1118)-1,MONTH($A1118),DAY($A1118)),$A:$A,0))=""),"",G1118/INDEX(G:G,MATCH(DATE(YEAR($A1118)-1,MONTH($A1118),DAY($A1118)),$A:$A,0))-1),"")</f>
        <v/>
      </c>
      <c r="K1118" s="7">
        <f>IF(OR(E1118="",E1117=""),"",E1118/E1117-1)</f>
        <v/>
      </c>
      <c r="L1118" s="7">
        <f>IF(OR(F1118="",F1117=""),"",F1118/F1117-1)</f>
        <v/>
      </c>
      <c r="M1118" s="7">
        <f>IF(OR(G1118="",G1117=""),"",G1118/G1117-1)</f>
        <v/>
      </c>
      <c r="N1118" s="7">
        <f>IF(G1118="","",E1118/G1118)</f>
        <v/>
      </c>
      <c r="O1118" s="7">
        <f>IF(G1118="","",F1118/G1118)</f>
        <v/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4">
        <f>IF(SUMIFS('Daily NSE Equity Cash'!$H:$H,'Daily NSE Equity Cash'!$A:$A,$A1119)=0,"",SUMIFS('Daily NSE Equity Cash'!$H:$H,'Daily NSE Equity Cash'!$A:$A,$A1119))</f>
        <v/>
      </c>
      <c r="F1119" s="4">
        <f>IF(SUMIFS('Daily BSE Equity Cash'!$H:$H,'Daily BSE Equity Cash'!$A:$A,$A1119)=0,"",SUMIFS('Daily BSE Equity Cash'!$H:$H,'Daily BSE Equity Cash'!$A:$A,$A1119))</f>
        <v/>
      </c>
      <c r="G1119" s="4">
        <f>IF(OR(E1119="",F1119=""),"",E1119+F1119)</f>
        <v/>
      </c>
      <c r="H1119" s="7">
        <f>IFERROR(IF(OR(E1119="",INDEX(E:E,MATCH(DATE(YEAR($A1119)-1,MONTH($A1119),DAY($A1119)),$A:$A,0))=""),"",E1119/INDEX(E:E,MATCH(DATE(YEAR($A1119)-1,MONTH($A1119),DAY($A1119)),$A:$A,0))-1),"")</f>
        <v/>
      </c>
      <c r="I1119" s="7">
        <f>IFERROR(IF(OR(F1119="",INDEX(F:F,MATCH(DATE(YEAR($A1119)-1,MONTH($A1119),DAY($A1119)),$A:$A,0))=""),"",F1119/INDEX(F:F,MATCH(DATE(YEAR($A1119)-1,MONTH($A1119),DAY($A1119)),$A:$A,0))-1),"")</f>
        <v/>
      </c>
      <c r="J1119" s="7">
        <f>IFERROR(IF(OR(G1119="",INDEX(G:G,MATCH(DATE(YEAR($A1119)-1,MONTH($A1119),DAY($A1119)),$A:$A,0))=""),"",G1119/INDEX(G:G,MATCH(DATE(YEAR($A1119)-1,MONTH($A1119),DAY($A1119)),$A:$A,0))-1),"")</f>
        <v/>
      </c>
      <c r="K1119" s="7">
        <f>IF(OR(E1119="",E1118=""),"",E1119/E1118-1)</f>
        <v/>
      </c>
      <c r="L1119" s="7">
        <f>IF(OR(F1119="",F1118=""),"",F1119/F1118-1)</f>
        <v/>
      </c>
      <c r="M1119" s="7">
        <f>IF(OR(G1119="",G1118=""),"",G1119/G1118-1)</f>
        <v/>
      </c>
      <c r="N1119" s="7">
        <f>IF(G1119="","",E1119/G1119)</f>
        <v/>
      </c>
      <c r="O1119" s="7">
        <f>IF(G1119="","",F1119/G1119)</f>
        <v/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4">
        <f>IF(SUMIFS('Daily NSE Equity Cash'!$H:$H,'Daily NSE Equity Cash'!$A:$A,$A1120)=0,"",SUMIFS('Daily NSE Equity Cash'!$H:$H,'Daily NSE Equity Cash'!$A:$A,$A1120))</f>
        <v/>
      </c>
      <c r="F1120" s="4">
        <f>IF(SUMIFS('Daily BSE Equity Cash'!$H:$H,'Daily BSE Equity Cash'!$A:$A,$A1120)=0,"",SUMIFS('Daily BSE Equity Cash'!$H:$H,'Daily BSE Equity Cash'!$A:$A,$A1120))</f>
        <v/>
      </c>
      <c r="G1120" s="4">
        <f>IF(OR(E1120="",F1120=""),"",E1120+F1120)</f>
        <v/>
      </c>
      <c r="H1120" s="7">
        <f>IFERROR(IF(OR(E1120="",INDEX(E:E,MATCH(DATE(YEAR($A1120)-1,MONTH($A1120),DAY($A1120)),$A:$A,0))=""),"",E1120/INDEX(E:E,MATCH(DATE(YEAR($A1120)-1,MONTH($A1120),DAY($A1120)),$A:$A,0))-1),"")</f>
        <v/>
      </c>
      <c r="I1120" s="7">
        <f>IFERROR(IF(OR(F1120="",INDEX(F:F,MATCH(DATE(YEAR($A1120)-1,MONTH($A1120),DAY($A1120)),$A:$A,0))=""),"",F1120/INDEX(F:F,MATCH(DATE(YEAR($A1120)-1,MONTH($A1120),DAY($A1120)),$A:$A,0))-1),"")</f>
        <v/>
      </c>
      <c r="J1120" s="7">
        <f>IFERROR(IF(OR(G1120="",INDEX(G:G,MATCH(DATE(YEAR($A1120)-1,MONTH($A1120),DAY($A1120)),$A:$A,0))=""),"",G1120/INDEX(G:G,MATCH(DATE(YEAR($A1120)-1,MONTH($A1120),DAY($A1120)),$A:$A,0))-1),"")</f>
        <v/>
      </c>
      <c r="K1120" s="7">
        <f>IF(OR(E1120="",E1119=""),"",E1120/E1119-1)</f>
        <v/>
      </c>
      <c r="L1120" s="7">
        <f>IF(OR(F1120="",F1119=""),"",F1120/F1119-1)</f>
        <v/>
      </c>
      <c r="M1120" s="7">
        <f>IF(OR(G1120="",G1119=""),"",G1120/G1119-1)</f>
        <v/>
      </c>
      <c r="N1120" s="7">
        <f>IF(G1120="","",E1120/G1120)</f>
        <v/>
      </c>
      <c r="O1120" s="7">
        <f>IF(G1120="","",F1120/G1120)</f>
        <v/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4">
        <f>IF(SUMIFS('Daily NSE Equity Cash'!$H:$H,'Daily NSE Equity Cash'!$A:$A,$A1121)=0,"",SUMIFS('Daily NSE Equity Cash'!$H:$H,'Daily NSE Equity Cash'!$A:$A,$A1121))</f>
        <v/>
      </c>
      <c r="F1121" s="4">
        <f>IF(SUMIFS('Daily BSE Equity Cash'!$H:$H,'Daily BSE Equity Cash'!$A:$A,$A1121)=0,"",SUMIFS('Daily BSE Equity Cash'!$H:$H,'Daily BSE Equity Cash'!$A:$A,$A1121))</f>
        <v/>
      </c>
      <c r="G1121" s="4">
        <f>IF(OR(E1121="",F1121=""),"",E1121+F1121)</f>
        <v/>
      </c>
      <c r="H1121" s="7">
        <f>IFERROR(IF(OR(E1121="",INDEX(E:E,MATCH(DATE(YEAR($A1121)-1,MONTH($A1121),DAY($A1121)),$A:$A,0))=""),"",E1121/INDEX(E:E,MATCH(DATE(YEAR($A1121)-1,MONTH($A1121),DAY($A1121)),$A:$A,0))-1),"")</f>
        <v/>
      </c>
      <c r="I1121" s="7">
        <f>IFERROR(IF(OR(F1121="",INDEX(F:F,MATCH(DATE(YEAR($A1121)-1,MONTH($A1121),DAY($A1121)),$A:$A,0))=""),"",F1121/INDEX(F:F,MATCH(DATE(YEAR($A1121)-1,MONTH($A1121),DAY($A1121)),$A:$A,0))-1),"")</f>
        <v/>
      </c>
      <c r="J1121" s="7">
        <f>IFERROR(IF(OR(G1121="",INDEX(G:G,MATCH(DATE(YEAR($A1121)-1,MONTH($A1121),DAY($A1121)),$A:$A,0))=""),"",G1121/INDEX(G:G,MATCH(DATE(YEAR($A1121)-1,MONTH($A1121),DAY($A1121)),$A:$A,0))-1),"")</f>
        <v/>
      </c>
      <c r="K1121" s="7">
        <f>IF(OR(E1121="",E1120=""),"",E1121/E1120-1)</f>
        <v/>
      </c>
      <c r="L1121" s="7">
        <f>IF(OR(F1121="",F1120=""),"",F1121/F1120-1)</f>
        <v/>
      </c>
      <c r="M1121" s="7">
        <f>IF(OR(G1121="",G1120=""),"",G1121/G1120-1)</f>
        <v/>
      </c>
      <c r="N1121" s="7">
        <f>IF(G1121="","",E1121/G1121)</f>
        <v/>
      </c>
      <c r="O1121" s="7">
        <f>IF(G1121="","",F1121/G1121)</f>
        <v/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4">
        <f>IF(SUMIFS('Daily NSE Equity Cash'!$H:$H,'Daily NSE Equity Cash'!$A:$A,$A1122)=0,"",SUMIFS('Daily NSE Equity Cash'!$H:$H,'Daily NSE Equity Cash'!$A:$A,$A1122))</f>
        <v/>
      </c>
      <c r="F1122" s="4">
        <f>IF(SUMIFS('Daily BSE Equity Cash'!$H:$H,'Daily BSE Equity Cash'!$A:$A,$A1122)=0,"",SUMIFS('Daily BSE Equity Cash'!$H:$H,'Daily BSE Equity Cash'!$A:$A,$A1122))</f>
        <v/>
      </c>
      <c r="G1122" s="4">
        <f>IF(OR(E1122="",F1122=""),"",E1122+F1122)</f>
        <v/>
      </c>
      <c r="H1122" s="7">
        <f>IFERROR(IF(OR(E1122="",INDEX(E:E,MATCH(DATE(YEAR($A1122)-1,MONTH($A1122),DAY($A1122)),$A:$A,0))=""),"",E1122/INDEX(E:E,MATCH(DATE(YEAR($A1122)-1,MONTH($A1122),DAY($A1122)),$A:$A,0))-1),"")</f>
        <v/>
      </c>
      <c r="I1122" s="7">
        <f>IFERROR(IF(OR(F1122="",INDEX(F:F,MATCH(DATE(YEAR($A1122)-1,MONTH($A1122),DAY($A1122)),$A:$A,0))=""),"",F1122/INDEX(F:F,MATCH(DATE(YEAR($A1122)-1,MONTH($A1122),DAY($A1122)),$A:$A,0))-1),"")</f>
        <v/>
      </c>
      <c r="J1122" s="7">
        <f>IFERROR(IF(OR(G1122="",INDEX(G:G,MATCH(DATE(YEAR($A1122)-1,MONTH($A1122),DAY($A1122)),$A:$A,0))=""),"",G1122/INDEX(G:G,MATCH(DATE(YEAR($A1122)-1,MONTH($A1122),DAY($A1122)),$A:$A,0))-1),"")</f>
        <v/>
      </c>
      <c r="K1122" s="7">
        <f>IF(OR(E1122="",E1121=""),"",E1122/E1121-1)</f>
        <v/>
      </c>
      <c r="L1122" s="7">
        <f>IF(OR(F1122="",F1121=""),"",F1122/F1121-1)</f>
        <v/>
      </c>
      <c r="M1122" s="7">
        <f>IF(OR(G1122="",G1121=""),"",G1122/G1121-1)</f>
        <v/>
      </c>
      <c r="N1122" s="7">
        <f>IF(G1122="","",E1122/G1122)</f>
        <v/>
      </c>
      <c r="O1122" s="7">
        <f>IF(G1122="","",F1122/G1122)</f>
        <v/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4">
        <f>IF(SUMIFS('Daily NSE Equity Cash'!$H:$H,'Daily NSE Equity Cash'!$A:$A,$A1123)=0,"",SUMIFS('Daily NSE Equity Cash'!$H:$H,'Daily NSE Equity Cash'!$A:$A,$A1123))</f>
        <v/>
      </c>
      <c r="F1123" s="4">
        <f>IF(SUMIFS('Daily BSE Equity Cash'!$H:$H,'Daily BSE Equity Cash'!$A:$A,$A1123)=0,"",SUMIFS('Daily BSE Equity Cash'!$H:$H,'Daily BSE Equity Cash'!$A:$A,$A1123))</f>
        <v/>
      </c>
      <c r="G1123" s="4">
        <f>IF(OR(E1123="",F1123=""),"",E1123+F1123)</f>
        <v/>
      </c>
      <c r="H1123" s="7">
        <f>IFERROR(IF(OR(E1123="",INDEX(E:E,MATCH(DATE(YEAR($A1123)-1,MONTH($A1123),DAY($A1123)),$A:$A,0))=""),"",E1123/INDEX(E:E,MATCH(DATE(YEAR($A1123)-1,MONTH($A1123),DAY($A1123)),$A:$A,0))-1),"")</f>
        <v/>
      </c>
      <c r="I1123" s="7">
        <f>IFERROR(IF(OR(F1123="",INDEX(F:F,MATCH(DATE(YEAR($A1123)-1,MONTH($A1123),DAY($A1123)),$A:$A,0))=""),"",F1123/INDEX(F:F,MATCH(DATE(YEAR($A1123)-1,MONTH($A1123),DAY($A1123)),$A:$A,0))-1),"")</f>
        <v/>
      </c>
      <c r="J1123" s="7">
        <f>IFERROR(IF(OR(G1123="",INDEX(G:G,MATCH(DATE(YEAR($A1123)-1,MONTH($A1123),DAY($A1123)),$A:$A,0))=""),"",G1123/INDEX(G:G,MATCH(DATE(YEAR($A1123)-1,MONTH($A1123),DAY($A1123)),$A:$A,0))-1),"")</f>
        <v/>
      </c>
      <c r="K1123" s="7">
        <f>IF(OR(E1123="",E1122=""),"",E1123/E1122-1)</f>
        <v/>
      </c>
      <c r="L1123" s="7">
        <f>IF(OR(F1123="",F1122=""),"",F1123/F1122-1)</f>
        <v/>
      </c>
      <c r="M1123" s="7">
        <f>IF(OR(G1123="",G1122=""),"",G1123/G1122-1)</f>
        <v/>
      </c>
      <c r="N1123" s="7">
        <f>IF(G1123="","",E1123/G1123)</f>
        <v/>
      </c>
      <c r="O1123" s="7">
        <f>IF(G1123="","",F1123/G1123)</f>
        <v/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4">
        <f>IF(SUMIFS('Daily NSE Equity Cash'!$H:$H,'Daily NSE Equity Cash'!$A:$A,$A1124)=0,"",SUMIFS('Daily NSE Equity Cash'!$H:$H,'Daily NSE Equity Cash'!$A:$A,$A1124))</f>
        <v/>
      </c>
      <c r="F1124" s="4">
        <f>IF(SUMIFS('Daily BSE Equity Cash'!$H:$H,'Daily BSE Equity Cash'!$A:$A,$A1124)=0,"",SUMIFS('Daily BSE Equity Cash'!$H:$H,'Daily BSE Equity Cash'!$A:$A,$A1124))</f>
        <v/>
      </c>
      <c r="G1124" s="4">
        <f>IF(OR(E1124="",F1124=""),"",E1124+F1124)</f>
        <v/>
      </c>
      <c r="H1124" s="7">
        <f>IFERROR(IF(OR(E1124="",INDEX(E:E,MATCH(DATE(YEAR($A1124)-1,MONTH($A1124),DAY($A1124)),$A:$A,0))=""),"",E1124/INDEX(E:E,MATCH(DATE(YEAR($A1124)-1,MONTH($A1124),DAY($A1124)),$A:$A,0))-1),"")</f>
        <v/>
      </c>
      <c r="I1124" s="7">
        <f>IFERROR(IF(OR(F1124="",INDEX(F:F,MATCH(DATE(YEAR($A1124)-1,MONTH($A1124),DAY($A1124)),$A:$A,0))=""),"",F1124/INDEX(F:F,MATCH(DATE(YEAR($A1124)-1,MONTH($A1124),DAY($A1124)),$A:$A,0))-1),"")</f>
        <v/>
      </c>
      <c r="J1124" s="7">
        <f>IFERROR(IF(OR(G1124="",INDEX(G:G,MATCH(DATE(YEAR($A1124)-1,MONTH($A1124),DAY($A1124)),$A:$A,0))=""),"",G1124/INDEX(G:G,MATCH(DATE(YEAR($A1124)-1,MONTH($A1124),DAY($A1124)),$A:$A,0))-1),"")</f>
        <v/>
      </c>
      <c r="K1124" s="7">
        <f>IF(OR(E1124="",E1123=""),"",E1124/E1123-1)</f>
        <v/>
      </c>
      <c r="L1124" s="7">
        <f>IF(OR(F1124="",F1123=""),"",F1124/F1123-1)</f>
        <v/>
      </c>
      <c r="M1124" s="7">
        <f>IF(OR(G1124="",G1123=""),"",G1124/G1123-1)</f>
        <v/>
      </c>
      <c r="N1124" s="7">
        <f>IF(G1124="","",E1124/G1124)</f>
        <v/>
      </c>
      <c r="O1124" s="7">
        <f>IF(G1124="","",F1124/G1124)</f>
        <v/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4">
        <f>IF(SUMIFS('Daily NSE Equity Cash'!$H:$H,'Daily NSE Equity Cash'!$A:$A,$A1125)=0,"",SUMIFS('Daily NSE Equity Cash'!$H:$H,'Daily NSE Equity Cash'!$A:$A,$A1125))</f>
        <v/>
      </c>
      <c r="F1125" s="4">
        <f>IF(SUMIFS('Daily BSE Equity Cash'!$H:$H,'Daily BSE Equity Cash'!$A:$A,$A1125)=0,"",SUMIFS('Daily BSE Equity Cash'!$H:$H,'Daily BSE Equity Cash'!$A:$A,$A1125))</f>
        <v/>
      </c>
      <c r="G1125" s="4">
        <f>IF(OR(E1125="",F1125=""),"",E1125+F1125)</f>
        <v/>
      </c>
      <c r="H1125" s="7">
        <f>IFERROR(IF(OR(E1125="",INDEX(E:E,MATCH(DATE(YEAR($A1125)-1,MONTH($A1125),DAY($A1125)),$A:$A,0))=""),"",E1125/INDEX(E:E,MATCH(DATE(YEAR($A1125)-1,MONTH($A1125),DAY($A1125)),$A:$A,0))-1),"")</f>
        <v/>
      </c>
      <c r="I1125" s="7">
        <f>IFERROR(IF(OR(F1125="",INDEX(F:F,MATCH(DATE(YEAR($A1125)-1,MONTH($A1125),DAY($A1125)),$A:$A,0))=""),"",F1125/INDEX(F:F,MATCH(DATE(YEAR($A1125)-1,MONTH($A1125),DAY($A1125)),$A:$A,0))-1),"")</f>
        <v/>
      </c>
      <c r="J1125" s="7">
        <f>IFERROR(IF(OR(G1125="",INDEX(G:G,MATCH(DATE(YEAR($A1125)-1,MONTH($A1125),DAY($A1125)),$A:$A,0))=""),"",G1125/INDEX(G:G,MATCH(DATE(YEAR($A1125)-1,MONTH($A1125),DAY($A1125)),$A:$A,0))-1),"")</f>
        <v/>
      </c>
      <c r="K1125" s="7">
        <f>IF(OR(E1125="",E1124=""),"",E1125/E1124-1)</f>
        <v/>
      </c>
      <c r="L1125" s="7">
        <f>IF(OR(F1125="",F1124=""),"",F1125/F1124-1)</f>
        <v/>
      </c>
      <c r="M1125" s="7">
        <f>IF(OR(G1125="",G1124=""),"",G1125/G1124-1)</f>
        <v/>
      </c>
      <c r="N1125" s="7">
        <f>IF(G1125="","",E1125/G1125)</f>
        <v/>
      </c>
      <c r="O1125" s="7">
        <f>IF(G1125="","",F1125/G1125)</f>
        <v/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4">
        <f>IF(SUMIFS('Daily NSE Equity Cash'!$H:$H,'Daily NSE Equity Cash'!$A:$A,$A1126)=0,"",SUMIFS('Daily NSE Equity Cash'!$H:$H,'Daily NSE Equity Cash'!$A:$A,$A1126))</f>
        <v/>
      </c>
      <c r="F1126" s="4">
        <f>IF(SUMIFS('Daily BSE Equity Cash'!$H:$H,'Daily BSE Equity Cash'!$A:$A,$A1126)=0,"",SUMIFS('Daily BSE Equity Cash'!$H:$H,'Daily BSE Equity Cash'!$A:$A,$A1126))</f>
        <v/>
      </c>
      <c r="G1126" s="4">
        <f>IF(OR(E1126="",F1126=""),"",E1126+F1126)</f>
        <v/>
      </c>
      <c r="H1126" s="7">
        <f>IFERROR(IF(OR(E1126="",INDEX(E:E,MATCH(DATE(YEAR($A1126)-1,MONTH($A1126),DAY($A1126)),$A:$A,0))=""),"",E1126/INDEX(E:E,MATCH(DATE(YEAR($A1126)-1,MONTH($A1126),DAY($A1126)),$A:$A,0))-1),"")</f>
        <v/>
      </c>
      <c r="I1126" s="7">
        <f>IFERROR(IF(OR(F1126="",INDEX(F:F,MATCH(DATE(YEAR($A1126)-1,MONTH($A1126),DAY($A1126)),$A:$A,0))=""),"",F1126/INDEX(F:F,MATCH(DATE(YEAR($A1126)-1,MONTH($A1126),DAY($A1126)),$A:$A,0))-1),"")</f>
        <v/>
      </c>
      <c r="J1126" s="7">
        <f>IFERROR(IF(OR(G1126="",INDEX(G:G,MATCH(DATE(YEAR($A1126)-1,MONTH($A1126),DAY($A1126)),$A:$A,0))=""),"",G1126/INDEX(G:G,MATCH(DATE(YEAR($A1126)-1,MONTH($A1126),DAY($A1126)),$A:$A,0))-1),"")</f>
        <v/>
      </c>
      <c r="K1126" s="7">
        <f>IF(OR(E1126="",E1125=""),"",E1126/E1125-1)</f>
        <v/>
      </c>
      <c r="L1126" s="7">
        <f>IF(OR(F1126="",F1125=""),"",F1126/F1125-1)</f>
        <v/>
      </c>
      <c r="M1126" s="7">
        <f>IF(OR(G1126="",G1125=""),"",G1126/G1125-1)</f>
        <v/>
      </c>
      <c r="N1126" s="7">
        <f>IF(G1126="","",E1126/G1126)</f>
        <v/>
      </c>
      <c r="O1126" s="7">
        <f>IF(G1126="","",F1126/G1126)</f>
        <v/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4">
        <f>IF(SUMIFS('Daily NSE Equity Cash'!$H:$H,'Daily NSE Equity Cash'!$A:$A,$A1127)=0,"",SUMIFS('Daily NSE Equity Cash'!$H:$H,'Daily NSE Equity Cash'!$A:$A,$A1127))</f>
        <v/>
      </c>
      <c r="F1127" s="4">
        <f>IF(SUMIFS('Daily BSE Equity Cash'!$H:$H,'Daily BSE Equity Cash'!$A:$A,$A1127)=0,"",SUMIFS('Daily BSE Equity Cash'!$H:$H,'Daily BSE Equity Cash'!$A:$A,$A1127))</f>
        <v/>
      </c>
      <c r="G1127" s="4">
        <f>IF(OR(E1127="",F1127=""),"",E1127+F1127)</f>
        <v/>
      </c>
      <c r="H1127" s="7">
        <f>IFERROR(IF(OR(E1127="",INDEX(E:E,MATCH(DATE(YEAR($A1127)-1,MONTH($A1127),DAY($A1127)),$A:$A,0))=""),"",E1127/INDEX(E:E,MATCH(DATE(YEAR($A1127)-1,MONTH($A1127),DAY($A1127)),$A:$A,0))-1),"")</f>
        <v/>
      </c>
      <c r="I1127" s="7">
        <f>IFERROR(IF(OR(F1127="",INDEX(F:F,MATCH(DATE(YEAR($A1127)-1,MONTH($A1127),DAY($A1127)),$A:$A,0))=""),"",F1127/INDEX(F:F,MATCH(DATE(YEAR($A1127)-1,MONTH($A1127),DAY($A1127)),$A:$A,0))-1),"")</f>
        <v/>
      </c>
      <c r="J1127" s="7">
        <f>IFERROR(IF(OR(G1127="",INDEX(G:G,MATCH(DATE(YEAR($A1127)-1,MONTH($A1127),DAY($A1127)),$A:$A,0))=""),"",G1127/INDEX(G:G,MATCH(DATE(YEAR($A1127)-1,MONTH($A1127),DAY($A1127)),$A:$A,0))-1),"")</f>
        <v/>
      </c>
      <c r="K1127" s="7">
        <f>IF(OR(E1127="",E1126=""),"",E1127/E1126-1)</f>
        <v/>
      </c>
      <c r="L1127" s="7">
        <f>IF(OR(F1127="",F1126=""),"",F1127/F1126-1)</f>
        <v/>
      </c>
      <c r="M1127" s="7">
        <f>IF(OR(G1127="",G1126=""),"",G1127/G1126-1)</f>
        <v/>
      </c>
      <c r="N1127" s="7">
        <f>IF(G1127="","",E1127/G1127)</f>
        <v/>
      </c>
      <c r="O1127" s="7">
        <f>IF(G1127="","",F1127/G1127)</f>
        <v/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4">
        <f>IF(SUMIFS('Daily NSE Equity Cash'!$H:$H,'Daily NSE Equity Cash'!$A:$A,$A1128)=0,"",SUMIFS('Daily NSE Equity Cash'!$H:$H,'Daily NSE Equity Cash'!$A:$A,$A1128))</f>
        <v/>
      </c>
      <c r="F1128" s="4">
        <f>IF(SUMIFS('Daily BSE Equity Cash'!$H:$H,'Daily BSE Equity Cash'!$A:$A,$A1128)=0,"",SUMIFS('Daily BSE Equity Cash'!$H:$H,'Daily BSE Equity Cash'!$A:$A,$A1128))</f>
        <v/>
      </c>
      <c r="G1128" s="4">
        <f>IF(OR(E1128="",F1128=""),"",E1128+F1128)</f>
        <v/>
      </c>
      <c r="H1128" s="7">
        <f>IFERROR(IF(OR(E1128="",INDEX(E:E,MATCH(DATE(YEAR($A1128)-1,MONTH($A1128),DAY($A1128)),$A:$A,0))=""),"",E1128/INDEX(E:E,MATCH(DATE(YEAR($A1128)-1,MONTH($A1128),DAY($A1128)),$A:$A,0))-1),"")</f>
        <v/>
      </c>
      <c r="I1128" s="7">
        <f>IFERROR(IF(OR(F1128="",INDEX(F:F,MATCH(DATE(YEAR($A1128)-1,MONTH($A1128),DAY($A1128)),$A:$A,0))=""),"",F1128/INDEX(F:F,MATCH(DATE(YEAR($A1128)-1,MONTH($A1128),DAY($A1128)),$A:$A,0))-1),"")</f>
        <v/>
      </c>
      <c r="J1128" s="7">
        <f>IFERROR(IF(OR(G1128="",INDEX(G:G,MATCH(DATE(YEAR($A1128)-1,MONTH($A1128),DAY($A1128)),$A:$A,0))=""),"",G1128/INDEX(G:G,MATCH(DATE(YEAR($A1128)-1,MONTH($A1128),DAY($A1128)),$A:$A,0))-1),"")</f>
        <v/>
      </c>
      <c r="K1128" s="7">
        <f>IF(OR(E1128="",E1127=""),"",E1128/E1127-1)</f>
        <v/>
      </c>
      <c r="L1128" s="7">
        <f>IF(OR(F1128="",F1127=""),"",F1128/F1127-1)</f>
        <v/>
      </c>
      <c r="M1128" s="7">
        <f>IF(OR(G1128="",G1127=""),"",G1128/G1127-1)</f>
        <v/>
      </c>
      <c r="N1128" s="7">
        <f>IF(G1128="","",E1128/G1128)</f>
        <v/>
      </c>
      <c r="O1128" s="7">
        <f>IF(G1128="","",F1128/G1128)</f>
        <v/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4">
        <f>IF(SUMIFS('Daily NSE Equity Cash'!$H:$H,'Daily NSE Equity Cash'!$A:$A,$A1129)=0,"",SUMIFS('Daily NSE Equity Cash'!$H:$H,'Daily NSE Equity Cash'!$A:$A,$A1129))</f>
        <v/>
      </c>
      <c r="F1129" s="4">
        <f>IF(SUMIFS('Daily BSE Equity Cash'!$H:$H,'Daily BSE Equity Cash'!$A:$A,$A1129)=0,"",SUMIFS('Daily BSE Equity Cash'!$H:$H,'Daily BSE Equity Cash'!$A:$A,$A1129))</f>
        <v/>
      </c>
      <c r="G1129" s="4">
        <f>IF(OR(E1129="",F1129=""),"",E1129+F1129)</f>
        <v/>
      </c>
      <c r="H1129" s="7">
        <f>IFERROR(IF(OR(E1129="",INDEX(E:E,MATCH(DATE(YEAR($A1129)-1,MONTH($A1129),DAY($A1129)),$A:$A,0))=""),"",E1129/INDEX(E:E,MATCH(DATE(YEAR($A1129)-1,MONTH($A1129),DAY($A1129)),$A:$A,0))-1),"")</f>
        <v/>
      </c>
      <c r="I1129" s="7">
        <f>IFERROR(IF(OR(F1129="",INDEX(F:F,MATCH(DATE(YEAR($A1129)-1,MONTH($A1129),DAY($A1129)),$A:$A,0))=""),"",F1129/INDEX(F:F,MATCH(DATE(YEAR($A1129)-1,MONTH($A1129),DAY($A1129)),$A:$A,0))-1),"")</f>
        <v/>
      </c>
      <c r="J1129" s="7">
        <f>IFERROR(IF(OR(G1129="",INDEX(G:G,MATCH(DATE(YEAR($A1129)-1,MONTH($A1129),DAY($A1129)),$A:$A,0))=""),"",G1129/INDEX(G:G,MATCH(DATE(YEAR($A1129)-1,MONTH($A1129),DAY($A1129)),$A:$A,0))-1),"")</f>
        <v/>
      </c>
      <c r="K1129" s="7">
        <f>IF(OR(E1129="",E1128=""),"",E1129/E1128-1)</f>
        <v/>
      </c>
      <c r="L1129" s="7">
        <f>IF(OR(F1129="",F1128=""),"",F1129/F1128-1)</f>
        <v/>
      </c>
      <c r="M1129" s="7">
        <f>IF(OR(G1129="",G1128=""),"",G1129/G1128-1)</f>
        <v/>
      </c>
      <c r="N1129" s="7">
        <f>IF(G1129="","",E1129/G1129)</f>
        <v/>
      </c>
      <c r="O1129" s="7">
        <f>IF(G1129="","",F1129/G1129)</f>
        <v/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4">
        <f>IF(SUMIFS('Daily NSE Equity Cash'!$H:$H,'Daily NSE Equity Cash'!$A:$A,$A1130)=0,"",SUMIFS('Daily NSE Equity Cash'!$H:$H,'Daily NSE Equity Cash'!$A:$A,$A1130))</f>
        <v/>
      </c>
      <c r="F1130" s="4">
        <f>IF(SUMIFS('Daily BSE Equity Cash'!$H:$H,'Daily BSE Equity Cash'!$A:$A,$A1130)=0,"",SUMIFS('Daily BSE Equity Cash'!$H:$H,'Daily BSE Equity Cash'!$A:$A,$A1130))</f>
        <v/>
      </c>
      <c r="G1130" s="4">
        <f>IF(OR(E1130="",F1130=""),"",E1130+F1130)</f>
        <v/>
      </c>
      <c r="H1130" s="7">
        <f>IFERROR(IF(OR(E1130="",INDEX(E:E,MATCH(DATE(YEAR($A1130)-1,MONTH($A1130),DAY($A1130)),$A:$A,0))=""),"",E1130/INDEX(E:E,MATCH(DATE(YEAR($A1130)-1,MONTH($A1130),DAY($A1130)),$A:$A,0))-1),"")</f>
        <v/>
      </c>
      <c r="I1130" s="7">
        <f>IFERROR(IF(OR(F1130="",INDEX(F:F,MATCH(DATE(YEAR($A1130)-1,MONTH($A1130),DAY($A1130)),$A:$A,0))=""),"",F1130/INDEX(F:F,MATCH(DATE(YEAR($A1130)-1,MONTH($A1130),DAY($A1130)),$A:$A,0))-1),"")</f>
        <v/>
      </c>
      <c r="J1130" s="7">
        <f>IFERROR(IF(OR(G1130="",INDEX(G:G,MATCH(DATE(YEAR($A1130)-1,MONTH($A1130),DAY($A1130)),$A:$A,0))=""),"",G1130/INDEX(G:G,MATCH(DATE(YEAR($A1130)-1,MONTH($A1130),DAY($A1130)),$A:$A,0))-1),"")</f>
        <v/>
      </c>
      <c r="K1130" s="7">
        <f>IF(OR(E1130="",E1129=""),"",E1130/E1129-1)</f>
        <v/>
      </c>
      <c r="L1130" s="7">
        <f>IF(OR(F1130="",F1129=""),"",F1130/F1129-1)</f>
        <v/>
      </c>
      <c r="M1130" s="7">
        <f>IF(OR(G1130="",G1129=""),"",G1130/G1129-1)</f>
        <v/>
      </c>
      <c r="N1130" s="7">
        <f>IF(G1130="","",E1130/G1130)</f>
        <v/>
      </c>
      <c r="O1130" s="7">
        <f>IF(G1130="","",F1130/G1130)</f>
        <v/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4">
        <f>IF(SUMIFS('Daily NSE Equity Cash'!$H:$H,'Daily NSE Equity Cash'!$A:$A,$A1131)=0,"",SUMIFS('Daily NSE Equity Cash'!$H:$H,'Daily NSE Equity Cash'!$A:$A,$A1131))</f>
        <v/>
      </c>
      <c r="F1131" s="4">
        <f>IF(SUMIFS('Daily BSE Equity Cash'!$H:$H,'Daily BSE Equity Cash'!$A:$A,$A1131)=0,"",SUMIFS('Daily BSE Equity Cash'!$H:$H,'Daily BSE Equity Cash'!$A:$A,$A1131))</f>
        <v/>
      </c>
      <c r="G1131" s="4">
        <f>IF(OR(E1131="",F1131=""),"",E1131+F1131)</f>
        <v/>
      </c>
      <c r="H1131" s="7">
        <f>IFERROR(IF(OR(E1131="",INDEX(E:E,MATCH(DATE(YEAR($A1131)-1,MONTH($A1131),DAY($A1131)),$A:$A,0))=""),"",E1131/INDEX(E:E,MATCH(DATE(YEAR($A1131)-1,MONTH($A1131),DAY($A1131)),$A:$A,0))-1),"")</f>
        <v/>
      </c>
      <c r="I1131" s="7">
        <f>IFERROR(IF(OR(F1131="",INDEX(F:F,MATCH(DATE(YEAR($A1131)-1,MONTH($A1131),DAY($A1131)),$A:$A,0))=""),"",F1131/INDEX(F:F,MATCH(DATE(YEAR($A1131)-1,MONTH($A1131),DAY($A1131)),$A:$A,0))-1),"")</f>
        <v/>
      </c>
      <c r="J1131" s="7">
        <f>IFERROR(IF(OR(G1131="",INDEX(G:G,MATCH(DATE(YEAR($A1131)-1,MONTH($A1131),DAY($A1131)),$A:$A,0))=""),"",G1131/INDEX(G:G,MATCH(DATE(YEAR($A1131)-1,MONTH($A1131),DAY($A1131)),$A:$A,0))-1),"")</f>
        <v/>
      </c>
      <c r="K1131" s="7">
        <f>IF(OR(E1131="",E1130=""),"",E1131/E1130-1)</f>
        <v/>
      </c>
      <c r="L1131" s="7">
        <f>IF(OR(F1131="",F1130=""),"",F1131/F1130-1)</f>
        <v/>
      </c>
      <c r="M1131" s="7">
        <f>IF(OR(G1131="",G1130=""),"",G1131/G1130-1)</f>
        <v/>
      </c>
      <c r="N1131" s="7">
        <f>IF(G1131="","",E1131/G1131)</f>
        <v/>
      </c>
      <c r="O1131" s="7">
        <f>IF(G1131="","",F1131/G1131)</f>
        <v/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4">
        <f>IF(SUMIFS('Daily NSE Equity Cash'!$H:$H,'Daily NSE Equity Cash'!$A:$A,$A1132)=0,"",SUMIFS('Daily NSE Equity Cash'!$H:$H,'Daily NSE Equity Cash'!$A:$A,$A1132))</f>
        <v/>
      </c>
      <c r="F1132" s="4">
        <f>IF(SUMIFS('Daily BSE Equity Cash'!$H:$H,'Daily BSE Equity Cash'!$A:$A,$A1132)=0,"",SUMIFS('Daily BSE Equity Cash'!$H:$H,'Daily BSE Equity Cash'!$A:$A,$A1132))</f>
        <v/>
      </c>
      <c r="G1132" s="4">
        <f>IF(OR(E1132="",F1132=""),"",E1132+F1132)</f>
        <v/>
      </c>
      <c r="H1132" s="7">
        <f>IFERROR(IF(OR(E1132="",INDEX(E:E,MATCH(DATE(YEAR($A1132)-1,MONTH($A1132),DAY($A1132)),$A:$A,0))=""),"",E1132/INDEX(E:E,MATCH(DATE(YEAR($A1132)-1,MONTH($A1132),DAY($A1132)),$A:$A,0))-1),"")</f>
        <v/>
      </c>
      <c r="I1132" s="7">
        <f>IFERROR(IF(OR(F1132="",INDEX(F:F,MATCH(DATE(YEAR($A1132)-1,MONTH($A1132),DAY($A1132)),$A:$A,0))=""),"",F1132/INDEX(F:F,MATCH(DATE(YEAR($A1132)-1,MONTH($A1132),DAY($A1132)),$A:$A,0))-1),"")</f>
        <v/>
      </c>
      <c r="J1132" s="7">
        <f>IFERROR(IF(OR(G1132="",INDEX(G:G,MATCH(DATE(YEAR($A1132)-1,MONTH($A1132),DAY($A1132)),$A:$A,0))=""),"",G1132/INDEX(G:G,MATCH(DATE(YEAR($A1132)-1,MONTH($A1132),DAY($A1132)),$A:$A,0))-1),"")</f>
        <v/>
      </c>
      <c r="K1132" s="7">
        <f>IF(OR(E1132="",E1131=""),"",E1132/E1131-1)</f>
        <v/>
      </c>
      <c r="L1132" s="7">
        <f>IF(OR(F1132="",F1131=""),"",F1132/F1131-1)</f>
        <v/>
      </c>
      <c r="M1132" s="7">
        <f>IF(OR(G1132="",G1131=""),"",G1132/G1131-1)</f>
        <v/>
      </c>
      <c r="N1132" s="7">
        <f>IF(G1132="","",E1132/G1132)</f>
        <v/>
      </c>
      <c r="O1132" s="7">
        <f>IF(G1132="","",F1132/G1132)</f>
        <v/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4">
        <f>IF(SUMIFS('Daily NSE Equity Cash'!$H:$H,'Daily NSE Equity Cash'!$A:$A,$A1133)=0,"",SUMIFS('Daily NSE Equity Cash'!$H:$H,'Daily NSE Equity Cash'!$A:$A,$A1133))</f>
        <v/>
      </c>
      <c r="F1133" s="4">
        <f>IF(SUMIFS('Daily BSE Equity Cash'!$H:$H,'Daily BSE Equity Cash'!$A:$A,$A1133)=0,"",SUMIFS('Daily BSE Equity Cash'!$H:$H,'Daily BSE Equity Cash'!$A:$A,$A1133))</f>
        <v/>
      </c>
      <c r="G1133" s="4">
        <f>IF(OR(E1133="",F1133=""),"",E1133+F1133)</f>
        <v/>
      </c>
      <c r="H1133" s="7">
        <f>IFERROR(IF(OR(E1133="",INDEX(E:E,MATCH(DATE(YEAR($A1133)-1,MONTH($A1133),DAY($A1133)),$A:$A,0))=""),"",E1133/INDEX(E:E,MATCH(DATE(YEAR($A1133)-1,MONTH($A1133),DAY($A1133)),$A:$A,0))-1),"")</f>
        <v/>
      </c>
      <c r="I1133" s="7">
        <f>IFERROR(IF(OR(F1133="",INDEX(F:F,MATCH(DATE(YEAR($A1133)-1,MONTH($A1133),DAY($A1133)),$A:$A,0))=""),"",F1133/INDEX(F:F,MATCH(DATE(YEAR($A1133)-1,MONTH($A1133),DAY($A1133)),$A:$A,0))-1),"")</f>
        <v/>
      </c>
      <c r="J1133" s="7">
        <f>IFERROR(IF(OR(G1133="",INDEX(G:G,MATCH(DATE(YEAR($A1133)-1,MONTH($A1133),DAY($A1133)),$A:$A,0))=""),"",G1133/INDEX(G:G,MATCH(DATE(YEAR($A1133)-1,MONTH($A1133),DAY($A1133)),$A:$A,0))-1),"")</f>
        <v/>
      </c>
      <c r="K1133" s="7">
        <f>IF(OR(E1133="",E1132=""),"",E1133/E1132-1)</f>
        <v/>
      </c>
      <c r="L1133" s="7">
        <f>IF(OR(F1133="",F1132=""),"",F1133/F1132-1)</f>
        <v/>
      </c>
      <c r="M1133" s="7">
        <f>IF(OR(G1133="",G1132=""),"",G1133/G1132-1)</f>
        <v/>
      </c>
      <c r="N1133" s="7">
        <f>IF(G1133="","",E1133/G1133)</f>
        <v/>
      </c>
      <c r="O1133" s="7">
        <f>IF(G1133="","",F1133/G1133)</f>
        <v/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4">
        <f>IF(SUMIFS('Daily NSE Equity Cash'!$H:$H,'Daily NSE Equity Cash'!$A:$A,$A1134)=0,"",SUMIFS('Daily NSE Equity Cash'!$H:$H,'Daily NSE Equity Cash'!$A:$A,$A1134))</f>
        <v/>
      </c>
      <c r="F1134" s="4">
        <f>IF(SUMIFS('Daily BSE Equity Cash'!$H:$H,'Daily BSE Equity Cash'!$A:$A,$A1134)=0,"",SUMIFS('Daily BSE Equity Cash'!$H:$H,'Daily BSE Equity Cash'!$A:$A,$A1134))</f>
        <v/>
      </c>
      <c r="G1134" s="4">
        <f>IF(OR(E1134="",F1134=""),"",E1134+F1134)</f>
        <v/>
      </c>
      <c r="H1134" s="7">
        <f>IFERROR(IF(OR(E1134="",INDEX(E:E,MATCH(DATE(YEAR($A1134)-1,MONTH($A1134),DAY($A1134)),$A:$A,0))=""),"",E1134/INDEX(E:E,MATCH(DATE(YEAR($A1134)-1,MONTH($A1134),DAY($A1134)),$A:$A,0))-1),"")</f>
        <v/>
      </c>
      <c r="I1134" s="7">
        <f>IFERROR(IF(OR(F1134="",INDEX(F:F,MATCH(DATE(YEAR($A1134)-1,MONTH($A1134),DAY($A1134)),$A:$A,0))=""),"",F1134/INDEX(F:F,MATCH(DATE(YEAR($A1134)-1,MONTH($A1134),DAY($A1134)),$A:$A,0))-1),"")</f>
        <v/>
      </c>
      <c r="J1134" s="7">
        <f>IFERROR(IF(OR(G1134="",INDEX(G:G,MATCH(DATE(YEAR($A1134)-1,MONTH($A1134),DAY($A1134)),$A:$A,0))=""),"",G1134/INDEX(G:G,MATCH(DATE(YEAR($A1134)-1,MONTH($A1134),DAY($A1134)),$A:$A,0))-1),"")</f>
        <v/>
      </c>
      <c r="K1134" s="7">
        <f>IF(OR(E1134="",E1133=""),"",E1134/E1133-1)</f>
        <v/>
      </c>
      <c r="L1134" s="7">
        <f>IF(OR(F1134="",F1133=""),"",F1134/F1133-1)</f>
        <v/>
      </c>
      <c r="M1134" s="7">
        <f>IF(OR(G1134="",G1133=""),"",G1134/G1133-1)</f>
        <v/>
      </c>
      <c r="N1134" s="7">
        <f>IF(G1134="","",E1134/G1134)</f>
        <v/>
      </c>
      <c r="O1134" s="7">
        <f>IF(G1134="","",F1134/G1134)</f>
        <v/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4">
        <f>IF(SUMIFS('Daily NSE Equity Cash'!$H:$H,'Daily NSE Equity Cash'!$A:$A,$A1135)=0,"",SUMIFS('Daily NSE Equity Cash'!$H:$H,'Daily NSE Equity Cash'!$A:$A,$A1135))</f>
        <v/>
      </c>
      <c r="F1135" s="4">
        <f>IF(SUMIFS('Daily BSE Equity Cash'!$H:$H,'Daily BSE Equity Cash'!$A:$A,$A1135)=0,"",SUMIFS('Daily BSE Equity Cash'!$H:$H,'Daily BSE Equity Cash'!$A:$A,$A1135))</f>
        <v/>
      </c>
      <c r="G1135" s="4">
        <f>IF(OR(E1135="",F1135=""),"",E1135+F1135)</f>
        <v/>
      </c>
      <c r="H1135" s="7">
        <f>IFERROR(IF(OR(E1135="",INDEX(E:E,MATCH(DATE(YEAR($A1135)-1,MONTH($A1135),DAY($A1135)),$A:$A,0))=""),"",E1135/INDEX(E:E,MATCH(DATE(YEAR($A1135)-1,MONTH($A1135),DAY($A1135)),$A:$A,0))-1),"")</f>
        <v/>
      </c>
      <c r="I1135" s="7">
        <f>IFERROR(IF(OR(F1135="",INDEX(F:F,MATCH(DATE(YEAR($A1135)-1,MONTH($A1135),DAY($A1135)),$A:$A,0))=""),"",F1135/INDEX(F:F,MATCH(DATE(YEAR($A1135)-1,MONTH($A1135),DAY($A1135)),$A:$A,0))-1),"")</f>
        <v/>
      </c>
      <c r="J1135" s="7">
        <f>IFERROR(IF(OR(G1135="",INDEX(G:G,MATCH(DATE(YEAR($A1135)-1,MONTH($A1135),DAY($A1135)),$A:$A,0))=""),"",G1135/INDEX(G:G,MATCH(DATE(YEAR($A1135)-1,MONTH($A1135),DAY($A1135)),$A:$A,0))-1),"")</f>
        <v/>
      </c>
      <c r="K1135" s="7">
        <f>IF(OR(E1135="",E1134=""),"",E1135/E1134-1)</f>
        <v/>
      </c>
      <c r="L1135" s="7">
        <f>IF(OR(F1135="",F1134=""),"",F1135/F1134-1)</f>
        <v/>
      </c>
      <c r="M1135" s="7">
        <f>IF(OR(G1135="",G1134=""),"",G1135/G1134-1)</f>
        <v/>
      </c>
      <c r="N1135" s="7">
        <f>IF(G1135="","",E1135/G1135)</f>
        <v/>
      </c>
      <c r="O1135" s="7">
        <f>IF(G1135="","",F1135/G1135)</f>
        <v/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4">
        <f>IF(SUMIFS('Daily NSE Equity Cash'!$H:$H,'Daily NSE Equity Cash'!$A:$A,$A1136)=0,"",SUMIFS('Daily NSE Equity Cash'!$H:$H,'Daily NSE Equity Cash'!$A:$A,$A1136))</f>
        <v/>
      </c>
      <c r="F1136" s="4">
        <f>IF(SUMIFS('Daily BSE Equity Cash'!$H:$H,'Daily BSE Equity Cash'!$A:$A,$A1136)=0,"",SUMIFS('Daily BSE Equity Cash'!$H:$H,'Daily BSE Equity Cash'!$A:$A,$A1136))</f>
        <v/>
      </c>
      <c r="G1136" s="4">
        <f>IF(OR(E1136="",F1136=""),"",E1136+F1136)</f>
        <v/>
      </c>
      <c r="H1136" s="7">
        <f>IFERROR(IF(OR(E1136="",INDEX(E:E,MATCH(DATE(YEAR($A1136)-1,MONTH($A1136),DAY($A1136)),$A:$A,0))=""),"",E1136/INDEX(E:E,MATCH(DATE(YEAR($A1136)-1,MONTH($A1136),DAY($A1136)),$A:$A,0))-1),"")</f>
        <v/>
      </c>
      <c r="I1136" s="7">
        <f>IFERROR(IF(OR(F1136="",INDEX(F:F,MATCH(DATE(YEAR($A1136)-1,MONTH($A1136),DAY($A1136)),$A:$A,0))=""),"",F1136/INDEX(F:F,MATCH(DATE(YEAR($A1136)-1,MONTH($A1136),DAY($A1136)),$A:$A,0))-1),"")</f>
        <v/>
      </c>
      <c r="J1136" s="7">
        <f>IFERROR(IF(OR(G1136="",INDEX(G:G,MATCH(DATE(YEAR($A1136)-1,MONTH($A1136),DAY($A1136)),$A:$A,0))=""),"",G1136/INDEX(G:G,MATCH(DATE(YEAR($A1136)-1,MONTH($A1136),DAY($A1136)),$A:$A,0))-1),"")</f>
        <v/>
      </c>
      <c r="K1136" s="7">
        <f>IF(OR(E1136="",E1135=""),"",E1136/E1135-1)</f>
        <v/>
      </c>
      <c r="L1136" s="7">
        <f>IF(OR(F1136="",F1135=""),"",F1136/F1135-1)</f>
        <v/>
      </c>
      <c r="M1136" s="7">
        <f>IF(OR(G1136="",G1135=""),"",G1136/G1135-1)</f>
        <v/>
      </c>
      <c r="N1136" s="7">
        <f>IF(G1136="","",E1136/G1136)</f>
        <v/>
      </c>
      <c r="O1136" s="7">
        <f>IF(G1136="","",F1136/G1136)</f>
        <v/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4">
        <f>IF(SUMIFS('Daily NSE Equity Cash'!$H:$H,'Daily NSE Equity Cash'!$A:$A,$A1137)=0,"",SUMIFS('Daily NSE Equity Cash'!$H:$H,'Daily NSE Equity Cash'!$A:$A,$A1137))</f>
        <v/>
      </c>
      <c r="F1137" s="4">
        <f>IF(SUMIFS('Daily BSE Equity Cash'!$H:$H,'Daily BSE Equity Cash'!$A:$A,$A1137)=0,"",SUMIFS('Daily BSE Equity Cash'!$H:$H,'Daily BSE Equity Cash'!$A:$A,$A1137))</f>
        <v/>
      </c>
      <c r="G1137" s="4">
        <f>IF(OR(E1137="",F1137=""),"",E1137+F1137)</f>
        <v/>
      </c>
      <c r="H1137" s="7">
        <f>IFERROR(IF(OR(E1137="",INDEX(E:E,MATCH(DATE(YEAR($A1137)-1,MONTH($A1137),DAY($A1137)),$A:$A,0))=""),"",E1137/INDEX(E:E,MATCH(DATE(YEAR($A1137)-1,MONTH($A1137),DAY($A1137)),$A:$A,0))-1),"")</f>
        <v/>
      </c>
      <c r="I1137" s="7">
        <f>IFERROR(IF(OR(F1137="",INDEX(F:F,MATCH(DATE(YEAR($A1137)-1,MONTH($A1137),DAY($A1137)),$A:$A,0))=""),"",F1137/INDEX(F:F,MATCH(DATE(YEAR($A1137)-1,MONTH($A1137),DAY($A1137)),$A:$A,0))-1),"")</f>
        <v/>
      </c>
      <c r="J1137" s="7">
        <f>IFERROR(IF(OR(G1137="",INDEX(G:G,MATCH(DATE(YEAR($A1137)-1,MONTH($A1137),DAY($A1137)),$A:$A,0))=""),"",G1137/INDEX(G:G,MATCH(DATE(YEAR($A1137)-1,MONTH($A1137),DAY($A1137)),$A:$A,0))-1),"")</f>
        <v/>
      </c>
      <c r="K1137" s="7">
        <f>IF(OR(E1137="",E1136=""),"",E1137/E1136-1)</f>
        <v/>
      </c>
      <c r="L1137" s="7">
        <f>IF(OR(F1137="",F1136=""),"",F1137/F1136-1)</f>
        <v/>
      </c>
      <c r="M1137" s="7">
        <f>IF(OR(G1137="",G1136=""),"",G1137/G1136-1)</f>
        <v/>
      </c>
      <c r="N1137" s="7">
        <f>IF(G1137="","",E1137/G1137)</f>
        <v/>
      </c>
      <c r="O1137" s="7">
        <f>IF(G1137="","",F1137/G1137)</f>
        <v/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4">
        <f>IF(SUMIFS('Daily NSE Equity Cash'!$H:$H,'Daily NSE Equity Cash'!$A:$A,$A1138)=0,"",SUMIFS('Daily NSE Equity Cash'!$H:$H,'Daily NSE Equity Cash'!$A:$A,$A1138))</f>
        <v/>
      </c>
      <c r="F1138" s="4">
        <f>IF(SUMIFS('Daily BSE Equity Cash'!$H:$H,'Daily BSE Equity Cash'!$A:$A,$A1138)=0,"",SUMIFS('Daily BSE Equity Cash'!$H:$H,'Daily BSE Equity Cash'!$A:$A,$A1138))</f>
        <v/>
      </c>
      <c r="G1138" s="4">
        <f>IF(OR(E1138="",F1138=""),"",E1138+F1138)</f>
        <v/>
      </c>
      <c r="H1138" s="7">
        <f>IFERROR(IF(OR(E1138="",INDEX(E:E,MATCH(DATE(YEAR($A1138)-1,MONTH($A1138),DAY($A1138)),$A:$A,0))=""),"",E1138/INDEX(E:E,MATCH(DATE(YEAR($A1138)-1,MONTH($A1138),DAY($A1138)),$A:$A,0))-1),"")</f>
        <v/>
      </c>
      <c r="I1138" s="7">
        <f>IFERROR(IF(OR(F1138="",INDEX(F:F,MATCH(DATE(YEAR($A1138)-1,MONTH($A1138),DAY($A1138)),$A:$A,0))=""),"",F1138/INDEX(F:F,MATCH(DATE(YEAR($A1138)-1,MONTH($A1138),DAY($A1138)),$A:$A,0))-1),"")</f>
        <v/>
      </c>
      <c r="J1138" s="7">
        <f>IFERROR(IF(OR(G1138="",INDEX(G:G,MATCH(DATE(YEAR($A1138)-1,MONTH($A1138),DAY($A1138)),$A:$A,0))=""),"",G1138/INDEX(G:G,MATCH(DATE(YEAR($A1138)-1,MONTH($A1138),DAY($A1138)),$A:$A,0))-1),"")</f>
        <v/>
      </c>
      <c r="K1138" s="7">
        <f>IF(OR(E1138="",E1137=""),"",E1138/E1137-1)</f>
        <v/>
      </c>
      <c r="L1138" s="7">
        <f>IF(OR(F1138="",F1137=""),"",F1138/F1137-1)</f>
        <v/>
      </c>
      <c r="M1138" s="7">
        <f>IF(OR(G1138="",G1137=""),"",G1138/G1137-1)</f>
        <v/>
      </c>
      <c r="N1138" s="7">
        <f>IF(G1138="","",E1138/G1138)</f>
        <v/>
      </c>
      <c r="O1138" s="7">
        <f>IF(G1138="","",F1138/G1138)</f>
        <v/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4">
        <f>IF(SUMIFS('Daily NSE Equity Cash'!$H:$H,'Daily NSE Equity Cash'!$A:$A,$A1139)=0,"",SUMIFS('Daily NSE Equity Cash'!$H:$H,'Daily NSE Equity Cash'!$A:$A,$A1139))</f>
        <v/>
      </c>
      <c r="F1139" s="4">
        <f>IF(SUMIFS('Daily BSE Equity Cash'!$H:$H,'Daily BSE Equity Cash'!$A:$A,$A1139)=0,"",SUMIFS('Daily BSE Equity Cash'!$H:$H,'Daily BSE Equity Cash'!$A:$A,$A1139))</f>
        <v/>
      </c>
      <c r="G1139" s="4">
        <f>IF(OR(E1139="",F1139=""),"",E1139+F1139)</f>
        <v/>
      </c>
      <c r="H1139" s="7">
        <f>IFERROR(IF(OR(E1139="",INDEX(E:E,MATCH(DATE(YEAR($A1139)-1,MONTH($A1139),DAY($A1139)),$A:$A,0))=""),"",E1139/INDEX(E:E,MATCH(DATE(YEAR($A1139)-1,MONTH($A1139),DAY($A1139)),$A:$A,0))-1),"")</f>
        <v/>
      </c>
      <c r="I1139" s="7">
        <f>IFERROR(IF(OR(F1139="",INDEX(F:F,MATCH(DATE(YEAR($A1139)-1,MONTH($A1139),DAY($A1139)),$A:$A,0))=""),"",F1139/INDEX(F:F,MATCH(DATE(YEAR($A1139)-1,MONTH($A1139),DAY($A1139)),$A:$A,0))-1),"")</f>
        <v/>
      </c>
      <c r="J1139" s="7">
        <f>IFERROR(IF(OR(G1139="",INDEX(G:G,MATCH(DATE(YEAR($A1139)-1,MONTH($A1139),DAY($A1139)),$A:$A,0))=""),"",G1139/INDEX(G:G,MATCH(DATE(YEAR($A1139)-1,MONTH($A1139),DAY($A1139)),$A:$A,0))-1),"")</f>
        <v/>
      </c>
      <c r="K1139" s="7">
        <f>IF(OR(E1139="",E1138=""),"",E1139/E1138-1)</f>
        <v/>
      </c>
      <c r="L1139" s="7">
        <f>IF(OR(F1139="",F1138=""),"",F1139/F1138-1)</f>
        <v/>
      </c>
      <c r="M1139" s="7">
        <f>IF(OR(G1139="",G1138=""),"",G1139/G1138-1)</f>
        <v/>
      </c>
      <c r="N1139" s="7">
        <f>IF(G1139="","",E1139/G1139)</f>
        <v/>
      </c>
      <c r="O1139" s="7">
        <f>IF(G1139="","",F1139/G1139)</f>
        <v/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4">
        <f>IF(SUMIFS('Daily NSE Equity Cash'!$H:$H,'Daily NSE Equity Cash'!$A:$A,$A1140)=0,"",SUMIFS('Daily NSE Equity Cash'!$H:$H,'Daily NSE Equity Cash'!$A:$A,$A1140))</f>
        <v/>
      </c>
      <c r="F1140" s="4">
        <f>IF(SUMIFS('Daily BSE Equity Cash'!$H:$H,'Daily BSE Equity Cash'!$A:$A,$A1140)=0,"",SUMIFS('Daily BSE Equity Cash'!$H:$H,'Daily BSE Equity Cash'!$A:$A,$A1140))</f>
        <v/>
      </c>
      <c r="G1140" s="4">
        <f>IF(OR(E1140="",F1140=""),"",E1140+F1140)</f>
        <v/>
      </c>
      <c r="H1140" s="7">
        <f>IFERROR(IF(OR(E1140="",INDEX(E:E,MATCH(DATE(YEAR($A1140)-1,MONTH($A1140),DAY($A1140)),$A:$A,0))=""),"",E1140/INDEX(E:E,MATCH(DATE(YEAR($A1140)-1,MONTH($A1140),DAY($A1140)),$A:$A,0))-1),"")</f>
        <v/>
      </c>
      <c r="I1140" s="7">
        <f>IFERROR(IF(OR(F1140="",INDEX(F:F,MATCH(DATE(YEAR($A1140)-1,MONTH($A1140),DAY($A1140)),$A:$A,0))=""),"",F1140/INDEX(F:F,MATCH(DATE(YEAR($A1140)-1,MONTH($A1140),DAY($A1140)),$A:$A,0))-1),"")</f>
        <v/>
      </c>
      <c r="J1140" s="7">
        <f>IFERROR(IF(OR(G1140="",INDEX(G:G,MATCH(DATE(YEAR($A1140)-1,MONTH($A1140),DAY($A1140)),$A:$A,0))=""),"",G1140/INDEX(G:G,MATCH(DATE(YEAR($A1140)-1,MONTH($A1140),DAY($A1140)),$A:$A,0))-1),"")</f>
        <v/>
      </c>
      <c r="K1140" s="7">
        <f>IF(OR(E1140="",E1139=""),"",E1140/E1139-1)</f>
        <v/>
      </c>
      <c r="L1140" s="7">
        <f>IF(OR(F1140="",F1139=""),"",F1140/F1139-1)</f>
        <v/>
      </c>
      <c r="M1140" s="7">
        <f>IF(OR(G1140="",G1139=""),"",G1140/G1139-1)</f>
        <v/>
      </c>
      <c r="N1140" s="7">
        <f>IF(G1140="","",E1140/G1140)</f>
        <v/>
      </c>
      <c r="O1140" s="7">
        <f>IF(G1140="","",F1140/G1140)</f>
        <v/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4">
        <f>IF(SUMIFS('Daily NSE Equity Cash'!$H:$H,'Daily NSE Equity Cash'!$A:$A,$A1141)=0,"",SUMIFS('Daily NSE Equity Cash'!$H:$H,'Daily NSE Equity Cash'!$A:$A,$A1141))</f>
        <v/>
      </c>
      <c r="F1141" s="4">
        <f>IF(SUMIFS('Daily BSE Equity Cash'!$H:$H,'Daily BSE Equity Cash'!$A:$A,$A1141)=0,"",SUMIFS('Daily BSE Equity Cash'!$H:$H,'Daily BSE Equity Cash'!$A:$A,$A1141))</f>
        <v/>
      </c>
      <c r="G1141" s="4">
        <f>IF(OR(E1141="",F1141=""),"",E1141+F1141)</f>
        <v/>
      </c>
      <c r="H1141" s="7">
        <f>IFERROR(IF(OR(E1141="",INDEX(E:E,MATCH(DATE(YEAR($A1141)-1,MONTH($A1141),DAY($A1141)),$A:$A,0))=""),"",E1141/INDEX(E:E,MATCH(DATE(YEAR($A1141)-1,MONTH($A1141),DAY($A1141)),$A:$A,0))-1),"")</f>
        <v/>
      </c>
      <c r="I1141" s="7">
        <f>IFERROR(IF(OR(F1141="",INDEX(F:F,MATCH(DATE(YEAR($A1141)-1,MONTH($A1141),DAY($A1141)),$A:$A,0))=""),"",F1141/INDEX(F:F,MATCH(DATE(YEAR($A1141)-1,MONTH($A1141),DAY($A1141)),$A:$A,0))-1),"")</f>
        <v/>
      </c>
      <c r="J1141" s="7">
        <f>IFERROR(IF(OR(G1141="",INDEX(G:G,MATCH(DATE(YEAR($A1141)-1,MONTH($A1141),DAY($A1141)),$A:$A,0))=""),"",G1141/INDEX(G:G,MATCH(DATE(YEAR($A1141)-1,MONTH($A1141),DAY($A1141)),$A:$A,0))-1),"")</f>
        <v/>
      </c>
      <c r="K1141" s="7">
        <f>IF(OR(E1141="",E1140=""),"",E1141/E1140-1)</f>
        <v/>
      </c>
      <c r="L1141" s="7">
        <f>IF(OR(F1141="",F1140=""),"",F1141/F1140-1)</f>
        <v/>
      </c>
      <c r="M1141" s="7">
        <f>IF(OR(G1141="",G1140=""),"",G1141/G1140-1)</f>
        <v/>
      </c>
      <c r="N1141" s="7">
        <f>IF(G1141="","",E1141/G1141)</f>
        <v/>
      </c>
      <c r="O1141" s="7">
        <f>IF(G1141="","",F1141/G1141)</f>
        <v/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4">
        <f>IF(SUMIFS('Daily NSE Equity Cash'!$H:$H,'Daily NSE Equity Cash'!$A:$A,$A1142)=0,"",SUMIFS('Daily NSE Equity Cash'!$H:$H,'Daily NSE Equity Cash'!$A:$A,$A1142))</f>
        <v/>
      </c>
      <c r="F1142" s="4">
        <f>IF(SUMIFS('Daily BSE Equity Cash'!$H:$H,'Daily BSE Equity Cash'!$A:$A,$A1142)=0,"",SUMIFS('Daily BSE Equity Cash'!$H:$H,'Daily BSE Equity Cash'!$A:$A,$A1142))</f>
        <v/>
      </c>
      <c r="G1142" s="4">
        <f>IF(OR(E1142="",F1142=""),"",E1142+F1142)</f>
        <v/>
      </c>
      <c r="H1142" s="7">
        <f>IFERROR(IF(OR(E1142="",INDEX(E:E,MATCH(DATE(YEAR($A1142)-1,MONTH($A1142),DAY($A1142)),$A:$A,0))=""),"",E1142/INDEX(E:E,MATCH(DATE(YEAR($A1142)-1,MONTH($A1142),DAY($A1142)),$A:$A,0))-1),"")</f>
        <v/>
      </c>
      <c r="I1142" s="7">
        <f>IFERROR(IF(OR(F1142="",INDEX(F:F,MATCH(DATE(YEAR($A1142)-1,MONTH($A1142),DAY($A1142)),$A:$A,0))=""),"",F1142/INDEX(F:F,MATCH(DATE(YEAR($A1142)-1,MONTH($A1142),DAY($A1142)),$A:$A,0))-1),"")</f>
        <v/>
      </c>
      <c r="J1142" s="7">
        <f>IFERROR(IF(OR(G1142="",INDEX(G:G,MATCH(DATE(YEAR($A1142)-1,MONTH($A1142),DAY($A1142)),$A:$A,0))=""),"",G1142/INDEX(G:G,MATCH(DATE(YEAR($A1142)-1,MONTH($A1142),DAY($A1142)),$A:$A,0))-1),"")</f>
        <v/>
      </c>
      <c r="K1142" s="7">
        <f>IF(OR(E1142="",E1141=""),"",E1142/E1141-1)</f>
        <v/>
      </c>
      <c r="L1142" s="7">
        <f>IF(OR(F1142="",F1141=""),"",F1142/F1141-1)</f>
        <v/>
      </c>
      <c r="M1142" s="7">
        <f>IF(OR(G1142="",G1141=""),"",G1142/G1141-1)</f>
        <v/>
      </c>
      <c r="N1142" s="7">
        <f>IF(G1142="","",E1142/G1142)</f>
        <v/>
      </c>
      <c r="O1142" s="7">
        <f>IF(G1142="","",F1142/G1142)</f>
        <v/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4">
        <f>IF(SUMIFS('Daily NSE Equity Cash'!$H:$H,'Daily NSE Equity Cash'!$A:$A,$A1143)=0,"",SUMIFS('Daily NSE Equity Cash'!$H:$H,'Daily NSE Equity Cash'!$A:$A,$A1143))</f>
        <v/>
      </c>
      <c r="F1143" s="4">
        <f>IF(SUMIFS('Daily BSE Equity Cash'!$H:$H,'Daily BSE Equity Cash'!$A:$A,$A1143)=0,"",SUMIFS('Daily BSE Equity Cash'!$H:$H,'Daily BSE Equity Cash'!$A:$A,$A1143))</f>
        <v/>
      </c>
      <c r="G1143" s="4">
        <f>IF(OR(E1143="",F1143=""),"",E1143+F1143)</f>
        <v/>
      </c>
      <c r="H1143" s="7">
        <f>IFERROR(IF(OR(E1143="",INDEX(E:E,MATCH(DATE(YEAR($A1143)-1,MONTH($A1143),DAY($A1143)),$A:$A,0))=""),"",E1143/INDEX(E:E,MATCH(DATE(YEAR($A1143)-1,MONTH($A1143),DAY($A1143)),$A:$A,0))-1),"")</f>
        <v/>
      </c>
      <c r="I1143" s="7">
        <f>IFERROR(IF(OR(F1143="",INDEX(F:F,MATCH(DATE(YEAR($A1143)-1,MONTH($A1143),DAY($A1143)),$A:$A,0))=""),"",F1143/INDEX(F:F,MATCH(DATE(YEAR($A1143)-1,MONTH($A1143),DAY($A1143)),$A:$A,0))-1),"")</f>
        <v/>
      </c>
      <c r="J1143" s="7">
        <f>IFERROR(IF(OR(G1143="",INDEX(G:G,MATCH(DATE(YEAR($A1143)-1,MONTH($A1143),DAY($A1143)),$A:$A,0))=""),"",G1143/INDEX(G:G,MATCH(DATE(YEAR($A1143)-1,MONTH($A1143),DAY($A1143)),$A:$A,0))-1),"")</f>
        <v/>
      </c>
      <c r="K1143" s="7">
        <f>IF(OR(E1143="",E1142=""),"",E1143/E1142-1)</f>
        <v/>
      </c>
      <c r="L1143" s="7">
        <f>IF(OR(F1143="",F1142=""),"",F1143/F1142-1)</f>
        <v/>
      </c>
      <c r="M1143" s="7">
        <f>IF(OR(G1143="",G1142=""),"",G1143/G1142-1)</f>
        <v/>
      </c>
      <c r="N1143" s="7">
        <f>IF(G1143="","",E1143/G1143)</f>
        <v/>
      </c>
      <c r="O1143" s="7">
        <f>IF(G1143="","",F1143/G1143)</f>
        <v/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4">
        <f>IF(SUMIFS('Daily NSE Equity Cash'!$H:$H,'Daily NSE Equity Cash'!$A:$A,$A1144)=0,"",SUMIFS('Daily NSE Equity Cash'!$H:$H,'Daily NSE Equity Cash'!$A:$A,$A1144))</f>
        <v/>
      </c>
      <c r="F1144" s="4">
        <f>IF(SUMIFS('Daily BSE Equity Cash'!$H:$H,'Daily BSE Equity Cash'!$A:$A,$A1144)=0,"",SUMIFS('Daily BSE Equity Cash'!$H:$H,'Daily BSE Equity Cash'!$A:$A,$A1144))</f>
        <v/>
      </c>
      <c r="G1144" s="4">
        <f>IF(OR(E1144="",F1144=""),"",E1144+F1144)</f>
        <v/>
      </c>
      <c r="H1144" s="7">
        <f>IFERROR(IF(OR(E1144="",INDEX(E:E,MATCH(DATE(YEAR($A1144)-1,MONTH($A1144),DAY($A1144)),$A:$A,0))=""),"",E1144/INDEX(E:E,MATCH(DATE(YEAR($A1144)-1,MONTH($A1144),DAY($A1144)),$A:$A,0))-1),"")</f>
        <v/>
      </c>
      <c r="I1144" s="7">
        <f>IFERROR(IF(OR(F1144="",INDEX(F:F,MATCH(DATE(YEAR($A1144)-1,MONTH($A1144),DAY($A1144)),$A:$A,0))=""),"",F1144/INDEX(F:F,MATCH(DATE(YEAR($A1144)-1,MONTH($A1144),DAY($A1144)),$A:$A,0))-1),"")</f>
        <v/>
      </c>
      <c r="J1144" s="7">
        <f>IFERROR(IF(OR(G1144="",INDEX(G:G,MATCH(DATE(YEAR($A1144)-1,MONTH($A1144),DAY($A1144)),$A:$A,0))=""),"",G1144/INDEX(G:G,MATCH(DATE(YEAR($A1144)-1,MONTH($A1144),DAY($A1144)),$A:$A,0))-1),"")</f>
        <v/>
      </c>
      <c r="K1144" s="7">
        <f>IF(OR(E1144="",E1143=""),"",E1144/E1143-1)</f>
        <v/>
      </c>
      <c r="L1144" s="7">
        <f>IF(OR(F1144="",F1143=""),"",F1144/F1143-1)</f>
        <v/>
      </c>
      <c r="M1144" s="7">
        <f>IF(OR(G1144="",G1143=""),"",G1144/G1143-1)</f>
        <v/>
      </c>
      <c r="N1144" s="7">
        <f>IF(G1144="","",E1144/G1144)</f>
        <v/>
      </c>
      <c r="O1144" s="7">
        <f>IF(G1144="","",F1144/G1144)</f>
        <v/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4">
        <f>IF(SUMIFS('Daily NSE Equity Cash'!$H:$H,'Daily NSE Equity Cash'!$A:$A,$A1145)=0,"",SUMIFS('Daily NSE Equity Cash'!$H:$H,'Daily NSE Equity Cash'!$A:$A,$A1145))</f>
        <v/>
      </c>
      <c r="F1145" s="4">
        <f>IF(SUMIFS('Daily BSE Equity Cash'!$H:$H,'Daily BSE Equity Cash'!$A:$A,$A1145)=0,"",SUMIFS('Daily BSE Equity Cash'!$H:$H,'Daily BSE Equity Cash'!$A:$A,$A1145))</f>
        <v/>
      </c>
      <c r="G1145" s="4">
        <f>IF(OR(E1145="",F1145=""),"",E1145+F1145)</f>
        <v/>
      </c>
      <c r="H1145" s="7">
        <f>IFERROR(IF(OR(E1145="",INDEX(E:E,MATCH(DATE(YEAR($A1145)-1,MONTH($A1145),DAY($A1145)),$A:$A,0))=""),"",E1145/INDEX(E:E,MATCH(DATE(YEAR($A1145)-1,MONTH($A1145),DAY($A1145)),$A:$A,0))-1),"")</f>
        <v/>
      </c>
      <c r="I1145" s="7">
        <f>IFERROR(IF(OR(F1145="",INDEX(F:F,MATCH(DATE(YEAR($A1145)-1,MONTH($A1145),DAY($A1145)),$A:$A,0))=""),"",F1145/INDEX(F:F,MATCH(DATE(YEAR($A1145)-1,MONTH($A1145),DAY($A1145)),$A:$A,0))-1),"")</f>
        <v/>
      </c>
      <c r="J1145" s="7">
        <f>IFERROR(IF(OR(G1145="",INDEX(G:G,MATCH(DATE(YEAR($A1145)-1,MONTH($A1145),DAY($A1145)),$A:$A,0))=""),"",G1145/INDEX(G:G,MATCH(DATE(YEAR($A1145)-1,MONTH($A1145),DAY($A1145)),$A:$A,0))-1),"")</f>
        <v/>
      </c>
      <c r="K1145" s="7">
        <f>IF(OR(E1145="",E1144=""),"",E1145/E1144-1)</f>
        <v/>
      </c>
      <c r="L1145" s="7">
        <f>IF(OR(F1145="",F1144=""),"",F1145/F1144-1)</f>
        <v/>
      </c>
      <c r="M1145" s="7">
        <f>IF(OR(G1145="",G1144=""),"",G1145/G1144-1)</f>
        <v/>
      </c>
      <c r="N1145" s="7">
        <f>IF(G1145="","",E1145/G1145)</f>
        <v/>
      </c>
      <c r="O1145" s="7">
        <f>IF(G1145="","",F1145/G1145)</f>
        <v/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4">
        <f>IF(SUMIFS('Daily NSE Equity Cash'!$H:$H,'Daily NSE Equity Cash'!$A:$A,$A1146)=0,"",SUMIFS('Daily NSE Equity Cash'!$H:$H,'Daily NSE Equity Cash'!$A:$A,$A1146))</f>
        <v/>
      </c>
      <c r="F1146" s="4">
        <f>IF(SUMIFS('Daily BSE Equity Cash'!$H:$H,'Daily BSE Equity Cash'!$A:$A,$A1146)=0,"",SUMIFS('Daily BSE Equity Cash'!$H:$H,'Daily BSE Equity Cash'!$A:$A,$A1146))</f>
        <v/>
      </c>
      <c r="G1146" s="4">
        <f>IF(OR(E1146="",F1146=""),"",E1146+F1146)</f>
        <v/>
      </c>
      <c r="H1146" s="7">
        <f>IFERROR(IF(OR(E1146="",INDEX(E:E,MATCH(DATE(YEAR($A1146)-1,MONTH($A1146),DAY($A1146)),$A:$A,0))=""),"",E1146/INDEX(E:E,MATCH(DATE(YEAR($A1146)-1,MONTH($A1146),DAY($A1146)),$A:$A,0))-1),"")</f>
        <v/>
      </c>
      <c r="I1146" s="7">
        <f>IFERROR(IF(OR(F1146="",INDEX(F:F,MATCH(DATE(YEAR($A1146)-1,MONTH($A1146),DAY($A1146)),$A:$A,0))=""),"",F1146/INDEX(F:F,MATCH(DATE(YEAR($A1146)-1,MONTH($A1146),DAY($A1146)),$A:$A,0))-1),"")</f>
        <v/>
      </c>
      <c r="J1146" s="7">
        <f>IFERROR(IF(OR(G1146="",INDEX(G:G,MATCH(DATE(YEAR($A1146)-1,MONTH($A1146),DAY($A1146)),$A:$A,0))=""),"",G1146/INDEX(G:G,MATCH(DATE(YEAR($A1146)-1,MONTH($A1146),DAY($A1146)),$A:$A,0))-1),"")</f>
        <v/>
      </c>
      <c r="K1146" s="7">
        <f>IF(OR(E1146="",E1145=""),"",E1146/E1145-1)</f>
        <v/>
      </c>
      <c r="L1146" s="7">
        <f>IF(OR(F1146="",F1145=""),"",F1146/F1145-1)</f>
        <v/>
      </c>
      <c r="M1146" s="7">
        <f>IF(OR(G1146="",G1145=""),"",G1146/G1145-1)</f>
        <v/>
      </c>
      <c r="N1146" s="7">
        <f>IF(G1146="","",E1146/G1146)</f>
        <v/>
      </c>
      <c r="O1146" s="7">
        <f>IF(G1146="","",F1146/G1146)</f>
        <v/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4">
        <f>IF(SUMIFS('Daily NSE Equity Cash'!$H:$H,'Daily NSE Equity Cash'!$A:$A,$A1147)=0,"",SUMIFS('Daily NSE Equity Cash'!$H:$H,'Daily NSE Equity Cash'!$A:$A,$A1147))</f>
        <v/>
      </c>
      <c r="F1147" s="4">
        <f>IF(SUMIFS('Daily BSE Equity Cash'!$H:$H,'Daily BSE Equity Cash'!$A:$A,$A1147)=0,"",SUMIFS('Daily BSE Equity Cash'!$H:$H,'Daily BSE Equity Cash'!$A:$A,$A1147))</f>
        <v/>
      </c>
      <c r="G1147" s="4">
        <f>IF(OR(E1147="",F1147=""),"",E1147+F1147)</f>
        <v/>
      </c>
      <c r="H1147" s="7">
        <f>IFERROR(IF(OR(E1147="",INDEX(E:E,MATCH(DATE(YEAR($A1147)-1,MONTH($A1147),DAY($A1147)),$A:$A,0))=""),"",E1147/INDEX(E:E,MATCH(DATE(YEAR($A1147)-1,MONTH($A1147),DAY($A1147)),$A:$A,0))-1),"")</f>
        <v/>
      </c>
      <c r="I1147" s="7">
        <f>IFERROR(IF(OR(F1147="",INDEX(F:F,MATCH(DATE(YEAR($A1147)-1,MONTH($A1147),DAY($A1147)),$A:$A,0))=""),"",F1147/INDEX(F:F,MATCH(DATE(YEAR($A1147)-1,MONTH($A1147),DAY($A1147)),$A:$A,0))-1),"")</f>
        <v/>
      </c>
      <c r="J1147" s="7">
        <f>IFERROR(IF(OR(G1147="",INDEX(G:G,MATCH(DATE(YEAR($A1147)-1,MONTH($A1147),DAY($A1147)),$A:$A,0))=""),"",G1147/INDEX(G:G,MATCH(DATE(YEAR($A1147)-1,MONTH($A1147),DAY($A1147)),$A:$A,0))-1),"")</f>
        <v/>
      </c>
      <c r="K1147" s="7">
        <f>IF(OR(E1147="",E1146=""),"",E1147/E1146-1)</f>
        <v/>
      </c>
      <c r="L1147" s="7">
        <f>IF(OR(F1147="",F1146=""),"",F1147/F1146-1)</f>
        <v/>
      </c>
      <c r="M1147" s="7">
        <f>IF(OR(G1147="",G1146=""),"",G1147/G1146-1)</f>
        <v/>
      </c>
      <c r="N1147" s="7">
        <f>IF(G1147="","",E1147/G1147)</f>
        <v/>
      </c>
      <c r="O1147" s="7">
        <f>IF(G1147="","",F1147/G1147)</f>
        <v/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4">
        <f>IF(SUMIFS('Daily NSE Equity Cash'!$H:$H,'Daily NSE Equity Cash'!$A:$A,$A1148)=0,"",SUMIFS('Daily NSE Equity Cash'!$H:$H,'Daily NSE Equity Cash'!$A:$A,$A1148))</f>
        <v/>
      </c>
      <c r="F1148" s="4">
        <f>IF(SUMIFS('Daily BSE Equity Cash'!$H:$H,'Daily BSE Equity Cash'!$A:$A,$A1148)=0,"",SUMIFS('Daily BSE Equity Cash'!$H:$H,'Daily BSE Equity Cash'!$A:$A,$A1148))</f>
        <v/>
      </c>
      <c r="G1148" s="4">
        <f>IF(OR(E1148="",F1148=""),"",E1148+F1148)</f>
        <v/>
      </c>
      <c r="H1148" s="7">
        <f>IFERROR(IF(OR(E1148="",INDEX(E:E,MATCH(DATE(YEAR($A1148)-1,MONTH($A1148),DAY($A1148)),$A:$A,0))=""),"",E1148/INDEX(E:E,MATCH(DATE(YEAR($A1148)-1,MONTH($A1148),DAY($A1148)),$A:$A,0))-1),"")</f>
        <v/>
      </c>
      <c r="I1148" s="7">
        <f>IFERROR(IF(OR(F1148="",INDEX(F:F,MATCH(DATE(YEAR($A1148)-1,MONTH($A1148),DAY($A1148)),$A:$A,0))=""),"",F1148/INDEX(F:F,MATCH(DATE(YEAR($A1148)-1,MONTH($A1148),DAY($A1148)),$A:$A,0))-1),"")</f>
        <v/>
      </c>
      <c r="J1148" s="7">
        <f>IFERROR(IF(OR(G1148="",INDEX(G:G,MATCH(DATE(YEAR($A1148)-1,MONTH($A1148),DAY($A1148)),$A:$A,0))=""),"",G1148/INDEX(G:G,MATCH(DATE(YEAR($A1148)-1,MONTH($A1148),DAY($A1148)),$A:$A,0))-1),"")</f>
        <v/>
      </c>
      <c r="K1148" s="7">
        <f>IF(OR(E1148="",E1147=""),"",E1148/E1147-1)</f>
        <v/>
      </c>
      <c r="L1148" s="7">
        <f>IF(OR(F1148="",F1147=""),"",F1148/F1147-1)</f>
        <v/>
      </c>
      <c r="M1148" s="7">
        <f>IF(OR(G1148="",G1147=""),"",G1148/G1147-1)</f>
        <v/>
      </c>
      <c r="N1148" s="7">
        <f>IF(G1148="","",E1148/G1148)</f>
        <v/>
      </c>
      <c r="O1148" s="7">
        <f>IF(G1148="","",F1148/G1148)</f>
        <v/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4">
        <f>IF(SUMIFS('Daily NSE Equity Cash'!$H:$H,'Daily NSE Equity Cash'!$A:$A,$A1149)=0,"",SUMIFS('Daily NSE Equity Cash'!$H:$H,'Daily NSE Equity Cash'!$A:$A,$A1149))</f>
        <v/>
      </c>
      <c r="F1149" s="4">
        <f>IF(SUMIFS('Daily BSE Equity Cash'!$H:$H,'Daily BSE Equity Cash'!$A:$A,$A1149)=0,"",SUMIFS('Daily BSE Equity Cash'!$H:$H,'Daily BSE Equity Cash'!$A:$A,$A1149))</f>
        <v/>
      </c>
      <c r="G1149" s="4">
        <f>IF(OR(E1149="",F1149=""),"",E1149+F1149)</f>
        <v/>
      </c>
      <c r="H1149" s="7">
        <f>IFERROR(IF(OR(E1149="",INDEX(E:E,MATCH(DATE(YEAR($A1149)-1,MONTH($A1149),DAY($A1149)),$A:$A,0))=""),"",E1149/INDEX(E:E,MATCH(DATE(YEAR($A1149)-1,MONTH($A1149),DAY($A1149)),$A:$A,0))-1),"")</f>
        <v/>
      </c>
      <c r="I1149" s="7">
        <f>IFERROR(IF(OR(F1149="",INDEX(F:F,MATCH(DATE(YEAR($A1149)-1,MONTH($A1149),DAY($A1149)),$A:$A,0))=""),"",F1149/INDEX(F:F,MATCH(DATE(YEAR($A1149)-1,MONTH($A1149),DAY($A1149)),$A:$A,0))-1),"")</f>
        <v/>
      </c>
      <c r="J1149" s="7">
        <f>IFERROR(IF(OR(G1149="",INDEX(G:G,MATCH(DATE(YEAR($A1149)-1,MONTH($A1149),DAY($A1149)),$A:$A,0))=""),"",G1149/INDEX(G:G,MATCH(DATE(YEAR($A1149)-1,MONTH($A1149),DAY($A1149)),$A:$A,0))-1),"")</f>
        <v/>
      </c>
      <c r="K1149" s="7">
        <f>IF(OR(E1149="",E1148=""),"",E1149/E1148-1)</f>
        <v/>
      </c>
      <c r="L1149" s="7">
        <f>IF(OR(F1149="",F1148=""),"",F1149/F1148-1)</f>
        <v/>
      </c>
      <c r="M1149" s="7">
        <f>IF(OR(G1149="",G1148=""),"",G1149/G1148-1)</f>
        <v/>
      </c>
      <c r="N1149" s="7">
        <f>IF(G1149="","",E1149/G1149)</f>
        <v/>
      </c>
      <c r="O1149" s="7">
        <f>IF(G1149="","",F1149/G1149)</f>
        <v/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4">
        <f>IF(SUMIFS('Daily NSE Equity Cash'!$H:$H,'Daily NSE Equity Cash'!$A:$A,$A1150)=0,"",SUMIFS('Daily NSE Equity Cash'!$H:$H,'Daily NSE Equity Cash'!$A:$A,$A1150))</f>
        <v/>
      </c>
      <c r="F1150" s="4">
        <f>IF(SUMIFS('Daily BSE Equity Cash'!$H:$H,'Daily BSE Equity Cash'!$A:$A,$A1150)=0,"",SUMIFS('Daily BSE Equity Cash'!$H:$H,'Daily BSE Equity Cash'!$A:$A,$A1150))</f>
        <v/>
      </c>
      <c r="G1150" s="4">
        <f>IF(OR(E1150="",F1150=""),"",E1150+F1150)</f>
        <v/>
      </c>
      <c r="H1150" s="7">
        <f>IFERROR(IF(OR(E1150="",INDEX(E:E,MATCH(DATE(YEAR($A1150)-1,MONTH($A1150),DAY($A1150)),$A:$A,0))=""),"",E1150/INDEX(E:E,MATCH(DATE(YEAR($A1150)-1,MONTH($A1150),DAY($A1150)),$A:$A,0))-1),"")</f>
        <v/>
      </c>
      <c r="I1150" s="7">
        <f>IFERROR(IF(OR(F1150="",INDEX(F:F,MATCH(DATE(YEAR($A1150)-1,MONTH($A1150),DAY($A1150)),$A:$A,0))=""),"",F1150/INDEX(F:F,MATCH(DATE(YEAR($A1150)-1,MONTH($A1150),DAY($A1150)),$A:$A,0))-1),"")</f>
        <v/>
      </c>
      <c r="J1150" s="7">
        <f>IFERROR(IF(OR(G1150="",INDEX(G:G,MATCH(DATE(YEAR($A1150)-1,MONTH($A1150),DAY($A1150)),$A:$A,0))=""),"",G1150/INDEX(G:G,MATCH(DATE(YEAR($A1150)-1,MONTH($A1150),DAY($A1150)),$A:$A,0))-1),"")</f>
        <v/>
      </c>
      <c r="K1150" s="7">
        <f>IF(OR(E1150="",E1149=""),"",E1150/E1149-1)</f>
        <v/>
      </c>
      <c r="L1150" s="7">
        <f>IF(OR(F1150="",F1149=""),"",F1150/F1149-1)</f>
        <v/>
      </c>
      <c r="M1150" s="7">
        <f>IF(OR(G1150="",G1149=""),"",G1150/G1149-1)</f>
        <v/>
      </c>
      <c r="N1150" s="7">
        <f>IF(G1150="","",E1150/G1150)</f>
        <v/>
      </c>
      <c r="O1150" s="7">
        <f>IF(G1150="","",F1150/G1150)</f>
        <v/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4">
        <f>IF(SUMIFS('Daily NSE Equity Cash'!$H:$H,'Daily NSE Equity Cash'!$A:$A,$A1151)=0,"",SUMIFS('Daily NSE Equity Cash'!$H:$H,'Daily NSE Equity Cash'!$A:$A,$A1151))</f>
        <v/>
      </c>
      <c r="F1151" s="4">
        <f>IF(SUMIFS('Daily BSE Equity Cash'!$H:$H,'Daily BSE Equity Cash'!$A:$A,$A1151)=0,"",SUMIFS('Daily BSE Equity Cash'!$H:$H,'Daily BSE Equity Cash'!$A:$A,$A1151))</f>
        <v/>
      </c>
      <c r="G1151" s="4">
        <f>IF(OR(E1151="",F1151=""),"",E1151+F1151)</f>
        <v/>
      </c>
      <c r="H1151" s="7">
        <f>IFERROR(IF(OR(E1151="",INDEX(E:E,MATCH(DATE(YEAR($A1151)-1,MONTH($A1151),DAY($A1151)),$A:$A,0))=""),"",E1151/INDEX(E:E,MATCH(DATE(YEAR($A1151)-1,MONTH($A1151),DAY($A1151)),$A:$A,0))-1),"")</f>
        <v/>
      </c>
      <c r="I1151" s="7">
        <f>IFERROR(IF(OR(F1151="",INDEX(F:F,MATCH(DATE(YEAR($A1151)-1,MONTH($A1151),DAY($A1151)),$A:$A,0))=""),"",F1151/INDEX(F:F,MATCH(DATE(YEAR($A1151)-1,MONTH($A1151),DAY($A1151)),$A:$A,0))-1),"")</f>
        <v/>
      </c>
      <c r="J1151" s="7">
        <f>IFERROR(IF(OR(G1151="",INDEX(G:G,MATCH(DATE(YEAR($A1151)-1,MONTH($A1151),DAY($A1151)),$A:$A,0))=""),"",G1151/INDEX(G:G,MATCH(DATE(YEAR($A1151)-1,MONTH($A1151),DAY($A1151)),$A:$A,0))-1),"")</f>
        <v/>
      </c>
      <c r="K1151" s="7">
        <f>IF(OR(E1151="",E1150=""),"",E1151/E1150-1)</f>
        <v/>
      </c>
      <c r="L1151" s="7">
        <f>IF(OR(F1151="",F1150=""),"",F1151/F1150-1)</f>
        <v/>
      </c>
      <c r="M1151" s="7">
        <f>IF(OR(G1151="",G1150=""),"",G1151/G1150-1)</f>
        <v/>
      </c>
      <c r="N1151" s="7">
        <f>IF(G1151="","",E1151/G1151)</f>
        <v/>
      </c>
      <c r="O1151" s="7">
        <f>IF(G1151="","",F1151/G1151)</f>
        <v/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4">
        <f>IF(SUMIFS('Daily NSE Equity Cash'!$H:$H,'Daily NSE Equity Cash'!$A:$A,$A1152)=0,"",SUMIFS('Daily NSE Equity Cash'!$H:$H,'Daily NSE Equity Cash'!$A:$A,$A1152))</f>
        <v/>
      </c>
      <c r="F1152" s="4">
        <f>IF(SUMIFS('Daily BSE Equity Cash'!$H:$H,'Daily BSE Equity Cash'!$A:$A,$A1152)=0,"",SUMIFS('Daily BSE Equity Cash'!$H:$H,'Daily BSE Equity Cash'!$A:$A,$A1152))</f>
        <v/>
      </c>
      <c r="G1152" s="4">
        <f>IF(OR(E1152="",F1152=""),"",E1152+F1152)</f>
        <v/>
      </c>
      <c r="H1152" s="7">
        <f>IFERROR(IF(OR(E1152="",INDEX(E:E,MATCH(DATE(YEAR($A1152)-1,MONTH($A1152),DAY($A1152)),$A:$A,0))=""),"",E1152/INDEX(E:E,MATCH(DATE(YEAR($A1152)-1,MONTH($A1152),DAY($A1152)),$A:$A,0))-1),"")</f>
        <v/>
      </c>
      <c r="I1152" s="7">
        <f>IFERROR(IF(OR(F1152="",INDEX(F:F,MATCH(DATE(YEAR($A1152)-1,MONTH($A1152),DAY($A1152)),$A:$A,0))=""),"",F1152/INDEX(F:F,MATCH(DATE(YEAR($A1152)-1,MONTH($A1152),DAY($A1152)),$A:$A,0))-1),"")</f>
        <v/>
      </c>
      <c r="J1152" s="7">
        <f>IFERROR(IF(OR(G1152="",INDEX(G:G,MATCH(DATE(YEAR($A1152)-1,MONTH($A1152),DAY($A1152)),$A:$A,0))=""),"",G1152/INDEX(G:G,MATCH(DATE(YEAR($A1152)-1,MONTH($A1152),DAY($A1152)),$A:$A,0))-1),"")</f>
        <v/>
      </c>
      <c r="K1152" s="7">
        <f>IF(OR(E1152="",E1151=""),"",E1152/E1151-1)</f>
        <v/>
      </c>
      <c r="L1152" s="7">
        <f>IF(OR(F1152="",F1151=""),"",F1152/F1151-1)</f>
        <v/>
      </c>
      <c r="M1152" s="7">
        <f>IF(OR(G1152="",G1151=""),"",G1152/G1151-1)</f>
        <v/>
      </c>
      <c r="N1152" s="7">
        <f>IF(G1152="","",E1152/G1152)</f>
        <v/>
      </c>
      <c r="O1152" s="7">
        <f>IF(G1152="","",F1152/G1152)</f>
        <v/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4">
        <f>IF(SUMIFS('Daily NSE Equity Cash'!$H:$H,'Daily NSE Equity Cash'!$A:$A,$A1153)=0,"",SUMIFS('Daily NSE Equity Cash'!$H:$H,'Daily NSE Equity Cash'!$A:$A,$A1153))</f>
        <v/>
      </c>
      <c r="F1153" s="4">
        <f>IF(SUMIFS('Daily BSE Equity Cash'!$H:$H,'Daily BSE Equity Cash'!$A:$A,$A1153)=0,"",SUMIFS('Daily BSE Equity Cash'!$H:$H,'Daily BSE Equity Cash'!$A:$A,$A1153))</f>
        <v/>
      </c>
      <c r="G1153" s="4">
        <f>IF(OR(E1153="",F1153=""),"",E1153+F1153)</f>
        <v/>
      </c>
      <c r="H1153" s="7">
        <f>IFERROR(IF(OR(E1153="",INDEX(E:E,MATCH(DATE(YEAR($A1153)-1,MONTH($A1153),DAY($A1153)),$A:$A,0))=""),"",E1153/INDEX(E:E,MATCH(DATE(YEAR($A1153)-1,MONTH($A1153),DAY($A1153)),$A:$A,0))-1),"")</f>
        <v/>
      </c>
      <c r="I1153" s="7">
        <f>IFERROR(IF(OR(F1153="",INDEX(F:F,MATCH(DATE(YEAR($A1153)-1,MONTH($A1153),DAY($A1153)),$A:$A,0))=""),"",F1153/INDEX(F:F,MATCH(DATE(YEAR($A1153)-1,MONTH($A1153),DAY($A1153)),$A:$A,0))-1),"")</f>
        <v/>
      </c>
      <c r="J1153" s="7">
        <f>IFERROR(IF(OR(G1153="",INDEX(G:G,MATCH(DATE(YEAR($A1153)-1,MONTH($A1153),DAY($A1153)),$A:$A,0))=""),"",G1153/INDEX(G:G,MATCH(DATE(YEAR($A1153)-1,MONTH($A1153),DAY($A1153)),$A:$A,0))-1),"")</f>
        <v/>
      </c>
      <c r="K1153" s="7">
        <f>IF(OR(E1153="",E1152=""),"",E1153/E1152-1)</f>
        <v/>
      </c>
      <c r="L1153" s="7">
        <f>IF(OR(F1153="",F1152=""),"",F1153/F1152-1)</f>
        <v/>
      </c>
      <c r="M1153" s="7">
        <f>IF(OR(G1153="",G1152=""),"",G1153/G1152-1)</f>
        <v/>
      </c>
      <c r="N1153" s="7">
        <f>IF(G1153="","",E1153/G1153)</f>
        <v/>
      </c>
      <c r="O1153" s="7">
        <f>IF(G1153="","",F1153/G1153)</f>
        <v/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4">
        <f>IF(SUMIFS('Daily NSE Equity Cash'!$H:$H,'Daily NSE Equity Cash'!$A:$A,$A1154)=0,"",SUMIFS('Daily NSE Equity Cash'!$H:$H,'Daily NSE Equity Cash'!$A:$A,$A1154))</f>
        <v/>
      </c>
      <c r="F1154" s="4">
        <f>IF(SUMIFS('Daily BSE Equity Cash'!$H:$H,'Daily BSE Equity Cash'!$A:$A,$A1154)=0,"",SUMIFS('Daily BSE Equity Cash'!$H:$H,'Daily BSE Equity Cash'!$A:$A,$A1154))</f>
        <v/>
      </c>
      <c r="G1154" s="4">
        <f>IF(OR(E1154="",F1154=""),"",E1154+F1154)</f>
        <v/>
      </c>
      <c r="H1154" s="7">
        <f>IFERROR(IF(OR(E1154="",INDEX(E:E,MATCH(DATE(YEAR($A1154)-1,MONTH($A1154),DAY($A1154)),$A:$A,0))=""),"",E1154/INDEX(E:E,MATCH(DATE(YEAR($A1154)-1,MONTH($A1154),DAY($A1154)),$A:$A,0))-1),"")</f>
        <v/>
      </c>
      <c r="I1154" s="7">
        <f>IFERROR(IF(OR(F1154="",INDEX(F:F,MATCH(DATE(YEAR($A1154)-1,MONTH($A1154),DAY($A1154)),$A:$A,0))=""),"",F1154/INDEX(F:F,MATCH(DATE(YEAR($A1154)-1,MONTH($A1154),DAY($A1154)),$A:$A,0))-1),"")</f>
        <v/>
      </c>
      <c r="J1154" s="7">
        <f>IFERROR(IF(OR(G1154="",INDEX(G:G,MATCH(DATE(YEAR($A1154)-1,MONTH($A1154),DAY($A1154)),$A:$A,0))=""),"",G1154/INDEX(G:G,MATCH(DATE(YEAR($A1154)-1,MONTH($A1154),DAY($A1154)),$A:$A,0))-1),"")</f>
        <v/>
      </c>
      <c r="K1154" s="7">
        <f>IF(OR(E1154="",E1153=""),"",E1154/E1153-1)</f>
        <v/>
      </c>
      <c r="L1154" s="7">
        <f>IF(OR(F1154="",F1153=""),"",F1154/F1153-1)</f>
        <v/>
      </c>
      <c r="M1154" s="7">
        <f>IF(OR(G1154="",G1153=""),"",G1154/G1153-1)</f>
        <v/>
      </c>
      <c r="N1154" s="7">
        <f>IF(G1154="","",E1154/G1154)</f>
        <v/>
      </c>
      <c r="O1154" s="7">
        <f>IF(G1154="","",F1154/G1154)</f>
        <v/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4">
        <f>IF(SUMIFS('Daily NSE Equity Cash'!$H:$H,'Daily NSE Equity Cash'!$A:$A,$A1155)=0,"",SUMIFS('Daily NSE Equity Cash'!$H:$H,'Daily NSE Equity Cash'!$A:$A,$A1155))</f>
        <v/>
      </c>
      <c r="F1155" s="4">
        <f>IF(SUMIFS('Daily BSE Equity Cash'!$H:$H,'Daily BSE Equity Cash'!$A:$A,$A1155)=0,"",SUMIFS('Daily BSE Equity Cash'!$H:$H,'Daily BSE Equity Cash'!$A:$A,$A1155))</f>
        <v/>
      </c>
      <c r="G1155" s="4">
        <f>IF(OR(E1155="",F1155=""),"",E1155+F1155)</f>
        <v/>
      </c>
      <c r="H1155" s="7">
        <f>IFERROR(IF(OR(E1155="",INDEX(E:E,MATCH(DATE(YEAR($A1155)-1,MONTH($A1155),DAY($A1155)),$A:$A,0))=""),"",E1155/INDEX(E:E,MATCH(DATE(YEAR($A1155)-1,MONTH($A1155),DAY($A1155)),$A:$A,0))-1),"")</f>
        <v/>
      </c>
      <c r="I1155" s="7">
        <f>IFERROR(IF(OR(F1155="",INDEX(F:F,MATCH(DATE(YEAR($A1155)-1,MONTH($A1155),DAY($A1155)),$A:$A,0))=""),"",F1155/INDEX(F:F,MATCH(DATE(YEAR($A1155)-1,MONTH($A1155),DAY($A1155)),$A:$A,0))-1),"")</f>
        <v/>
      </c>
      <c r="J1155" s="7">
        <f>IFERROR(IF(OR(G1155="",INDEX(G:G,MATCH(DATE(YEAR($A1155)-1,MONTH($A1155),DAY($A1155)),$A:$A,0))=""),"",G1155/INDEX(G:G,MATCH(DATE(YEAR($A1155)-1,MONTH($A1155),DAY($A1155)),$A:$A,0))-1),"")</f>
        <v/>
      </c>
      <c r="K1155" s="7">
        <f>IF(OR(E1155="",E1154=""),"",E1155/E1154-1)</f>
        <v/>
      </c>
      <c r="L1155" s="7">
        <f>IF(OR(F1155="",F1154=""),"",F1155/F1154-1)</f>
        <v/>
      </c>
      <c r="M1155" s="7">
        <f>IF(OR(G1155="",G1154=""),"",G1155/G1154-1)</f>
        <v/>
      </c>
      <c r="N1155" s="7">
        <f>IF(G1155="","",E1155/G1155)</f>
        <v/>
      </c>
      <c r="O1155" s="7">
        <f>IF(G1155="","",F1155/G1155)</f>
        <v/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4">
        <f>IF(SUMIFS('Daily NSE Equity Cash'!$H:$H,'Daily NSE Equity Cash'!$A:$A,$A1156)=0,"",SUMIFS('Daily NSE Equity Cash'!$H:$H,'Daily NSE Equity Cash'!$A:$A,$A1156))</f>
        <v/>
      </c>
      <c r="F1156" s="4">
        <f>IF(SUMIFS('Daily BSE Equity Cash'!$H:$H,'Daily BSE Equity Cash'!$A:$A,$A1156)=0,"",SUMIFS('Daily BSE Equity Cash'!$H:$H,'Daily BSE Equity Cash'!$A:$A,$A1156))</f>
        <v/>
      </c>
      <c r="G1156" s="4">
        <f>IF(OR(E1156="",F1156=""),"",E1156+F1156)</f>
        <v/>
      </c>
      <c r="H1156" s="7">
        <f>IFERROR(IF(OR(E1156="",INDEX(E:E,MATCH(DATE(YEAR($A1156)-1,MONTH($A1156),DAY($A1156)),$A:$A,0))=""),"",E1156/INDEX(E:E,MATCH(DATE(YEAR($A1156)-1,MONTH($A1156),DAY($A1156)),$A:$A,0))-1),"")</f>
        <v/>
      </c>
      <c r="I1156" s="7">
        <f>IFERROR(IF(OR(F1156="",INDEX(F:F,MATCH(DATE(YEAR($A1156)-1,MONTH($A1156),DAY($A1156)),$A:$A,0))=""),"",F1156/INDEX(F:F,MATCH(DATE(YEAR($A1156)-1,MONTH($A1156),DAY($A1156)),$A:$A,0))-1),"")</f>
        <v/>
      </c>
      <c r="J1156" s="7">
        <f>IFERROR(IF(OR(G1156="",INDEX(G:G,MATCH(DATE(YEAR($A1156)-1,MONTH($A1156),DAY($A1156)),$A:$A,0))=""),"",G1156/INDEX(G:G,MATCH(DATE(YEAR($A1156)-1,MONTH($A1156),DAY($A1156)),$A:$A,0))-1),"")</f>
        <v/>
      </c>
      <c r="K1156" s="7">
        <f>IF(OR(E1156="",E1155=""),"",E1156/E1155-1)</f>
        <v/>
      </c>
      <c r="L1156" s="7">
        <f>IF(OR(F1156="",F1155=""),"",F1156/F1155-1)</f>
        <v/>
      </c>
      <c r="M1156" s="7">
        <f>IF(OR(G1156="",G1155=""),"",G1156/G1155-1)</f>
        <v/>
      </c>
      <c r="N1156" s="7">
        <f>IF(G1156="","",E1156/G1156)</f>
        <v/>
      </c>
      <c r="O1156" s="7">
        <f>IF(G1156="","",F1156/G1156)</f>
        <v/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4">
        <f>IF(SUMIFS('Daily NSE Equity Cash'!$H:$H,'Daily NSE Equity Cash'!$A:$A,$A1157)=0,"",SUMIFS('Daily NSE Equity Cash'!$H:$H,'Daily NSE Equity Cash'!$A:$A,$A1157))</f>
        <v/>
      </c>
      <c r="F1157" s="4">
        <f>IF(SUMIFS('Daily BSE Equity Cash'!$H:$H,'Daily BSE Equity Cash'!$A:$A,$A1157)=0,"",SUMIFS('Daily BSE Equity Cash'!$H:$H,'Daily BSE Equity Cash'!$A:$A,$A1157))</f>
        <v/>
      </c>
      <c r="G1157" s="4">
        <f>IF(OR(E1157="",F1157=""),"",E1157+F1157)</f>
        <v/>
      </c>
      <c r="H1157" s="7">
        <f>IFERROR(IF(OR(E1157="",INDEX(E:E,MATCH(DATE(YEAR($A1157)-1,MONTH($A1157),DAY($A1157)),$A:$A,0))=""),"",E1157/INDEX(E:E,MATCH(DATE(YEAR($A1157)-1,MONTH($A1157),DAY($A1157)),$A:$A,0))-1),"")</f>
        <v/>
      </c>
      <c r="I1157" s="7">
        <f>IFERROR(IF(OR(F1157="",INDEX(F:F,MATCH(DATE(YEAR($A1157)-1,MONTH($A1157),DAY($A1157)),$A:$A,0))=""),"",F1157/INDEX(F:F,MATCH(DATE(YEAR($A1157)-1,MONTH($A1157),DAY($A1157)),$A:$A,0))-1),"")</f>
        <v/>
      </c>
      <c r="J1157" s="7">
        <f>IFERROR(IF(OR(G1157="",INDEX(G:G,MATCH(DATE(YEAR($A1157)-1,MONTH($A1157),DAY($A1157)),$A:$A,0))=""),"",G1157/INDEX(G:G,MATCH(DATE(YEAR($A1157)-1,MONTH($A1157),DAY($A1157)),$A:$A,0))-1),"")</f>
        <v/>
      </c>
      <c r="K1157" s="7">
        <f>IF(OR(E1157="",E1156=""),"",E1157/E1156-1)</f>
        <v/>
      </c>
      <c r="L1157" s="7">
        <f>IF(OR(F1157="",F1156=""),"",F1157/F1156-1)</f>
        <v/>
      </c>
      <c r="M1157" s="7">
        <f>IF(OR(G1157="",G1156=""),"",G1157/G1156-1)</f>
        <v/>
      </c>
      <c r="N1157" s="7">
        <f>IF(G1157="","",E1157/G1157)</f>
        <v/>
      </c>
      <c r="O1157" s="7">
        <f>IF(G1157="","",F1157/G1157)</f>
        <v/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4">
        <f>IF(SUMIFS('Daily NSE Equity Cash'!$H:$H,'Daily NSE Equity Cash'!$A:$A,$A1158)=0,"",SUMIFS('Daily NSE Equity Cash'!$H:$H,'Daily NSE Equity Cash'!$A:$A,$A1158))</f>
        <v/>
      </c>
      <c r="F1158" s="4">
        <f>IF(SUMIFS('Daily BSE Equity Cash'!$H:$H,'Daily BSE Equity Cash'!$A:$A,$A1158)=0,"",SUMIFS('Daily BSE Equity Cash'!$H:$H,'Daily BSE Equity Cash'!$A:$A,$A1158))</f>
        <v/>
      </c>
      <c r="G1158" s="4">
        <f>IF(OR(E1158="",F1158=""),"",E1158+F1158)</f>
        <v/>
      </c>
      <c r="H1158" s="7">
        <f>IFERROR(IF(OR(E1158="",INDEX(E:E,MATCH(DATE(YEAR($A1158)-1,MONTH($A1158),DAY($A1158)),$A:$A,0))=""),"",E1158/INDEX(E:E,MATCH(DATE(YEAR($A1158)-1,MONTH($A1158),DAY($A1158)),$A:$A,0))-1),"")</f>
        <v/>
      </c>
      <c r="I1158" s="7">
        <f>IFERROR(IF(OR(F1158="",INDEX(F:F,MATCH(DATE(YEAR($A1158)-1,MONTH($A1158),DAY($A1158)),$A:$A,0))=""),"",F1158/INDEX(F:F,MATCH(DATE(YEAR($A1158)-1,MONTH($A1158),DAY($A1158)),$A:$A,0))-1),"")</f>
        <v/>
      </c>
      <c r="J1158" s="7">
        <f>IFERROR(IF(OR(G1158="",INDEX(G:G,MATCH(DATE(YEAR($A1158)-1,MONTH($A1158),DAY($A1158)),$A:$A,0))=""),"",G1158/INDEX(G:G,MATCH(DATE(YEAR($A1158)-1,MONTH($A1158),DAY($A1158)),$A:$A,0))-1),"")</f>
        <v/>
      </c>
      <c r="K1158" s="7">
        <f>IF(OR(E1158="",E1157=""),"",E1158/E1157-1)</f>
        <v/>
      </c>
      <c r="L1158" s="7">
        <f>IF(OR(F1158="",F1157=""),"",F1158/F1157-1)</f>
        <v/>
      </c>
      <c r="M1158" s="7">
        <f>IF(OR(G1158="",G1157=""),"",G1158/G1157-1)</f>
        <v/>
      </c>
      <c r="N1158" s="7">
        <f>IF(G1158="","",E1158/G1158)</f>
        <v/>
      </c>
      <c r="O1158" s="7">
        <f>IF(G1158="","",F1158/G1158)</f>
        <v/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4">
        <f>IF(SUMIFS('Daily NSE Equity Cash'!$H:$H,'Daily NSE Equity Cash'!$A:$A,$A1159)=0,"",SUMIFS('Daily NSE Equity Cash'!$H:$H,'Daily NSE Equity Cash'!$A:$A,$A1159))</f>
        <v/>
      </c>
      <c r="F1159" s="4">
        <f>IF(SUMIFS('Daily BSE Equity Cash'!$H:$H,'Daily BSE Equity Cash'!$A:$A,$A1159)=0,"",SUMIFS('Daily BSE Equity Cash'!$H:$H,'Daily BSE Equity Cash'!$A:$A,$A1159))</f>
        <v/>
      </c>
      <c r="G1159" s="4">
        <f>IF(OR(E1159="",F1159=""),"",E1159+F1159)</f>
        <v/>
      </c>
      <c r="H1159" s="7">
        <f>IFERROR(IF(OR(E1159="",INDEX(E:E,MATCH(DATE(YEAR($A1159)-1,MONTH($A1159),DAY($A1159)),$A:$A,0))=""),"",E1159/INDEX(E:E,MATCH(DATE(YEAR($A1159)-1,MONTH($A1159),DAY($A1159)),$A:$A,0))-1),"")</f>
        <v/>
      </c>
      <c r="I1159" s="7">
        <f>IFERROR(IF(OR(F1159="",INDEX(F:F,MATCH(DATE(YEAR($A1159)-1,MONTH($A1159),DAY($A1159)),$A:$A,0))=""),"",F1159/INDEX(F:F,MATCH(DATE(YEAR($A1159)-1,MONTH($A1159),DAY($A1159)),$A:$A,0))-1),"")</f>
        <v/>
      </c>
      <c r="J1159" s="7">
        <f>IFERROR(IF(OR(G1159="",INDEX(G:G,MATCH(DATE(YEAR($A1159)-1,MONTH($A1159),DAY($A1159)),$A:$A,0))=""),"",G1159/INDEX(G:G,MATCH(DATE(YEAR($A1159)-1,MONTH($A1159),DAY($A1159)),$A:$A,0))-1),"")</f>
        <v/>
      </c>
      <c r="K1159" s="7">
        <f>IF(OR(E1159="",E1158=""),"",E1159/E1158-1)</f>
        <v/>
      </c>
      <c r="L1159" s="7">
        <f>IF(OR(F1159="",F1158=""),"",F1159/F1158-1)</f>
        <v/>
      </c>
      <c r="M1159" s="7">
        <f>IF(OR(G1159="",G1158=""),"",G1159/G1158-1)</f>
        <v/>
      </c>
      <c r="N1159" s="7">
        <f>IF(G1159="","",E1159/G1159)</f>
        <v/>
      </c>
      <c r="O1159" s="7">
        <f>IF(G1159="","",F1159/G1159)</f>
        <v/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4">
        <f>IF(SUMIFS('Daily NSE Equity Cash'!$H:$H,'Daily NSE Equity Cash'!$A:$A,$A1160)=0,"",SUMIFS('Daily NSE Equity Cash'!$H:$H,'Daily NSE Equity Cash'!$A:$A,$A1160))</f>
        <v/>
      </c>
      <c r="F1160" s="4">
        <f>IF(SUMIFS('Daily BSE Equity Cash'!$H:$H,'Daily BSE Equity Cash'!$A:$A,$A1160)=0,"",SUMIFS('Daily BSE Equity Cash'!$H:$H,'Daily BSE Equity Cash'!$A:$A,$A1160))</f>
        <v/>
      </c>
      <c r="G1160" s="4">
        <f>IF(OR(E1160="",F1160=""),"",E1160+F1160)</f>
        <v/>
      </c>
      <c r="H1160" s="7">
        <f>IFERROR(IF(OR(E1160="",INDEX(E:E,MATCH(DATE(YEAR($A1160)-1,MONTH($A1160),DAY($A1160)),$A:$A,0))=""),"",E1160/INDEX(E:E,MATCH(DATE(YEAR($A1160)-1,MONTH($A1160),DAY($A1160)),$A:$A,0))-1),"")</f>
        <v/>
      </c>
      <c r="I1160" s="7">
        <f>IFERROR(IF(OR(F1160="",INDEX(F:F,MATCH(DATE(YEAR($A1160)-1,MONTH($A1160),DAY($A1160)),$A:$A,0))=""),"",F1160/INDEX(F:F,MATCH(DATE(YEAR($A1160)-1,MONTH($A1160),DAY($A1160)),$A:$A,0))-1),"")</f>
        <v/>
      </c>
      <c r="J1160" s="7">
        <f>IFERROR(IF(OR(G1160="",INDEX(G:G,MATCH(DATE(YEAR($A1160)-1,MONTH($A1160),DAY($A1160)),$A:$A,0))=""),"",G1160/INDEX(G:G,MATCH(DATE(YEAR($A1160)-1,MONTH($A1160),DAY($A1160)),$A:$A,0))-1),"")</f>
        <v/>
      </c>
      <c r="K1160" s="7">
        <f>IF(OR(E1160="",E1159=""),"",E1160/E1159-1)</f>
        <v/>
      </c>
      <c r="L1160" s="7">
        <f>IF(OR(F1160="",F1159=""),"",F1160/F1159-1)</f>
        <v/>
      </c>
      <c r="M1160" s="7">
        <f>IF(OR(G1160="",G1159=""),"",G1160/G1159-1)</f>
        <v/>
      </c>
      <c r="N1160" s="7">
        <f>IF(G1160="","",E1160/G1160)</f>
        <v/>
      </c>
      <c r="O1160" s="7">
        <f>IF(G1160="","",F1160/G1160)</f>
        <v/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4">
        <f>IF(SUMIFS('Daily NSE Equity Cash'!$H:$H,'Daily NSE Equity Cash'!$A:$A,$A1161)=0,"",SUMIFS('Daily NSE Equity Cash'!$H:$H,'Daily NSE Equity Cash'!$A:$A,$A1161))</f>
        <v/>
      </c>
      <c r="F1161" s="4">
        <f>IF(SUMIFS('Daily BSE Equity Cash'!$H:$H,'Daily BSE Equity Cash'!$A:$A,$A1161)=0,"",SUMIFS('Daily BSE Equity Cash'!$H:$H,'Daily BSE Equity Cash'!$A:$A,$A1161))</f>
        <v/>
      </c>
      <c r="G1161" s="4">
        <f>IF(OR(E1161="",F1161=""),"",E1161+F1161)</f>
        <v/>
      </c>
      <c r="H1161" s="7">
        <f>IFERROR(IF(OR(E1161="",INDEX(E:E,MATCH(DATE(YEAR($A1161)-1,MONTH($A1161),DAY($A1161)),$A:$A,0))=""),"",E1161/INDEX(E:E,MATCH(DATE(YEAR($A1161)-1,MONTH($A1161),DAY($A1161)),$A:$A,0))-1),"")</f>
        <v/>
      </c>
      <c r="I1161" s="7">
        <f>IFERROR(IF(OR(F1161="",INDEX(F:F,MATCH(DATE(YEAR($A1161)-1,MONTH($A1161),DAY($A1161)),$A:$A,0))=""),"",F1161/INDEX(F:F,MATCH(DATE(YEAR($A1161)-1,MONTH($A1161),DAY($A1161)),$A:$A,0))-1),"")</f>
        <v/>
      </c>
      <c r="J1161" s="7">
        <f>IFERROR(IF(OR(G1161="",INDEX(G:G,MATCH(DATE(YEAR($A1161)-1,MONTH($A1161),DAY($A1161)),$A:$A,0))=""),"",G1161/INDEX(G:G,MATCH(DATE(YEAR($A1161)-1,MONTH($A1161),DAY($A1161)),$A:$A,0))-1),"")</f>
        <v/>
      </c>
      <c r="K1161" s="7">
        <f>IF(OR(E1161="",E1160=""),"",E1161/E1160-1)</f>
        <v/>
      </c>
      <c r="L1161" s="7">
        <f>IF(OR(F1161="",F1160=""),"",F1161/F1160-1)</f>
        <v/>
      </c>
      <c r="M1161" s="7">
        <f>IF(OR(G1161="",G1160=""),"",G1161/G1160-1)</f>
        <v/>
      </c>
      <c r="N1161" s="7">
        <f>IF(G1161="","",E1161/G1161)</f>
        <v/>
      </c>
      <c r="O1161" s="7">
        <f>IF(G1161="","",F1161/G1161)</f>
        <v/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4">
        <f>IF(SUMIFS('Daily NSE Equity Cash'!$H:$H,'Daily NSE Equity Cash'!$A:$A,$A1162)=0,"",SUMIFS('Daily NSE Equity Cash'!$H:$H,'Daily NSE Equity Cash'!$A:$A,$A1162))</f>
        <v/>
      </c>
      <c r="F1162" s="4">
        <f>IF(SUMIFS('Daily BSE Equity Cash'!$H:$H,'Daily BSE Equity Cash'!$A:$A,$A1162)=0,"",SUMIFS('Daily BSE Equity Cash'!$H:$H,'Daily BSE Equity Cash'!$A:$A,$A1162))</f>
        <v/>
      </c>
      <c r="G1162" s="4">
        <f>IF(OR(E1162="",F1162=""),"",E1162+F1162)</f>
        <v/>
      </c>
      <c r="H1162" s="7">
        <f>IFERROR(IF(OR(E1162="",INDEX(E:E,MATCH(DATE(YEAR($A1162)-1,MONTH($A1162),DAY($A1162)),$A:$A,0))=""),"",E1162/INDEX(E:E,MATCH(DATE(YEAR($A1162)-1,MONTH($A1162),DAY($A1162)),$A:$A,0))-1),"")</f>
        <v/>
      </c>
      <c r="I1162" s="7">
        <f>IFERROR(IF(OR(F1162="",INDEX(F:F,MATCH(DATE(YEAR($A1162)-1,MONTH($A1162),DAY($A1162)),$A:$A,0))=""),"",F1162/INDEX(F:F,MATCH(DATE(YEAR($A1162)-1,MONTH($A1162),DAY($A1162)),$A:$A,0))-1),"")</f>
        <v/>
      </c>
      <c r="J1162" s="7">
        <f>IFERROR(IF(OR(G1162="",INDEX(G:G,MATCH(DATE(YEAR($A1162)-1,MONTH($A1162),DAY($A1162)),$A:$A,0))=""),"",G1162/INDEX(G:G,MATCH(DATE(YEAR($A1162)-1,MONTH($A1162),DAY($A1162)),$A:$A,0))-1),"")</f>
        <v/>
      </c>
      <c r="K1162" s="7">
        <f>IF(OR(E1162="",E1161=""),"",E1162/E1161-1)</f>
        <v/>
      </c>
      <c r="L1162" s="7">
        <f>IF(OR(F1162="",F1161=""),"",F1162/F1161-1)</f>
        <v/>
      </c>
      <c r="M1162" s="7">
        <f>IF(OR(G1162="",G1161=""),"",G1162/G1161-1)</f>
        <v/>
      </c>
      <c r="N1162" s="7">
        <f>IF(G1162="","",E1162/G1162)</f>
        <v/>
      </c>
      <c r="O1162" s="7">
        <f>IF(G1162="","",F1162/G1162)</f>
        <v/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4">
        <f>IF(SUMIFS('Daily NSE Equity Cash'!$H:$H,'Daily NSE Equity Cash'!$A:$A,$A1163)=0,"",SUMIFS('Daily NSE Equity Cash'!$H:$H,'Daily NSE Equity Cash'!$A:$A,$A1163))</f>
        <v/>
      </c>
      <c r="F1163" s="4">
        <f>IF(SUMIFS('Daily BSE Equity Cash'!$H:$H,'Daily BSE Equity Cash'!$A:$A,$A1163)=0,"",SUMIFS('Daily BSE Equity Cash'!$H:$H,'Daily BSE Equity Cash'!$A:$A,$A1163))</f>
        <v/>
      </c>
      <c r="G1163" s="4">
        <f>IF(OR(E1163="",F1163=""),"",E1163+F1163)</f>
        <v/>
      </c>
      <c r="H1163" s="7">
        <f>IFERROR(IF(OR(E1163="",INDEX(E:E,MATCH(DATE(YEAR($A1163)-1,MONTH($A1163),DAY($A1163)),$A:$A,0))=""),"",E1163/INDEX(E:E,MATCH(DATE(YEAR($A1163)-1,MONTH($A1163),DAY($A1163)),$A:$A,0))-1),"")</f>
        <v/>
      </c>
      <c r="I1163" s="7">
        <f>IFERROR(IF(OR(F1163="",INDEX(F:F,MATCH(DATE(YEAR($A1163)-1,MONTH($A1163),DAY($A1163)),$A:$A,0))=""),"",F1163/INDEX(F:F,MATCH(DATE(YEAR($A1163)-1,MONTH($A1163),DAY($A1163)),$A:$A,0))-1),"")</f>
        <v/>
      </c>
      <c r="J1163" s="7">
        <f>IFERROR(IF(OR(G1163="",INDEX(G:G,MATCH(DATE(YEAR($A1163)-1,MONTH($A1163),DAY($A1163)),$A:$A,0))=""),"",G1163/INDEX(G:G,MATCH(DATE(YEAR($A1163)-1,MONTH($A1163),DAY($A1163)),$A:$A,0))-1),"")</f>
        <v/>
      </c>
      <c r="K1163" s="7">
        <f>IF(OR(E1163="",E1162=""),"",E1163/E1162-1)</f>
        <v/>
      </c>
      <c r="L1163" s="7">
        <f>IF(OR(F1163="",F1162=""),"",F1163/F1162-1)</f>
        <v/>
      </c>
      <c r="M1163" s="7">
        <f>IF(OR(G1163="",G1162=""),"",G1163/G1162-1)</f>
        <v/>
      </c>
      <c r="N1163" s="7">
        <f>IF(G1163="","",E1163/G1163)</f>
        <v/>
      </c>
      <c r="O1163" s="7">
        <f>IF(G1163="","",F1163/G1163)</f>
        <v/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4">
        <f>IF(SUMIFS('Daily NSE Equity Cash'!$H:$H,'Daily NSE Equity Cash'!$A:$A,$A1164)=0,"",SUMIFS('Daily NSE Equity Cash'!$H:$H,'Daily NSE Equity Cash'!$A:$A,$A1164))</f>
        <v/>
      </c>
      <c r="F1164" s="4">
        <f>IF(SUMIFS('Daily BSE Equity Cash'!$H:$H,'Daily BSE Equity Cash'!$A:$A,$A1164)=0,"",SUMIFS('Daily BSE Equity Cash'!$H:$H,'Daily BSE Equity Cash'!$A:$A,$A1164))</f>
        <v/>
      </c>
      <c r="G1164" s="4">
        <f>IF(OR(E1164="",F1164=""),"",E1164+F1164)</f>
        <v/>
      </c>
      <c r="H1164" s="7">
        <f>IFERROR(IF(OR(E1164="",INDEX(E:E,MATCH(DATE(YEAR($A1164)-1,MONTH($A1164),DAY($A1164)),$A:$A,0))=""),"",E1164/INDEX(E:E,MATCH(DATE(YEAR($A1164)-1,MONTH($A1164),DAY($A1164)),$A:$A,0))-1),"")</f>
        <v/>
      </c>
      <c r="I1164" s="7">
        <f>IFERROR(IF(OR(F1164="",INDEX(F:F,MATCH(DATE(YEAR($A1164)-1,MONTH($A1164),DAY($A1164)),$A:$A,0))=""),"",F1164/INDEX(F:F,MATCH(DATE(YEAR($A1164)-1,MONTH($A1164),DAY($A1164)),$A:$A,0))-1),"")</f>
        <v/>
      </c>
      <c r="J1164" s="7">
        <f>IFERROR(IF(OR(G1164="",INDEX(G:G,MATCH(DATE(YEAR($A1164)-1,MONTH($A1164),DAY($A1164)),$A:$A,0))=""),"",G1164/INDEX(G:G,MATCH(DATE(YEAR($A1164)-1,MONTH($A1164),DAY($A1164)),$A:$A,0))-1),"")</f>
        <v/>
      </c>
      <c r="K1164" s="7">
        <f>IF(OR(E1164="",E1163=""),"",E1164/E1163-1)</f>
        <v/>
      </c>
      <c r="L1164" s="7">
        <f>IF(OR(F1164="",F1163=""),"",F1164/F1163-1)</f>
        <v/>
      </c>
      <c r="M1164" s="7">
        <f>IF(OR(G1164="",G1163=""),"",G1164/G1163-1)</f>
        <v/>
      </c>
      <c r="N1164" s="7">
        <f>IF(G1164="","",E1164/G1164)</f>
        <v/>
      </c>
      <c r="O1164" s="7">
        <f>IF(G1164="","",F1164/G1164)</f>
        <v/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4">
        <f>IF(SUMIFS('Daily NSE Equity Cash'!$H:$H,'Daily NSE Equity Cash'!$A:$A,$A1165)=0,"",SUMIFS('Daily NSE Equity Cash'!$H:$H,'Daily NSE Equity Cash'!$A:$A,$A1165))</f>
        <v/>
      </c>
      <c r="F1165" s="4">
        <f>IF(SUMIFS('Daily BSE Equity Cash'!$H:$H,'Daily BSE Equity Cash'!$A:$A,$A1165)=0,"",SUMIFS('Daily BSE Equity Cash'!$H:$H,'Daily BSE Equity Cash'!$A:$A,$A1165))</f>
        <v/>
      </c>
      <c r="G1165" s="4">
        <f>IF(OR(E1165="",F1165=""),"",E1165+F1165)</f>
        <v/>
      </c>
      <c r="H1165" s="7">
        <f>IFERROR(IF(OR(E1165="",INDEX(E:E,MATCH(DATE(YEAR($A1165)-1,MONTH($A1165),DAY($A1165)),$A:$A,0))=""),"",E1165/INDEX(E:E,MATCH(DATE(YEAR($A1165)-1,MONTH($A1165),DAY($A1165)),$A:$A,0))-1),"")</f>
        <v/>
      </c>
      <c r="I1165" s="7">
        <f>IFERROR(IF(OR(F1165="",INDEX(F:F,MATCH(DATE(YEAR($A1165)-1,MONTH($A1165),DAY($A1165)),$A:$A,0))=""),"",F1165/INDEX(F:F,MATCH(DATE(YEAR($A1165)-1,MONTH($A1165),DAY($A1165)),$A:$A,0))-1),"")</f>
        <v/>
      </c>
      <c r="J1165" s="7">
        <f>IFERROR(IF(OR(G1165="",INDEX(G:G,MATCH(DATE(YEAR($A1165)-1,MONTH($A1165),DAY($A1165)),$A:$A,0))=""),"",G1165/INDEX(G:G,MATCH(DATE(YEAR($A1165)-1,MONTH($A1165),DAY($A1165)),$A:$A,0))-1),"")</f>
        <v/>
      </c>
      <c r="K1165" s="7">
        <f>IF(OR(E1165="",E1164=""),"",E1165/E1164-1)</f>
        <v/>
      </c>
      <c r="L1165" s="7">
        <f>IF(OR(F1165="",F1164=""),"",F1165/F1164-1)</f>
        <v/>
      </c>
      <c r="M1165" s="7">
        <f>IF(OR(G1165="",G1164=""),"",G1165/G1164-1)</f>
        <v/>
      </c>
      <c r="N1165" s="7">
        <f>IF(G1165="","",E1165/G1165)</f>
        <v/>
      </c>
      <c r="O1165" s="7">
        <f>IF(G1165="","",F1165/G1165)</f>
        <v/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4">
        <f>IF(SUMIFS('Daily NSE Equity Cash'!$H:$H,'Daily NSE Equity Cash'!$A:$A,$A1166)=0,"",SUMIFS('Daily NSE Equity Cash'!$H:$H,'Daily NSE Equity Cash'!$A:$A,$A1166))</f>
        <v/>
      </c>
      <c r="F1166" s="4">
        <f>IF(SUMIFS('Daily BSE Equity Cash'!$H:$H,'Daily BSE Equity Cash'!$A:$A,$A1166)=0,"",SUMIFS('Daily BSE Equity Cash'!$H:$H,'Daily BSE Equity Cash'!$A:$A,$A1166))</f>
        <v/>
      </c>
      <c r="G1166" s="4">
        <f>IF(OR(E1166="",F1166=""),"",E1166+F1166)</f>
        <v/>
      </c>
      <c r="H1166" s="7">
        <f>IFERROR(IF(OR(E1166="",INDEX(E:E,MATCH(DATE(YEAR($A1166)-1,MONTH($A1166),DAY($A1166)),$A:$A,0))=""),"",E1166/INDEX(E:E,MATCH(DATE(YEAR($A1166)-1,MONTH($A1166),DAY($A1166)),$A:$A,0))-1),"")</f>
        <v/>
      </c>
      <c r="I1166" s="7">
        <f>IFERROR(IF(OR(F1166="",INDEX(F:F,MATCH(DATE(YEAR($A1166)-1,MONTH($A1166),DAY($A1166)),$A:$A,0))=""),"",F1166/INDEX(F:F,MATCH(DATE(YEAR($A1166)-1,MONTH($A1166),DAY($A1166)),$A:$A,0))-1),"")</f>
        <v/>
      </c>
      <c r="J1166" s="7">
        <f>IFERROR(IF(OR(G1166="",INDEX(G:G,MATCH(DATE(YEAR($A1166)-1,MONTH($A1166),DAY($A1166)),$A:$A,0))=""),"",G1166/INDEX(G:G,MATCH(DATE(YEAR($A1166)-1,MONTH($A1166),DAY($A1166)),$A:$A,0))-1),"")</f>
        <v/>
      </c>
      <c r="K1166" s="7">
        <f>IF(OR(E1166="",E1165=""),"",E1166/E1165-1)</f>
        <v/>
      </c>
      <c r="L1166" s="7">
        <f>IF(OR(F1166="",F1165=""),"",F1166/F1165-1)</f>
        <v/>
      </c>
      <c r="M1166" s="7">
        <f>IF(OR(G1166="",G1165=""),"",G1166/G1165-1)</f>
        <v/>
      </c>
      <c r="N1166" s="7">
        <f>IF(G1166="","",E1166/G1166)</f>
        <v/>
      </c>
      <c r="O1166" s="7">
        <f>IF(G1166="","",F1166/G1166)</f>
        <v/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4">
        <f>IF(SUMIFS('Daily NSE Equity Cash'!$H:$H,'Daily NSE Equity Cash'!$A:$A,$A1167)=0,"",SUMIFS('Daily NSE Equity Cash'!$H:$H,'Daily NSE Equity Cash'!$A:$A,$A1167))</f>
        <v/>
      </c>
      <c r="F1167" s="4">
        <f>IF(SUMIFS('Daily BSE Equity Cash'!$H:$H,'Daily BSE Equity Cash'!$A:$A,$A1167)=0,"",SUMIFS('Daily BSE Equity Cash'!$H:$H,'Daily BSE Equity Cash'!$A:$A,$A1167))</f>
        <v/>
      </c>
      <c r="G1167" s="4">
        <f>IF(OR(E1167="",F1167=""),"",E1167+F1167)</f>
        <v/>
      </c>
      <c r="H1167" s="7">
        <f>IFERROR(IF(OR(E1167="",INDEX(E:E,MATCH(DATE(YEAR($A1167)-1,MONTH($A1167),DAY($A1167)),$A:$A,0))=""),"",E1167/INDEX(E:E,MATCH(DATE(YEAR($A1167)-1,MONTH($A1167),DAY($A1167)),$A:$A,0))-1),"")</f>
        <v/>
      </c>
      <c r="I1167" s="7">
        <f>IFERROR(IF(OR(F1167="",INDEX(F:F,MATCH(DATE(YEAR($A1167)-1,MONTH($A1167),DAY($A1167)),$A:$A,0))=""),"",F1167/INDEX(F:F,MATCH(DATE(YEAR($A1167)-1,MONTH($A1167),DAY($A1167)),$A:$A,0))-1),"")</f>
        <v/>
      </c>
      <c r="J1167" s="7">
        <f>IFERROR(IF(OR(G1167="",INDEX(G:G,MATCH(DATE(YEAR($A1167)-1,MONTH($A1167),DAY($A1167)),$A:$A,0))=""),"",G1167/INDEX(G:G,MATCH(DATE(YEAR($A1167)-1,MONTH($A1167),DAY($A1167)),$A:$A,0))-1),"")</f>
        <v/>
      </c>
      <c r="K1167" s="7">
        <f>IF(OR(E1167="",E1166=""),"",E1167/E1166-1)</f>
        <v/>
      </c>
      <c r="L1167" s="7">
        <f>IF(OR(F1167="",F1166=""),"",F1167/F1166-1)</f>
        <v/>
      </c>
      <c r="M1167" s="7">
        <f>IF(OR(G1167="",G1166=""),"",G1167/G1166-1)</f>
        <v/>
      </c>
      <c r="N1167" s="7">
        <f>IF(G1167="","",E1167/G1167)</f>
        <v/>
      </c>
      <c r="O1167" s="7">
        <f>IF(G1167="","",F1167/G1167)</f>
        <v/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4">
        <f>IF(SUMIFS('Daily NSE Equity Cash'!$H:$H,'Daily NSE Equity Cash'!$A:$A,$A1168)=0,"",SUMIFS('Daily NSE Equity Cash'!$H:$H,'Daily NSE Equity Cash'!$A:$A,$A1168))</f>
        <v/>
      </c>
      <c r="F1168" s="4">
        <f>IF(SUMIFS('Daily BSE Equity Cash'!$H:$H,'Daily BSE Equity Cash'!$A:$A,$A1168)=0,"",SUMIFS('Daily BSE Equity Cash'!$H:$H,'Daily BSE Equity Cash'!$A:$A,$A1168))</f>
        <v/>
      </c>
      <c r="G1168" s="4">
        <f>IF(OR(E1168="",F1168=""),"",E1168+F1168)</f>
        <v/>
      </c>
      <c r="H1168" s="7">
        <f>IFERROR(IF(OR(E1168="",INDEX(E:E,MATCH(DATE(YEAR($A1168)-1,MONTH($A1168),DAY($A1168)),$A:$A,0))=""),"",E1168/INDEX(E:E,MATCH(DATE(YEAR($A1168)-1,MONTH($A1168),DAY($A1168)),$A:$A,0))-1),"")</f>
        <v/>
      </c>
      <c r="I1168" s="7">
        <f>IFERROR(IF(OR(F1168="",INDEX(F:F,MATCH(DATE(YEAR($A1168)-1,MONTH($A1168),DAY($A1168)),$A:$A,0))=""),"",F1168/INDEX(F:F,MATCH(DATE(YEAR($A1168)-1,MONTH($A1168),DAY($A1168)),$A:$A,0))-1),"")</f>
        <v/>
      </c>
      <c r="J1168" s="7">
        <f>IFERROR(IF(OR(G1168="",INDEX(G:G,MATCH(DATE(YEAR($A1168)-1,MONTH($A1168),DAY($A1168)),$A:$A,0))=""),"",G1168/INDEX(G:G,MATCH(DATE(YEAR($A1168)-1,MONTH($A1168),DAY($A1168)),$A:$A,0))-1),"")</f>
        <v/>
      </c>
      <c r="K1168" s="7">
        <f>IF(OR(E1168="",E1167=""),"",E1168/E1167-1)</f>
        <v/>
      </c>
      <c r="L1168" s="7">
        <f>IF(OR(F1168="",F1167=""),"",F1168/F1167-1)</f>
        <v/>
      </c>
      <c r="M1168" s="7">
        <f>IF(OR(G1168="",G1167=""),"",G1168/G1167-1)</f>
        <v/>
      </c>
      <c r="N1168" s="7">
        <f>IF(G1168="","",E1168/G1168)</f>
        <v/>
      </c>
      <c r="O1168" s="7">
        <f>IF(G1168="","",F1168/G1168)</f>
        <v/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4">
        <f>IF(SUMIFS('Daily NSE Equity Cash'!$H:$H,'Daily NSE Equity Cash'!$A:$A,$A1169)=0,"",SUMIFS('Daily NSE Equity Cash'!$H:$H,'Daily NSE Equity Cash'!$A:$A,$A1169))</f>
        <v/>
      </c>
      <c r="F1169" s="4">
        <f>IF(SUMIFS('Daily BSE Equity Cash'!$H:$H,'Daily BSE Equity Cash'!$A:$A,$A1169)=0,"",SUMIFS('Daily BSE Equity Cash'!$H:$H,'Daily BSE Equity Cash'!$A:$A,$A1169))</f>
        <v/>
      </c>
      <c r="G1169" s="4">
        <f>IF(OR(E1169="",F1169=""),"",E1169+F1169)</f>
        <v/>
      </c>
      <c r="H1169" s="7">
        <f>IFERROR(IF(OR(E1169="",INDEX(E:E,MATCH(DATE(YEAR($A1169)-1,MONTH($A1169),DAY($A1169)),$A:$A,0))=""),"",E1169/INDEX(E:E,MATCH(DATE(YEAR($A1169)-1,MONTH($A1169),DAY($A1169)),$A:$A,0))-1),"")</f>
        <v/>
      </c>
      <c r="I1169" s="7">
        <f>IFERROR(IF(OR(F1169="",INDEX(F:F,MATCH(DATE(YEAR($A1169)-1,MONTH($A1169),DAY($A1169)),$A:$A,0))=""),"",F1169/INDEX(F:F,MATCH(DATE(YEAR($A1169)-1,MONTH($A1169),DAY($A1169)),$A:$A,0))-1),"")</f>
        <v/>
      </c>
      <c r="J1169" s="7">
        <f>IFERROR(IF(OR(G1169="",INDEX(G:G,MATCH(DATE(YEAR($A1169)-1,MONTH($A1169),DAY($A1169)),$A:$A,0))=""),"",G1169/INDEX(G:G,MATCH(DATE(YEAR($A1169)-1,MONTH($A1169),DAY($A1169)),$A:$A,0))-1),"")</f>
        <v/>
      </c>
      <c r="K1169" s="7">
        <f>IF(OR(E1169="",E1168=""),"",E1169/E1168-1)</f>
        <v/>
      </c>
      <c r="L1169" s="7">
        <f>IF(OR(F1169="",F1168=""),"",F1169/F1168-1)</f>
        <v/>
      </c>
      <c r="M1169" s="7">
        <f>IF(OR(G1169="",G1168=""),"",G1169/G1168-1)</f>
        <v/>
      </c>
      <c r="N1169" s="7">
        <f>IF(G1169="","",E1169/G1169)</f>
        <v/>
      </c>
      <c r="O1169" s="7">
        <f>IF(G1169="","",F1169/G1169)</f>
        <v/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4">
        <f>IF(SUMIFS('Daily NSE Equity Cash'!$H:$H,'Daily NSE Equity Cash'!$A:$A,$A1170)=0,"",SUMIFS('Daily NSE Equity Cash'!$H:$H,'Daily NSE Equity Cash'!$A:$A,$A1170))</f>
        <v/>
      </c>
      <c r="F1170" s="4">
        <f>IF(SUMIFS('Daily BSE Equity Cash'!$H:$H,'Daily BSE Equity Cash'!$A:$A,$A1170)=0,"",SUMIFS('Daily BSE Equity Cash'!$H:$H,'Daily BSE Equity Cash'!$A:$A,$A1170))</f>
        <v/>
      </c>
      <c r="G1170" s="4">
        <f>IF(OR(E1170="",F1170=""),"",E1170+F1170)</f>
        <v/>
      </c>
      <c r="H1170" s="7">
        <f>IFERROR(IF(OR(E1170="",INDEX(E:E,MATCH(DATE(YEAR($A1170)-1,MONTH($A1170),DAY($A1170)),$A:$A,0))=""),"",E1170/INDEX(E:E,MATCH(DATE(YEAR($A1170)-1,MONTH($A1170),DAY($A1170)),$A:$A,0))-1),"")</f>
        <v/>
      </c>
      <c r="I1170" s="7">
        <f>IFERROR(IF(OR(F1170="",INDEX(F:F,MATCH(DATE(YEAR($A1170)-1,MONTH($A1170),DAY($A1170)),$A:$A,0))=""),"",F1170/INDEX(F:F,MATCH(DATE(YEAR($A1170)-1,MONTH($A1170),DAY($A1170)),$A:$A,0))-1),"")</f>
        <v/>
      </c>
      <c r="J1170" s="7">
        <f>IFERROR(IF(OR(G1170="",INDEX(G:G,MATCH(DATE(YEAR($A1170)-1,MONTH($A1170),DAY($A1170)),$A:$A,0))=""),"",G1170/INDEX(G:G,MATCH(DATE(YEAR($A1170)-1,MONTH($A1170),DAY($A1170)),$A:$A,0))-1),"")</f>
        <v/>
      </c>
      <c r="K1170" s="7">
        <f>IF(OR(E1170="",E1169=""),"",E1170/E1169-1)</f>
        <v/>
      </c>
      <c r="L1170" s="7">
        <f>IF(OR(F1170="",F1169=""),"",F1170/F1169-1)</f>
        <v/>
      </c>
      <c r="M1170" s="7">
        <f>IF(OR(G1170="",G1169=""),"",G1170/G1169-1)</f>
        <v/>
      </c>
      <c r="N1170" s="7">
        <f>IF(G1170="","",E1170/G1170)</f>
        <v/>
      </c>
      <c r="O1170" s="7">
        <f>IF(G1170="","",F1170/G1170)</f>
        <v/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4">
        <f>IF(SUMIFS('Daily NSE Equity Cash'!$H:$H,'Daily NSE Equity Cash'!$A:$A,$A1171)=0,"",SUMIFS('Daily NSE Equity Cash'!$H:$H,'Daily NSE Equity Cash'!$A:$A,$A1171))</f>
        <v/>
      </c>
      <c r="F1171" s="4">
        <f>IF(SUMIFS('Daily BSE Equity Cash'!$H:$H,'Daily BSE Equity Cash'!$A:$A,$A1171)=0,"",SUMIFS('Daily BSE Equity Cash'!$H:$H,'Daily BSE Equity Cash'!$A:$A,$A1171))</f>
        <v/>
      </c>
      <c r="G1171" s="4">
        <f>IF(OR(E1171="",F1171=""),"",E1171+F1171)</f>
        <v/>
      </c>
      <c r="H1171" s="7">
        <f>IFERROR(IF(OR(E1171="",INDEX(E:E,MATCH(DATE(YEAR($A1171)-1,MONTH($A1171),DAY($A1171)),$A:$A,0))=""),"",E1171/INDEX(E:E,MATCH(DATE(YEAR($A1171)-1,MONTH($A1171),DAY($A1171)),$A:$A,0))-1),"")</f>
        <v/>
      </c>
      <c r="I1171" s="7">
        <f>IFERROR(IF(OR(F1171="",INDEX(F:F,MATCH(DATE(YEAR($A1171)-1,MONTH($A1171),DAY($A1171)),$A:$A,0))=""),"",F1171/INDEX(F:F,MATCH(DATE(YEAR($A1171)-1,MONTH($A1171),DAY($A1171)),$A:$A,0))-1),"")</f>
        <v/>
      </c>
      <c r="J1171" s="7">
        <f>IFERROR(IF(OR(G1171="",INDEX(G:G,MATCH(DATE(YEAR($A1171)-1,MONTH($A1171),DAY($A1171)),$A:$A,0))=""),"",G1171/INDEX(G:G,MATCH(DATE(YEAR($A1171)-1,MONTH($A1171),DAY($A1171)),$A:$A,0))-1),"")</f>
        <v/>
      </c>
      <c r="K1171" s="7">
        <f>IF(OR(E1171="",E1170=""),"",E1171/E1170-1)</f>
        <v/>
      </c>
      <c r="L1171" s="7">
        <f>IF(OR(F1171="",F1170=""),"",F1171/F1170-1)</f>
        <v/>
      </c>
      <c r="M1171" s="7">
        <f>IF(OR(G1171="",G1170=""),"",G1171/G1170-1)</f>
        <v/>
      </c>
      <c r="N1171" s="7">
        <f>IF(G1171="","",E1171/G1171)</f>
        <v/>
      </c>
      <c r="O1171" s="7">
        <f>IF(G1171="","",F1171/G1171)</f>
        <v/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4">
        <f>IF(SUMIFS('Daily NSE Equity Cash'!$H:$H,'Daily NSE Equity Cash'!$A:$A,$A1172)=0,"",SUMIFS('Daily NSE Equity Cash'!$H:$H,'Daily NSE Equity Cash'!$A:$A,$A1172))</f>
        <v/>
      </c>
      <c r="F1172" s="4">
        <f>IF(SUMIFS('Daily BSE Equity Cash'!$H:$H,'Daily BSE Equity Cash'!$A:$A,$A1172)=0,"",SUMIFS('Daily BSE Equity Cash'!$H:$H,'Daily BSE Equity Cash'!$A:$A,$A1172))</f>
        <v/>
      </c>
      <c r="G1172" s="4">
        <f>IF(OR(E1172="",F1172=""),"",E1172+F1172)</f>
        <v/>
      </c>
      <c r="H1172" s="7">
        <f>IFERROR(IF(OR(E1172="",INDEX(E:E,MATCH(DATE(YEAR($A1172)-1,MONTH($A1172),DAY($A1172)),$A:$A,0))=""),"",E1172/INDEX(E:E,MATCH(DATE(YEAR($A1172)-1,MONTH($A1172),DAY($A1172)),$A:$A,0))-1),"")</f>
        <v/>
      </c>
      <c r="I1172" s="7">
        <f>IFERROR(IF(OR(F1172="",INDEX(F:F,MATCH(DATE(YEAR($A1172)-1,MONTH($A1172),DAY($A1172)),$A:$A,0))=""),"",F1172/INDEX(F:F,MATCH(DATE(YEAR($A1172)-1,MONTH($A1172),DAY($A1172)),$A:$A,0))-1),"")</f>
        <v/>
      </c>
      <c r="J1172" s="7">
        <f>IFERROR(IF(OR(G1172="",INDEX(G:G,MATCH(DATE(YEAR($A1172)-1,MONTH($A1172),DAY($A1172)),$A:$A,0))=""),"",G1172/INDEX(G:G,MATCH(DATE(YEAR($A1172)-1,MONTH($A1172),DAY($A1172)),$A:$A,0))-1),"")</f>
        <v/>
      </c>
      <c r="K1172" s="7">
        <f>IF(OR(E1172="",E1171=""),"",E1172/E1171-1)</f>
        <v/>
      </c>
      <c r="L1172" s="7">
        <f>IF(OR(F1172="",F1171=""),"",F1172/F1171-1)</f>
        <v/>
      </c>
      <c r="M1172" s="7">
        <f>IF(OR(G1172="",G1171=""),"",G1172/G1171-1)</f>
        <v/>
      </c>
      <c r="N1172" s="7">
        <f>IF(G1172="","",E1172/G1172)</f>
        <v/>
      </c>
      <c r="O1172" s="7">
        <f>IF(G1172="","",F1172/G1172)</f>
        <v/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4">
        <f>IF(SUMIFS('Daily NSE Equity Cash'!$H:$H,'Daily NSE Equity Cash'!$A:$A,$A1173)=0,"",SUMIFS('Daily NSE Equity Cash'!$H:$H,'Daily NSE Equity Cash'!$A:$A,$A1173))</f>
        <v/>
      </c>
      <c r="F1173" s="4">
        <f>IF(SUMIFS('Daily BSE Equity Cash'!$H:$H,'Daily BSE Equity Cash'!$A:$A,$A1173)=0,"",SUMIFS('Daily BSE Equity Cash'!$H:$H,'Daily BSE Equity Cash'!$A:$A,$A1173))</f>
        <v/>
      </c>
      <c r="G1173" s="4">
        <f>IF(OR(E1173="",F1173=""),"",E1173+F1173)</f>
        <v/>
      </c>
      <c r="H1173" s="7">
        <f>IFERROR(IF(OR(E1173="",INDEX(E:E,MATCH(DATE(YEAR($A1173)-1,MONTH($A1173),DAY($A1173)),$A:$A,0))=""),"",E1173/INDEX(E:E,MATCH(DATE(YEAR($A1173)-1,MONTH($A1173),DAY($A1173)),$A:$A,0))-1),"")</f>
        <v/>
      </c>
      <c r="I1173" s="7">
        <f>IFERROR(IF(OR(F1173="",INDEX(F:F,MATCH(DATE(YEAR($A1173)-1,MONTH($A1173),DAY($A1173)),$A:$A,0))=""),"",F1173/INDEX(F:F,MATCH(DATE(YEAR($A1173)-1,MONTH($A1173),DAY($A1173)),$A:$A,0))-1),"")</f>
        <v/>
      </c>
      <c r="J1173" s="7">
        <f>IFERROR(IF(OR(G1173="",INDEX(G:G,MATCH(DATE(YEAR($A1173)-1,MONTH($A1173),DAY($A1173)),$A:$A,0))=""),"",G1173/INDEX(G:G,MATCH(DATE(YEAR($A1173)-1,MONTH($A1173),DAY($A1173)),$A:$A,0))-1),"")</f>
        <v/>
      </c>
      <c r="K1173" s="7">
        <f>IF(OR(E1173="",E1172=""),"",E1173/E1172-1)</f>
        <v/>
      </c>
      <c r="L1173" s="7">
        <f>IF(OR(F1173="",F1172=""),"",F1173/F1172-1)</f>
        <v/>
      </c>
      <c r="M1173" s="7">
        <f>IF(OR(G1173="",G1172=""),"",G1173/G1172-1)</f>
        <v/>
      </c>
      <c r="N1173" s="7">
        <f>IF(G1173="","",E1173/G1173)</f>
        <v/>
      </c>
      <c r="O1173" s="7">
        <f>IF(G1173="","",F1173/G1173)</f>
        <v/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4">
        <f>IF(SUMIFS('Daily NSE Equity Cash'!$H:$H,'Daily NSE Equity Cash'!$A:$A,$A1174)=0,"",SUMIFS('Daily NSE Equity Cash'!$H:$H,'Daily NSE Equity Cash'!$A:$A,$A1174))</f>
        <v/>
      </c>
      <c r="F1174" s="4">
        <f>IF(SUMIFS('Daily BSE Equity Cash'!$H:$H,'Daily BSE Equity Cash'!$A:$A,$A1174)=0,"",SUMIFS('Daily BSE Equity Cash'!$H:$H,'Daily BSE Equity Cash'!$A:$A,$A1174))</f>
        <v/>
      </c>
      <c r="G1174" s="4">
        <f>IF(OR(E1174="",F1174=""),"",E1174+F1174)</f>
        <v/>
      </c>
      <c r="H1174" s="7">
        <f>IFERROR(IF(OR(E1174="",INDEX(E:E,MATCH(DATE(YEAR($A1174)-1,MONTH($A1174),DAY($A1174)),$A:$A,0))=""),"",E1174/INDEX(E:E,MATCH(DATE(YEAR($A1174)-1,MONTH($A1174),DAY($A1174)),$A:$A,0))-1),"")</f>
        <v/>
      </c>
      <c r="I1174" s="7">
        <f>IFERROR(IF(OR(F1174="",INDEX(F:F,MATCH(DATE(YEAR($A1174)-1,MONTH($A1174),DAY($A1174)),$A:$A,0))=""),"",F1174/INDEX(F:F,MATCH(DATE(YEAR($A1174)-1,MONTH($A1174),DAY($A1174)),$A:$A,0))-1),"")</f>
        <v/>
      </c>
      <c r="J1174" s="7">
        <f>IFERROR(IF(OR(G1174="",INDEX(G:G,MATCH(DATE(YEAR($A1174)-1,MONTH($A1174),DAY($A1174)),$A:$A,0))=""),"",G1174/INDEX(G:G,MATCH(DATE(YEAR($A1174)-1,MONTH($A1174),DAY($A1174)),$A:$A,0))-1),"")</f>
        <v/>
      </c>
      <c r="K1174" s="7">
        <f>IF(OR(E1174="",E1173=""),"",E1174/E1173-1)</f>
        <v/>
      </c>
      <c r="L1174" s="7">
        <f>IF(OR(F1174="",F1173=""),"",F1174/F1173-1)</f>
        <v/>
      </c>
      <c r="M1174" s="7">
        <f>IF(OR(G1174="",G1173=""),"",G1174/G1173-1)</f>
        <v/>
      </c>
      <c r="N1174" s="7">
        <f>IF(G1174="","",E1174/G1174)</f>
        <v/>
      </c>
      <c r="O1174" s="7">
        <f>IF(G1174="","",F1174/G1174)</f>
        <v/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4">
        <f>IF(SUMIFS('Daily NSE Equity Cash'!$H:$H,'Daily NSE Equity Cash'!$A:$A,$A1175)=0,"",SUMIFS('Daily NSE Equity Cash'!$H:$H,'Daily NSE Equity Cash'!$A:$A,$A1175))</f>
        <v/>
      </c>
      <c r="F1175" s="4">
        <f>IF(SUMIFS('Daily BSE Equity Cash'!$H:$H,'Daily BSE Equity Cash'!$A:$A,$A1175)=0,"",SUMIFS('Daily BSE Equity Cash'!$H:$H,'Daily BSE Equity Cash'!$A:$A,$A1175))</f>
        <v/>
      </c>
      <c r="G1175" s="4">
        <f>IF(OR(E1175="",F1175=""),"",E1175+F1175)</f>
        <v/>
      </c>
      <c r="H1175" s="7">
        <f>IFERROR(IF(OR(E1175="",INDEX(E:E,MATCH(DATE(YEAR($A1175)-1,MONTH($A1175),DAY($A1175)),$A:$A,0))=""),"",E1175/INDEX(E:E,MATCH(DATE(YEAR($A1175)-1,MONTH($A1175),DAY($A1175)),$A:$A,0))-1),"")</f>
        <v/>
      </c>
      <c r="I1175" s="7">
        <f>IFERROR(IF(OR(F1175="",INDEX(F:F,MATCH(DATE(YEAR($A1175)-1,MONTH($A1175),DAY($A1175)),$A:$A,0))=""),"",F1175/INDEX(F:F,MATCH(DATE(YEAR($A1175)-1,MONTH($A1175),DAY($A1175)),$A:$A,0))-1),"")</f>
        <v/>
      </c>
      <c r="J1175" s="7">
        <f>IFERROR(IF(OR(G1175="",INDEX(G:G,MATCH(DATE(YEAR($A1175)-1,MONTH($A1175),DAY($A1175)),$A:$A,0))=""),"",G1175/INDEX(G:G,MATCH(DATE(YEAR($A1175)-1,MONTH($A1175),DAY($A1175)),$A:$A,0))-1),"")</f>
        <v/>
      </c>
      <c r="K1175" s="7">
        <f>IF(OR(E1175="",E1174=""),"",E1175/E1174-1)</f>
        <v/>
      </c>
      <c r="L1175" s="7">
        <f>IF(OR(F1175="",F1174=""),"",F1175/F1174-1)</f>
        <v/>
      </c>
      <c r="M1175" s="7">
        <f>IF(OR(G1175="",G1174=""),"",G1175/G1174-1)</f>
        <v/>
      </c>
      <c r="N1175" s="7">
        <f>IF(G1175="","",E1175/G1175)</f>
        <v/>
      </c>
      <c r="O1175" s="7">
        <f>IF(G1175="","",F1175/G1175)</f>
        <v/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4">
        <f>IF(SUMIFS('Daily NSE Equity Cash'!$H:$H,'Daily NSE Equity Cash'!$A:$A,$A1176)=0,"",SUMIFS('Daily NSE Equity Cash'!$H:$H,'Daily NSE Equity Cash'!$A:$A,$A1176))</f>
        <v/>
      </c>
      <c r="F1176" s="4">
        <f>IF(SUMIFS('Daily BSE Equity Cash'!$H:$H,'Daily BSE Equity Cash'!$A:$A,$A1176)=0,"",SUMIFS('Daily BSE Equity Cash'!$H:$H,'Daily BSE Equity Cash'!$A:$A,$A1176))</f>
        <v/>
      </c>
      <c r="G1176" s="4">
        <f>IF(OR(E1176="",F1176=""),"",E1176+F1176)</f>
        <v/>
      </c>
      <c r="H1176" s="7">
        <f>IFERROR(IF(OR(E1176="",INDEX(E:E,MATCH(DATE(YEAR($A1176)-1,MONTH($A1176),DAY($A1176)),$A:$A,0))=""),"",E1176/INDEX(E:E,MATCH(DATE(YEAR($A1176)-1,MONTH($A1176),DAY($A1176)),$A:$A,0))-1),"")</f>
        <v/>
      </c>
      <c r="I1176" s="7">
        <f>IFERROR(IF(OR(F1176="",INDEX(F:F,MATCH(DATE(YEAR($A1176)-1,MONTH($A1176),DAY($A1176)),$A:$A,0))=""),"",F1176/INDEX(F:F,MATCH(DATE(YEAR($A1176)-1,MONTH($A1176),DAY($A1176)),$A:$A,0))-1),"")</f>
        <v/>
      </c>
      <c r="J1176" s="7">
        <f>IFERROR(IF(OR(G1176="",INDEX(G:G,MATCH(DATE(YEAR($A1176)-1,MONTH($A1176),DAY($A1176)),$A:$A,0))=""),"",G1176/INDEX(G:G,MATCH(DATE(YEAR($A1176)-1,MONTH($A1176),DAY($A1176)),$A:$A,0))-1),"")</f>
        <v/>
      </c>
      <c r="K1176" s="7">
        <f>IF(OR(E1176="",E1175=""),"",E1176/E1175-1)</f>
        <v/>
      </c>
      <c r="L1176" s="7">
        <f>IF(OR(F1176="",F1175=""),"",F1176/F1175-1)</f>
        <v/>
      </c>
      <c r="M1176" s="7">
        <f>IF(OR(G1176="",G1175=""),"",G1176/G1175-1)</f>
        <v/>
      </c>
      <c r="N1176" s="7">
        <f>IF(G1176="","",E1176/G1176)</f>
        <v/>
      </c>
      <c r="O1176" s="7">
        <f>IF(G1176="","",F1176/G1176)</f>
        <v/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4">
        <f>IF(SUMIFS('Daily NSE Equity Cash'!$H:$H,'Daily NSE Equity Cash'!$A:$A,$A1177)=0,"",SUMIFS('Daily NSE Equity Cash'!$H:$H,'Daily NSE Equity Cash'!$A:$A,$A1177))</f>
        <v/>
      </c>
      <c r="F1177" s="4">
        <f>IF(SUMIFS('Daily BSE Equity Cash'!$H:$H,'Daily BSE Equity Cash'!$A:$A,$A1177)=0,"",SUMIFS('Daily BSE Equity Cash'!$H:$H,'Daily BSE Equity Cash'!$A:$A,$A1177))</f>
        <v/>
      </c>
      <c r="G1177" s="4">
        <f>IF(OR(E1177="",F1177=""),"",E1177+F1177)</f>
        <v/>
      </c>
      <c r="H1177" s="7">
        <f>IFERROR(IF(OR(E1177="",INDEX(E:E,MATCH(DATE(YEAR($A1177)-1,MONTH($A1177),DAY($A1177)),$A:$A,0))=""),"",E1177/INDEX(E:E,MATCH(DATE(YEAR($A1177)-1,MONTH($A1177),DAY($A1177)),$A:$A,0))-1),"")</f>
        <v/>
      </c>
      <c r="I1177" s="7">
        <f>IFERROR(IF(OR(F1177="",INDEX(F:F,MATCH(DATE(YEAR($A1177)-1,MONTH($A1177),DAY($A1177)),$A:$A,0))=""),"",F1177/INDEX(F:F,MATCH(DATE(YEAR($A1177)-1,MONTH($A1177),DAY($A1177)),$A:$A,0))-1),"")</f>
        <v/>
      </c>
      <c r="J1177" s="7">
        <f>IFERROR(IF(OR(G1177="",INDEX(G:G,MATCH(DATE(YEAR($A1177)-1,MONTH($A1177),DAY($A1177)),$A:$A,0))=""),"",G1177/INDEX(G:G,MATCH(DATE(YEAR($A1177)-1,MONTH($A1177),DAY($A1177)),$A:$A,0))-1),"")</f>
        <v/>
      </c>
      <c r="K1177" s="7">
        <f>IF(OR(E1177="",E1176=""),"",E1177/E1176-1)</f>
        <v/>
      </c>
      <c r="L1177" s="7">
        <f>IF(OR(F1177="",F1176=""),"",F1177/F1176-1)</f>
        <v/>
      </c>
      <c r="M1177" s="7">
        <f>IF(OR(G1177="",G1176=""),"",G1177/G1176-1)</f>
        <v/>
      </c>
      <c r="N1177" s="7">
        <f>IF(G1177="","",E1177/G1177)</f>
        <v/>
      </c>
      <c r="O1177" s="7">
        <f>IF(G1177="","",F1177/G1177)</f>
        <v/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4">
        <f>IF(SUMIFS('Daily NSE Equity Cash'!$H:$H,'Daily NSE Equity Cash'!$A:$A,$A1178)=0,"",SUMIFS('Daily NSE Equity Cash'!$H:$H,'Daily NSE Equity Cash'!$A:$A,$A1178))</f>
        <v/>
      </c>
      <c r="F1178" s="4">
        <f>IF(SUMIFS('Daily BSE Equity Cash'!$H:$H,'Daily BSE Equity Cash'!$A:$A,$A1178)=0,"",SUMIFS('Daily BSE Equity Cash'!$H:$H,'Daily BSE Equity Cash'!$A:$A,$A1178))</f>
        <v/>
      </c>
      <c r="G1178" s="4">
        <f>IF(OR(E1178="",F1178=""),"",E1178+F1178)</f>
        <v/>
      </c>
      <c r="H1178" s="7">
        <f>IFERROR(IF(OR(E1178="",INDEX(E:E,MATCH(DATE(YEAR($A1178)-1,MONTH($A1178),DAY($A1178)),$A:$A,0))=""),"",E1178/INDEX(E:E,MATCH(DATE(YEAR($A1178)-1,MONTH($A1178),DAY($A1178)),$A:$A,0))-1),"")</f>
        <v/>
      </c>
      <c r="I1178" s="7">
        <f>IFERROR(IF(OR(F1178="",INDEX(F:F,MATCH(DATE(YEAR($A1178)-1,MONTH($A1178),DAY($A1178)),$A:$A,0))=""),"",F1178/INDEX(F:F,MATCH(DATE(YEAR($A1178)-1,MONTH($A1178),DAY($A1178)),$A:$A,0))-1),"")</f>
        <v/>
      </c>
      <c r="J1178" s="7">
        <f>IFERROR(IF(OR(G1178="",INDEX(G:G,MATCH(DATE(YEAR($A1178)-1,MONTH($A1178),DAY($A1178)),$A:$A,0))=""),"",G1178/INDEX(G:G,MATCH(DATE(YEAR($A1178)-1,MONTH($A1178),DAY($A1178)),$A:$A,0))-1),"")</f>
        <v/>
      </c>
      <c r="K1178" s="7">
        <f>IF(OR(E1178="",E1177=""),"",E1178/E1177-1)</f>
        <v/>
      </c>
      <c r="L1178" s="7">
        <f>IF(OR(F1178="",F1177=""),"",F1178/F1177-1)</f>
        <v/>
      </c>
      <c r="M1178" s="7">
        <f>IF(OR(G1178="",G1177=""),"",G1178/G1177-1)</f>
        <v/>
      </c>
      <c r="N1178" s="7">
        <f>IF(G1178="","",E1178/G1178)</f>
        <v/>
      </c>
      <c r="O1178" s="7">
        <f>IF(G1178="","",F1178/G1178)</f>
        <v/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4">
        <f>IF(SUMIFS('Daily NSE Equity Cash'!$H:$H,'Daily NSE Equity Cash'!$A:$A,$A1179)=0,"",SUMIFS('Daily NSE Equity Cash'!$H:$H,'Daily NSE Equity Cash'!$A:$A,$A1179))</f>
        <v/>
      </c>
      <c r="F1179" s="4">
        <f>IF(SUMIFS('Daily BSE Equity Cash'!$H:$H,'Daily BSE Equity Cash'!$A:$A,$A1179)=0,"",SUMIFS('Daily BSE Equity Cash'!$H:$H,'Daily BSE Equity Cash'!$A:$A,$A1179))</f>
        <v/>
      </c>
      <c r="G1179" s="4">
        <f>IF(OR(E1179="",F1179=""),"",E1179+F1179)</f>
        <v/>
      </c>
      <c r="H1179" s="7">
        <f>IFERROR(IF(OR(E1179="",INDEX(E:E,MATCH(DATE(YEAR($A1179)-1,MONTH($A1179),DAY($A1179)),$A:$A,0))=""),"",E1179/INDEX(E:E,MATCH(DATE(YEAR($A1179)-1,MONTH($A1179),DAY($A1179)),$A:$A,0))-1),"")</f>
        <v/>
      </c>
      <c r="I1179" s="7">
        <f>IFERROR(IF(OR(F1179="",INDEX(F:F,MATCH(DATE(YEAR($A1179)-1,MONTH($A1179),DAY($A1179)),$A:$A,0))=""),"",F1179/INDEX(F:F,MATCH(DATE(YEAR($A1179)-1,MONTH($A1179),DAY($A1179)),$A:$A,0))-1),"")</f>
        <v/>
      </c>
      <c r="J1179" s="7">
        <f>IFERROR(IF(OR(G1179="",INDEX(G:G,MATCH(DATE(YEAR($A1179)-1,MONTH($A1179),DAY($A1179)),$A:$A,0))=""),"",G1179/INDEX(G:G,MATCH(DATE(YEAR($A1179)-1,MONTH($A1179),DAY($A1179)),$A:$A,0))-1),"")</f>
        <v/>
      </c>
      <c r="K1179" s="7">
        <f>IF(OR(E1179="",E1178=""),"",E1179/E1178-1)</f>
        <v/>
      </c>
      <c r="L1179" s="7">
        <f>IF(OR(F1179="",F1178=""),"",F1179/F1178-1)</f>
        <v/>
      </c>
      <c r="M1179" s="7">
        <f>IF(OR(G1179="",G1178=""),"",G1179/G1178-1)</f>
        <v/>
      </c>
      <c r="N1179" s="7">
        <f>IF(G1179="","",E1179/G1179)</f>
        <v/>
      </c>
      <c r="O1179" s="7">
        <f>IF(G1179="","",F1179/G1179)</f>
        <v/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4">
        <f>IF(SUMIFS('Daily NSE Equity Cash'!$H:$H,'Daily NSE Equity Cash'!$A:$A,$A1180)=0,"",SUMIFS('Daily NSE Equity Cash'!$H:$H,'Daily NSE Equity Cash'!$A:$A,$A1180))</f>
        <v/>
      </c>
      <c r="F1180" s="4">
        <f>IF(SUMIFS('Daily BSE Equity Cash'!$H:$H,'Daily BSE Equity Cash'!$A:$A,$A1180)=0,"",SUMIFS('Daily BSE Equity Cash'!$H:$H,'Daily BSE Equity Cash'!$A:$A,$A1180))</f>
        <v/>
      </c>
      <c r="G1180" s="4">
        <f>IF(OR(E1180="",F1180=""),"",E1180+F1180)</f>
        <v/>
      </c>
      <c r="H1180" s="7">
        <f>IFERROR(IF(OR(E1180="",INDEX(E:E,MATCH(DATE(YEAR($A1180)-1,MONTH($A1180),DAY($A1180)),$A:$A,0))=""),"",E1180/INDEX(E:E,MATCH(DATE(YEAR($A1180)-1,MONTH($A1180),DAY($A1180)),$A:$A,0))-1),"")</f>
        <v/>
      </c>
      <c r="I1180" s="7">
        <f>IFERROR(IF(OR(F1180="",INDEX(F:F,MATCH(DATE(YEAR($A1180)-1,MONTH($A1180),DAY($A1180)),$A:$A,0))=""),"",F1180/INDEX(F:F,MATCH(DATE(YEAR($A1180)-1,MONTH($A1180),DAY($A1180)),$A:$A,0))-1),"")</f>
        <v/>
      </c>
      <c r="J1180" s="7">
        <f>IFERROR(IF(OR(G1180="",INDEX(G:G,MATCH(DATE(YEAR($A1180)-1,MONTH($A1180),DAY($A1180)),$A:$A,0))=""),"",G1180/INDEX(G:G,MATCH(DATE(YEAR($A1180)-1,MONTH($A1180),DAY($A1180)),$A:$A,0))-1),"")</f>
        <v/>
      </c>
      <c r="K1180" s="7">
        <f>IF(OR(E1180="",E1179=""),"",E1180/E1179-1)</f>
        <v/>
      </c>
      <c r="L1180" s="7">
        <f>IF(OR(F1180="",F1179=""),"",F1180/F1179-1)</f>
        <v/>
      </c>
      <c r="M1180" s="7">
        <f>IF(OR(G1180="",G1179=""),"",G1180/G1179-1)</f>
        <v/>
      </c>
      <c r="N1180" s="7">
        <f>IF(G1180="","",E1180/G1180)</f>
        <v/>
      </c>
      <c r="O1180" s="7">
        <f>IF(G1180="","",F1180/G1180)</f>
        <v/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4">
        <f>IF(SUMIFS('Daily NSE Equity Cash'!$H:$H,'Daily NSE Equity Cash'!$A:$A,$A1181)=0,"",SUMIFS('Daily NSE Equity Cash'!$H:$H,'Daily NSE Equity Cash'!$A:$A,$A1181))</f>
        <v/>
      </c>
      <c r="F1181" s="4">
        <f>IF(SUMIFS('Daily BSE Equity Cash'!$H:$H,'Daily BSE Equity Cash'!$A:$A,$A1181)=0,"",SUMIFS('Daily BSE Equity Cash'!$H:$H,'Daily BSE Equity Cash'!$A:$A,$A1181))</f>
        <v/>
      </c>
      <c r="G1181" s="4">
        <f>IF(OR(E1181="",F1181=""),"",E1181+F1181)</f>
        <v/>
      </c>
      <c r="H1181" s="7">
        <f>IFERROR(IF(OR(E1181="",INDEX(E:E,MATCH(DATE(YEAR($A1181)-1,MONTH($A1181),DAY($A1181)),$A:$A,0))=""),"",E1181/INDEX(E:E,MATCH(DATE(YEAR($A1181)-1,MONTH($A1181),DAY($A1181)),$A:$A,0))-1),"")</f>
        <v/>
      </c>
      <c r="I1181" s="7">
        <f>IFERROR(IF(OR(F1181="",INDEX(F:F,MATCH(DATE(YEAR($A1181)-1,MONTH($A1181),DAY($A1181)),$A:$A,0))=""),"",F1181/INDEX(F:F,MATCH(DATE(YEAR($A1181)-1,MONTH($A1181),DAY($A1181)),$A:$A,0))-1),"")</f>
        <v/>
      </c>
      <c r="J1181" s="7">
        <f>IFERROR(IF(OR(G1181="",INDEX(G:G,MATCH(DATE(YEAR($A1181)-1,MONTH($A1181),DAY($A1181)),$A:$A,0))=""),"",G1181/INDEX(G:G,MATCH(DATE(YEAR($A1181)-1,MONTH($A1181),DAY($A1181)),$A:$A,0))-1),"")</f>
        <v/>
      </c>
      <c r="K1181" s="7">
        <f>IF(OR(E1181="",E1180=""),"",E1181/E1180-1)</f>
        <v/>
      </c>
      <c r="L1181" s="7">
        <f>IF(OR(F1181="",F1180=""),"",F1181/F1180-1)</f>
        <v/>
      </c>
      <c r="M1181" s="7">
        <f>IF(OR(G1181="",G1180=""),"",G1181/G1180-1)</f>
        <v/>
      </c>
      <c r="N1181" s="7">
        <f>IF(G1181="","",E1181/G1181)</f>
        <v/>
      </c>
      <c r="O1181" s="7">
        <f>IF(G1181="","",F1181/G1181)</f>
        <v/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4">
        <f>IF(SUMIFS('Daily NSE Equity Cash'!$H:$H,'Daily NSE Equity Cash'!$A:$A,$A1182)=0,"",SUMIFS('Daily NSE Equity Cash'!$H:$H,'Daily NSE Equity Cash'!$A:$A,$A1182))</f>
        <v/>
      </c>
      <c r="F1182" s="4">
        <f>IF(SUMIFS('Daily BSE Equity Cash'!$H:$H,'Daily BSE Equity Cash'!$A:$A,$A1182)=0,"",SUMIFS('Daily BSE Equity Cash'!$H:$H,'Daily BSE Equity Cash'!$A:$A,$A1182))</f>
        <v/>
      </c>
      <c r="G1182" s="4">
        <f>IF(OR(E1182="",F1182=""),"",E1182+F1182)</f>
        <v/>
      </c>
      <c r="H1182" s="7">
        <f>IFERROR(IF(OR(E1182="",INDEX(E:E,MATCH(DATE(YEAR($A1182)-1,MONTH($A1182),DAY($A1182)),$A:$A,0))=""),"",E1182/INDEX(E:E,MATCH(DATE(YEAR($A1182)-1,MONTH($A1182),DAY($A1182)),$A:$A,0))-1),"")</f>
        <v/>
      </c>
      <c r="I1182" s="7">
        <f>IFERROR(IF(OR(F1182="",INDEX(F:F,MATCH(DATE(YEAR($A1182)-1,MONTH($A1182),DAY($A1182)),$A:$A,0))=""),"",F1182/INDEX(F:F,MATCH(DATE(YEAR($A1182)-1,MONTH($A1182),DAY($A1182)),$A:$A,0))-1),"")</f>
        <v/>
      </c>
      <c r="J1182" s="7">
        <f>IFERROR(IF(OR(G1182="",INDEX(G:G,MATCH(DATE(YEAR($A1182)-1,MONTH($A1182),DAY($A1182)),$A:$A,0))=""),"",G1182/INDEX(G:G,MATCH(DATE(YEAR($A1182)-1,MONTH($A1182),DAY($A1182)),$A:$A,0))-1),"")</f>
        <v/>
      </c>
      <c r="K1182" s="7">
        <f>IF(OR(E1182="",E1181=""),"",E1182/E1181-1)</f>
        <v/>
      </c>
      <c r="L1182" s="7">
        <f>IF(OR(F1182="",F1181=""),"",F1182/F1181-1)</f>
        <v/>
      </c>
      <c r="M1182" s="7">
        <f>IF(OR(G1182="",G1181=""),"",G1182/G1181-1)</f>
        <v/>
      </c>
      <c r="N1182" s="7">
        <f>IF(G1182="","",E1182/G1182)</f>
        <v/>
      </c>
      <c r="O1182" s="7">
        <f>IF(G1182="","",F1182/G1182)</f>
        <v/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4">
        <f>IF(SUMIFS('Daily NSE Equity Cash'!$H:$H,'Daily NSE Equity Cash'!$A:$A,$A1183)=0,"",SUMIFS('Daily NSE Equity Cash'!$H:$H,'Daily NSE Equity Cash'!$A:$A,$A1183))</f>
        <v/>
      </c>
      <c r="F1183" s="4">
        <f>IF(SUMIFS('Daily BSE Equity Cash'!$H:$H,'Daily BSE Equity Cash'!$A:$A,$A1183)=0,"",SUMIFS('Daily BSE Equity Cash'!$H:$H,'Daily BSE Equity Cash'!$A:$A,$A1183))</f>
        <v/>
      </c>
      <c r="G1183" s="4">
        <f>IF(OR(E1183="",F1183=""),"",E1183+F1183)</f>
        <v/>
      </c>
      <c r="H1183" s="7">
        <f>IFERROR(IF(OR(E1183="",INDEX(E:E,MATCH(DATE(YEAR($A1183)-1,MONTH($A1183),DAY($A1183)),$A:$A,0))=""),"",E1183/INDEX(E:E,MATCH(DATE(YEAR($A1183)-1,MONTH($A1183),DAY($A1183)),$A:$A,0))-1),"")</f>
        <v/>
      </c>
      <c r="I1183" s="7">
        <f>IFERROR(IF(OR(F1183="",INDEX(F:F,MATCH(DATE(YEAR($A1183)-1,MONTH($A1183),DAY($A1183)),$A:$A,0))=""),"",F1183/INDEX(F:F,MATCH(DATE(YEAR($A1183)-1,MONTH($A1183),DAY($A1183)),$A:$A,0))-1),"")</f>
        <v/>
      </c>
      <c r="J1183" s="7">
        <f>IFERROR(IF(OR(G1183="",INDEX(G:G,MATCH(DATE(YEAR($A1183)-1,MONTH($A1183),DAY($A1183)),$A:$A,0))=""),"",G1183/INDEX(G:G,MATCH(DATE(YEAR($A1183)-1,MONTH($A1183),DAY($A1183)),$A:$A,0))-1),"")</f>
        <v/>
      </c>
      <c r="K1183" s="7">
        <f>IF(OR(E1183="",E1182=""),"",E1183/E1182-1)</f>
        <v/>
      </c>
      <c r="L1183" s="7">
        <f>IF(OR(F1183="",F1182=""),"",F1183/F1182-1)</f>
        <v/>
      </c>
      <c r="M1183" s="7">
        <f>IF(OR(G1183="",G1182=""),"",G1183/G1182-1)</f>
        <v/>
      </c>
      <c r="N1183" s="7">
        <f>IF(G1183="","",E1183/G1183)</f>
        <v/>
      </c>
      <c r="O1183" s="7">
        <f>IF(G1183="","",F1183/G1183)</f>
        <v/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4">
        <f>IF(SUMIFS('Daily NSE Equity Cash'!$H:$H,'Daily NSE Equity Cash'!$A:$A,$A1184)=0,"",SUMIFS('Daily NSE Equity Cash'!$H:$H,'Daily NSE Equity Cash'!$A:$A,$A1184))</f>
        <v/>
      </c>
      <c r="F1184" s="4">
        <f>IF(SUMIFS('Daily BSE Equity Cash'!$H:$H,'Daily BSE Equity Cash'!$A:$A,$A1184)=0,"",SUMIFS('Daily BSE Equity Cash'!$H:$H,'Daily BSE Equity Cash'!$A:$A,$A1184))</f>
        <v/>
      </c>
      <c r="G1184" s="4">
        <f>IF(OR(E1184="",F1184=""),"",E1184+F1184)</f>
        <v/>
      </c>
      <c r="H1184" s="7">
        <f>IFERROR(IF(OR(E1184="",INDEX(E:E,MATCH(DATE(YEAR($A1184)-1,MONTH($A1184),DAY($A1184)),$A:$A,0))=""),"",E1184/INDEX(E:E,MATCH(DATE(YEAR($A1184)-1,MONTH($A1184),DAY($A1184)),$A:$A,0))-1),"")</f>
        <v/>
      </c>
      <c r="I1184" s="7">
        <f>IFERROR(IF(OR(F1184="",INDEX(F:F,MATCH(DATE(YEAR($A1184)-1,MONTH($A1184),DAY($A1184)),$A:$A,0))=""),"",F1184/INDEX(F:F,MATCH(DATE(YEAR($A1184)-1,MONTH($A1184),DAY($A1184)),$A:$A,0))-1),"")</f>
        <v/>
      </c>
      <c r="J1184" s="7">
        <f>IFERROR(IF(OR(G1184="",INDEX(G:G,MATCH(DATE(YEAR($A1184)-1,MONTH($A1184),DAY($A1184)),$A:$A,0))=""),"",G1184/INDEX(G:G,MATCH(DATE(YEAR($A1184)-1,MONTH($A1184),DAY($A1184)),$A:$A,0))-1),"")</f>
        <v/>
      </c>
      <c r="K1184" s="7">
        <f>IF(OR(E1184="",E1183=""),"",E1184/E1183-1)</f>
        <v/>
      </c>
      <c r="L1184" s="7">
        <f>IF(OR(F1184="",F1183=""),"",F1184/F1183-1)</f>
        <v/>
      </c>
      <c r="M1184" s="7">
        <f>IF(OR(G1184="",G1183=""),"",G1184/G1183-1)</f>
        <v/>
      </c>
      <c r="N1184" s="7">
        <f>IF(G1184="","",E1184/G1184)</f>
        <v/>
      </c>
      <c r="O1184" s="7">
        <f>IF(G1184="","",F1184/G1184)</f>
        <v/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4">
        <f>IF(SUMIFS('Daily NSE Equity Cash'!$H:$H,'Daily NSE Equity Cash'!$A:$A,$A1185)=0,"",SUMIFS('Daily NSE Equity Cash'!$H:$H,'Daily NSE Equity Cash'!$A:$A,$A1185))</f>
        <v/>
      </c>
      <c r="F1185" s="4">
        <f>IF(SUMIFS('Daily BSE Equity Cash'!$H:$H,'Daily BSE Equity Cash'!$A:$A,$A1185)=0,"",SUMIFS('Daily BSE Equity Cash'!$H:$H,'Daily BSE Equity Cash'!$A:$A,$A1185))</f>
        <v/>
      </c>
      <c r="G1185" s="4">
        <f>IF(OR(E1185="",F1185=""),"",E1185+F1185)</f>
        <v/>
      </c>
      <c r="H1185" s="7">
        <f>IFERROR(IF(OR(E1185="",INDEX(E:E,MATCH(DATE(YEAR($A1185)-1,MONTH($A1185),DAY($A1185)),$A:$A,0))=""),"",E1185/INDEX(E:E,MATCH(DATE(YEAR($A1185)-1,MONTH($A1185),DAY($A1185)),$A:$A,0))-1),"")</f>
        <v/>
      </c>
      <c r="I1185" s="7">
        <f>IFERROR(IF(OR(F1185="",INDEX(F:F,MATCH(DATE(YEAR($A1185)-1,MONTH($A1185),DAY($A1185)),$A:$A,0))=""),"",F1185/INDEX(F:F,MATCH(DATE(YEAR($A1185)-1,MONTH($A1185),DAY($A1185)),$A:$A,0))-1),"")</f>
        <v/>
      </c>
      <c r="J1185" s="7">
        <f>IFERROR(IF(OR(G1185="",INDEX(G:G,MATCH(DATE(YEAR($A1185)-1,MONTH($A1185),DAY($A1185)),$A:$A,0))=""),"",G1185/INDEX(G:G,MATCH(DATE(YEAR($A1185)-1,MONTH($A1185),DAY($A1185)),$A:$A,0))-1),"")</f>
        <v/>
      </c>
      <c r="K1185" s="7">
        <f>IF(OR(E1185="",E1184=""),"",E1185/E1184-1)</f>
        <v/>
      </c>
      <c r="L1185" s="7">
        <f>IF(OR(F1185="",F1184=""),"",F1185/F1184-1)</f>
        <v/>
      </c>
      <c r="M1185" s="7">
        <f>IF(OR(G1185="",G1184=""),"",G1185/G1184-1)</f>
        <v/>
      </c>
      <c r="N1185" s="7">
        <f>IF(G1185="","",E1185/G1185)</f>
        <v/>
      </c>
      <c r="O1185" s="7">
        <f>IF(G1185="","",F1185/G1185)</f>
        <v/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4">
        <f>IF(SUMIFS('Daily NSE Equity Cash'!$H:$H,'Daily NSE Equity Cash'!$A:$A,$A1186)=0,"",SUMIFS('Daily NSE Equity Cash'!$H:$H,'Daily NSE Equity Cash'!$A:$A,$A1186))</f>
        <v/>
      </c>
      <c r="F1186" s="4">
        <f>IF(SUMIFS('Daily BSE Equity Cash'!$H:$H,'Daily BSE Equity Cash'!$A:$A,$A1186)=0,"",SUMIFS('Daily BSE Equity Cash'!$H:$H,'Daily BSE Equity Cash'!$A:$A,$A1186))</f>
        <v/>
      </c>
      <c r="G1186" s="4">
        <f>IF(OR(E1186="",F1186=""),"",E1186+F1186)</f>
        <v/>
      </c>
      <c r="H1186" s="7">
        <f>IFERROR(IF(OR(E1186="",INDEX(E:E,MATCH(DATE(YEAR($A1186)-1,MONTH($A1186),DAY($A1186)),$A:$A,0))=""),"",E1186/INDEX(E:E,MATCH(DATE(YEAR($A1186)-1,MONTH($A1186),DAY($A1186)),$A:$A,0))-1),"")</f>
        <v/>
      </c>
      <c r="I1186" s="7">
        <f>IFERROR(IF(OR(F1186="",INDEX(F:F,MATCH(DATE(YEAR($A1186)-1,MONTH($A1186),DAY($A1186)),$A:$A,0))=""),"",F1186/INDEX(F:F,MATCH(DATE(YEAR($A1186)-1,MONTH($A1186),DAY($A1186)),$A:$A,0))-1),"")</f>
        <v/>
      </c>
      <c r="J1186" s="7">
        <f>IFERROR(IF(OR(G1186="",INDEX(G:G,MATCH(DATE(YEAR($A1186)-1,MONTH($A1186),DAY($A1186)),$A:$A,0))=""),"",G1186/INDEX(G:G,MATCH(DATE(YEAR($A1186)-1,MONTH($A1186),DAY($A1186)),$A:$A,0))-1),"")</f>
        <v/>
      </c>
      <c r="K1186" s="7">
        <f>IF(OR(E1186="",E1185=""),"",E1186/E1185-1)</f>
        <v/>
      </c>
      <c r="L1186" s="7">
        <f>IF(OR(F1186="",F1185=""),"",F1186/F1185-1)</f>
        <v/>
      </c>
      <c r="M1186" s="7">
        <f>IF(OR(G1186="",G1185=""),"",G1186/G1185-1)</f>
        <v/>
      </c>
      <c r="N1186" s="7">
        <f>IF(G1186="","",E1186/G1186)</f>
        <v/>
      </c>
      <c r="O1186" s="7">
        <f>IF(G1186="","",F1186/G1186)</f>
        <v/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4">
        <f>IF(SUMIFS('Daily NSE Equity Cash'!$H:$H,'Daily NSE Equity Cash'!$A:$A,$A1187)=0,"",SUMIFS('Daily NSE Equity Cash'!$H:$H,'Daily NSE Equity Cash'!$A:$A,$A1187))</f>
        <v/>
      </c>
      <c r="F1187" s="4">
        <f>IF(SUMIFS('Daily BSE Equity Cash'!$H:$H,'Daily BSE Equity Cash'!$A:$A,$A1187)=0,"",SUMIFS('Daily BSE Equity Cash'!$H:$H,'Daily BSE Equity Cash'!$A:$A,$A1187))</f>
        <v/>
      </c>
      <c r="G1187" s="4">
        <f>IF(OR(E1187="",F1187=""),"",E1187+F1187)</f>
        <v/>
      </c>
      <c r="H1187" s="7">
        <f>IFERROR(IF(OR(E1187="",INDEX(E:E,MATCH(DATE(YEAR($A1187)-1,MONTH($A1187),DAY($A1187)),$A:$A,0))=""),"",E1187/INDEX(E:E,MATCH(DATE(YEAR($A1187)-1,MONTH($A1187),DAY($A1187)),$A:$A,0))-1),"")</f>
        <v/>
      </c>
      <c r="I1187" s="7">
        <f>IFERROR(IF(OR(F1187="",INDEX(F:F,MATCH(DATE(YEAR($A1187)-1,MONTH($A1187),DAY($A1187)),$A:$A,0))=""),"",F1187/INDEX(F:F,MATCH(DATE(YEAR($A1187)-1,MONTH($A1187),DAY($A1187)),$A:$A,0))-1),"")</f>
        <v/>
      </c>
      <c r="J1187" s="7">
        <f>IFERROR(IF(OR(G1187="",INDEX(G:G,MATCH(DATE(YEAR($A1187)-1,MONTH($A1187),DAY($A1187)),$A:$A,0))=""),"",G1187/INDEX(G:G,MATCH(DATE(YEAR($A1187)-1,MONTH($A1187),DAY($A1187)),$A:$A,0))-1),"")</f>
        <v/>
      </c>
      <c r="K1187" s="7">
        <f>IF(OR(E1187="",E1186=""),"",E1187/E1186-1)</f>
        <v/>
      </c>
      <c r="L1187" s="7">
        <f>IF(OR(F1187="",F1186=""),"",F1187/F1186-1)</f>
        <v/>
      </c>
      <c r="M1187" s="7">
        <f>IF(OR(G1187="",G1186=""),"",G1187/G1186-1)</f>
        <v/>
      </c>
      <c r="N1187" s="7">
        <f>IF(G1187="","",E1187/G1187)</f>
        <v/>
      </c>
      <c r="O1187" s="7">
        <f>IF(G1187="","",F1187/G1187)</f>
        <v/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4">
        <f>IF(SUMIFS('Daily NSE Equity Cash'!$H:$H,'Daily NSE Equity Cash'!$A:$A,$A1188)=0,"",SUMIFS('Daily NSE Equity Cash'!$H:$H,'Daily NSE Equity Cash'!$A:$A,$A1188))</f>
        <v/>
      </c>
      <c r="F1188" s="4">
        <f>IF(SUMIFS('Daily BSE Equity Cash'!$H:$H,'Daily BSE Equity Cash'!$A:$A,$A1188)=0,"",SUMIFS('Daily BSE Equity Cash'!$H:$H,'Daily BSE Equity Cash'!$A:$A,$A1188))</f>
        <v/>
      </c>
      <c r="G1188" s="4">
        <f>IF(OR(E1188="",F1188=""),"",E1188+F1188)</f>
        <v/>
      </c>
      <c r="H1188" s="7">
        <f>IFERROR(IF(OR(E1188="",INDEX(E:E,MATCH(DATE(YEAR($A1188)-1,MONTH($A1188),DAY($A1188)),$A:$A,0))=""),"",E1188/INDEX(E:E,MATCH(DATE(YEAR($A1188)-1,MONTH($A1188),DAY($A1188)),$A:$A,0))-1),"")</f>
        <v/>
      </c>
      <c r="I1188" s="7">
        <f>IFERROR(IF(OR(F1188="",INDEX(F:F,MATCH(DATE(YEAR($A1188)-1,MONTH($A1188),DAY($A1188)),$A:$A,0))=""),"",F1188/INDEX(F:F,MATCH(DATE(YEAR($A1188)-1,MONTH($A1188),DAY($A1188)),$A:$A,0))-1),"")</f>
        <v/>
      </c>
      <c r="J1188" s="7">
        <f>IFERROR(IF(OR(G1188="",INDEX(G:G,MATCH(DATE(YEAR($A1188)-1,MONTH($A1188),DAY($A1188)),$A:$A,0))=""),"",G1188/INDEX(G:G,MATCH(DATE(YEAR($A1188)-1,MONTH($A1188),DAY($A1188)),$A:$A,0))-1),"")</f>
        <v/>
      </c>
      <c r="K1188" s="7">
        <f>IF(OR(E1188="",E1187=""),"",E1188/E1187-1)</f>
        <v/>
      </c>
      <c r="L1188" s="7">
        <f>IF(OR(F1188="",F1187=""),"",F1188/F1187-1)</f>
        <v/>
      </c>
      <c r="M1188" s="7">
        <f>IF(OR(G1188="",G1187=""),"",G1188/G1187-1)</f>
        <v/>
      </c>
      <c r="N1188" s="7">
        <f>IF(G1188="","",E1188/G1188)</f>
        <v/>
      </c>
      <c r="O1188" s="7">
        <f>IF(G1188="","",F1188/G1188)</f>
        <v/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4">
        <f>IF(SUMIFS('Daily NSE Equity Cash'!$H:$H,'Daily NSE Equity Cash'!$A:$A,$A1189)=0,"",SUMIFS('Daily NSE Equity Cash'!$H:$H,'Daily NSE Equity Cash'!$A:$A,$A1189))</f>
        <v/>
      </c>
      <c r="F1189" s="4">
        <f>IF(SUMIFS('Daily BSE Equity Cash'!$H:$H,'Daily BSE Equity Cash'!$A:$A,$A1189)=0,"",SUMIFS('Daily BSE Equity Cash'!$H:$H,'Daily BSE Equity Cash'!$A:$A,$A1189))</f>
        <v/>
      </c>
      <c r="G1189" s="4">
        <f>IF(OR(E1189="",F1189=""),"",E1189+F1189)</f>
        <v/>
      </c>
      <c r="H1189" s="7">
        <f>IFERROR(IF(OR(E1189="",INDEX(E:E,MATCH(DATE(YEAR($A1189)-1,MONTH($A1189),DAY($A1189)),$A:$A,0))=""),"",E1189/INDEX(E:E,MATCH(DATE(YEAR($A1189)-1,MONTH($A1189),DAY($A1189)),$A:$A,0))-1),"")</f>
        <v/>
      </c>
      <c r="I1189" s="7">
        <f>IFERROR(IF(OR(F1189="",INDEX(F:F,MATCH(DATE(YEAR($A1189)-1,MONTH($A1189),DAY($A1189)),$A:$A,0))=""),"",F1189/INDEX(F:F,MATCH(DATE(YEAR($A1189)-1,MONTH($A1189),DAY($A1189)),$A:$A,0))-1),"")</f>
        <v/>
      </c>
      <c r="J1189" s="7">
        <f>IFERROR(IF(OR(G1189="",INDEX(G:G,MATCH(DATE(YEAR($A1189)-1,MONTH($A1189),DAY($A1189)),$A:$A,0))=""),"",G1189/INDEX(G:G,MATCH(DATE(YEAR($A1189)-1,MONTH($A1189),DAY($A1189)),$A:$A,0))-1),"")</f>
        <v/>
      </c>
      <c r="K1189" s="7">
        <f>IF(OR(E1189="",E1188=""),"",E1189/E1188-1)</f>
        <v/>
      </c>
      <c r="L1189" s="7">
        <f>IF(OR(F1189="",F1188=""),"",F1189/F1188-1)</f>
        <v/>
      </c>
      <c r="M1189" s="7">
        <f>IF(OR(G1189="",G1188=""),"",G1189/G1188-1)</f>
        <v/>
      </c>
      <c r="N1189" s="7">
        <f>IF(G1189="","",E1189/G1189)</f>
        <v/>
      </c>
      <c r="O1189" s="7">
        <f>IF(G1189="","",F1189/G1189)</f>
        <v/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4">
        <f>IF(SUMIFS('Daily NSE Equity Cash'!$H:$H,'Daily NSE Equity Cash'!$A:$A,$A1190)=0,"",SUMIFS('Daily NSE Equity Cash'!$H:$H,'Daily NSE Equity Cash'!$A:$A,$A1190))</f>
        <v/>
      </c>
      <c r="F1190" s="4">
        <f>IF(SUMIFS('Daily BSE Equity Cash'!$H:$H,'Daily BSE Equity Cash'!$A:$A,$A1190)=0,"",SUMIFS('Daily BSE Equity Cash'!$H:$H,'Daily BSE Equity Cash'!$A:$A,$A1190))</f>
        <v/>
      </c>
      <c r="G1190" s="4">
        <f>IF(OR(E1190="",F1190=""),"",E1190+F1190)</f>
        <v/>
      </c>
      <c r="H1190" s="7">
        <f>IFERROR(IF(OR(E1190="",INDEX(E:E,MATCH(DATE(YEAR($A1190)-1,MONTH($A1190),DAY($A1190)),$A:$A,0))=""),"",E1190/INDEX(E:E,MATCH(DATE(YEAR($A1190)-1,MONTH($A1190),DAY($A1190)),$A:$A,0))-1),"")</f>
        <v/>
      </c>
      <c r="I1190" s="7">
        <f>IFERROR(IF(OR(F1190="",INDEX(F:F,MATCH(DATE(YEAR($A1190)-1,MONTH($A1190),DAY($A1190)),$A:$A,0))=""),"",F1190/INDEX(F:F,MATCH(DATE(YEAR($A1190)-1,MONTH($A1190),DAY($A1190)),$A:$A,0))-1),"")</f>
        <v/>
      </c>
      <c r="J1190" s="7">
        <f>IFERROR(IF(OR(G1190="",INDEX(G:G,MATCH(DATE(YEAR($A1190)-1,MONTH($A1190),DAY($A1190)),$A:$A,0))=""),"",G1190/INDEX(G:G,MATCH(DATE(YEAR($A1190)-1,MONTH($A1190),DAY($A1190)),$A:$A,0))-1),"")</f>
        <v/>
      </c>
      <c r="K1190" s="7">
        <f>IF(OR(E1190="",E1189=""),"",E1190/E1189-1)</f>
        <v/>
      </c>
      <c r="L1190" s="7">
        <f>IF(OR(F1190="",F1189=""),"",F1190/F1189-1)</f>
        <v/>
      </c>
      <c r="M1190" s="7">
        <f>IF(OR(G1190="",G1189=""),"",G1190/G1189-1)</f>
        <v/>
      </c>
      <c r="N1190" s="7">
        <f>IF(G1190="","",E1190/G1190)</f>
        <v/>
      </c>
      <c r="O1190" s="7">
        <f>IF(G1190="","",F1190/G1190)</f>
        <v/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4">
        <f>IF(SUMIFS('Daily NSE Equity Cash'!$H:$H,'Daily NSE Equity Cash'!$A:$A,$A1191)=0,"",SUMIFS('Daily NSE Equity Cash'!$H:$H,'Daily NSE Equity Cash'!$A:$A,$A1191))</f>
        <v/>
      </c>
      <c r="F1191" s="4">
        <f>IF(SUMIFS('Daily BSE Equity Cash'!$H:$H,'Daily BSE Equity Cash'!$A:$A,$A1191)=0,"",SUMIFS('Daily BSE Equity Cash'!$H:$H,'Daily BSE Equity Cash'!$A:$A,$A1191))</f>
        <v/>
      </c>
      <c r="G1191" s="4">
        <f>IF(OR(E1191="",F1191=""),"",E1191+F1191)</f>
        <v/>
      </c>
      <c r="H1191" s="7">
        <f>IFERROR(IF(OR(E1191="",INDEX(E:E,MATCH(DATE(YEAR($A1191)-1,MONTH($A1191),DAY($A1191)),$A:$A,0))=""),"",E1191/INDEX(E:E,MATCH(DATE(YEAR($A1191)-1,MONTH($A1191),DAY($A1191)),$A:$A,0))-1),"")</f>
        <v/>
      </c>
      <c r="I1191" s="7">
        <f>IFERROR(IF(OR(F1191="",INDEX(F:F,MATCH(DATE(YEAR($A1191)-1,MONTH($A1191),DAY($A1191)),$A:$A,0))=""),"",F1191/INDEX(F:F,MATCH(DATE(YEAR($A1191)-1,MONTH($A1191),DAY($A1191)),$A:$A,0))-1),"")</f>
        <v/>
      </c>
      <c r="J1191" s="7">
        <f>IFERROR(IF(OR(G1191="",INDEX(G:G,MATCH(DATE(YEAR($A1191)-1,MONTH($A1191),DAY($A1191)),$A:$A,0))=""),"",G1191/INDEX(G:G,MATCH(DATE(YEAR($A1191)-1,MONTH($A1191),DAY($A1191)),$A:$A,0))-1),"")</f>
        <v/>
      </c>
      <c r="K1191" s="7">
        <f>IF(OR(E1191="",E1190=""),"",E1191/E1190-1)</f>
        <v/>
      </c>
      <c r="L1191" s="7">
        <f>IF(OR(F1191="",F1190=""),"",F1191/F1190-1)</f>
        <v/>
      </c>
      <c r="M1191" s="7">
        <f>IF(OR(G1191="",G1190=""),"",G1191/G1190-1)</f>
        <v/>
      </c>
      <c r="N1191" s="7">
        <f>IF(G1191="","",E1191/G1191)</f>
        <v/>
      </c>
      <c r="O1191" s="7">
        <f>IF(G1191="","",F1191/G1191)</f>
        <v/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4">
        <f>IF(SUMIFS('Daily NSE Equity Cash'!$H:$H,'Daily NSE Equity Cash'!$A:$A,$A1192)=0,"",SUMIFS('Daily NSE Equity Cash'!$H:$H,'Daily NSE Equity Cash'!$A:$A,$A1192))</f>
        <v/>
      </c>
      <c r="F1192" s="4">
        <f>IF(SUMIFS('Daily BSE Equity Cash'!$H:$H,'Daily BSE Equity Cash'!$A:$A,$A1192)=0,"",SUMIFS('Daily BSE Equity Cash'!$H:$H,'Daily BSE Equity Cash'!$A:$A,$A1192))</f>
        <v/>
      </c>
      <c r="G1192" s="4">
        <f>IF(OR(E1192="",F1192=""),"",E1192+F1192)</f>
        <v/>
      </c>
      <c r="H1192" s="7">
        <f>IFERROR(IF(OR(E1192="",INDEX(E:E,MATCH(DATE(YEAR($A1192)-1,MONTH($A1192),DAY($A1192)),$A:$A,0))=""),"",E1192/INDEX(E:E,MATCH(DATE(YEAR($A1192)-1,MONTH($A1192),DAY($A1192)),$A:$A,0))-1),"")</f>
        <v/>
      </c>
      <c r="I1192" s="7">
        <f>IFERROR(IF(OR(F1192="",INDEX(F:F,MATCH(DATE(YEAR($A1192)-1,MONTH($A1192),DAY($A1192)),$A:$A,0))=""),"",F1192/INDEX(F:F,MATCH(DATE(YEAR($A1192)-1,MONTH($A1192),DAY($A1192)),$A:$A,0))-1),"")</f>
        <v/>
      </c>
      <c r="J1192" s="7">
        <f>IFERROR(IF(OR(G1192="",INDEX(G:G,MATCH(DATE(YEAR($A1192)-1,MONTH($A1192),DAY($A1192)),$A:$A,0))=""),"",G1192/INDEX(G:G,MATCH(DATE(YEAR($A1192)-1,MONTH($A1192),DAY($A1192)),$A:$A,0))-1),"")</f>
        <v/>
      </c>
      <c r="K1192" s="7">
        <f>IF(OR(E1192="",E1191=""),"",E1192/E1191-1)</f>
        <v/>
      </c>
      <c r="L1192" s="7">
        <f>IF(OR(F1192="",F1191=""),"",F1192/F1191-1)</f>
        <v/>
      </c>
      <c r="M1192" s="7">
        <f>IF(OR(G1192="",G1191=""),"",G1192/G1191-1)</f>
        <v/>
      </c>
      <c r="N1192" s="7">
        <f>IF(G1192="","",E1192/G1192)</f>
        <v/>
      </c>
      <c r="O1192" s="7">
        <f>IF(G1192="","",F1192/G1192)</f>
        <v/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4">
        <f>IF(SUMIFS('Daily NSE Equity Cash'!$H:$H,'Daily NSE Equity Cash'!$A:$A,$A1193)=0,"",SUMIFS('Daily NSE Equity Cash'!$H:$H,'Daily NSE Equity Cash'!$A:$A,$A1193))</f>
        <v/>
      </c>
      <c r="F1193" s="4">
        <f>IF(SUMIFS('Daily BSE Equity Cash'!$H:$H,'Daily BSE Equity Cash'!$A:$A,$A1193)=0,"",SUMIFS('Daily BSE Equity Cash'!$H:$H,'Daily BSE Equity Cash'!$A:$A,$A1193))</f>
        <v/>
      </c>
      <c r="G1193" s="4">
        <f>IF(OR(E1193="",F1193=""),"",E1193+F1193)</f>
        <v/>
      </c>
      <c r="H1193" s="7">
        <f>IFERROR(IF(OR(E1193="",INDEX(E:E,MATCH(DATE(YEAR($A1193)-1,MONTH($A1193),DAY($A1193)),$A:$A,0))=""),"",E1193/INDEX(E:E,MATCH(DATE(YEAR($A1193)-1,MONTH($A1193),DAY($A1193)),$A:$A,0))-1),"")</f>
        <v/>
      </c>
      <c r="I1193" s="7">
        <f>IFERROR(IF(OR(F1193="",INDEX(F:F,MATCH(DATE(YEAR($A1193)-1,MONTH($A1193),DAY($A1193)),$A:$A,0))=""),"",F1193/INDEX(F:F,MATCH(DATE(YEAR($A1193)-1,MONTH($A1193),DAY($A1193)),$A:$A,0))-1),"")</f>
        <v/>
      </c>
      <c r="J1193" s="7">
        <f>IFERROR(IF(OR(G1193="",INDEX(G:G,MATCH(DATE(YEAR($A1193)-1,MONTH($A1193),DAY($A1193)),$A:$A,0))=""),"",G1193/INDEX(G:G,MATCH(DATE(YEAR($A1193)-1,MONTH($A1193),DAY($A1193)),$A:$A,0))-1),"")</f>
        <v/>
      </c>
      <c r="K1193" s="7">
        <f>IF(OR(E1193="",E1192=""),"",E1193/E1192-1)</f>
        <v/>
      </c>
      <c r="L1193" s="7">
        <f>IF(OR(F1193="",F1192=""),"",F1193/F1192-1)</f>
        <v/>
      </c>
      <c r="M1193" s="7">
        <f>IF(OR(G1193="",G1192=""),"",G1193/G1192-1)</f>
        <v/>
      </c>
      <c r="N1193" s="7">
        <f>IF(G1193="","",E1193/G1193)</f>
        <v/>
      </c>
      <c r="O1193" s="7">
        <f>IF(G1193="","",F1193/G1193)</f>
        <v/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4">
        <f>IF(SUMIFS('Daily NSE Equity Cash'!$H:$H,'Daily NSE Equity Cash'!$A:$A,$A1194)=0,"",SUMIFS('Daily NSE Equity Cash'!$H:$H,'Daily NSE Equity Cash'!$A:$A,$A1194))</f>
        <v/>
      </c>
      <c r="F1194" s="4">
        <f>IF(SUMIFS('Daily BSE Equity Cash'!$H:$H,'Daily BSE Equity Cash'!$A:$A,$A1194)=0,"",SUMIFS('Daily BSE Equity Cash'!$H:$H,'Daily BSE Equity Cash'!$A:$A,$A1194))</f>
        <v/>
      </c>
      <c r="G1194" s="4">
        <f>IF(OR(E1194="",F1194=""),"",E1194+F1194)</f>
        <v/>
      </c>
      <c r="H1194" s="7">
        <f>IFERROR(IF(OR(E1194="",INDEX(E:E,MATCH(DATE(YEAR($A1194)-1,MONTH($A1194),DAY($A1194)),$A:$A,0))=""),"",E1194/INDEX(E:E,MATCH(DATE(YEAR($A1194)-1,MONTH($A1194),DAY($A1194)),$A:$A,0))-1),"")</f>
        <v/>
      </c>
      <c r="I1194" s="7">
        <f>IFERROR(IF(OR(F1194="",INDEX(F:F,MATCH(DATE(YEAR($A1194)-1,MONTH($A1194),DAY($A1194)),$A:$A,0))=""),"",F1194/INDEX(F:F,MATCH(DATE(YEAR($A1194)-1,MONTH($A1194),DAY($A1194)),$A:$A,0))-1),"")</f>
        <v/>
      </c>
      <c r="J1194" s="7">
        <f>IFERROR(IF(OR(G1194="",INDEX(G:G,MATCH(DATE(YEAR($A1194)-1,MONTH($A1194),DAY($A1194)),$A:$A,0))=""),"",G1194/INDEX(G:G,MATCH(DATE(YEAR($A1194)-1,MONTH($A1194),DAY($A1194)),$A:$A,0))-1),"")</f>
        <v/>
      </c>
      <c r="K1194" s="7">
        <f>IF(OR(E1194="",E1193=""),"",E1194/E1193-1)</f>
        <v/>
      </c>
      <c r="L1194" s="7">
        <f>IF(OR(F1194="",F1193=""),"",F1194/F1193-1)</f>
        <v/>
      </c>
      <c r="M1194" s="7">
        <f>IF(OR(G1194="",G1193=""),"",G1194/G1193-1)</f>
        <v/>
      </c>
      <c r="N1194" s="7">
        <f>IF(G1194="","",E1194/G1194)</f>
        <v/>
      </c>
      <c r="O1194" s="7">
        <f>IF(G1194="","",F1194/G1194)</f>
        <v/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4">
        <f>IF(SUMIFS('Daily NSE Equity Cash'!$H:$H,'Daily NSE Equity Cash'!$A:$A,$A1195)=0,"",SUMIFS('Daily NSE Equity Cash'!$H:$H,'Daily NSE Equity Cash'!$A:$A,$A1195))</f>
        <v/>
      </c>
      <c r="F1195" s="4">
        <f>IF(SUMIFS('Daily BSE Equity Cash'!$H:$H,'Daily BSE Equity Cash'!$A:$A,$A1195)=0,"",SUMIFS('Daily BSE Equity Cash'!$H:$H,'Daily BSE Equity Cash'!$A:$A,$A1195))</f>
        <v/>
      </c>
      <c r="G1195" s="4">
        <f>IF(OR(E1195="",F1195=""),"",E1195+F1195)</f>
        <v/>
      </c>
      <c r="H1195" s="7">
        <f>IFERROR(IF(OR(E1195="",INDEX(E:E,MATCH(DATE(YEAR($A1195)-1,MONTH($A1195),DAY($A1195)),$A:$A,0))=""),"",E1195/INDEX(E:E,MATCH(DATE(YEAR($A1195)-1,MONTH($A1195),DAY($A1195)),$A:$A,0))-1),"")</f>
        <v/>
      </c>
      <c r="I1195" s="7">
        <f>IFERROR(IF(OR(F1195="",INDEX(F:F,MATCH(DATE(YEAR($A1195)-1,MONTH($A1195),DAY($A1195)),$A:$A,0))=""),"",F1195/INDEX(F:F,MATCH(DATE(YEAR($A1195)-1,MONTH($A1195),DAY($A1195)),$A:$A,0))-1),"")</f>
        <v/>
      </c>
      <c r="J1195" s="7">
        <f>IFERROR(IF(OR(G1195="",INDEX(G:G,MATCH(DATE(YEAR($A1195)-1,MONTH($A1195),DAY($A1195)),$A:$A,0))=""),"",G1195/INDEX(G:G,MATCH(DATE(YEAR($A1195)-1,MONTH($A1195),DAY($A1195)),$A:$A,0))-1),"")</f>
        <v/>
      </c>
      <c r="K1195" s="7">
        <f>IF(OR(E1195="",E1194=""),"",E1195/E1194-1)</f>
        <v/>
      </c>
      <c r="L1195" s="7">
        <f>IF(OR(F1195="",F1194=""),"",F1195/F1194-1)</f>
        <v/>
      </c>
      <c r="M1195" s="7">
        <f>IF(OR(G1195="",G1194=""),"",G1195/G1194-1)</f>
        <v/>
      </c>
      <c r="N1195" s="7">
        <f>IF(G1195="","",E1195/G1195)</f>
        <v/>
      </c>
      <c r="O1195" s="7">
        <f>IF(G1195="","",F1195/G1195)</f>
        <v/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4">
        <f>IF(SUMIFS('Daily NSE Equity Cash'!$H:$H,'Daily NSE Equity Cash'!$A:$A,$A1196)=0,"",SUMIFS('Daily NSE Equity Cash'!$H:$H,'Daily NSE Equity Cash'!$A:$A,$A1196))</f>
        <v/>
      </c>
      <c r="F1196" s="4">
        <f>IF(SUMIFS('Daily BSE Equity Cash'!$H:$H,'Daily BSE Equity Cash'!$A:$A,$A1196)=0,"",SUMIFS('Daily BSE Equity Cash'!$H:$H,'Daily BSE Equity Cash'!$A:$A,$A1196))</f>
        <v/>
      </c>
      <c r="G1196" s="4">
        <f>IF(OR(E1196="",F1196=""),"",E1196+F1196)</f>
        <v/>
      </c>
      <c r="H1196" s="7">
        <f>IFERROR(IF(OR(E1196="",INDEX(E:E,MATCH(DATE(YEAR($A1196)-1,MONTH($A1196),DAY($A1196)),$A:$A,0))=""),"",E1196/INDEX(E:E,MATCH(DATE(YEAR($A1196)-1,MONTH($A1196),DAY($A1196)),$A:$A,0))-1),"")</f>
        <v/>
      </c>
      <c r="I1196" s="7">
        <f>IFERROR(IF(OR(F1196="",INDEX(F:F,MATCH(DATE(YEAR($A1196)-1,MONTH($A1196),DAY($A1196)),$A:$A,0))=""),"",F1196/INDEX(F:F,MATCH(DATE(YEAR($A1196)-1,MONTH($A1196),DAY($A1196)),$A:$A,0))-1),"")</f>
        <v/>
      </c>
      <c r="J1196" s="7">
        <f>IFERROR(IF(OR(G1196="",INDEX(G:G,MATCH(DATE(YEAR($A1196)-1,MONTH($A1196),DAY($A1196)),$A:$A,0))=""),"",G1196/INDEX(G:G,MATCH(DATE(YEAR($A1196)-1,MONTH($A1196),DAY($A1196)),$A:$A,0))-1),"")</f>
        <v/>
      </c>
      <c r="K1196" s="7">
        <f>IF(OR(E1196="",E1195=""),"",E1196/E1195-1)</f>
        <v/>
      </c>
      <c r="L1196" s="7">
        <f>IF(OR(F1196="",F1195=""),"",F1196/F1195-1)</f>
        <v/>
      </c>
      <c r="M1196" s="7">
        <f>IF(OR(G1196="",G1195=""),"",G1196/G1195-1)</f>
        <v/>
      </c>
      <c r="N1196" s="7">
        <f>IF(G1196="","",E1196/G1196)</f>
        <v/>
      </c>
      <c r="O1196" s="7">
        <f>IF(G1196="","",F1196/G1196)</f>
        <v/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4">
        <f>IF(SUMIFS('Daily NSE Equity Cash'!$H:$H,'Daily NSE Equity Cash'!$A:$A,$A1197)=0,"",SUMIFS('Daily NSE Equity Cash'!$H:$H,'Daily NSE Equity Cash'!$A:$A,$A1197))</f>
        <v/>
      </c>
      <c r="F1197" s="4">
        <f>IF(SUMIFS('Daily BSE Equity Cash'!$H:$H,'Daily BSE Equity Cash'!$A:$A,$A1197)=0,"",SUMIFS('Daily BSE Equity Cash'!$H:$H,'Daily BSE Equity Cash'!$A:$A,$A1197))</f>
        <v/>
      </c>
      <c r="G1197" s="4">
        <f>IF(OR(E1197="",F1197=""),"",E1197+F1197)</f>
        <v/>
      </c>
      <c r="H1197" s="7">
        <f>IFERROR(IF(OR(E1197="",INDEX(E:E,MATCH(DATE(YEAR($A1197)-1,MONTH($A1197),DAY($A1197)),$A:$A,0))=""),"",E1197/INDEX(E:E,MATCH(DATE(YEAR($A1197)-1,MONTH($A1197),DAY($A1197)),$A:$A,0))-1),"")</f>
        <v/>
      </c>
      <c r="I1197" s="7">
        <f>IFERROR(IF(OR(F1197="",INDEX(F:F,MATCH(DATE(YEAR($A1197)-1,MONTH($A1197),DAY($A1197)),$A:$A,0))=""),"",F1197/INDEX(F:F,MATCH(DATE(YEAR($A1197)-1,MONTH($A1197),DAY($A1197)),$A:$A,0))-1),"")</f>
        <v/>
      </c>
      <c r="J1197" s="7">
        <f>IFERROR(IF(OR(G1197="",INDEX(G:G,MATCH(DATE(YEAR($A1197)-1,MONTH($A1197),DAY($A1197)),$A:$A,0))=""),"",G1197/INDEX(G:G,MATCH(DATE(YEAR($A1197)-1,MONTH($A1197),DAY($A1197)),$A:$A,0))-1),"")</f>
        <v/>
      </c>
      <c r="K1197" s="7">
        <f>IF(OR(E1197="",E1196=""),"",E1197/E1196-1)</f>
        <v/>
      </c>
      <c r="L1197" s="7">
        <f>IF(OR(F1197="",F1196=""),"",F1197/F1196-1)</f>
        <v/>
      </c>
      <c r="M1197" s="7">
        <f>IF(OR(G1197="",G1196=""),"",G1197/G1196-1)</f>
        <v/>
      </c>
      <c r="N1197" s="7">
        <f>IF(G1197="","",E1197/G1197)</f>
        <v/>
      </c>
      <c r="O1197" s="7">
        <f>IF(G1197="","",F1197/G1197)</f>
        <v/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4">
        <f>IF(SUMIFS('Daily NSE Equity Cash'!$H:$H,'Daily NSE Equity Cash'!$A:$A,$A1198)=0,"",SUMIFS('Daily NSE Equity Cash'!$H:$H,'Daily NSE Equity Cash'!$A:$A,$A1198))</f>
        <v/>
      </c>
      <c r="F1198" s="4">
        <f>IF(SUMIFS('Daily BSE Equity Cash'!$H:$H,'Daily BSE Equity Cash'!$A:$A,$A1198)=0,"",SUMIFS('Daily BSE Equity Cash'!$H:$H,'Daily BSE Equity Cash'!$A:$A,$A1198))</f>
        <v/>
      </c>
      <c r="G1198" s="4">
        <f>IF(OR(E1198="",F1198=""),"",E1198+F1198)</f>
        <v/>
      </c>
      <c r="H1198" s="7">
        <f>IFERROR(IF(OR(E1198="",INDEX(E:E,MATCH(DATE(YEAR($A1198)-1,MONTH($A1198),DAY($A1198)),$A:$A,0))=""),"",E1198/INDEX(E:E,MATCH(DATE(YEAR($A1198)-1,MONTH($A1198),DAY($A1198)),$A:$A,0))-1),"")</f>
        <v/>
      </c>
      <c r="I1198" s="7">
        <f>IFERROR(IF(OR(F1198="",INDEX(F:F,MATCH(DATE(YEAR($A1198)-1,MONTH($A1198),DAY($A1198)),$A:$A,0))=""),"",F1198/INDEX(F:F,MATCH(DATE(YEAR($A1198)-1,MONTH($A1198),DAY($A1198)),$A:$A,0))-1),"")</f>
        <v/>
      </c>
      <c r="J1198" s="7">
        <f>IFERROR(IF(OR(G1198="",INDEX(G:G,MATCH(DATE(YEAR($A1198)-1,MONTH($A1198),DAY($A1198)),$A:$A,0))=""),"",G1198/INDEX(G:G,MATCH(DATE(YEAR($A1198)-1,MONTH($A1198),DAY($A1198)),$A:$A,0))-1),"")</f>
        <v/>
      </c>
      <c r="K1198" s="7">
        <f>IF(OR(E1198="",E1197=""),"",E1198/E1197-1)</f>
        <v/>
      </c>
      <c r="L1198" s="7">
        <f>IF(OR(F1198="",F1197=""),"",F1198/F1197-1)</f>
        <v/>
      </c>
      <c r="M1198" s="7">
        <f>IF(OR(G1198="",G1197=""),"",G1198/G1197-1)</f>
        <v/>
      </c>
      <c r="N1198" s="7">
        <f>IF(G1198="","",E1198/G1198)</f>
        <v/>
      </c>
      <c r="O1198" s="7">
        <f>IF(G1198="","",F1198/G1198)</f>
        <v/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4">
        <f>IF(SUMIFS('Daily NSE Equity Cash'!$H:$H,'Daily NSE Equity Cash'!$A:$A,$A1199)=0,"",SUMIFS('Daily NSE Equity Cash'!$H:$H,'Daily NSE Equity Cash'!$A:$A,$A1199))</f>
        <v/>
      </c>
      <c r="F1199" s="4">
        <f>IF(SUMIFS('Daily BSE Equity Cash'!$H:$H,'Daily BSE Equity Cash'!$A:$A,$A1199)=0,"",SUMIFS('Daily BSE Equity Cash'!$H:$H,'Daily BSE Equity Cash'!$A:$A,$A1199))</f>
        <v/>
      </c>
      <c r="G1199" s="4">
        <f>IF(OR(E1199="",F1199=""),"",E1199+F1199)</f>
        <v/>
      </c>
      <c r="H1199" s="7">
        <f>IFERROR(IF(OR(E1199="",INDEX(E:E,MATCH(DATE(YEAR($A1199)-1,MONTH($A1199),DAY($A1199)),$A:$A,0))=""),"",E1199/INDEX(E:E,MATCH(DATE(YEAR($A1199)-1,MONTH($A1199),DAY($A1199)),$A:$A,0))-1),"")</f>
        <v/>
      </c>
      <c r="I1199" s="7">
        <f>IFERROR(IF(OR(F1199="",INDEX(F:F,MATCH(DATE(YEAR($A1199)-1,MONTH($A1199),DAY($A1199)),$A:$A,0))=""),"",F1199/INDEX(F:F,MATCH(DATE(YEAR($A1199)-1,MONTH($A1199),DAY($A1199)),$A:$A,0))-1),"")</f>
        <v/>
      </c>
      <c r="J1199" s="7">
        <f>IFERROR(IF(OR(G1199="",INDEX(G:G,MATCH(DATE(YEAR($A1199)-1,MONTH($A1199),DAY($A1199)),$A:$A,0))=""),"",G1199/INDEX(G:G,MATCH(DATE(YEAR($A1199)-1,MONTH($A1199),DAY($A1199)),$A:$A,0))-1),"")</f>
        <v/>
      </c>
      <c r="K1199" s="7">
        <f>IF(OR(E1199="",E1198=""),"",E1199/E1198-1)</f>
        <v/>
      </c>
      <c r="L1199" s="7">
        <f>IF(OR(F1199="",F1198=""),"",F1199/F1198-1)</f>
        <v/>
      </c>
      <c r="M1199" s="7">
        <f>IF(OR(G1199="",G1198=""),"",G1199/G1198-1)</f>
        <v/>
      </c>
      <c r="N1199" s="7">
        <f>IF(G1199="","",E1199/G1199)</f>
        <v/>
      </c>
      <c r="O1199" s="7">
        <f>IF(G1199="","",F1199/G1199)</f>
        <v/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4">
        <f>IF(SUMIFS('Daily NSE Equity Cash'!$H:$H,'Daily NSE Equity Cash'!$A:$A,$A1200)=0,"",SUMIFS('Daily NSE Equity Cash'!$H:$H,'Daily NSE Equity Cash'!$A:$A,$A1200))</f>
        <v/>
      </c>
      <c r="F1200" s="4">
        <f>IF(SUMIFS('Daily BSE Equity Cash'!$H:$H,'Daily BSE Equity Cash'!$A:$A,$A1200)=0,"",SUMIFS('Daily BSE Equity Cash'!$H:$H,'Daily BSE Equity Cash'!$A:$A,$A1200))</f>
        <v/>
      </c>
      <c r="G1200" s="4">
        <f>IF(OR(E1200="",F1200=""),"",E1200+F1200)</f>
        <v/>
      </c>
      <c r="H1200" s="7">
        <f>IFERROR(IF(OR(E1200="",INDEX(E:E,MATCH(DATE(YEAR($A1200)-1,MONTH($A1200),DAY($A1200)),$A:$A,0))=""),"",E1200/INDEX(E:E,MATCH(DATE(YEAR($A1200)-1,MONTH($A1200),DAY($A1200)),$A:$A,0))-1),"")</f>
        <v/>
      </c>
      <c r="I1200" s="7">
        <f>IFERROR(IF(OR(F1200="",INDEX(F:F,MATCH(DATE(YEAR($A1200)-1,MONTH($A1200),DAY($A1200)),$A:$A,0))=""),"",F1200/INDEX(F:F,MATCH(DATE(YEAR($A1200)-1,MONTH($A1200),DAY($A1200)),$A:$A,0))-1),"")</f>
        <v/>
      </c>
      <c r="J1200" s="7">
        <f>IFERROR(IF(OR(G1200="",INDEX(G:G,MATCH(DATE(YEAR($A1200)-1,MONTH($A1200),DAY($A1200)),$A:$A,0))=""),"",G1200/INDEX(G:G,MATCH(DATE(YEAR($A1200)-1,MONTH($A1200),DAY($A1200)),$A:$A,0))-1),"")</f>
        <v/>
      </c>
      <c r="K1200" s="7">
        <f>IF(OR(E1200="",E1199=""),"",E1200/E1199-1)</f>
        <v/>
      </c>
      <c r="L1200" s="7">
        <f>IF(OR(F1200="",F1199=""),"",F1200/F1199-1)</f>
        <v/>
      </c>
      <c r="M1200" s="7">
        <f>IF(OR(G1200="",G1199=""),"",G1200/G1199-1)</f>
        <v/>
      </c>
      <c r="N1200" s="7">
        <f>IF(G1200="","",E1200/G1200)</f>
        <v/>
      </c>
      <c r="O1200" s="7">
        <f>IF(G1200="","",F1200/G1200)</f>
        <v/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4">
        <f>IF(SUMIFS('Daily NSE Equity Cash'!$H:$H,'Daily NSE Equity Cash'!$A:$A,$A1201)=0,"",SUMIFS('Daily NSE Equity Cash'!$H:$H,'Daily NSE Equity Cash'!$A:$A,$A1201))</f>
        <v/>
      </c>
      <c r="F1201" s="4">
        <f>IF(SUMIFS('Daily BSE Equity Cash'!$H:$H,'Daily BSE Equity Cash'!$A:$A,$A1201)=0,"",SUMIFS('Daily BSE Equity Cash'!$H:$H,'Daily BSE Equity Cash'!$A:$A,$A1201))</f>
        <v/>
      </c>
      <c r="G1201" s="4">
        <f>IF(OR(E1201="",F1201=""),"",E1201+F1201)</f>
        <v/>
      </c>
      <c r="H1201" s="7">
        <f>IFERROR(IF(OR(E1201="",INDEX(E:E,MATCH(DATE(YEAR($A1201)-1,MONTH($A1201),DAY($A1201)),$A:$A,0))=""),"",E1201/INDEX(E:E,MATCH(DATE(YEAR($A1201)-1,MONTH($A1201),DAY($A1201)),$A:$A,0))-1),"")</f>
        <v/>
      </c>
      <c r="I1201" s="7">
        <f>IFERROR(IF(OR(F1201="",INDEX(F:F,MATCH(DATE(YEAR($A1201)-1,MONTH($A1201),DAY($A1201)),$A:$A,0))=""),"",F1201/INDEX(F:F,MATCH(DATE(YEAR($A1201)-1,MONTH($A1201),DAY($A1201)),$A:$A,0))-1),"")</f>
        <v/>
      </c>
      <c r="J1201" s="7">
        <f>IFERROR(IF(OR(G1201="",INDEX(G:G,MATCH(DATE(YEAR($A1201)-1,MONTH($A1201),DAY($A1201)),$A:$A,0))=""),"",G1201/INDEX(G:G,MATCH(DATE(YEAR($A1201)-1,MONTH($A1201),DAY($A1201)),$A:$A,0))-1),"")</f>
        <v/>
      </c>
      <c r="K1201" s="7">
        <f>IF(OR(E1201="",E1200=""),"",E1201/E1200-1)</f>
        <v/>
      </c>
      <c r="L1201" s="7">
        <f>IF(OR(F1201="",F1200=""),"",F1201/F1200-1)</f>
        <v/>
      </c>
      <c r="M1201" s="7">
        <f>IF(OR(G1201="",G1200=""),"",G1201/G1200-1)</f>
        <v/>
      </c>
      <c r="N1201" s="7">
        <f>IF(G1201="","",E1201/G1201)</f>
        <v/>
      </c>
      <c r="O1201" s="7">
        <f>IF(G1201="","",F1201/G1201)</f>
        <v/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4">
        <f>IF(SUMIFS('Daily NSE Equity Cash'!$H:$H,'Daily NSE Equity Cash'!$A:$A,$A1202)=0,"",SUMIFS('Daily NSE Equity Cash'!$H:$H,'Daily NSE Equity Cash'!$A:$A,$A1202))</f>
        <v/>
      </c>
      <c r="F1202" s="4">
        <f>IF(SUMIFS('Daily BSE Equity Cash'!$H:$H,'Daily BSE Equity Cash'!$A:$A,$A1202)=0,"",SUMIFS('Daily BSE Equity Cash'!$H:$H,'Daily BSE Equity Cash'!$A:$A,$A1202))</f>
        <v/>
      </c>
      <c r="G1202" s="4">
        <f>IF(OR(E1202="",F1202=""),"",E1202+F1202)</f>
        <v/>
      </c>
      <c r="H1202" s="7">
        <f>IFERROR(IF(OR(E1202="",INDEX(E:E,MATCH(DATE(YEAR($A1202)-1,MONTH($A1202),DAY($A1202)),$A:$A,0))=""),"",E1202/INDEX(E:E,MATCH(DATE(YEAR($A1202)-1,MONTH($A1202),DAY($A1202)),$A:$A,0))-1),"")</f>
        <v/>
      </c>
      <c r="I1202" s="7">
        <f>IFERROR(IF(OR(F1202="",INDEX(F:F,MATCH(DATE(YEAR($A1202)-1,MONTH($A1202),DAY($A1202)),$A:$A,0))=""),"",F1202/INDEX(F:F,MATCH(DATE(YEAR($A1202)-1,MONTH($A1202),DAY($A1202)),$A:$A,0))-1),"")</f>
        <v/>
      </c>
      <c r="J1202" s="7">
        <f>IFERROR(IF(OR(G1202="",INDEX(G:G,MATCH(DATE(YEAR($A1202)-1,MONTH($A1202),DAY($A1202)),$A:$A,0))=""),"",G1202/INDEX(G:G,MATCH(DATE(YEAR($A1202)-1,MONTH($A1202),DAY($A1202)),$A:$A,0))-1),"")</f>
        <v/>
      </c>
      <c r="K1202" s="7">
        <f>IF(OR(E1202="",E1201=""),"",E1202/E1201-1)</f>
        <v/>
      </c>
      <c r="L1202" s="7">
        <f>IF(OR(F1202="",F1201=""),"",F1202/F1201-1)</f>
        <v/>
      </c>
      <c r="M1202" s="7">
        <f>IF(OR(G1202="",G1201=""),"",G1202/G1201-1)</f>
        <v/>
      </c>
      <c r="N1202" s="7">
        <f>IF(G1202="","",E1202/G1202)</f>
        <v/>
      </c>
      <c r="O1202" s="7">
        <f>IF(G1202="","",F1202/G1202)</f>
        <v/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4">
        <f>IF(SUMIFS('Daily NSE Equity Cash'!$H:$H,'Daily NSE Equity Cash'!$A:$A,$A1203)=0,"",SUMIFS('Daily NSE Equity Cash'!$H:$H,'Daily NSE Equity Cash'!$A:$A,$A1203))</f>
        <v/>
      </c>
      <c r="F1203" s="4">
        <f>IF(SUMIFS('Daily BSE Equity Cash'!$H:$H,'Daily BSE Equity Cash'!$A:$A,$A1203)=0,"",SUMIFS('Daily BSE Equity Cash'!$H:$H,'Daily BSE Equity Cash'!$A:$A,$A1203))</f>
        <v/>
      </c>
      <c r="G1203" s="4">
        <f>IF(OR(E1203="",F1203=""),"",E1203+F1203)</f>
        <v/>
      </c>
      <c r="H1203" s="7">
        <f>IFERROR(IF(OR(E1203="",INDEX(E:E,MATCH(DATE(YEAR($A1203)-1,MONTH($A1203),DAY($A1203)),$A:$A,0))=""),"",E1203/INDEX(E:E,MATCH(DATE(YEAR($A1203)-1,MONTH($A1203),DAY($A1203)),$A:$A,0))-1),"")</f>
        <v/>
      </c>
      <c r="I1203" s="7">
        <f>IFERROR(IF(OR(F1203="",INDEX(F:F,MATCH(DATE(YEAR($A1203)-1,MONTH($A1203),DAY($A1203)),$A:$A,0))=""),"",F1203/INDEX(F:F,MATCH(DATE(YEAR($A1203)-1,MONTH($A1203),DAY($A1203)),$A:$A,0))-1),"")</f>
        <v/>
      </c>
      <c r="J1203" s="7">
        <f>IFERROR(IF(OR(G1203="",INDEX(G:G,MATCH(DATE(YEAR($A1203)-1,MONTH($A1203),DAY($A1203)),$A:$A,0))=""),"",G1203/INDEX(G:G,MATCH(DATE(YEAR($A1203)-1,MONTH($A1203),DAY($A1203)),$A:$A,0))-1),"")</f>
        <v/>
      </c>
      <c r="K1203" s="7">
        <f>IF(OR(E1203="",E1202=""),"",E1203/E1202-1)</f>
        <v/>
      </c>
      <c r="L1203" s="7">
        <f>IF(OR(F1203="",F1202=""),"",F1203/F1202-1)</f>
        <v/>
      </c>
      <c r="M1203" s="7">
        <f>IF(OR(G1203="",G1202=""),"",G1203/G1202-1)</f>
        <v/>
      </c>
      <c r="N1203" s="7">
        <f>IF(G1203="","",E1203/G1203)</f>
        <v/>
      </c>
      <c r="O1203" s="7">
        <f>IF(G1203="","",F1203/G1203)</f>
        <v/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4">
        <f>IF(SUMIFS('Daily NSE Equity Cash'!$H:$H,'Daily NSE Equity Cash'!$A:$A,$A1204)=0,"",SUMIFS('Daily NSE Equity Cash'!$H:$H,'Daily NSE Equity Cash'!$A:$A,$A1204))</f>
        <v/>
      </c>
      <c r="F1204" s="4">
        <f>IF(SUMIFS('Daily BSE Equity Cash'!$H:$H,'Daily BSE Equity Cash'!$A:$A,$A1204)=0,"",SUMIFS('Daily BSE Equity Cash'!$H:$H,'Daily BSE Equity Cash'!$A:$A,$A1204))</f>
        <v/>
      </c>
      <c r="G1204" s="4">
        <f>IF(OR(E1204="",F1204=""),"",E1204+F1204)</f>
        <v/>
      </c>
      <c r="H1204" s="7">
        <f>IFERROR(IF(OR(E1204="",INDEX(E:E,MATCH(DATE(YEAR($A1204)-1,MONTH($A1204),DAY($A1204)),$A:$A,0))=""),"",E1204/INDEX(E:E,MATCH(DATE(YEAR($A1204)-1,MONTH($A1204),DAY($A1204)),$A:$A,0))-1),"")</f>
        <v/>
      </c>
      <c r="I1204" s="7">
        <f>IFERROR(IF(OR(F1204="",INDEX(F:F,MATCH(DATE(YEAR($A1204)-1,MONTH($A1204),DAY($A1204)),$A:$A,0))=""),"",F1204/INDEX(F:F,MATCH(DATE(YEAR($A1204)-1,MONTH($A1204),DAY($A1204)),$A:$A,0))-1),"")</f>
        <v/>
      </c>
      <c r="J1204" s="7">
        <f>IFERROR(IF(OR(G1204="",INDEX(G:G,MATCH(DATE(YEAR($A1204)-1,MONTH($A1204),DAY($A1204)),$A:$A,0))=""),"",G1204/INDEX(G:G,MATCH(DATE(YEAR($A1204)-1,MONTH($A1204),DAY($A1204)),$A:$A,0))-1),"")</f>
        <v/>
      </c>
      <c r="K1204" s="7">
        <f>IF(OR(E1204="",E1203=""),"",E1204/E1203-1)</f>
        <v/>
      </c>
      <c r="L1204" s="7">
        <f>IF(OR(F1204="",F1203=""),"",F1204/F1203-1)</f>
        <v/>
      </c>
      <c r="M1204" s="7">
        <f>IF(OR(G1204="",G1203=""),"",G1204/G1203-1)</f>
        <v/>
      </c>
      <c r="N1204" s="7">
        <f>IF(G1204="","",E1204/G1204)</f>
        <v/>
      </c>
      <c r="O1204" s="7">
        <f>IF(G1204="","",F1204/G1204)</f>
        <v/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4">
        <f>IF(SUMIFS('Daily NSE Equity Cash'!$H:$H,'Daily NSE Equity Cash'!$A:$A,$A1205)=0,"",SUMIFS('Daily NSE Equity Cash'!$H:$H,'Daily NSE Equity Cash'!$A:$A,$A1205))</f>
        <v/>
      </c>
      <c r="F1205" s="4">
        <f>IF(SUMIFS('Daily BSE Equity Cash'!$H:$H,'Daily BSE Equity Cash'!$A:$A,$A1205)=0,"",SUMIFS('Daily BSE Equity Cash'!$H:$H,'Daily BSE Equity Cash'!$A:$A,$A1205))</f>
        <v/>
      </c>
      <c r="G1205" s="4">
        <f>IF(OR(E1205="",F1205=""),"",E1205+F1205)</f>
        <v/>
      </c>
      <c r="H1205" s="7">
        <f>IFERROR(IF(OR(E1205="",INDEX(E:E,MATCH(DATE(YEAR($A1205)-1,MONTH($A1205),DAY($A1205)),$A:$A,0))=""),"",E1205/INDEX(E:E,MATCH(DATE(YEAR($A1205)-1,MONTH($A1205),DAY($A1205)),$A:$A,0))-1),"")</f>
        <v/>
      </c>
      <c r="I1205" s="7">
        <f>IFERROR(IF(OR(F1205="",INDEX(F:F,MATCH(DATE(YEAR($A1205)-1,MONTH($A1205),DAY($A1205)),$A:$A,0))=""),"",F1205/INDEX(F:F,MATCH(DATE(YEAR($A1205)-1,MONTH($A1205),DAY($A1205)),$A:$A,0))-1),"")</f>
        <v/>
      </c>
      <c r="J1205" s="7">
        <f>IFERROR(IF(OR(G1205="",INDEX(G:G,MATCH(DATE(YEAR($A1205)-1,MONTH($A1205),DAY($A1205)),$A:$A,0))=""),"",G1205/INDEX(G:G,MATCH(DATE(YEAR($A1205)-1,MONTH($A1205),DAY($A1205)),$A:$A,0))-1),"")</f>
        <v/>
      </c>
      <c r="K1205" s="7">
        <f>IF(OR(E1205="",E1204=""),"",E1205/E1204-1)</f>
        <v/>
      </c>
      <c r="L1205" s="7">
        <f>IF(OR(F1205="",F1204=""),"",F1205/F1204-1)</f>
        <v/>
      </c>
      <c r="M1205" s="7">
        <f>IF(OR(G1205="",G1204=""),"",G1205/G1204-1)</f>
        <v/>
      </c>
      <c r="N1205" s="7">
        <f>IF(G1205="","",E1205/G1205)</f>
        <v/>
      </c>
      <c r="O1205" s="7">
        <f>IF(G1205="","",F1205/G1205)</f>
        <v/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4">
        <f>IF(SUMIFS('Daily NSE Equity Cash'!$H:$H,'Daily NSE Equity Cash'!$A:$A,$A1206)=0,"",SUMIFS('Daily NSE Equity Cash'!$H:$H,'Daily NSE Equity Cash'!$A:$A,$A1206))</f>
        <v/>
      </c>
      <c r="F1206" s="4">
        <f>IF(SUMIFS('Daily BSE Equity Cash'!$H:$H,'Daily BSE Equity Cash'!$A:$A,$A1206)=0,"",SUMIFS('Daily BSE Equity Cash'!$H:$H,'Daily BSE Equity Cash'!$A:$A,$A1206))</f>
        <v/>
      </c>
      <c r="G1206" s="4">
        <f>IF(OR(E1206="",F1206=""),"",E1206+F1206)</f>
        <v/>
      </c>
      <c r="H1206" s="7">
        <f>IFERROR(IF(OR(E1206="",INDEX(E:E,MATCH(DATE(YEAR($A1206)-1,MONTH($A1206),DAY($A1206)),$A:$A,0))=""),"",E1206/INDEX(E:E,MATCH(DATE(YEAR($A1206)-1,MONTH($A1206),DAY($A1206)),$A:$A,0))-1),"")</f>
        <v/>
      </c>
      <c r="I1206" s="7">
        <f>IFERROR(IF(OR(F1206="",INDEX(F:F,MATCH(DATE(YEAR($A1206)-1,MONTH($A1206),DAY($A1206)),$A:$A,0))=""),"",F1206/INDEX(F:F,MATCH(DATE(YEAR($A1206)-1,MONTH($A1206),DAY($A1206)),$A:$A,0))-1),"")</f>
        <v/>
      </c>
      <c r="J1206" s="7">
        <f>IFERROR(IF(OR(G1206="",INDEX(G:G,MATCH(DATE(YEAR($A1206)-1,MONTH($A1206),DAY($A1206)),$A:$A,0))=""),"",G1206/INDEX(G:G,MATCH(DATE(YEAR($A1206)-1,MONTH($A1206),DAY($A1206)),$A:$A,0))-1),"")</f>
        <v/>
      </c>
      <c r="K1206" s="7">
        <f>IF(OR(E1206="",E1205=""),"",E1206/E1205-1)</f>
        <v/>
      </c>
      <c r="L1206" s="7">
        <f>IF(OR(F1206="",F1205=""),"",F1206/F1205-1)</f>
        <v/>
      </c>
      <c r="M1206" s="7">
        <f>IF(OR(G1206="",G1205=""),"",G1206/G1205-1)</f>
        <v/>
      </c>
      <c r="N1206" s="7">
        <f>IF(G1206="","",E1206/G1206)</f>
        <v/>
      </c>
      <c r="O1206" s="7">
        <f>IF(G1206="","",F1206/G1206)</f>
        <v/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4">
        <f>IF(SUMIFS('Daily NSE Equity Cash'!$H:$H,'Daily NSE Equity Cash'!$A:$A,$A1207)=0,"",SUMIFS('Daily NSE Equity Cash'!$H:$H,'Daily NSE Equity Cash'!$A:$A,$A1207))</f>
        <v/>
      </c>
      <c r="F1207" s="4">
        <f>IF(SUMIFS('Daily BSE Equity Cash'!$H:$H,'Daily BSE Equity Cash'!$A:$A,$A1207)=0,"",SUMIFS('Daily BSE Equity Cash'!$H:$H,'Daily BSE Equity Cash'!$A:$A,$A1207))</f>
        <v/>
      </c>
      <c r="G1207" s="4">
        <f>IF(OR(E1207="",F1207=""),"",E1207+F1207)</f>
        <v/>
      </c>
      <c r="H1207" s="7">
        <f>IFERROR(IF(OR(E1207="",INDEX(E:E,MATCH(DATE(YEAR($A1207)-1,MONTH($A1207),DAY($A1207)),$A:$A,0))=""),"",E1207/INDEX(E:E,MATCH(DATE(YEAR($A1207)-1,MONTH($A1207),DAY($A1207)),$A:$A,0))-1),"")</f>
        <v/>
      </c>
      <c r="I1207" s="7">
        <f>IFERROR(IF(OR(F1207="",INDEX(F:F,MATCH(DATE(YEAR($A1207)-1,MONTH($A1207),DAY($A1207)),$A:$A,0))=""),"",F1207/INDEX(F:F,MATCH(DATE(YEAR($A1207)-1,MONTH($A1207),DAY($A1207)),$A:$A,0))-1),"")</f>
        <v/>
      </c>
      <c r="J1207" s="7">
        <f>IFERROR(IF(OR(G1207="",INDEX(G:G,MATCH(DATE(YEAR($A1207)-1,MONTH($A1207),DAY($A1207)),$A:$A,0))=""),"",G1207/INDEX(G:G,MATCH(DATE(YEAR($A1207)-1,MONTH($A1207),DAY($A1207)),$A:$A,0))-1),"")</f>
        <v/>
      </c>
      <c r="K1207" s="7">
        <f>IF(OR(E1207="",E1206=""),"",E1207/E1206-1)</f>
        <v/>
      </c>
      <c r="L1207" s="7">
        <f>IF(OR(F1207="",F1206=""),"",F1207/F1206-1)</f>
        <v/>
      </c>
      <c r="M1207" s="7">
        <f>IF(OR(G1207="",G1206=""),"",G1207/G1206-1)</f>
        <v/>
      </c>
      <c r="N1207" s="7">
        <f>IF(G1207="","",E1207/G1207)</f>
        <v/>
      </c>
      <c r="O1207" s="7">
        <f>IF(G1207="","",F1207/G1207)</f>
        <v/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4">
        <f>IF(SUMIFS('Daily NSE Equity Cash'!$H:$H,'Daily NSE Equity Cash'!$A:$A,$A1208)=0,"",SUMIFS('Daily NSE Equity Cash'!$H:$H,'Daily NSE Equity Cash'!$A:$A,$A1208))</f>
        <v/>
      </c>
      <c r="F1208" s="4">
        <f>IF(SUMIFS('Daily BSE Equity Cash'!$H:$H,'Daily BSE Equity Cash'!$A:$A,$A1208)=0,"",SUMIFS('Daily BSE Equity Cash'!$H:$H,'Daily BSE Equity Cash'!$A:$A,$A1208))</f>
        <v/>
      </c>
      <c r="G1208" s="4">
        <f>IF(OR(E1208="",F1208=""),"",E1208+F1208)</f>
        <v/>
      </c>
      <c r="H1208" s="7">
        <f>IFERROR(IF(OR(E1208="",INDEX(E:E,MATCH(DATE(YEAR($A1208)-1,MONTH($A1208),DAY($A1208)),$A:$A,0))=""),"",E1208/INDEX(E:E,MATCH(DATE(YEAR($A1208)-1,MONTH($A1208),DAY($A1208)),$A:$A,0))-1),"")</f>
        <v/>
      </c>
      <c r="I1208" s="7">
        <f>IFERROR(IF(OR(F1208="",INDEX(F:F,MATCH(DATE(YEAR($A1208)-1,MONTH($A1208),DAY($A1208)),$A:$A,0))=""),"",F1208/INDEX(F:F,MATCH(DATE(YEAR($A1208)-1,MONTH($A1208),DAY($A1208)),$A:$A,0))-1),"")</f>
        <v/>
      </c>
      <c r="J1208" s="7">
        <f>IFERROR(IF(OR(G1208="",INDEX(G:G,MATCH(DATE(YEAR($A1208)-1,MONTH($A1208),DAY($A1208)),$A:$A,0))=""),"",G1208/INDEX(G:G,MATCH(DATE(YEAR($A1208)-1,MONTH($A1208),DAY($A1208)),$A:$A,0))-1),"")</f>
        <v/>
      </c>
      <c r="K1208" s="7">
        <f>IF(OR(E1208="",E1207=""),"",E1208/E1207-1)</f>
        <v/>
      </c>
      <c r="L1208" s="7">
        <f>IF(OR(F1208="",F1207=""),"",F1208/F1207-1)</f>
        <v/>
      </c>
      <c r="M1208" s="7">
        <f>IF(OR(G1208="",G1207=""),"",G1208/G1207-1)</f>
        <v/>
      </c>
      <c r="N1208" s="7">
        <f>IF(G1208="","",E1208/G1208)</f>
        <v/>
      </c>
      <c r="O1208" s="7">
        <f>IF(G1208="","",F1208/G1208)</f>
        <v/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4">
        <f>IF(SUMIFS('Daily NSE Equity Cash'!$H:$H,'Daily NSE Equity Cash'!$A:$A,$A1209)=0,"",SUMIFS('Daily NSE Equity Cash'!$H:$H,'Daily NSE Equity Cash'!$A:$A,$A1209))</f>
        <v/>
      </c>
      <c r="F1209" s="4">
        <f>IF(SUMIFS('Daily BSE Equity Cash'!$H:$H,'Daily BSE Equity Cash'!$A:$A,$A1209)=0,"",SUMIFS('Daily BSE Equity Cash'!$H:$H,'Daily BSE Equity Cash'!$A:$A,$A1209))</f>
        <v/>
      </c>
      <c r="G1209" s="4">
        <f>IF(OR(E1209="",F1209=""),"",E1209+F1209)</f>
        <v/>
      </c>
      <c r="H1209" s="7">
        <f>IFERROR(IF(OR(E1209="",INDEX(E:E,MATCH(DATE(YEAR($A1209)-1,MONTH($A1209),DAY($A1209)),$A:$A,0))=""),"",E1209/INDEX(E:E,MATCH(DATE(YEAR($A1209)-1,MONTH($A1209),DAY($A1209)),$A:$A,0))-1),"")</f>
        <v/>
      </c>
      <c r="I1209" s="7">
        <f>IFERROR(IF(OR(F1209="",INDEX(F:F,MATCH(DATE(YEAR($A1209)-1,MONTH($A1209),DAY($A1209)),$A:$A,0))=""),"",F1209/INDEX(F:F,MATCH(DATE(YEAR($A1209)-1,MONTH($A1209),DAY($A1209)),$A:$A,0))-1),"")</f>
        <v/>
      </c>
      <c r="J1209" s="7">
        <f>IFERROR(IF(OR(G1209="",INDEX(G:G,MATCH(DATE(YEAR($A1209)-1,MONTH($A1209),DAY($A1209)),$A:$A,0))=""),"",G1209/INDEX(G:G,MATCH(DATE(YEAR($A1209)-1,MONTH($A1209),DAY($A1209)),$A:$A,0))-1),"")</f>
        <v/>
      </c>
      <c r="K1209" s="7">
        <f>IF(OR(E1209="",E1208=""),"",E1209/E1208-1)</f>
        <v/>
      </c>
      <c r="L1209" s="7">
        <f>IF(OR(F1209="",F1208=""),"",F1209/F1208-1)</f>
        <v/>
      </c>
      <c r="M1209" s="7">
        <f>IF(OR(G1209="",G1208=""),"",G1209/G1208-1)</f>
        <v/>
      </c>
      <c r="N1209" s="7">
        <f>IF(G1209="","",E1209/G1209)</f>
        <v/>
      </c>
      <c r="O1209" s="7">
        <f>IF(G1209="","",F1209/G1209)</f>
        <v/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4">
        <f>IF(SUMIFS('Daily NSE Equity Cash'!$H:$H,'Daily NSE Equity Cash'!$A:$A,$A1210)=0,"",SUMIFS('Daily NSE Equity Cash'!$H:$H,'Daily NSE Equity Cash'!$A:$A,$A1210))</f>
        <v/>
      </c>
      <c r="F1210" s="4">
        <f>IF(SUMIFS('Daily BSE Equity Cash'!$H:$H,'Daily BSE Equity Cash'!$A:$A,$A1210)=0,"",SUMIFS('Daily BSE Equity Cash'!$H:$H,'Daily BSE Equity Cash'!$A:$A,$A1210))</f>
        <v/>
      </c>
      <c r="G1210" s="4">
        <f>IF(OR(E1210="",F1210=""),"",E1210+F1210)</f>
        <v/>
      </c>
      <c r="H1210" s="7">
        <f>IFERROR(IF(OR(E1210="",INDEX(E:E,MATCH(DATE(YEAR($A1210)-1,MONTH($A1210),DAY($A1210)),$A:$A,0))=""),"",E1210/INDEX(E:E,MATCH(DATE(YEAR($A1210)-1,MONTH($A1210),DAY($A1210)),$A:$A,0))-1),"")</f>
        <v/>
      </c>
      <c r="I1210" s="7">
        <f>IFERROR(IF(OR(F1210="",INDEX(F:F,MATCH(DATE(YEAR($A1210)-1,MONTH($A1210),DAY($A1210)),$A:$A,0))=""),"",F1210/INDEX(F:F,MATCH(DATE(YEAR($A1210)-1,MONTH($A1210),DAY($A1210)),$A:$A,0))-1),"")</f>
        <v/>
      </c>
      <c r="J1210" s="7">
        <f>IFERROR(IF(OR(G1210="",INDEX(G:G,MATCH(DATE(YEAR($A1210)-1,MONTH($A1210),DAY($A1210)),$A:$A,0))=""),"",G1210/INDEX(G:G,MATCH(DATE(YEAR($A1210)-1,MONTH($A1210),DAY($A1210)),$A:$A,0))-1),"")</f>
        <v/>
      </c>
      <c r="K1210" s="7">
        <f>IF(OR(E1210="",E1209=""),"",E1210/E1209-1)</f>
        <v/>
      </c>
      <c r="L1210" s="7">
        <f>IF(OR(F1210="",F1209=""),"",F1210/F1209-1)</f>
        <v/>
      </c>
      <c r="M1210" s="7">
        <f>IF(OR(G1210="",G1209=""),"",G1210/G1209-1)</f>
        <v/>
      </c>
      <c r="N1210" s="7">
        <f>IF(G1210="","",E1210/G1210)</f>
        <v/>
      </c>
      <c r="O1210" s="7">
        <f>IF(G1210="","",F1210/G1210)</f>
        <v/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4">
        <f>IF(SUMIFS('Daily NSE Equity Cash'!$H:$H,'Daily NSE Equity Cash'!$A:$A,$A1211)=0,"",SUMIFS('Daily NSE Equity Cash'!$H:$H,'Daily NSE Equity Cash'!$A:$A,$A1211))</f>
        <v/>
      </c>
      <c r="F1211" s="4">
        <f>IF(SUMIFS('Daily BSE Equity Cash'!$H:$H,'Daily BSE Equity Cash'!$A:$A,$A1211)=0,"",SUMIFS('Daily BSE Equity Cash'!$H:$H,'Daily BSE Equity Cash'!$A:$A,$A1211))</f>
        <v/>
      </c>
      <c r="G1211" s="4">
        <f>IF(OR(E1211="",F1211=""),"",E1211+F1211)</f>
        <v/>
      </c>
      <c r="H1211" s="7">
        <f>IFERROR(IF(OR(E1211="",INDEX(E:E,MATCH(DATE(YEAR($A1211)-1,MONTH($A1211),DAY($A1211)),$A:$A,0))=""),"",E1211/INDEX(E:E,MATCH(DATE(YEAR($A1211)-1,MONTH($A1211),DAY($A1211)),$A:$A,0))-1),"")</f>
        <v/>
      </c>
      <c r="I1211" s="7">
        <f>IFERROR(IF(OR(F1211="",INDEX(F:F,MATCH(DATE(YEAR($A1211)-1,MONTH($A1211),DAY($A1211)),$A:$A,0))=""),"",F1211/INDEX(F:F,MATCH(DATE(YEAR($A1211)-1,MONTH($A1211),DAY($A1211)),$A:$A,0))-1),"")</f>
        <v/>
      </c>
      <c r="J1211" s="7">
        <f>IFERROR(IF(OR(G1211="",INDEX(G:G,MATCH(DATE(YEAR($A1211)-1,MONTH($A1211),DAY($A1211)),$A:$A,0))=""),"",G1211/INDEX(G:G,MATCH(DATE(YEAR($A1211)-1,MONTH($A1211),DAY($A1211)),$A:$A,0))-1),"")</f>
        <v/>
      </c>
      <c r="K1211" s="7">
        <f>IF(OR(E1211="",E1210=""),"",E1211/E1210-1)</f>
        <v/>
      </c>
      <c r="L1211" s="7">
        <f>IF(OR(F1211="",F1210=""),"",F1211/F1210-1)</f>
        <v/>
      </c>
      <c r="M1211" s="7">
        <f>IF(OR(G1211="",G1210=""),"",G1211/G1210-1)</f>
        <v/>
      </c>
      <c r="N1211" s="7">
        <f>IF(G1211="","",E1211/G1211)</f>
        <v/>
      </c>
      <c r="O1211" s="7">
        <f>IF(G1211="","",F1211/G1211)</f>
        <v/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4">
        <f>IF(SUMIFS('Daily NSE Equity Cash'!$H:$H,'Daily NSE Equity Cash'!$A:$A,$A1212)=0,"",SUMIFS('Daily NSE Equity Cash'!$H:$H,'Daily NSE Equity Cash'!$A:$A,$A1212))</f>
        <v/>
      </c>
      <c r="F1212" s="4">
        <f>IF(SUMIFS('Daily BSE Equity Cash'!$H:$H,'Daily BSE Equity Cash'!$A:$A,$A1212)=0,"",SUMIFS('Daily BSE Equity Cash'!$H:$H,'Daily BSE Equity Cash'!$A:$A,$A1212))</f>
        <v/>
      </c>
      <c r="G1212" s="4">
        <f>IF(OR(E1212="",F1212=""),"",E1212+F1212)</f>
        <v/>
      </c>
      <c r="H1212" s="7">
        <f>IFERROR(IF(OR(E1212="",INDEX(E:E,MATCH(DATE(YEAR($A1212)-1,MONTH($A1212),DAY($A1212)),$A:$A,0))=""),"",E1212/INDEX(E:E,MATCH(DATE(YEAR($A1212)-1,MONTH($A1212),DAY($A1212)),$A:$A,0))-1),"")</f>
        <v/>
      </c>
      <c r="I1212" s="7">
        <f>IFERROR(IF(OR(F1212="",INDEX(F:F,MATCH(DATE(YEAR($A1212)-1,MONTH($A1212),DAY($A1212)),$A:$A,0))=""),"",F1212/INDEX(F:F,MATCH(DATE(YEAR($A1212)-1,MONTH($A1212),DAY($A1212)),$A:$A,0))-1),"")</f>
        <v/>
      </c>
      <c r="J1212" s="7">
        <f>IFERROR(IF(OR(G1212="",INDEX(G:G,MATCH(DATE(YEAR($A1212)-1,MONTH($A1212),DAY($A1212)),$A:$A,0))=""),"",G1212/INDEX(G:G,MATCH(DATE(YEAR($A1212)-1,MONTH($A1212),DAY($A1212)),$A:$A,0))-1),"")</f>
        <v/>
      </c>
      <c r="K1212" s="7">
        <f>IF(OR(E1212="",E1211=""),"",E1212/E1211-1)</f>
        <v/>
      </c>
      <c r="L1212" s="7">
        <f>IF(OR(F1212="",F1211=""),"",F1212/F1211-1)</f>
        <v/>
      </c>
      <c r="M1212" s="7">
        <f>IF(OR(G1212="",G1211=""),"",G1212/G1211-1)</f>
        <v/>
      </c>
      <c r="N1212" s="7">
        <f>IF(G1212="","",E1212/G1212)</f>
        <v/>
      </c>
      <c r="O1212" s="7">
        <f>IF(G1212="","",F1212/G1212)</f>
        <v/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4">
        <f>IF(SUMIFS('Daily NSE Equity Cash'!$H:$H,'Daily NSE Equity Cash'!$A:$A,$A1213)=0,"",SUMIFS('Daily NSE Equity Cash'!$H:$H,'Daily NSE Equity Cash'!$A:$A,$A1213))</f>
        <v/>
      </c>
      <c r="F1213" s="4">
        <f>IF(SUMIFS('Daily BSE Equity Cash'!$H:$H,'Daily BSE Equity Cash'!$A:$A,$A1213)=0,"",SUMIFS('Daily BSE Equity Cash'!$H:$H,'Daily BSE Equity Cash'!$A:$A,$A1213))</f>
        <v/>
      </c>
      <c r="G1213" s="4">
        <f>IF(OR(E1213="",F1213=""),"",E1213+F1213)</f>
        <v/>
      </c>
      <c r="H1213" s="7">
        <f>IFERROR(IF(OR(E1213="",INDEX(E:E,MATCH(DATE(YEAR($A1213)-1,MONTH($A1213),DAY($A1213)),$A:$A,0))=""),"",E1213/INDEX(E:E,MATCH(DATE(YEAR($A1213)-1,MONTH($A1213),DAY($A1213)),$A:$A,0))-1),"")</f>
        <v/>
      </c>
      <c r="I1213" s="7">
        <f>IFERROR(IF(OR(F1213="",INDEX(F:F,MATCH(DATE(YEAR($A1213)-1,MONTH($A1213),DAY($A1213)),$A:$A,0))=""),"",F1213/INDEX(F:F,MATCH(DATE(YEAR($A1213)-1,MONTH($A1213),DAY($A1213)),$A:$A,0))-1),"")</f>
        <v/>
      </c>
      <c r="J1213" s="7">
        <f>IFERROR(IF(OR(G1213="",INDEX(G:G,MATCH(DATE(YEAR($A1213)-1,MONTH($A1213),DAY($A1213)),$A:$A,0))=""),"",G1213/INDEX(G:G,MATCH(DATE(YEAR($A1213)-1,MONTH($A1213),DAY($A1213)),$A:$A,0))-1),"")</f>
        <v/>
      </c>
      <c r="K1213" s="7">
        <f>IF(OR(E1213="",E1212=""),"",E1213/E1212-1)</f>
        <v/>
      </c>
      <c r="L1213" s="7">
        <f>IF(OR(F1213="",F1212=""),"",F1213/F1212-1)</f>
        <v/>
      </c>
      <c r="M1213" s="7">
        <f>IF(OR(G1213="",G1212=""),"",G1213/G1212-1)</f>
        <v/>
      </c>
      <c r="N1213" s="7">
        <f>IF(G1213="","",E1213/G1213)</f>
        <v/>
      </c>
      <c r="O1213" s="7">
        <f>IF(G1213="","",F1213/G1213)</f>
        <v/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4">
        <f>IF(SUMIFS('Daily NSE Equity Cash'!$H:$H,'Daily NSE Equity Cash'!$A:$A,$A1214)=0,"",SUMIFS('Daily NSE Equity Cash'!$H:$H,'Daily NSE Equity Cash'!$A:$A,$A1214))</f>
        <v/>
      </c>
      <c r="F1214" s="4">
        <f>IF(SUMIFS('Daily BSE Equity Cash'!$H:$H,'Daily BSE Equity Cash'!$A:$A,$A1214)=0,"",SUMIFS('Daily BSE Equity Cash'!$H:$H,'Daily BSE Equity Cash'!$A:$A,$A1214))</f>
        <v/>
      </c>
      <c r="G1214" s="4">
        <f>IF(OR(E1214="",F1214=""),"",E1214+F1214)</f>
        <v/>
      </c>
      <c r="H1214" s="7">
        <f>IFERROR(IF(OR(E1214="",INDEX(E:E,MATCH(DATE(YEAR($A1214)-1,MONTH($A1214),DAY($A1214)),$A:$A,0))=""),"",E1214/INDEX(E:E,MATCH(DATE(YEAR($A1214)-1,MONTH($A1214),DAY($A1214)),$A:$A,0))-1),"")</f>
        <v/>
      </c>
      <c r="I1214" s="7">
        <f>IFERROR(IF(OR(F1214="",INDEX(F:F,MATCH(DATE(YEAR($A1214)-1,MONTH($A1214),DAY($A1214)),$A:$A,0))=""),"",F1214/INDEX(F:F,MATCH(DATE(YEAR($A1214)-1,MONTH($A1214),DAY($A1214)),$A:$A,0))-1),"")</f>
        <v/>
      </c>
      <c r="J1214" s="7">
        <f>IFERROR(IF(OR(G1214="",INDEX(G:G,MATCH(DATE(YEAR($A1214)-1,MONTH($A1214),DAY($A1214)),$A:$A,0))=""),"",G1214/INDEX(G:G,MATCH(DATE(YEAR($A1214)-1,MONTH($A1214),DAY($A1214)),$A:$A,0))-1),"")</f>
        <v/>
      </c>
      <c r="K1214" s="7">
        <f>IF(OR(E1214="",E1213=""),"",E1214/E1213-1)</f>
        <v/>
      </c>
      <c r="L1214" s="7">
        <f>IF(OR(F1214="",F1213=""),"",F1214/F1213-1)</f>
        <v/>
      </c>
      <c r="M1214" s="7">
        <f>IF(OR(G1214="",G1213=""),"",G1214/G1213-1)</f>
        <v/>
      </c>
      <c r="N1214" s="7">
        <f>IF(G1214="","",E1214/G1214)</f>
        <v/>
      </c>
      <c r="O1214" s="7">
        <f>IF(G1214="","",F1214/G1214)</f>
        <v/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4">
        <f>IF(SUMIFS('Daily NSE Equity Cash'!$H:$H,'Daily NSE Equity Cash'!$A:$A,$A1215)=0,"",SUMIFS('Daily NSE Equity Cash'!$H:$H,'Daily NSE Equity Cash'!$A:$A,$A1215))</f>
        <v/>
      </c>
      <c r="F1215" s="4">
        <f>IF(SUMIFS('Daily BSE Equity Cash'!$H:$H,'Daily BSE Equity Cash'!$A:$A,$A1215)=0,"",SUMIFS('Daily BSE Equity Cash'!$H:$H,'Daily BSE Equity Cash'!$A:$A,$A1215))</f>
        <v/>
      </c>
      <c r="G1215" s="4">
        <f>IF(OR(E1215="",F1215=""),"",E1215+F1215)</f>
        <v/>
      </c>
      <c r="H1215" s="7">
        <f>IFERROR(IF(OR(E1215="",INDEX(E:E,MATCH(DATE(YEAR($A1215)-1,MONTH($A1215),DAY($A1215)),$A:$A,0))=""),"",E1215/INDEX(E:E,MATCH(DATE(YEAR($A1215)-1,MONTH($A1215),DAY($A1215)),$A:$A,0))-1),"")</f>
        <v/>
      </c>
      <c r="I1215" s="7">
        <f>IFERROR(IF(OR(F1215="",INDEX(F:F,MATCH(DATE(YEAR($A1215)-1,MONTH($A1215),DAY($A1215)),$A:$A,0))=""),"",F1215/INDEX(F:F,MATCH(DATE(YEAR($A1215)-1,MONTH($A1215),DAY($A1215)),$A:$A,0))-1),"")</f>
        <v/>
      </c>
      <c r="J1215" s="7">
        <f>IFERROR(IF(OR(G1215="",INDEX(G:G,MATCH(DATE(YEAR($A1215)-1,MONTH($A1215),DAY($A1215)),$A:$A,0))=""),"",G1215/INDEX(G:G,MATCH(DATE(YEAR($A1215)-1,MONTH($A1215),DAY($A1215)),$A:$A,0))-1),"")</f>
        <v/>
      </c>
      <c r="K1215" s="7">
        <f>IF(OR(E1215="",E1214=""),"",E1215/E1214-1)</f>
        <v/>
      </c>
      <c r="L1215" s="7">
        <f>IF(OR(F1215="",F1214=""),"",F1215/F1214-1)</f>
        <v/>
      </c>
      <c r="M1215" s="7">
        <f>IF(OR(G1215="",G1214=""),"",G1215/G1214-1)</f>
        <v/>
      </c>
      <c r="N1215" s="7">
        <f>IF(G1215="","",E1215/G1215)</f>
        <v/>
      </c>
      <c r="O1215" s="7">
        <f>IF(G1215="","",F1215/G1215)</f>
        <v/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4">
        <f>IF(SUMIFS('Daily NSE Equity Cash'!$H:$H,'Daily NSE Equity Cash'!$A:$A,$A1216)=0,"",SUMIFS('Daily NSE Equity Cash'!$H:$H,'Daily NSE Equity Cash'!$A:$A,$A1216))</f>
        <v/>
      </c>
      <c r="F1216" s="4">
        <f>IF(SUMIFS('Daily BSE Equity Cash'!$H:$H,'Daily BSE Equity Cash'!$A:$A,$A1216)=0,"",SUMIFS('Daily BSE Equity Cash'!$H:$H,'Daily BSE Equity Cash'!$A:$A,$A1216))</f>
        <v/>
      </c>
      <c r="G1216" s="4">
        <f>IF(OR(E1216="",F1216=""),"",E1216+F1216)</f>
        <v/>
      </c>
      <c r="H1216" s="7">
        <f>IFERROR(IF(OR(E1216="",INDEX(E:E,MATCH(DATE(YEAR($A1216)-1,MONTH($A1216),DAY($A1216)),$A:$A,0))=""),"",E1216/INDEX(E:E,MATCH(DATE(YEAR($A1216)-1,MONTH($A1216),DAY($A1216)),$A:$A,0))-1),"")</f>
        <v/>
      </c>
      <c r="I1216" s="7">
        <f>IFERROR(IF(OR(F1216="",INDEX(F:F,MATCH(DATE(YEAR($A1216)-1,MONTH($A1216),DAY($A1216)),$A:$A,0))=""),"",F1216/INDEX(F:F,MATCH(DATE(YEAR($A1216)-1,MONTH($A1216),DAY($A1216)),$A:$A,0))-1),"")</f>
        <v/>
      </c>
      <c r="J1216" s="7">
        <f>IFERROR(IF(OR(G1216="",INDEX(G:G,MATCH(DATE(YEAR($A1216)-1,MONTH($A1216),DAY($A1216)),$A:$A,0))=""),"",G1216/INDEX(G:G,MATCH(DATE(YEAR($A1216)-1,MONTH($A1216),DAY($A1216)),$A:$A,0))-1),"")</f>
        <v/>
      </c>
      <c r="K1216" s="7">
        <f>IF(OR(E1216="",E1215=""),"",E1216/E1215-1)</f>
        <v/>
      </c>
      <c r="L1216" s="7">
        <f>IF(OR(F1216="",F1215=""),"",F1216/F1215-1)</f>
        <v/>
      </c>
      <c r="M1216" s="7">
        <f>IF(OR(G1216="",G1215=""),"",G1216/G1215-1)</f>
        <v/>
      </c>
      <c r="N1216" s="7">
        <f>IF(G1216="","",E1216/G1216)</f>
        <v/>
      </c>
      <c r="O1216" s="7">
        <f>IF(G1216="","",F1216/G1216)</f>
        <v/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4">
        <f>IF(SUMIFS('Daily NSE Equity Cash'!$H:$H,'Daily NSE Equity Cash'!$A:$A,$A1217)=0,"",SUMIFS('Daily NSE Equity Cash'!$H:$H,'Daily NSE Equity Cash'!$A:$A,$A1217))</f>
        <v/>
      </c>
      <c r="F1217" s="4">
        <f>IF(SUMIFS('Daily BSE Equity Cash'!$H:$H,'Daily BSE Equity Cash'!$A:$A,$A1217)=0,"",SUMIFS('Daily BSE Equity Cash'!$H:$H,'Daily BSE Equity Cash'!$A:$A,$A1217))</f>
        <v/>
      </c>
      <c r="G1217" s="4">
        <f>IF(OR(E1217="",F1217=""),"",E1217+F1217)</f>
        <v/>
      </c>
      <c r="H1217" s="7">
        <f>IFERROR(IF(OR(E1217="",INDEX(E:E,MATCH(DATE(YEAR($A1217)-1,MONTH($A1217),DAY($A1217)),$A:$A,0))=""),"",E1217/INDEX(E:E,MATCH(DATE(YEAR($A1217)-1,MONTH($A1217),DAY($A1217)),$A:$A,0))-1),"")</f>
        <v/>
      </c>
      <c r="I1217" s="7">
        <f>IFERROR(IF(OR(F1217="",INDEX(F:F,MATCH(DATE(YEAR($A1217)-1,MONTH($A1217),DAY($A1217)),$A:$A,0))=""),"",F1217/INDEX(F:F,MATCH(DATE(YEAR($A1217)-1,MONTH($A1217),DAY($A1217)),$A:$A,0))-1),"")</f>
        <v/>
      </c>
      <c r="J1217" s="7">
        <f>IFERROR(IF(OR(G1217="",INDEX(G:G,MATCH(DATE(YEAR($A1217)-1,MONTH($A1217),DAY($A1217)),$A:$A,0))=""),"",G1217/INDEX(G:G,MATCH(DATE(YEAR($A1217)-1,MONTH($A1217),DAY($A1217)),$A:$A,0))-1),"")</f>
        <v/>
      </c>
      <c r="K1217" s="7">
        <f>IF(OR(E1217="",E1216=""),"",E1217/E1216-1)</f>
        <v/>
      </c>
      <c r="L1217" s="7">
        <f>IF(OR(F1217="",F1216=""),"",F1217/F1216-1)</f>
        <v/>
      </c>
      <c r="M1217" s="7">
        <f>IF(OR(G1217="",G1216=""),"",G1217/G1216-1)</f>
        <v/>
      </c>
      <c r="N1217" s="7">
        <f>IF(G1217="","",E1217/G1217)</f>
        <v/>
      </c>
      <c r="O1217" s="7">
        <f>IF(G1217="","",F1217/G1217)</f>
        <v/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4">
        <f>IF(SUMIFS('Daily NSE Equity Cash'!$H:$H,'Daily NSE Equity Cash'!$A:$A,$A1218)=0,"",SUMIFS('Daily NSE Equity Cash'!$H:$H,'Daily NSE Equity Cash'!$A:$A,$A1218))</f>
        <v/>
      </c>
      <c r="F1218" s="4">
        <f>IF(SUMIFS('Daily BSE Equity Cash'!$H:$H,'Daily BSE Equity Cash'!$A:$A,$A1218)=0,"",SUMIFS('Daily BSE Equity Cash'!$H:$H,'Daily BSE Equity Cash'!$A:$A,$A1218))</f>
        <v/>
      </c>
      <c r="G1218" s="4">
        <f>IF(OR(E1218="",F1218=""),"",E1218+F1218)</f>
        <v/>
      </c>
      <c r="H1218" s="7">
        <f>IFERROR(IF(OR(E1218="",INDEX(E:E,MATCH(DATE(YEAR($A1218)-1,MONTH($A1218),DAY($A1218)),$A:$A,0))=""),"",E1218/INDEX(E:E,MATCH(DATE(YEAR($A1218)-1,MONTH($A1218),DAY($A1218)),$A:$A,0))-1),"")</f>
        <v/>
      </c>
      <c r="I1218" s="7">
        <f>IFERROR(IF(OR(F1218="",INDEX(F:F,MATCH(DATE(YEAR($A1218)-1,MONTH($A1218),DAY($A1218)),$A:$A,0))=""),"",F1218/INDEX(F:F,MATCH(DATE(YEAR($A1218)-1,MONTH($A1218),DAY($A1218)),$A:$A,0))-1),"")</f>
        <v/>
      </c>
      <c r="J1218" s="7">
        <f>IFERROR(IF(OR(G1218="",INDEX(G:G,MATCH(DATE(YEAR($A1218)-1,MONTH($A1218),DAY($A1218)),$A:$A,0))=""),"",G1218/INDEX(G:G,MATCH(DATE(YEAR($A1218)-1,MONTH($A1218),DAY($A1218)),$A:$A,0))-1),"")</f>
        <v/>
      </c>
      <c r="K1218" s="7">
        <f>IF(OR(E1218="",E1217=""),"",E1218/E1217-1)</f>
        <v/>
      </c>
      <c r="L1218" s="7">
        <f>IF(OR(F1218="",F1217=""),"",F1218/F1217-1)</f>
        <v/>
      </c>
      <c r="M1218" s="7">
        <f>IF(OR(G1218="",G1217=""),"",G1218/G1217-1)</f>
        <v/>
      </c>
      <c r="N1218" s="7">
        <f>IF(G1218="","",E1218/G1218)</f>
        <v/>
      </c>
      <c r="O1218" s="7">
        <f>IF(G1218="","",F1218/G1218)</f>
        <v/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4">
        <f>IF(SUMIFS('Daily NSE Equity Cash'!$H:$H,'Daily NSE Equity Cash'!$A:$A,$A1219)=0,"",SUMIFS('Daily NSE Equity Cash'!$H:$H,'Daily NSE Equity Cash'!$A:$A,$A1219))</f>
        <v/>
      </c>
      <c r="F1219" s="4">
        <f>IF(SUMIFS('Daily BSE Equity Cash'!$H:$H,'Daily BSE Equity Cash'!$A:$A,$A1219)=0,"",SUMIFS('Daily BSE Equity Cash'!$H:$H,'Daily BSE Equity Cash'!$A:$A,$A1219))</f>
        <v/>
      </c>
      <c r="G1219" s="4">
        <f>IF(OR(E1219="",F1219=""),"",E1219+F1219)</f>
        <v/>
      </c>
      <c r="H1219" s="7">
        <f>IFERROR(IF(OR(E1219="",INDEX(E:E,MATCH(DATE(YEAR($A1219)-1,MONTH($A1219),DAY($A1219)),$A:$A,0))=""),"",E1219/INDEX(E:E,MATCH(DATE(YEAR($A1219)-1,MONTH($A1219),DAY($A1219)),$A:$A,0))-1),"")</f>
        <v/>
      </c>
      <c r="I1219" s="7">
        <f>IFERROR(IF(OR(F1219="",INDEX(F:F,MATCH(DATE(YEAR($A1219)-1,MONTH($A1219),DAY($A1219)),$A:$A,0))=""),"",F1219/INDEX(F:F,MATCH(DATE(YEAR($A1219)-1,MONTH($A1219),DAY($A1219)),$A:$A,0))-1),"")</f>
        <v/>
      </c>
      <c r="J1219" s="7">
        <f>IFERROR(IF(OR(G1219="",INDEX(G:G,MATCH(DATE(YEAR($A1219)-1,MONTH($A1219),DAY($A1219)),$A:$A,0))=""),"",G1219/INDEX(G:G,MATCH(DATE(YEAR($A1219)-1,MONTH($A1219),DAY($A1219)),$A:$A,0))-1),"")</f>
        <v/>
      </c>
      <c r="K1219" s="7">
        <f>IF(OR(E1219="",E1218=""),"",E1219/E1218-1)</f>
        <v/>
      </c>
      <c r="L1219" s="7">
        <f>IF(OR(F1219="",F1218=""),"",F1219/F1218-1)</f>
        <v/>
      </c>
      <c r="M1219" s="7">
        <f>IF(OR(G1219="",G1218=""),"",G1219/G1218-1)</f>
        <v/>
      </c>
      <c r="N1219" s="7">
        <f>IF(G1219="","",E1219/G1219)</f>
        <v/>
      </c>
      <c r="O1219" s="7">
        <f>IF(G1219="","",F1219/G1219)</f>
        <v/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4">
        <f>IF(SUMIFS('Daily NSE Equity Cash'!$H:$H,'Daily NSE Equity Cash'!$A:$A,$A1220)=0,"",SUMIFS('Daily NSE Equity Cash'!$H:$H,'Daily NSE Equity Cash'!$A:$A,$A1220))</f>
        <v/>
      </c>
      <c r="F1220" s="4">
        <f>IF(SUMIFS('Daily BSE Equity Cash'!$H:$H,'Daily BSE Equity Cash'!$A:$A,$A1220)=0,"",SUMIFS('Daily BSE Equity Cash'!$H:$H,'Daily BSE Equity Cash'!$A:$A,$A1220))</f>
        <v/>
      </c>
      <c r="G1220" s="4">
        <f>IF(OR(E1220="",F1220=""),"",E1220+F1220)</f>
        <v/>
      </c>
      <c r="H1220" s="7">
        <f>IFERROR(IF(OR(E1220="",INDEX(E:E,MATCH(DATE(YEAR($A1220)-1,MONTH($A1220),DAY($A1220)),$A:$A,0))=""),"",E1220/INDEX(E:E,MATCH(DATE(YEAR($A1220)-1,MONTH($A1220),DAY($A1220)),$A:$A,0))-1),"")</f>
        <v/>
      </c>
      <c r="I1220" s="7">
        <f>IFERROR(IF(OR(F1220="",INDEX(F:F,MATCH(DATE(YEAR($A1220)-1,MONTH($A1220),DAY($A1220)),$A:$A,0))=""),"",F1220/INDEX(F:F,MATCH(DATE(YEAR($A1220)-1,MONTH($A1220),DAY($A1220)),$A:$A,0))-1),"")</f>
        <v/>
      </c>
      <c r="J1220" s="7">
        <f>IFERROR(IF(OR(G1220="",INDEX(G:G,MATCH(DATE(YEAR($A1220)-1,MONTH($A1220),DAY($A1220)),$A:$A,0))=""),"",G1220/INDEX(G:G,MATCH(DATE(YEAR($A1220)-1,MONTH($A1220),DAY($A1220)),$A:$A,0))-1),"")</f>
        <v/>
      </c>
      <c r="K1220" s="7">
        <f>IF(OR(E1220="",E1219=""),"",E1220/E1219-1)</f>
        <v/>
      </c>
      <c r="L1220" s="7">
        <f>IF(OR(F1220="",F1219=""),"",F1220/F1219-1)</f>
        <v/>
      </c>
      <c r="M1220" s="7">
        <f>IF(OR(G1220="",G1219=""),"",G1220/G1219-1)</f>
        <v/>
      </c>
      <c r="N1220" s="7">
        <f>IF(G1220="","",E1220/G1220)</f>
        <v/>
      </c>
      <c r="O1220" s="7">
        <f>IF(G1220="","",F1220/G1220)</f>
        <v/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4">
        <f>IF(SUMIFS('Daily NSE Equity Cash'!$H:$H,'Daily NSE Equity Cash'!$A:$A,$A1221)=0,"",SUMIFS('Daily NSE Equity Cash'!$H:$H,'Daily NSE Equity Cash'!$A:$A,$A1221))</f>
        <v/>
      </c>
      <c r="F1221" s="4">
        <f>IF(SUMIFS('Daily BSE Equity Cash'!$H:$H,'Daily BSE Equity Cash'!$A:$A,$A1221)=0,"",SUMIFS('Daily BSE Equity Cash'!$H:$H,'Daily BSE Equity Cash'!$A:$A,$A1221))</f>
        <v/>
      </c>
      <c r="G1221" s="4">
        <f>IF(OR(E1221="",F1221=""),"",E1221+F1221)</f>
        <v/>
      </c>
      <c r="H1221" s="7">
        <f>IFERROR(IF(OR(E1221="",INDEX(E:E,MATCH(DATE(YEAR($A1221)-1,MONTH($A1221),DAY($A1221)),$A:$A,0))=""),"",E1221/INDEX(E:E,MATCH(DATE(YEAR($A1221)-1,MONTH($A1221),DAY($A1221)),$A:$A,0))-1),"")</f>
        <v/>
      </c>
      <c r="I1221" s="7">
        <f>IFERROR(IF(OR(F1221="",INDEX(F:F,MATCH(DATE(YEAR($A1221)-1,MONTH($A1221),DAY($A1221)),$A:$A,0))=""),"",F1221/INDEX(F:F,MATCH(DATE(YEAR($A1221)-1,MONTH($A1221),DAY($A1221)),$A:$A,0))-1),"")</f>
        <v/>
      </c>
      <c r="J1221" s="7">
        <f>IFERROR(IF(OR(G1221="",INDEX(G:G,MATCH(DATE(YEAR($A1221)-1,MONTH($A1221),DAY($A1221)),$A:$A,0))=""),"",G1221/INDEX(G:G,MATCH(DATE(YEAR($A1221)-1,MONTH($A1221),DAY($A1221)),$A:$A,0))-1),"")</f>
        <v/>
      </c>
      <c r="K1221" s="7">
        <f>IF(OR(E1221="",E1220=""),"",E1221/E1220-1)</f>
        <v/>
      </c>
      <c r="L1221" s="7">
        <f>IF(OR(F1221="",F1220=""),"",F1221/F1220-1)</f>
        <v/>
      </c>
      <c r="M1221" s="7">
        <f>IF(OR(G1221="",G1220=""),"",G1221/G1220-1)</f>
        <v/>
      </c>
      <c r="N1221" s="7">
        <f>IF(G1221="","",E1221/G1221)</f>
        <v/>
      </c>
      <c r="O1221" s="7">
        <f>IF(G1221="","",F1221/G1221)</f>
        <v/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4">
        <f>IF(SUMIFS('Daily NSE Equity Cash'!$H:$H,'Daily NSE Equity Cash'!$A:$A,$A1222)=0,"",SUMIFS('Daily NSE Equity Cash'!$H:$H,'Daily NSE Equity Cash'!$A:$A,$A1222))</f>
        <v/>
      </c>
      <c r="F1222" s="4">
        <f>IF(SUMIFS('Daily BSE Equity Cash'!$H:$H,'Daily BSE Equity Cash'!$A:$A,$A1222)=0,"",SUMIFS('Daily BSE Equity Cash'!$H:$H,'Daily BSE Equity Cash'!$A:$A,$A1222))</f>
        <v/>
      </c>
      <c r="G1222" s="4">
        <f>IF(OR(E1222="",F1222=""),"",E1222+F1222)</f>
        <v/>
      </c>
      <c r="H1222" s="7">
        <f>IFERROR(IF(OR(E1222="",INDEX(E:E,MATCH(DATE(YEAR($A1222)-1,MONTH($A1222),DAY($A1222)),$A:$A,0))=""),"",E1222/INDEX(E:E,MATCH(DATE(YEAR($A1222)-1,MONTH($A1222),DAY($A1222)),$A:$A,0))-1),"")</f>
        <v/>
      </c>
      <c r="I1222" s="7">
        <f>IFERROR(IF(OR(F1222="",INDEX(F:F,MATCH(DATE(YEAR($A1222)-1,MONTH($A1222),DAY($A1222)),$A:$A,0))=""),"",F1222/INDEX(F:F,MATCH(DATE(YEAR($A1222)-1,MONTH($A1222),DAY($A1222)),$A:$A,0))-1),"")</f>
        <v/>
      </c>
      <c r="J1222" s="7">
        <f>IFERROR(IF(OR(G1222="",INDEX(G:G,MATCH(DATE(YEAR($A1222)-1,MONTH($A1222),DAY($A1222)),$A:$A,0))=""),"",G1222/INDEX(G:G,MATCH(DATE(YEAR($A1222)-1,MONTH($A1222),DAY($A1222)),$A:$A,0))-1),"")</f>
        <v/>
      </c>
      <c r="K1222" s="7">
        <f>IF(OR(E1222="",E1221=""),"",E1222/E1221-1)</f>
        <v/>
      </c>
      <c r="L1222" s="7">
        <f>IF(OR(F1222="",F1221=""),"",F1222/F1221-1)</f>
        <v/>
      </c>
      <c r="M1222" s="7">
        <f>IF(OR(G1222="",G1221=""),"",G1222/G1221-1)</f>
        <v/>
      </c>
      <c r="N1222" s="7">
        <f>IF(G1222="","",E1222/G1222)</f>
        <v/>
      </c>
      <c r="O1222" s="7">
        <f>IF(G1222="","",F1222/G1222)</f>
        <v/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4">
        <f>IF(SUMIFS('Daily NSE Equity Cash'!$H:$H,'Daily NSE Equity Cash'!$A:$A,$A1223)=0,"",SUMIFS('Daily NSE Equity Cash'!$H:$H,'Daily NSE Equity Cash'!$A:$A,$A1223))</f>
        <v/>
      </c>
      <c r="F1223" s="4">
        <f>IF(SUMIFS('Daily BSE Equity Cash'!$H:$H,'Daily BSE Equity Cash'!$A:$A,$A1223)=0,"",SUMIFS('Daily BSE Equity Cash'!$H:$H,'Daily BSE Equity Cash'!$A:$A,$A1223))</f>
        <v/>
      </c>
      <c r="G1223" s="4">
        <f>IF(OR(E1223="",F1223=""),"",E1223+F1223)</f>
        <v/>
      </c>
      <c r="H1223" s="7">
        <f>IFERROR(IF(OR(E1223="",INDEX(E:E,MATCH(DATE(YEAR($A1223)-1,MONTH($A1223),DAY($A1223)),$A:$A,0))=""),"",E1223/INDEX(E:E,MATCH(DATE(YEAR($A1223)-1,MONTH($A1223),DAY($A1223)),$A:$A,0))-1),"")</f>
        <v/>
      </c>
      <c r="I1223" s="7">
        <f>IFERROR(IF(OR(F1223="",INDEX(F:F,MATCH(DATE(YEAR($A1223)-1,MONTH($A1223),DAY($A1223)),$A:$A,0))=""),"",F1223/INDEX(F:F,MATCH(DATE(YEAR($A1223)-1,MONTH($A1223),DAY($A1223)),$A:$A,0))-1),"")</f>
        <v/>
      </c>
      <c r="J1223" s="7">
        <f>IFERROR(IF(OR(G1223="",INDEX(G:G,MATCH(DATE(YEAR($A1223)-1,MONTH($A1223),DAY($A1223)),$A:$A,0))=""),"",G1223/INDEX(G:G,MATCH(DATE(YEAR($A1223)-1,MONTH($A1223),DAY($A1223)),$A:$A,0))-1),"")</f>
        <v/>
      </c>
      <c r="K1223" s="7">
        <f>IF(OR(E1223="",E1222=""),"",E1223/E1222-1)</f>
        <v/>
      </c>
      <c r="L1223" s="7">
        <f>IF(OR(F1223="",F1222=""),"",F1223/F1222-1)</f>
        <v/>
      </c>
      <c r="M1223" s="7">
        <f>IF(OR(G1223="",G1222=""),"",G1223/G1222-1)</f>
        <v/>
      </c>
      <c r="N1223" s="7">
        <f>IF(G1223="","",E1223/G1223)</f>
        <v/>
      </c>
      <c r="O1223" s="7">
        <f>IF(G1223="","",F1223/G1223)</f>
        <v/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4">
        <f>IF(SUMIFS('Daily NSE Equity Cash'!$H:$H,'Daily NSE Equity Cash'!$A:$A,$A1224)=0,"",SUMIFS('Daily NSE Equity Cash'!$H:$H,'Daily NSE Equity Cash'!$A:$A,$A1224))</f>
        <v/>
      </c>
      <c r="F1224" s="4">
        <f>IF(SUMIFS('Daily BSE Equity Cash'!$H:$H,'Daily BSE Equity Cash'!$A:$A,$A1224)=0,"",SUMIFS('Daily BSE Equity Cash'!$H:$H,'Daily BSE Equity Cash'!$A:$A,$A1224))</f>
        <v/>
      </c>
      <c r="G1224" s="4">
        <f>IF(OR(E1224="",F1224=""),"",E1224+F1224)</f>
        <v/>
      </c>
      <c r="H1224" s="7">
        <f>IFERROR(IF(OR(E1224="",INDEX(E:E,MATCH(DATE(YEAR($A1224)-1,MONTH($A1224),DAY($A1224)),$A:$A,0))=""),"",E1224/INDEX(E:E,MATCH(DATE(YEAR($A1224)-1,MONTH($A1224),DAY($A1224)),$A:$A,0))-1),"")</f>
        <v/>
      </c>
      <c r="I1224" s="7">
        <f>IFERROR(IF(OR(F1224="",INDEX(F:F,MATCH(DATE(YEAR($A1224)-1,MONTH($A1224),DAY($A1224)),$A:$A,0))=""),"",F1224/INDEX(F:F,MATCH(DATE(YEAR($A1224)-1,MONTH($A1224),DAY($A1224)),$A:$A,0))-1),"")</f>
        <v/>
      </c>
      <c r="J1224" s="7">
        <f>IFERROR(IF(OR(G1224="",INDEX(G:G,MATCH(DATE(YEAR($A1224)-1,MONTH($A1224),DAY($A1224)),$A:$A,0))=""),"",G1224/INDEX(G:G,MATCH(DATE(YEAR($A1224)-1,MONTH($A1224),DAY($A1224)),$A:$A,0))-1),"")</f>
        <v/>
      </c>
      <c r="K1224" s="7">
        <f>IF(OR(E1224="",E1223=""),"",E1224/E1223-1)</f>
        <v/>
      </c>
      <c r="L1224" s="7">
        <f>IF(OR(F1224="",F1223=""),"",F1224/F1223-1)</f>
        <v/>
      </c>
      <c r="M1224" s="7">
        <f>IF(OR(G1224="",G1223=""),"",G1224/G1223-1)</f>
        <v/>
      </c>
      <c r="N1224" s="7">
        <f>IF(G1224="","",E1224/G1224)</f>
        <v/>
      </c>
      <c r="O1224" s="7">
        <f>IF(G1224="","",F1224/G1224)</f>
        <v/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4">
        <f>IF(SUMIFS('Daily NSE Equity Cash'!$H:$H,'Daily NSE Equity Cash'!$A:$A,$A1225)=0,"",SUMIFS('Daily NSE Equity Cash'!$H:$H,'Daily NSE Equity Cash'!$A:$A,$A1225))</f>
        <v/>
      </c>
      <c r="F1225" s="4">
        <f>IF(SUMIFS('Daily BSE Equity Cash'!$H:$H,'Daily BSE Equity Cash'!$A:$A,$A1225)=0,"",SUMIFS('Daily BSE Equity Cash'!$H:$H,'Daily BSE Equity Cash'!$A:$A,$A1225))</f>
        <v/>
      </c>
      <c r="G1225" s="4">
        <f>IF(OR(E1225="",F1225=""),"",E1225+F1225)</f>
        <v/>
      </c>
      <c r="H1225" s="7">
        <f>IFERROR(IF(OR(E1225="",INDEX(E:E,MATCH(DATE(YEAR($A1225)-1,MONTH($A1225),DAY($A1225)),$A:$A,0))=""),"",E1225/INDEX(E:E,MATCH(DATE(YEAR($A1225)-1,MONTH($A1225),DAY($A1225)),$A:$A,0))-1),"")</f>
        <v/>
      </c>
      <c r="I1225" s="7">
        <f>IFERROR(IF(OR(F1225="",INDEX(F:F,MATCH(DATE(YEAR($A1225)-1,MONTH($A1225),DAY($A1225)),$A:$A,0))=""),"",F1225/INDEX(F:F,MATCH(DATE(YEAR($A1225)-1,MONTH($A1225),DAY($A1225)),$A:$A,0))-1),"")</f>
        <v/>
      </c>
      <c r="J1225" s="7">
        <f>IFERROR(IF(OR(G1225="",INDEX(G:G,MATCH(DATE(YEAR($A1225)-1,MONTH($A1225),DAY($A1225)),$A:$A,0))=""),"",G1225/INDEX(G:G,MATCH(DATE(YEAR($A1225)-1,MONTH($A1225),DAY($A1225)),$A:$A,0))-1),"")</f>
        <v/>
      </c>
      <c r="K1225" s="7">
        <f>IF(OR(E1225="",E1224=""),"",E1225/E1224-1)</f>
        <v/>
      </c>
      <c r="L1225" s="7">
        <f>IF(OR(F1225="",F1224=""),"",F1225/F1224-1)</f>
        <v/>
      </c>
      <c r="M1225" s="7">
        <f>IF(OR(G1225="",G1224=""),"",G1225/G1224-1)</f>
        <v/>
      </c>
      <c r="N1225" s="7">
        <f>IF(G1225="","",E1225/G1225)</f>
        <v/>
      </c>
      <c r="O1225" s="7">
        <f>IF(G1225="","",F1225/G1225)</f>
        <v/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4">
        <f>IF(SUMIFS('Daily NSE Equity Cash'!$H:$H,'Daily NSE Equity Cash'!$A:$A,$A1226)=0,"",SUMIFS('Daily NSE Equity Cash'!$H:$H,'Daily NSE Equity Cash'!$A:$A,$A1226))</f>
        <v/>
      </c>
      <c r="F1226" s="4">
        <f>IF(SUMIFS('Daily BSE Equity Cash'!$H:$H,'Daily BSE Equity Cash'!$A:$A,$A1226)=0,"",SUMIFS('Daily BSE Equity Cash'!$H:$H,'Daily BSE Equity Cash'!$A:$A,$A1226))</f>
        <v/>
      </c>
      <c r="G1226" s="4">
        <f>IF(OR(E1226="",F1226=""),"",E1226+F1226)</f>
        <v/>
      </c>
      <c r="H1226" s="7">
        <f>IFERROR(IF(OR(E1226="",INDEX(E:E,MATCH(DATE(YEAR($A1226)-1,MONTH($A1226),DAY($A1226)),$A:$A,0))=""),"",E1226/INDEX(E:E,MATCH(DATE(YEAR($A1226)-1,MONTH($A1226),DAY($A1226)),$A:$A,0))-1),"")</f>
        <v/>
      </c>
      <c r="I1226" s="7">
        <f>IFERROR(IF(OR(F1226="",INDEX(F:F,MATCH(DATE(YEAR($A1226)-1,MONTH($A1226),DAY($A1226)),$A:$A,0))=""),"",F1226/INDEX(F:F,MATCH(DATE(YEAR($A1226)-1,MONTH($A1226),DAY($A1226)),$A:$A,0))-1),"")</f>
        <v/>
      </c>
      <c r="J1226" s="7">
        <f>IFERROR(IF(OR(G1226="",INDEX(G:G,MATCH(DATE(YEAR($A1226)-1,MONTH($A1226),DAY($A1226)),$A:$A,0))=""),"",G1226/INDEX(G:G,MATCH(DATE(YEAR($A1226)-1,MONTH($A1226),DAY($A1226)),$A:$A,0))-1),"")</f>
        <v/>
      </c>
      <c r="K1226" s="7">
        <f>IF(OR(E1226="",E1225=""),"",E1226/E1225-1)</f>
        <v/>
      </c>
      <c r="L1226" s="7">
        <f>IF(OR(F1226="",F1225=""),"",F1226/F1225-1)</f>
        <v/>
      </c>
      <c r="M1226" s="7">
        <f>IF(OR(G1226="",G1225=""),"",G1226/G1225-1)</f>
        <v/>
      </c>
      <c r="N1226" s="7">
        <f>IF(G1226="","",E1226/G1226)</f>
        <v/>
      </c>
      <c r="O1226" s="7">
        <f>IF(G1226="","",F1226/G1226)</f>
        <v/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4">
        <f>IF(SUMIFS('Daily NSE Equity Cash'!$H:$H,'Daily NSE Equity Cash'!$A:$A,$A1227)=0,"",SUMIFS('Daily NSE Equity Cash'!$H:$H,'Daily NSE Equity Cash'!$A:$A,$A1227))</f>
        <v/>
      </c>
      <c r="F1227" s="4">
        <f>IF(SUMIFS('Daily BSE Equity Cash'!$H:$H,'Daily BSE Equity Cash'!$A:$A,$A1227)=0,"",SUMIFS('Daily BSE Equity Cash'!$H:$H,'Daily BSE Equity Cash'!$A:$A,$A1227))</f>
        <v/>
      </c>
      <c r="G1227" s="4">
        <f>IF(OR(E1227="",F1227=""),"",E1227+F1227)</f>
        <v/>
      </c>
      <c r="H1227" s="7">
        <f>IFERROR(IF(OR(E1227="",INDEX(E:E,MATCH(DATE(YEAR($A1227)-1,MONTH($A1227),DAY($A1227)),$A:$A,0))=""),"",E1227/INDEX(E:E,MATCH(DATE(YEAR($A1227)-1,MONTH($A1227),DAY($A1227)),$A:$A,0))-1),"")</f>
        <v/>
      </c>
      <c r="I1227" s="7">
        <f>IFERROR(IF(OR(F1227="",INDEX(F:F,MATCH(DATE(YEAR($A1227)-1,MONTH($A1227),DAY($A1227)),$A:$A,0))=""),"",F1227/INDEX(F:F,MATCH(DATE(YEAR($A1227)-1,MONTH($A1227),DAY($A1227)),$A:$A,0))-1),"")</f>
        <v/>
      </c>
      <c r="J1227" s="7">
        <f>IFERROR(IF(OR(G1227="",INDEX(G:G,MATCH(DATE(YEAR($A1227)-1,MONTH($A1227),DAY($A1227)),$A:$A,0))=""),"",G1227/INDEX(G:G,MATCH(DATE(YEAR($A1227)-1,MONTH($A1227),DAY($A1227)),$A:$A,0))-1),"")</f>
        <v/>
      </c>
      <c r="K1227" s="7">
        <f>IF(OR(E1227="",E1226=""),"",E1227/E1226-1)</f>
        <v/>
      </c>
      <c r="L1227" s="7">
        <f>IF(OR(F1227="",F1226=""),"",F1227/F1226-1)</f>
        <v/>
      </c>
      <c r="M1227" s="7">
        <f>IF(OR(G1227="",G1226=""),"",G1227/G1226-1)</f>
        <v/>
      </c>
      <c r="N1227" s="7">
        <f>IF(G1227="","",E1227/G1227)</f>
        <v/>
      </c>
      <c r="O1227" s="7">
        <f>IF(G1227="","",F1227/G1227)</f>
        <v/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4">
        <f>IF(SUMIFS('Daily NSE Equity Cash'!$H:$H,'Daily NSE Equity Cash'!$A:$A,$A1228)=0,"",SUMIFS('Daily NSE Equity Cash'!$H:$H,'Daily NSE Equity Cash'!$A:$A,$A1228))</f>
        <v/>
      </c>
      <c r="F1228" s="4">
        <f>IF(SUMIFS('Daily BSE Equity Cash'!$H:$H,'Daily BSE Equity Cash'!$A:$A,$A1228)=0,"",SUMIFS('Daily BSE Equity Cash'!$H:$H,'Daily BSE Equity Cash'!$A:$A,$A1228))</f>
        <v/>
      </c>
      <c r="G1228" s="4">
        <f>IF(OR(E1228="",F1228=""),"",E1228+F1228)</f>
        <v/>
      </c>
      <c r="H1228" s="7">
        <f>IFERROR(IF(OR(E1228="",INDEX(E:E,MATCH(DATE(YEAR($A1228)-1,MONTH($A1228),DAY($A1228)),$A:$A,0))=""),"",E1228/INDEX(E:E,MATCH(DATE(YEAR($A1228)-1,MONTH($A1228),DAY($A1228)),$A:$A,0))-1),"")</f>
        <v/>
      </c>
      <c r="I1228" s="7">
        <f>IFERROR(IF(OR(F1228="",INDEX(F:F,MATCH(DATE(YEAR($A1228)-1,MONTH($A1228),DAY($A1228)),$A:$A,0))=""),"",F1228/INDEX(F:F,MATCH(DATE(YEAR($A1228)-1,MONTH($A1228),DAY($A1228)),$A:$A,0))-1),"")</f>
        <v/>
      </c>
      <c r="J1228" s="7">
        <f>IFERROR(IF(OR(G1228="",INDEX(G:G,MATCH(DATE(YEAR($A1228)-1,MONTH($A1228),DAY($A1228)),$A:$A,0))=""),"",G1228/INDEX(G:G,MATCH(DATE(YEAR($A1228)-1,MONTH($A1228),DAY($A1228)),$A:$A,0))-1),"")</f>
        <v/>
      </c>
      <c r="K1228" s="7">
        <f>IF(OR(E1228="",E1227=""),"",E1228/E1227-1)</f>
        <v/>
      </c>
      <c r="L1228" s="7">
        <f>IF(OR(F1228="",F1227=""),"",F1228/F1227-1)</f>
        <v/>
      </c>
      <c r="M1228" s="7">
        <f>IF(OR(G1228="",G1227=""),"",G1228/G1227-1)</f>
        <v/>
      </c>
      <c r="N1228" s="7">
        <f>IF(G1228="","",E1228/G1228)</f>
        <v/>
      </c>
      <c r="O1228" s="7">
        <f>IF(G1228="","",F1228/G1228)</f>
        <v/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4">
        <f>IF(SUMIFS('Daily NSE Equity Cash'!$H:$H,'Daily NSE Equity Cash'!$A:$A,$A1229)=0,"",SUMIFS('Daily NSE Equity Cash'!$H:$H,'Daily NSE Equity Cash'!$A:$A,$A1229))</f>
        <v/>
      </c>
      <c r="F1229" s="4">
        <f>IF(SUMIFS('Daily BSE Equity Cash'!$H:$H,'Daily BSE Equity Cash'!$A:$A,$A1229)=0,"",SUMIFS('Daily BSE Equity Cash'!$H:$H,'Daily BSE Equity Cash'!$A:$A,$A1229))</f>
        <v/>
      </c>
      <c r="G1229" s="4">
        <f>IF(OR(E1229="",F1229=""),"",E1229+F1229)</f>
        <v/>
      </c>
      <c r="H1229" s="7">
        <f>IFERROR(IF(OR(E1229="",INDEX(E:E,MATCH(DATE(YEAR($A1229)-1,MONTH($A1229),DAY($A1229)),$A:$A,0))=""),"",E1229/INDEX(E:E,MATCH(DATE(YEAR($A1229)-1,MONTH($A1229),DAY($A1229)),$A:$A,0))-1),"")</f>
        <v/>
      </c>
      <c r="I1229" s="7">
        <f>IFERROR(IF(OR(F1229="",INDEX(F:F,MATCH(DATE(YEAR($A1229)-1,MONTH($A1229),DAY($A1229)),$A:$A,0))=""),"",F1229/INDEX(F:F,MATCH(DATE(YEAR($A1229)-1,MONTH($A1229),DAY($A1229)),$A:$A,0))-1),"")</f>
        <v/>
      </c>
      <c r="J1229" s="7">
        <f>IFERROR(IF(OR(G1229="",INDEX(G:G,MATCH(DATE(YEAR($A1229)-1,MONTH($A1229),DAY($A1229)),$A:$A,0))=""),"",G1229/INDEX(G:G,MATCH(DATE(YEAR($A1229)-1,MONTH($A1229),DAY($A1229)),$A:$A,0))-1),"")</f>
        <v/>
      </c>
      <c r="K1229" s="7">
        <f>IF(OR(E1229="",E1228=""),"",E1229/E1228-1)</f>
        <v/>
      </c>
      <c r="L1229" s="7">
        <f>IF(OR(F1229="",F1228=""),"",F1229/F1228-1)</f>
        <v/>
      </c>
      <c r="M1229" s="7">
        <f>IF(OR(G1229="",G1228=""),"",G1229/G1228-1)</f>
        <v/>
      </c>
      <c r="N1229" s="7">
        <f>IF(G1229="","",E1229/G1229)</f>
        <v/>
      </c>
      <c r="O1229" s="7">
        <f>IF(G1229="","",F1229/G1229)</f>
        <v/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4">
        <f>IF(SUMIFS('Daily NSE Equity Cash'!$H:$H,'Daily NSE Equity Cash'!$A:$A,$A1230)=0,"",SUMIFS('Daily NSE Equity Cash'!$H:$H,'Daily NSE Equity Cash'!$A:$A,$A1230))</f>
        <v/>
      </c>
      <c r="F1230" s="4">
        <f>IF(SUMIFS('Daily BSE Equity Cash'!$H:$H,'Daily BSE Equity Cash'!$A:$A,$A1230)=0,"",SUMIFS('Daily BSE Equity Cash'!$H:$H,'Daily BSE Equity Cash'!$A:$A,$A1230))</f>
        <v/>
      </c>
      <c r="G1230" s="4">
        <f>IF(OR(E1230="",F1230=""),"",E1230+F1230)</f>
        <v/>
      </c>
      <c r="H1230" s="7">
        <f>IFERROR(IF(OR(E1230="",INDEX(E:E,MATCH(DATE(YEAR($A1230)-1,MONTH($A1230),DAY($A1230)),$A:$A,0))=""),"",E1230/INDEX(E:E,MATCH(DATE(YEAR($A1230)-1,MONTH($A1230),DAY($A1230)),$A:$A,0))-1),"")</f>
        <v/>
      </c>
      <c r="I1230" s="7">
        <f>IFERROR(IF(OR(F1230="",INDEX(F:F,MATCH(DATE(YEAR($A1230)-1,MONTH($A1230),DAY($A1230)),$A:$A,0))=""),"",F1230/INDEX(F:F,MATCH(DATE(YEAR($A1230)-1,MONTH($A1230),DAY($A1230)),$A:$A,0))-1),"")</f>
        <v/>
      </c>
      <c r="J1230" s="7">
        <f>IFERROR(IF(OR(G1230="",INDEX(G:G,MATCH(DATE(YEAR($A1230)-1,MONTH($A1230),DAY($A1230)),$A:$A,0))=""),"",G1230/INDEX(G:G,MATCH(DATE(YEAR($A1230)-1,MONTH($A1230),DAY($A1230)),$A:$A,0))-1),"")</f>
        <v/>
      </c>
      <c r="K1230" s="7">
        <f>IF(OR(E1230="",E1229=""),"",E1230/E1229-1)</f>
        <v/>
      </c>
      <c r="L1230" s="7">
        <f>IF(OR(F1230="",F1229=""),"",F1230/F1229-1)</f>
        <v/>
      </c>
      <c r="M1230" s="7">
        <f>IF(OR(G1230="",G1229=""),"",G1230/G1229-1)</f>
        <v/>
      </c>
      <c r="N1230" s="7">
        <f>IF(G1230="","",E1230/G1230)</f>
        <v/>
      </c>
      <c r="O1230" s="7">
        <f>IF(G1230="","",F1230/G1230)</f>
        <v/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4">
        <f>IF(SUMIFS('Daily NSE Equity Cash'!$H:$H,'Daily NSE Equity Cash'!$A:$A,$A1231)=0,"",SUMIFS('Daily NSE Equity Cash'!$H:$H,'Daily NSE Equity Cash'!$A:$A,$A1231))</f>
        <v/>
      </c>
      <c r="F1231" s="4">
        <f>IF(SUMIFS('Daily BSE Equity Cash'!$H:$H,'Daily BSE Equity Cash'!$A:$A,$A1231)=0,"",SUMIFS('Daily BSE Equity Cash'!$H:$H,'Daily BSE Equity Cash'!$A:$A,$A1231))</f>
        <v/>
      </c>
      <c r="G1231" s="4">
        <f>IF(OR(E1231="",F1231=""),"",E1231+F1231)</f>
        <v/>
      </c>
      <c r="H1231" s="7">
        <f>IFERROR(IF(OR(E1231="",INDEX(E:E,MATCH(DATE(YEAR($A1231)-1,MONTH($A1231),DAY($A1231)),$A:$A,0))=""),"",E1231/INDEX(E:E,MATCH(DATE(YEAR($A1231)-1,MONTH($A1231),DAY($A1231)),$A:$A,0))-1),"")</f>
        <v/>
      </c>
      <c r="I1231" s="7">
        <f>IFERROR(IF(OR(F1231="",INDEX(F:F,MATCH(DATE(YEAR($A1231)-1,MONTH($A1231),DAY($A1231)),$A:$A,0))=""),"",F1231/INDEX(F:F,MATCH(DATE(YEAR($A1231)-1,MONTH($A1231),DAY($A1231)),$A:$A,0))-1),"")</f>
        <v/>
      </c>
      <c r="J1231" s="7">
        <f>IFERROR(IF(OR(G1231="",INDEX(G:G,MATCH(DATE(YEAR($A1231)-1,MONTH($A1231),DAY($A1231)),$A:$A,0))=""),"",G1231/INDEX(G:G,MATCH(DATE(YEAR($A1231)-1,MONTH($A1231),DAY($A1231)),$A:$A,0))-1),"")</f>
        <v/>
      </c>
      <c r="K1231" s="7">
        <f>IF(OR(E1231="",E1230=""),"",E1231/E1230-1)</f>
        <v/>
      </c>
      <c r="L1231" s="7">
        <f>IF(OR(F1231="",F1230=""),"",F1231/F1230-1)</f>
        <v/>
      </c>
      <c r="M1231" s="7">
        <f>IF(OR(G1231="",G1230=""),"",G1231/G1230-1)</f>
        <v/>
      </c>
      <c r="N1231" s="7">
        <f>IF(G1231="","",E1231/G1231)</f>
        <v/>
      </c>
      <c r="O1231" s="7">
        <f>IF(G1231="","",F1231/G1231)</f>
        <v/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4">
        <f>IF(SUMIFS('Daily NSE Equity Cash'!$H:$H,'Daily NSE Equity Cash'!$A:$A,$A1232)=0,"",SUMIFS('Daily NSE Equity Cash'!$H:$H,'Daily NSE Equity Cash'!$A:$A,$A1232))</f>
        <v/>
      </c>
      <c r="F1232" s="4">
        <f>IF(SUMIFS('Daily BSE Equity Cash'!$H:$H,'Daily BSE Equity Cash'!$A:$A,$A1232)=0,"",SUMIFS('Daily BSE Equity Cash'!$H:$H,'Daily BSE Equity Cash'!$A:$A,$A1232))</f>
        <v/>
      </c>
      <c r="G1232" s="4">
        <f>IF(OR(E1232="",F1232=""),"",E1232+F1232)</f>
        <v/>
      </c>
      <c r="H1232" s="7">
        <f>IFERROR(IF(OR(E1232="",INDEX(E:E,MATCH(DATE(YEAR($A1232)-1,MONTH($A1232),DAY($A1232)),$A:$A,0))=""),"",E1232/INDEX(E:E,MATCH(DATE(YEAR($A1232)-1,MONTH($A1232),DAY($A1232)),$A:$A,0))-1),"")</f>
        <v/>
      </c>
      <c r="I1232" s="7">
        <f>IFERROR(IF(OR(F1232="",INDEX(F:F,MATCH(DATE(YEAR($A1232)-1,MONTH($A1232),DAY($A1232)),$A:$A,0))=""),"",F1232/INDEX(F:F,MATCH(DATE(YEAR($A1232)-1,MONTH($A1232),DAY($A1232)),$A:$A,0))-1),"")</f>
        <v/>
      </c>
      <c r="J1232" s="7">
        <f>IFERROR(IF(OR(G1232="",INDEX(G:G,MATCH(DATE(YEAR($A1232)-1,MONTH($A1232),DAY($A1232)),$A:$A,0))=""),"",G1232/INDEX(G:G,MATCH(DATE(YEAR($A1232)-1,MONTH($A1232),DAY($A1232)),$A:$A,0))-1),"")</f>
        <v/>
      </c>
      <c r="K1232" s="7">
        <f>IF(OR(E1232="",E1231=""),"",E1232/E1231-1)</f>
        <v/>
      </c>
      <c r="L1232" s="7">
        <f>IF(OR(F1232="",F1231=""),"",F1232/F1231-1)</f>
        <v/>
      </c>
      <c r="M1232" s="7">
        <f>IF(OR(G1232="",G1231=""),"",G1232/G1231-1)</f>
        <v/>
      </c>
      <c r="N1232" s="7">
        <f>IF(G1232="","",E1232/G1232)</f>
        <v/>
      </c>
      <c r="O1232" s="7">
        <f>IF(G1232="","",F1232/G1232)</f>
        <v/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4">
        <f>IF(SUMIFS('Daily NSE Equity Cash'!$H:$H,'Daily NSE Equity Cash'!$A:$A,$A1233)=0,"",SUMIFS('Daily NSE Equity Cash'!$H:$H,'Daily NSE Equity Cash'!$A:$A,$A1233))</f>
        <v/>
      </c>
      <c r="F1233" s="4">
        <f>IF(SUMIFS('Daily BSE Equity Cash'!$H:$H,'Daily BSE Equity Cash'!$A:$A,$A1233)=0,"",SUMIFS('Daily BSE Equity Cash'!$H:$H,'Daily BSE Equity Cash'!$A:$A,$A1233))</f>
        <v/>
      </c>
      <c r="G1233" s="4">
        <f>IF(OR(E1233="",F1233=""),"",E1233+F1233)</f>
        <v/>
      </c>
      <c r="H1233" s="7">
        <f>IFERROR(IF(OR(E1233="",INDEX(E:E,MATCH(DATE(YEAR($A1233)-1,MONTH($A1233),DAY($A1233)),$A:$A,0))=""),"",E1233/INDEX(E:E,MATCH(DATE(YEAR($A1233)-1,MONTH($A1233),DAY($A1233)),$A:$A,0))-1),"")</f>
        <v/>
      </c>
      <c r="I1233" s="7">
        <f>IFERROR(IF(OR(F1233="",INDEX(F:F,MATCH(DATE(YEAR($A1233)-1,MONTH($A1233),DAY($A1233)),$A:$A,0))=""),"",F1233/INDEX(F:F,MATCH(DATE(YEAR($A1233)-1,MONTH($A1233),DAY($A1233)),$A:$A,0))-1),"")</f>
        <v/>
      </c>
      <c r="J1233" s="7">
        <f>IFERROR(IF(OR(G1233="",INDEX(G:G,MATCH(DATE(YEAR($A1233)-1,MONTH($A1233),DAY($A1233)),$A:$A,0))=""),"",G1233/INDEX(G:G,MATCH(DATE(YEAR($A1233)-1,MONTH($A1233),DAY($A1233)),$A:$A,0))-1),"")</f>
        <v/>
      </c>
      <c r="K1233" s="7">
        <f>IF(OR(E1233="",E1232=""),"",E1233/E1232-1)</f>
        <v/>
      </c>
      <c r="L1233" s="7">
        <f>IF(OR(F1233="",F1232=""),"",F1233/F1232-1)</f>
        <v/>
      </c>
      <c r="M1233" s="7">
        <f>IF(OR(G1233="",G1232=""),"",G1233/G1232-1)</f>
        <v/>
      </c>
      <c r="N1233" s="7">
        <f>IF(G1233="","",E1233/G1233)</f>
        <v/>
      </c>
      <c r="O1233" s="7">
        <f>IF(G1233="","",F1233/G1233)</f>
        <v/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4">
        <f>IF(SUMIFS('Daily NSE Equity Cash'!$H:$H,'Daily NSE Equity Cash'!$A:$A,$A1234)=0,"",SUMIFS('Daily NSE Equity Cash'!$H:$H,'Daily NSE Equity Cash'!$A:$A,$A1234))</f>
        <v/>
      </c>
      <c r="F1234" s="4">
        <f>IF(SUMIFS('Daily BSE Equity Cash'!$H:$H,'Daily BSE Equity Cash'!$A:$A,$A1234)=0,"",SUMIFS('Daily BSE Equity Cash'!$H:$H,'Daily BSE Equity Cash'!$A:$A,$A1234))</f>
        <v/>
      </c>
      <c r="G1234" s="4">
        <f>IF(OR(E1234="",F1234=""),"",E1234+F1234)</f>
        <v/>
      </c>
      <c r="H1234" s="7">
        <f>IFERROR(IF(OR(E1234="",INDEX(E:E,MATCH(DATE(YEAR($A1234)-1,MONTH($A1234),DAY($A1234)),$A:$A,0))=""),"",E1234/INDEX(E:E,MATCH(DATE(YEAR($A1234)-1,MONTH($A1234),DAY($A1234)),$A:$A,0))-1),"")</f>
        <v/>
      </c>
      <c r="I1234" s="7">
        <f>IFERROR(IF(OR(F1234="",INDEX(F:F,MATCH(DATE(YEAR($A1234)-1,MONTH($A1234),DAY($A1234)),$A:$A,0))=""),"",F1234/INDEX(F:F,MATCH(DATE(YEAR($A1234)-1,MONTH($A1234),DAY($A1234)),$A:$A,0))-1),"")</f>
        <v/>
      </c>
      <c r="J1234" s="7">
        <f>IFERROR(IF(OR(G1234="",INDEX(G:G,MATCH(DATE(YEAR($A1234)-1,MONTH($A1234),DAY($A1234)),$A:$A,0))=""),"",G1234/INDEX(G:G,MATCH(DATE(YEAR($A1234)-1,MONTH($A1234),DAY($A1234)),$A:$A,0))-1),"")</f>
        <v/>
      </c>
      <c r="K1234" s="7">
        <f>IF(OR(E1234="",E1233=""),"",E1234/E1233-1)</f>
        <v/>
      </c>
      <c r="L1234" s="7">
        <f>IF(OR(F1234="",F1233=""),"",F1234/F1233-1)</f>
        <v/>
      </c>
      <c r="M1234" s="7">
        <f>IF(OR(G1234="",G1233=""),"",G1234/G1233-1)</f>
        <v/>
      </c>
      <c r="N1234" s="7">
        <f>IF(G1234="","",E1234/G1234)</f>
        <v/>
      </c>
      <c r="O1234" s="7">
        <f>IF(G1234="","",F1234/G1234)</f>
        <v/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4">
        <f>IF(SUMIFS('Daily NSE Equity Cash'!$H:$H,'Daily NSE Equity Cash'!$A:$A,$A1235)=0,"",SUMIFS('Daily NSE Equity Cash'!$H:$H,'Daily NSE Equity Cash'!$A:$A,$A1235))</f>
        <v/>
      </c>
      <c r="F1235" s="4">
        <f>IF(SUMIFS('Daily BSE Equity Cash'!$H:$H,'Daily BSE Equity Cash'!$A:$A,$A1235)=0,"",SUMIFS('Daily BSE Equity Cash'!$H:$H,'Daily BSE Equity Cash'!$A:$A,$A1235))</f>
        <v/>
      </c>
      <c r="G1235" s="4">
        <f>IF(OR(E1235="",F1235=""),"",E1235+F1235)</f>
        <v/>
      </c>
      <c r="H1235" s="7">
        <f>IFERROR(IF(OR(E1235="",INDEX(E:E,MATCH(DATE(YEAR($A1235)-1,MONTH($A1235),DAY($A1235)),$A:$A,0))=""),"",E1235/INDEX(E:E,MATCH(DATE(YEAR($A1235)-1,MONTH($A1235),DAY($A1235)),$A:$A,0))-1),"")</f>
        <v/>
      </c>
      <c r="I1235" s="7">
        <f>IFERROR(IF(OR(F1235="",INDEX(F:F,MATCH(DATE(YEAR($A1235)-1,MONTH($A1235),DAY($A1235)),$A:$A,0))=""),"",F1235/INDEX(F:F,MATCH(DATE(YEAR($A1235)-1,MONTH($A1235),DAY($A1235)),$A:$A,0))-1),"")</f>
        <v/>
      </c>
      <c r="J1235" s="7">
        <f>IFERROR(IF(OR(G1235="",INDEX(G:G,MATCH(DATE(YEAR($A1235)-1,MONTH($A1235),DAY($A1235)),$A:$A,0))=""),"",G1235/INDEX(G:G,MATCH(DATE(YEAR($A1235)-1,MONTH($A1235),DAY($A1235)),$A:$A,0))-1),"")</f>
        <v/>
      </c>
      <c r="K1235" s="7">
        <f>IF(OR(E1235="",E1234=""),"",E1235/E1234-1)</f>
        <v/>
      </c>
      <c r="L1235" s="7">
        <f>IF(OR(F1235="",F1234=""),"",F1235/F1234-1)</f>
        <v/>
      </c>
      <c r="M1235" s="7">
        <f>IF(OR(G1235="",G1234=""),"",G1235/G1234-1)</f>
        <v/>
      </c>
      <c r="N1235" s="7">
        <f>IF(G1235="","",E1235/G1235)</f>
        <v/>
      </c>
      <c r="O1235" s="7">
        <f>IF(G1235="","",F1235/G1235)</f>
        <v/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4">
        <f>IF(SUMIFS('Daily NSE Equity Cash'!$H:$H,'Daily NSE Equity Cash'!$A:$A,$A1236)=0,"",SUMIFS('Daily NSE Equity Cash'!$H:$H,'Daily NSE Equity Cash'!$A:$A,$A1236))</f>
        <v/>
      </c>
      <c r="F1236" s="4">
        <f>IF(SUMIFS('Daily BSE Equity Cash'!$H:$H,'Daily BSE Equity Cash'!$A:$A,$A1236)=0,"",SUMIFS('Daily BSE Equity Cash'!$H:$H,'Daily BSE Equity Cash'!$A:$A,$A1236))</f>
        <v/>
      </c>
      <c r="G1236" s="4">
        <f>IF(OR(E1236="",F1236=""),"",E1236+F1236)</f>
        <v/>
      </c>
      <c r="H1236" s="7">
        <f>IFERROR(IF(OR(E1236="",INDEX(E:E,MATCH(DATE(YEAR($A1236)-1,MONTH($A1236),DAY($A1236)),$A:$A,0))=""),"",E1236/INDEX(E:E,MATCH(DATE(YEAR($A1236)-1,MONTH($A1236),DAY($A1236)),$A:$A,0))-1),"")</f>
        <v/>
      </c>
      <c r="I1236" s="7">
        <f>IFERROR(IF(OR(F1236="",INDEX(F:F,MATCH(DATE(YEAR($A1236)-1,MONTH($A1236),DAY($A1236)),$A:$A,0))=""),"",F1236/INDEX(F:F,MATCH(DATE(YEAR($A1236)-1,MONTH($A1236),DAY($A1236)),$A:$A,0))-1),"")</f>
        <v/>
      </c>
      <c r="J1236" s="7">
        <f>IFERROR(IF(OR(G1236="",INDEX(G:G,MATCH(DATE(YEAR($A1236)-1,MONTH($A1236),DAY($A1236)),$A:$A,0))=""),"",G1236/INDEX(G:G,MATCH(DATE(YEAR($A1236)-1,MONTH($A1236),DAY($A1236)),$A:$A,0))-1),"")</f>
        <v/>
      </c>
      <c r="K1236" s="7">
        <f>IF(OR(E1236="",E1235=""),"",E1236/E1235-1)</f>
        <v/>
      </c>
      <c r="L1236" s="7">
        <f>IF(OR(F1236="",F1235=""),"",F1236/F1235-1)</f>
        <v/>
      </c>
      <c r="M1236" s="7">
        <f>IF(OR(G1236="",G1235=""),"",G1236/G1235-1)</f>
        <v/>
      </c>
      <c r="N1236" s="7">
        <f>IF(G1236="","",E1236/G1236)</f>
        <v/>
      </c>
      <c r="O1236" s="7">
        <f>IF(G1236="","",F1236/G1236)</f>
        <v/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4">
        <f>IF(SUMIFS('Daily NSE Equity Cash'!$H:$H,'Daily NSE Equity Cash'!$A:$A,$A1237)=0,"",SUMIFS('Daily NSE Equity Cash'!$H:$H,'Daily NSE Equity Cash'!$A:$A,$A1237))</f>
        <v/>
      </c>
      <c r="F1237" s="4">
        <f>IF(SUMIFS('Daily BSE Equity Cash'!$H:$H,'Daily BSE Equity Cash'!$A:$A,$A1237)=0,"",SUMIFS('Daily BSE Equity Cash'!$H:$H,'Daily BSE Equity Cash'!$A:$A,$A1237))</f>
        <v/>
      </c>
      <c r="G1237" s="4">
        <f>IF(OR(E1237="",F1237=""),"",E1237+F1237)</f>
        <v/>
      </c>
      <c r="H1237" s="7">
        <f>IFERROR(IF(OR(E1237="",INDEX(E:E,MATCH(DATE(YEAR($A1237)-1,MONTH($A1237),DAY($A1237)),$A:$A,0))=""),"",E1237/INDEX(E:E,MATCH(DATE(YEAR($A1237)-1,MONTH($A1237),DAY($A1237)),$A:$A,0))-1),"")</f>
        <v/>
      </c>
      <c r="I1237" s="7">
        <f>IFERROR(IF(OR(F1237="",INDEX(F:F,MATCH(DATE(YEAR($A1237)-1,MONTH($A1237),DAY($A1237)),$A:$A,0))=""),"",F1237/INDEX(F:F,MATCH(DATE(YEAR($A1237)-1,MONTH($A1237),DAY($A1237)),$A:$A,0))-1),"")</f>
        <v/>
      </c>
      <c r="J1237" s="7">
        <f>IFERROR(IF(OR(G1237="",INDEX(G:G,MATCH(DATE(YEAR($A1237)-1,MONTH($A1237),DAY($A1237)),$A:$A,0))=""),"",G1237/INDEX(G:G,MATCH(DATE(YEAR($A1237)-1,MONTH($A1237),DAY($A1237)),$A:$A,0))-1),"")</f>
        <v/>
      </c>
      <c r="K1237" s="7">
        <f>IF(OR(E1237="",E1236=""),"",E1237/E1236-1)</f>
        <v/>
      </c>
      <c r="L1237" s="7">
        <f>IF(OR(F1237="",F1236=""),"",F1237/F1236-1)</f>
        <v/>
      </c>
      <c r="M1237" s="7">
        <f>IF(OR(G1237="",G1236=""),"",G1237/G1236-1)</f>
        <v/>
      </c>
      <c r="N1237" s="7">
        <f>IF(G1237="","",E1237/G1237)</f>
        <v/>
      </c>
      <c r="O1237" s="7">
        <f>IF(G1237="","",F1237/G1237)</f>
        <v/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4">
        <f>IF(SUMIFS('Daily NSE Equity Cash'!$H:$H,'Daily NSE Equity Cash'!$A:$A,$A1238)=0,"",SUMIFS('Daily NSE Equity Cash'!$H:$H,'Daily NSE Equity Cash'!$A:$A,$A1238))</f>
        <v/>
      </c>
      <c r="F1238" s="4">
        <f>IF(SUMIFS('Daily BSE Equity Cash'!$H:$H,'Daily BSE Equity Cash'!$A:$A,$A1238)=0,"",SUMIFS('Daily BSE Equity Cash'!$H:$H,'Daily BSE Equity Cash'!$A:$A,$A1238))</f>
        <v/>
      </c>
      <c r="G1238" s="4">
        <f>IF(OR(E1238="",F1238=""),"",E1238+F1238)</f>
        <v/>
      </c>
      <c r="H1238" s="7">
        <f>IFERROR(IF(OR(E1238="",INDEX(E:E,MATCH(DATE(YEAR($A1238)-1,MONTH($A1238),DAY($A1238)),$A:$A,0))=""),"",E1238/INDEX(E:E,MATCH(DATE(YEAR($A1238)-1,MONTH($A1238),DAY($A1238)),$A:$A,0))-1),"")</f>
        <v/>
      </c>
      <c r="I1238" s="7">
        <f>IFERROR(IF(OR(F1238="",INDEX(F:F,MATCH(DATE(YEAR($A1238)-1,MONTH($A1238),DAY($A1238)),$A:$A,0))=""),"",F1238/INDEX(F:F,MATCH(DATE(YEAR($A1238)-1,MONTH($A1238),DAY($A1238)),$A:$A,0))-1),"")</f>
        <v/>
      </c>
      <c r="J1238" s="7">
        <f>IFERROR(IF(OR(G1238="",INDEX(G:G,MATCH(DATE(YEAR($A1238)-1,MONTH($A1238),DAY($A1238)),$A:$A,0))=""),"",G1238/INDEX(G:G,MATCH(DATE(YEAR($A1238)-1,MONTH($A1238),DAY($A1238)),$A:$A,0))-1),"")</f>
        <v/>
      </c>
      <c r="K1238" s="7">
        <f>IF(OR(E1238="",E1237=""),"",E1238/E1237-1)</f>
        <v/>
      </c>
      <c r="L1238" s="7">
        <f>IF(OR(F1238="",F1237=""),"",F1238/F1237-1)</f>
        <v/>
      </c>
      <c r="M1238" s="7">
        <f>IF(OR(G1238="",G1237=""),"",G1238/G1237-1)</f>
        <v/>
      </c>
      <c r="N1238" s="7">
        <f>IF(G1238="","",E1238/G1238)</f>
        <v/>
      </c>
      <c r="O1238" s="7">
        <f>IF(G1238="","",F1238/G1238)</f>
        <v/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4">
        <f>IF(SUMIFS('Daily NSE Equity Cash'!$H:$H,'Daily NSE Equity Cash'!$A:$A,$A1239)=0,"",SUMIFS('Daily NSE Equity Cash'!$H:$H,'Daily NSE Equity Cash'!$A:$A,$A1239))</f>
        <v/>
      </c>
      <c r="F1239" s="4">
        <f>IF(SUMIFS('Daily BSE Equity Cash'!$H:$H,'Daily BSE Equity Cash'!$A:$A,$A1239)=0,"",SUMIFS('Daily BSE Equity Cash'!$H:$H,'Daily BSE Equity Cash'!$A:$A,$A1239))</f>
        <v/>
      </c>
      <c r="G1239" s="4">
        <f>IF(OR(E1239="",F1239=""),"",E1239+F1239)</f>
        <v/>
      </c>
      <c r="H1239" s="7">
        <f>IFERROR(IF(OR(E1239="",INDEX(E:E,MATCH(DATE(YEAR($A1239)-1,MONTH($A1239),DAY($A1239)),$A:$A,0))=""),"",E1239/INDEX(E:E,MATCH(DATE(YEAR($A1239)-1,MONTH($A1239),DAY($A1239)),$A:$A,0))-1),"")</f>
        <v/>
      </c>
      <c r="I1239" s="7">
        <f>IFERROR(IF(OR(F1239="",INDEX(F:F,MATCH(DATE(YEAR($A1239)-1,MONTH($A1239),DAY($A1239)),$A:$A,0))=""),"",F1239/INDEX(F:F,MATCH(DATE(YEAR($A1239)-1,MONTH($A1239),DAY($A1239)),$A:$A,0))-1),"")</f>
        <v/>
      </c>
      <c r="J1239" s="7">
        <f>IFERROR(IF(OR(G1239="",INDEX(G:G,MATCH(DATE(YEAR($A1239)-1,MONTH($A1239),DAY($A1239)),$A:$A,0))=""),"",G1239/INDEX(G:G,MATCH(DATE(YEAR($A1239)-1,MONTH($A1239),DAY($A1239)),$A:$A,0))-1),"")</f>
        <v/>
      </c>
      <c r="K1239" s="7">
        <f>IF(OR(E1239="",E1238=""),"",E1239/E1238-1)</f>
        <v/>
      </c>
      <c r="L1239" s="7">
        <f>IF(OR(F1239="",F1238=""),"",F1239/F1238-1)</f>
        <v/>
      </c>
      <c r="M1239" s="7">
        <f>IF(OR(G1239="",G1238=""),"",G1239/G1238-1)</f>
        <v/>
      </c>
      <c r="N1239" s="7">
        <f>IF(G1239="","",E1239/G1239)</f>
        <v/>
      </c>
      <c r="O1239" s="7">
        <f>IF(G1239="","",F1239/G1239)</f>
        <v/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4">
        <f>IF(SUMIFS('Daily NSE Equity Cash'!$H:$H,'Daily NSE Equity Cash'!$A:$A,$A1240)=0,"",SUMIFS('Daily NSE Equity Cash'!$H:$H,'Daily NSE Equity Cash'!$A:$A,$A1240))</f>
        <v/>
      </c>
      <c r="F1240" s="4">
        <f>IF(SUMIFS('Daily BSE Equity Cash'!$H:$H,'Daily BSE Equity Cash'!$A:$A,$A1240)=0,"",SUMIFS('Daily BSE Equity Cash'!$H:$H,'Daily BSE Equity Cash'!$A:$A,$A1240))</f>
        <v/>
      </c>
      <c r="G1240" s="4">
        <f>IF(OR(E1240="",F1240=""),"",E1240+F1240)</f>
        <v/>
      </c>
      <c r="H1240" s="7">
        <f>IFERROR(IF(OR(E1240="",INDEX(E:E,MATCH(DATE(YEAR($A1240)-1,MONTH($A1240),DAY($A1240)),$A:$A,0))=""),"",E1240/INDEX(E:E,MATCH(DATE(YEAR($A1240)-1,MONTH($A1240),DAY($A1240)),$A:$A,0))-1),"")</f>
        <v/>
      </c>
      <c r="I1240" s="7">
        <f>IFERROR(IF(OR(F1240="",INDEX(F:F,MATCH(DATE(YEAR($A1240)-1,MONTH($A1240),DAY($A1240)),$A:$A,0))=""),"",F1240/INDEX(F:F,MATCH(DATE(YEAR($A1240)-1,MONTH($A1240),DAY($A1240)),$A:$A,0))-1),"")</f>
        <v/>
      </c>
      <c r="J1240" s="7">
        <f>IFERROR(IF(OR(G1240="",INDEX(G:G,MATCH(DATE(YEAR($A1240)-1,MONTH($A1240),DAY($A1240)),$A:$A,0))=""),"",G1240/INDEX(G:G,MATCH(DATE(YEAR($A1240)-1,MONTH($A1240),DAY($A1240)),$A:$A,0))-1),"")</f>
        <v/>
      </c>
      <c r="K1240" s="7">
        <f>IF(OR(E1240="",E1239=""),"",E1240/E1239-1)</f>
        <v/>
      </c>
      <c r="L1240" s="7">
        <f>IF(OR(F1240="",F1239=""),"",F1240/F1239-1)</f>
        <v/>
      </c>
      <c r="M1240" s="7">
        <f>IF(OR(G1240="",G1239=""),"",G1240/G1239-1)</f>
        <v/>
      </c>
      <c r="N1240" s="7">
        <f>IF(G1240="","",E1240/G1240)</f>
        <v/>
      </c>
      <c r="O1240" s="7">
        <f>IF(G1240="","",F1240/G1240)</f>
        <v/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4">
        <f>IF(SUMIFS('Daily NSE Equity Cash'!$H:$H,'Daily NSE Equity Cash'!$A:$A,$A1241)=0,"",SUMIFS('Daily NSE Equity Cash'!$H:$H,'Daily NSE Equity Cash'!$A:$A,$A1241))</f>
        <v/>
      </c>
      <c r="F1241" s="4">
        <f>IF(SUMIFS('Daily BSE Equity Cash'!$H:$H,'Daily BSE Equity Cash'!$A:$A,$A1241)=0,"",SUMIFS('Daily BSE Equity Cash'!$H:$H,'Daily BSE Equity Cash'!$A:$A,$A1241))</f>
        <v/>
      </c>
      <c r="G1241" s="4">
        <f>IF(OR(E1241="",F1241=""),"",E1241+F1241)</f>
        <v/>
      </c>
      <c r="H1241" s="7">
        <f>IFERROR(IF(OR(E1241="",INDEX(E:E,MATCH(DATE(YEAR($A1241)-1,MONTH($A1241),DAY($A1241)),$A:$A,0))=""),"",E1241/INDEX(E:E,MATCH(DATE(YEAR($A1241)-1,MONTH($A1241),DAY($A1241)),$A:$A,0))-1),"")</f>
        <v/>
      </c>
      <c r="I1241" s="7">
        <f>IFERROR(IF(OR(F1241="",INDEX(F:F,MATCH(DATE(YEAR($A1241)-1,MONTH($A1241),DAY($A1241)),$A:$A,0))=""),"",F1241/INDEX(F:F,MATCH(DATE(YEAR($A1241)-1,MONTH($A1241),DAY($A1241)),$A:$A,0))-1),"")</f>
        <v/>
      </c>
      <c r="J1241" s="7">
        <f>IFERROR(IF(OR(G1241="",INDEX(G:G,MATCH(DATE(YEAR($A1241)-1,MONTH($A1241),DAY($A1241)),$A:$A,0))=""),"",G1241/INDEX(G:G,MATCH(DATE(YEAR($A1241)-1,MONTH($A1241),DAY($A1241)),$A:$A,0))-1),"")</f>
        <v/>
      </c>
      <c r="K1241" s="7">
        <f>IF(OR(E1241="",E1240=""),"",E1241/E1240-1)</f>
        <v/>
      </c>
      <c r="L1241" s="7">
        <f>IF(OR(F1241="",F1240=""),"",F1241/F1240-1)</f>
        <v/>
      </c>
      <c r="M1241" s="7">
        <f>IF(OR(G1241="",G1240=""),"",G1241/G1240-1)</f>
        <v/>
      </c>
      <c r="N1241" s="7">
        <f>IF(G1241="","",E1241/G1241)</f>
        <v/>
      </c>
      <c r="O1241" s="7">
        <f>IF(G1241="","",F1241/G1241)</f>
        <v/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4">
        <f>IF(SUMIFS('Daily NSE Equity Cash'!$H:$H,'Daily NSE Equity Cash'!$A:$A,$A1242)=0,"",SUMIFS('Daily NSE Equity Cash'!$H:$H,'Daily NSE Equity Cash'!$A:$A,$A1242))</f>
        <v/>
      </c>
      <c r="F1242" s="4">
        <f>IF(SUMIFS('Daily BSE Equity Cash'!$H:$H,'Daily BSE Equity Cash'!$A:$A,$A1242)=0,"",SUMIFS('Daily BSE Equity Cash'!$H:$H,'Daily BSE Equity Cash'!$A:$A,$A1242))</f>
        <v/>
      </c>
      <c r="G1242" s="4">
        <f>IF(OR(E1242="",F1242=""),"",E1242+F1242)</f>
        <v/>
      </c>
      <c r="H1242" s="7">
        <f>IFERROR(IF(OR(E1242="",INDEX(E:E,MATCH(DATE(YEAR($A1242)-1,MONTH($A1242),DAY($A1242)),$A:$A,0))=""),"",E1242/INDEX(E:E,MATCH(DATE(YEAR($A1242)-1,MONTH($A1242),DAY($A1242)),$A:$A,0))-1),"")</f>
        <v/>
      </c>
      <c r="I1242" s="7">
        <f>IFERROR(IF(OR(F1242="",INDEX(F:F,MATCH(DATE(YEAR($A1242)-1,MONTH($A1242),DAY($A1242)),$A:$A,0))=""),"",F1242/INDEX(F:F,MATCH(DATE(YEAR($A1242)-1,MONTH($A1242),DAY($A1242)),$A:$A,0))-1),"")</f>
        <v/>
      </c>
      <c r="J1242" s="7">
        <f>IFERROR(IF(OR(G1242="",INDEX(G:G,MATCH(DATE(YEAR($A1242)-1,MONTH($A1242),DAY($A1242)),$A:$A,0))=""),"",G1242/INDEX(G:G,MATCH(DATE(YEAR($A1242)-1,MONTH($A1242),DAY($A1242)),$A:$A,0))-1),"")</f>
        <v/>
      </c>
      <c r="K1242" s="7">
        <f>IF(OR(E1242="",E1241=""),"",E1242/E1241-1)</f>
        <v/>
      </c>
      <c r="L1242" s="7">
        <f>IF(OR(F1242="",F1241=""),"",F1242/F1241-1)</f>
        <v/>
      </c>
      <c r="M1242" s="7">
        <f>IF(OR(G1242="",G1241=""),"",G1242/G1241-1)</f>
        <v/>
      </c>
      <c r="N1242" s="7">
        <f>IF(G1242="","",E1242/G1242)</f>
        <v/>
      </c>
      <c r="O1242" s="7">
        <f>IF(G1242="","",F1242/G1242)</f>
        <v/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4">
        <f>IF(SUMIFS('Daily NSE Equity Cash'!$H:$H,'Daily NSE Equity Cash'!$A:$A,$A1243)=0,"",SUMIFS('Daily NSE Equity Cash'!$H:$H,'Daily NSE Equity Cash'!$A:$A,$A1243))</f>
        <v/>
      </c>
      <c r="F1243" s="4">
        <f>IF(SUMIFS('Daily BSE Equity Cash'!$H:$H,'Daily BSE Equity Cash'!$A:$A,$A1243)=0,"",SUMIFS('Daily BSE Equity Cash'!$H:$H,'Daily BSE Equity Cash'!$A:$A,$A1243))</f>
        <v/>
      </c>
      <c r="G1243" s="4">
        <f>IF(OR(E1243="",F1243=""),"",E1243+F1243)</f>
        <v/>
      </c>
      <c r="H1243" s="7">
        <f>IFERROR(IF(OR(E1243="",INDEX(E:E,MATCH(DATE(YEAR($A1243)-1,MONTH($A1243),DAY($A1243)),$A:$A,0))=""),"",E1243/INDEX(E:E,MATCH(DATE(YEAR($A1243)-1,MONTH($A1243),DAY($A1243)),$A:$A,0))-1),"")</f>
        <v/>
      </c>
      <c r="I1243" s="7">
        <f>IFERROR(IF(OR(F1243="",INDEX(F:F,MATCH(DATE(YEAR($A1243)-1,MONTH($A1243),DAY($A1243)),$A:$A,0))=""),"",F1243/INDEX(F:F,MATCH(DATE(YEAR($A1243)-1,MONTH($A1243),DAY($A1243)),$A:$A,0))-1),"")</f>
        <v/>
      </c>
      <c r="J1243" s="7">
        <f>IFERROR(IF(OR(G1243="",INDEX(G:G,MATCH(DATE(YEAR($A1243)-1,MONTH($A1243),DAY($A1243)),$A:$A,0))=""),"",G1243/INDEX(G:G,MATCH(DATE(YEAR($A1243)-1,MONTH($A1243),DAY($A1243)),$A:$A,0))-1),"")</f>
        <v/>
      </c>
      <c r="K1243" s="7">
        <f>IF(OR(E1243="",E1242=""),"",E1243/E1242-1)</f>
        <v/>
      </c>
      <c r="L1243" s="7">
        <f>IF(OR(F1243="",F1242=""),"",F1243/F1242-1)</f>
        <v/>
      </c>
      <c r="M1243" s="7">
        <f>IF(OR(G1243="",G1242=""),"",G1243/G1242-1)</f>
        <v/>
      </c>
      <c r="N1243" s="7">
        <f>IF(G1243="","",E1243/G1243)</f>
        <v/>
      </c>
      <c r="O1243" s="7">
        <f>IF(G1243="","",F1243/G1243)</f>
        <v/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4">
        <f>IF(SUMIFS('Daily NSE Equity Cash'!$H:$H,'Daily NSE Equity Cash'!$A:$A,$A1244)=0,"",SUMIFS('Daily NSE Equity Cash'!$H:$H,'Daily NSE Equity Cash'!$A:$A,$A1244))</f>
        <v/>
      </c>
      <c r="F1244" s="4">
        <f>IF(SUMIFS('Daily BSE Equity Cash'!$H:$H,'Daily BSE Equity Cash'!$A:$A,$A1244)=0,"",SUMIFS('Daily BSE Equity Cash'!$H:$H,'Daily BSE Equity Cash'!$A:$A,$A1244))</f>
        <v/>
      </c>
      <c r="G1244" s="4">
        <f>IF(OR(E1244="",F1244=""),"",E1244+F1244)</f>
        <v/>
      </c>
      <c r="H1244" s="7">
        <f>IFERROR(IF(OR(E1244="",INDEX(E:E,MATCH(DATE(YEAR($A1244)-1,MONTH($A1244),DAY($A1244)),$A:$A,0))=""),"",E1244/INDEX(E:E,MATCH(DATE(YEAR($A1244)-1,MONTH($A1244),DAY($A1244)),$A:$A,0))-1),"")</f>
        <v/>
      </c>
      <c r="I1244" s="7">
        <f>IFERROR(IF(OR(F1244="",INDEX(F:F,MATCH(DATE(YEAR($A1244)-1,MONTH($A1244),DAY($A1244)),$A:$A,0))=""),"",F1244/INDEX(F:F,MATCH(DATE(YEAR($A1244)-1,MONTH($A1244),DAY($A1244)),$A:$A,0))-1),"")</f>
        <v/>
      </c>
      <c r="J1244" s="7">
        <f>IFERROR(IF(OR(G1244="",INDEX(G:G,MATCH(DATE(YEAR($A1244)-1,MONTH($A1244),DAY($A1244)),$A:$A,0))=""),"",G1244/INDEX(G:G,MATCH(DATE(YEAR($A1244)-1,MONTH($A1244),DAY($A1244)),$A:$A,0))-1),"")</f>
        <v/>
      </c>
      <c r="K1244" s="7">
        <f>IF(OR(E1244="",E1243=""),"",E1244/E1243-1)</f>
        <v/>
      </c>
      <c r="L1244" s="7">
        <f>IF(OR(F1244="",F1243=""),"",F1244/F1243-1)</f>
        <v/>
      </c>
      <c r="M1244" s="7">
        <f>IF(OR(G1244="",G1243=""),"",G1244/G1243-1)</f>
        <v/>
      </c>
      <c r="N1244" s="7">
        <f>IF(G1244="","",E1244/G1244)</f>
        <v/>
      </c>
      <c r="O1244" s="7">
        <f>IF(G1244="","",F1244/G1244)</f>
        <v/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4">
        <f>IF(SUMIFS('Daily NSE Equity Cash'!$H:$H,'Daily NSE Equity Cash'!$A:$A,$A1245)=0,"",SUMIFS('Daily NSE Equity Cash'!$H:$H,'Daily NSE Equity Cash'!$A:$A,$A1245))</f>
        <v/>
      </c>
      <c r="F1245" s="4">
        <f>IF(SUMIFS('Daily BSE Equity Cash'!$H:$H,'Daily BSE Equity Cash'!$A:$A,$A1245)=0,"",SUMIFS('Daily BSE Equity Cash'!$H:$H,'Daily BSE Equity Cash'!$A:$A,$A1245))</f>
        <v/>
      </c>
      <c r="G1245" s="4">
        <f>IF(OR(E1245="",F1245=""),"",E1245+F1245)</f>
        <v/>
      </c>
      <c r="H1245" s="7">
        <f>IFERROR(IF(OR(E1245="",INDEX(E:E,MATCH(DATE(YEAR($A1245)-1,MONTH($A1245),DAY($A1245)),$A:$A,0))=""),"",E1245/INDEX(E:E,MATCH(DATE(YEAR($A1245)-1,MONTH($A1245),DAY($A1245)),$A:$A,0))-1),"")</f>
        <v/>
      </c>
      <c r="I1245" s="7">
        <f>IFERROR(IF(OR(F1245="",INDEX(F:F,MATCH(DATE(YEAR($A1245)-1,MONTH($A1245),DAY($A1245)),$A:$A,0))=""),"",F1245/INDEX(F:F,MATCH(DATE(YEAR($A1245)-1,MONTH($A1245),DAY($A1245)),$A:$A,0))-1),"")</f>
        <v/>
      </c>
      <c r="J1245" s="7">
        <f>IFERROR(IF(OR(G1245="",INDEX(G:G,MATCH(DATE(YEAR($A1245)-1,MONTH($A1245),DAY($A1245)),$A:$A,0))=""),"",G1245/INDEX(G:G,MATCH(DATE(YEAR($A1245)-1,MONTH($A1245),DAY($A1245)),$A:$A,0))-1),"")</f>
        <v/>
      </c>
      <c r="K1245" s="7">
        <f>IF(OR(E1245="",E1244=""),"",E1245/E1244-1)</f>
        <v/>
      </c>
      <c r="L1245" s="7">
        <f>IF(OR(F1245="",F1244=""),"",F1245/F1244-1)</f>
        <v/>
      </c>
      <c r="M1245" s="7">
        <f>IF(OR(G1245="",G1244=""),"",G1245/G1244-1)</f>
        <v/>
      </c>
      <c r="N1245" s="7">
        <f>IF(G1245="","",E1245/G1245)</f>
        <v/>
      </c>
      <c r="O1245" s="7">
        <f>IF(G1245="","",F1245/G1245)</f>
        <v/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4">
        <f>IF(SUMIFS('Daily NSE Equity Cash'!$H:$H,'Daily NSE Equity Cash'!$A:$A,$A1246)=0,"",SUMIFS('Daily NSE Equity Cash'!$H:$H,'Daily NSE Equity Cash'!$A:$A,$A1246))</f>
        <v/>
      </c>
      <c r="F1246" s="4">
        <f>IF(SUMIFS('Daily BSE Equity Cash'!$H:$H,'Daily BSE Equity Cash'!$A:$A,$A1246)=0,"",SUMIFS('Daily BSE Equity Cash'!$H:$H,'Daily BSE Equity Cash'!$A:$A,$A1246))</f>
        <v/>
      </c>
      <c r="G1246" s="4">
        <f>IF(OR(E1246="",F1246=""),"",E1246+F1246)</f>
        <v/>
      </c>
      <c r="H1246" s="7">
        <f>IFERROR(IF(OR(E1246="",INDEX(E:E,MATCH(DATE(YEAR($A1246)-1,MONTH($A1246),DAY($A1246)),$A:$A,0))=""),"",E1246/INDEX(E:E,MATCH(DATE(YEAR($A1246)-1,MONTH($A1246),DAY($A1246)),$A:$A,0))-1),"")</f>
        <v/>
      </c>
      <c r="I1246" s="7">
        <f>IFERROR(IF(OR(F1246="",INDEX(F:F,MATCH(DATE(YEAR($A1246)-1,MONTH($A1246),DAY($A1246)),$A:$A,0))=""),"",F1246/INDEX(F:F,MATCH(DATE(YEAR($A1246)-1,MONTH($A1246),DAY($A1246)),$A:$A,0))-1),"")</f>
        <v/>
      </c>
      <c r="J1246" s="7">
        <f>IFERROR(IF(OR(G1246="",INDEX(G:G,MATCH(DATE(YEAR($A1246)-1,MONTH($A1246),DAY($A1246)),$A:$A,0))=""),"",G1246/INDEX(G:G,MATCH(DATE(YEAR($A1246)-1,MONTH($A1246),DAY($A1246)),$A:$A,0))-1),"")</f>
        <v/>
      </c>
      <c r="K1246" s="7">
        <f>IF(OR(E1246="",E1245=""),"",E1246/E1245-1)</f>
        <v/>
      </c>
      <c r="L1246" s="7">
        <f>IF(OR(F1246="",F1245=""),"",F1246/F1245-1)</f>
        <v/>
      </c>
      <c r="M1246" s="7">
        <f>IF(OR(G1246="",G1245=""),"",G1246/G1245-1)</f>
        <v/>
      </c>
      <c r="N1246" s="7">
        <f>IF(G1246="","",E1246/G1246)</f>
        <v/>
      </c>
      <c r="O1246" s="7">
        <f>IF(G1246="","",F1246/G1246)</f>
        <v/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4">
        <f>IF(SUMIFS('Daily NSE Equity Cash'!$H:$H,'Daily NSE Equity Cash'!$A:$A,$A1247)=0,"",SUMIFS('Daily NSE Equity Cash'!$H:$H,'Daily NSE Equity Cash'!$A:$A,$A1247))</f>
        <v/>
      </c>
      <c r="F1247" s="4">
        <f>IF(SUMIFS('Daily BSE Equity Cash'!$H:$H,'Daily BSE Equity Cash'!$A:$A,$A1247)=0,"",SUMIFS('Daily BSE Equity Cash'!$H:$H,'Daily BSE Equity Cash'!$A:$A,$A1247))</f>
        <v/>
      </c>
      <c r="G1247" s="4">
        <f>IF(OR(E1247="",F1247=""),"",E1247+F1247)</f>
        <v/>
      </c>
      <c r="H1247" s="7">
        <f>IFERROR(IF(OR(E1247="",INDEX(E:E,MATCH(DATE(YEAR($A1247)-1,MONTH($A1247),DAY($A1247)),$A:$A,0))=""),"",E1247/INDEX(E:E,MATCH(DATE(YEAR($A1247)-1,MONTH($A1247),DAY($A1247)),$A:$A,0))-1),"")</f>
        <v/>
      </c>
      <c r="I1247" s="7">
        <f>IFERROR(IF(OR(F1247="",INDEX(F:F,MATCH(DATE(YEAR($A1247)-1,MONTH($A1247),DAY($A1247)),$A:$A,0))=""),"",F1247/INDEX(F:F,MATCH(DATE(YEAR($A1247)-1,MONTH($A1247),DAY($A1247)),$A:$A,0))-1),"")</f>
        <v/>
      </c>
      <c r="J1247" s="7">
        <f>IFERROR(IF(OR(G1247="",INDEX(G:G,MATCH(DATE(YEAR($A1247)-1,MONTH($A1247),DAY($A1247)),$A:$A,0))=""),"",G1247/INDEX(G:G,MATCH(DATE(YEAR($A1247)-1,MONTH($A1247),DAY($A1247)),$A:$A,0))-1),"")</f>
        <v/>
      </c>
      <c r="K1247" s="7">
        <f>IF(OR(E1247="",E1246=""),"",E1247/E1246-1)</f>
        <v/>
      </c>
      <c r="L1247" s="7">
        <f>IF(OR(F1247="",F1246=""),"",F1247/F1246-1)</f>
        <v/>
      </c>
      <c r="M1247" s="7">
        <f>IF(OR(G1247="",G1246=""),"",G1247/G1246-1)</f>
        <v/>
      </c>
      <c r="N1247" s="7">
        <f>IF(G1247="","",E1247/G1247)</f>
        <v/>
      </c>
      <c r="O1247" s="7">
        <f>IF(G1247="","",F1247/G1247)</f>
        <v/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4">
        <f>IF(SUMIFS('Daily NSE Equity Cash'!$H:$H,'Daily NSE Equity Cash'!$A:$A,$A1248)=0,"",SUMIFS('Daily NSE Equity Cash'!$H:$H,'Daily NSE Equity Cash'!$A:$A,$A1248))</f>
        <v/>
      </c>
      <c r="F1248" s="4">
        <f>IF(SUMIFS('Daily BSE Equity Cash'!$H:$H,'Daily BSE Equity Cash'!$A:$A,$A1248)=0,"",SUMIFS('Daily BSE Equity Cash'!$H:$H,'Daily BSE Equity Cash'!$A:$A,$A1248))</f>
        <v/>
      </c>
      <c r="G1248" s="4">
        <f>IF(OR(E1248="",F1248=""),"",E1248+F1248)</f>
        <v/>
      </c>
      <c r="H1248" s="7">
        <f>IFERROR(IF(OR(E1248="",INDEX(E:E,MATCH(DATE(YEAR($A1248)-1,MONTH($A1248),DAY($A1248)),$A:$A,0))=""),"",E1248/INDEX(E:E,MATCH(DATE(YEAR($A1248)-1,MONTH($A1248),DAY($A1248)),$A:$A,0))-1),"")</f>
        <v/>
      </c>
      <c r="I1248" s="7">
        <f>IFERROR(IF(OR(F1248="",INDEX(F:F,MATCH(DATE(YEAR($A1248)-1,MONTH($A1248),DAY($A1248)),$A:$A,0))=""),"",F1248/INDEX(F:F,MATCH(DATE(YEAR($A1248)-1,MONTH($A1248),DAY($A1248)),$A:$A,0))-1),"")</f>
        <v/>
      </c>
      <c r="J1248" s="7">
        <f>IFERROR(IF(OR(G1248="",INDEX(G:G,MATCH(DATE(YEAR($A1248)-1,MONTH($A1248),DAY($A1248)),$A:$A,0))=""),"",G1248/INDEX(G:G,MATCH(DATE(YEAR($A1248)-1,MONTH($A1248),DAY($A1248)),$A:$A,0))-1),"")</f>
        <v/>
      </c>
      <c r="K1248" s="7">
        <f>IF(OR(E1248="",E1247=""),"",E1248/E1247-1)</f>
        <v/>
      </c>
      <c r="L1248" s="7">
        <f>IF(OR(F1248="",F1247=""),"",F1248/F1247-1)</f>
        <v/>
      </c>
      <c r="M1248" s="7">
        <f>IF(OR(G1248="",G1247=""),"",G1248/G1247-1)</f>
        <v/>
      </c>
      <c r="N1248" s="7">
        <f>IF(G1248="","",E1248/G1248)</f>
        <v/>
      </c>
      <c r="O1248" s="7">
        <f>IF(G1248="","",F1248/G1248)</f>
        <v/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4">
        <f>IF(SUMIFS('Daily NSE Equity Cash'!$H:$H,'Daily NSE Equity Cash'!$A:$A,$A1249)=0,"",SUMIFS('Daily NSE Equity Cash'!$H:$H,'Daily NSE Equity Cash'!$A:$A,$A1249))</f>
        <v/>
      </c>
      <c r="F1249" s="4">
        <f>IF(SUMIFS('Daily BSE Equity Cash'!$H:$H,'Daily BSE Equity Cash'!$A:$A,$A1249)=0,"",SUMIFS('Daily BSE Equity Cash'!$H:$H,'Daily BSE Equity Cash'!$A:$A,$A1249))</f>
        <v/>
      </c>
      <c r="G1249" s="4">
        <f>IF(OR(E1249="",F1249=""),"",E1249+F1249)</f>
        <v/>
      </c>
      <c r="H1249" s="7">
        <f>IFERROR(IF(OR(E1249="",INDEX(E:E,MATCH(DATE(YEAR($A1249)-1,MONTH($A1249),DAY($A1249)),$A:$A,0))=""),"",E1249/INDEX(E:E,MATCH(DATE(YEAR($A1249)-1,MONTH($A1249),DAY($A1249)),$A:$A,0))-1),"")</f>
        <v/>
      </c>
      <c r="I1249" s="7">
        <f>IFERROR(IF(OR(F1249="",INDEX(F:F,MATCH(DATE(YEAR($A1249)-1,MONTH($A1249),DAY($A1249)),$A:$A,0))=""),"",F1249/INDEX(F:F,MATCH(DATE(YEAR($A1249)-1,MONTH($A1249),DAY($A1249)),$A:$A,0))-1),"")</f>
        <v/>
      </c>
      <c r="J1249" s="7">
        <f>IFERROR(IF(OR(G1249="",INDEX(G:G,MATCH(DATE(YEAR($A1249)-1,MONTH($A1249),DAY($A1249)),$A:$A,0))=""),"",G1249/INDEX(G:G,MATCH(DATE(YEAR($A1249)-1,MONTH($A1249),DAY($A1249)),$A:$A,0))-1),"")</f>
        <v/>
      </c>
      <c r="K1249" s="7">
        <f>IF(OR(E1249="",E1248=""),"",E1249/E1248-1)</f>
        <v/>
      </c>
      <c r="L1249" s="7">
        <f>IF(OR(F1249="",F1248=""),"",F1249/F1248-1)</f>
        <v/>
      </c>
      <c r="M1249" s="7">
        <f>IF(OR(G1249="",G1248=""),"",G1249/G1248-1)</f>
        <v/>
      </c>
      <c r="N1249" s="7">
        <f>IF(G1249="","",E1249/G1249)</f>
        <v/>
      </c>
      <c r="O1249" s="7">
        <f>IF(G1249="","",F1249/G1249)</f>
        <v/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4">
        <f>IF(SUMIFS('Daily NSE Equity Cash'!$H:$H,'Daily NSE Equity Cash'!$A:$A,$A1250)=0,"",SUMIFS('Daily NSE Equity Cash'!$H:$H,'Daily NSE Equity Cash'!$A:$A,$A1250))</f>
        <v/>
      </c>
      <c r="F1250" s="4">
        <f>IF(SUMIFS('Daily BSE Equity Cash'!$H:$H,'Daily BSE Equity Cash'!$A:$A,$A1250)=0,"",SUMIFS('Daily BSE Equity Cash'!$H:$H,'Daily BSE Equity Cash'!$A:$A,$A1250))</f>
        <v/>
      </c>
      <c r="G1250" s="4">
        <f>IF(OR(E1250="",F1250=""),"",E1250+F1250)</f>
        <v/>
      </c>
      <c r="H1250" s="7">
        <f>IFERROR(IF(OR(E1250="",INDEX(E:E,MATCH(DATE(YEAR($A1250)-1,MONTH($A1250),DAY($A1250)),$A:$A,0))=""),"",E1250/INDEX(E:E,MATCH(DATE(YEAR($A1250)-1,MONTH($A1250),DAY($A1250)),$A:$A,0))-1),"")</f>
        <v/>
      </c>
      <c r="I1250" s="7">
        <f>IFERROR(IF(OR(F1250="",INDEX(F:F,MATCH(DATE(YEAR($A1250)-1,MONTH($A1250),DAY($A1250)),$A:$A,0))=""),"",F1250/INDEX(F:F,MATCH(DATE(YEAR($A1250)-1,MONTH($A1250),DAY($A1250)),$A:$A,0))-1),"")</f>
        <v/>
      </c>
      <c r="J1250" s="7">
        <f>IFERROR(IF(OR(G1250="",INDEX(G:G,MATCH(DATE(YEAR($A1250)-1,MONTH($A1250),DAY($A1250)),$A:$A,0))=""),"",G1250/INDEX(G:G,MATCH(DATE(YEAR($A1250)-1,MONTH($A1250),DAY($A1250)),$A:$A,0))-1),"")</f>
        <v/>
      </c>
      <c r="K1250" s="7">
        <f>IF(OR(E1250="",E1249=""),"",E1250/E1249-1)</f>
        <v/>
      </c>
      <c r="L1250" s="7">
        <f>IF(OR(F1250="",F1249=""),"",F1250/F1249-1)</f>
        <v/>
      </c>
      <c r="M1250" s="7">
        <f>IF(OR(G1250="",G1249=""),"",G1250/G1249-1)</f>
        <v/>
      </c>
      <c r="N1250" s="7">
        <f>IF(G1250="","",E1250/G1250)</f>
        <v/>
      </c>
      <c r="O1250" s="7">
        <f>IF(G1250="","",F1250/G1250)</f>
        <v/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4">
        <f>IF(SUMIFS('Daily NSE Equity Cash'!$H:$H,'Daily NSE Equity Cash'!$A:$A,$A1251)=0,"",SUMIFS('Daily NSE Equity Cash'!$H:$H,'Daily NSE Equity Cash'!$A:$A,$A1251))</f>
        <v/>
      </c>
      <c r="F1251" s="4">
        <f>IF(SUMIFS('Daily BSE Equity Cash'!$H:$H,'Daily BSE Equity Cash'!$A:$A,$A1251)=0,"",SUMIFS('Daily BSE Equity Cash'!$H:$H,'Daily BSE Equity Cash'!$A:$A,$A1251))</f>
        <v/>
      </c>
      <c r="G1251" s="4">
        <f>IF(OR(E1251="",F1251=""),"",E1251+F1251)</f>
        <v/>
      </c>
      <c r="H1251" s="7">
        <f>IFERROR(IF(OR(E1251="",INDEX(E:E,MATCH(DATE(YEAR($A1251)-1,MONTH($A1251),DAY($A1251)),$A:$A,0))=""),"",E1251/INDEX(E:E,MATCH(DATE(YEAR($A1251)-1,MONTH($A1251),DAY($A1251)),$A:$A,0))-1),"")</f>
        <v/>
      </c>
      <c r="I1251" s="7">
        <f>IFERROR(IF(OR(F1251="",INDEX(F:F,MATCH(DATE(YEAR($A1251)-1,MONTH($A1251),DAY($A1251)),$A:$A,0))=""),"",F1251/INDEX(F:F,MATCH(DATE(YEAR($A1251)-1,MONTH($A1251),DAY($A1251)),$A:$A,0))-1),"")</f>
        <v/>
      </c>
      <c r="J1251" s="7">
        <f>IFERROR(IF(OR(G1251="",INDEX(G:G,MATCH(DATE(YEAR($A1251)-1,MONTH($A1251),DAY($A1251)),$A:$A,0))=""),"",G1251/INDEX(G:G,MATCH(DATE(YEAR($A1251)-1,MONTH($A1251),DAY($A1251)),$A:$A,0))-1),"")</f>
        <v/>
      </c>
      <c r="K1251" s="7">
        <f>IF(OR(E1251="",E1250=""),"",E1251/E1250-1)</f>
        <v/>
      </c>
      <c r="L1251" s="7">
        <f>IF(OR(F1251="",F1250=""),"",F1251/F1250-1)</f>
        <v/>
      </c>
      <c r="M1251" s="7">
        <f>IF(OR(G1251="",G1250=""),"",G1251/G1250-1)</f>
        <v/>
      </c>
      <c r="N1251" s="7">
        <f>IF(G1251="","",E1251/G1251)</f>
        <v/>
      </c>
      <c r="O1251" s="7">
        <f>IF(G1251="","",F1251/G1251)</f>
        <v/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4">
        <f>IF(SUMIFS('Daily NSE Equity Cash'!$H:$H,'Daily NSE Equity Cash'!$A:$A,$A1252)=0,"",SUMIFS('Daily NSE Equity Cash'!$H:$H,'Daily NSE Equity Cash'!$A:$A,$A1252))</f>
        <v/>
      </c>
      <c r="F1252" s="4">
        <f>IF(SUMIFS('Daily BSE Equity Cash'!$H:$H,'Daily BSE Equity Cash'!$A:$A,$A1252)=0,"",SUMIFS('Daily BSE Equity Cash'!$H:$H,'Daily BSE Equity Cash'!$A:$A,$A1252))</f>
        <v/>
      </c>
      <c r="G1252" s="4">
        <f>IF(OR(E1252="",F1252=""),"",E1252+F1252)</f>
        <v/>
      </c>
      <c r="H1252" s="7">
        <f>IFERROR(IF(OR(E1252="",INDEX(E:E,MATCH(DATE(YEAR($A1252)-1,MONTH($A1252),DAY($A1252)),$A:$A,0))=""),"",E1252/INDEX(E:E,MATCH(DATE(YEAR($A1252)-1,MONTH($A1252),DAY($A1252)),$A:$A,0))-1),"")</f>
        <v/>
      </c>
      <c r="I1252" s="7">
        <f>IFERROR(IF(OR(F1252="",INDEX(F:F,MATCH(DATE(YEAR($A1252)-1,MONTH($A1252),DAY($A1252)),$A:$A,0))=""),"",F1252/INDEX(F:F,MATCH(DATE(YEAR($A1252)-1,MONTH($A1252),DAY($A1252)),$A:$A,0))-1),"")</f>
        <v/>
      </c>
      <c r="J1252" s="7">
        <f>IFERROR(IF(OR(G1252="",INDEX(G:G,MATCH(DATE(YEAR($A1252)-1,MONTH($A1252),DAY($A1252)),$A:$A,0))=""),"",G1252/INDEX(G:G,MATCH(DATE(YEAR($A1252)-1,MONTH($A1252),DAY($A1252)),$A:$A,0))-1),"")</f>
        <v/>
      </c>
      <c r="K1252" s="7">
        <f>IF(OR(E1252="",E1251=""),"",E1252/E1251-1)</f>
        <v/>
      </c>
      <c r="L1252" s="7">
        <f>IF(OR(F1252="",F1251=""),"",F1252/F1251-1)</f>
        <v/>
      </c>
      <c r="M1252" s="7">
        <f>IF(OR(G1252="",G1251=""),"",G1252/G1251-1)</f>
        <v/>
      </c>
      <c r="N1252" s="7">
        <f>IF(G1252="","",E1252/G1252)</f>
        <v/>
      </c>
      <c r="O1252" s="7">
        <f>IF(G1252="","",F1252/G1252)</f>
        <v/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4">
        <f>IF(SUMIFS('Daily NSE Equity Cash'!$H:$H,'Daily NSE Equity Cash'!$A:$A,$A1253)=0,"",SUMIFS('Daily NSE Equity Cash'!$H:$H,'Daily NSE Equity Cash'!$A:$A,$A1253))</f>
        <v/>
      </c>
      <c r="F1253" s="4">
        <f>IF(SUMIFS('Daily BSE Equity Cash'!$H:$H,'Daily BSE Equity Cash'!$A:$A,$A1253)=0,"",SUMIFS('Daily BSE Equity Cash'!$H:$H,'Daily BSE Equity Cash'!$A:$A,$A1253))</f>
        <v/>
      </c>
      <c r="G1253" s="4">
        <f>IF(OR(E1253="",F1253=""),"",E1253+F1253)</f>
        <v/>
      </c>
      <c r="H1253" s="7">
        <f>IFERROR(IF(OR(E1253="",INDEX(E:E,MATCH(DATE(YEAR($A1253)-1,MONTH($A1253),DAY($A1253)),$A:$A,0))=""),"",E1253/INDEX(E:E,MATCH(DATE(YEAR($A1253)-1,MONTH($A1253),DAY($A1253)),$A:$A,0))-1),"")</f>
        <v/>
      </c>
      <c r="I1253" s="7">
        <f>IFERROR(IF(OR(F1253="",INDEX(F:F,MATCH(DATE(YEAR($A1253)-1,MONTH($A1253),DAY($A1253)),$A:$A,0))=""),"",F1253/INDEX(F:F,MATCH(DATE(YEAR($A1253)-1,MONTH($A1253),DAY($A1253)),$A:$A,0))-1),"")</f>
        <v/>
      </c>
      <c r="J1253" s="7">
        <f>IFERROR(IF(OR(G1253="",INDEX(G:G,MATCH(DATE(YEAR($A1253)-1,MONTH($A1253),DAY($A1253)),$A:$A,0))=""),"",G1253/INDEX(G:G,MATCH(DATE(YEAR($A1253)-1,MONTH($A1253),DAY($A1253)),$A:$A,0))-1),"")</f>
        <v/>
      </c>
      <c r="K1253" s="7">
        <f>IF(OR(E1253="",E1252=""),"",E1253/E1252-1)</f>
        <v/>
      </c>
      <c r="L1253" s="7">
        <f>IF(OR(F1253="",F1252=""),"",F1253/F1252-1)</f>
        <v/>
      </c>
      <c r="M1253" s="7">
        <f>IF(OR(G1253="",G1252=""),"",G1253/G1252-1)</f>
        <v/>
      </c>
      <c r="N1253" s="7">
        <f>IF(G1253="","",E1253/G1253)</f>
        <v/>
      </c>
      <c r="O1253" s="7">
        <f>IF(G1253="","",F1253/G1253)</f>
        <v/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4">
        <f>IF(SUMIFS('Daily NSE Equity Cash'!$H:$H,'Daily NSE Equity Cash'!$A:$A,$A1254)=0,"",SUMIFS('Daily NSE Equity Cash'!$H:$H,'Daily NSE Equity Cash'!$A:$A,$A1254))</f>
        <v/>
      </c>
      <c r="F1254" s="4">
        <f>IF(SUMIFS('Daily BSE Equity Cash'!$H:$H,'Daily BSE Equity Cash'!$A:$A,$A1254)=0,"",SUMIFS('Daily BSE Equity Cash'!$H:$H,'Daily BSE Equity Cash'!$A:$A,$A1254))</f>
        <v/>
      </c>
      <c r="G1254" s="4">
        <f>IF(OR(E1254="",F1254=""),"",E1254+F1254)</f>
        <v/>
      </c>
      <c r="H1254" s="7">
        <f>IFERROR(IF(OR(E1254="",INDEX(E:E,MATCH(DATE(YEAR($A1254)-1,MONTH($A1254),DAY($A1254)),$A:$A,0))=""),"",E1254/INDEX(E:E,MATCH(DATE(YEAR($A1254)-1,MONTH($A1254),DAY($A1254)),$A:$A,0))-1),"")</f>
        <v/>
      </c>
      <c r="I1254" s="7">
        <f>IFERROR(IF(OR(F1254="",INDEX(F:F,MATCH(DATE(YEAR($A1254)-1,MONTH($A1254),DAY($A1254)),$A:$A,0))=""),"",F1254/INDEX(F:F,MATCH(DATE(YEAR($A1254)-1,MONTH($A1254),DAY($A1254)),$A:$A,0))-1),"")</f>
        <v/>
      </c>
      <c r="J1254" s="7">
        <f>IFERROR(IF(OR(G1254="",INDEX(G:G,MATCH(DATE(YEAR($A1254)-1,MONTH($A1254),DAY($A1254)),$A:$A,0))=""),"",G1254/INDEX(G:G,MATCH(DATE(YEAR($A1254)-1,MONTH($A1254),DAY($A1254)),$A:$A,0))-1),"")</f>
        <v/>
      </c>
      <c r="K1254" s="7">
        <f>IF(OR(E1254="",E1253=""),"",E1254/E1253-1)</f>
        <v/>
      </c>
      <c r="L1254" s="7">
        <f>IF(OR(F1254="",F1253=""),"",F1254/F1253-1)</f>
        <v/>
      </c>
      <c r="M1254" s="7">
        <f>IF(OR(G1254="",G1253=""),"",G1254/G1253-1)</f>
        <v/>
      </c>
      <c r="N1254" s="7">
        <f>IF(G1254="","",E1254/G1254)</f>
        <v/>
      </c>
      <c r="O1254" s="7">
        <f>IF(G1254="","",F1254/G1254)</f>
        <v/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4">
        <f>IF(SUMIFS('Daily NSE Equity Cash'!$H:$H,'Daily NSE Equity Cash'!$A:$A,$A1255)=0,"",SUMIFS('Daily NSE Equity Cash'!$H:$H,'Daily NSE Equity Cash'!$A:$A,$A1255))</f>
        <v/>
      </c>
      <c r="F1255" s="4">
        <f>IF(SUMIFS('Daily BSE Equity Cash'!$H:$H,'Daily BSE Equity Cash'!$A:$A,$A1255)=0,"",SUMIFS('Daily BSE Equity Cash'!$H:$H,'Daily BSE Equity Cash'!$A:$A,$A1255))</f>
        <v/>
      </c>
      <c r="G1255" s="4">
        <f>IF(OR(E1255="",F1255=""),"",E1255+F1255)</f>
        <v/>
      </c>
      <c r="H1255" s="7">
        <f>IFERROR(IF(OR(E1255="",INDEX(E:E,MATCH(DATE(YEAR($A1255)-1,MONTH($A1255),DAY($A1255)),$A:$A,0))=""),"",E1255/INDEX(E:E,MATCH(DATE(YEAR($A1255)-1,MONTH($A1255),DAY($A1255)),$A:$A,0))-1),"")</f>
        <v/>
      </c>
      <c r="I1255" s="7">
        <f>IFERROR(IF(OR(F1255="",INDEX(F:F,MATCH(DATE(YEAR($A1255)-1,MONTH($A1255),DAY($A1255)),$A:$A,0))=""),"",F1255/INDEX(F:F,MATCH(DATE(YEAR($A1255)-1,MONTH($A1255),DAY($A1255)),$A:$A,0))-1),"")</f>
        <v/>
      </c>
      <c r="J1255" s="7">
        <f>IFERROR(IF(OR(G1255="",INDEX(G:G,MATCH(DATE(YEAR($A1255)-1,MONTH($A1255),DAY($A1255)),$A:$A,0))=""),"",G1255/INDEX(G:G,MATCH(DATE(YEAR($A1255)-1,MONTH($A1255),DAY($A1255)),$A:$A,0))-1),"")</f>
        <v/>
      </c>
      <c r="K1255" s="7">
        <f>IF(OR(E1255="",E1254=""),"",E1255/E1254-1)</f>
        <v/>
      </c>
      <c r="L1255" s="7">
        <f>IF(OR(F1255="",F1254=""),"",F1255/F1254-1)</f>
        <v/>
      </c>
      <c r="M1255" s="7">
        <f>IF(OR(G1255="",G1254=""),"",G1255/G1254-1)</f>
        <v/>
      </c>
      <c r="N1255" s="7">
        <f>IF(G1255="","",E1255/G1255)</f>
        <v/>
      </c>
      <c r="O1255" s="7">
        <f>IF(G1255="","",F1255/G1255)</f>
        <v/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4">
        <f>IF(SUMIFS('Daily NSE Equity Cash'!$H:$H,'Daily NSE Equity Cash'!$A:$A,$A1256)=0,"",SUMIFS('Daily NSE Equity Cash'!$H:$H,'Daily NSE Equity Cash'!$A:$A,$A1256))</f>
        <v/>
      </c>
      <c r="F1256" s="4">
        <f>IF(SUMIFS('Daily BSE Equity Cash'!$H:$H,'Daily BSE Equity Cash'!$A:$A,$A1256)=0,"",SUMIFS('Daily BSE Equity Cash'!$H:$H,'Daily BSE Equity Cash'!$A:$A,$A1256))</f>
        <v/>
      </c>
      <c r="G1256" s="4">
        <f>IF(OR(E1256="",F1256=""),"",E1256+F1256)</f>
        <v/>
      </c>
      <c r="H1256" s="7">
        <f>IFERROR(IF(OR(E1256="",INDEX(E:E,MATCH(DATE(YEAR($A1256)-1,MONTH($A1256),DAY($A1256)),$A:$A,0))=""),"",E1256/INDEX(E:E,MATCH(DATE(YEAR($A1256)-1,MONTH($A1256),DAY($A1256)),$A:$A,0))-1),"")</f>
        <v/>
      </c>
      <c r="I1256" s="7">
        <f>IFERROR(IF(OR(F1256="",INDEX(F:F,MATCH(DATE(YEAR($A1256)-1,MONTH($A1256),DAY($A1256)),$A:$A,0))=""),"",F1256/INDEX(F:F,MATCH(DATE(YEAR($A1256)-1,MONTH($A1256),DAY($A1256)),$A:$A,0))-1),"")</f>
        <v/>
      </c>
      <c r="J1256" s="7">
        <f>IFERROR(IF(OR(G1256="",INDEX(G:G,MATCH(DATE(YEAR($A1256)-1,MONTH($A1256),DAY($A1256)),$A:$A,0))=""),"",G1256/INDEX(G:G,MATCH(DATE(YEAR($A1256)-1,MONTH($A1256),DAY($A1256)),$A:$A,0))-1),"")</f>
        <v/>
      </c>
      <c r="K1256" s="7">
        <f>IF(OR(E1256="",E1255=""),"",E1256/E1255-1)</f>
        <v/>
      </c>
      <c r="L1256" s="7">
        <f>IF(OR(F1256="",F1255=""),"",F1256/F1255-1)</f>
        <v/>
      </c>
      <c r="M1256" s="7">
        <f>IF(OR(G1256="",G1255=""),"",G1256/G1255-1)</f>
        <v/>
      </c>
      <c r="N1256" s="7">
        <f>IF(G1256="","",E1256/G1256)</f>
        <v/>
      </c>
      <c r="O1256" s="7">
        <f>IF(G1256="","",F1256/G1256)</f>
        <v/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4">
        <f>IF(SUMIFS('Daily NSE Equity Cash'!$H:$H,'Daily NSE Equity Cash'!$A:$A,$A1257)=0,"",SUMIFS('Daily NSE Equity Cash'!$H:$H,'Daily NSE Equity Cash'!$A:$A,$A1257))</f>
        <v/>
      </c>
      <c r="F1257" s="4">
        <f>IF(SUMIFS('Daily BSE Equity Cash'!$H:$H,'Daily BSE Equity Cash'!$A:$A,$A1257)=0,"",SUMIFS('Daily BSE Equity Cash'!$H:$H,'Daily BSE Equity Cash'!$A:$A,$A1257))</f>
        <v/>
      </c>
      <c r="G1257" s="4">
        <f>IF(OR(E1257="",F1257=""),"",E1257+F1257)</f>
        <v/>
      </c>
      <c r="H1257" s="7">
        <f>IFERROR(IF(OR(E1257="",INDEX(E:E,MATCH(DATE(YEAR($A1257)-1,MONTH($A1257),DAY($A1257)),$A:$A,0))=""),"",E1257/INDEX(E:E,MATCH(DATE(YEAR($A1257)-1,MONTH($A1257),DAY($A1257)),$A:$A,0))-1),"")</f>
        <v/>
      </c>
      <c r="I1257" s="7">
        <f>IFERROR(IF(OR(F1257="",INDEX(F:F,MATCH(DATE(YEAR($A1257)-1,MONTH($A1257),DAY($A1257)),$A:$A,0))=""),"",F1257/INDEX(F:F,MATCH(DATE(YEAR($A1257)-1,MONTH($A1257),DAY($A1257)),$A:$A,0))-1),"")</f>
        <v/>
      </c>
      <c r="J1257" s="7">
        <f>IFERROR(IF(OR(G1257="",INDEX(G:G,MATCH(DATE(YEAR($A1257)-1,MONTH($A1257),DAY($A1257)),$A:$A,0))=""),"",G1257/INDEX(G:G,MATCH(DATE(YEAR($A1257)-1,MONTH($A1257),DAY($A1257)),$A:$A,0))-1),"")</f>
        <v/>
      </c>
      <c r="K1257" s="7">
        <f>IF(OR(E1257="",E1256=""),"",E1257/E1256-1)</f>
        <v/>
      </c>
      <c r="L1257" s="7">
        <f>IF(OR(F1257="",F1256=""),"",F1257/F1256-1)</f>
        <v/>
      </c>
      <c r="M1257" s="7">
        <f>IF(OR(G1257="",G1256=""),"",G1257/G1256-1)</f>
        <v/>
      </c>
      <c r="N1257" s="7">
        <f>IF(G1257="","",E1257/G1257)</f>
        <v/>
      </c>
      <c r="O1257" s="7">
        <f>IF(G1257="","",F1257/G1257)</f>
        <v/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4">
        <f>IF(SUMIFS('Daily NSE Equity Cash'!$H:$H,'Daily NSE Equity Cash'!$A:$A,$A1258)=0,"",SUMIFS('Daily NSE Equity Cash'!$H:$H,'Daily NSE Equity Cash'!$A:$A,$A1258))</f>
        <v/>
      </c>
      <c r="F1258" s="4">
        <f>IF(SUMIFS('Daily BSE Equity Cash'!$H:$H,'Daily BSE Equity Cash'!$A:$A,$A1258)=0,"",SUMIFS('Daily BSE Equity Cash'!$H:$H,'Daily BSE Equity Cash'!$A:$A,$A1258))</f>
        <v/>
      </c>
      <c r="G1258" s="4">
        <f>IF(OR(E1258="",F1258=""),"",E1258+F1258)</f>
        <v/>
      </c>
      <c r="H1258" s="7">
        <f>IFERROR(IF(OR(E1258="",INDEX(E:E,MATCH(DATE(YEAR($A1258)-1,MONTH($A1258),DAY($A1258)),$A:$A,0))=""),"",E1258/INDEX(E:E,MATCH(DATE(YEAR($A1258)-1,MONTH($A1258),DAY($A1258)),$A:$A,0))-1),"")</f>
        <v/>
      </c>
      <c r="I1258" s="7">
        <f>IFERROR(IF(OR(F1258="",INDEX(F:F,MATCH(DATE(YEAR($A1258)-1,MONTH($A1258),DAY($A1258)),$A:$A,0))=""),"",F1258/INDEX(F:F,MATCH(DATE(YEAR($A1258)-1,MONTH($A1258),DAY($A1258)),$A:$A,0))-1),"")</f>
        <v/>
      </c>
      <c r="J1258" s="7">
        <f>IFERROR(IF(OR(G1258="",INDEX(G:G,MATCH(DATE(YEAR($A1258)-1,MONTH($A1258),DAY($A1258)),$A:$A,0))=""),"",G1258/INDEX(G:G,MATCH(DATE(YEAR($A1258)-1,MONTH($A1258),DAY($A1258)),$A:$A,0))-1),"")</f>
        <v/>
      </c>
      <c r="K1258" s="7">
        <f>IF(OR(E1258="",E1257=""),"",E1258/E1257-1)</f>
        <v/>
      </c>
      <c r="L1258" s="7">
        <f>IF(OR(F1258="",F1257=""),"",F1258/F1257-1)</f>
        <v/>
      </c>
      <c r="M1258" s="7">
        <f>IF(OR(G1258="",G1257=""),"",G1258/G1257-1)</f>
        <v/>
      </c>
      <c r="N1258" s="7">
        <f>IF(G1258="","",E1258/G1258)</f>
        <v/>
      </c>
      <c r="O1258" s="7">
        <f>IF(G1258="","",F1258/G1258)</f>
        <v/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4">
        <f>IF(SUMIFS('Daily NSE Equity Cash'!$H:$H,'Daily NSE Equity Cash'!$A:$A,$A1259)=0,"",SUMIFS('Daily NSE Equity Cash'!$H:$H,'Daily NSE Equity Cash'!$A:$A,$A1259))</f>
        <v/>
      </c>
      <c r="F1259" s="4">
        <f>IF(SUMIFS('Daily BSE Equity Cash'!$H:$H,'Daily BSE Equity Cash'!$A:$A,$A1259)=0,"",SUMIFS('Daily BSE Equity Cash'!$H:$H,'Daily BSE Equity Cash'!$A:$A,$A1259))</f>
        <v/>
      </c>
      <c r="G1259" s="4">
        <f>IF(OR(E1259="",F1259=""),"",E1259+F1259)</f>
        <v/>
      </c>
      <c r="H1259" s="7">
        <f>IFERROR(IF(OR(E1259="",INDEX(E:E,MATCH(DATE(YEAR($A1259)-1,MONTH($A1259),DAY($A1259)),$A:$A,0))=""),"",E1259/INDEX(E:E,MATCH(DATE(YEAR($A1259)-1,MONTH($A1259),DAY($A1259)),$A:$A,0))-1),"")</f>
        <v/>
      </c>
      <c r="I1259" s="7">
        <f>IFERROR(IF(OR(F1259="",INDEX(F:F,MATCH(DATE(YEAR($A1259)-1,MONTH($A1259),DAY($A1259)),$A:$A,0))=""),"",F1259/INDEX(F:F,MATCH(DATE(YEAR($A1259)-1,MONTH($A1259),DAY($A1259)),$A:$A,0))-1),"")</f>
        <v/>
      </c>
      <c r="J1259" s="7">
        <f>IFERROR(IF(OR(G1259="",INDEX(G:G,MATCH(DATE(YEAR($A1259)-1,MONTH($A1259),DAY($A1259)),$A:$A,0))=""),"",G1259/INDEX(G:G,MATCH(DATE(YEAR($A1259)-1,MONTH($A1259),DAY($A1259)),$A:$A,0))-1),"")</f>
        <v/>
      </c>
      <c r="K1259" s="7">
        <f>IF(OR(E1259="",E1258=""),"",E1259/E1258-1)</f>
        <v/>
      </c>
      <c r="L1259" s="7">
        <f>IF(OR(F1259="",F1258=""),"",F1259/F1258-1)</f>
        <v/>
      </c>
      <c r="M1259" s="7">
        <f>IF(OR(G1259="",G1258=""),"",G1259/G1258-1)</f>
        <v/>
      </c>
      <c r="N1259" s="7">
        <f>IF(G1259="","",E1259/G1259)</f>
        <v/>
      </c>
      <c r="O1259" s="7">
        <f>IF(G1259="","",F1259/G1259)</f>
        <v/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4">
        <f>IF(SUMIFS('Daily NSE Equity Cash'!$H:$H,'Daily NSE Equity Cash'!$A:$A,$A1260)=0,"",SUMIFS('Daily NSE Equity Cash'!$H:$H,'Daily NSE Equity Cash'!$A:$A,$A1260))</f>
        <v/>
      </c>
      <c r="F1260" s="4">
        <f>IF(SUMIFS('Daily BSE Equity Cash'!$H:$H,'Daily BSE Equity Cash'!$A:$A,$A1260)=0,"",SUMIFS('Daily BSE Equity Cash'!$H:$H,'Daily BSE Equity Cash'!$A:$A,$A1260))</f>
        <v/>
      </c>
      <c r="G1260" s="4">
        <f>IF(OR(E1260="",F1260=""),"",E1260+F1260)</f>
        <v/>
      </c>
      <c r="H1260" s="7">
        <f>IFERROR(IF(OR(E1260="",INDEX(E:E,MATCH(DATE(YEAR($A1260)-1,MONTH($A1260),DAY($A1260)),$A:$A,0))=""),"",E1260/INDEX(E:E,MATCH(DATE(YEAR($A1260)-1,MONTH($A1260),DAY($A1260)),$A:$A,0))-1),"")</f>
        <v/>
      </c>
      <c r="I1260" s="7">
        <f>IFERROR(IF(OR(F1260="",INDEX(F:F,MATCH(DATE(YEAR($A1260)-1,MONTH($A1260),DAY($A1260)),$A:$A,0))=""),"",F1260/INDEX(F:F,MATCH(DATE(YEAR($A1260)-1,MONTH($A1260),DAY($A1260)),$A:$A,0))-1),"")</f>
        <v/>
      </c>
      <c r="J1260" s="7">
        <f>IFERROR(IF(OR(G1260="",INDEX(G:G,MATCH(DATE(YEAR($A1260)-1,MONTH($A1260),DAY($A1260)),$A:$A,0))=""),"",G1260/INDEX(G:G,MATCH(DATE(YEAR($A1260)-1,MONTH($A1260),DAY($A1260)),$A:$A,0))-1),"")</f>
        <v/>
      </c>
      <c r="K1260" s="7">
        <f>IF(OR(E1260="",E1259=""),"",E1260/E1259-1)</f>
        <v/>
      </c>
      <c r="L1260" s="7">
        <f>IF(OR(F1260="",F1259=""),"",F1260/F1259-1)</f>
        <v/>
      </c>
      <c r="M1260" s="7">
        <f>IF(OR(G1260="",G1259=""),"",G1260/G1259-1)</f>
        <v/>
      </c>
      <c r="N1260" s="7">
        <f>IF(G1260="","",E1260/G1260)</f>
        <v/>
      </c>
      <c r="O1260" s="7">
        <f>IF(G1260="","",F1260/G1260)</f>
        <v/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4">
        <f>IF(SUMIFS('Daily NSE Equity Cash'!$H:$H,'Daily NSE Equity Cash'!$A:$A,$A1261)=0,"",SUMIFS('Daily NSE Equity Cash'!$H:$H,'Daily NSE Equity Cash'!$A:$A,$A1261))</f>
        <v/>
      </c>
      <c r="F1261" s="4">
        <f>IF(SUMIFS('Daily BSE Equity Cash'!$H:$H,'Daily BSE Equity Cash'!$A:$A,$A1261)=0,"",SUMIFS('Daily BSE Equity Cash'!$H:$H,'Daily BSE Equity Cash'!$A:$A,$A1261))</f>
        <v/>
      </c>
      <c r="G1261" s="4">
        <f>IF(OR(E1261="",F1261=""),"",E1261+F1261)</f>
        <v/>
      </c>
      <c r="H1261" s="7">
        <f>IFERROR(IF(OR(E1261="",INDEX(E:E,MATCH(DATE(YEAR($A1261)-1,MONTH($A1261),DAY($A1261)),$A:$A,0))=""),"",E1261/INDEX(E:E,MATCH(DATE(YEAR($A1261)-1,MONTH($A1261),DAY($A1261)),$A:$A,0))-1),"")</f>
        <v/>
      </c>
      <c r="I1261" s="7">
        <f>IFERROR(IF(OR(F1261="",INDEX(F:F,MATCH(DATE(YEAR($A1261)-1,MONTH($A1261),DAY($A1261)),$A:$A,0))=""),"",F1261/INDEX(F:F,MATCH(DATE(YEAR($A1261)-1,MONTH($A1261),DAY($A1261)),$A:$A,0))-1),"")</f>
        <v/>
      </c>
      <c r="J1261" s="7">
        <f>IFERROR(IF(OR(G1261="",INDEX(G:G,MATCH(DATE(YEAR($A1261)-1,MONTH($A1261),DAY($A1261)),$A:$A,0))=""),"",G1261/INDEX(G:G,MATCH(DATE(YEAR($A1261)-1,MONTH($A1261),DAY($A1261)),$A:$A,0))-1),"")</f>
        <v/>
      </c>
      <c r="K1261" s="7">
        <f>IF(OR(E1261="",E1260=""),"",E1261/E1260-1)</f>
        <v/>
      </c>
      <c r="L1261" s="7">
        <f>IF(OR(F1261="",F1260=""),"",F1261/F1260-1)</f>
        <v/>
      </c>
      <c r="M1261" s="7">
        <f>IF(OR(G1261="",G1260=""),"",G1261/G1260-1)</f>
        <v/>
      </c>
      <c r="N1261" s="7">
        <f>IF(G1261="","",E1261/G1261)</f>
        <v/>
      </c>
      <c r="O1261" s="7">
        <f>IF(G1261="","",F1261/G1261)</f>
        <v/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4">
        <f>IF(SUMIFS('Daily NSE Equity Cash'!$H:$H,'Daily NSE Equity Cash'!$A:$A,$A1262)=0,"",SUMIFS('Daily NSE Equity Cash'!$H:$H,'Daily NSE Equity Cash'!$A:$A,$A1262))</f>
        <v/>
      </c>
      <c r="F1262" s="4">
        <f>IF(SUMIFS('Daily BSE Equity Cash'!$H:$H,'Daily BSE Equity Cash'!$A:$A,$A1262)=0,"",SUMIFS('Daily BSE Equity Cash'!$H:$H,'Daily BSE Equity Cash'!$A:$A,$A1262))</f>
        <v/>
      </c>
      <c r="G1262" s="4">
        <f>IF(OR(E1262="",F1262=""),"",E1262+F1262)</f>
        <v/>
      </c>
      <c r="H1262" s="7">
        <f>IFERROR(IF(OR(E1262="",INDEX(E:E,MATCH(DATE(YEAR($A1262)-1,MONTH($A1262),DAY($A1262)),$A:$A,0))=""),"",E1262/INDEX(E:E,MATCH(DATE(YEAR($A1262)-1,MONTH($A1262),DAY($A1262)),$A:$A,0))-1),"")</f>
        <v/>
      </c>
      <c r="I1262" s="7">
        <f>IFERROR(IF(OR(F1262="",INDEX(F:F,MATCH(DATE(YEAR($A1262)-1,MONTH($A1262),DAY($A1262)),$A:$A,0))=""),"",F1262/INDEX(F:F,MATCH(DATE(YEAR($A1262)-1,MONTH($A1262),DAY($A1262)),$A:$A,0))-1),"")</f>
        <v/>
      </c>
      <c r="J1262" s="7">
        <f>IFERROR(IF(OR(G1262="",INDEX(G:G,MATCH(DATE(YEAR($A1262)-1,MONTH($A1262),DAY($A1262)),$A:$A,0))=""),"",G1262/INDEX(G:G,MATCH(DATE(YEAR($A1262)-1,MONTH($A1262),DAY($A1262)),$A:$A,0))-1),"")</f>
        <v/>
      </c>
      <c r="K1262" s="7">
        <f>IF(OR(E1262="",E1261=""),"",E1262/E1261-1)</f>
        <v/>
      </c>
      <c r="L1262" s="7">
        <f>IF(OR(F1262="",F1261=""),"",F1262/F1261-1)</f>
        <v/>
      </c>
      <c r="M1262" s="7">
        <f>IF(OR(G1262="",G1261=""),"",G1262/G1261-1)</f>
        <v/>
      </c>
      <c r="N1262" s="7">
        <f>IF(G1262="","",E1262/G1262)</f>
        <v/>
      </c>
      <c r="O1262" s="7">
        <f>IF(G1262="","",F1262/G1262)</f>
        <v/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4">
        <f>IF(SUMIFS('Daily NSE Equity Cash'!$H:$H,'Daily NSE Equity Cash'!$A:$A,$A1263)=0,"",SUMIFS('Daily NSE Equity Cash'!$H:$H,'Daily NSE Equity Cash'!$A:$A,$A1263))</f>
        <v/>
      </c>
      <c r="F1263" s="4">
        <f>IF(SUMIFS('Daily BSE Equity Cash'!$H:$H,'Daily BSE Equity Cash'!$A:$A,$A1263)=0,"",SUMIFS('Daily BSE Equity Cash'!$H:$H,'Daily BSE Equity Cash'!$A:$A,$A1263))</f>
        <v/>
      </c>
      <c r="G1263" s="4">
        <f>IF(OR(E1263="",F1263=""),"",E1263+F1263)</f>
        <v/>
      </c>
      <c r="H1263" s="7">
        <f>IFERROR(IF(OR(E1263="",INDEX(E:E,MATCH(DATE(YEAR($A1263)-1,MONTH($A1263),DAY($A1263)),$A:$A,0))=""),"",E1263/INDEX(E:E,MATCH(DATE(YEAR($A1263)-1,MONTH($A1263),DAY($A1263)),$A:$A,0))-1),"")</f>
        <v/>
      </c>
      <c r="I1263" s="7">
        <f>IFERROR(IF(OR(F1263="",INDEX(F:F,MATCH(DATE(YEAR($A1263)-1,MONTH($A1263),DAY($A1263)),$A:$A,0))=""),"",F1263/INDEX(F:F,MATCH(DATE(YEAR($A1263)-1,MONTH($A1263),DAY($A1263)),$A:$A,0))-1),"")</f>
        <v/>
      </c>
      <c r="J1263" s="7">
        <f>IFERROR(IF(OR(G1263="",INDEX(G:G,MATCH(DATE(YEAR($A1263)-1,MONTH($A1263),DAY($A1263)),$A:$A,0))=""),"",G1263/INDEX(G:G,MATCH(DATE(YEAR($A1263)-1,MONTH($A1263),DAY($A1263)),$A:$A,0))-1),"")</f>
        <v/>
      </c>
      <c r="K1263" s="7">
        <f>IF(OR(E1263="",E1262=""),"",E1263/E1262-1)</f>
        <v/>
      </c>
      <c r="L1263" s="7">
        <f>IF(OR(F1263="",F1262=""),"",F1263/F1262-1)</f>
        <v/>
      </c>
      <c r="M1263" s="7">
        <f>IF(OR(G1263="",G1262=""),"",G1263/G1262-1)</f>
        <v/>
      </c>
      <c r="N1263" s="7">
        <f>IF(G1263="","",E1263/G1263)</f>
        <v/>
      </c>
      <c r="O1263" s="7">
        <f>IF(G1263="","",F1263/G1263)</f>
        <v/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4">
        <f>IF(SUMIFS('Daily NSE Equity Cash'!$H:$H,'Daily NSE Equity Cash'!$A:$A,$A1264)=0,"",SUMIFS('Daily NSE Equity Cash'!$H:$H,'Daily NSE Equity Cash'!$A:$A,$A1264))</f>
        <v/>
      </c>
      <c r="F1264" s="4">
        <f>IF(SUMIFS('Daily BSE Equity Cash'!$H:$H,'Daily BSE Equity Cash'!$A:$A,$A1264)=0,"",SUMIFS('Daily BSE Equity Cash'!$H:$H,'Daily BSE Equity Cash'!$A:$A,$A1264))</f>
        <v/>
      </c>
      <c r="G1264" s="4">
        <f>IF(OR(E1264="",F1264=""),"",E1264+F1264)</f>
        <v/>
      </c>
      <c r="H1264" s="7">
        <f>IFERROR(IF(OR(E1264="",INDEX(E:E,MATCH(DATE(YEAR($A1264)-1,MONTH($A1264),DAY($A1264)),$A:$A,0))=""),"",E1264/INDEX(E:E,MATCH(DATE(YEAR($A1264)-1,MONTH($A1264),DAY($A1264)),$A:$A,0))-1),"")</f>
        <v/>
      </c>
      <c r="I1264" s="7">
        <f>IFERROR(IF(OR(F1264="",INDEX(F:F,MATCH(DATE(YEAR($A1264)-1,MONTH($A1264),DAY($A1264)),$A:$A,0))=""),"",F1264/INDEX(F:F,MATCH(DATE(YEAR($A1264)-1,MONTH($A1264),DAY($A1264)),$A:$A,0))-1),"")</f>
        <v/>
      </c>
      <c r="J1264" s="7">
        <f>IFERROR(IF(OR(G1264="",INDEX(G:G,MATCH(DATE(YEAR($A1264)-1,MONTH($A1264),DAY($A1264)),$A:$A,0))=""),"",G1264/INDEX(G:G,MATCH(DATE(YEAR($A1264)-1,MONTH($A1264),DAY($A1264)),$A:$A,0))-1),"")</f>
        <v/>
      </c>
      <c r="K1264" s="7">
        <f>IF(OR(E1264="",E1263=""),"",E1264/E1263-1)</f>
        <v/>
      </c>
      <c r="L1264" s="7">
        <f>IF(OR(F1264="",F1263=""),"",F1264/F1263-1)</f>
        <v/>
      </c>
      <c r="M1264" s="7">
        <f>IF(OR(G1264="",G1263=""),"",G1264/G1263-1)</f>
        <v/>
      </c>
      <c r="N1264" s="7">
        <f>IF(G1264="","",E1264/G1264)</f>
        <v/>
      </c>
      <c r="O1264" s="7">
        <f>IF(G1264="","",F1264/G1264)</f>
        <v/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4">
        <f>IF(SUMIFS('Daily NSE Equity Cash'!$H:$H,'Daily NSE Equity Cash'!$A:$A,$A1265)=0,"",SUMIFS('Daily NSE Equity Cash'!$H:$H,'Daily NSE Equity Cash'!$A:$A,$A1265))</f>
        <v/>
      </c>
      <c r="F1265" s="4">
        <f>IF(SUMIFS('Daily BSE Equity Cash'!$H:$H,'Daily BSE Equity Cash'!$A:$A,$A1265)=0,"",SUMIFS('Daily BSE Equity Cash'!$H:$H,'Daily BSE Equity Cash'!$A:$A,$A1265))</f>
        <v/>
      </c>
      <c r="G1265" s="4">
        <f>IF(OR(E1265="",F1265=""),"",E1265+F1265)</f>
        <v/>
      </c>
      <c r="H1265" s="7">
        <f>IFERROR(IF(OR(E1265="",INDEX(E:E,MATCH(DATE(YEAR($A1265)-1,MONTH($A1265),DAY($A1265)),$A:$A,0))=""),"",E1265/INDEX(E:E,MATCH(DATE(YEAR($A1265)-1,MONTH($A1265),DAY($A1265)),$A:$A,0))-1),"")</f>
        <v/>
      </c>
      <c r="I1265" s="7">
        <f>IFERROR(IF(OR(F1265="",INDEX(F:F,MATCH(DATE(YEAR($A1265)-1,MONTH($A1265),DAY($A1265)),$A:$A,0))=""),"",F1265/INDEX(F:F,MATCH(DATE(YEAR($A1265)-1,MONTH($A1265),DAY($A1265)),$A:$A,0))-1),"")</f>
        <v/>
      </c>
      <c r="J1265" s="7">
        <f>IFERROR(IF(OR(G1265="",INDEX(G:G,MATCH(DATE(YEAR($A1265)-1,MONTH($A1265),DAY($A1265)),$A:$A,0))=""),"",G1265/INDEX(G:G,MATCH(DATE(YEAR($A1265)-1,MONTH($A1265),DAY($A1265)),$A:$A,0))-1),"")</f>
        <v/>
      </c>
      <c r="K1265" s="7">
        <f>IF(OR(E1265="",E1264=""),"",E1265/E1264-1)</f>
        <v/>
      </c>
      <c r="L1265" s="7">
        <f>IF(OR(F1265="",F1264=""),"",F1265/F1264-1)</f>
        <v/>
      </c>
      <c r="M1265" s="7">
        <f>IF(OR(G1265="",G1264=""),"",G1265/G1264-1)</f>
        <v/>
      </c>
      <c r="N1265" s="7">
        <f>IF(G1265="","",E1265/G1265)</f>
        <v/>
      </c>
      <c r="O1265" s="7">
        <f>IF(G1265="","",F1265/G1265)</f>
        <v/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4">
        <f>IF(SUMIFS('Daily NSE Equity Cash'!$H:$H,'Daily NSE Equity Cash'!$A:$A,$A1266)=0,"",SUMIFS('Daily NSE Equity Cash'!$H:$H,'Daily NSE Equity Cash'!$A:$A,$A1266))</f>
        <v/>
      </c>
      <c r="F1266" s="4">
        <f>IF(SUMIFS('Daily BSE Equity Cash'!$H:$H,'Daily BSE Equity Cash'!$A:$A,$A1266)=0,"",SUMIFS('Daily BSE Equity Cash'!$H:$H,'Daily BSE Equity Cash'!$A:$A,$A1266))</f>
        <v/>
      </c>
      <c r="G1266" s="4">
        <f>IF(OR(E1266="",F1266=""),"",E1266+F1266)</f>
        <v/>
      </c>
      <c r="H1266" s="7">
        <f>IFERROR(IF(OR(E1266="",INDEX(E:E,MATCH(DATE(YEAR($A1266)-1,MONTH($A1266),DAY($A1266)),$A:$A,0))=""),"",E1266/INDEX(E:E,MATCH(DATE(YEAR($A1266)-1,MONTH($A1266),DAY($A1266)),$A:$A,0))-1),"")</f>
        <v/>
      </c>
      <c r="I1266" s="7">
        <f>IFERROR(IF(OR(F1266="",INDEX(F:F,MATCH(DATE(YEAR($A1266)-1,MONTH($A1266),DAY($A1266)),$A:$A,0))=""),"",F1266/INDEX(F:F,MATCH(DATE(YEAR($A1266)-1,MONTH($A1266),DAY($A1266)),$A:$A,0))-1),"")</f>
        <v/>
      </c>
      <c r="J1266" s="7">
        <f>IFERROR(IF(OR(G1266="",INDEX(G:G,MATCH(DATE(YEAR($A1266)-1,MONTH($A1266),DAY($A1266)),$A:$A,0))=""),"",G1266/INDEX(G:G,MATCH(DATE(YEAR($A1266)-1,MONTH($A1266),DAY($A1266)),$A:$A,0))-1),"")</f>
        <v/>
      </c>
      <c r="K1266" s="7">
        <f>IF(OR(E1266="",E1265=""),"",E1266/E1265-1)</f>
        <v/>
      </c>
      <c r="L1266" s="7">
        <f>IF(OR(F1266="",F1265=""),"",F1266/F1265-1)</f>
        <v/>
      </c>
      <c r="M1266" s="7">
        <f>IF(OR(G1266="",G1265=""),"",G1266/G1265-1)</f>
        <v/>
      </c>
      <c r="N1266" s="7">
        <f>IF(G1266="","",E1266/G1266)</f>
        <v/>
      </c>
      <c r="O1266" s="7">
        <f>IF(G1266="","",F1266/G1266)</f>
        <v/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4">
        <f>IF(SUMIFS('Daily NSE Equity Cash'!$H:$H,'Daily NSE Equity Cash'!$A:$A,$A1267)=0,"",SUMIFS('Daily NSE Equity Cash'!$H:$H,'Daily NSE Equity Cash'!$A:$A,$A1267))</f>
        <v/>
      </c>
      <c r="F1267" s="4">
        <f>IF(SUMIFS('Daily BSE Equity Cash'!$H:$H,'Daily BSE Equity Cash'!$A:$A,$A1267)=0,"",SUMIFS('Daily BSE Equity Cash'!$H:$H,'Daily BSE Equity Cash'!$A:$A,$A1267))</f>
        <v/>
      </c>
      <c r="G1267" s="4">
        <f>IF(OR(E1267="",F1267=""),"",E1267+F1267)</f>
        <v/>
      </c>
      <c r="H1267" s="7">
        <f>IFERROR(IF(OR(E1267="",INDEX(E:E,MATCH(DATE(YEAR($A1267)-1,MONTH($A1267),DAY($A1267)),$A:$A,0))=""),"",E1267/INDEX(E:E,MATCH(DATE(YEAR($A1267)-1,MONTH($A1267),DAY($A1267)),$A:$A,0))-1),"")</f>
        <v/>
      </c>
      <c r="I1267" s="7">
        <f>IFERROR(IF(OR(F1267="",INDEX(F:F,MATCH(DATE(YEAR($A1267)-1,MONTH($A1267),DAY($A1267)),$A:$A,0))=""),"",F1267/INDEX(F:F,MATCH(DATE(YEAR($A1267)-1,MONTH($A1267),DAY($A1267)),$A:$A,0))-1),"")</f>
        <v/>
      </c>
      <c r="J1267" s="7">
        <f>IFERROR(IF(OR(G1267="",INDEX(G:G,MATCH(DATE(YEAR($A1267)-1,MONTH($A1267),DAY($A1267)),$A:$A,0))=""),"",G1267/INDEX(G:G,MATCH(DATE(YEAR($A1267)-1,MONTH($A1267),DAY($A1267)),$A:$A,0))-1),"")</f>
        <v/>
      </c>
      <c r="K1267" s="7">
        <f>IF(OR(E1267="",E1266=""),"",E1267/E1266-1)</f>
        <v/>
      </c>
      <c r="L1267" s="7">
        <f>IF(OR(F1267="",F1266=""),"",F1267/F1266-1)</f>
        <v/>
      </c>
      <c r="M1267" s="7">
        <f>IF(OR(G1267="",G1266=""),"",G1267/G1266-1)</f>
        <v/>
      </c>
      <c r="N1267" s="7">
        <f>IF(G1267="","",E1267/G1267)</f>
        <v/>
      </c>
      <c r="O1267" s="7">
        <f>IF(G1267="","",F1267/G1267)</f>
        <v/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4">
        <f>IF(SUMIFS('Daily NSE Equity Cash'!$H:$H,'Daily NSE Equity Cash'!$A:$A,$A1268)=0,"",SUMIFS('Daily NSE Equity Cash'!$H:$H,'Daily NSE Equity Cash'!$A:$A,$A1268))</f>
        <v/>
      </c>
      <c r="F1268" s="4">
        <f>IF(SUMIFS('Daily BSE Equity Cash'!$H:$H,'Daily BSE Equity Cash'!$A:$A,$A1268)=0,"",SUMIFS('Daily BSE Equity Cash'!$H:$H,'Daily BSE Equity Cash'!$A:$A,$A1268))</f>
        <v/>
      </c>
      <c r="G1268" s="4">
        <f>IF(OR(E1268="",F1268=""),"",E1268+F1268)</f>
        <v/>
      </c>
      <c r="H1268" s="7">
        <f>IFERROR(IF(OR(E1268="",INDEX(E:E,MATCH(DATE(YEAR($A1268)-1,MONTH($A1268),DAY($A1268)),$A:$A,0))=""),"",E1268/INDEX(E:E,MATCH(DATE(YEAR($A1268)-1,MONTH($A1268),DAY($A1268)),$A:$A,0))-1),"")</f>
        <v/>
      </c>
      <c r="I1268" s="7">
        <f>IFERROR(IF(OR(F1268="",INDEX(F:F,MATCH(DATE(YEAR($A1268)-1,MONTH($A1268),DAY($A1268)),$A:$A,0))=""),"",F1268/INDEX(F:F,MATCH(DATE(YEAR($A1268)-1,MONTH($A1268),DAY($A1268)),$A:$A,0))-1),"")</f>
        <v/>
      </c>
      <c r="J1268" s="7">
        <f>IFERROR(IF(OR(G1268="",INDEX(G:G,MATCH(DATE(YEAR($A1268)-1,MONTH($A1268),DAY($A1268)),$A:$A,0))=""),"",G1268/INDEX(G:G,MATCH(DATE(YEAR($A1268)-1,MONTH($A1268),DAY($A1268)),$A:$A,0))-1),"")</f>
        <v/>
      </c>
      <c r="K1268" s="7">
        <f>IF(OR(E1268="",E1267=""),"",E1268/E1267-1)</f>
        <v/>
      </c>
      <c r="L1268" s="7">
        <f>IF(OR(F1268="",F1267=""),"",F1268/F1267-1)</f>
        <v/>
      </c>
      <c r="M1268" s="7">
        <f>IF(OR(G1268="",G1267=""),"",G1268/G1267-1)</f>
        <v/>
      </c>
      <c r="N1268" s="7">
        <f>IF(G1268="","",E1268/G1268)</f>
        <v/>
      </c>
      <c r="O1268" s="7">
        <f>IF(G1268="","",F1268/G1268)</f>
        <v/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4">
        <f>IF(SUMIFS('Daily NSE Equity Cash'!$H:$H,'Daily NSE Equity Cash'!$A:$A,$A1269)=0,"",SUMIFS('Daily NSE Equity Cash'!$H:$H,'Daily NSE Equity Cash'!$A:$A,$A1269))</f>
        <v/>
      </c>
      <c r="F1269" s="4">
        <f>IF(SUMIFS('Daily BSE Equity Cash'!$H:$H,'Daily BSE Equity Cash'!$A:$A,$A1269)=0,"",SUMIFS('Daily BSE Equity Cash'!$H:$H,'Daily BSE Equity Cash'!$A:$A,$A1269))</f>
        <v/>
      </c>
      <c r="G1269" s="4">
        <f>IF(OR(E1269="",F1269=""),"",E1269+F1269)</f>
        <v/>
      </c>
      <c r="H1269" s="7">
        <f>IFERROR(IF(OR(E1269="",INDEX(E:E,MATCH(DATE(YEAR($A1269)-1,MONTH($A1269),DAY($A1269)),$A:$A,0))=""),"",E1269/INDEX(E:E,MATCH(DATE(YEAR($A1269)-1,MONTH($A1269),DAY($A1269)),$A:$A,0))-1),"")</f>
        <v/>
      </c>
      <c r="I1269" s="7">
        <f>IFERROR(IF(OR(F1269="",INDEX(F:F,MATCH(DATE(YEAR($A1269)-1,MONTH($A1269),DAY($A1269)),$A:$A,0))=""),"",F1269/INDEX(F:F,MATCH(DATE(YEAR($A1269)-1,MONTH($A1269),DAY($A1269)),$A:$A,0))-1),"")</f>
        <v/>
      </c>
      <c r="J1269" s="7">
        <f>IFERROR(IF(OR(G1269="",INDEX(G:G,MATCH(DATE(YEAR($A1269)-1,MONTH($A1269),DAY($A1269)),$A:$A,0))=""),"",G1269/INDEX(G:G,MATCH(DATE(YEAR($A1269)-1,MONTH($A1269),DAY($A1269)),$A:$A,0))-1),"")</f>
        <v/>
      </c>
      <c r="K1269" s="7">
        <f>IF(OR(E1269="",E1268=""),"",E1269/E1268-1)</f>
        <v/>
      </c>
      <c r="L1269" s="7">
        <f>IF(OR(F1269="",F1268=""),"",F1269/F1268-1)</f>
        <v/>
      </c>
      <c r="M1269" s="7">
        <f>IF(OR(G1269="",G1268=""),"",G1269/G1268-1)</f>
        <v/>
      </c>
      <c r="N1269" s="7">
        <f>IF(G1269="","",E1269/G1269)</f>
        <v/>
      </c>
      <c r="O1269" s="7">
        <f>IF(G1269="","",F1269/G1269)</f>
        <v/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4">
        <f>IF(SUMIFS('Daily NSE Equity Cash'!$H:$H,'Daily NSE Equity Cash'!$A:$A,$A1270)=0,"",SUMIFS('Daily NSE Equity Cash'!$H:$H,'Daily NSE Equity Cash'!$A:$A,$A1270))</f>
        <v/>
      </c>
      <c r="F1270" s="4">
        <f>IF(SUMIFS('Daily BSE Equity Cash'!$H:$H,'Daily BSE Equity Cash'!$A:$A,$A1270)=0,"",SUMIFS('Daily BSE Equity Cash'!$H:$H,'Daily BSE Equity Cash'!$A:$A,$A1270))</f>
        <v/>
      </c>
      <c r="G1270" s="4">
        <f>IF(OR(E1270="",F1270=""),"",E1270+F1270)</f>
        <v/>
      </c>
      <c r="H1270" s="7">
        <f>IFERROR(IF(OR(E1270="",INDEX(E:E,MATCH(DATE(YEAR($A1270)-1,MONTH($A1270),DAY($A1270)),$A:$A,0))=""),"",E1270/INDEX(E:E,MATCH(DATE(YEAR($A1270)-1,MONTH($A1270),DAY($A1270)),$A:$A,0))-1),"")</f>
        <v/>
      </c>
      <c r="I1270" s="7">
        <f>IFERROR(IF(OR(F1270="",INDEX(F:F,MATCH(DATE(YEAR($A1270)-1,MONTH($A1270),DAY($A1270)),$A:$A,0))=""),"",F1270/INDEX(F:F,MATCH(DATE(YEAR($A1270)-1,MONTH($A1270),DAY($A1270)),$A:$A,0))-1),"")</f>
        <v/>
      </c>
      <c r="J1270" s="7">
        <f>IFERROR(IF(OR(G1270="",INDEX(G:G,MATCH(DATE(YEAR($A1270)-1,MONTH($A1270),DAY($A1270)),$A:$A,0))=""),"",G1270/INDEX(G:G,MATCH(DATE(YEAR($A1270)-1,MONTH($A1270),DAY($A1270)),$A:$A,0))-1),"")</f>
        <v/>
      </c>
      <c r="K1270" s="7">
        <f>IF(OR(E1270="",E1269=""),"",E1270/E1269-1)</f>
        <v/>
      </c>
      <c r="L1270" s="7">
        <f>IF(OR(F1270="",F1269=""),"",F1270/F1269-1)</f>
        <v/>
      </c>
      <c r="M1270" s="7">
        <f>IF(OR(G1270="",G1269=""),"",G1270/G1269-1)</f>
        <v/>
      </c>
      <c r="N1270" s="7">
        <f>IF(G1270="","",E1270/G1270)</f>
        <v/>
      </c>
      <c r="O1270" s="7">
        <f>IF(G1270="","",F1270/G1270)</f>
        <v/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4">
        <f>IF(SUMIFS('Daily NSE Equity Cash'!$H:$H,'Daily NSE Equity Cash'!$A:$A,$A1271)=0,"",SUMIFS('Daily NSE Equity Cash'!$H:$H,'Daily NSE Equity Cash'!$A:$A,$A1271))</f>
        <v/>
      </c>
      <c r="F1271" s="4">
        <f>IF(SUMIFS('Daily BSE Equity Cash'!$H:$H,'Daily BSE Equity Cash'!$A:$A,$A1271)=0,"",SUMIFS('Daily BSE Equity Cash'!$H:$H,'Daily BSE Equity Cash'!$A:$A,$A1271))</f>
        <v/>
      </c>
      <c r="G1271" s="4">
        <f>IF(OR(E1271="",F1271=""),"",E1271+F1271)</f>
        <v/>
      </c>
      <c r="H1271" s="7">
        <f>IFERROR(IF(OR(E1271="",INDEX(E:E,MATCH(DATE(YEAR($A1271)-1,MONTH($A1271),DAY($A1271)),$A:$A,0))=""),"",E1271/INDEX(E:E,MATCH(DATE(YEAR($A1271)-1,MONTH($A1271),DAY($A1271)),$A:$A,0))-1),"")</f>
        <v/>
      </c>
      <c r="I1271" s="7">
        <f>IFERROR(IF(OR(F1271="",INDEX(F:F,MATCH(DATE(YEAR($A1271)-1,MONTH($A1271),DAY($A1271)),$A:$A,0))=""),"",F1271/INDEX(F:F,MATCH(DATE(YEAR($A1271)-1,MONTH($A1271),DAY($A1271)),$A:$A,0))-1),"")</f>
        <v/>
      </c>
      <c r="J1271" s="7">
        <f>IFERROR(IF(OR(G1271="",INDEX(G:G,MATCH(DATE(YEAR($A1271)-1,MONTH($A1271),DAY($A1271)),$A:$A,0))=""),"",G1271/INDEX(G:G,MATCH(DATE(YEAR($A1271)-1,MONTH($A1271),DAY($A1271)),$A:$A,0))-1),"")</f>
        <v/>
      </c>
      <c r="K1271" s="7">
        <f>IF(OR(E1271="",E1270=""),"",E1271/E1270-1)</f>
        <v/>
      </c>
      <c r="L1271" s="7">
        <f>IF(OR(F1271="",F1270=""),"",F1271/F1270-1)</f>
        <v/>
      </c>
      <c r="M1271" s="7">
        <f>IF(OR(G1271="",G1270=""),"",G1271/G1270-1)</f>
        <v/>
      </c>
      <c r="N1271" s="7">
        <f>IF(G1271="","",E1271/G1271)</f>
        <v/>
      </c>
      <c r="O1271" s="7">
        <f>IF(G1271="","",F1271/G1271)</f>
        <v/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4">
        <f>IF(SUMIFS('Daily NSE Equity Cash'!$H:$H,'Daily NSE Equity Cash'!$A:$A,$A1272)=0,"",SUMIFS('Daily NSE Equity Cash'!$H:$H,'Daily NSE Equity Cash'!$A:$A,$A1272))</f>
        <v/>
      </c>
      <c r="F1272" s="4">
        <f>IF(SUMIFS('Daily BSE Equity Cash'!$H:$H,'Daily BSE Equity Cash'!$A:$A,$A1272)=0,"",SUMIFS('Daily BSE Equity Cash'!$H:$H,'Daily BSE Equity Cash'!$A:$A,$A1272))</f>
        <v/>
      </c>
      <c r="G1272" s="4">
        <f>IF(OR(E1272="",F1272=""),"",E1272+F1272)</f>
        <v/>
      </c>
      <c r="H1272" s="7">
        <f>IFERROR(IF(OR(E1272="",INDEX(E:E,MATCH(DATE(YEAR($A1272)-1,MONTH($A1272),DAY($A1272)),$A:$A,0))=""),"",E1272/INDEX(E:E,MATCH(DATE(YEAR($A1272)-1,MONTH($A1272),DAY($A1272)),$A:$A,0))-1),"")</f>
        <v/>
      </c>
      <c r="I1272" s="7">
        <f>IFERROR(IF(OR(F1272="",INDEX(F:F,MATCH(DATE(YEAR($A1272)-1,MONTH($A1272),DAY($A1272)),$A:$A,0))=""),"",F1272/INDEX(F:F,MATCH(DATE(YEAR($A1272)-1,MONTH($A1272),DAY($A1272)),$A:$A,0))-1),"")</f>
        <v/>
      </c>
      <c r="J1272" s="7">
        <f>IFERROR(IF(OR(G1272="",INDEX(G:G,MATCH(DATE(YEAR($A1272)-1,MONTH($A1272),DAY($A1272)),$A:$A,0))=""),"",G1272/INDEX(G:G,MATCH(DATE(YEAR($A1272)-1,MONTH($A1272),DAY($A1272)),$A:$A,0))-1),"")</f>
        <v/>
      </c>
      <c r="K1272" s="7">
        <f>IF(OR(E1272="",E1271=""),"",E1272/E1271-1)</f>
        <v/>
      </c>
      <c r="L1272" s="7">
        <f>IF(OR(F1272="",F1271=""),"",F1272/F1271-1)</f>
        <v/>
      </c>
      <c r="M1272" s="7">
        <f>IF(OR(G1272="",G1271=""),"",G1272/G1271-1)</f>
        <v/>
      </c>
      <c r="N1272" s="7">
        <f>IF(G1272="","",E1272/G1272)</f>
        <v/>
      </c>
      <c r="O1272" s="7">
        <f>IF(G1272="","",F1272/G1272)</f>
        <v/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4">
        <f>IF(SUMIFS('Daily NSE Equity Cash'!$H:$H,'Daily NSE Equity Cash'!$A:$A,$A1273)=0,"",SUMIFS('Daily NSE Equity Cash'!$H:$H,'Daily NSE Equity Cash'!$A:$A,$A1273))</f>
        <v/>
      </c>
      <c r="F1273" s="4">
        <f>IF(SUMIFS('Daily BSE Equity Cash'!$H:$H,'Daily BSE Equity Cash'!$A:$A,$A1273)=0,"",SUMIFS('Daily BSE Equity Cash'!$H:$H,'Daily BSE Equity Cash'!$A:$A,$A1273))</f>
        <v/>
      </c>
      <c r="G1273" s="4">
        <f>IF(OR(E1273="",F1273=""),"",E1273+F1273)</f>
        <v/>
      </c>
      <c r="H1273" s="7">
        <f>IFERROR(IF(OR(E1273="",INDEX(E:E,MATCH(DATE(YEAR($A1273)-1,MONTH($A1273),DAY($A1273)),$A:$A,0))=""),"",E1273/INDEX(E:E,MATCH(DATE(YEAR($A1273)-1,MONTH($A1273),DAY($A1273)),$A:$A,0))-1),"")</f>
        <v/>
      </c>
      <c r="I1273" s="7">
        <f>IFERROR(IF(OR(F1273="",INDEX(F:F,MATCH(DATE(YEAR($A1273)-1,MONTH($A1273),DAY($A1273)),$A:$A,0))=""),"",F1273/INDEX(F:F,MATCH(DATE(YEAR($A1273)-1,MONTH($A1273),DAY($A1273)),$A:$A,0))-1),"")</f>
        <v/>
      </c>
      <c r="J1273" s="7">
        <f>IFERROR(IF(OR(G1273="",INDEX(G:G,MATCH(DATE(YEAR($A1273)-1,MONTH($A1273),DAY($A1273)),$A:$A,0))=""),"",G1273/INDEX(G:G,MATCH(DATE(YEAR($A1273)-1,MONTH($A1273),DAY($A1273)),$A:$A,0))-1),"")</f>
        <v/>
      </c>
      <c r="K1273" s="7">
        <f>IF(OR(E1273="",E1272=""),"",E1273/E1272-1)</f>
        <v/>
      </c>
      <c r="L1273" s="7">
        <f>IF(OR(F1273="",F1272=""),"",F1273/F1272-1)</f>
        <v/>
      </c>
      <c r="M1273" s="7">
        <f>IF(OR(G1273="",G1272=""),"",G1273/G1272-1)</f>
        <v/>
      </c>
      <c r="N1273" s="7">
        <f>IF(G1273="","",E1273/G1273)</f>
        <v/>
      </c>
      <c r="O1273" s="7">
        <f>IF(G1273="","",F1273/G1273)</f>
        <v/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4">
        <f>IF(SUMIFS('Daily NSE Equity Cash'!$H:$H,'Daily NSE Equity Cash'!$A:$A,$A1274)=0,"",SUMIFS('Daily NSE Equity Cash'!$H:$H,'Daily NSE Equity Cash'!$A:$A,$A1274))</f>
        <v/>
      </c>
      <c r="F1274" s="4">
        <f>IF(SUMIFS('Daily BSE Equity Cash'!$H:$H,'Daily BSE Equity Cash'!$A:$A,$A1274)=0,"",SUMIFS('Daily BSE Equity Cash'!$H:$H,'Daily BSE Equity Cash'!$A:$A,$A1274))</f>
        <v/>
      </c>
      <c r="G1274" s="4">
        <f>IF(OR(E1274="",F1274=""),"",E1274+F1274)</f>
        <v/>
      </c>
      <c r="H1274" s="7">
        <f>IFERROR(IF(OR(E1274="",INDEX(E:E,MATCH(DATE(YEAR($A1274)-1,MONTH($A1274),DAY($A1274)),$A:$A,0))=""),"",E1274/INDEX(E:E,MATCH(DATE(YEAR($A1274)-1,MONTH($A1274),DAY($A1274)),$A:$A,0))-1),"")</f>
        <v/>
      </c>
      <c r="I1274" s="7">
        <f>IFERROR(IF(OR(F1274="",INDEX(F:F,MATCH(DATE(YEAR($A1274)-1,MONTH($A1274),DAY($A1274)),$A:$A,0))=""),"",F1274/INDEX(F:F,MATCH(DATE(YEAR($A1274)-1,MONTH($A1274),DAY($A1274)),$A:$A,0))-1),"")</f>
        <v/>
      </c>
      <c r="J1274" s="7">
        <f>IFERROR(IF(OR(G1274="",INDEX(G:G,MATCH(DATE(YEAR($A1274)-1,MONTH($A1274),DAY($A1274)),$A:$A,0))=""),"",G1274/INDEX(G:G,MATCH(DATE(YEAR($A1274)-1,MONTH($A1274),DAY($A1274)),$A:$A,0))-1),"")</f>
        <v/>
      </c>
      <c r="K1274" s="7">
        <f>IF(OR(E1274="",E1273=""),"",E1274/E1273-1)</f>
        <v/>
      </c>
      <c r="L1274" s="7">
        <f>IF(OR(F1274="",F1273=""),"",F1274/F1273-1)</f>
        <v/>
      </c>
      <c r="M1274" s="7">
        <f>IF(OR(G1274="",G1273=""),"",G1274/G1273-1)</f>
        <v/>
      </c>
      <c r="N1274" s="7">
        <f>IF(G1274="","",E1274/G1274)</f>
        <v/>
      </c>
      <c r="O1274" s="7">
        <f>IF(G1274="","",F1274/G1274)</f>
        <v/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4">
        <f>IF(SUMIFS('Daily NSE Equity Cash'!$H:$H,'Daily NSE Equity Cash'!$A:$A,$A1275)=0,"",SUMIFS('Daily NSE Equity Cash'!$H:$H,'Daily NSE Equity Cash'!$A:$A,$A1275))</f>
        <v/>
      </c>
      <c r="F1275" s="4">
        <f>IF(SUMIFS('Daily BSE Equity Cash'!$H:$H,'Daily BSE Equity Cash'!$A:$A,$A1275)=0,"",SUMIFS('Daily BSE Equity Cash'!$H:$H,'Daily BSE Equity Cash'!$A:$A,$A1275))</f>
        <v/>
      </c>
      <c r="G1275" s="4">
        <f>IF(OR(E1275="",F1275=""),"",E1275+F1275)</f>
        <v/>
      </c>
      <c r="H1275" s="7">
        <f>IFERROR(IF(OR(E1275="",INDEX(E:E,MATCH(DATE(YEAR($A1275)-1,MONTH($A1275),DAY($A1275)),$A:$A,0))=""),"",E1275/INDEX(E:E,MATCH(DATE(YEAR($A1275)-1,MONTH($A1275),DAY($A1275)),$A:$A,0))-1),"")</f>
        <v/>
      </c>
      <c r="I1275" s="7">
        <f>IFERROR(IF(OR(F1275="",INDEX(F:F,MATCH(DATE(YEAR($A1275)-1,MONTH($A1275),DAY($A1275)),$A:$A,0))=""),"",F1275/INDEX(F:F,MATCH(DATE(YEAR($A1275)-1,MONTH($A1275),DAY($A1275)),$A:$A,0))-1),"")</f>
        <v/>
      </c>
      <c r="J1275" s="7">
        <f>IFERROR(IF(OR(G1275="",INDEX(G:G,MATCH(DATE(YEAR($A1275)-1,MONTH($A1275),DAY($A1275)),$A:$A,0))=""),"",G1275/INDEX(G:G,MATCH(DATE(YEAR($A1275)-1,MONTH($A1275),DAY($A1275)),$A:$A,0))-1),"")</f>
        <v/>
      </c>
      <c r="K1275" s="7">
        <f>IF(OR(E1275="",E1274=""),"",E1275/E1274-1)</f>
        <v/>
      </c>
      <c r="L1275" s="7">
        <f>IF(OR(F1275="",F1274=""),"",F1275/F1274-1)</f>
        <v/>
      </c>
      <c r="M1275" s="7">
        <f>IF(OR(G1275="",G1274=""),"",G1275/G1274-1)</f>
        <v/>
      </c>
      <c r="N1275" s="7">
        <f>IF(G1275="","",E1275/G1275)</f>
        <v/>
      </c>
      <c r="O1275" s="7">
        <f>IF(G1275="","",F1275/G1275)</f>
        <v/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4">
        <f>IF(SUMIFS('Daily NSE Equity Cash'!$H:$H,'Daily NSE Equity Cash'!$A:$A,$A1276)=0,"",SUMIFS('Daily NSE Equity Cash'!$H:$H,'Daily NSE Equity Cash'!$A:$A,$A1276))</f>
        <v/>
      </c>
      <c r="F1276" s="4">
        <f>IF(SUMIFS('Daily BSE Equity Cash'!$H:$H,'Daily BSE Equity Cash'!$A:$A,$A1276)=0,"",SUMIFS('Daily BSE Equity Cash'!$H:$H,'Daily BSE Equity Cash'!$A:$A,$A1276))</f>
        <v/>
      </c>
      <c r="G1276" s="4">
        <f>IF(OR(E1276="",F1276=""),"",E1276+F1276)</f>
        <v/>
      </c>
      <c r="H1276" s="7">
        <f>IFERROR(IF(OR(E1276="",INDEX(E:E,MATCH(DATE(YEAR($A1276)-1,MONTH($A1276),DAY($A1276)),$A:$A,0))=""),"",E1276/INDEX(E:E,MATCH(DATE(YEAR($A1276)-1,MONTH($A1276),DAY($A1276)),$A:$A,0))-1),"")</f>
        <v/>
      </c>
      <c r="I1276" s="7">
        <f>IFERROR(IF(OR(F1276="",INDEX(F:F,MATCH(DATE(YEAR($A1276)-1,MONTH($A1276),DAY($A1276)),$A:$A,0))=""),"",F1276/INDEX(F:F,MATCH(DATE(YEAR($A1276)-1,MONTH($A1276),DAY($A1276)),$A:$A,0))-1),"")</f>
        <v/>
      </c>
      <c r="J1276" s="7">
        <f>IFERROR(IF(OR(G1276="",INDEX(G:G,MATCH(DATE(YEAR($A1276)-1,MONTH($A1276),DAY($A1276)),$A:$A,0))=""),"",G1276/INDEX(G:G,MATCH(DATE(YEAR($A1276)-1,MONTH($A1276),DAY($A1276)),$A:$A,0))-1),"")</f>
        <v/>
      </c>
      <c r="K1276" s="7">
        <f>IF(OR(E1276="",E1275=""),"",E1276/E1275-1)</f>
        <v/>
      </c>
      <c r="L1276" s="7">
        <f>IF(OR(F1276="",F1275=""),"",F1276/F1275-1)</f>
        <v/>
      </c>
      <c r="M1276" s="7">
        <f>IF(OR(G1276="",G1275=""),"",G1276/G1275-1)</f>
        <v/>
      </c>
      <c r="N1276" s="7">
        <f>IF(G1276="","",E1276/G1276)</f>
        <v/>
      </c>
      <c r="O1276" s="7">
        <f>IF(G1276="","",F1276/G1276)</f>
        <v/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4">
        <f>IF(SUMIFS('Daily NSE Equity Cash'!$H:$H,'Daily NSE Equity Cash'!$A:$A,$A1277)=0,"",SUMIFS('Daily NSE Equity Cash'!$H:$H,'Daily NSE Equity Cash'!$A:$A,$A1277))</f>
        <v/>
      </c>
      <c r="F1277" s="4">
        <f>IF(SUMIFS('Daily BSE Equity Cash'!$H:$H,'Daily BSE Equity Cash'!$A:$A,$A1277)=0,"",SUMIFS('Daily BSE Equity Cash'!$H:$H,'Daily BSE Equity Cash'!$A:$A,$A1277))</f>
        <v/>
      </c>
      <c r="G1277" s="4">
        <f>IF(OR(E1277="",F1277=""),"",E1277+F1277)</f>
        <v/>
      </c>
      <c r="H1277" s="7">
        <f>IFERROR(IF(OR(E1277="",INDEX(E:E,MATCH(DATE(YEAR($A1277)-1,MONTH($A1277),DAY($A1277)),$A:$A,0))=""),"",E1277/INDEX(E:E,MATCH(DATE(YEAR($A1277)-1,MONTH($A1277),DAY($A1277)),$A:$A,0))-1),"")</f>
        <v/>
      </c>
      <c r="I1277" s="7">
        <f>IFERROR(IF(OR(F1277="",INDEX(F:F,MATCH(DATE(YEAR($A1277)-1,MONTH($A1277),DAY($A1277)),$A:$A,0))=""),"",F1277/INDEX(F:F,MATCH(DATE(YEAR($A1277)-1,MONTH($A1277),DAY($A1277)),$A:$A,0))-1),"")</f>
        <v/>
      </c>
      <c r="J1277" s="7">
        <f>IFERROR(IF(OR(G1277="",INDEX(G:G,MATCH(DATE(YEAR($A1277)-1,MONTH($A1277),DAY($A1277)),$A:$A,0))=""),"",G1277/INDEX(G:G,MATCH(DATE(YEAR($A1277)-1,MONTH($A1277),DAY($A1277)),$A:$A,0))-1),"")</f>
        <v/>
      </c>
      <c r="K1277" s="7">
        <f>IF(OR(E1277="",E1276=""),"",E1277/E1276-1)</f>
        <v/>
      </c>
      <c r="L1277" s="7">
        <f>IF(OR(F1277="",F1276=""),"",F1277/F1276-1)</f>
        <v/>
      </c>
      <c r="M1277" s="7">
        <f>IF(OR(G1277="",G1276=""),"",G1277/G1276-1)</f>
        <v/>
      </c>
      <c r="N1277" s="7">
        <f>IF(G1277="","",E1277/G1277)</f>
        <v/>
      </c>
      <c r="O1277" s="7">
        <f>IF(G1277="","",F1277/G1277)</f>
        <v/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4">
        <f>IF(SUMIFS('Daily NSE Equity Cash'!$H:$H,'Daily NSE Equity Cash'!$A:$A,$A1278)=0,"",SUMIFS('Daily NSE Equity Cash'!$H:$H,'Daily NSE Equity Cash'!$A:$A,$A1278))</f>
        <v/>
      </c>
      <c r="F1278" s="4">
        <f>IF(SUMIFS('Daily BSE Equity Cash'!$H:$H,'Daily BSE Equity Cash'!$A:$A,$A1278)=0,"",SUMIFS('Daily BSE Equity Cash'!$H:$H,'Daily BSE Equity Cash'!$A:$A,$A1278))</f>
        <v/>
      </c>
      <c r="G1278" s="4">
        <f>IF(OR(E1278="",F1278=""),"",E1278+F1278)</f>
        <v/>
      </c>
      <c r="H1278" s="7">
        <f>IFERROR(IF(OR(E1278="",INDEX(E:E,MATCH(DATE(YEAR($A1278)-1,MONTH($A1278),DAY($A1278)),$A:$A,0))=""),"",E1278/INDEX(E:E,MATCH(DATE(YEAR($A1278)-1,MONTH($A1278),DAY($A1278)),$A:$A,0))-1),"")</f>
        <v/>
      </c>
      <c r="I1278" s="7">
        <f>IFERROR(IF(OR(F1278="",INDEX(F:F,MATCH(DATE(YEAR($A1278)-1,MONTH($A1278),DAY($A1278)),$A:$A,0))=""),"",F1278/INDEX(F:F,MATCH(DATE(YEAR($A1278)-1,MONTH($A1278),DAY($A1278)),$A:$A,0))-1),"")</f>
        <v/>
      </c>
      <c r="J1278" s="7">
        <f>IFERROR(IF(OR(G1278="",INDEX(G:G,MATCH(DATE(YEAR($A1278)-1,MONTH($A1278),DAY($A1278)),$A:$A,0))=""),"",G1278/INDEX(G:G,MATCH(DATE(YEAR($A1278)-1,MONTH($A1278),DAY($A1278)),$A:$A,0))-1),"")</f>
        <v/>
      </c>
      <c r="K1278" s="7">
        <f>IF(OR(E1278="",E1277=""),"",E1278/E1277-1)</f>
        <v/>
      </c>
      <c r="L1278" s="7">
        <f>IF(OR(F1278="",F1277=""),"",F1278/F1277-1)</f>
        <v/>
      </c>
      <c r="M1278" s="7">
        <f>IF(OR(G1278="",G1277=""),"",G1278/G1277-1)</f>
        <v/>
      </c>
      <c r="N1278" s="7">
        <f>IF(G1278="","",E1278/G1278)</f>
        <v/>
      </c>
      <c r="O1278" s="7">
        <f>IF(G1278="","",F1278/G1278)</f>
        <v/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4">
        <f>IF(SUMIFS('Daily NSE Equity Cash'!$H:$H,'Daily NSE Equity Cash'!$A:$A,$A1279)=0,"",SUMIFS('Daily NSE Equity Cash'!$H:$H,'Daily NSE Equity Cash'!$A:$A,$A1279))</f>
        <v/>
      </c>
      <c r="F1279" s="4">
        <f>IF(SUMIFS('Daily BSE Equity Cash'!$H:$H,'Daily BSE Equity Cash'!$A:$A,$A1279)=0,"",SUMIFS('Daily BSE Equity Cash'!$H:$H,'Daily BSE Equity Cash'!$A:$A,$A1279))</f>
        <v/>
      </c>
      <c r="G1279" s="4">
        <f>IF(OR(E1279="",F1279=""),"",E1279+F1279)</f>
        <v/>
      </c>
      <c r="H1279" s="7">
        <f>IFERROR(IF(OR(E1279="",INDEX(E:E,MATCH(DATE(YEAR($A1279)-1,MONTH($A1279),DAY($A1279)),$A:$A,0))=""),"",E1279/INDEX(E:E,MATCH(DATE(YEAR($A1279)-1,MONTH($A1279),DAY($A1279)),$A:$A,0))-1),"")</f>
        <v/>
      </c>
      <c r="I1279" s="7">
        <f>IFERROR(IF(OR(F1279="",INDEX(F:F,MATCH(DATE(YEAR($A1279)-1,MONTH($A1279),DAY($A1279)),$A:$A,0))=""),"",F1279/INDEX(F:F,MATCH(DATE(YEAR($A1279)-1,MONTH($A1279),DAY($A1279)),$A:$A,0))-1),"")</f>
        <v/>
      </c>
      <c r="J1279" s="7">
        <f>IFERROR(IF(OR(G1279="",INDEX(G:G,MATCH(DATE(YEAR($A1279)-1,MONTH($A1279),DAY($A1279)),$A:$A,0))=""),"",G1279/INDEX(G:G,MATCH(DATE(YEAR($A1279)-1,MONTH($A1279),DAY($A1279)),$A:$A,0))-1),"")</f>
        <v/>
      </c>
      <c r="K1279" s="7">
        <f>IF(OR(E1279="",E1278=""),"",E1279/E1278-1)</f>
        <v/>
      </c>
      <c r="L1279" s="7">
        <f>IF(OR(F1279="",F1278=""),"",F1279/F1278-1)</f>
        <v/>
      </c>
      <c r="M1279" s="7">
        <f>IF(OR(G1279="",G1278=""),"",G1279/G1278-1)</f>
        <v/>
      </c>
      <c r="N1279" s="7">
        <f>IF(G1279="","",E1279/G1279)</f>
        <v/>
      </c>
      <c r="O1279" s="7">
        <f>IF(G1279="","",F1279/G1279)</f>
        <v/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4">
        <f>IF(SUMIFS('Daily NSE Equity Cash'!$H:$H,'Daily NSE Equity Cash'!$A:$A,$A1280)=0,"",SUMIFS('Daily NSE Equity Cash'!$H:$H,'Daily NSE Equity Cash'!$A:$A,$A1280))</f>
        <v/>
      </c>
      <c r="F1280" s="4">
        <f>IF(SUMIFS('Daily BSE Equity Cash'!$H:$H,'Daily BSE Equity Cash'!$A:$A,$A1280)=0,"",SUMIFS('Daily BSE Equity Cash'!$H:$H,'Daily BSE Equity Cash'!$A:$A,$A1280))</f>
        <v/>
      </c>
      <c r="G1280" s="4">
        <f>IF(OR(E1280="",F1280=""),"",E1280+F1280)</f>
        <v/>
      </c>
      <c r="H1280" s="7">
        <f>IFERROR(IF(OR(E1280="",INDEX(E:E,MATCH(DATE(YEAR($A1280)-1,MONTH($A1280),DAY($A1280)),$A:$A,0))=""),"",E1280/INDEX(E:E,MATCH(DATE(YEAR($A1280)-1,MONTH($A1280),DAY($A1280)),$A:$A,0))-1),"")</f>
        <v/>
      </c>
      <c r="I1280" s="7">
        <f>IFERROR(IF(OR(F1280="",INDEX(F:F,MATCH(DATE(YEAR($A1280)-1,MONTH($A1280),DAY($A1280)),$A:$A,0))=""),"",F1280/INDEX(F:F,MATCH(DATE(YEAR($A1280)-1,MONTH($A1280),DAY($A1280)),$A:$A,0))-1),"")</f>
        <v/>
      </c>
      <c r="J1280" s="7">
        <f>IFERROR(IF(OR(G1280="",INDEX(G:G,MATCH(DATE(YEAR($A1280)-1,MONTH($A1280),DAY($A1280)),$A:$A,0))=""),"",G1280/INDEX(G:G,MATCH(DATE(YEAR($A1280)-1,MONTH($A1280),DAY($A1280)),$A:$A,0))-1),"")</f>
        <v/>
      </c>
      <c r="K1280" s="7">
        <f>IF(OR(E1280="",E1279=""),"",E1280/E1279-1)</f>
        <v/>
      </c>
      <c r="L1280" s="7">
        <f>IF(OR(F1280="",F1279=""),"",F1280/F1279-1)</f>
        <v/>
      </c>
      <c r="M1280" s="7">
        <f>IF(OR(G1280="",G1279=""),"",G1280/G1279-1)</f>
        <v/>
      </c>
      <c r="N1280" s="7">
        <f>IF(G1280="","",E1280/G1280)</f>
        <v/>
      </c>
      <c r="O1280" s="7">
        <f>IF(G1280="","",F1280/G1280)</f>
        <v/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4">
        <f>IF(SUMIFS('Daily NSE Equity Cash'!$H:$H,'Daily NSE Equity Cash'!$A:$A,$A1281)=0,"",SUMIFS('Daily NSE Equity Cash'!$H:$H,'Daily NSE Equity Cash'!$A:$A,$A1281))</f>
        <v/>
      </c>
      <c r="F1281" s="4">
        <f>IF(SUMIFS('Daily BSE Equity Cash'!$H:$H,'Daily BSE Equity Cash'!$A:$A,$A1281)=0,"",SUMIFS('Daily BSE Equity Cash'!$H:$H,'Daily BSE Equity Cash'!$A:$A,$A1281))</f>
        <v/>
      </c>
      <c r="G1281" s="4">
        <f>IF(OR(E1281="",F1281=""),"",E1281+F1281)</f>
        <v/>
      </c>
      <c r="H1281" s="7">
        <f>IFERROR(IF(OR(E1281="",INDEX(E:E,MATCH(DATE(YEAR($A1281)-1,MONTH($A1281),DAY($A1281)),$A:$A,0))=""),"",E1281/INDEX(E:E,MATCH(DATE(YEAR($A1281)-1,MONTH($A1281),DAY($A1281)),$A:$A,0))-1),"")</f>
        <v/>
      </c>
      <c r="I1281" s="7">
        <f>IFERROR(IF(OR(F1281="",INDEX(F:F,MATCH(DATE(YEAR($A1281)-1,MONTH($A1281),DAY($A1281)),$A:$A,0))=""),"",F1281/INDEX(F:F,MATCH(DATE(YEAR($A1281)-1,MONTH($A1281),DAY($A1281)),$A:$A,0))-1),"")</f>
        <v/>
      </c>
      <c r="J1281" s="7">
        <f>IFERROR(IF(OR(G1281="",INDEX(G:G,MATCH(DATE(YEAR($A1281)-1,MONTH($A1281),DAY($A1281)),$A:$A,0))=""),"",G1281/INDEX(G:G,MATCH(DATE(YEAR($A1281)-1,MONTH($A1281),DAY($A1281)),$A:$A,0))-1),"")</f>
        <v/>
      </c>
      <c r="K1281" s="7">
        <f>IF(OR(E1281="",E1280=""),"",E1281/E1280-1)</f>
        <v/>
      </c>
      <c r="L1281" s="7">
        <f>IF(OR(F1281="",F1280=""),"",F1281/F1280-1)</f>
        <v/>
      </c>
      <c r="M1281" s="7">
        <f>IF(OR(G1281="",G1280=""),"",G1281/G1280-1)</f>
        <v/>
      </c>
      <c r="N1281" s="7">
        <f>IF(G1281="","",E1281/G1281)</f>
        <v/>
      </c>
      <c r="O1281" s="7">
        <f>IF(G1281="","",F1281/G1281)</f>
        <v/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4">
        <f>IF(SUMIFS('Daily NSE Equity Cash'!$H:$H,'Daily NSE Equity Cash'!$A:$A,$A1282)=0,"",SUMIFS('Daily NSE Equity Cash'!$H:$H,'Daily NSE Equity Cash'!$A:$A,$A1282))</f>
        <v/>
      </c>
      <c r="F1282" s="4">
        <f>IF(SUMIFS('Daily BSE Equity Cash'!$H:$H,'Daily BSE Equity Cash'!$A:$A,$A1282)=0,"",SUMIFS('Daily BSE Equity Cash'!$H:$H,'Daily BSE Equity Cash'!$A:$A,$A1282))</f>
        <v/>
      </c>
      <c r="G1282" s="4">
        <f>IF(OR(E1282="",F1282=""),"",E1282+F1282)</f>
        <v/>
      </c>
      <c r="H1282" s="7">
        <f>IFERROR(IF(OR(E1282="",INDEX(E:E,MATCH(DATE(YEAR($A1282)-1,MONTH($A1282),DAY($A1282)),$A:$A,0))=""),"",E1282/INDEX(E:E,MATCH(DATE(YEAR($A1282)-1,MONTH($A1282),DAY($A1282)),$A:$A,0))-1),"")</f>
        <v/>
      </c>
      <c r="I1282" s="7">
        <f>IFERROR(IF(OR(F1282="",INDEX(F:F,MATCH(DATE(YEAR($A1282)-1,MONTH($A1282),DAY($A1282)),$A:$A,0))=""),"",F1282/INDEX(F:F,MATCH(DATE(YEAR($A1282)-1,MONTH($A1282),DAY($A1282)),$A:$A,0))-1),"")</f>
        <v/>
      </c>
      <c r="J1282" s="7">
        <f>IFERROR(IF(OR(G1282="",INDEX(G:G,MATCH(DATE(YEAR($A1282)-1,MONTH($A1282),DAY($A1282)),$A:$A,0))=""),"",G1282/INDEX(G:G,MATCH(DATE(YEAR($A1282)-1,MONTH($A1282),DAY($A1282)),$A:$A,0))-1),"")</f>
        <v/>
      </c>
      <c r="K1282" s="7">
        <f>IF(OR(E1282="",E1281=""),"",E1282/E1281-1)</f>
        <v/>
      </c>
      <c r="L1282" s="7">
        <f>IF(OR(F1282="",F1281=""),"",F1282/F1281-1)</f>
        <v/>
      </c>
      <c r="M1282" s="7">
        <f>IF(OR(G1282="",G1281=""),"",G1282/G1281-1)</f>
        <v/>
      </c>
      <c r="N1282" s="7">
        <f>IF(G1282="","",E1282/G1282)</f>
        <v/>
      </c>
      <c r="O1282" s="7">
        <f>IF(G1282="","",F1282/G1282)</f>
        <v/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4">
        <f>IF(SUMIFS('Daily NSE Equity Cash'!$H:$H,'Daily NSE Equity Cash'!$A:$A,$A1283)=0,"",SUMIFS('Daily NSE Equity Cash'!$H:$H,'Daily NSE Equity Cash'!$A:$A,$A1283))</f>
        <v/>
      </c>
      <c r="F1283" s="4">
        <f>IF(SUMIFS('Daily BSE Equity Cash'!$H:$H,'Daily BSE Equity Cash'!$A:$A,$A1283)=0,"",SUMIFS('Daily BSE Equity Cash'!$H:$H,'Daily BSE Equity Cash'!$A:$A,$A1283))</f>
        <v/>
      </c>
      <c r="G1283" s="4">
        <f>IF(OR(E1283="",F1283=""),"",E1283+F1283)</f>
        <v/>
      </c>
      <c r="H1283" s="7">
        <f>IFERROR(IF(OR(E1283="",INDEX(E:E,MATCH(DATE(YEAR($A1283)-1,MONTH($A1283),DAY($A1283)),$A:$A,0))=""),"",E1283/INDEX(E:E,MATCH(DATE(YEAR($A1283)-1,MONTH($A1283),DAY($A1283)),$A:$A,0))-1),"")</f>
        <v/>
      </c>
      <c r="I1283" s="7">
        <f>IFERROR(IF(OR(F1283="",INDEX(F:F,MATCH(DATE(YEAR($A1283)-1,MONTH($A1283),DAY($A1283)),$A:$A,0))=""),"",F1283/INDEX(F:F,MATCH(DATE(YEAR($A1283)-1,MONTH($A1283),DAY($A1283)),$A:$A,0))-1),"")</f>
        <v/>
      </c>
      <c r="J1283" s="7">
        <f>IFERROR(IF(OR(G1283="",INDEX(G:G,MATCH(DATE(YEAR($A1283)-1,MONTH($A1283),DAY($A1283)),$A:$A,0))=""),"",G1283/INDEX(G:G,MATCH(DATE(YEAR($A1283)-1,MONTH($A1283),DAY($A1283)),$A:$A,0))-1),"")</f>
        <v/>
      </c>
      <c r="K1283" s="7">
        <f>IF(OR(E1283="",E1282=""),"",E1283/E1282-1)</f>
        <v/>
      </c>
      <c r="L1283" s="7">
        <f>IF(OR(F1283="",F1282=""),"",F1283/F1282-1)</f>
        <v/>
      </c>
      <c r="M1283" s="7">
        <f>IF(OR(G1283="",G1282=""),"",G1283/G1282-1)</f>
        <v/>
      </c>
      <c r="N1283" s="7">
        <f>IF(G1283="","",E1283/G1283)</f>
        <v/>
      </c>
      <c r="O1283" s="7">
        <f>IF(G1283="","",F1283/G1283)</f>
        <v/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4">
        <f>IF(SUMIFS('Daily NSE Equity Cash'!$H:$H,'Daily NSE Equity Cash'!$A:$A,$A1284)=0,"",SUMIFS('Daily NSE Equity Cash'!$H:$H,'Daily NSE Equity Cash'!$A:$A,$A1284))</f>
        <v/>
      </c>
      <c r="F1284" s="4">
        <f>IF(SUMIFS('Daily BSE Equity Cash'!$H:$H,'Daily BSE Equity Cash'!$A:$A,$A1284)=0,"",SUMIFS('Daily BSE Equity Cash'!$H:$H,'Daily BSE Equity Cash'!$A:$A,$A1284))</f>
        <v/>
      </c>
      <c r="G1284" s="4">
        <f>IF(OR(E1284="",F1284=""),"",E1284+F1284)</f>
        <v/>
      </c>
      <c r="H1284" s="7">
        <f>IFERROR(IF(OR(E1284="",INDEX(E:E,MATCH(DATE(YEAR($A1284)-1,MONTH($A1284),DAY($A1284)),$A:$A,0))=""),"",E1284/INDEX(E:E,MATCH(DATE(YEAR($A1284)-1,MONTH($A1284),DAY($A1284)),$A:$A,0))-1),"")</f>
        <v/>
      </c>
      <c r="I1284" s="7">
        <f>IFERROR(IF(OR(F1284="",INDEX(F:F,MATCH(DATE(YEAR($A1284)-1,MONTH($A1284),DAY($A1284)),$A:$A,0))=""),"",F1284/INDEX(F:F,MATCH(DATE(YEAR($A1284)-1,MONTH($A1284),DAY($A1284)),$A:$A,0))-1),"")</f>
        <v/>
      </c>
      <c r="J1284" s="7">
        <f>IFERROR(IF(OR(G1284="",INDEX(G:G,MATCH(DATE(YEAR($A1284)-1,MONTH($A1284),DAY($A1284)),$A:$A,0))=""),"",G1284/INDEX(G:G,MATCH(DATE(YEAR($A1284)-1,MONTH($A1284),DAY($A1284)),$A:$A,0))-1),"")</f>
        <v/>
      </c>
      <c r="K1284" s="7">
        <f>IF(OR(E1284="",E1283=""),"",E1284/E1283-1)</f>
        <v/>
      </c>
      <c r="L1284" s="7">
        <f>IF(OR(F1284="",F1283=""),"",F1284/F1283-1)</f>
        <v/>
      </c>
      <c r="M1284" s="7">
        <f>IF(OR(G1284="",G1283=""),"",G1284/G1283-1)</f>
        <v/>
      </c>
      <c r="N1284" s="7">
        <f>IF(G1284="","",E1284/G1284)</f>
        <v/>
      </c>
      <c r="O1284" s="7">
        <f>IF(G1284="","",F1284/G1284)</f>
        <v/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4">
        <f>IF(SUMIFS('Daily NSE Equity Cash'!$H:$H,'Daily NSE Equity Cash'!$A:$A,$A1285)=0,"",SUMIFS('Daily NSE Equity Cash'!$H:$H,'Daily NSE Equity Cash'!$A:$A,$A1285))</f>
        <v/>
      </c>
      <c r="F1285" s="4">
        <f>IF(SUMIFS('Daily BSE Equity Cash'!$H:$H,'Daily BSE Equity Cash'!$A:$A,$A1285)=0,"",SUMIFS('Daily BSE Equity Cash'!$H:$H,'Daily BSE Equity Cash'!$A:$A,$A1285))</f>
        <v/>
      </c>
      <c r="G1285" s="4">
        <f>IF(OR(E1285="",F1285=""),"",E1285+F1285)</f>
        <v/>
      </c>
      <c r="H1285" s="7">
        <f>IFERROR(IF(OR(E1285="",INDEX(E:E,MATCH(DATE(YEAR($A1285)-1,MONTH($A1285),DAY($A1285)),$A:$A,0))=""),"",E1285/INDEX(E:E,MATCH(DATE(YEAR($A1285)-1,MONTH($A1285),DAY($A1285)),$A:$A,0))-1),"")</f>
        <v/>
      </c>
      <c r="I1285" s="7">
        <f>IFERROR(IF(OR(F1285="",INDEX(F:F,MATCH(DATE(YEAR($A1285)-1,MONTH($A1285),DAY($A1285)),$A:$A,0))=""),"",F1285/INDEX(F:F,MATCH(DATE(YEAR($A1285)-1,MONTH($A1285),DAY($A1285)),$A:$A,0))-1),"")</f>
        <v/>
      </c>
      <c r="J1285" s="7">
        <f>IFERROR(IF(OR(G1285="",INDEX(G:G,MATCH(DATE(YEAR($A1285)-1,MONTH($A1285),DAY($A1285)),$A:$A,0))=""),"",G1285/INDEX(G:G,MATCH(DATE(YEAR($A1285)-1,MONTH($A1285),DAY($A1285)),$A:$A,0))-1),"")</f>
        <v/>
      </c>
      <c r="K1285" s="7">
        <f>IF(OR(E1285="",E1284=""),"",E1285/E1284-1)</f>
        <v/>
      </c>
      <c r="L1285" s="7">
        <f>IF(OR(F1285="",F1284=""),"",F1285/F1284-1)</f>
        <v/>
      </c>
      <c r="M1285" s="7">
        <f>IF(OR(G1285="",G1284=""),"",G1285/G1284-1)</f>
        <v/>
      </c>
      <c r="N1285" s="7">
        <f>IF(G1285="","",E1285/G1285)</f>
        <v/>
      </c>
      <c r="O1285" s="7">
        <f>IF(G1285="","",F1285/G1285)</f>
        <v/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4">
        <f>IF(SUMIFS('Daily NSE Equity Cash'!$H:$H,'Daily NSE Equity Cash'!$A:$A,$A1286)=0,"",SUMIFS('Daily NSE Equity Cash'!$H:$H,'Daily NSE Equity Cash'!$A:$A,$A1286))</f>
        <v/>
      </c>
      <c r="F1286" s="4">
        <f>IF(SUMIFS('Daily BSE Equity Cash'!$H:$H,'Daily BSE Equity Cash'!$A:$A,$A1286)=0,"",SUMIFS('Daily BSE Equity Cash'!$H:$H,'Daily BSE Equity Cash'!$A:$A,$A1286))</f>
        <v/>
      </c>
      <c r="G1286" s="4">
        <f>IF(OR(E1286="",F1286=""),"",E1286+F1286)</f>
        <v/>
      </c>
      <c r="H1286" s="7">
        <f>IFERROR(IF(OR(E1286="",INDEX(E:E,MATCH(DATE(YEAR($A1286)-1,MONTH($A1286),DAY($A1286)),$A:$A,0))=""),"",E1286/INDEX(E:E,MATCH(DATE(YEAR($A1286)-1,MONTH($A1286),DAY($A1286)),$A:$A,0))-1),"")</f>
        <v/>
      </c>
      <c r="I1286" s="7">
        <f>IFERROR(IF(OR(F1286="",INDEX(F:F,MATCH(DATE(YEAR($A1286)-1,MONTH($A1286),DAY($A1286)),$A:$A,0))=""),"",F1286/INDEX(F:F,MATCH(DATE(YEAR($A1286)-1,MONTH($A1286),DAY($A1286)),$A:$A,0))-1),"")</f>
        <v/>
      </c>
      <c r="J1286" s="7">
        <f>IFERROR(IF(OR(G1286="",INDEX(G:G,MATCH(DATE(YEAR($A1286)-1,MONTH($A1286),DAY($A1286)),$A:$A,0))=""),"",G1286/INDEX(G:G,MATCH(DATE(YEAR($A1286)-1,MONTH($A1286),DAY($A1286)),$A:$A,0))-1),"")</f>
        <v/>
      </c>
      <c r="K1286" s="7">
        <f>IF(OR(E1286="",E1285=""),"",E1286/E1285-1)</f>
        <v/>
      </c>
      <c r="L1286" s="7">
        <f>IF(OR(F1286="",F1285=""),"",F1286/F1285-1)</f>
        <v/>
      </c>
      <c r="M1286" s="7">
        <f>IF(OR(G1286="",G1285=""),"",G1286/G1285-1)</f>
        <v/>
      </c>
      <c r="N1286" s="7">
        <f>IF(G1286="","",E1286/G1286)</f>
        <v/>
      </c>
      <c r="O1286" s="7">
        <f>IF(G1286="","",F1286/G1286)</f>
        <v/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4">
        <f>IF(SUMIFS('Daily NSE Equity Cash'!$H:$H,'Daily NSE Equity Cash'!$A:$A,$A1287)=0,"",SUMIFS('Daily NSE Equity Cash'!$H:$H,'Daily NSE Equity Cash'!$A:$A,$A1287))</f>
        <v/>
      </c>
      <c r="F1287" s="4">
        <f>IF(SUMIFS('Daily BSE Equity Cash'!$H:$H,'Daily BSE Equity Cash'!$A:$A,$A1287)=0,"",SUMIFS('Daily BSE Equity Cash'!$H:$H,'Daily BSE Equity Cash'!$A:$A,$A1287))</f>
        <v/>
      </c>
      <c r="G1287" s="4">
        <f>IF(OR(E1287="",F1287=""),"",E1287+F1287)</f>
        <v/>
      </c>
      <c r="H1287" s="7">
        <f>IFERROR(IF(OR(E1287="",INDEX(E:E,MATCH(DATE(YEAR($A1287)-1,MONTH($A1287),DAY($A1287)),$A:$A,0))=""),"",E1287/INDEX(E:E,MATCH(DATE(YEAR($A1287)-1,MONTH($A1287),DAY($A1287)),$A:$A,0))-1),"")</f>
        <v/>
      </c>
      <c r="I1287" s="7">
        <f>IFERROR(IF(OR(F1287="",INDEX(F:F,MATCH(DATE(YEAR($A1287)-1,MONTH($A1287),DAY($A1287)),$A:$A,0))=""),"",F1287/INDEX(F:F,MATCH(DATE(YEAR($A1287)-1,MONTH($A1287),DAY($A1287)),$A:$A,0))-1),"")</f>
        <v/>
      </c>
      <c r="J1287" s="7">
        <f>IFERROR(IF(OR(G1287="",INDEX(G:G,MATCH(DATE(YEAR($A1287)-1,MONTH($A1287),DAY($A1287)),$A:$A,0))=""),"",G1287/INDEX(G:G,MATCH(DATE(YEAR($A1287)-1,MONTH($A1287),DAY($A1287)),$A:$A,0))-1),"")</f>
        <v/>
      </c>
      <c r="K1287" s="7">
        <f>IF(OR(E1287="",E1286=""),"",E1287/E1286-1)</f>
        <v/>
      </c>
      <c r="L1287" s="7">
        <f>IF(OR(F1287="",F1286=""),"",F1287/F1286-1)</f>
        <v/>
      </c>
      <c r="M1287" s="7">
        <f>IF(OR(G1287="",G1286=""),"",G1287/G1286-1)</f>
        <v/>
      </c>
      <c r="N1287" s="7">
        <f>IF(G1287="","",E1287/G1287)</f>
        <v/>
      </c>
      <c r="O1287" s="7">
        <f>IF(G1287="","",F1287/G1287)</f>
        <v/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4">
        <f>IF(SUMIFS('Daily NSE Equity Cash'!$H:$H,'Daily NSE Equity Cash'!$A:$A,$A1288)=0,"",SUMIFS('Daily NSE Equity Cash'!$H:$H,'Daily NSE Equity Cash'!$A:$A,$A1288))</f>
        <v/>
      </c>
      <c r="F1288" s="4">
        <f>IF(SUMIFS('Daily BSE Equity Cash'!$H:$H,'Daily BSE Equity Cash'!$A:$A,$A1288)=0,"",SUMIFS('Daily BSE Equity Cash'!$H:$H,'Daily BSE Equity Cash'!$A:$A,$A1288))</f>
        <v/>
      </c>
      <c r="G1288" s="4">
        <f>IF(OR(E1288="",F1288=""),"",E1288+F1288)</f>
        <v/>
      </c>
      <c r="H1288" s="7">
        <f>IFERROR(IF(OR(E1288="",INDEX(E:E,MATCH(DATE(YEAR($A1288)-1,MONTH($A1288),DAY($A1288)),$A:$A,0))=""),"",E1288/INDEX(E:E,MATCH(DATE(YEAR($A1288)-1,MONTH($A1288),DAY($A1288)),$A:$A,0))-1),"")</f>
        <v/>
      </c>
      <c r="I1288" s="7">
        <f>IFERROR(IF(OR(F1288="",INDEX(F:F,MATCH(DATE(YEAR($A1288)-1,MONTH($A1288),DAY($A1288)),$A:$A,0))=""),"",F1288/INDEX(F:F,MATCH(DATE(YEAR($A1288)-1,MONTH($A1288),DAY($A1288)),$A:$A,0))-1),"")</f>
        <v/>
      </c>
      <c r="J1288" s="7">
        <f>IFERROR(IF(OR(G1288="",INDEX(G:G,MATCH(DATE(YEAR($A1288)-1,MONTH($A1288),DAY($A1288)),$A:$A,0))=""),"",G1288/INDEX(G:G,MATCH(DATE(YEAR($A1288)-1,MONTH($A1288),DAY($A1288)),$A:$A,0))-1),"")</f>
        <v/>
      </c>
      <c r="K1288" s="7">
        <f>IF(OR(E1288="",E1287=""),"",E1288/E1287-1)</f>
        <v/>
      </c>
      <c r="L1288" s="7">
        <f>IF(OR(F1288="",F1287=""),"",F1288/F1287-1)</f>
        <v/>
      </c>
      <c r="M1288" s="7">
        <f>IF(OR(G1288="",G1287=""),"",G1288/G1287-1)</f>
        <v/>
      </c>
      <c r="N1288" s="7">
        <f>IF(G1288="","",E1288/G1288)</f>
        <v/>
      </c>
      <c r="O1288" s="7">
        <f>IF(G1288="","",F1288/G1288)</f>
        <v/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4">
        <f>IF(SUMIFS('Daily NSE Equity Cash'!$H:$H,'Daily NSE Equity Cash'!$A:$A,$A1289)=0,"",SUMIFS('Daily NSE Equity Cash'!$H:$H,'Daily NSE Equity Cash'!$A:$A,$A1289))</f>
        <v/>
      </c>
      <c r="F1289" s="4">
        <f>IF(SUMIFS('Daily BSE Equity Cash'!$H:$H,'Daily BSE Equity Cash'!$A:$A,$A1289)=0,"",SUMIFS('Daily BSE Equity Cash'!$H:$H,'Daily BSE Equity Cash'!$A:$A,$A1289))</f>
        <v/>
      </c>
      <c r="G1289" s="4">
        <f>IF(OR(E1289="",F1289=""),"",E1289+F1289)</f>
        <v/>
      </c>
      <c r="H1289" s="7">
        <f>IFERROR(IF(OR(E1289="",INDEX(E:E,MATCH(DATE(YEAR($A1289)-1,MONTH($A1289),DAY($A1289)),$A:$A,0))=""),"",E1289/INDEX(E:E,MATCH(DATE(YEAR($A1289)-1,MONTH($A1289),DAY($A1289)),$A:$A,0))-1),"")</f>
        <v/>
      </c>
      <c r="I1289" s="7">
        <f>IFERROR(IF(OR(F1289="",INDEX(F:F,MATCH(DATE(YEAR($A1289)-1,MONTH($A1289),DAY($A1289)),$A:$A,0))=""),"",F1289/INDEX(F:F,MATCH(DATE(YEAR($A1289)-1,MONTH($A1289),DAY($A1289)),$A:$A,0))-1),"")</f>
        <v/>
      </c>
      <c r="J1289" s="7">
        <f>IFERROR(IF(OR(G1289="",INDEX(G:G,MATCH(DATE(YEAR($A1289)-1,MONTH($A1289),DAY($A1289)),$A:$A,0))=""),"",G1289/INDEX(G:G,MATCH(DATE(YEAR($A1289)-1,MONTH($A1289),DAY($A1289)),$A:$A,0))-1),"")</f>
        <v/>
      </c>
      <c r="K1289" s="7">
        <f>IF(OR(E1289="",E1288=""),"",E1289/E1288-1)</f>
        <v/>
      </c>
      <c r="L1289" s="7">
        <f>IF(OR(F1289="",F1288=""),"",F1289/F1288-1)</f>
        <v/>
      </c>
      <c r="M1289" s="7">
        <f>IF(OR(G1289="",G1288=""),"",G1289/G1288-1)</f>
        <v/>
      </c>
      <c r="N1289" s="7">
        <f>IF(G1289="","",E1289/G1289)</f>
        <v/>
      </c>
      <c r="O1289" s="7">
        <f>IF(G1289="","",F1289/G1289)</f>
        <v/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4">
        <f>IF(SUMIFS('Daily NSE Equity Cash'!$H:$H,'Daily NSE Equity Cash'!$A:$A,$A1290)=0,"",SUMIFS('Daily NSE Equity Cash'!$H:$H,'Daily NSE Equity Cash'!$A:$A,$A1290))</f>
        <v/>
      </c>
      <c r="F1290" s="4">
        <f>IF(SUMIFS('Daily BSE Equity Cash'!$H:$H,'Daily BSE Equity Cash'!$A:$A,$A1290)=0,"",SUMIFS('Daily BSE Equity Cash'!$H:$H,'Daily BSE Equity Cash'!$A:$A,$A1290))</f>
        <v/>
      </c>
      <c r="G1290" s="4">
        <f>IF(OR(E1290="",F1290=""),"",E1290+F1290)</f>
        <v/>
      </c>
      <c r="H1290" s="7">
        <f>IFERROR(IF(OR(E1290="",INDEX(E:E,MATCH(DATE(YEAR($A1290)-1,MONTH($A1290),DAY($A1290)),$A:$A,0))=""),"",E1290/INDEX(E:E,MATCH(DATE(YEAR($A1290)-1,MONTH($A1290),DAY($A1290)),$A:$A,0))-1),"")</f>
        <v/>
      </c>
      <c r="I1290" s="7">
        <f>IFERROR(IF(OR(F1290="",INDEX(F:F,MATCH(DATE(YEAR($A1290)-1,MONTH($A1290),DAY($A1290)),$A:$A,0))=""),"",F1290/INDEX(F:F,MATCH(DATE(YEAR($A1290)-1,MONTH($A1290),DAY($A1290)),$A:$A,0))-1),"")</f>
        <v/>
      </c>
      <c r="J1290" s="7">
        <f>IFERROR(IF(OR(G1290="",INDEX(G:G,MATCH(DATE(YEAR($A1290)-1,MONTH($A1290),DAY($A1290)),$A:$A,0))=""),"",G1290/INDEX(G:G,MATCH(DATE(YEAR($A1290)-1,MONTH($A1290),DAY($A1290)),$A:$A,0))-1),"")</f>
        <v/>
      </c>
      <c r="K1290" s="7">
        <f>IF(OR(E1290="",E1289=""),"",E1290/E1289-1)</f>
        <v/>
      </c>
      <c r="L1290" s="7">
        <f>IF(OR(F1290="",F1289=""),"",F1290/F1289-1)</f>
        <v/>
      </c>
      <c r="M1290" s="7">
        <f>IF(OR(G1290="",G1289=""),"",G1290/G1289-1)</f>
        <v/>
      </c>
      <c r="N1290" s="7">
        <f>IF(G1290="","",E1290/G1290)</f>
        <v/>
      </c>
      <c r="O1290" s="7">
        <f>IF(G1290="","",F1290/G1290)</f>
        <v/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4">
        <f>IF(SUMIFS('Daily NSE Equity Cash'!$H:$H,'Daily NSE Equity Cash'!$A:$A,$A1291)=0,"",SUMIFS('Daily NSE Equity Cash'!$H:$H,'Daily NSE Equity Cash'!$A:$A,$A1291))</f>
        <v/>
      </c>
      <c r="F1291" s="4">
        <f>IF(SUMIFS('Daily BSE Equity Cash'!$H:$H,'Daily BSE Equity Cash'!$A:$A,$A1291)=0,"",SUMIFS('Daily BSE Equity Cash'!$H:$H,'Daily BSE Equity Cash'!$A:$A,$A1291))</f>
        <v/>
      </c>
      <c r="G1291" s="4">
        <f>IF(OR(E1291="",F1291=""),"",E1291+F1291)</f>
        <v/>
      </c>
      <c r="H1291" s="7">
        <f>IFERROR(IF(OR(E1291="",INDEX(E:E,MATCH(DATE(YEAR($A1291)-1,MONTH($A1291),DAY($A1291)),$A:$A,0))=""),"",E1291/INDEX(E:E,MATCH(DATE(YEAR($A1291)-1,MONTH($A1291),DAY($A1291)),$A:$A,0))-1),"")</f>
        <v/>
      </c>
      <c r="I1291" s="7">
        <f>IFERROR(IF(OR(F1291="",INDEX(F:F,MATCH(DATE(YEAR($A1291)-1,MONTH($A1291),DAY($A1291)),$A:$A,0))=""),"",F1291/INDEX(F:F,MATCH(DATE(YEAR($A1291)-1,MONTH($A1291),DAY($A1291)),$A:$A,0))-1),"")</f>
        <v/>
      </c>
      <c r="J1291" s="7">
        <f>IFERROR(IF(OR(G1291="",INDEX(G:G,MATCH(DATE(YEAR($A1291)-1,MONTH($A1291),DAY($A1291)),$A:$A,0))=""),"",G1291/INDEX(G:G,MATCH(DATE(YEAR($A1291)-1,MONTH($A1291),DAY($A1291)),$A:$A,0))-1),"")</f>
        <v/>
      </c>
      <c r="K1291" s="7">
        <f>IF(OR(E1291="",E1290=""),"",E1291/E1290-1)</f>
        <v/>
      </c>
      <c r="L1291" s="7">
        <f>IF(OR(F1291="",F1290=""),"",F1291/F1290-1)</f>
        <v/>
      </c>
      <c r="M1291" s="7">
        <f>IF(OR(G1291="",G1290=""),"",G1291/G1290-1)</f>
        <v/>
      </c>
      <c r="N1291" s="7">
        <f>IF(G1291="","",E1291/G1291)</f>
        <v/>
      </c>
      <c r="O1291" s="7">
        <f>IF(G1291="","",F1291/G1291)</f>
        <v/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4">
        <f>IF(SUMIFS('Daily NSE Equity Cash'!$H:$H,'Daily NSE Equity Cash'!$A:$A,$A1292)=0,"",SUMIFS('Daily NSE Equity Cash'!$H:$H,'Daily NSE Equity Cash'!$A:$A,$A1292))</f>
        <v/>
      </c>
      <c r="F1292" s="4">
        <f>IF(SUMIFS('Daily BSE Equity Cash'!$H:$H,'Daily BSE Equity Cash'!$A:$A,$A1292)=0,"",SUMIFS('Daily BSE Equity Cash'!$H:$H,'Daily BSE Equity Cash'!$A:$A,$A1292))</f>
        <v/>
      </c>
      <c r="G1292" s="4">
        <f>IF(OR(E1292="",F1292=""),"",E1292+F1292)</f>
        <v/>
      </c>
      <c r="H1292" s="7">
        <f>IFERROR(IF(OR(E1292="",INDEX(E:E,MATCH(DATE(YEAR($A1292)-1,MONTH($A1292),DAY($A1292)),$A:$A,0))=""),"",E1292/INDEX(E:E,MATCH(DATE(YEAR($A1292)-1,MONTH($A1292),DAY($A1292)),$A:$A,0))-1),"")</f>
        <v/>
      </c>
      <c r="I1292" s="7">
        <f>IFERROR(IF(OR(F1292="",INDEX(F:F,MATCH(DATE(YEAR($A1292)-1,MONTH($A1292),DAY($A1292)),$A:$A,0))=""),"",F1292/INDEX(F:F,MATCH(DATE(YEAR($A1292)-1,MONTH($A1292),DAY($A1292)),$A:$A,0))-1),"")</f>
        <v/>
      </c>
      <c r="J1292" s="7">
        <f>IFERROR(IF(OR(G1292="",INDEX(G:G,MATCH(DATE(YEAR($A1292)-1,MONTH($A1292),DAY($A1292)),$A:$A,0))=""),"",G1292/INDEX(G:G,MATCH(DATE(YEAR($A1292)-1,MONTH($A1292),DAY($A1292)),$A:$A,0))-1),"")</f>
        <v/>
      </c>
      <c r="K1292" s="7">
        <f>IF(OR(E1292="",E1291=""),"",E1292/E1291-1)</f>
        <v/>
      </c>
      <c r="L1292" s="7">
        <f>IF(OR(F1292="",F1291=""),"",F1292/F1291-1)</f>
        <v/>
      </c>
      <c r="M1292" s="7">
        <f>IF(OR(G1292="",G1291=""),"",G1292/G1291-1)</f>
        <v/>
      </c>
      <c r="N1292" s="7">
        <f>IF(G1292="","",E1292/G1292)</f>
        <v/>
      </c>
      <c r="O1292" s="7">
        <f>IF(G1292="","",F1292/G1292)</f>
        <v/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4">
        <f>IF(SUMIFS('Daily NSE Equity Cash'!$H:$H,'Daily NSE Equity Cash'!$A:$A,$A1293)=0,"",SUMIFS('Daily NSE Equity Cash'!$H:$H,'Daily NSE Equity Cash'!$A:$A,$A1293))</f>
        <v/>
      </c>
      <c r="F1293" s="4">
        <f>IF(SUMIFS('Daily BSE Equity Cash'!$H:$H,'Daily BSE Equity Cash'!$A:$A,$A1293)=0,"",SUMIFS('Daily BSE Equity Cash'!$H:$H,'Daily BSE Equity Cash'!$A:$A,$A1293))</f>
        <v/>
      </c>
      <c r="G1293" s="4">
        <f>IF(OR(E1293="",F1293=""),"",E1293+F1293)</f>
        <v/>
      </c>
      <c r="H1293" s="7">
        <f>IFERROR(IF(OR(E1293="",INDEX(E:E,MATCH(DATE(YEAR($A1293)-1,MONTH($A1293),DAY($A1293)),$A:$A,0))=""),"",E1293/INDEX(E:E,MATCH(DATE(YEAR($A1293)-1,MONTH($A1293),DAY($A1293)),$A:$A,0))-1),"")</f>
        <v/>
      </c>
      <c r="I1293" s="7">
        <f>IFERROR(IF(OR(F1293="",INDEX(F:F,MATCH(DATE(YEAR($A1293)-1,MONTH($A1293),DAY($A1293)),$A:$A,0))=""),"",F1293/INDEX(F:F,MATCH(DATE(YEAR($A1293)-1,MONTH($A1293),DAY($A1293)),$A:$A,0))-1),"")</f>
        <v/>
      </c>
      <c r="J1293" s="7">
        <f>IFERROR(IF(OR(G1293="",INDEX(G:G,MATCH(DATE(YEAR($A1293)-1,MONTH($A1293),DAY($A1293)),$A:$A,0))=""),"",G1293/INDEX(G:G,MATCH(DATE(YEAR($A1293)-1,MONTH($A1293),DAY($A1293)),$A:$A,0))-1),"")</f>
        <v/>
      </c>
      <c r="K1293" s="7">
        <f>IF(OR(E1293="",E1292=""),"",E1293/E1292-1)</f>
        <v/>
      </c>
      <c r="L1293" s="7">
        <f>IF(OR(F1293="",F1292=""),"",F1293/F1292-1)</f>
        <v/>
      </c>
      <c r="M1293" s="7">
        <f>IF(OR(G1293="",G1292=""),"",G1293/G1292-1)</f>
        <v/>
      </c>
      <c r="N1293" s="7">
        <f>IF(G1293="","",E1293/G1293)</f>
        <v/>
      </c>
      <c r="O1293" s="7">
        <f>IF(G1293="","",F1293/G1293)</f>
        <v/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4">
        <f>IF(SUMIFS('Daily NSE Equity Cash'!$H:$H,'Daily NSE Equity Cash'!$A:$A,$A1294)=0,"",SUMIFS('Daily NSE Equity Cash'!$H:$H,'Daily NSE Equity Cash'!$A:$A,$A1294))</f>
        <v/>
      </c>
      <c r="F1294" s="4">
        <f>IF(SUMIFS('Daily BSE Equity Cash'!$H:$H,'Daily BSE Equity Cash'!$A:$A,$A1294)=0,"",SUMIFS('Daily BSE Equity Cash'!$H:$H,'Daily BSE Equity Cash'!$A:$A,$A1294))</f>
        <v/>
      </c>
      <c r="G1294" s="4">
        <f>IF(OR(E1294="",F1294=""),"",E1294+F1294)</f>
        <v/>
      </c>
      <c r="H1294" s="7">
        <f>IFERROR(IF(OR(E1294="",INDEX(E:E,MATCH(DATE(YEAR($A1294)-1,MONTH($A1294),DAY($A1294)),$A:$A,0))=""),"",E1294/INDEX(E:E,MATCH(DATE(YEAR($A1294)-1,MONTH($A1294),DAY($A1294)),$A:$A,0))-1),"")</f>
        <v/>
      </c>
      <c r="I1294" s="7">
        <f>IFERROR(IF(OR(F1294="",INDEX(F:F,MATCH(DATE(YEAR($A1294)-1,MONTH($A1294),DAY($A1294)),$A:$A,0))=""),"",F1294/INDEX(F:F,MATCH(DATE(YEAR($A1294)-1,MONTH($A1294),DAY($A1294)),$A:$A,0))-1),"")</f>
        <v/>
      </c>
      <c r="J1294" s="7">
        <f>IFERROR(IF(OR(G1294="",INDEX(G:G,MATCH(DATE(YEAR($A1294)-1,MONTH($A1294),DAY($A1294)),$A:$A,0))=""),"",G1294/INDEX(G:G,MATCH(DATE(YEAR($A1294)-1,MONTH($A1294),DAY($A1294)),$A:$A,0))-1),"")</f>
        <v/>
      </c>
      <c r="K1294" s="7">
        <f>IF(OR(E1294="",E1293=""),"",E1294/E1293-1)</f>
        <v/>
      </c>
      <c r="L1294" s="7">
        <f>IF(OR(F1294="",F1293=""),"",F1294/F1293-1)</f>
        <v/>
      </c>
      <c r="M1294" s="7">
        <f>IF(OR(G1294="",G1293=""),"",G1294/G1293-1)</f>
        <v/>
      </c>
      <c r="N1294" s="7">
        <f>IF(G1294="","",E1294/G1294)</f>
        <v/>
      </c>
      <c r="O1294" s="7">
        <f>IF(G1294="","",F1294/G1294)</f>
        <v/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4">
        <f>IF(SUMIFS('Daily NSE Equity Cash'!$H:$H,'Daily NSE Equity Cash'!$A:$A,$A1295)=0,"",SUMIFS('Daily NSE Equity Cash'!$H:$H,'Daily NSE Equity Cash'!$A:$A,$A1295))</f>
        <v/>
      </c>
      <c r="F1295" s="4">
        <f>IF(SUMIFS('Daily BSE Equity Cash'!$H:$H,'Daily BSE Equity Cash'!$A:$A,$A1295)=0,"",SUMIFS('Daily BSE Equity Cash'!$H:$H,'Daily BSE Equity Cash'!$A:$A,$A1295))</f>
        <v/>
      </c>
      <c r="G1295" s="4">
        <f>IF(OR(E1295="",F1295=""),"",E1295+F1295)</f>
        <v/>
      </c>
      <c r="H1295" s="7">
        <f>IFERROR(IF(OR(E1295="",INDEX(E:E,MATCH(DATE(YEAR($A1295)-1,MONTH($A1295),DAY($A1295)),$A:$A,0))=""),"",E1295/INDEX(E:E,MATCH(DATE(YEAR($A1295)-1,MONTH($A1295),DAY($A1295)),$A:$A,0))-1),"")</f>
        <v/>
      </c>
      <c r="I1295" s="7">
        <f>IFERROR(IF(OR(F1295="",INDEX(F:F,MATCH(DATE(YEAR($A1295)-1,MONTH($A1295),DAY($A1295)),$A:$A,0))=""),"",F1295/INDEX(F:F,MATCH(DATE(YEAR($A1295)-1,MONTH($A1295),DAY($A1295)),$A:$A,0))-1),"")</f>
        <v/>
      </c>
      <c r="J1295" s="7">
        <f>IFERROR(IF(OR(G1295="",INDEX(G:G,MATCH(DATE(YEAR($A1295)-1,MONTH($A1295),DAY($A1295)),$A:$A,0))=""),"",G1295/INDEX(G:G,MATCH(DATE(YEAR($A1295)-1,MONTH($A1295),DAY($A1295)),$A:$A,0))-1),"")</f>
        <v/>
      </c>
      <c r="K1295" s="7">
        <f>IF(OR(E1295="",E1294=""),"",E1295/E1294-1)</f>
        <v/>
      </c>
      <c r="L1295" s="7">
        <f>IF(OR(F1295="",F1294=""),"",F1295/F1294-1)</f>
        <v/>
      </c>
      <c r="M1295" s="7">
        <f>IF(OR(G1295="",G1294=""),"",G1295/G1294-1)</f>
        <v/>
      </c>
      <c r="N1295" s="7">
        <f>IF(G1295="","",E1295/G1295)</f>
        <v/>
      </c>
      <c r="O1295" s="7">
        <f>IF(G1295="","",F1295/G1295)</f>
        <v/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4">
        <f>IF(SUMIFS('Daily NSE Equity Cash'!$H:$H,'Daily NSE Equity Cash'!$A:$A,$A1296)=0,"",SUMIFS('Daily NSE Equity Cash'!$H:$H,'Daily NSE Equity Cash'!$A:$A,$A1296))</f>
        <v/>
      </c>
      <c r="F1296" s="4">
        <f>IF(SUMIFS('Daily BSE Equity Cash'!$H:$H,'Daily BSE Equity Cash'!$A:$A,$A1296)=0,"",SUMIFS('Daily BSE Equity Cash'!$H:$H,'Daily BSE Equity Cash'!$A:$A,$A1296))</f>
        <v/>
      </c>
      <c r="G1296" s="4">
        <f>IF(OR(E1296="",F1296=""),"",E1296+F1296)</f>
        <v/>
      </c>
      <c r="H1296" s="7">
        <f>IFERROR(IF(OR(E1296="",INDEX(E:E,MATCH(DATE(YEAR($A1296)-1,MONTH($A1296),DAY($A1296)),$A:$A,0))=""),"",E1296/INDEX(E:E,MATCH(DATE(YEAR($A1296)-1,MONTH($A1296),DAY($A1296)),$A:$A,0))-1),"")</f>
        <v/>
      </c>
      <c r="I1296" s="7">
        <f>IFERROR(IF(OR(F1296="",INDEX(F:F,MATCH(DATE(YEAR($A1296)-1,MONTH($A1296),DAY($A1296)),$A:$A,0))=""),"",F1296/INDEX(F:F,MATCH(DATE(YEAR($A1296)-1,MONTH($A1296),DAY($A1296)),$A:$A,0))-1),"")</f>
        <v/>
      </c>
      <c r="J1296" s="7">
        <f>IFERROR(IF(OR(G1296="",INDEX(G:G,MATCH(DATE(YEAR($A1296)-1,MONTH($A1296),DAY($A1296)),$A:$A,0))=""),"",G1296/INDEX(G:G,MATCH(DATE(YEAR($A1296)-1,MONTH($A1296),DAY($A1296)),$A:$A,0))-1),"")</f>
        <v/>
      </c>
      <c r="K1296" s="7">
        <f>IF(OR(E1296="",E1295=""),"",E1296/E1295-1)</f>
        <v/>
      </c>
      <c r="L1296" s="7">
        <f>IF(OR(F1296="",F1295=""),"",F1296/F1295-1)</f>
        <v/>
      </c>
      <c r="M1296" s="7">
        <f>IF(OR(G1296="",G1295=""),"",G1296/G1295-1)</f>
        <v/>
      </c>
      <c r="N1296" s="7">
        <f>IF(G1296="","",E1296/G1296)</f>
        <v/>
      </c>
      <c r="O1296" s="7">
        <f>IF(G1296="","",F1296/G1296)</f>
        <v/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4">
        <f>IF(SUMIFS('Daily NSE Equity Cash'!$H:$H,'Daily NSE Equity Cash'!$A:$A,$A1297)=0,"",SUMIFS('Daily NSE Equity Cash'!$H:$H,'Daily NSE Equity Cash'!$A:$A,$A1297))</f>
        <v/>
      </c>
      <c r="F1297" s="4">
        <f>IF(SUMIFS('Daily BSE Equity Cash'!$H:$H,'Daily BSE Equity Cash'!$A:$A,$A1297)=0,"",SUMIFS('Daily BSE Equity Cash'!$H:$H,'Daily BSE Equity Cash'!$A:$A,$A1297))</f>
        <v/>
      </c>
      <c r="G1297" s="4">
        <f>IF(OR(E1297="",F1297=""),"",E1297+F1297)</f>
        <v/>
      </c>
      <c r="H1297" s="7">
        <f>IFERROR(IF(OR(E1297="",INDEX(E:E,MATCH(DATE(YEAR($A1297)-1,MONTH($A1297),DAY($A1297)),$A:$A,0))=""),"",E1297/INDEX(E:E,MATCH(DATE(YEAR($A1297)-1,MONTH($A1297),DAY($A1297)),$A:$A,0))-1),"")</f>
        <v/>
      </c>
      <c r="I1297" s="7">
        <f>IFERROR(IF(OR(F1297="",INDEX(F:F,MATCH(DATE(YEAR($A1297)-1,MONTH($A1297),DAY($A1297)),$A:$A,0))=""),"",F1297/INDEX(F:F,MATCH(DATE(YEAR($A1297)-1,MONTH($A1297),DAY($A1297)),$A:$A,0))-1),"")</f>
        <v/>
      </c>
      <c r="J1297" s="7">
        <f>IFERROR(IF(OR(G1297="",INDEX(G:G,MATCH(DATE(YEAR($A1297)-1,MONTH($A1297),DAY($A1297)),$A:$A,0))=""),"",G1297/INDEX(G:G,MATCH(DATE(YEAR($A1297)-1,MONTH($A1297),DAY($A1297)),$A:$A,0))-1),"")</f>
        <v/>
      </c>
      <c r="K1297" s="7">
        <f>IF(OR(E1297="",E1296=""),"",E1297/E1296-1)</f>
        <v/>
      </c>
      <c r="L1297" s="7">
        <f>IF(OR(F1297="",F1296=""),"",F1297/F1296-1)</f>
        <v/>
      </c>
      <c r="M1297" s="7">
        <f>IF(OR(G1297="",G1296=""),"",G1297/G1296-1)</f>
        <v/>
      </c>
      <c r="N1297" s="7">
        <f>IF(G1297="","",E1297/G1297)</f>
        <v/>
      </c>
      <c r="O1297" s="7">
        <f>IF(G1297="","",F1297/G1297)</f>
        <v/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4">
        <f>IF(SUMIFS('Daily NSE Equity Cash'!$H:$H,'Daily NSE Equity Cash'!$A:$A,$A1298)=0,"",SUMIFS('Daily NSE Equity Cash'!$H:$H,'Daily NSE Equity Cash'!$A:$A,$A1298))</f>
        <v/>
      </c>
      <c r="F1298" s="4">
        <f>IF(SUMIFS('Daily BSE Equity Cash'!$H:$H,'Daily BSE Equity Cash'!$A:$A,$A1298)=0,"",SUMIFS('Daily BSE Equity Cash'!$H:$H,'Daily BSE Equity Cash'!$A:$A,$A1298))</f>
        <v/>
      </c>
      <c r="G1298" s="4">
        <f>IF(OR(E1298="",F1298=""),"",E1298+F1298)</f>
        <v/>
      </c>
      <c r="H1298" s="7">
        <f>IFERROR(IF(OR(E1298="",INDEX(E:E,MATCH(DATE(YEAR($A1298)-1,MONTH($A1298),DAY($A1298)),$A:$A,0))=""),"",E1298/INDEX(E:E,MATCH(DATE(YEAR($A1298)-1,MONTH($A1298),DAY($A1298)),$A:$A,0))-1),"")</f>
        <v/>
      </c>
      <c r="I1298" s="7">
        <f>IFERROR(IF(OR(F1298="",INDEX(F:F,MATCH(DATE(YEAR($A1298)-1,MONTH($A1298),DAY($A1298)),$A:$A,0))=""),"",F1298/INDEX(F:F,MATCH(DATE(YEAR($A1298)-1,MONTH($A1298),DAY($A1298)),$A:$A,0))-1),"")</f>
        <v/>
      </c>
      <c r="J1298" s="7">
        <f>IFERROR(IF(OR(G1298="",INDEX(G:G,MATCH(DATE(YEAR($A1298)-1,MONTH($A1298),DAY($A1298)),$A:$A,0))=""),"",G1298/INDEX(G:G,MATCH(DATE(YEAR($A1298)-1,MONTH($A1298),DAY($A1298)),$A:$A,0))-1),"")</f>
        <v/>
      </c>
      <c r="K1298" s="7">
        <f>IF(OR(E1298="",E1297=""),"",E1298/E1297-1)</f>
        <v/>
      </c>
      <c r="L1298" s="7">
        <f>IF(OR(F1298="",F1297=""),"",F1298/F1297-1)</f>
        <v/>
      </c>
      <c r="M1298" s="7">
        <f>IF(OR(G1298="",G1297=""),"",G1298/G1297-1)</f>
        <v/>
      </c>
      <c r="N1298" s="7">
        <f>IF(G1298="","",E1298/G1298)</f>
        <v/>
      </c>
      <c r="O1298" s="7">
        <f>IF(G1298="","",F1298/G1298)</f>
        <v/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4">
        <f>IF(SUMIFS('Daily NSE Equity Cash'!$H:$H,'Daily NSE Equity Cash'!$A:$A,$A1299)=0,"",SUMIFS('Daily NSE Equity Cash'!$H:$H,'Daily NSE Equity Cash'!$A:$A,$A1299))</f>
        <v/>
      </c>
      <c r="F1299" s="4">
        <f>IF(SUMIFS('Daily BSE Equity Cash'!$H:$H,'Daily BSE Equity Cash'!$A:$A,$A1299)=0,"",SUMIFS('Daily BSE Equity Cash'!$H:$H,'Daily BSE Equity Cash'!$A:$A,$A1299))</f>
        <v/>
      </c>
      <c r="G1299" s="4">
        <f>IF(OR(E1299="",F1299=""),"",E1299+F1299)</f>
        <v/>
      </c>
      <c r="H1299" s="7">
        <f>IFERROR(IF(OR(E1299="",INDEX(E:E,MATCH(DATE(YEAR($A1299)-1,MONTH($A1299),DAY($A1299)),$A:$A,0))=""),"",E1299/INDEX(E:E,MATCH(DATE(YEAR($A1299)-1,MONTH($A1299),DAY($A1299)),$A:$A,0))-1),"")</f>
        <v/>
      </c>
      <c r="I1299" s="7">
        <f>IFERROR(IF(OR(F1299="",INDEX(F:F,MATCH(DATE(YEAR($A1299)-1,MONTH($A1299),DAY($A1299)),$A:$A,0))=""),"",F1299/INDEX(F:F,MATCH(DATE(YEAR($A1299)-1,MONTH($A1299),DAY($A1299)),$A:$A,0))-1),"")</f>
        <v/>
      </c>
      <c r="J1299" s="7">
        <f>IFERROR(IF(OR(G1299="",INDEX(G:G,MATCH(DATE(YEAR($A1299)-1,MONTH($A1299),DAY($A1299)),$A:$A,0))=""),"",G1299/INDEX(G:G,MATCH(DATE(YEAR($A1299)-1,MONTH($A1299),DAY($A1299)),$A:$A,0))-1),"")</f>
        <v/>
      </c>
      <c r="K1299" s="7">
        <f>IF(OR(E1299="",E1298=""),"",E1299/E1298-1)</f>
        <v/>
      </c>
      <c r="L1299" s="7">
        <f>IF(OR(F1299="",F1298=""),"",F1299/F1298-1)</f>
        <v/>
      </c>
      <c r="M1299" s="7">
        <f>IF(OR(G1299="",G1298=""),"",G1299/G1298-1)</f>
        <v/>
      </c>
      <c r="N1299" s="7">
        <f>IF(G1299="","",E1299/G1299)</f>
        <v/>
      </c>
      <c r="O1299" s="7">
        <f>IF(G1299="","",F1299/G1299)</f>
        <v/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4">
        <f>IF(SUMIFS('Daily NSE Equity Cash'!$H:$H,'Daily NSE Equity Cash'!$A:$A,$A1300)=0,"",SUMIFS('Daily NSE Equity Cash'!$H:$H,'Daily NSE Equity Cash'!$A:$A,$A1300))</f>
        <v/>
      </c>
      <c r="F1300" s="4">
        <f>IF(SUMIFS('Daily BSE Equity Cash'!$H:$H,'Daily BSE Equity Cash'!$A:$A,$A1300)=0,"",SUMIFS('Daily BSE Equity Cash'!$H:$H,'Daily BSE Equity Cash'!$A:$A,$A1300))</f>
        <v/>
      </c>
      <c r="G1300" s="4">
        <f>IF(OR(E1300="",F1300=""),"",E1300+F1300)</f>
        <v/>
      </c>
      <c r="H1300" s="7">
        <f>IFERROR(IF(OR(E1300="",INDEX(E:E,MATCH(DATE(YEAR($A1300)-1,MONTH($A1300),DAY($A1300)),$A:$A,0))=""),"",E1300/INDEX(E:E,MATCH(DATE(YEAR($A1300)-1,MONTH($A1300),DAY($A1300)),$A:$A,0))-1),"")</f>
        <v/>
      </c>
      <c r="I1300" s="7">
        <f>IFERROR(IF(OR(F1300="",INDEX(F:F,MATCH(DATE(YEAR($A1300)-1,MONTH($A1300),DAY($A1300)),$A:$A,0))=""),"",F1300/INDEX(F:F,MATCH(DATE(YEAR($A1300)-1,MONTH($A1300),DAY($A1300)),$A:$A,0))-1),"")</f>
        <v/>
      </c>
      <c r="J1300" s="7">
        <f>IFERROR(IF(OR(G1300="",INDEX(G:G,MATCH(DATE(YEAR($A1300)-1,MONTH($A1300),DAY($A1300)),$A:$A,0))=""),"",G1300/INDEX(G:G,MATCH(DATE(YEAR($A1300)-1,MONTH($A1300),DAY($A1300)),$A:$A,0))-1),"")</f>
        <v/>
      </c>
      <c r="K1300" s="7">
        <f>IF(OR(E1300="",E1299=""),"",E1300/E1299-1)</f>
        <v/>
      </c>
      <c r="L1300" s="7">
        <f>IF(OR(F1300="",F1299=""),"",F1300/F1299-1)</f>
        <v/>
      </c>
      <c r="M1300" s="7">
        <f>IF(OR(G1300="",G1299=""),"",G1300/G1299-1)</f>
        <v/>
      </c>
      <c r="N1300" s="7">
        <f>IF(G1300="","",E1300/G1300)</f>
        <v/>
      </c>
      <c r="O1300" s="7">
        <f>IF(G1300="","",F1300/G1300)</f>
        <v/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4">
        <f>IF(SUMIFS('Daily NSE Equity Cash'!$H:$H,'Daily NSE Equity Cash'!$A:$A,$A1301)=0,"",SUMIFS('Daily NSE Equity Cash'!$H:$H,'Daily NSE Equity Cash'!$A:$A,$A1301))</f>
        <v/>
      </c>
      <c r="F1301" s="4">
        <f>IF(SUMIFS('Daily BSE Equity Cash'!$H:$H,'Daily BSE Equity Cash'!$A:$A,$A1301)=0,"",SUMIFS('Daily BSE Equity Cash'!$H:$H,'Daily BSE Equity Cash'!$A:$A,$A1301))</f>
        <v/>
      </c>
      <c r="G1301" s="4">
        <f>IF(OR(E1301="",F1301=""),"",E1301+F1301)</f>
        <v/>
      </c>
      <c r="H1301" s="7">
        <f>IFERROR(IF(OR(E1301="",INDEX(E:E,MATCH(DATE(YEAR($A1301)-1,MONTH($A1301),DAY($A1301)),$A:$A,0))=""),"",E1301/INDEX(E:E,MATCH(DATE(YEAR($A1301)-1,MONTH($A1301),DAY($A1301)),$A:$A,0))-1),"")</f>
        <v/>
      </c>
      <c r="I1301" s="7">
        <f>IFERROR(IF(OR(F1301="",INDEX(F:F,MATCH(DATE(YEAR($A1301)-1,MONTH($A1301),DAY($A1301)),$A:$A,0))=""),"",F1301/INDEX(F:F,MATCH(DATE(YEAR($A1301)-1,MONTH($A1301),DAY($A1301)),$A:$A,0))-1),"")</f>
        <v/>
      </c>
      <c r="J1301" s="7">
        <f>IFERROR(IF(OR(G1301="",INDEX(G:G,MATCH(DATE(YEAR($A1301)-1,MONTH($A1301),DAY($A1301)),$A:$A,0))=""),"",G1301/INDEX(G:G,MATCH(DATE(YEAR($A1301)-1,MONTH($A1301),DAY($A1301)),$A:$A,0))-1),"")</f>
        <v/>
      </c>
      <c r="K1301" s="7">
        <f>IF(OR(E1301="",E1300=""),"",E1301/E1300-1)</f>
        <v/>
      </c>
      <c r="L1301" s="7">
        <f>IF(OR(F1301="",F1300=""),"",F1301/F1300-1)</f>
        <v/>
      </c>
      <c r="M1301" s="7">
        <f>IF(OR(G1301="",G1300=""),"",G1301/G1300-1)</f>
        <v/>
      </c>
      <c r="N1301" s="7">
        <f>IF(G1301="","",E1301/G1301)</f>
        <v/>
      </c>
      <c r="O1301" s="7">
        <f>IF(G1301="","",F1301/G1301)</f>
        <v/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4">
        <f>IF(SUMIFS('Daily NSE Equity Cash'!$H:$H,'Daily NSE Equity Cash'!$A:$A,$A1302)=0,"",SUMIFS('Daily NSE Equity Cash'!$H:$H,'Daily NSE Equity Cash'!$A:$A,$A1302))</f>
        <v/>
      </c>
      <c r="F1302" s="4">
        <f>IF(SUMIFS('Daily BSE Equity Cash'!$H:$H,'Daily BSE Equity Cash'!$A:$A,$A1302)=0,"",SUMIFS('Daily BSE Equity Cash'!$H:$H,'Daily BSE Equity Cash'!$A:$A,$A1302))</f>
        <v/>
      </c>
      <c r="G1302" s="4">
        <f>IF(OR(E1302="",F1302=""),"",E1302+F1302)</f>
        <v/>
      </c>
      <c r="H1302" s="7">
        <f>IFERROR(IF(OR(E1302="",INDEX(E:E,MATCH(DATE(YEAR($A1302)-1,MONTH($A1302),DAY($A1302)),$A:$A,0))=""),"",E1302/INDEX(E:E,MATCH(DATE(YEAR($A1302)-1,MONTH($A1302),DAY($A1302)),$A:$A,0))-1),"")</f>
        <v/>
      </c>
      <c r="I1302" s="7">
        <f>IFERROR(IF(OR(F1302="",INDEX(F:F,MATCH(DATE(YEAR($A1302)-1,MONTH($A1302),DAY($A1302)),$A:$A,0))=""),"",F1302/INDEX(F:F,MATCH(DATE(YEAR($A1302)-1,MONTH($A1302),DAY($A1302)),$A:$A,0))-1),"")</f>
        <v/>
      </c>
      <c r="J1302" s="7">
        <f>IFERROR(IF(OR(G1302="",INDEX(G:G,MATCH(DATE(YEAR($A1302)-1,MONTH($A1302),DAY($A1302)),$A:$A,0))=""),"",G1302/INDEX(G:G,MATCH(DATE(YEAR($A1302)-1,MONTH($A1302),DAY($A1302)),$A:$A,0))-1),"")</f>
        <v/>
      </c>
      <c r="K1302" s="7">
        <f>IF(OR(E1302="",E1301=""),"",E1302/E1301-1)</f>
        <v/>
      </c>
      <c r="L1302" s="7">
        <f>IF(OR(F1302="",F1301=""),"",F1302/F1301-1)</f>
        <v/>
      </c>
      <c r="M1302" s="7">
        <f>IF(OR(G1302="",G1301=""),"",G1302/G1301-1)</f>
        <v/>
      </c>
      <c r="N1302" s="7">
        <f>IF(G1302="","",E1302/G1302)</f>
        <v/>
      </c>
      <c r="O1302" s="7">
        <f>IF(G1302="","",F1302/G1302)</f>
        <v/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4">
        <f>IF(SUMIFS('Daily NSE Equity Cash'!$H:$H,'Daily NSE Equity Cash'!$A:$A,$A1303)=0,"",SUMIFS('Daily NSE Equity Cash'!$H:$H,'Daily NSE Equity Cash'!$A:$A,$A1303))</f>
        <v/>
      </c>
      <c r="F1303" s="4">
        <f>IF(SUMIFS('Daily BSE Equity Cash'!$H:$H,'Daily BSE Equity Cash'!$A:$A,$A1303)=0,"",SUMIFS('Daily BSE Equity Cash'!$H:$H,'Daily BSE Equity Cash'!$A:$A,$A1303))</f>
        <v/>
      </c>
      <c r="G1303" s="4">
        <f>IF(OR(E1303="",F1303=""),"",E1303+F1303)</f>
        <v/>
      </c>
      <c r="H1303" s="7">
        <f>IFERROR(IF(OR(E1303="",INDEX(E:E,MATCH(DATE(YEAR($A1303)-1,MONTH($A1303),DAY($A1303)),$A:$A,0))=""),"",E1303/INDEX(E:E,MATCH(DATE(YEAR($A1303)-1,MONTH($A1303),DAY($A1303)),$A:$A,0))-1),"")</f>
        <v/>
      </c>
      <c r="I1303" s="7">
        <f>IFERROR(IF(OR(F1303="",INDEX(F:F,MATCH(DATE(YEAR($A1303)-1,MONTH($A1303),DAY($A1303)),$A:$A,0))=""),"",F1303/INDEX(F:F,MATCH(DATE(YEAR($A1303)-1,MONTH($A1303),DAY($A1303)),$A:$A,0))-1),"")</f>
        <v/>
      </c>
      <c r="J1303" s="7">
        <f>IFERROR(IF(OR(G1303="",INDEX(G:G,MATCH(DATE(YEAR($A1303)-1,MONTH($A1303),DAY($A1303)),$A:$A,0))=""),"",G1303/INDEX(G:G,MATCH(DATE(YEAR($A1303)-1,MONTH($A1303),DAY($A1303)),$A:$A,0))-1),"")</f>
        <v/>
      </c>
      <c r="K1303" s="7">
        <f>IF(OR(E1303="",E1302=""),"",E1303/E1302-1)</f>
        <v/>
      </c>
      <c r="L1303" s="7">
        <f>IF(OR(F1303="",F1302=""),"",F1303/F1302-1)</f>
        <v/>
      </c>
      <c r="M1303" s="7">
        <f>IF(OR(G1303="",G1302=""),"",G1303/G1302-1)</f>
        <v/>
      </c>
      <c r="N1303" s="7">
        <f>IF(G1303="","",E1303/G1303)</f>
        <v/>
      </c>
      <c r="O1303" s="7">
        <f>IF(G1303="","",F1303/G1303)</f>
        <v/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4">
        <f>IF(SUMIFS('Daily NSE Equity Cash'!$H:$H,'Daily NSE Equity Cash'!$A:$A,$A1304)=0,"",SUMIFS('Daily NSE Equity Cash'!$H:$H,'Daily NSE Equity Cash'!$A:$A,$A1304))</f>
        <v/>
      </c>
      <c r="F1304" s="4">
        <f>IF(SUMIFS('Daily BSE Equity Cash'!$H:$H,'Daily BSE Equity Cash'!$A:$A,$A1304)=0,"",SUMIFS('Daily BSE Equity Cash'!$H:$H,'Daily BSE Equity Cash'!$A:$A,$A1304))</f>
        <v/>
      </c>
      <c r="G1304" s="4">
        <f>IF(OR(E1304="",F1304=""),"",E1304+F1304)</f>
        <v/>
      </c>
      <c r="H1304" s="7">
        <f>IFERROR(IF(OR(E1304="",INDEX(E:E,MATCH(DATE(YEAR($A1304)-1,MONTH($A1304),DAY($A1304)),$A:$A,0))=""),"",E1304/INDEX(E:E,MATCH(DATE(YEAR($A1304)-1,MONTH($A1304),DAY($A1304)),$A:$A,0))-1),"")</f>
        <v/>
      </c>
      <c r="I1304" s="7">
        <f>IFERROR(IF(OR(F1304="",INDEX(F:F,MATCH(DATE(YEAR($A1304)-1,MONTH($A1304),DAY($A1304)),$A:$A,0))=""),"",F1304/INDEX(F:F,MATCH(DATE(YEAR($A1304)-1,MONTH($A1304),DAY($A1304)),$A:$A,0))-1),"")</f>
        <v/>
      </c>
      <c r="J1304" s="7">
        <f>IFERROR(IF(OR(G1304="",INDEX(G:G,MATCH(DATE(YEAR($A1304)-1,MONTH($A1304),DAY($A1304)),$A:$A,0))=""),"",G1304/INDEX(G:G,MATCH(DATE(YEAR($A1304)-1,MONTH($A1304),DAY($A1304)),$A:$A,0))-1),"")</f>
        <v/>
      </c>
      <c r="K1304" s="7">
        <f>IF(OR(E1304="",E1303=""),"",E1304/E1303-1)</f>
        <v/>
      </c>
      <c r="L1304" s="7">
        <f>IF(OR(F1304="",F1303=""),"",F1304/F1303-1)</f>
        <v/>
      </c>
      <c r="M1304" s="7">
        <f>IF(OR(G1304="",G1303=""),"",G1304/G1303-1)</f>
        <v/>
      </c>
      <c r="N1304" s="7">
        <f>IF(G1304="","",E1304/G1304)</f>
        <v/>
      </c>
      <c r="O1304" s="7">
        <f>IF(G1304="","",F1304/G1304)</f>
        <v/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4">
        <f>IF(SUMIFS('Daily NSE Equity Cash'!$H:$H,'Daily NSE Equity Cash'!$A:$A,$A1305)=0,"",SUMIFS('Daily NSE Equity Cash'!$H:$H,'Daily NSE Equity Cash'!$A:$A,$A1305))</f>
        <v/>
      </c>
      <c r="F1305" s="4">
        <f>IF(SUMIFS('Daily BSE Equity Cash'!$H:$H,'Daily BSE Equity Cash'!$A:$A,$A1305)=0,"",SUMIFS('Daily BSE Equity Cash'!$H:$H,'Daily BSE Equity Cash'!$A:$A,$A1305))</f>
        <v/>
      </c>
      <c r="G1305" s="4">
        <f>IF(OR(E1305="",F1305=""),"",E1305+F1305)</f>
        <v/>
      </c>
      <c r="H1305" s="7">
        <f>IFERROR(IF(OR(E1305="",INDEX(E:E,MATCH(DATE(YEAR($A1305)-1,MONTH($A1305),DAY($A1305)),$A:$A,0))=""),"",E1305/INDEX(E:E,MATCH(DATE(YEAR($A1305)-1,MONTH($A1305),DAY($A1305)),$A:$A,0))-1),"")</f>
        <v/>
      </c>
      <c r="I1305" s="7">
        <f>IFERROR(IF(OR(F1305="",INDEX(F:F,MATCH(DATE(YEAR($A1305)-1,MONTH($A1305),DAY($A1305)),$A:$A,0))=""),"",F1305/INDEX(F:F,MATCH(DATE(YEAR($A1305)-1,MONTH($A1305),DAY($A1305)),$A:$A,0))-1),"")</f>
        <v/>
      </c>
      <c r="J1305" s="7">
        <f>IFERROR(IF(OR(G1305="",INDEX(G:G,MATCH(DATE(YEAR($A1305)-1,MONTH($A1305),DAY($A1305)),$A:$A,0))=""),"",G1305/INDEX(G:G,MATCH(DATE(YEAR($A1305)-1,MONTH($A1305),DAY($A1305)),$A:$A,0))-1),"")</f>
        <v/>
      </c>
      <c r="K1305" s="7">
        <f>IF(OR(E1305="",E1304=""),"",E1305/E1304-1)</f>
        <v/>
      </c>
      <c r="L1305" s="7">
        <f>IF(OR(F1305="",F1304=""),"",F1305/F1304-1)</f>
        <v/>
      </c>
      <c r="M1305" s="7">
        <f>IF(OR(G1305="",G1304=""),"",G1305/G1304-1)</f>
        <v/>
      </c>
      <c r="N1305" s="7">
        <f>IF(G1305="","",E1305/G1305)</f>
        <v/>
      </c>
      <c r="O1305" s="7">
        <f>IF(G1305="","",F1305/G1305)</f>
        <v/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4">
        <f>IF(SUMIFS('Daily NSE Equity Cash'!$H:$H,'Daily NSE Equity Cash'!$A:$A,$A1306)=0,"",SUMIFS('Daily NSE Equity Cash'!$H:$H,'Daily NSE Equity Cash'!$A:$A,$A1306))</f>
        <v/>
      </c>
      <c r="F1306" s="4">
        <f>IF(SUMIFS('Daily BSE Equity Cash'!$H:$H,'Daily BSE Equity Cash'!$A:$A,$A1306)=0,"",SUMIFS('Daily BSE Equity Cash'!$H:$H,'Daily BSE Equity Cash'!$A:$A,$A1306))</f>
        <v/>
      </c>
      <c r="G1306" s="4">
        <f>IF(OR(E1306="",F1306=""),"",E1306+F1306)</f>
        <v/>
      </c>
      <c r="H1306" s="7">
        <f>IFERROR(IF(OR(E1306="",INDEX(E:E,MATCH(DATE(YEAR($A1306)-1,MONTH($A1306),DAY($A1306)),$A:$A,0))=""),"",E1306/INDEX(E:E,MATCH(DATE(YEAR($A1306)-1,MONTH($A1306),DAY($A1306)),$A:$A,0))-1),"")</f>
        <v/>
      </c>
      <c r="I1306" s="7">
        <f>IFERROR(IF(OR(F1306="",INDEX(F:F,MATCH(DATE(YEAR($A1306)-1,MONTH($A1306),DAY($A1306)),$A:$A,0))=""),"",F1306/INDEX(F:F,MATCH(DATE(YEAR($A1306)-1,MONTH($A1306),DAY($A1306)),$A:$A,0))-1),"")</f>
        <v/>
      </c>
      <c r="J1306" s="7">
        <f>IFERROR(IF(OR(G1306="",INDEX(G:G,MATCH(DATE(YEAR($A1306)-1,MONTH($A1306),DAY($A1306)),$A:$A,0))=""),"",G1306/INDEX(G:G,MATCH(DATE(YEAR($A1306)-1,MONTH($A1306),DAY($A1306)),$A:$A,0))-1),"")</f>
        <v/>
      </c>
      <c r="K1306" s="7">
        <f>IF(OR(E1306="",E1305=""),"",E1306/E1305-1)</f>
        <v/>
      </c>
      <c r="L1306" s="7">
        <f>IF(OR(F1306="",F1305=""),"",F1306/F1305-1)</f>
        <v/>
      </c>
      <c r="M1306" s="7">
        <f>IF(OR(G1306="",G1305=""),"",G1306/G1305-1)</f>
        <v/>
      </c>
      <c r="N1306" s="7">
        <f>IF(G1306="","",E1306/G1306)</f>
        <v/>
      </c>
      <c r="O1306" s="7">
        <f>IF(G1306="","",F1306/G1306)</f>
        <v/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4">
        <f>IF(SUMIFS('Daily NSE Equity Cash'!$H:$H,'Daily NSE Equity Cash'!$A:$A,$A1307)=0,"",SUMIFS('Daily NSE Equity Cash'!$H:$H,'Daily NSE Equity Cash'!$A:$A,$A1307))</f>
        <v/>
      </c>
      <c r="F1307" s="4">
        <f>IF(SUMIFS('Daily BSE Equity Cash'!$H:$H,'Daily BSE Equity Cash'!$A:$A,$A1307)=0,"",SUMIFS('Daily BSE Equity Cash'!$H:$H,'Daily BSE Equity Cash'!$A:$A,$A1307))</f>
        <v/>
      </c>
      <c r="G1307" s="4">
        <f>IF(OR(E1307="",F1307=""),"",E1307+F1307)</f>
        <v/>
      </c>
      <c r="H1307" s="7">
        <f>IFERROR(IF(OR(E1307="",INDEX(E:E,MATCH(DATE(YEAR($A1307)-1,MONTH($A1307),DAY($A1307)),$A:$A,0))=""),"",E1307/INDEX(E:E,MATCH(DATE(YEAR($A1307)-1,MONTH($A1307),DAY($A1307)),$A:$A,0))-1),"")</f>
        <v/>
      </c>
      <c r="I1307" s="7">
        <f>IFERROR(IF(OR(F1307="",INDEX(F:F,MATCH(DATE(YEAR($A1307)-1,MONTH($A1307),DAY($A1307)),$A:$A,0))=""),"",F1307/INDEX(F:F,MATCH(DATE(YEAR($A1307)-1,MONTH($A1307),DAY($A1307)),$A:$A,0))-1),"")</f>
        <v/>
      </c>
      <c r="J1307" s="7">
        <f>IFERROR(IF(OR(G1307="",INDEX(G:G,MATCH(DATE(YEAR($A1307)-1,MONTH($A1307),DAY($A1307)),$A:$A,0))=""),"",G1307/INDEX(G:G,MATCH(DATE(YEAR($A1307)-1,MONTH($A1307),DAY($A1307)),$A:$A,0))-1),"")</f>
        <v/>
      </c>
      <c r="K1307" s="7">
        <f>IF(OR(E1307="",E1306=""),"",E1307/E1306-1)</f>
        <v/>
      </c>
      <c r="L1307" s="7">
        <f>IF(OR(F1307="",F1306=""),"",F1307/F1306-1)</f>
        <v/>
      </c>
      <c r="M1307" s="7">
        <f>IF(OR(G1307="",G1306=""),"",G1307/G1306-1)</f>
        <v/>
      </c>
      <c r="N1307" s="7">
        <f>IF(G1307="","",E1307/G1307)</f>
        <v/>
      </c>
      <c r="O1307" s="7">
        <f>IF(G1307="","",F1307/G1307)</f>
        <v/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4">
        <f>IF(SUMIFS('Daily NSE Equity Cash'!$H:$H,'Daily NSE Equity Cash'!$A:$A,$A1308)=0,"",SUMIFS('Daily NSE Equity Cash'!$H:$H,'Daily NSE Equity Cash'!$A:$A,$A1308))</f>
        <v/>
      </c>
      <c r="F1308" s="4">
        <f>IF(SUMIFS('Daily BSE Equity Cash'!$H:$H,'Daily BSE Equity Cash'!$A:$A,$A1308)=0,"",SUMIFS('Daily BSE Equity Cash'!$H:$H,'Daily BSE Equity Cash'!$A:$A,$A1308))</f>
        <v/>
      </c>
      <c r="G1308" s="4">
        <f>IF(OR(E1308="",F1308=""),"",E1308+F1308)</f>
        <v/>
      </c>
      <c r="H1308" s="7">
        <f>IFERROR(IF(OR(E1308="",INDEX(E:E,MATCH(DATE(YEAR($A1308)-1,MONTH($A1308),DAY($A1308)),$A:$A,0))=""),"",E1308/INDEX(E:E,MATCH(DATE(YEAR($A1308)-1,MONTH($A1308),DAY($A1308)),$A:$A,0))-1),"")</f>
        <v/>
      </c>
      <c r="I1308" s="7">
        <f>IFERROR(IF(OR(F1308="",INDEX(F:F,MATCH(DATE(YEAR($A1308)-1,MONTH($A1308),DAY($A1308)),$A:$A,0))=""),"",F1308/INDEX(F:F,MATCH(DATE(YEAR($A1308)-1,MONTH($A1308),DAY($A1308)),$A:$A,0))-1),"")</f>
        <v/>
      </c>
      <c r="J1308" s="7">
        <f>IFERROR(IF(OR(G1308="",INDEX(G:G,MATCH(DATE(YEAR($A1308)-1,MONTH($A1308),DAY($A1308)),$A:$A,0))=""),"",G1308/INDEX(G:G,MATCH(DATE(YEAR($A1308)-1,MONTH($A1308),DAY($A1308)),$A:$A,0))-1),"")</f>
        <v/>
      </c>
      <c r="K1308" s="7">
        <f>IF(OR(E1308="",E1307=""),"",E1308/E1307-1)</f>
        <v/>
      </c>
      <c r="L1308" s="7">
        <f>IF(OR(F1308="",F1307=""),"",F1308/F1307-1)</f>
        <v/>
      </c>
      <c r="M1308" s="7">
        <f>IF(OR(G1308="",G1307=""),"",G1308/G1307-1)</f>
        <v/>
      </c>
      <c r="N1308" s="7">
        <f>IF(G1308="","",E1308/G1308)</f>
        <v/>
      </c>
      <c r="O1308" s="7">
        <f>IF(G1308="","",F1308/G1308)</f>
        <v/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4">
        <f>IF(SUMIFS('Daily NSE Equity Cash'!$H:$H,'Daily NSE Equity Cash'!$A:$A,$A1309)=0,"",SUMIFS('Daily NSE Equity Cash'!$H:$H,'Daily NSE Equity Cash'!$A:$A,$A1309))</f>
        <v/>
      </c>
      <c r="F1309" s="4">
        <f>IF(SUMIFS('Daily BSE Equity Cash'!$H:$H,'Daily BSE Equity Cash'!$A:$A,$A1309)=0,"",SUMIFS('Daily BSE Equity Cash'!$H:$H,'Daily BSE Equity Cash'!$A:$A,$A1309))</f>
        <v/>
      </c>
      <c r="G1309" s="4">
        <f>IF(OR(E1309="",F1309=""),"",E1309+F1309)</f>
        <v/>
      </c>
      <c r="H1309" s="7">
        <f>IFERROR(IF(OR(E1309="",INDEX(E:E,MATCH(DATE(YEAR($A1309)-1,MONTH($A1309),DAY($A1309)),$A:$A,0))=""),"",E1309/INDEX(E:E,MATCH(DATE(YEAR($A1309)-1,MONTH($A1309),DAY($A1309)),$A:$A,0))-1),"")</f>
        <v/>
      </c>
      <c r="I1309" s="7">
        <f>IFERROR(IF(OR(F1309="",INDEX(F:F,MATCH(DATE(YEAR($A1309)-1,MONTH($A1309),DAY($A1309)),$A:$A,0))=""),"",F1309/INDEX(F:F,MATCH(DATE(YEAR($A1309)-1,MONTH($A1309),DAY($A1309)),$A:$A,0))-1),"")</f>
        <v/>
      </c>
      <c r="J1309" s="7">
        <f>IFERROR(IF(OR(G1309="",INDEX(G:G,MATCH(DATE(YEAR($A1309)-1,MONTH($A1309),DAY($A1309)),$A:$A,0))=""),"",G1309/INDEX(G:G,MATCH(DATE(YEAR($A1309)-1,MONTH($A1309),DAY($A1309)),$A:$A,0))-1),"")</f>
        <v/>
      </c>
      <c r="K1309" s="7">
        <f>IF(OR(E1309="",E1308=""),"",E1309/E1308-1)</f>
        <v/>
      </c>
      <c r="L1309" s="7">
        <f>IF(OR(F1309="",F1308=""),"",F1309/F1308-1)</f>
        <v/>
      </c>
      <c r="M1309" s="7">
        <f>IF(OR(G1309="",G1308=""),"",G1309/G1308-1)</f>
        <v/>
      </c>
      <c r="N1309" s="7">
        <f>IF(G1309="","",E1309/G1309)</f>
        <v/>
      </c>
      <c r="O1309" s="7">
        <f>IF(G1309="","",F1309/G1309)</f>
        <v/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4">
        <f>IF(SUMIFS('Daily NSE Equity Cash'!$H:$H,'Daily NSE Equity Cash'!$A:$A,$A1310)=0,"",SUMIFS('Daily NSE Equity Cash'!$H:$H,'Daily NSE Equity Cash'!$A:$A,$A1310))</f>
        <v/>
      </c>
      <c r="F1310" s="4">
        <f>IF(SUMIFS('Daily BSE Equity Cash'!$H:$H,'Daily BSE Equity Cash'!$A:$A,$A1310)=0,"",SUMIFS('Daily BSE Equity Cash'!$H:$H,'Daily BSE Equity Cash'!$A:$A,$A1310))</f>
        <v/>
      </c>
      <c r="G1310" s="4">
        <f>IF(OR(E1310="",F1310=""),"",E1310+F1310)</f>
        <v/>
      </c>
      <c r="H1310" s="7">
        <f>IFERROR(IF(OR(E1310="",INDEX(E:E,MATCH(DATE(YEAR($A1310)-1,MONTH($A1310),DAY($A1310)),$A:$A,0))=""),"",E1310/INDEX(E:E,MATCH(DATE(YEAR($A1310)-1,MONTH($A1310),DAY($A1310)),$A:$A,0))-1),"")</f>
        <v/>
      </c>
      <c r="I1310" s="7">
        <f>IFERROR(IF(OR(F1310="",INDEX(F:F,MATCH(DATE(YEAR($A1310)-1,MONTH($A1310),DAY($A1310)),$A:$A,0))=""),"",F1310/INDEX(F:F,MATCH(DATE(YEAR($A1310)-1,MONTH($A1310),DAY($A1310)),$A:$A,0))-1),"")</f>
        <v/>
      </c>
      <c r="J1310" s="7">
        <f>IFERROR(IF(OR(G1310="",INDEX(G:G,MATCH(DATE(YEAR($A1310)-1,MONTH($A1310),DAY($A1310)),$A:$A,0))=""),"",G1310/INDEX(G:G,MATCH(DATE(YEAR($A1310)-1,MONTH($A1310),DAY($A1310)),$A:$A,0))-1),"")</f>
        <v/>
      </c>
      <c r="K1310" s="7">
        <f>IF(OR(E1310="",E1309=""),"",E1310/E1309-1)</f>
        <v/>
      </c>
      <c r="L1310" s="7">
        <f>IF(OR(F1310="",F1309=""),"",F1310/F1309-1)</f>
        <v/>
      </c>
      <c r="M1310" s="7">
        <f>IF(OR(G1310="",G1309=""),"",G1310/G1309-1)</f>
        <v/>
      </c>
      <c r="N1310" s="7">
        <f>IF(G1310="","",E1310/G1310)</f>
        <v/>
      </c>
      <c r="O1310" s="7">
        <f>IF(G1310="","",F1310/G1310)</f>
        <v/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4">
        <f>IF(SUMIFS('Daily NSE Equity Cash'!$H:$H,'Daily NSE Equity Cash'!$A:$A,$A1311)=0,"",SUMIFS('Daily NSE Equity Cash'!$H:$H,'Daily NSE Equity Cash'!$A:$A,$A1311))</f>
        <v/>
      </c>
      <c r="F1311" s="4">
        <f>IF(SUMIFS('Daily BSE Equity Cash'!$H:$H,'Daily BSE Equity Cash'!$A:$A,$A1311)=0,"",SUMIFS('Daily BSE Equity Cash'!$H:$H,'Daily BSE Equity Cash'!$A:$A,$A1311))</f>
        <v/>
      </c>
      <c r="G1311" s="4">
        <f>IF(OR(E1311="",F1311=""),"",E1311+F1311)</f>
        <v/>
      </c>
      <c r="H1311" s="7">
        <f>IFERROR(IF(OR(E1311="",INDEX(E:E,MATCH(DATE(YEAR($A1311)-1,MONTH($A1311),DAY($A1311)),$A:$A,0))=""),"",E1311/INDEX(E:E,MATCH(DATE(YEAR($A1311)-1,MONTH($A1311),DAY($A1311)),$A:$A,0))-1),"")</f>
        <v/>
      </c>
      <c r="I1311" s="7">
        <f>IFERROR(IF(OR(F1311="",INDEX(F:F,MATCH(DATE(YEAR($A1311)-1,MONTH($A1311),DAY($A1311)),$A:$A,0))=""),"",F1311/INDEX(F:F,MATCH(DATE(YEAR($A1311)-1,MONTH($A1311),DAY($A1311)),$A:$A,0))-1),"")</f>
        <v/>
      </c>
      <c r="J1311" s="7">
        <f>IFERROR(IF(OR(G1311="",INDEX(G:G,MATCH(DATE(YEAR($A1311)-1,MONTH($A1311),DAY($A1311)),$A:$A,0))=""),"",G1311/INDEX(G:G,MATCH(DATE(YEAR($A1311)-1,MONTH($A1311),DAY($A1311)),$A:$A,0))-1),"")</f>
        <v/>
      </c>
      <c r="K1311" s="7">
        <f>IF(OR(E1311="",E1310=""),"",E1311/E1310-1)</f>
        <v/>
      </c>
      <c r="L1311" s="7">
        <f>IF(OR(F1311="",F1310=""),"",F1311/F1310-1)</f>
        <v/>
      </c>
      <c r="M1311" s="7">
        <f>IF(OR(G1311="",G1310=""),"",G1311/G1310-1)</f>
        <v/>
      </c>
      <c r="N1311" s="7">
        <f>IF(G1311="","",E1311/G1311)</f>
        <v/>
      </c>
      <c r="O1311" s="7">
        <f>IF(G1311="","",F1311/G1311)</f>
        <v/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4">
        <f>IF(SUMIFS('Daily NSE Equity Cash'!$H:$H,'Daily NSE Equity Cash'!$A:$A,$A1312)=0,"",SUMIFS('Daily NSE Equity Cash'!$H:$H,'Daily NSE Equity Cash'!$A:$A,$A1312))</f>
        <v/>
      </c>
      <c r="F1312" s="4">
        <f>IF(SUMIFS('Daily BSE Equity Cash'!$H:$H,'Daily BSE Equity Cash'!$A:$A,$A1312)=0,"",SUMIFS('Daily BSE Equity Cash'!$H:$H,'Daily BSE Equity Cash'!$A:$A,$A1312))</f>
        <v/>
      </c>
      <c r="G1312" s="4">
        <f>IF(OR(E1312="",F1312=""),"",E1312+F1312)</f>
        <v/>
      </c>
      <c r="H1312" s="7">
        <f>IFERROR(IF(OR(E1312="",INDEX(E:E,MATCH(DATE(YEAR($A1312)-1,MONTH($A1312),DAY($A1312)),$A:$A,0))=""),"",E1312/INDEX(E:E,MATCH(DATE(YEAR($A1312)-1,MONTH($A1312),DAY($A1312)),$A:$A,0))-1),"")</f>
        <v/>
      </c>
      <c r="I1312" s="7">
        <f>IFERROR(IF(OR(F1312="",INDEX(F:F,MATCH(DATE(YEAR($A1312)-1,MONTH($A1312),DAY($A1312)),$A:$A,0))=""),"",F1312/INDEX(F:F,MATCH(DATE(YEAR($A1312)-1,MONTH($A1312),DAY($A1312)),$A:$A,0))-1),"")</f>
        <v/>
      </c>
      <c r="J1312" s="7">
        <f>IFERROR(IF(OR(G1312="",INDEX(G:G,MATCH(DATE(YEAR($A1312)-1,MONTH($A1312),DAY($A1312)),$A:$A,0))=""),"",G1312/INDEX(G:G,MATCH(DATE(YEAR($A1312)-1,MONTH($A1312),DAY($A1312)),$A:$A,0))-1),"")</f>
        <v/>
      </c>
      <c r="K1312" s="7">
        <f>IF(OR(E1312="",E1311=""),"",E1312/E1311-1)</f>
        <v/>
      </c>
      <c r="L1312" s="7">
        <f>IF(OR(F1312="",F1311=""),"",F1312/F1311-1)</f>
        <v/>
      </c>
      <c r="M1312" s="7">
        <f>IF(OR(G1312="",G1311=""),"",G1312/G1311-1)</f>
        <v/>
      </c>
      <c r="N1312" s="7">
        <f>IF(G1312="","",E1312/G1312)</f>
        <v/>
      </c>
      <c r="O1312" s="7">
        <f>IF(G1312="","",F1312/G1312)</f>
        <v/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4">
        <f>IF(SUMIFS('Daily NSE Equity Cash'!$H:$H,'Daily NSE Equity Cash'!$A:$A,$A1313)=0,"",SUMIFS('Daily NSE Equity Cash'!$H:$H,'Daily NSE Equity Cash'!$A:$A,$A1313))</f>
        <v/>
      </c>
      <c r="F1313" s="4">
        <f>IF(SUMIFS('Daily BSE Equity Cash'!$H:$H,'Daily BSE Equity Cash'!$A:$A,$A1313)=0,"",SUMIFS('Daily BSE Equity Cash'!$H:$H,'Daily BSE Equity Cash'!$A:$A,$A1313))</f>
        <v/>
      </c>
      <c r="G1313" s="4">
        <f>IF(OR(E1313="",F1313=""),"",E1313+F1313)</f>
        <v/>
      </c>
      <c r="H1313" s="7">
        <f>IFERROR(IF(OR(E1313="",INDEX(E:E,MATCH(DATE(YEAR($A1313)-1,MONTH($A1313),DAY($A1313)),$A:$A,0))=""),"",E1313/INDEX(E:E,MATCH(DATE(YEAR($A1313)-1,MONTH($A1313),DAY($A1313)),$A:$A,0))-1),"")</f>
        <v/>
      </c>
      <c r="I1313" s="7">
        <f>IFERROR(IF(OR(F1313="",INDEX(F:F,MATCH(DATE(YEAR($A1313)-1,MONTH($A1313),DAY($A1313)),$A:$A,0))=""),"",F1313/INDEX(F:F,MATCH(DATE(YEAR($A1313)-1,MONTH($A1313),DAY($A1313)),$A:$A,0))-1),"")</f>
        <v/>
      </c>
      <c r="J1313" s="7">
        <f>IFERROR(IF(OR(G1313="",INDEX(G:G,MATCH(DATE(YEAR($A1313)-1,MONTH($A1313),DAY($A1313)),$A:$A,0))=""),"",G1313/INDEX(G:G,MATCH(DATE(YEAR($A1313)-1,MONTH($A1313),DAY($A1313)),$A:$A,0))-1),"")</f>
        <v/>
      </c>
      <c r="K1313" s="7">
        <f>IF(OR(E1313="",E1312=""),"",E1313/E1312-1)</f>
        <v/>
      </c>
      <c r="L1313" s="7">
        <f>IF(OR(F1313="",F1312=""),"",F1313/F1312-1)</f>
        <v/>
      </c>
      <c r="M1313" s="7">
        <f>IF(OR(G1313="",G1312=""),"",G1313/G1312-1)</f>
        <v/>
      </c>
      <c r="N1313" s="7">
        <f>IF(G1313="","",E1313/G1313)</f>
        <v/>
      </c>
      <c r="O1313" s="7">
        <f>IF(G1313="","",F1313/G1313)</f>
        <v/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4">
        <f>IF(SUMIFS('Daily NSE Equity Cash'!$H:$H,'Daily NSE Equity Cash'!$A:$A,$A1314)=0,"",SUMIFS('Daily NSE Equity Cash'!$H:$H,'Daily NSE Equity Cash'!$A:$A,$A1314))</f>
        <v/>
      </c>
      <c r="F1314" s="4">
        <f>IF(SUMIFS('Daily BSE Equity Cash'!$H:$H,'Daily BSE Equity Cash'!$A:$A,$A1314)=0,"",SUMIFS('Daily BSE Equity Cash'!$H:$H,'Daily BSE Equity Cash'!$A:$A,$A1314))</f>
        <v/>
      </c>
      <c r="G1314" s="4">
        <f>IF(OR(E1314="",F1314=""),"",E1314+F1314)</f>
        <v/>
      </c>
      <c r="H1314" s="7">
        <f>IFERROR(IF(OR(E1314="",INDEX(E:E,MATCH(DATE(YEAR($A1314)-1,MONTH($A1314),DAY($A1314)),$A:$A,0))=""),"",E1314/INDEX(E:E,MATCH(DATE(YEAR($A1314)-1,MONTH($A1314),DAY($A1314)),$A:$A,0))-1),"")</f>
        <v/>
      </c>
      <c r="I1314" s="7">
        <f>IFERROR(IF(OR(F1314="",INDEX(F:F,MATCH(DATE(YEAR($A1314)-1,MONTH($A1314),DAY($A1314)),$A:$A,0))=""),"",F1314/INDEX(F:F,MATCH(DATE(YEAR($A1314)-1,MONTH($A1314),DAY($A1314)),$A:$A,0))-1),"")</f>
        <v/>
      </c>
      <c r="J1314" s="7">
        <f>IFERROR(IF(OR(G1314="",INDEX(G:G,MATCH(DATE(YEAR($A1314)-1,MONTH($A1314),DAY($A1314)),$A:$A,0))=""),"",G1314/INDEX(G:G,MATCH(DATE(YEAR($A1314)-1,MONTH($A1314),DAY($A1314)),$A:$A,0))-1),"")</f>
        <v/>
      </c>
      <c r="K1314" s="7">
        <f>IF(OR(E1314="",E1313=""),"",E1314/E1313-1)</f>
        <v/>
      </c>
      <c r="L1314" s="7">
        <f>IF(OR(F1314="",F1313=""),"",F1314/F1313-1)</f>
        <v/>
      </c>
      <c r="M1314" s="7">
        <f>IF(OR(G1314="",G1313=""),"",G1314/G1313-1)</f>
        <v/>
      </c>
      <c r="N1314" s="7">
        <f>IF(G1314="","",E1314/G1314)</f>
        <v/>
      </c>
      <c r="O1314" s="7">
        <f>IF(G1314="","",F1314/G1314)</f>
        <v/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4">
        <f>IF(SUMIFS('Daily NSE Equity Cash'!$H:$H,'Daily NSE Equity Cash'!$A:$A,$A1315)=0,"",SUMIFS('Daily NSE Equity Cash'!$H:$H,'Daily NSE Equity Cash'!$A:$A,$A1315))</f>
        <v/>
      </c>
      <c r="F1315" s="4">
        <f>IF(SUMIFS('Daily BSE Equity Cash'!$H:$H,'Daily BSE Equity Cash'!$A:$A,$A1315)=0,"",SUMIFS('Daily BSE Equity Cash'!$H:$H,'Daily BSE Equity Cash'!$A:$A,$A1315))</f>
        <v/>
      </c>
      <c r="G1315" s="4">
        <f>IF(OR(E1315="",F1315=""),"",E1315+F1315)</f>
        <v/>
      </c>
      <c r="H1315" s="7">
        <f>IFERROR(IF(OR(E1315="",INDEX(E:E,MATCH(DATE(YEAR($A1315)-1,MONTH($A1315),DAY($A1315)),$A:$A,0))=""),"",E1315/INDEX(E:E,MATCH(DATE(YEAR($A1315)-1,MONTH($A1315),DAY($A1315)),$A:$A,0))-1),"")</f>
        <v/>
      </c>
      <c r="I1315" s="7">
        <f>IFERROR(IF(OR(F1315="",INDEX(F:F,MATCH(DATE(YEAR($A1315)-1,MONTH($A1315),DAY($A1315)),$A:$A,0))=""),"",F1315/INDEX(F:F,MATCH(DATE(YEAR($A1315)-1,MONTH($A1315),DAY($A1315)),$A:$A,0))-1),"")</f>
        <v/>
      </c>
      <c r="J1315" s="7">
        <f>IFERROR(IF(OR(G1315="",INDEX(G:G,MATCH(DATE(YEAR($A1315)-1,MONTH($A1315),DAY($A1315)),$A:$A,0))=""),"",G1315/INDEX(G:G,MATCH(DATE(YEAR($A1315)-1,MONTH($A1315),DAY($A1315)),$A:$A,0))-1),"")</f>
        <v/>
      </c>
      <c r="K1315" s="7">
        <f>IF(OR(E1315="",E1314=""),"",E1315/E1314-1)</f>
        <v/>
      </c>
      <c r="L1315" s="7">
        <f>IF(OR(F1315="",F1314=""),"",F1315/F1314-1)</f>
        <v/>
      </c>
      <c r="M1315" s="7">
        <f>IF(OR(G1315="",G1314=""),"",G1315/G1314-1)</f>
        <v/>
      </c>
      <c r="N1315" s="7">
        <f>IF(G1315="","",E1315/G1315)</f>
        <v/>
      </c>
      <c r="O1315" s="7">
        <f>IF(G1315="","",F1315/G1315)</f>
        <v/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4">
        <f>IF(SUMIFS('Daily NSE Equity Cash'!$H:$H,'Daily NSE Equity Cash'!$A:$A,$A1316)=0,"",SUMIFS('Daily NSE Equity Cash'!$H:$H,'Daily NSE Equity Cash'!$A:$A,$A1316))</f>
        <v/>
      </c>
      <c r="F1316" s="4">
        <f>IF(SUMIFS('Daily BSE Equity Cash'!$H:$H,'Daily BSE Equity Cash'!$A:$A,$A1316)=0,"",SUMIFS('Daily BSE Equity Cash'!$H:$H,'Daily BSE Equity Cash'!$A:$A,$A1316))</f>
        <v/>
      </c>
      <c r="G1316" s="4">
        <f>IF(OR(E1316="",F1316=""),"",E1316+F1316)</f>
        <v/>
      </c>
      <c r="H1316" s="7">
        <f>IFERROR(IF(OR(E1316="",INDEX(E:E,MATCH(DATE(YEAR($A1316)-1,MONTH($A1316),DAY($A1316)),$A:$A,0))=""),"",E1316/INDEX(E:E,MATCH(DATE(YEAR($A1316)-1,MONTH($A1316),DAY($A1316)),$A:$A,0))-1),"")</f>
        <v/>
      </c>
      <c r="I1316" s="7">
        <f>IFERROR(IF(OR(F1316="",INDEX(F:F,MATCH(DATE(YEAR($A1316)-1,MONTH($A1316),DAY($A1316)),$A:$A,0))=""),"",F1316/INDEX(F:F,MATCH(DATE(YEAR($A1316)-1,MONTH($A1316),DAY($A1316)),$A:$A,0))-1),"")</f>
        <v/>
      </c>
      <c r="J1316" s="7">
        <f>IFERROR(IF(OR(G1316="",INDEX(G:G,MATCH(DATE(YEAR($A1316)-1,MONTH($A1316),DAY($A1316)),$A:$A,0))=""),"",G1316/INDEX(G:G,MATCH(DATE(YEAR($A1316)-1,MONTH($A1316),DAY($A1316)),$A:$A,0))-1),"")</f>
        <v/>
      </c>
      <c r="K1316" s="7">
        <f>IF(OR(E1316="",E1315=""),"",E1316/E1315-1)</f>
        <v/>
      </c>
      <c r="L1316" s="7">
        <f>IF(OR(F1316="",F1315=""),"",F1316/F1315-1)</f>
        <v/>
      </c>
      <c r="M1316" s="7">
        <f>IF(OR(G1316="",G1315=""),"",G1316/G1315-1)</f>
        <v/>
      </c>
      <c r="N1316" s="7">
        <f>IF(G1316="","",E1316/G1316)</f>
        <v/>
      </c>
      <c r="O1316" s="7">
        <f>IF(G1316="","",F1316/G1316)</f>
        <v/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4">
        <f>IF(SUMIFS('Daily NSE Equity Cash'!$H:$H,'Daily NSE Equity Cash'!$A:$A,$A1317)=0,"",SUMIFS('Daily NSE Equity Cash'!$H:$H,'Daily NSE Equity Cash'!$A:$A,$A1317))</f>
        <v/>
      </c>
      <c r="F1317" s="4">
        <f>IF(SUMIFS('Daily BSE Equity Cash'!$H:$H,'Daily BSE Equity Cash'!$A:$A,$A1317)=0,"",SUMIFS('Daily BSE Equity Cash'!$H:$H,'Daily BSE Equity Cash'!$A:$A,$A1317))</f>
        <v/>
      </c>
      <c r="G1317" s="4">
        <f>IF(OR(E1317="",F1317=""),"",E1317+F1317)</f>
        <v/>
      </c>
      <c r="H1317" s="7">
        <f>IFERROR(IF(OR(E1317="",INDEX(E:E,MATCH(DATE(YEAR($A1317)-1,MONTH($A1317),DAY($A1317)),$A:$A,0))=""),"",E1317/INDEX(E:E,MATCH(DATE(YEAR($A1317)-1,MONTH($A1317),DAY($A1317)),$A:$A,0))-1),"")</f>
        <v/>
      </c>
      <c r="I1317" s="7">
        <f>IFERROR(IF(OR(F1317="",INDEX(F:F,MATCH(DATE(YEAR($A1317)-1,MONTH($A1317),DAY($A1317)),$A:$A,0))=""),"",F1317/INDEX(F:F,MATCH(DATE(YEAR($A1317)-1,MONTH($A1317),DAY($A1317)),$A:$A,0))-1),"")</f>
        <v/>
      </c>
      <c r="J1317" s="7">
        <f>IFERROR(IF(OR(G1317="",INDEX(G:G,MATCH(DATE(YEAR($A1317)-1,MONTH($A1317),DAY($A1317)),$A:$A,0))=""),"",G1317/INDEX(G:G,MATCH(DATE(YEAR($A1317)-1,MONTH($A1317),DAY($A1317)),$A:$A,0))-1),"")</f>
        <v/>
      </c>
      <c r="K1317" s="7">
        <f>IF(OR(E1317="",E1316=""),"",E1317/E1316-1)</f>
        <v/>
      </c>
      <c r="L1317" s="7">
        <f>IF(OR(F1317="",F1316=""),"",F1317/F1316-1)</f>
        <v/>
      </c>
      <c r="M1317" s="7">
        <f>IF(OR(G1317="",G1316=""),"",G1317/G1316-1)</f>
        <v/>
      </c>
      <c r="N1317" s="7">
        <f>IF(G1317="","",E1317/G1317)</f>
        <v/>
      </c>
      <c r="O1317" s="7">
        <f>IF(G1317="","",F1317/G1317)</f>
        <v/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4">
        <f>IF(SUMIFS('Daily NSE Equity Cash'!$H:$H,'Daily NSE Equity Cash'!$A:$A,$A1318)=0,"",SUMIFS('Daily NSE Equity Cash'!$H:$H,'Daily NSE Equity Cash'!$A:$A,$A1318))</f>
        <v/>
      </c>
      <c r="F1318" s="4">
        <f>IF(SUMIFS('Daily BSE Equity Cash'!$H:$H,'Daily BSE Equity Cash'!$A:$A,$A1318)=0,"",SUMIFS('Daily BSE Equity Cash'!$H:$H,'Daily BSE Equity Cash'!$A:$A,$A1318))</f>
        <v/>
      </c>
      <c r="G1318" s="4">
        <f>IF(OR(E1318="",F1318=""),"",E1318+F1318)</f>
        <v/>
      </c>
      <c r="H1318" s="7">
        <f>IFERROR(IF(OR(E1318="",INDEX(E:E,MATCH(DATE(YEAR($A1318)-1,MONTH($A1318),DAY($A1318)),$A:$A,0))=""),"",E1318/INDEX(E:E,MATCH(DATE(YEAR($A1318)-1,MONTH($A1318),DAY($A1318)),$A:$A,0))-1),"")</f>
        <v/>
      </c>
      <c r="I1318" s="7">
        <f>IFERROR(IF(OR(F1318="",INDEX(F:F,MATCH(DATE(YEAR($A1318)-1,MONTH($A1318),DAY($A1318)),$A:$A,0))=""),"",F1318/INDEX(F:F,MATCH(DATE(YEAR($A1318)-1,MONTH($A1318),DAY($A1318)),$A:$A,0))-1),"")</f>
        <v/>
      </c>
      <c r="J1318" s="7">
        <f>IFERROR(IF(OR(G1318="",INDEX(G:G,MATCH(DATE(YEAR($A1318)-1,MONTH($A1318),DAY($A1318)),$A:$A,0))=""),"",G1318/INDEX(G:G,MATCH(DATE(YEAR($A1318)-1,MONTH($A1318),DAY($A1318)),$A:$A,0))-1),"")</f>
        <v/>
      </c>
      <c r="K1318" s="7">
        <f>IF(OR(E1318="",E1317=""),"",E1318/E1317-1)</f>
        <v/>
      </c>
      <c r="L1318" s="7">
        <f>IF(OR(F1318="",F1317=""),"",F1318/F1317-1)</f>
        <v/>
      </c>
      <c r="M1318" s="7">
        <f>IF(OR(G1318="",G1317=""),"",G1318/G1317-1)</f>
        <v/>
      </c>
      <c r="N1318" s="7">
        <f>IF(G1318="","",E1318/G1318)</f>
        <v/>
      </c>
      <c r="O1318" s="7">
        <f>IF(G1318="","",F1318/G1318)</f>
        <v/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4">
        <f>IF(SUMIFS('Daily NSE Equity Cash'!$H:$H,'Daily NSE Equity Cash'!$A:$A,$A1319)=0,"",SUMIFS('Daily NSE Equity Cash'!$H:$H,'Daily NSE Equity Cash'!$A:$A,$A1319))</f>
        <v/>
      </c>
      <c r="F1319" s="4">
        <f>IF(SUMIFS('Daily BSE Equity Cash'!$H:$H,'Daily BSE Equity Cash'!$A:$A,$A1319)=0,"",SUMIFS('Daily BSE Equity Cash'!$H:$H,'Daily BSE Equity Cash'!$A:$A,$A1319))</f>
        <v/>
      </c>
      <c r="G1319" s="4">
        <f>IF(OR(E1319="",F1319=""),"",E1319+F1319)</f>
        <v/>
      </c>
      <c r="H1319" s="7">
        <f>IFERROR(IF(OR(E1319="",INDEX(E:E,MATCH(DATE(YEAR($A1319)-1,MONTH($A1319),DAY($A1319)),$A:$A,0))=""),"",E1319/INDEX(E:E,MATCH(DATE(YEAR($A1319)-1,MONTH($A1319),DAY($A1319)),$A:$A,0))-1),"")</f>
        <v/>
      </c>
      <c r="I1319" s="7">
        <f>IFERROR(IF(OR(F1319="",INDEX(F:F,MATCH(DATE(YEAR($A1319)-1,MONTH($A1319),DAY($A1319)),$A:$A,0))=""),"",F1319/INDEX(F:F,MATCH(DATE(YEAR($A1319)-1,MONTH($A1319),DAY($A1319)),$A:$A,0))-1),"")</f>
        <v/>
      </c>
      <c r="J1319" s="7">
        <f>IFERROR(IF(OR(G1319="",INDEX(G:G,MATCH(DATE(YEAR($A1319)-1,MONTH($A1319),DAY($A1319)),$A:$A,0))=""),"",G1319/INDEX(G:G,MATCH(DATE(YEAR($A1319)-1,MONTH($A1319),DAY($A1319)),$A:$A,0))-1),"")</f>
        <v/>
      </c>
      <c r="K1319" s="7">
        <f>IF(OR(E1319="",E1318=""),"",E1319/E1318-1)</f>
        <v/>
      </c>
      <c r="L1319" s="7">
        <f>IF(OR(F1319="",F1318=""),"",F1319/F1318-1)</f>
        <v/>
      </c>
      <c r="M1319" s="7">
        <f>IF(OR(G1319="",G1318=""),"",G1319/G1318-1)</f>
        <v/>
      </c>
      <c r="N1319" s="7">
        <f>IF(G1319="","",E1319/G1319)</f>
        <v/>
      </c>
      <c r="O1319" s="7">
        <f>IF(G1319="","",F1319/G1319)</f>
        <v/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4">
        <f>IF(SUMIFS('Daily NSE Equity Cash'!$H:$H,'Daily NSE Equity Cash'!$A:$A,$A1320)=0,"",SUMIFS('Daily NSE Equity Cash'!$H:$H,'Daily NSE Equity Cash'!$A:$A,$A1320))</f>
        <v/>
      </c>
      <c r="F1320" s="4">
        <f>IF(SUMIFS('Daily BSE Equity Cash'!$H:$H,'Daily BSE Equity Cash'!$A:$A,$A1320)=0,"",SUMIFS('Daily BSE Equity Cash'!$H:$H,'Daily BSE Equity Cash'!$A:$A,$A1320))</f>
        <v/>
      </c>
      <c r="G1320" s="4">
        <f>IF(OR(E1320="",F1320=""),"",E1320+F1320)</f>
        <v/>
      </c>
      <c r="H1320" s="7">
        <f>IFERROR(IF(OR(E1320="",INDEX(E:E,MATCH(DATE(YEAR($A1320)-1,MONTH($A1320),DAY($A1320)),$A:$A,0))=""),"",E1320/INDEX(E:E,MATCH(DATE(YEAR($A1320)-1,MONTH($A1320),DAY($A1320)),$A:$A,0))-1),"")</f>
        <v/>
      </c>
      <c r="I1320" s="7">
        <f>IFERROR(IF(OR(F1320="",INDEX(F:F,MATCH(DATE(YEAR($A1320)-1,MONTH($A1320),DAY($A1320)),$A:$A,0))=""),"",F1320/INDEX(F:F,MATCH(DATE(YEAR($A1320)-1,MONTH($A1320),DAY($A1320)),$A:$A,0))-1),"")</f>
        <v/>
      </c>
      <c r="J1320" s="7">
        <f>IFERROR(IF(OR(G1320="",INDEX(G:G,MATCH(DATE(YEAR($A1320)-1,MONTH($A1320),DAY($A1320)),$A:$A,0))=""),"",G1320/INDEX(G:G,MATCH(DATE(YEAR($A1320)-1,MONTH($A1320),DAY($A1320)),$A:$A,0))-1),"")</f>
        <v/>
      </c>
      <c r="K1320" s="7">
        <f>IF(OR(E1320="",E1319=""),"",E1320/E1319-1)</f>
        <v/>
      </c>
      <c r="L1320" s="7">
        <f>IF(OR(F1320="",F1319=""),"",F1320/F1319-1)</f>
        <v/>
      </c>
      <c r="M1320" s="7">
        <f>IF(OR(G1320="",G1319=""),"",G1320/G1319-1)</f>
        <v/>
      </c>
      <c r="N1320" s="7">
        <f>IF(G1320="","",E1320/G1320)</f>
        <v/>
      </c>
      <c r="O1320" s="7">
        <f>IF(G1320="","",F1320/G1320)</f>
        <v/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4">
        <f>IF(SUMIFS('Daily NSE Equity Cash'!$H:$H,'Daily NSE Equity Cash'!$A:$A,$A1321)=0,"",SUMIFS('Daily NSE Equity Cash'!$H:$H,'Daily NSE Equity Cash'!$A:$A,$A1321))</f>
        <v/>
      </c>
      <c r="F1321" s="4">
        <f>IF(SUMIFS('Daily BSE Equity Cash'!$H:$H,'Daily BSE Equity Cash'!$A:$A,$A1321)=0,"",SUMIFS('Daily BSE Equity Cash'!$H:$H,'Daily BSE Equity Cash'!$A:$A,$A1321))</f>
        <v/>
      </c>
      <c r="G1321" s="4">
        <f>IF(OR(E1321="",F1321=""),"",E1321+F1321)</f>
        <v/>
      </c>
      <c r="H1321" s="7">
        <f>IFERROR(IF(OR(E1321="",INDEX(E:E,MATCH(DATE(YEAR($A1321)-1,MONTH($A1321),DAY($A1321)),$A:$A,0))=""),"",E1321/INDEX(E:E,MATCH(DATE(YEAR($A1321)-1,MONTH($A1321),DAY($A1321)),$A:$A,0))-1),"")</f>
        <v/>
      </c>
      <c r="I1321" s="7">
        <f>IFERROR(IF(OR(F1321="",INDEX(F:F,MATCH(DATE(YEAR($A1321)-1,MONTH($A1321),DAY($A1321)),$A:$A,0))=""),"",F1321/INDEX(F:F,MATCH(DATE(YEAR($A1321)-1,MONTH($A1321),DAY($A1321)),$A:$A,0))-1),"")</f>
        <v/>
      </c>
      <c r="J1321" s="7">
        <f>IFERROR(IF(OR(G1321="",INDEX(G:G,MATCH(DATE(YEAR($A1321)-1,MONTH($A1321),DAY($A1321)),$A:$A,0))=""),"",G1321/INDEX(G:G,MATCH(DATE(YEAR($A1321)-1,MONTH($A1321),DAY($A1321)),$A:$A,0))-1),"")</f>
        <v/>
      </c>
      <c r="K1321" s="7">
        <f>IF(OR(E1321="",E1320=""),"",E1321/E1320-1)</f>
        <v/>
      </c>
      <c r="L1321" s="7">
        <f>IF(OR(F1321="",F1320=""),"",F1321/F1320-1)</f>
        <v/>
      </c>
      <c r="M1321" s="7">
        <f>IF(OR(G1321="",G1320=""),"",G1321/G1320-1)</f>
        <v/>
      </c>
      <c r="N1321" s="7">
        <f>IF(G1321="","",E1321/G1321)</f>
        <v/>
      </c>
      <c r="O1321" s="7">
        <f>IF(G1321="","",F1321/G1321)</f>
        <v/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4">
        <f>IF(SUMIFS('Daily NSE Equity Cash'!$H:$H,'Daily NSE Equity Cash'!$A:$A,$A1322)=0,"",SUMIFS('Daily NSE Equity Cash'!$H:$H,'Daily NSE Equity Cash'!$A:$A,$A1322))</f>
        <v/>
      </c>
      <c r="F1322" s="4">
        <f>IF(SUMIFS('Daily BSE Equity Cash'!$H:$H,'Daily BSE Equity Cash'!$A:$A,$A1322)=0,"",SUMIFS('Daily BSE Equity Cash'!$H:$H,'Daily BSE Equity Cash'!$A:$A,$A1322))</f>
        <v/>
      </c>
      <c r="G1322" s="4">
        <f>IF(OR(E1322="",F1322=""),"",E1322+F1322)</f>
        <v/>
      </c>
      <c r="H1322" s="7">
        <f>IFERROR(IF(OR(E1322="",INDEX(E:E,MATCH(DATE(YEAR($A1322)-1,MONTH($A1322),DAY($A1322)),$A:$A,0))=""),"",E1322/INDEX(E:E,MATCH(DATE(YEAR($A1322)-1,MONTH($A1322),DAY($A1322)),$A:$A,0))-1),"")</f>
        <v/>
      </c>
      <c r="I1322" s="7">
        <f>IFERROR(IF(OR(F1322="",INDEX(F:F,MATCH(DATE(YEAR($A1322)-1,MONTH($A1322),DAY($A1322)),$A:$A,0))=""),"",F1322/INDEX(F:F,MATCH(DATE(YEAR($A1322)-1,MONTH($A1322),DAY($A1322)),$A:$A,0))-1),"")</f>
        <v/>
      </c>
      <c r="J1322" s="7">
        <f>IFERROR(IF(OR(G1322="",INDEX(G:G,MATCH(DATE(YEAR($A1322)-1,MONTH($A1322),DAY($A1322)),$A:$A,0))=""),"",G1322/INDEX(G:G,MATCH(DATE(YEAR($A1322)-1,MONTH($A1322),DAY($A1322)),$A:$A,0))-1),"")</f>
        <v/>
      </c>
      <c r="K1322" s="7">
        <f>IF(OR(E1322="",E1321=""),"",E1322/E1321-1)</f>
        <v/>
      </c>
      <c r="L1322" s="7">
        <f>IF(OR(F1322="",F1321=""),"",F1322/F1321-1)</f>
        <v/>
      </c>
      <c r="M1322" s="7">
        <f>IF(OR(G1322="",G1321=""),"",G1322/G1321-1)</f>
        <v/>
      </c>
      <c r="N1322" s="7">
        <f>IF(G1322="","",E1322/G1322)</f>
        <v/>
      </c>
      <c r="O1322" s="7">
        <f>IF(G1322="","",F1322/G1322)</f>
        <v/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4">
        <f>IF(SUMIFS('Daily NSE Equity Cash'!$H:$H,'Daily NSE Equity Cash'!$A:$A,$A1323)=0,"",SUMIFS('Daily NSE Equity Cash'!$H:$H,'Daily NSE Equity Cash'!$A:$A,$A1323))</f>
        <v/>
      </c>
      <c r="F1323" s="4">
        <f>IF(SUMIFS('Daily BSE Equity Cash'!$H:$H,'Daily BSE Equity Cash'!$A:$A,$A1323)=0,"",SUMIFS('Daily BSE Equity Cash'!$H:$H,'Daily BSE Equity Cash'!$A:$A,$A1323))</f>
        <v/>
      </c>
      <c r="G1323" s="4">
        <f>IF(OR(E1323="",F1323=""),"",E1323+F1323)</f>
        <v/>
      </c>
      <c r="H1323" s="7">
        <f>IFERROR(IF(OR(E1323="",INDEX(E:E,MATCH(DATE(YEAR($A1323)-1,MONTH($A1323),DAY($A1323)),$A:$A,0))=""),"",E1323/INDEX(E:E,MATCH(DATE(YEAR($A1323)-1,MONTH($A1323),DAY($A1323)),$A:$A,0))-1),"")</f>
        <v/>
      </c>
      <c r="I1323" s="7">
        <f>IFERROR(IF(OR(F1323="",INDEX(F:F,MATCH(DATE(YEAR($A1323)-1,MONTH($A1323),DAY($A1323)),$A:$A,0))=""),"",F1323/INDEX(F:F,MATCH(DATE(YEAR($A1323)-1,MONTH($A1323),DAY($A1323)),$A:$A,0))-1),"")</f>
        <v/>
      </c>
      <c r="J1323" s="7">
        <f>IFERROR(IF(OR(G1323="",INDEX(G:G,MATCH(DATE(YEAR($A1323)-1,MONTH($A1323),DAY($A1323)),$A:$A,0))=""),"",G1323/INDEX(G:G,MATCH(DATE(YEAR($A1323)-1,MONTH($A1323),DAY($A1323)),$A:$A,0))-1),"")</f>
        <v/>
      </c>
      <c r="K1323" s="7">
        <f>IF(OR(E1323="",E1322=""),"",E1323/E1322-1)</f>
        <v/>
      </c>
      <c r="L1323" s="7">
        <f>IF(OR(F1323="",F1322=""),"",F1323/F1322-1)</f>
        <v/>
      </c>
      <c r="M1323" s="7">
        <f>IF(OR(G1323="",G1322=""),"",G1323/G1322-1)</f>
        <v/>
      </c>
      <c r="N1323" s="7">
        <f>IF(G1323="","",E1323/G1323)</f>
        <v/>
      </c>
      <c r="O1323" s="7">
        <f>IF(G1323="","",F1323/G1323)</f>
        <v/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4">
        <f>IF(SUMIFS('Daily NSE Equity Cash'!$H:$H,'Daily NSE Equity Cash'!$A:$A,$A1324)=0,"",SUMIFS('Daily NSE Equity Cash'!$H:$H,'Daily NSE Equity Cash'!$A:$A,$A1324))</f>
        <v/>
      </c>
      <c r="F1324" s="4">
        <f>IF(SUMIFS('Daily BSE Equity Cash'!$H:$H,'Daily BSE Equity Cash'!$A:$A,$A1324)=0,"",SUMIFS('Daily BSE Equity Cash'!$H:$H,'Daily BSE Equity Cash'!$A:$A,$A1324))</f>
        <v/>
      </c>
      <c r="G1324" s="4">
        <f>IF(OR(E1324="",F1324=""),"",E1324+F1324)</f>
        <v/>
      </c>
      <c r="H1324" s="7">
        <f>IFERROR(IF(OR(E1324="",INDEX(E:E,MATCH(DATE(YEAR($A1324)-1,MONTH($A1324),DAY($A1324)),$A:$A,0))=""),"",E1324/INDEX(E:E,MATCH(DATE(YEAR($A1324)-1,MONTH($A1324),DAY($A1324)),$A:$A,0))-1),"")</f>
        <v/>
      </c>
      <c r="I1324" s="7">
        <f>IFERROR(IF(OR(F1324="",INDEX(F:F,MATCH(DATE(YEAR($A1324)-1,MONTH($A1324),DAY($A1324)),$A:$A,0))=""),"",F1324/INDEX(F:F,MATCH(DATE(YEAR($A1324)-1,MONTH($A1324),DAY($A1324)),$A:$A,0))-1),"")</f>
        <v/>
      </c>
      <c r="J1324" s="7">
        <f>IFERROR(IF(OR(G1324="",INDEX(G:G,MATCH(DATE(YEAR($A1324)-1,MONTH($A1324),DAY($A1324)),$A:$A,0))=""),"",G1324/INDEX(G:G,MATCH(DATE(YEAR($A1324)-1,MONTH($A1324),DAY($A1324)),$A:$A,0))-1),"")</f>
        <v/>
      </c>
      <c r="K1324" s="7">
        <f>IF(OR(E1324="",E1323=""),"",E1324/E1323-1)</f>
        <v/>
      </c>
      <c r="L1324" s="7">
        <f>IF(OR(F1324="",F1323=""),"",F1324/F1323-1)</f>
        <v/>
      </c>
      <c r="M1324" s="7">
        <f>IF(OR(G1324="",G1323=""),"",G1324/G1323-1)</f>
        <v/>
      </c>
      <c r="N1324" s="7">
        <f>IF(G1324="","",E1324/G1324)</f>
        <v/>
      </c>
      <c r="O1324" s="7">
        <f>IF(G1324="","",F1324/G1324)</f>
        <v/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4">
        <f>IF(SUMIFS('Daily NSE Equity Cash'!$H:$H,'Daily NSE Equity Cash'!$A:$A,$A1325)=0,"",SUMIFS('Daily NSE Equity Cash'!$H:$H,'Daily NSE Equity Cash'!$A:$A,$A1325))</f>
        <v/>
      </c>
      <c r="F1325" s="4">
        <f>IF(SUMIFS('Daily BSE Equity Cash'!$H:$H,'Daily BSE Equity Cash'!$A:$A,$A1325)=0,"",SUMIFS('Daily BSE Equity Cash'!$H:$H,'Daily BSE Equity Cash'!$A:$A,$A1325))</f>
        <v/>
      </c>
      <c r="G1325" s="4">
        <f>IF(OR(E1325="",F1325=""),"",E1325+F1325)</f>
        <v/>
      </c>
      <c r="H1325" s="7">
        <f>IFERROR(IF(OR(E1325="",INDEX(E:E,MATCH(DATE(YEAR($A1325)-1,MONTH($A1325),DAY($A1325)),$A:$A,0))=""),"",E1325/INDEX(E:E,MATCH(DATE(YEAR($A1325)-1,MONTH($A1325),DAY($A1325)),$A:$A,0))-1),"")</f>
        <v/>
      </c>
      <c r="I1325" s="7">
        <f>IFERROR(IF(OR(F1325="",INDEX(F:F,MATCH(DATE(YEAR($A1325)-1,MONTH($A1325),DAY($A1325)),$A:$A,0))=""),"",F1325/INDEX(F:F,MATCH(DATE(YEAR($A1325)-1,MONTH($A1325),DAY($A1325)),$A:$A,0))-1),"")</f>
        <v/>
      </c>
      <c r="J1325" s="7">
        <f>IFERROR(IF(OR(G1325="",INDEX(G:G,MATCH(DATE(YEAR($A1325)-1,MONTH($A1325),DAY($A1325)),$A:$A,0))=""),"",G1325/INDEX(G:G,MATCH(DATE(YEAR($A1325)-1,MONTH($A1325),DAY($A1325)),$A:$A,0))-1),"")</f>
        <v/>
      </c>
      <c r="K1325" s="7">
        <f>IF(OR(E1325="",E1324=""),"",E1325/E1324-1)</f>
        <v/>
      </c>
      <c r="L1325" s="7">
        <f>IF(OR(F1325="",F1324=""),"",F1325/F1324-1)</f>
        <v/>
      </c>
      <c r="M1325" s="7">
        <f>IF(OR(G1325="",G1324=""),"",G1325/G1324-1)</f>
        <v/>
      </c>
      <c r="N1325" s="7">
        <f>IF(G1325="","",E1325/G1325)</f>
        <v/>
      </c>
      <c r="O1325" s="7">
        <f>IF(G1325="","",F1325/G1325)</f>
        <v/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4">
        <f>IF(SUMIFS('Daily NSE Equity Cash'!$H:$H,'Daily NSE Equity Cash'!$A:$A,$A1326)=0,"",SUMIFS('Daily NSE Equity Cash'!$H:$H,'Daily NSE Equity Cash'!$A:$A,$A1326))</f>
        <v/>
      </c>
      <c r="F1326" s="4">
        <f>IF(SUMIFS('Daily BSE Equity Cash'!$H:$H,'Daily BSE Equity Cash'!$A:$A,$A1326)=0,"",SUMIFS('Daily BSE Equity Cash'!$H:$H,'Daily BSE Equity Cash'!$A:$A,$A1326))</f>
        <v/>
      </c>
      <c r="G1326" s="4">
        <f>IF(OR(E1326="",F1326=""),"",E1326+F1326)</f>
        <v/>
      </c>
      <c r="H1326" s="7">
        <f>IFERROR(IF(OR(E1326="",INDEX(E:E,MATCH(DATE(YEAR($A1326)-1,MONTH($A1326),DAY($A1326)),$A:$A,0))=""),"",E1326/INDEX(E:E,MATCH(DATE(YEAR($A1326)-1,MONTH($A1326),DAY($A1326)),$A:$A,0))-1),"")</f>
        <v/>
      </c>
      <c r="I1326" s="7">
        <f>IFERROR(IF(OR(F1326="",INDEX(F:F,MATCH(DATE(YEAR($A1326)-1,MONTH($A1326),DAY($A1326)),$A:$A,0))=""),"",F1326/INDEX(F:F,MATCH(DATE(YEAR($A1326)-1,MONTH($A1326),DAY($A1326)),$A:$A,0))-1),"")</f>
        <v/>
      </c>
      <c r="J1326" s="7">
        <f>IFERROR(IF(OR(G1326="",INDEX(G:G,MATCH(DATE(YEAR($A1326)-1,MONTH($A1326),DAY($A1326)),$A:$A,0))=""),"",G1326/INDEX(G:G,MATCH(DATE(YEAR($A1326)-1,MONTH($A1326),DAY($A1326)),$A:$A,0))-1),"")</f>
        <v/>
      </c>
      <c r="K1326" s="7">
        <f>IF(OR(E1326="",E1325=""),"",E1326/E1325-1)</f>
        <v/>
      </c>
      <c r="L1326" s="7">
        <f>IF(OR(F1326="",F1325=""),"",F1326/F1325-1)</f>
        <v/>
      </c>
      <c r="M1326" s="7">
        <f>IF(OR(G1326="",G1325=""),"",G1326/G1325-1)</f>
        <v/>
      </c>
      <c r="N1326" s="7">
        <f>IF(G1326="","",E1326/G1326)</f>
        <v/>
      </c>
      <c r="O1326" s="7">
        <f>IF(G1326="","",F1326/G1326)</f>
        <v/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4">
        <f>IF(SUMIFS('Daily NSE Equity Cash'!$H:$H,'Daily NSE Equity Cash'!$A:$A,$A1327)=0,"",SUMIFS('Daily NSE Equity Cash'!$H:$H,'Daily NSE Equity Cash'!$A:$A,$A1327))</f>
        <v/>
      </c>
      <c r="F1327" s="4">
        <f>IF(SUMIFS('Daily BSE Equity Cash'!$H:$H,'Daily BSE Equity Cash'!$A:$A,$A1327)=0,"",SUMIFS('Daily BSE Equity Cash'!$H:$H,'Daily BSE Equity Cash'!$A:$A,$A1327))</f>
        <v/>
      </c>
      <c r="G1327" s="4">
        <f>IF(OR(E1327="",F1327=""),"",E1327+F1327)</f>
        <v/>
      </c>
      <c r="H1327" s="7">
        <f>IFERROR(IF(OR(E1327="",INDEX(E:E,MATCH(DATE(YEAR($A1327)-1,MONTH($A1327),DAY($A1327)),$A:$A,0))=""),"",E1327/INDEX(E:E,MATCH(DATE(YEAR($A1327)-1,MONTH($A1327),DAY($A1327)),$A:$A,0))-1),"")</f>
        <v/>
      </c>
      <c r="I1327" s="7">
        <f>IFERROR(IF(OR(F1327="",INDEX(F:F,MATCH(DATE(YEAR($A1327)-1,MONTH($A1327),DAY($A1327)),$A:$A,0))=""),"",F1327/INDEX(F:F,MATCH(DATE(YEAR($A1327)-1,MONTH($A1327),DAY($A1327)),$A:$A,0))-1),"")</f>
        <v/>
      </c>
      <c r="J1327" s="7">
        <f>IFERROR(IF(OR(G1327="",INDEX(G:G,MATCH(DATE(YEAR($A1327)-1,MONTH($A1327),DAY($A1327)),$A:$A,0))=""),"",G1327/INDEX(G:G,MATCH(DATE(YEAR($A1327)-1,MONTH($A1327),DAY($A1327)),$A:$A,0))-1),"")</f>
        <v/>
      </c>
      <c r="K1327" s="7">
        <f>IF(OR(E1327="",E1326=""),"",E1327/E1326-1)</f>
        <v/>
      </c>
      <c r="L1327" s="7">
        <f>IF(OR(F1327="",F1326=""),"",F1327/F1326-1)</f>
        <v/>
      </c>
      <c r="M1327" s="7">
        <f>IF(OR(G1327="",G1326=""),"",G1327/G1326-1)</f>
        <v/>
      </c>
      <c r="N1327" s="7">
        <f>IF(G1327="","",E1327/G1327)</f>
        <v/>
      </c>
      <c r="O1327" s="7">
        <f>IF(G1327="","",F1327/G1327)</f>
        <v/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4">
        <f>IF(SUMIFS('Daily NSE Equity Cash'!$H:$H,'Daily NSE Equity Cash'!$A:$A,$A1328)=0,"",SUMIFS('Daily NSE Equity Cash'!$H:$H,'Daily NSE Equity Cash'!$A:$A,$A1328))</f>
        <v/>
      </c>
      <c r="F1328" s="4">
        <f>IF(SUMIFS('Daily BSE Equity Cash'!$H:$H,'Daily BSE Equity Cash'!$A:$A,$A1328)=0,"",SUMIFS('Daily BSE Equity Cash'!$H:$H,'Daily BSE Equity Cash'!$A:$A,$A1328))</f>
        <v/>
      </c>
      <c r="G1328" s="4">
        <f>IF(OR(E1328="",F1328=""),"",E1328+F1328)</f>
        <v/>
      </c>
      <c r="H1328" s="7">
        <f>IFERROR(IF(OR(E1328="",INDEX(E:E,MATCH(DATE(YEAR($A1328)-1,MONTH($A1328),DAY($A1328)),$A:$A,0))=""),"",E1328/INDEX(E:E,MATCH(DATE(YEAR($A1328)-1,MONTH($A1328),DAY($A1328)),$A:$A,0))-1),"")</f>
        <v/>
      </c>
      <c r="I1328" s="7">
        <f>IFERROR(IF(OR(F1328="",INDEX(F:F,MATCH(DATE(YEAR($A1328)-1,MONTH($A1328),DAY($A1328)),$A:$A,0))=""),"",F1328/INDEX(F:F,MATCH(DATE(YEAR($A1328)-1,MONTH($A1328),DAY($A1328)),$A:$A,0))-1),"")</f>
        <v/>
      </c>
      <c r="J1328" s="7">
        <f>IFERROR(IF(OR(G1328="",INDEX(G:G,MATCH(DATE(YEAR($A1328)-1,MONTH($A1328),DAY($A1328)),$A:$A,0))=""),"",G1328/INDEX(G:G,MATCH(DATE(YEAR($A1328)-1,MONTH($A1328),DAY($A1328)),$A:$A,0))-1),"")</f>
        <v/>
      </c>
      <c r="K1328" s="7">
        <f>IF(OR(E1328="",E1327=""),"",E1328/E1327-1)</f>
        <v/>
      </c>
      <c r="L1328" s="7">
        <f>IF(OR(F1328="",F1327=""),"",F1328/F1327-1)</f>
        <v/>
      </c>
      <c r="M1328" s="7">
        <f>IF(OR(G1328="",G1327=""),"",G1328/G1327-1)</f>
        <v/>
      </c>
      <c r="N1328" s="7">
        <f>IF(G1328="","",E1328/G1328)</f>
        <v/>
      </c>
      <c r="O1328" s="7">
        <f>IF(G1328="","",F1328/G1328)</f>
        <v/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4">
        <f>IF(SUMIFS('Daily NSE Equity Cash'!$H:$H,'Daily NSE Equity Cash'!$A:$A,$A1329)=0,"",SUMIFS('Daily NSE Equity Cash'!$H:$H,'Daily NSE Equity Cash'!$A:$A,$A1329))</f>
        <v/>
      </c>
      <c r="F1329" s="4">
        <f>IF(SUMIFS('Daily BSE Equity Cash'!$H:$H,'Daily BSE Equity Cash'!$A:$A,$A1329)=0,"",SUMIFS('Daily BSE Equity Cash'!$H:$H,'Daily BSE Equity Cash'!$A:$A,$A1329))</f>
        <v/>
      </c>
      <c r="G1329" s="4">
        <f>IF(OR(E1329="",F1329=""),"",E1329+F1329)</f>
        <v/>
      </c>
      <c r="H1329" s="7">
        <f>IFERROR(IF(OR(E1329="",INDEX(E:E,MATCH(DATE(YEAR($A1329)-1,MONTH($A1329),DAY($A1329)),$A:$A,0))=""),"",E1329/INDEX(E:E,MATCH(DATE(YEAR($A1329)-1,MONTH($A1329),DAY($A1329)),$A:$A,0))-1),"")</f>
        <v/>
      </c>
      <c r="I1329" s="7">
        <f>IFERROR(IF(OR(F1329="",INDEX(F:F,MATCH(DATE(YEAR($A1329)-1,MONTH($A1329),DAY($A1329)),$A:$A,0))=""),"",F1329/INDEX(F:F,MATCH(DATE(YEAR($A1329)-1,MONTH($A1329),DAY($A1329)),$A:$A,0))-1),"")</f>
        <v/>
      </c>
      <c r="J1329" s="7">
        <f>IFERROR(IF(OR(G1329="",INDEX(G:G,MATCH(DATE(YEAR($A1329)-1,MONTH($A1329),DAY($A1329)),$A:$A,0))=""),"",G1329/INDEX(G:G,MATCH(DATE(YEAR($A1329)-1,MONTH($A1329),DAY($A1329)),$A:$A,0))-1),"")</f>
        <v/>
      </c>
      <c r="K1329" s="7">
        <f>IF(OR(E1329="",E1328=""),"",E1329/E1328-1)</f>
        <v/>
      </c>
      <c r="L1329" s="7">
        <f>IF(OR(F1329="",F1328=""),"",F1329/F1328-1)</f>
        <v/>
      </c>
      <c r="M1329" s="7">
        <f>IF(OR(G1329="",G1328=""),"",G1329/G1328-1)</f>
        <v/>
      </c>
      <c r="N1329" s="7">
        <f>IF(G1329="","",E1329/G1329)</f>
        <v/>
      </c>
      <c r="O1329" s="7">
        <f>IF(G1329="","",F1329/G1329)</f>
        <v/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4">
        <f>IF(SUMIFS('Daily NSE Equity Cash'!$H:$H,'Daily NSE Equity Cash'!$A:$A,$A1330)=0,"",SUMIFS('Daily NSE Equity Cash'!$H:$H,'Daily NSE Equity Cash'!$A:$A,$A1330))</f>
        <v/>
      </c>
      <c r="F1330" s="4">
        <f>IF(SUMIFS('Daily BSE Equity Cash'!$H:$H,'Daily BSE Equity Cash'!$A:$A,$A1330)=0,"",SUMIFS('Daily BSE Equity Cash'!$H:$H,'Daily BSE Equity Cash'!$A:$A,$A1330))</f>
        <v/>
      </c>
      <c r="G1330" s="4">
        <f>IF(OR(E1330="",F1330=""),"",E1330+F1330)</f>
        <v/>
      </c>
      <c r="H1330" s="7">
        <f>IFERROR(IF(OR(E1330="",INDEX(E:E,MATCH(DATE(YEAR($A1330)-1,MONTH($A1330),DAY($A1330)),$A:$A,0))=""),"",E1330/INDEX(E:E,MATCH(DATE(YEAR($A1330)-1,MONTH($A1330),DAY($A1330)),$A:$A,0))-1),"")</f>
        <v/>
      </c>
      <c r="I1330" s="7">
        <f>IFERROR(IF(OR(F1330="",INDEX(F:F,MATCH(DATE(YEAR($A1330)-1,MONTH($A1330),DAY($A1330)),$A:$A,0))=""),"",F1330/INDEX(F:F,MATCH(DATE(YEAR($A1330)-1,MONTH($A1330),DAY($A1330)),$A:$A,0))-1),"")</f>
        <v/>
      </c>
      <c r="J1330" s="7">
        <f>IFERROR(IF(OR(G1330="",INDEX(G:G,MATCH(DATE(YEAR($A1330)-1,MONTH($A1330),DAY($A1330)),$A:$A,0))=""),"",G1330/INDEX(G:G,MATCH(DATE(YEAR($A1330)-1,MONTH($A1330),DAY($A1330)),$A:$A,0))-1),"")</f>
        <v/>
      </c>
      <c r="K1330" s="7">
        <f>IF(OR(E1330="",E1329=""),"",E1330/E1329-1)</f>
        <v/>
      </c>
      <c r="L1330" s="7">
        <f>IF(OR(F1330="",F1329=""),"",F1330/F1329-1)</f>
        <v/>
      </c>
      <c r="M1330" s="7">
        <f>IF(OR(G1330="",G1329=""),"",G1330/G1329-1)</f>
        <v/>
      </c>
      <c r="N1330" s="7">
        <f>IF(G1330="","",E1330/G1330)</f>
        <v/>
      </c>
      <c r="O1330" s="7">
        <f>IF(G1330="","",F1330/G1330)</f>
        <v/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4">
        <f>IF(SUMIFS('Daily NSE Equity Cash'!$H:$H,'Daily NSE Equity Cash'!$A:$A,$A1331)=0,"",SUMIFS('Daily NSE Equity Cash'!$H:$H,'Daily NSE Equity Cash'!$A:$A,$A1331))</f>
        <v/>
      </c>
      <c r="F1331" s="4">
        <f>IF(SUMIFS('Daily BSE Equity Cash'!$H:$H,'Daily BSE Equity Cash'!$A:$A,$A1331)=0,"",SUMIFS('Daily BSE Equity Cash'!$H:$H,'Daily BSE Equity Cash'!$A:$A,$A1331))</f>
        <v/>
      </c>
      <c r="G1331" s="4">
        <f>IF(OR(E1331="",F1331=""),"",E1331+F1331)</f>
        <v/>
      </c>
      <c r="H1331" s="7">
        <f>IFERROR(IF(OR(E1331="",INDEX(E:E,MATCH(DATE(YEAR($A1331)-1,MONTH($A1331),DAY($A1331)),$A:$A,0))=""),"",E1331/INDEX(E:E,MATCH(DATE(YEAR($A1331)-1,MONTH($A1331),DAY($A1331)),$A:$A,0))-1),"")</f>
        <v/>
      </c>
      <c r="I1331" s="7">
        <f>IFERROR(IF(OR(F1331="",INDEX(F:F,MATCH(DATE(YEAR($A1331)-1,MONTH($A1331),DAY($A1331)),$A:$A,0))=""),"",F1331/INDEX(F:F,MATCH(DATE(YEAR($A1331)-1,MONTH($A1331),DAY($A1331)),$A:$A,0))-1),"")</f>
        <v/>
      </c>
      <c r="J1331" s="7">
        <f>IFERROR(IF(OR(G1331="",INDEX(G:G,MATCH(DATE(YEAR($A1331)-1,MONTH($A1331),DAY($A1331)),$A:$A,0))=""),"",G1331/INDEX(G:G,MATCH(DATE(YEAR($A1331)-1,MONTH($A1331),DAY($A1331)),$A:$A,0))-1),"")</f>
        <v/>
      </c>
      <c r="K1331" s="7">
        <f>IF(OR(E1331="",E1330=""),"",E1331/E1330-1)</f>
        <v/>
      </c>
      <c r="L1331" s="7">
        <f>IF(OR(F1331="",F1330=""),"",F1331/F1330-1)</f>
        <v/>
      </c>
      <c r="M1331" s="7">
        <f>IF(OR(G1331="",G1330=""),"",G1331/G1330-1)</f>
        <v/>
      </c>
      <c r="N1331" s="7">
        <f>IF(G1331="","",E1331/G1331)</f>
        <v/>
      </c>
      <c r="O1331" s="7">
        <f>IF(G1331="","",F1331/G1331)</f>
        <v/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4">
        <f>IF(SUMIFS('Daily NSE Equity Cash'!$H:$H,'Daily NSE Equity Cash'!$A:$A,$A1332)=0,"",SUMIFS('Daily NSE Equity Cash'!$H:$H,'Daily NSE Equity Cash'!$A:$A,$A1332))</f>
        <v/>
      </c>
      <c r="F1332" s="4">
        <f>IF(SUMIFS('Daily BSE Equity Cash'!$H:$H,'Daily BSE Equity Cash'!$A:$A,$A1332)=0,"",SUMIFS('Daily BSE Equity Cash'!$H:$H,'Daily BSE Equity Cash'!$A:$A,$A1332))</f>
        <v/>
      </c>
      <c r="G1332" s="4">
        <f>IF(OR(E1332="",F1332=""),"",E1332+F1332)</f>
        <v/>
      </c>
      <c r="H1332" s="7">
        <f>IFERROR(IF(OR(E1332="",INDEX(E:E,MATCH(DATE(YEAR($A1332)-1,MONTH($A1332),DAY($A1332)),$A:$A,0))=""),"",E1332/INDEX(E:E,MATCH(DATE(YEAR($A1332)-1,MONTH($A1332),DAY($A1332)),$A:$A,0))-1),"")</f>
        <v/>
      </c>
      <c r="I1332" s="7">
        <f>IFERROR(IF(OR(F1332="",INDEX(F:F,MATCH(DATE(YEAR($A1332)-1,MONTH($A1332),DAY($A1332)),$A:$A,0))=""),"",F1332/INDEX(F:F,MATCH(DATE(YEAR($A1332)-1,MONTH($A1332),DAY($A1332)),$A:$A,0))-1),"")</f>
        <v/>
      </c>
      <c r="J1332" s="7">
        <f>IFERROR(IF(OR(G1332="",INDEX(G:G,MATCH(DATE(YEAR($A1332)-1,MONTH($A1332),DAY($A1332)),$A:$A,0))=""),"",G1332/INDEX(G:G,MATCH(DATE(YEAR($A1332)-1,MONTH($A1332),DAY($A1332)),$A:$A,0))-1),"")</f>
        <v/>
      </c>
      <c r="K1332" s="7">
        <f>IF(OR(E1332="",E1331=""),"",E1332/E1331-1)</f>
        <v/>
      </c>
      <c r="L1332" s="7">
        <f>IF(OR(F1332="",F1331=""),"",F1332/F1331-1)</f>
        <v/>
      </c>
      <c r="M1332" s="7">
        <f>IF(OR(G1332="",G1331=""),"",G1332/G1331-1)</f>
        <v/>
      </c>
      <c r="N1332" s="7">
        <f>IF(G1332="","",E1332/G1332)</f>
        <v/>
      </c>
      <c r="O1332" s="7">
        <f>IF(G1332="","",F1332/G1332)</f>
        <v/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4">
        <f>IF(SUMIFS('Daily NSE Equity Cash'!$H:$H,'Daily NSE Equity Cash'!$A:$A,$A1333)=0,"",SUMIFS('Daily NSE Equity Cash'!$H:$H,'Daily NSE Equity Cash'!$A:$A,$A1333))</f>
        <v/>
      </c>
      <c r="F1333" s="4">
        <f>IF(SUMIFS('Daily BSE Equity Cash'!$H:$H,'Daily BSE Equity Cash'!$A:$A,$A1333)=0,"",SUMIFS('Daily BSE Equity Cash'!$H:$H,'Daily BSE Equity Cash'!$A:$A,$A1333))</f>
        <v/>
      </c>
      <c r="G1333" s="4">
        <f>IF(OR(E1333="",F1333=""),"",E1333+F1333)</f>
        <v/>
      </c>
      <c r="H1333" s="7">
        <f>IFERROR(IF(OR(E1333="",INDEX(E:E,MATCH(DATE(YEAR($A1333)-1,MONTH($A1333),DAY($A1333)),$A:$A,0))=""),"",E1333/INDEX(E:E,MATCH(DATE(YEAR($A1333)-1,MONTH($A1333),DAY($A1333)),$A:$A,0))-1),"")</f>
        <v/>
      </c>
      <c r="I1333" s="7">
        <f>IFERROR(IF(OR(F1333="",INDEX(F:F,MATCH(DATE(YEAR($A1333)-1,MONTH($A1333),DAY($A1333)),$A:$A,0))=""),"",F1333/INDEX(F:F,MATCH(DATE(YEAR($A1333)-1,MONTH($A1333),DAY($A1333)),$A:$A,0))-1),"")</f>
        <v/>
      </c>
      <c r="J1333" s="7">
        <f>IFERROR(IF(OR(G1333="",INDEX(G:G,MATCH(DATE(YEAR($A1333)-1,MONTH($A1333),DAY($A1333)),$A:$A,0))=""),"",G1333/INDEX(G:G,MATCH(DATE(YEAR($A1333)-1,MONTH($A1333),DAY($A1333)),$A:$A,0))-1),"")</f>
        <v/>
      </c>
      <c r="K1333" s="7">
        <f>IF(OR(E1333="",E1332=""),"",E1333/E1332-1)</f>
        <v/>
      </c>
      <c r="L1333" s="7">
        <f>IF(OR(F1333="",F1332=""),"",F1333/F1332-1)</f>
        <v/>
      </c>
      <c r="M1333" s="7">
        <f>IF(OR(G1333="",G1332=""),"",G1333/G1332-1)</f>
        <v/>
      </c>
      <c r="N1333" s="7">
        <f>IF(G1333="","",E1333/G1333)</f>
        <v/>
      </c>
      <c r="O1333" s="7">
        <f>IF(G1333="","",F1333/G1333)</f>
        <v/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4">
        <f>IF(SUMIFS('Daily NSE Equity Cash'!$H:$H,'Daily NSE Equity Cash'!$A:$A,$A1334)=0,"",SUMIFS('Daily NSE Equity Cash'!$H:$H,'Daily NSE Equity Cash'!$A:$A,$A1334))</f>
        <v/>
      </c>
      <c r="F1334" s="4">
        <f>IF(SUMIFS('Daily BSE Equity Cash'!$H:$H,'Daily BSE Equity Cash'!$A:$A,$A1334)=0,"",SUMIFS('Daily BSE Equity Cash'!$H:$H,'Daily BSE Equity Cash'!$A:$A,$A1334))</f>
        <v/>
      </c>
      <c r="G1334" s="4">
        <f>IF(OR(E1334="",F1334=""),"",E1334+F1334)</f>
        <v/>
      </c>
      <c r="H1334" s="7">
        <f>IFERROR(IF(OR(E1334="",INDEX(E:E,MATCH(DATE(YEAR($A1334)-1,MONTH($A1334),DAY($A1334)),$A:$A,0))=""),"",E1334/INDEX(E:E,MATCH(DATE(YEAR($A1334)-1,MONTH($A1334),DAY($A1334)),$A:$A,0))-1),"")</f>
        <v/>
      </c>
      <c r="I1334" s="7">
        <f>IFERROR(IF(OR(F1334="",INDEX(F:F,MATCH(DATE(YEAR($A1334)-1,MONTH($A1334),DAY($A1334)),$A:$A,0))=""),"",F1334/INDEX(F:F,MATCH(DATE(YEAR($A1334)-1,MONTH($A1334),DAY($A1334)),$A:$A,0))-1),"")</f>
        <v/>
      </c>
      <c r="J1334" s="7">
        <f>IFERROR(IF(OR(G1334="",INDEX(G:G,MATCH(DATE(YEAR($A1334)-1,MONTH($A1334),DAY($A1334)),$A:$A,0))=""),"",G1334/INDEX(G:G,MATCH(DATE(YEAR($A1334)-1,MONTH($A1334),DAY($A1334)),$A:$A,0))-1),"")</f>
        <v/>
      </c>
      <c r="K1334" s="7">
        <f>IF(OR(E1334="",E1333=""),"",E1334/E1333-1)</f>
        <v/>
      </c>
      <c r="L1334" s="7">
        <f>IF(OR(F1334="",F1333=""),"",F1334/F1333-1)</f>
        <v/>
      </c>
      <c r="M1334" s="7">
        <f>IF(OR(G1334="",G1333=""),"",G1334/G1333-1)</f>
        <v/>
      </c>
      <c r="N1334" s="7">
        <f>IF(G1334="","",E1334/G1334)</f>
        <v/>
      </c>
      <c r="O1334" s="7">
        <f>IF(G1334="","",F1334/G1334)</f>
        <v/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4">
        <f>IF(SUMIFS('Daily NSE Equity Cash'!$H:$H,'Daily NSE Equity Cash'!$A:$A,$A1335)=0,"",SUMIFS('Daily NSE Equity Cash'!$H:$H,'Daily NSE Equity Cash'!$A:$A,$A1335))</f>
        <v/>
      </c>
      <c r="F1335" s="4">
        <f>IF(SUMIFS('Daily BSE Equity Cash'!$H:$H,'Daily BSE Equity Cash'!$A:$A,$A1335)=0,"",SUMIFS('Daily BSE Equity Cash'!$H:$H,'Daily BSE Equity Cash'!$A:$A,$A1335))</f>
        <v/>
      </c>
      <c r="G1335" s="4">
        <f>IF(OR(E1335="",F1335=""),"",E1335+F1335)</f>
        <v/>
      </c>
      <c r="H1335" s="7">
        <f>IFERROR(IF(OR(E1335="",INDEX(E:E,MATCH(DATE(YEAR($A1335)-1,MONTH($A1335),DAY($A1335)),$A:$A,0))=""),"",E1335/INDEX(E:E,MATCH(DATE(YEAR($A1335)-1,MONTH($A1335),DAY($A1335)),$A:$A,0))-1),"")</f>
        <v/>
      </c>
      <c r="I1335" s="7">
        <f>IFERROR(IF(OR(F1335="",INDEX(F:F,MATCH(DATE(YEAR($A1335)-1,MONTH($A1335),DAY($A1335)),$A:$A,0))=""),"",F1335/INDEX(F:F,MATCH(DATE(YEAR($A1335)-1,MONTH($A1335),DAY($A1335)),$A:$A,0))-1),"")</f>
        <v/>
      </c>
      <c r="J1335" s="7">
        <f>IFERROR(IF(OR(G1335="",INDEX(G:G,MATCH(DATE(YEAR($A1335)-1,MONTH($A1335),DAY($A1335)),$A:$A,0))=""),"",G1335/INDEX(G:G,MATCH(DATE(YEAR($A1335)-1,MONTH($A1335),DAY($A1335)),$A:$A,0))-1),"")</f>
        <v/>
      </c>
      <c r="K1335" s="7">
        <f>IF(OR(E1335="",E1334=""),"",E1335/E1334-1)</f>
        <v/>
      </c>
      <c r="L1335" s="7">
        <f>IF(OR(F1335="",F1334=""),"",F1335/F1334-1)</f>
        <v/>
      </c>
      <c r="M1335" s="7">
        <f>IF(OR(G1335="",G1334=""),"",G1335/G1334-1)</f>
        <v/>
      </c>
      <c r="N1335" s="7">
        <f>IF(G1335="","",E1335/G1335)</f>
        <v/>
      </c>
      <c r="O1335" s="7">
        <f>IF(G1335="","",F1335/G1335)</f>
        <v/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4">
        <f>IF(SUMIFS('Daily NSE Equity Cash'!$H:$H,'Daily NSE Equity Cash'!$A:$A,$A1336)=0,"",SUMIFS('Daily NSE Equity Cash'!$H:$H,'Daily NSE Equity Cash'!$A:$A,$A1336))</f>
        <v/>
      </c>
      <c r="F1336" s="4">
        <f>IF(SUMIFS('Daily BSE Equity Cash'!$H:$H,'Daily BSE Equity Cash'!$A:$A,$A1336)=0,"",SUMIFS('Daily BSE Equity Cash'!$H:$H,'Daily BSE Equity Cash'!$A:$A,$A1336))</f>
        <v/>
      </c>
      <c r="G1336" s="4">
        <f>IF(OR(E1336="",F1336=""),"",E1336+F1336)</f>
        <v/>
      </c>
      <c r="H1336" s="7">
        <f>IFERROR(IF(OR(E1336="",INDEX(E:E,MATCH(DATE(YEAR($A1336)-1,MONTH($A1336),DAY($A1336)),$A:$A,0))=""),"",E1336/INDEX(E:E,MATCH(DATE(YEAR($A1336)-1,MONTH($A1336),DAY($A1336)),$A:$A,0))-1),"")</f>
        <v/>
      </c>
      <c r="I1336" s="7">
        <f>IFERROR(IF(OR(F1336="",INDEX(F:F,MATCH(DATE(YEAR($A1336)-1,MONTH($A1336),DAY($A1336)),$A:$A,0))=""),"",F1336/INDEX(F:F,MATCH(DATE(YEAR($A1336)-1,MONTH($A1336),DAY($A1336)),$A:$A,0))-1),"")</f>
        <v/>
      </c>
      <c r="J1336" s="7">
        <f>IFERROR(IF(OR(G1336="",INDEX(G:G,MATCH(DATE(YEAR($A1336)-1,MONTH($A1336),DAY($A1336)),$A:$A,0))=""),"",G1336/INDEX(G:G,MATCH(DATE(YEAR($A1336)-1,MONTH($A1336),DAY($A1336)),$A:$A,0))-1),"")</f>
        <v/>
      </c>
      <c r="K1336" s="7">
        <f>IF(OR(E1336="",E1335=""),"",E1336/E1335-1)</f>
        <v/>
      </c>
      <c r="L1336" s="7">
        <f>IF(OR(F1336="",F1335=""),"",F1336/F1335-1)</f>
        <v/>
      </c>
      <c r="M1336" s="7">
        <f>IF(OR(G1336="",G1335=""),"",G1336/G1335-1)</f>
        <v/>
      </c>
      <c r="N1336" s="7">
        <f>IF(G1336="","",E1336/G1336)</f>
        <v/>
      </c>
      <c r="O1336" s="7">
        <f>IF(G1336="","",F1336/G1336)</f>
        <v/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4">
        <f>IF(SUMIFS('Daily NSE Equity Cash'!$H:$H,'Daily NSE Equity Cash'!$A:$A,$A1337)=0,"",SUMIFS('Daily NSE Equity Cash'!$H:$H,'Daily NSE Equity Cash'!$A:$A,$A1337))</f>
        <v/>
      </c>
      <c r="F1337" s="4">
        <f>IF(SUMIFS('Daily BSE Equity Cash'!$H:$H,'Daily BSE Equity Cash'!$A:$A,$A1337)=0,"",SUMIFS('Daily BSE Equity Cash'!$H:$H,'Daily BSE Equity Cash'!$A:$A,$A1337))</f>
        <v/>
      </c>
      <c r="G1337" s="4">
        <f>IF(OR(E1337="",F1337=""),"",E1337+F1337)</f>
        <v/>
      </c>
      <c r="H1337" s="7">
        <f>IFERROR(IF(OR(E1337="",INDEX(E:E,MATCH(DATE(YEAR($A1337)-1,MONTH($A1337),DAY($A1337)),$A:$A,0))=""),"",E1337/INDEX(E:E,MATCH(DATE(YEAR($A1337)-1,MONTH($A1337),DAY($A1337)),$A:$A,0))-1),"")</f>
        <v/>
      </c>
      <c r="I1337" s="7">
        <f>IFERROR(IF(OR(F1337="",INDEX(F:F,MATCH(DATE(YEAR($A1337)-1,MONTH($A1337),DAY($A1337)),$A:$A,0))=""),"",F1337/INDEX(F:F,MATCH(DATE(YEAR($A1337)-1,MONTH($A1337),DAY($A1337)),$A:$A,0))-1),"")</f>
        <v/>
      </c>
      <c r="J1337" s="7">
        <f>IFERROR(IF(OR(G1337="",INDEX(G:G,MATCH(DATE(YEAR($A1337)-1,MONTH($A1337),DAY($A1337)),$A:$A,0))=""),"",G1337/INDEX(G:G,MATCH(DATE(YEAR($A1337)-1,MONTH($A1337),DAY($A1337)),$A:$A,0))-1),"")</f>
        <v/>
      </c>
      <c r="K1337" s="7">
        <f>IF(OR(E1337="",E1336=""),"",E1337/E1336-1)</f>
        <v/>
      </c>
      <c r="L1337" s="7">
        <f>IF(OR(F1337="",F1336=""),"",F1337/F1336-1)</f>
        <v/>
      </c>
      <c r="M1337" s="7">
        <f>IF(OR(G1337="",G1336=""),"",G1337/G1336-1)</f>
        <v/>
      </c>
      <c r="N1337" s="7">
        <f>IF(G1337="","",E1337/G1337)</f>
        <v/>
      </c>
      <c r="O1337" s="7">
        <f>IF(G1337="","",F1337/G1337)</f>
        <v/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4">
        <f>IF(SUMIFS('Daily NSE Equity Cash'!$H:$H,'Daily NSE Equity Cash'!$A:$A,$A1338)=0,"",SUMIFS('Daily NSE Equity Cash'!$H:$H,'Daily NSE Equity Cash'!$A:$A,$A1338))</f>
        <v/>
      </c>
      <c r="F1338" s="4">
        <f>IF(SUMIFS('Daily BSE Equity Cash'!$H:$H,'Daily BSE Equity Cash'!$A:$A,$A1338)=0,"",SUMIFS('Daily BSE Equity Cash'!$H:$H,'Daily BSE Equity Cash'!$A:$A,$A1338))</f>
        <v/>
      </c>
      <c r="G1338" s="4">
        <f>IF(OR(E1338="",F1338=""),"",E1338+F1338)</f>
        <v/>
      </c>
      <c r="H1338" s="7">
        <f>IFERROR(IF(OR(E1338="",INDEX(E:E,MATCH(DATE(YEAR($A1338)-1,MONTH($A1338),DAY($A1338)),$A:$A,0))=""),"",E1338/INDEX(E:E,MATCH(DATE(YEAR($A1338)-1,MONTH($A1338),DAY($A1338)),$A:$A,0))-1),"")</f>
        <v/>
      </c>
      <c r="I1338" s="7">
        <f>IFERROR(IF(OR(F1338="",INDEX(F:F,MATCH(DATE(YEAR($A1338)-1,MONTH($A1338),DAY($A1338)),$A:$A,0))=""),"",F1338/INDEX(F:F,MATCH(DATE(YEAR($A1338)-1,MONTH($A1338),DAY($A1338)),$A:$A,0))-1),"")</f>
        <v/>
      </c>
      <c r="J1338" s="7">
        <f>IFERROR(IF(OR(G1338="",INDEX(G:G,MATCH(DATE(YEAR($A1338)-1,MONTH($A1338),DAY($A1338)),$A:$A,0))=""),"",G1338/INDEX(G:G,MATCH(DATE(YEAR($A1338)-1,MONTH($A1338),DAY($A1338)),$A:$A,0))-1),"")</f>
        <v/>
      </c>
      <c r="K1338" s="7">
        <f>IF(OR(E1338="",E1337=""),"",E1338/E1337-1)</f>
        <v/>
      </c>
      <c r="L1338" s="7">
        <f>IF(OR(F1338="",F1337=""),"",F1338/F1337-1)</f>
        <v/>
      </c>
      <c r="M1338" s="7">
        <f>IF(OR(G1338="",G1337=""),"",G1338/G1337-1)</f>
        <v/>
      </c>
      <c r="N1338" s="7">
        <f>IF(G1338="","",E1338/G1338)</f>
        <v/>
      </c>
      <c r="O1338" s="7">
        <f>IF(G1338="","",F1338/G1338)</f>
        <v/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4">
        <f>IF(SUMIFS('Daily NSE Equity Cash'!$H:$H,'Daily NSE Equity Cash'!$A:$A,$A1339)=0,"",SUMIFS('Daily NSE Equity Cash'!$H:$H,'Daily NSE Equity Cash'!$A:$A,$A1339))</f>
        <v/>
      </c>
      <c r="F1339" s="4">
        <f>IF(SUMIFS('Daily BSE Equity Cash'!$H:$H,'Daily BSE Equity Cash'!$A:$A,$A1339)=0,"",SUMIFS('Daily BSE Equity Cash'!$H:$H,'Daily BSE Equity Cash'!$A:$A,$A1339))</f>
        <v/>
      </c>
      <c r="G1339" s="4">
        <f>IF(OR(E1339="",F1339=""),"",E1339+F1339)</f>
        <v/>
      </c>
      <c r="H1339" s="7">
        <f>IFERROR(IF(OR(E1339="",INDEX(E:E,MATCH(DATE(YEAR($A1339)-1,MONTH($A1339),DAY($A1339)),$A:$A,0))=""),"",E1339/INDEX(E:E,MATCH(DATE(YEAR($A1339)-1,MONTH($A1339),DAY($A1339)),$A:$A,0))-1),"")</f>
        <v/>
      </c>
      <c r="I1339" s="7">
        <f>IFERROR(IF(OR(F1339="",INDEX(F:F,MATCH(DATE(YEAR($A1339)-1,MONTH($A1339),DAY($A1339)),$A:$A,0))=""),"",F1339/INDEX(F:F,MATCH(DATE(YEAR($A1339)-1,MONTH($A1339),DAY($A1339)),$A:$A,0))-1),"")</f>
        <v/>
      </c>
      <c r="J1339" s="7">
        <f>IFERROR(IF(OR(G1339="",INDEX(G:G,MATCH(DATE(YEAR($A1339)-1,MONTH($A1339),DAY($A1339)),$A:$A,0))=""),"",G1339/INDEX(G:G,MATCH(DATE(YEAR($A1339)-1,MONTH($A1339),DAY($A1339)),$A:$A,0))-1),"")</f>
        <v/>
      </c>
      <c r="K1339" s="7">
        <f>IF(OR(E1339="",E1338=""),"",E1339/E1338-1)</f>
        <v/>
      </c>
      <c r="L1339" s="7">
        <f>IF(OR(F1339="",F1338=""),"",F1339/F1338-1)</f>
        <v/>
      </c>
      <c r="M1339" s="7">
        <f>IF(OR(G1339="",G1338=""),"",G1339/G1338-1)</f>
        <v/>
      </c>
      <c r="N1339" s="7">
        <f>IF(G1339="","",E1339/G1339)</f>
        <v/>
      </c>
      <c r="O1339" s="7">
        <f>IF(G1339="","",F1339/G1339)</f>
        <v/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4">
        <f>IF(SUMIFS('Daily NSE Equity Cash'!$H:$H,'Daily NSE Equity Cash'!$A:$A,$A1340)=0,"",SUMIFS('Daily NSE Equity Cash'!$H:$H,'Daily NSE Equity Cash'!$A:$A,$A1340))</f>
        <v/>
      </c>
      <c r="F1340" s="4">
        <f>IF(SUMIFS('Daily BSE Equity Cash'!$H:$H,'Daily BSE Equity Cash'!$A:$A,$A1340)=0,"",SUMIFS('Daily BSE Equity Cash'!$H:$H,'Daily BSE Equity Cash'!$A:$A,$A1340))</f>
        <v/>
      </c>
      <c r="G1340" s="4">
        <f>IF(OR(E1340="",F1340=""),"",E1340+F1340)</f>
        <v/>
      </c>
      <c r="H1340" s="7">
        <f>IFERROR(IF(OR(E1340="",INDEX(E:E,MATCH(DATE(YEAR($A1340)-1,MONTH($A1340),DAY($A1340)),$A:$A,0))=""),"",E1340/INDEX(E:E,MATCH(DATE(YEAR($A1340)-1,MONTH($A1340),DAY($A1340)),$A:$A,0))-1),"")</f>
        <v/>
      </c>
      <c r="I1340" s="7">
        <f>IFERROR(IF(OR(F1340="",INDEX(F:F,MATCH(DATE(YEAR($A1340)-1,MONTH($A1340),DAY($A1340)),$A:$A,0))=""),"",F1340/INDEX(F:F,MATCH(DATE(YEAR($A1340)-1,MONTH($A1340),DAY($A1340)),$A:$A,0))-1),"")</f>
        <v/>
      </c>
      <c r="J1340" s="7">
        <f>IFERROR(IF(OR(G1340="",INDEX(G:G,MATCH(DATE(YEAR($A1340)-1,MONTH($A1340),DAY($A1340)),$A:$A,0))=""),"",G1340/INDEX(G:G,MATCH(DATE(YEAR($A1340)-1,MONTH($A1340),DAY($A1340)),$A:$A,0))-1),"")</f>
        <v/>
      </c>
      <c r="K1340" s="7">
        <f>IF(OR(E1340="",E1339=""),"",E1340/E1339-1)</f>
        <v/>
      </c>
      <c r="L1340" s="7">
        <f>IF(OR(F1340="",F1339=""),"",F1340/F1339-1)</f>
        <v/>
      </c>
      <c r="M1340" s="7">
        <f>IF(OR(G1340="",G1339=""),"",G1340/G1339-1)</f>
        <v/>
      </c>
      <c r="N1340" s="7">
        <f>IF(G1340="","",E1340/G1340)</f>
        <v/>
      </c>
      <c r="O1340" s="7">
        <f>IF(G1340="","",F1340/G1340)</f>
        <v/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4">
        <f>IF(SUMIFS('Daily NSE Equity Cash'!$H:$H,'Daily NSE Equity Cash'!$A:$A,$A1341)=0,"",SUMIFS('Daily NSE Equity Cash'!$H:$H,'Daily NSE Equity Cash'!$A:$A,$A1341))</f>
        <v/>
      </c>
      <c r="F1341" s="4">
        <f>IF(SUMIFS('Daily BSE Equity Cash'!$H:$H,'Daily BSE Equity Cash'!$A:$A,$A1341)=0,"",SUMIFS('Daily BSE Equity Cash'!$H:$H,'Daily BSE Equity Cash'!$A:$A,$A1341))</f>
        <v/>
      </c>
      <c r="G1341" s="4">
        <f>IF(OR(E1341="",F1341=""),"",E1341+F1341)</f>
        <v/>
      </c>
      <c r="H1341" s="7">
        <f>IFERROR(IF(OR(E1341="",INDEX(E:E,MATCH(DATE(YEAR($A1341)-1,MONTH($A1341),DAY($A1341)),$A:$A,0))=""),"",E1341/INDEX(E:E,MATCH(DATE(YEAR($A1341)-1,MONTH($A1341),DAY($A1341)),$A:$A,0))-1),"")</f>
        <v/>
      </c>
      <c r="I1341" s="7">
        <f>IFERROR(IF(OR(F1341="",INDEX(F:F,MATCH(DATE(YEAR($A1341)-1,MONTH($A1341),DAY($A1341)),$A:$A,0))=""),"",F1341/INDEX(F:F,MATCH(DATE(YEAR($A1341)-1,MONTH($A1341),DAY($A1341)),$A:$A,0))-1),"")</f>
        <v/>
      </c>
      <c r="J1341" s="7">
        <f>IFERROR(IF(OR(G1341="",INDEX(G:G,MATCH(DATE(YEAR($A1341)-1,MONTH($A1341),DAY($A1341)),$A:$A,0))=""),"",G1341/INDEX(G:G,MATCH(DATE(YEAR($A1341)-1,MONTH($A1341),DAY($A1341)),$A:$A,0))-1),"")</f>
        <v/>
      </c>
      <c r="K1341" s="7">
        <f>IF(OR(E1341="",E1340=""),"",E1341/E1340-1)</f>
        <v/>
      </c>
      <c r="L1341" s="7">
        <f>IF(OR(F1341="",F1340=""),"",F1341/F1340-1)</f>
        <v/>
      </c>
      <c r="M1341" s="7">
        <f>IF(OR(G1341="",G1340=""),"",G1341/G1340-1)</f>
        <v/>
      </c>
      <c r="N1341" s="7">
        <f>IF(G1341="","",E1341/G1341)</f>
        <v/>
      </c>
      <c r="O1341" s="7">
        <f>IF(G1341="","",F1341/G1341)</f>
        <v/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4">
        <f>IF(SUMIFS('Daily NSE Equity Cash'!$H:$H,'Daily NSE Equity Cash'!$A:$A,$A1342)=0,"",SUMIFS('Daily NSE Equity Cash'!$H:$H,'Daily NSE Equity Cash'!$A:$A,$A1342))</f>
        <v/>
      </c>
      <c r="F1342" s="4">
        <f>IF(SUMIFS('Daily BSE Equity Cash'!$H:$H,'Daily BSE Equity Cash'!$A:$A,$A1342)=0,"",SUMIFS('Daily BSE Equity Cash'!$H:$H,'Daily BSE Equity Cash'!$A:$A,$A1342))</f>
        <v/>
      </c>
      <c r="G1342" s="4">
        <f>IF(OR(E1342="",F1342=""),"",E1342+F1342)</f>
        <v/>
      </c>
      <c r="H1342" s="7">
        <f>IFERROR(IF(OR(E1342="",INDEX(E:E,MATCH(DATE(YEAR($A1342)-1,MONTH($A1342),DAY($A1342)),$A:$A,0))=""),"",E1342/INDEX(E:E,MATCH(DATE(YEAR($A1342)-1,MONTH($A1342),DAY($A1342)),$A:$A,0))-1),"")</f>
        <v/>
      </c>
      <c r="I1342" s="7">
        <f>IFERROR(IF(OR(F1342="",INDEX(F:F,MATCH(DATE(YEAR($A1342)-1,MONTH($A1342),DAY($A1342)),$A:$A,0))=""),"",F1342/INDEX(F:F,MATCH(DATE(YEAR($A1342)-1,MONTH($A1342),DAY($A1342)),$A:$A,0))-1),"")</f>
        <v/>
      </c>
      <c r="J1342" s="7">
        <f>IFERROR(IF(OR(G1342="",INDEX(G:G,MATCH(DATE(YEAR($A1342)-1,MONTH($A1342),DAY($A1342)),$A:$A,0))=""),"",G1342/INDEX(G:G,MATCH(DATE(YEAR($A1342)-1,MONTH($A1342),DAY($A1342)),$A:$A,0))-1),"")</f>
        <v/>
      </c>
      <c r="K1342" s="7">
        <f>IF(OR(E1342="",E1341=""),"",E1342/E1341-1)</f>
        <v/>
      </c>
      <c r="L1342" s="7">
        <f>IF(OR(F1342="",F1341=""),"",F1342/F1341-1)</f>
        <v/>
      </c>
      <c r="M1342" s="7">
        <f>IF(OR(G1342="",G1341=""),"",G1342/G1341-1)</f>
        <v/>
      </c>
      <c r="N1342" s="7">
        <f>IF(G1342="","",E1342/G1342)</f>
        <v/>
      </c>
      <c r="O1342" s="7">
        <f>IF(G1342="","",F1342/G1342)</f>
        <v/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4">
        <f>IF(SUMIFS('Daily NSE Equity Cash'!$H:$H,'Daily NSE Equity Cash'!$A:$A,$A1343)=0,"",SUMIFS('Daily NSE Equity Cash'!$H:$H,'Daily NSE Equity Cash'!$A:$A,$A1343))</f>
        <v/>
      </c>
      <c r="F1343" s="4">
        <f>IF(SUMIFS('Daily BSE Equity Cash'!$H:$H,'Daily BSE Equity Cash'!$A:$A,$A1343)=0,"",SUMIFS('Daily BSE Equity Cash'!$H:$H,'Daily BSE Equity Cash'!$A:$A,$A1343))</f>
        <v/>
      </c>
      <c r="G1343" s="4">
        <f>IF(OR(E1343="",F1343=""),"",E1343+F1343)</f>
        <v/>
      </c>
      <c r="H1343" s="7">
        <f>IFERROR(IF(OR(E1343="",INDEX(E:E,MATCH(DATE(YEAR($A1343)-1,MONTH($A1343),DAY($A1343)),$A:$A,0))=""),"",E1343/INDEX(E:E,MATCH(DATE(YEAR($A1343)-1,MONTH($A1343),DAY($A1343)),$A:$A,0))-1),"")</f>
        <v/>
      </c>
      <c r="I1343" s="7">
        <f>IFERROR(IF(OR(F1343="",INDEX(F:F,MATCH(DATE(YEAR($A1343)-1,MONTH($A1343),DAY($A1343)),$A:$A,0))=""),"",F1343/INDEX(F:F,MATCH(DATE(YEAR($A1343)-1,MONTH($A1343),DAY($A1343)),$A:$A,0))-1),"")</f>
        <v/>
      </c>
      <c r="J1343" s="7">
        <f>IFERROR(IF(OR(G1343="",INDEX(G:G,MATCH(DATE(YEAR($A1343)-1,MONTH($A1343),DAY($A1343)),$A:$A,0))=""),"",G1343/INDEX(G:G,MATCH(DATE(YEAR($A1343)-1,MONTH($A1343),DAY($A1343)),$A:$A,0))-1),"")</f>
        <v/>
      </c>
      <c r="K1343" s="7">
        <f>IF(OR(E1343="",E1342=""),"",E1343/E1342-1)</f>
        <v/>
      </c>
      <c r="L1343" s="7">
        <f>IF(OR(F1343="",F1342=""),"",F1343/F1342-1)</f>
        <v/>
      </c>
      <c r="M1343" s="7">
        <f>IF(OR(G1343="",G1342=""),"",G1343/G1342-1)</f>
        <v/>
      </c>
      <c r="N1343" s="7">
        <f>IF(G1343="","",E1343/G1343)</f>
        <v/>
      </c>
      <c r="O1343" s="7">
        <f>IF(G1343="","",F1343/G1343)</f>
        <v/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4">
        <f>IF(SUMIFS('Daily NSE Equity Cash'!$H:$H,'Daily NSE Equity Cash'!$A:$A,$A1344)=0,"",SUMIFS('Daily NSE Equity Cash'!$H:$H,'Daily NSE Equity Cash'!$A:$A,$A1344))</f>
        <v/>
      </c>
      <c r="F1344" s="4">
        <f>IF(SUMIFS('Daily BSE Equity Cash'!$H:$H,'Daily BSE Equity Cash'!$A:$A,$A1344)=0,"",SUMIFS('Daily BSE Equity Cash'!$H:$H,'Daily BSE Equity Cash'!$A:$A,$A1344))</f>
        <v/>
      </c>
      <c r="G1344" s="4">
        <f>IF(OR(E1344="",F1344=""),"",E1344+F1344)</f>
        <v/>
      </c>
      <c r="H1344" s="7">
        <f>IFERROR(IF(OR(E1344="",INDEX(E:E,MATCH(DATE(YEAR($A1344)-1,MONTH($A1344),DAY($A1344)),$A:$A,0))=""),"",E1344/INDEX(E:E,MATCH(DATE(YEAR($A1344)-1,MONTH($A1344),DAY($A1344)),$A:$A,0))-1),"")</f>
        <v/>
      </c>
      <c r="I1344" s="7">
        <f>IFERROR(IF(OR(F1344="",INDEX(F:F,MATCH(DATE(YEAR($A1344)-1,MONTH($A1344),DAY($A1344)),$A:$A,0))=""),"",F1344/INDEX(F:F,MATCH(DATE(YEAR($A1344)-1,MONTH($A1344),DAY($A1344)),$A:$A,0))-1),"")</f>
        <v/>
      </c>
      <c r="J1344" s="7">
        <f>IFERROR(IF(OR(G1344="",INDEX(G:G,MATCH(DATE(YEAR($A1344)-1,MONTH($A1344),DAY($A1344)),$A:$A,0))=""),"",G1344/INDEX(G:G,MATCH(DATE(YEAR($A1344)-1,MONTH($A1344),DAY($A1344)),$A:$A,0))-1),"")</f>
        <v/>
      </c>
      <c r="K1344" s="7">
        <f>IF(OR(E1344="",E1343=""),"",E1344/E1343-1)</f>
        <v/>
      </c>
      <c r="L1344" s="7">
        <f>IF(OR(F1344="",F1343=""),"",F1344/F1343-1)</f>
        <v/>
      </c>
      <c r="M1344" s="7">
        <f>IF(OR(G1344="",G1343=""),"",G1344/G1343-1)</f>
        <v/>
      </c>
      <c r="N1344" s="7">
        <f>IF(G1344="","",E1344/G1344)</f>
        <v/>
      </c>
      <c r="O1344" s="7">
        <f>IF(G1344="","",F1344/G1344)</f>
        <v/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4">
        <f>IF(SUMIFS('Daily NSE Equity Cash'!$H:$H,'Daily NSE Equity Cash'!$A:$A,$A1345)=0,"",SUMIFS('Daily NSE Equity Cash'!$H:$H,'Daily NSE Equity Cash'!$A:$A,$A1345))</f>
        <v/>
      </c>
      <c r="F1345" s="4">
        <f>IF(SUMIFS('Daily BSE Equity Cash'!$H:$H,'Daily BSE Equity Cash'!$A:$A,$A1345)=0,"",SUMIFS('Daily BSE Equity Cash'!$H:$H,'Daily BSE Equity Cash'!$A:$A,$A1345))</f>
        <v/>
      </c>
      <c r="G1345" s="4">
        <f>IF(OR(E1345="",F1345=""),"",E1345+F1345)</f>
        <v/>
      </c>
      <c r="H1345" s="7">
        <f>IFERROR(IF(OR(E1345="",INDEX(E:E,MATCH(DATE(YEAR($A1345)-1,MONTH($A1345),DAY($A1345)),$A:$A,0))=""),"",E1345/INDEX(E:E,MATCH(DATE(YEAR($A1345)-1,MONTH($A1345),DAY($A1345)),$A:$A,0))-1),"")</f>
        <v/>
      </c>
      <c r="I1345" s="7">
        <f>IFERROR(IF(OR(F1345="",INDEX(F:F,MATCH(DATE(YEAR($A1345)-1,MONTH($A1345),DAY($A1345)),$A:$A,0))=""),"",F1345/INDEX(F:F,MATCH(DATE(YEAR($A1345)-1,MONTH($A1345),DAY($A1345)),$A:$A,0))-1),"")</f>
        <v/>
      </c>
      <c r="J1345" s="7">
        <f>IFERROR(IF(OR(G1345="",INDEX(G:G,MATCH(DATE(YEAR($A1345)-1,MONTH($A1345),DAY($A1345)),$A:$A,0))=""),"",G1345/INDEX(G:G,MATCH(DATE(YEAR($A1345)-1,MONTH($A1345),DAY($A1345)),$A:$A,0))-1),"")</f>
        <v/>
      </c>
      <c r="K1345" s="7">
        <f>IF(OR(E1345="",E1344=""),"",E1345/E1344-1)</f>
        <v/>
      </c>
      <c r="L1345" s="7">
        <f>IF(OR(F1345="",F1344=""),"",F1345/F1344-1)</f>
        <v/>
      </c>
      <c r="M1345" s="7">
        <f>IF(OR(G1345="",G1344=""),"",G1345/G1344-1)</f>
        <v/>
      </c>
      <c r="N1345" s="7">
        <f>IF(G1345="","",E1345/G1345)</f>
        <v/>
      </c>
      <c r="O1345" s="7">
        <f>IF(G1345="","",F1345/G1345)</f>
        <v/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4">
        <f>IF(SUMIFS('Daily NSE Equity Cash'!$H:$H,'Daily NSE Equity Cash'!$A:$A,$A1346)=0,"",SUMIFS('Daily NSE Equity Cash'!$H:$H,'Daily NSE Equity Cash'!$A:$A,$A1346))</f>
        <v/>
      </c>
      <c r="F1346" s="4">
        <f>IF(SUMIFS('Daily BSE Equity Cash'!$H:$H,'Daily BSE Equity Cash'!$A:$A,$A1346)=0,"",SUMIFS('Daily BSE Equity Cash'!$H:$H,'Daily BSE Equity Cash'!$A:$A,$A1346))</f>
        <v/>
      </c>
      <c r="G1346" s="4">
        <f>IF(OR(E1346="",F1346=""),"",E1346+F1346)</f>
        <v/>
      </c>
      <c r="H1346" s="7">
        <f>IFERROR(IF(OR(E1346="",INDEX(E:E,MATCH(DATE(YEAR($A1346)-1,MONTH($A1346),DAY($A1346)),$A:$A,0))=""),"",E1346/INDEX(E:E,MATCH(DATE(YEAR($A1346)-1,MONTH($A1346),DAY($A1346)),$A:$A,0))-1),"")</f>
        <v/>
      </c>
      <c r="I1346" s="7">
        <f>IFERROR(IF(OR(F1346="",INDEX(F:F,MATCH(DATE(YEAR($A1346)-1,MONTH($A1346),DAY($A1346)),$A:$A,0))=""),"",F1346/INDEX(F:F,MATCH(DATE(YEAR($A1346)-1,MONTH($A1346),DAY($A1346)),$A:$A,0))-1),"")</f>
        <v/>
      </c>
      <c r="J1346" s="7">
        <f>IFERROR(IF(OR(G1346="",INDEX(G:G,MATCH(DATE(YEAR($A1346)-1,MONTH($A1346),DAY($A1346)),$A:$A,0))=""),"",G1346/INDEX(G:G,MATCH(DATE(YEAR($A1346)-1,MONTH($A1346),DAY($A1346)),$A:$A,0))-1),"")</f>
        <v/>
      </c>
      <c r="K1346" s="7">
        <f>IF(OR(E1346="",E1345=""),"",E1346/E1345-1)</f>
        <v/>
      </c>
      <c r="L1346" s="7">
        <f>IF(OR(F1346="",F1345=""),"",F1346/F1345-1)</f>
        <v/>
      </c>
      <c r="M1346" s="7">
        <f>IF(OR(G1346="",G1345=""),"",G1346/G1345-1)</f>
        <v/>
      </c>
      <c r="N1346" s="7">
        <f>IF(G1346="","",E1346/G1346)</f>
        <v/>
      </c>
      <c r="O1346" s="7">
        <f>IF(G1346="","",F1346/G1346)</f>
        <v/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4">
        <f>IF(SUMIFS('Daily NSE Equity Cash'!$H:$H,'Daily NSE Equity Cash'!$A:$A,$A1347)=0,"",SUMIFS('Daily NSE Equity Cash'!$H:$H,'Daily NSE Equity Cash'!$A:$A,$A1347))</f>
        <v/>
      </c>
      <c r="F1347" s="4">
        <f>IF(SUMIFS('Daily BSE Equity Cash'!$H:$H,'Daily BSE Equity Cash'!$A:$A,$A1347)=0,"",SUMIFS('Daily BSE Equity Cash'!$H:$H,'Daily BSE Equity Cash'!$A:$A,$A1347))</f>
        <v/>
      </c>
      <c r="G1347" s="4">
        <f>IF(OR(E1347="",F1347=""),"",E1347+F1347)</f>
        <v/>
      </c>
      <c r="H1347" s="7">
        <f>IFERROR(IF(OR(E1347="",INDEX(E:E,MATCH(DATE(YEAR($A1347)-1,MONTH($A1347),DAY($A1347)),$A:$A,0))=""),"",E1347/INDEX(E:E,MATCH(DATE(YEAR($A1347)-1,MONTH($A1347),DAY($A1347)),$A:$A,0))-1),"")</f>
        <v/>
      </c>
      <c r="I1347" s="7">
        <f>IFERROR(IF(OR(F1347="",INDEX(F:F,MATCH(DATE(YEAR($A1347)-1,MONTH($A1347),DAY($A1347)),$A:$A,0))=""),"",F1347/INDEX(F:F,MATCH(DATE(YEAR($A1347)-1,MONTH($A1347),DAY($A1347)),$A:$A,0))-1),"")</f>
        <v/>
      </c>
      <c r="J1347" s="7">
        <f>IFERROR(IF(OR(G1347="",INDEX(G:G,MATCH(DATE(YEAR($A1347)-1,MONTH($A1347),DAY($A1347)),$A:$A,0))=""),"",G1347/INDEX(G:G,MATCH(DATE(YEAR($A1347)-1,MONTH($A1347),DAY($A1347)),$A:$A,0))-1),"")</f>
        <v/>
      </c>
      <c r="K1347" s="7">
        <f>IF(OR(E1347="",E1346=""),"",E1347/E1346-1)</f>
        <v/>
      </c>
      <c r="L1347" s="7">
        <f>IF(OR(F1347="",F1346=""),"",F1347/F1346-1)</f>
        <v/>
      </c>
      <c r="M1347" s="7">
        <f>IF(OR(G1347="",G1346=""),"",G1347/G1346-1)</f>
        <v/>
      </c>
      <c r="N1347" s="7">
        <f>IF(G1347="","",E1347/G1347)</f>
        <v/>
      </c>
      <c r="O1347" s="7">
        <f>IF(G1347="","",F1347/G1347)</f>
        <v/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4">
        <f>IF(SUMIFS('Daily NSE Equity Cash'!$H:$H,'Daily NSE Equity Cash'!$A:$A,$A1348)=0,"",SUMIFS('Daily NSE Equity Cash'!$H:$H,'Daily NSE Equity Cash'!$A:$A,$A1348))</f>
        <v/>
      </c>
      <c r="F1348" s="4">
        <f>IF(SUMIFS('Daily BSE Equity Cash'!$H:$H,'Daily BSE Equity Cash'!$A:$A,$A1348)=0,"",SUMIFS('Daily BSE Equity Cash'!$H:$H,'Daily BSE Equity Cash'!$A:$A,$A1348))</f>
        <v/>
      </c>
      <c r="G1348" s="4">
        <f>IF(OR(E1348="",F1348=""),"",E1348+F1348)</f>
        <v/>
      </c>
      <c r="H1348" s="7">
        <f>IFERROR(IF(OR(E1348="",INDEX(E:E,MATCH(DATE(YEAR($A1348)-1,MONTH($A1348),DAY($A1348)),$A:$A,0))=""),"",E1348/INDEX(E:E,MATCH(DATE(YEAR($A1348)-1,MONTH($A1348),DAY($A1348)),$A:$A,0))-1),"")</f>
        <v/>
      </c>
      <c r="I1348" s="7">
        <f>IFERROR(IF(OR(F1348="",INDEX(F:F,MATCH(DATE(YEAR($A1348)-1,MONTH($A1348),DAY($A1348)),$A:$A,0))=""),"",F1348/INDEX(F:F,MATCH(DATE(YEAR($A1348)-1,MONTH($A1348),DAY($A1348)),$A:$A,0))-1),"")</f>
        <v/>
      </c>
      <c r="J1348" s="7">
        <f>IFERROR(IF(OR(G1348="",INDEX(G:G,MATCH(DATE(YEAR($A1348)-1,MONTH($A1348),DAY($A1348)),$A:$A,0))=""),"",G1348/INDEX(G:G,MATCH(DATE(YEAR($A1348)-1,MONTH($A1348),DAY($A1348)),$A:$A,0))-1),"")</f>
        <v/>
      </c>
      <c r="K1348" s="7">
        <f>IF(OR(E1348="",E1347=""),"",E1348/E1347-1)</f>
        <v/>
      </c>
      <c r="L1348" s="7">
        <f>IF(OR(F1348="",F1347=""),"",F1348/F1347-1)</f>
        <v/>
      </c>
      <c r="M1348" s="7">
        <f>IF(OR(G1348="",G1347=""),"",G1348/G1347-1)</f>
        <v/>
      </c>
      <c r="N1348" s="7">
        <f>IF(G1348="","",E1348/G1348)</f>
        <v/>
      </c>
      <c r="O1348" s="7">
        <f>IF(G1348="","",F1348/G1348)</f>
        <v/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4">
        <f>IF(SUMIFS('Daily NSE Equity Cash'!$H:$H,'Daily NSE Equity Cash'!$A:$A,$A1349)=0,"",SUMIFS('Daily NSE Equity Cash'!$H:$H,'Daily NSE Equity Cash'!$A:$A,$A1349))</f>
        <v/>
      </c>
      <c r="F1349" s="4">
        <f>IF(SUMIFS('Daily BSE Equity Cash'!$H:$H,'Daily BSE Equity Cash'!$A:$A,$A1349)=0,"",SUMIFS('Daily BSE Equity Cash'!$H:$H,'Daily BSE Equity Cash'!$A:$A,$A1349))</f>
        <v/>
      </c>
      <c r="G1349" s="4">
        <f>IF(OR(E1349="",F1349=""),"",E1349+F1349)</f>
        <v/>
      </c>
      <c r="H1349" s="7">
        <f>IFERROR(IF(OR(E1349="",INDEX(E:E,MATCH(DATE(YEAR($A1349)-1,MONTH($A1349),DAY($A1349)),$A:$A,0))=""),"",E1349/INDEX(E:E,MATCH(DATE(YEAR($A1349)-1,MONTH($A1349),DAY($A1349)),$A:$A,0))-1),"")</f>
        <v/>
      </c>
      <c r="I1349" s="7">
        <f>IFERROR(IF(OR(F1349="",INDEX(F:F,MATCH(DATE(YEAR($A1349)-1,MONTH($A1349),DAY($A1349)),$A:$A,0))=""),"",F1349/INDEX(F:F,MATCH(DATE(YEAR($A1349)-1,MONTH($A1349),DAY($A1349)),$A:$A,0))-1),"")</f>
        <v/>
      </c>
      <c r="J1349" s="7">
        <f>IFERROR(IF(OR(G1349="",INDEX(G:G,MATCH(DATE(YEAR($A1349)-1,MONTH($A1349),DAY($A1349)),$A:$A,0))=""),"",G1349/INDEX(G:G,MATCH(DATE(YEAR($A1349)-1,MONTH($A1349),DAY($A1349)),$A:$A,0))-1),"")</f>
        <v/>
      </c>
      <c r="K1349" s="7">
        <f>IF(OR(E1349="",E1348=""),"",E1349/E1348-1)</f>
        <v/>
      </c>
      <c r="L1349" s="7">
        <f>IF(OR(F1349="",F1348=""),"",F1349/F1348-1)</f>
        <v/>
      </c>
      <c r="M1349" s="7">
        <f>IF(OR(G1349="",G1348=""),"",G1349/G1348-1)</f>
        <v/>
      </c>
      <c r="N1349" s="7">
        <f>IF(G1349="","",E1349/G1349)</f>
        <v/>
      </c>
      <c r="O1349" s="7">
        <f>IF(G1349="","",F1349/G1349)</f>
        <v/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4">
        <f>IF(SUMIFS('Daily NSE Equity Cash'!$H:$H,'Daily NSE Equity Cash'!$A:$A,$A1350)=0,"",SUMIFS('Daily NSE Equity Cash'!$H:$H,'Daily NSE Equity Cash'!$A:$A,$A1350))</f>
        <v/>
      </c>
      <c r="F1350" s="4">
        <f>IF(SUMIFS('Daily BSE Equity Cash'!$H:$H,'Daily BSE Equity Cash'!$A:$A,$A1350)=0,"",SUMIFS('Daily BSE Equity Cash'!$H:$H,'Daily BSE Equity Cash'!$A:$A,$A1350))</f>
        <v/>
      </c>
      <c r="G1350" s="4">
        <f>IF(OR(E1350="",F1350=""),"",E1350+F1350)</f>
        <v/>
      </c>
      <c r="H1350" s="7">
        <f>IFERROR(IF(OR(E1350="",INDEX(E:E,MATCH(DATE(YEAR($A1350)-1,MONTH($A1350),DAY($A1350)),$A:$A,0))=""),"",E1350/INDEX(E:E,MATCH(DATE(YEAR($A1350)-1,MONTH($A1350),DAY($A1350)),$A:$A,0))-1),"")</f>
        <v/>
      </c>
      <c r="I1350" s="7">
        <f>IFERROR(IF(OR(F1350="",INDEX(F:F,MATCH(DATE(YEAR($A1350)-1,MONTH($A1350),DAY($A1350)),$A:$A,0))=""),"",F1350/INDEX(F:F,MATCH(DATE(YEAR($A1350)-1,MONTH($A1350),DAY($A1350)),$A:$A,0))-1),"")</f>
        <v/>
      </c>
      <c r="J1350" s="7">
        <f>IFERROR(IF(OR(G1350="",INDEX(G:G,MATCH(DATE(YEAR($A1350)-1,MONTH($A1350),DAY($A1350)),$A:$A,0))=""),"",G1350/INDEX(G:G,MATCH(DATE(YEAR($A1350)-1,MONTH($A1350),DAY($A1350)),$A:$A,0))-1),"")</f>
        <v/>
      </c>
      <c r="K1350" s="7">
        <f>IF(OR(E1350="",E1349=""),"",E1350/E1349-1)</f>
        <v/>
      </c>
      <c r="L1350" s="7">
        <f>IF(OR(F1350="",F1349=""),"",F1350/F1349-1)</f>
        <v/>
      </c>
      <c r="M1350" s="7">
        <f>IF(OR(G1350="",G1349=""),"",G1350/G1349-1)</f>
        <v/>
      </c>
      <c r="N1350" s="7">
        <f>IF(G1350="","",E1350/G1350)</f>
        <v/>
      </c>
      <c r="O1350" s="7">
        <f>IF(G1350="","",F1350/G1350)</f>
        <v/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4">
        <f>IF(SUMIFS('Daily NSE Equity Cash'!$H:$H,'Daily NSE Equity Cash'!$A:$A,$A1351)=0,"",SUMIFS('Daily NSE Equity Cash'!$H:$H,'Daily NSE Equity Cash'!$A:$A,$A1351))</f>
        <v/>
      </c>
      <c r="F1351" s="4">
        <f>IF(SUMIFS('Daily BSE Equity Cash'!$H:$H,'Daily BSE Equity Cash'!$A:$A,$A1351)=0,"",SUMIFS('Daily BSE Equity Cash'!$H:$H,'Daily BSE Equity Cash'!$A:$A,$A1351))</f>
        <v/>
      </c>
      <c r="G1351" s="4">
        <f>IF(OR(E1351="",F1351=""),"",E1351+F1351)</f>
        <v/>
      </c>
      <c r="H1351" s="7">
        <f>IFERROR(IF(OR(E1351="",INDEX(E:E,MATCH(DATE(YEAR($A1351)-1,MONTH($A1351),DAY($A1351)),$A:$A,0))=""),"",E1351/INDEX(E:E,MATCH(DATE(YEAR($A1351)-1,MONTH($A1351),DAY($A1351)),$A:$A,0))-1),"")</f>
        <v/>
      </c>
      <c r="I1351" s="7">
        <f>IFERROR(IF(OR(F1351="",INDEX(F:F,MATCH(DATE(YEAR($A1351)-1,MONTH($A1351),DAY($A1351)),$A:$A,0))=""),"",F1351/INDEX(F:F,MATCH(DATE(YEAR($A1351)-1,MONTH($A1351),DAY($A1351)),$A:$A,0))-1),"")</f>
        <v/>
      </c>
      <c r="J1351" s="7">
        <f>IFERROR(IF(OR(G1351="",INDEX(G:G,MATCH(DATE(YEAR($A1351)-1,MONTH($A1351),DAY($A1351)),$A:$A,0))=""),"",G1351/INDEX(G:G,MATCH(DATE(YEAR($A1351)-1,MONTH($A1351),DAY($A1351)),$A:$A,0))-1),"")</f>
        <v/>
      </c>
      <c r="K1351" s="7">
        <f>IF(OR(E1351="",E1350=""),"",E1351/E1350-1)</f>
        <v/>
      </c>
      <c r="L1351" s="7">
        <f>IF(OR(F1351="",F1350=""),"",F1351/F1350-1)</f>
        <v/>
      </c>
      <c r="M1351" s="7">
        <f>IF(OR(G1351="",G1350=""),"",G1351/G1350-1)</f>
        <v/>
      </c>
      <c r="N1351" s="7">
        <f>IF(G1351="","",E1351/G1351)</f>
        <v/>
      </c>
      <c r="O1351" s="7">
        <f>IF(G1351="","",F1351/G1351)</f>
        <v/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4">
        <f>IF(SUMIFS('Daily NSE Equity Cash'!$H:$H,'Daily NSE Equity Cash'!$A:$A,$A1352)=0,"",SUMIFS('Daily NSE Equity Cash'!$H:$H,'Daily NSE Equity Cash'!$A:$A,$A1352))</f>
        <v/>
      </c>
      <c r="F1352" s="4">
        <f>IF(SUMIFS('Daily BSE Equity Cash'!$H:$H,'Daily BSE Equity Cash'!$A:$A,$A1352)=0,"",SUMIFS('Daily BSE Equity Cash'!$H:$H,'Daily BSE Equity Cash'!$A:$A,$A1352))</f>
        <v/>
      </c>
      <c r="G1352" s="4">
        <f>IF(OR(E1352="",F1352=""),"",E1352+F1352)</f>
        <v/>
      </c>
      <c r="H1352" s="7">
        <f>IFERROR(IF(OR(E1352="",INDEX(E:E,MATCH(DATE(YEAR($A1352)-1,MONTH($A1352),DAY($A1352)),$A:$A,0))=""),"",E1352/INDEX(E:E,MATCH(DATE(YEAR($A1352)-1,MONTH($A1352),DAY($A1352)),$A:$A,0))-1),"")</f>
        <v/>
      </c>
      <c r="I1352" s="7">
        <f>IFERROR(IF(OR(F1352="",INDEX(F:F,MATCH(DATE(YEAR($A1352)-1,MONTH($A1352),DAY($A1352)),$A:$A,0))=""),"",F1352/INDEX(F:F,MATCH(DATE(YEAR($A1352)-1,MONTH($A1352),DAY($A1352)),$A:$A,0))-1),"")</f>
        <v/>
      </c>
      <c r="J1352" s="7">
        <f>IFERROR(IF(OR(G1352="",INDEX(G:G,MATCH(DATE(YEAR($A1352)-1,MONTH($A1352),DAY($A1352)),$A:$A,0))=""),"",G1352/INDEX(G:G,MATCH(DATE(YEAR($A1352)-1,MONTH($A1352),DAY($A1352)),$A:$A,0))-1),"")</f>
        <v/>
      </c>
      <c r="K1352" s="7">
        <f>IF(OR(E1352="",E1351=""),"",E1352/E1351-1)</f>
        <v/>
      </c>
      <c r="L1352" s="7">
        <f>IF(OR(F1352="",F1351=""),"",F1352/F1351-1)</f>
        <v/>
      </c>
      <c r="M1352" s="7">
        <f>IF(OR(G1352="",G1351=""),"",G1352/G1351-1)</f>
        <v/>
      </c>
      <c r="N1352" s="7">
        <f>IF(G1352="","",E1352/G1352)</f>
        <v/>
      </c>
      <c r="O1352" s="7">
        <f>IF(G1352="","",F1352/G1352)</f>
        <v/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4">
        <f>IF(SUMIFS('Daily NSE Equity Cash'!$H:$H,'Daily NSE Equity Cash'!$A:$A,$A1353)=0,"",SUMIFS('Daily NSE Equity Cash'!$H:$H,'Daily NSE Equity Cash'!$A:$A,$A1353))</f>
        <v/>
      </c>
      <c r="F1353" s="4">
        <f>IF(SUMIFS('Daily BSE Equity Cash'!$H:$H,'Daily BSE Equity Cash'!$A:$A,$A1353)=0,"",SUMIFS('Daily BSE Equity Cash'!$H:$H,'Daily BSE Equity Cash'!$A:$A,$A1353))</f>
        <v/>
      </c>
      <c r="G1353" s="4">
        <f>IF(OR(E1353="",F1353=""),"",E1353+F1353)</f>
        <v/>
      </c>
      <c r="H1353" s="7">
        <f>IFERROR(IF(OR(E1353="",INDEX(E:E,MATCH(DATE(YEAR($A1353)-1,MONTH($A1353),DAY($A1353)),$A:$A,0))=""),"",E1353/INDEX(E:E,MATCH(DATE(YEAR($A1353)-1,MONTH($A1353),DAY($A1353)),$A:$A,0))-1),"")</f>
        <v/>
      </c>
      <c r="I1353" s="7">
        <f>IFERROR(IF(OR(F1353="",INDEX(F:F,MATCH(DATE(YEAR($A1353)-1,MONTH($A1353),DAY($A1353)),$A:$A,0))=""),"",F1353/INDEX(F:F,MATCH(DATE(YEAR($A1353)-1,MONTH($A1353),DAY($A1353)),$A:$A,0))-1),"")</f>
        <v/>
      </c>
      <c r="J1353" s="7">
        <f>IFERROR(IF(OR(G1353="",INDEX(G:G,MATCH(DATE(YEAR($A1353)-1,MONTH($A1353),DAY($A1353)),$A:$A,0))=""),"",G1353/INDEX(G:G,MATCH(DATE(YEAR($A1353)-1,MONTH($A1353),DAY($A1353)),$A:$A,0))-1),"")</f>
        <v/>
      </c>
      <c r="K1353" s="7">
        <f>IF(OR(E1353="",E1352=""),"",E1353/E1352-1)</f>
        <v/>
      </c>
      <c r="L1353" s="7">
        <f>IF(OR(F1353="",F1352=""),"",F1353/F1352-1)</f>
        <v/>
      </c>
      <c r="M1353" s="7">
        <f>IF(OR(G1353="",G1352=""),"",G1353/G1352-1)</f>
        <v/>
      </c>
      <c r="N1353" s="7">
        <f>IF(G1353="","",E1353/G1353)</f>
        <v/>
      </c>
      <c r="O1353" s="7">
        <f>IF(G1353="","",F1353/G1353)</f>
        <v/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4">
        <f>IF(SUMIFS('Daily NSE Equity Cash'!$H:$H,'Daily NSE Equity Cash'!$A:$A,$A1354)=0,"",SUMIFS('Daily NSE Equity Cash'!$H:$H,'Daily NSE Equity Cash'!$A:$A,$A1354))</f>
        <v/>
      </c>
      <c r="F1354" s="4">
        <f>IF(SUMIFS('Daily BSE Equity Cash'!$H:$H,'Daily BSE Equity Cash'!$A:$A,$A1354)=0,"",SUMIFS('Daily BSE Equity Cash'!$H:$H,'Daily BSE Equity Cash'!$A:$A,$A1354))</f>
        <v/>
      </c>
      <c r="G1354" s="4">
        <f>IF(OR(E1354="",F1354=""),"",E1354+F1354)</f>
        <v/>
      </c>
      <c r="H1354" s="7">
        <f>IFERROR(IF(OR(E1354="",INDEX(E:E,MATCH(DATE(YEAR($A1354)-1,MONTH($A1354),DAY($A1354)),$A:$A,0))=""),"",E1354/INDEX(E:E,MATCH(DATE(YEAR($A1354)-1,MONTH($A1354),DAY($A1354)),$A:$A,0))-1),"")</f>
        <v/>
      </c>
      <c r="I1354" s="7">
        <f>IFERROR(IF(OR(F1354="",INDEX(F:F,MATCH(DATE(YEAR($A1354)-1,MONTH($A1354),DAY($A1354)),$A:$A,0))=""),"",F1354/INDEX(F:F,MATCH(DATE(YEAR($A1354)-1,MONTH($A1354),DAY($A1354)),$A:$A,0))-1),"")</f>
        <v/>
      </c>
      <c r="J1354" s="7">
        <f>IFERROR(IF(OR(G1354="",INDEX(G:G,MATCH(DATE(YEAR($A1354)-1,MONTH($A1354),DAY($A1354)),$A:$A,0))=""),"",G1354/INDEX(G:G,MATCH(DATE(YEAR($A1354)-1,MONTH($A1354),DAY($A1354)),$A:$A,0))-1),"")</f>
        <v/>
      </c>
      <c r="K1354" s="7">
        <f>IF(OR(E1354="",E1353=""),"",E1354/E1353-1)</f>
        <v/>
      </c>
      <c r="L1354" s="7">
        <f>IF(OR(F1354="",F1353=""),"",F1354/F1353-1)</f>
        <v/>
      </c>
      <c r="M1354" s="7">
        <f>IF(OR(G1354="",G1353=""),"",G1354/G1353-1)</f>
        <v/>
      </c>
      <c r="N1354" s="7">
        <f>IF(G1354="","",E1354/G1354)</f>
        <v/>
      </c>
      <c r="O1354" s="7">
        <f>IF(G1354="","",F1354/G1354)</f>
        <v/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4">
        <f>IF(SUMIFS('Daily NSE Equity Cash'!$H:$H,'Daily NSE Equity Cash'!$A:$A,$A1355)=0,"",SUMIFS('Daily NSE Equity Cash'!$H:$H,'Daily NSE Equity Cash'!$A:$A,$A1355))</f>
        <v/>
      </c>
      <c r="F1355" s="4">
        <f>IF(SUMIFS('Daily BSE Equity Cash'!$H:$H,'Daily BSE Equity Cash'!$A:$A,$A1355)=0,"",SUMIFS('Daily BSE Equity Cash'!$H:$H,'Daily BSE Equity Cash'!$A:$A,$A1355))</f>
        <v/>
      </c>
      <c r="G1355" s="4">
        <f>IF(OR(E1355="",F1355=""),"",E1355+F1355)</f>
        <v/>
      </c>
      <c r="H1355" s="7">
        <f>IFERROR(IF(OR(E1355="",INDEX(E:E,MATCH(DATE(YEAR($A1355)-1,MONTH($A1355),DAY($A1355)),$A:$A,0))=""),"",E1355/INDEX(E:E,MATCH(DATE(YEAR($A1355)-1,MONTH($A1355),DAY($A1355)),$A:$A,0))-1),"")</f>
        <v/>
      </c>
      <c r="I1355" s="7">
        <f>IFERROR(IF(OR(F1355="",INDEX(F:F,MATCH(DATE(YEAR($A1355)-1,MONTH($A1355),DAY($A1355)),$A:$A,0))=""),"",F1355/INDEX(F:F,MATCH(DATE(YEAR($A1355)-1,MONTH($A1355),DAY($A1355)),$A:$A,0))-1),"")</f>
        <v/>
      </c>
      <c r="J1355" s="7">
        <f>IFERROR(IF(OR(G1355="",INDEX(G:G,MATCH(DATE(YEAR($A1355)-1,MONTH($A1355),DAY($A1355)),$A:$A,0))=""),"",G1355/INDEX(G:G,MATCH(DATE(YEAR($A1355)-1,MONTH($A1355),DAY($A1355)),$A:$A,0))-1),"")</f>
        <v/>
      </c>
      <c r="K1355" s="7">
        <f>IF(OR(E1355="",E1354=""),"",E1355/E1354-1)</f>
        <v/>
      </c>
      <c r="L1355" s="7">
        <f>IF(OR(F1355="",F1354=""),"",F1355/F1354-1)</f>
        <v/>
      </c>
      <c r="M1355" s="7">
        <f>IF(OR(G1355="",G1354=""),"",G1355/G1354-1)</f>
        <v/>
      </c>
      <c r="N1355" s="7">
        <f>IF(G1355="","",E1355/G1355)</f>
        <v/>
      </c>
      <c r="O1355" s="7">
        <f>IF(G1355="","",F1355/G1355)</f>
        <v/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4">
        <f>IF(SUMIFS('Daily NSE Equity Cash'!$H:$H,'Daily NSE Equity Cash'!$A:$A,$A1356)=0,"",SUMIFS('Daily NSE Equity Cash'!$H:$H,'Daily NSE Equity Cash'!$A:$A,$A1356))</f>
        <v/>
      </c>
      <c r="F1356" s="4">
        <f>IF(SUMIFS('Daily BSE Equity Cash'!$H:$H,'Daily BSE Equity Cash'!$A:$A,$A1356)=0,"",SUMIFS('Daily BSE Equity Cash'!$H:$H,'Daily BSE Equity Cash'!$A:$A,$A1356))</f>
        <v/>
      </c>
      <c r="G1356" s="4">
        <f>IF(OR(E1356="",F1356=""),"",E1356+F1356)</f>
        <v/>
      </c>
      <c r="H1356" s="7">
        <f>IFERROR(IF(OR(E1356="",INDEX(E:E,MATCH(DATE(YEAR($A1356)-1,MONTH($A1356),DAY($A1356)),$A:$A,0))=""),"",E1356/INDEX(E:E,MATCH(DATE(YEAR($A1356)-1,MONTH($A1356),DAY($A1356)),$A:$A,0))-1),"")</f>
        <v/>
      </c>
      <c r="I1356" s="7">
        <f>IFERROR(IF(OR(F1356="",INDEX(F:F,MATCH(DATE(YEAR($A1356)-1,MONTH($A1356),DAY($A1356)),$A:$A,0))=""),"",F1356/INDEX(F:F,MATCH(DATE(YEAR($A1356)-1,MONTH($A1356),DAY($A1356)),$A:$A,0))-1),"")</f>
        <v/>
      </c>
      <c r="J1356" s="7">
        <f>IFERROR(IF(OR(G1356="",INDEX(G:G,MATCH(DATE(YEAR($A1356)-1,MONTH($A1356),DAY($A1356)),$A:$A,0))=""),"",G1356/INDEX(G:G,MATCH(DATE(YEAR($A1356)-1,MONTH($A1356),DAY($A1356)),$A:$A,0))-1),"")</f>
        <v/>
      </c>
      <c r="K1356" s="7">
        <f>IF(OR(E1356="",E1355=""),"",E1356/E1355-1)</f>
        <v/>
      </c>
      <c r="L1356" s="7">
        <f>IF(OR(F1356="",F1355=""),"",F1356/F1355-1)</f>
        <v/>
      </c>
      <c r="M1356" s="7">
        <f>IF(OR(G1356="",G1355=""),"",G1356/G1355-1)</f>
        <v/>
      </c>
      <c r="N1356" s="7">
        <f>IF(G1356="","",E1356/G1356)</f>
        <v/>
      </c>
      <c r="O1356" s="7">
        <f>IF(G1356="","",F1356/G1356)</f>
        <v/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4">
        <f>IF(SUMIFS('Daily NSE Equity Cash'!$H:$H,'Daily NSE Equity Cash'!$A:$A,$A1357)=0,"",SUMIFS('Daily NSE Equity Cash'!$H:$H,'Daily NSE Equity Cash'!$A:$A,$A1357))</f>
        <v/>
      </c>
      <c r="F1357" s="4">
        <f>IF(SUMIFS('Daily BSE Equity Cash'!$H:$H,'Daily BSE Equity Cash'!$A:$A,$A1357)=0,"",SUMIFS('Daily BSE Equity Cash'!$H:$H,'Daily BSE Equity Cash'!$A:$A,$A1357))</f>
        <v/>
      </c>
      <c r="G1357" s="4">
        <f>IF(OR(E1357="",F1357=""),"",E1357+F1357)</f>
        <v/>
      </c>
      <c r="H1357" s="7">
        <f>IFERROR(IF(OR(E1357="",INDEX(E:E,MATCH(DATE(YEAR($A1357)-1,MONTH($A1357),DAY($A1357)),$A:$A,0))=""),"",E1357/INDEX(E:E,MATCH(DATE(YEAR($A1357)-1,MONTH($A1357),DAY($A1357)),$A:$A,0))-1),"")</f>
        <v/>
      </c>
      <c r="I1357" s="7">
        <f>IFERROR(IF(OR(F1357="",INDEX(F:F,MATCH(DATE(YEAR($A1357)-1,MONTH($A1357),DAY($A1357)),$A:$A,0))=""),"",F1357/INDEX(F:F,MATCH(DATE(YEAR($A1357)-1,MONTH($A1357),DAY($A1357)),$A:$A,0))-1),"")</f>
        <v/>
      </c>
      <c r="J1357" s="7">
        <f>IFERROR(IF(OR(G1357="",INDEX(G:G,MATCH(DATE(YEAR($A1357)-1,MONTH($A1357),DAY($A1357)),$A:$A,0))=""),"",G1357/INDEX(G:G,MATCH(DATE(YEAR($A1357)-1,MONTH($A1357),DAY($A1357)),$A:$A,0))-1),"")</f>
        <v/>
      </c>
      <c r="K1357" s="7">
        <f>IF(OR(E1357="",E1356=""),"",E1357/E1356-1)</f>
        <v/>
      </c>
      <c r="L1357" s="7">
        <f>IF(OR(F1357="",F1356=""),"",F1357/F1356-1)</f>
        <v/>
      </c>
      <c r="M1357" s="7">
        <f>IF(OR(G1357="",G1356=""),"",G1357/G1356-1)</f>
        <v/>
      </c>
      <c r="N1357" s="7">
        <f>IF(G1357="","",E1357/G1357)</f>
        <v/>
      </c>
      <c r="O1357" s="7">
        <f>IF(G1357="","",F1357/G1357)</f>
        <v/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4">
        <f>IF(SUMIFS('Daily NSE Equity Cash'!$H:$H,'Daily NSE Equity Cash'!$A:$A,$A1358)=0,"",SUMIFS('Daily NSE Equity Cash'!$H:$H,'Daily NSE Equity Cash'!$A:$A,$A1358))</f>
        <v/>
      </c>
      <c r="F1358" s="4">
        <f>IF(SUMIFS('Daily BSE Equity Cash'!$H:$H,'Daily BSE Equity Cash'!$A:$A,$A1358)=0,"",SUMIFS('Daily BSE Equity Cash'!$H:$H,'Daily BSE Equity Cash'!$A:$A,$A1358))</f>
        <v/>
      </c>
      <c r="G1358" s="4">
        <f>IF(OR(E1358="",F1358=""),"",E1358+F1358)</f>
        <v/>
      </c>
      <c r="H1358" s="7">
        <f>IFERROR(IF(OR(E1358="",INDEX(E:E,MATCH(DATE(YEAR($A1358)-1,MONTH($A1358),DAY($A1358)),$A:$A,0))=""),"",E1358/INDEX(E:E,MATCH(DATE(YEAR($A1358)-1,MONTH($A1358),DAY($A1358)),$A:$A,0))-1),"")</f>
        <v/>
      </c>
      <c r="I1358" s="7">
        <f>IFERROR(IF(OR(F1358="",INDEX(F:F,MATCH(DATE(YEAR($A1358)-1,MONTH($A1358),DAY($A1358)),$A:$A,0))=""),"",F1358/INDEX(F:F,MATCH(DATE(YEAR($A1358)-1,MONTH($A1358),DAY($A1358)),$A:$A,0))-1),"")</f>
        <v/>
      </c>
      <c r="J1358" s="7">
        <f>IFERROR(IF(OR(G1358="",INDEX(G:G,MATCH(DATE(YEAR($A1358)-1,MONTH($A1358),DAY($A1358)),$A:$A,0))=""),"",G1358/INDEX(G:G,MATCH(DATE(YEAR($A1358)-1,MONTH($A1358),DAY($A1358)),$A:$A,0))-1),"")</f>
        <v/>
      </c>
      <c r="K1358" s="7">
        <f>IF(OR(E1358="",E1357=""),"",E1358/E1357-1)</f>
        <v/>
      </c>
      <c r="L1358" s="7">
        <f>IF(OR(F1358="",F1357=""),"",F1358/F1357-1)</f>
        <v/>
      </c>
      <c r="M1358" s="7">
        <f>IF(OR(G1358="",G1357=""),"",G1358/G1357-1)</f>
        <v/>
      </c>
      <c r="N1358" s="7">
        <f>IF(G1358="","",E1358/G1358)</f>
        <v/>
      </c>
      <c r="O1358" s="7">
        <f>IF(G1358="","",F1358/G1358)</f>
        <v/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4">
        <f>IF(SUMIFS('Daily NSE Equity Cash'!$H:$H,'Daily NSE Equity Cash'!$A:$A,$A1359)=0,"",SUMIFS('Daily NSE Equity Cash'!$H:$H,'Daily NSE Equity Cash'!$A:$A,$A1359))</f>
        <v/>
      </c>
      <c r="F1359" s="4">
        <f>IF(SUMIFS('Daily BSE Equity Cash'!$H:$H,'Daily BSE Equity Cash'!$A:$A,$A1359)=0,"",SUMIFS('Daily BSE Equity Cash'!$H:$H,'Daily BSE Equity Cash'!$A:$A,$A1359))</f>
        <v/>
      </c>
      <c r="G1359" s="4">
        <f>IF(OR(E1359="",F1359=""),"",E1359+F1359)</f>
        <v/>
      </c>
      <c r="H1359" s="7">
        <f>IFERROR(IF(OR(E1359="",INDEX(E:E,MATCH(DATE(YEAR($A1359)-1,MONTH($A1359),DAY($A1359)),$A:$A,0))=""),"",E1359/INDEX(E:E,MATCH(DATE(YEAR($A1359)-1,MONTH($A1359),DAY($A1359)),$A:$A,0))-1),"")</f>
        <v/>
      </c>
      <c r="I1359" s="7">
        <f>IFERROR(IF(OR(F1359="",INDEX(F:F,MATCH(DATE(YEAR($A1359)-1,MONTH($A1359),DAY($A1359)),$A:$A,0))=""),"",F1359/INDEX(F:F,MATCH(DATE(YEAR($A1359)-1,MONTH($A1359),DAY($A1359)),$A:$A,0))-1),"")</f>
        <v/>
      </c>
      <c r="J1359" s="7">
        <f>IFERROR(IF(OR(G1359="",INDEX(G:G,MATCH(DATE(YEAR($A1359)-1,MONTH($A1359),DAY($A1359)),$A:$A,0))=""),"",G1359/INDEX(G:G,MATCH(DATE(YEAR($A1359)-1,MONTH($A1359),DAY($A1359)),$A:$A,0))-1),"")</f>
        <v/>
      </c>
      <c r="K1359" s="7">
        <f>IF(OR(E1359="",E1358=""),"",E1359/E1358-1)</f>
        <v/>
      </c>
      <c r="L1359" s="7">
        <f>IF(OR(F1359="",F1358=""),"",F1359/F1358-1)</f>
        <v/>
      </c>
      <c r="M1359" s="7">
        <f>IF(OR(G1359="",G1358=""),"",G1359/G1358-1)</f>
        <v/>
      </c>
      <c r="N1359" s="7">
        <f>IF(G1359="","",E1359/G1359)</f>
        <v/>
      </c>
      <c r="O1359" s="7">
        <f>IF(G1359="","",F1359/G1359)</f>
        <v/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4">
        <f>IF(SUMIFS('Daily NSE Equity Cash'!$H:$H,'Daily NSE Equity Cash'!$A:$A,$A1360)=0,"",SUMIFS('Daily NSE Equity Cash'!$H:$H,'Daily NSE Equity Cash'!$A:$A,$A1360))</f>
        <v/>
      </c>
      <c r="F1360" s="4">
        <f>IF(SUMIFS('Daily BSE Equity Cash'!$H:$H,'Daily BSE Equity Cash'!$A:$A,$A1360)=0,"",SUMIFS('Daily BSE Equity Cash'!$H:$H,'Daily BSE Equity Cash'!$A:$A,$A1360))</f>
        <v/>
      </c>
      <c r="G1360" s="4">
        <f>IF(OR(E1360="",F1360=""),"",E1360+F1360)</f>
        <v/>
      </c>
      <c r="H1360" s="7">
        <f>IFERROR(IF(OR(E1360="",INDEX(E:E,MATCH(DATE(YEAR($A1360)-1,MONTH($A1360),DAY($A1360)),$A:$A,0))=""),"",E1360/INDEX(E:E,MATCH(DATE(YEAR($A1360)-1,MONTH($A1360),DAY($A1360)),$A:$A,0))-1),"")</f>
        <v/>
      </c>
      <c r="I1360" s="7">
        <f>IFERROR(IF(OR(F1360="",INDEX(F:F,MATCH(DATE(YEAR($A1360)-1,MONTH($A1360),DAY($A1360)),$A:$A,0))=""),"",F1360/INDEX(F:F,MATCH(DATE(YEAR($A1360)-1,MONTH($A1360),DAY($A1360)),$A:$A,0))-1),"")</f>
        <v/>
      </c>
      <c r="J1360" s="7">
        <f>IFERROR(IF(OR(G1360="",INDEX(G:G,MATCH(DATE(YEAR($A1360)-1,MONTH($A1360),DAY($A1360)),$A:$A,0))=""),"",G1360/INDEX(G:G,MATCH(DATE(YEAR($A1360)-1,MONTH($A1360),DAY($A1360)),$A:$A,0))-1),"")</f>
        <v/>
      </c>
      <c r="K1360" s="7">
        <f>IF(OR(E1360="",E1359=""),"",E1360/E1359-1)</f>
        <v/>
      </c>
      <c r="L1360" s="7">
        <f>IF(OR(F1360="",F1359=""),"",F1360/F1359-1)</f>
        <v/>
      </c>
      <c r="M1360" s="7">
        <f>IF(OR(G1360="",G1359=""),"",G1360/G1359-1)</f>
        <v/>
      </c>
      <c r="N1360" s="7">
        <f>IF(G1360="","",E1360/G1360)</f>
        <v/>
      </c>
      <c r="O1360" s="7">
        <f>IF(G1360="","",F1360/G1360)</f>
        <v/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4">
        <f>IF(SUMIFS('Daily NSE Equity Cash'!$H:$H,'Daily NSE Equity Cash'!$A:$A,$A1361)=0,"",SUMIFS('Daily NSE Equity Cash'!$H:$H,'Daily NSE Equity Cash'!$A:$A,$A1361))</f>
        <v/>
      </c>
      <c r="F1361" s="4">
        <f>IF(SUMIFS('Daily BSE Equity Cash'!$H:$H,'Daily BSE Equity Cash'!$A:$A,$A1361)=0,"",SUMIFS('Daily BSE Equity Cash'!$H:$H,'Daily BSE Equity Cash'!$A:$A,$A1361))</f>
        <v/>
      </c>
      <c r="G1361" s="4">
        <f>IF(OR(E1361="",F1361=""),"",E1361+F1361)</f>
        <v/>
      </c>
      <c r="H1361" s="7">
        <f>IFERROR(IF(OR(E1361="",INDEX(E:E,MATCH(DATE(YEAR($A1361)-1,MONTH($A1361),DAY($A1361)),$A:$A,0))=""),"",E1361/INDEX(E:E,MATCH(DATE(YEAR($A1361)-1,MONTH($A1361),DAY($A1361)),$A:$A,0))-1),"")</f>
        <v/>
      </c>
      <c r="I1361" s="7">
        <f>IFERROR(IF(OR(F1361="",INDEX(F:F,MATCH(DATE(YEAR($A1361)-1,MONTH($A1361),DAY($A1361)),$A:$A,0))=""),"",F1361/INDEX(F:F,MATCH(DATE(YEAR($A1361)-1,MONTH($A1361),DAY($A1361)),$A:$A,0))-1),"")</f>
        <v/>
      </c>
      <c r="J1361" s="7">
        <f>IFERROR(IF(OR(G1361="",INDEX(G:G,MATCH(DATE(YEAR($A1361)-1,MONTH($A1361),DAY($A1361)),$A:$A,0))=""),"",G1361/INDEX(G:G,MATCH(DATE(YEAR($A1361)-1,MONTH($A1361),DAY($A1361)),$A:$A,0))-1),"")</f>
        <v/>
      </c>
      <c r="K1361" s="7">
        <f>IF(OR(E1361="",E1360=""),"",E1361/E1360-1)</f>
        <v/>
      </c>
      <c r="L1361" s="7">
        <f>IF(OR(F1361="",F1360=""),"",F1361/F1360-1)</f>
        <v/>
      </c>
      <c r="M1361" s="7">
        <f>IF(OR(G1361="",G1360=""),"",G1361/G1360-1)</f>
        <v/>
      </c>
      <c r="N1361" s="7">
        <f>IF(G1361="","",E1361/G1361)</f>
        <v/>
      </c>
      <c r="O1361" s="7">
        <f>IF(G1361="","",F1361/G1361)</f>
        <v/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4">
        <f>IF(SUMIFS('Daily NSE Equity Cash'!$H:$H,'Daily NSE Equity Cash'!$A:$A,$A1362)=0,"",SUMIFS('Daily NSE Equity Cash'!$H:$H,'Daily NSE Equity Cash'!$A:$A,$A1362))</f>
        <v/>
      </c>
      <c r="F1362" s="4">
        <f>IF(SUMIFS('Daily BSE Equity Cash'!$H:$H,'Daily BSE Equity Cash'!$A:$A,$A1362)=0,"",SUMIFS('Daily BSE Equity Cash'!$H:$H,'Daily BSE Equity Cash'!$A:$A,$A1362))</f>
        <v/>
      </c>
      <c r="G1362" s="4">
        <f>IF(OR(E1362="",F1362=""),"",E1362+F1362)</f>
        <v/>
      </c>
      <c r="H1362" s="7">
        <f>IFERROR(IF(OR(E1362="",INDEX(E:E,MATCH(DATE(YEAR($A1362)-1,MONTH($A1362),DAY($A1362)),$A:$A,0))=""),"",E1362/INDEX(E:E,MATCH(DATE(YEAR($A1362)-1,MONTH($A1362),DAY($A1362)),$A:$A,0))-1),"")</f>
        <v/>
      </c>
      <c r="I1362" s="7">
        <f>IFERROR(IF(OR(F1362="",INDEX(F:F,MATCH(DATE(YEAR($A1362)-1,MONTH($A1362),DAY($A1362)),$A:$A,0))=""),"",F1362/INDEX(F:F,MATCH(DATE(YEAR($A1362)-1,MONTH($A1362),DAY($A1362)),$A:$A,0))-1),"")</f>
        <v/>
      </c>
      <c r="J1362" s="7">
        <f>IFERROR(IF(OR(G1362="",INDEX(G:G,MATCH(DATE(YEAR($A1362)-1,MONTH($A1362),DAY($A1362)),$A:$A,0))=""),"",G1362/INDEX(G:G,MATCH(DATE(YEAR($A1362)-1,MONTH($A1362),DAY($A1362)),$A:$A,0))-1),"")</f>
        <v/>
      </c>
      <c r="K1362" s="7">
        <f>IF(OR(E1362="",E1361=""),"",E1362/E1361-1)</f>
        <v/>
      </c>
      <c r="L1362" s="7">
        <f>IF(OR(F1362="",F1361=""),"",F1362/F1361-1)</f>
        <v/>
      </c>
      <c r="M1362" s="7">
        <f>IF(OR(G1362="",G1361=""),"",G1362/G1361-1)</f>
        <v/>
      </c>
      <c r="N1362" s="7">
        <f>IF(G1362="","",E1362/G1362)</f>
        <v/>
      </c>
      <c r="O1362" s="7">
        <f>IF(G1362="","",F1362/G1362)</f>
        <v/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4">
        <f>IF(SUMIFS('Daily NSE Equity Cash'!$H:$H,'Daily NSE Equity Cash'!$A:$A,$A1363)=0,"",SUMIFS('Daily NSE Equity Cash'!$H:$H,'Daily NSE Equity Cash'!$A:$A,$A1363))</f>
        <v/>
      </c>
      <c r="F1363" s="4">
        <f>IF(SUMIFS('Daily BSE Equity Cash'!$H:$H,'Daily BSE Equity Cash'!$A:$A,$A1363)=0,"",SUMIFS('Daily BSE Equity Cash'!$H:$H,'Daily BSE Equity Cash'!$A:$A,$A1363))</f>
        <v/>
      </c>
      <c r="G1363" s="4">
        <f>IF(OR(E1363="",F1363=""),"",E1363+F1363)</f>
        <v/>
      </c>
      <c r="H1363" s="7">
        <f>IFERROR(IF(OR(E1363="",INDEX(E:E,MATCH(DATE(YEAR($A1363)-1,MONTH($A1363),DAY($A1363)),$A:$A,0))=""),"",E1363/INDEX(E:E,MATCH(DATE(YEAR($A1363)-1,MONTH($A1363),DAY($A1363)),$A:$A,0))-1),"")</f>
        <v/>
      </c>
      <c r="I1363" s="7">
        <f>IFERROR(IF(OR(F1363="",INDEX(F:F,MATCH(DATE(YEAR($A1363)-1,MONTH($A1363),DAY($A1363)),$A:$A,0))=""),"",F1363/INDEX(F:F,MATCH(DATE(YEAR($A1363)-1,MONTH($A1363),DAY($A1363)),$A:$A,0))-1),"")</f>
        <v/>
      </c>
      <c r="J1363" s="7">
        <f>IFERROR(IF(OR(G1363="",INDEX(G:G,MATCH(DATE(YEAR($A1363)-1,MONTH($A1363),DAY($A1363)),$A:$A,0))=""),"",G1363/INDEX(G:G,MATCH(DATE(YEAR($A1363)-1,MONTH($A1363),DAY($A1363)),$A:$A,0))-1),"")</f>
        <v/>
      </c>
      <c r="K1363" s="7">
        <f>IF(OR(E1363="",E1362=""),"",E1363/E1362-1)</f>
        <v/>
      </c>
      <c r="L1363" s="7">
        <f>IF(OR(F1363="",F1362=""),"",F1363/F1362-1)</f>
        <v/>
      </c>
      <c r="M1363" s="7">
        <f>IF(OR(G1363="",G1362=""),"",G1363/G1362-1)</f>
        <v/>
      </c>
      <c r="N1363" s="7">
        <f>IF(G1363="","",E1363/G1363)</f>
        <v/>
      </c>
      <c r="O1363" s="7">
        <f>IF(G1363="","",F1363/G1363)</f>
        <v/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4">
        <f>IF(SUMIFS('Daily NSE Equity Cash'!$H:$H,'Daily NSE Equity Cash'!$A:$A,$A1364)=0,"",SUMIFS('Daily NSE Equity Cash'!$H:$H,'Daily NSE Equity Cash'!$A:$A,$A1364))</f>
        <v/>
      </c>
      <c r="F1364" s="4">
        <f>IF(SUMIFS('Daily BSE Equity Cash'!$H:$H,'Daily BSE Equity Cash'!$A:$A,$A1364)=0,"",SUMIFS('Daily BSE Equity Cash'!$H:$H,'Daily BSE Equity Cash'!$A:$A,$A1364))</f>
        <v/>
      </c>
      <c r="G1364" s="4">
        <f>IF(OR(E1364="",F1364=""),"",E1364+F1364)</f>
        <v/>
      </c>
      <c r="H1364" s="7">
        <f>IFERROR(IF(OR(E1364="",INDEX(E:E,MATCH(DATE(YEAR($A1364)-1,MONTH($A1364),DAY($A1364)),$A:$A,0))=""),"",E1364/INDEX(E:E,MATCH(DATE(YEAR($A1364)-1,MONTH($A1364),DAY($A1364)),$A:$A,0))-1),"")</f>
        <v/>
      </c>
      <c r="I1364" s="7">
        <f>IFERROR(IF(OR(F1364="",INDEX(F:F,MATCH(DATE(YEAR($A1364)-1,MONTH($A1364),DAY($A1364)),$A:$A,0))=""),"",F1364/INDEX(F:F,MATCH(DATE(YEAR($A1364)-1,MONTH($A1364),DAY($A1364)),$A:$A,0))-1),"")</f>
        <v/>
      </c>
      <c r="J1364" s="7">
        <f>IFERROR(IF(OR(G1364="",INDEX(G:G,MATCH(DATE(YEAR($A1364)-1,MONTH($A1364),DAY($A1364)),$A:$A,0))=""),"",G1364/INDEX(G:G,MATCH(DATE(YEAR($A1364)-1,MONTH($A1364),DAY($A1364)),$A:$A,0))-1),"")</f>
        <v/>
      </c>
      <c r="K1364" s="7">
        <f>IF(OR(E1364="",E1363=""),"",E1364/E1363-1)</f>
        <v/>
      </c>
      <c r="L1364" s="7">
        <f>IF(OR(F1364="",F1363=""),"",F1364/F1363-1)</f>
        <v/>
      </c>
      <c r="M1364" s="7">
        <f>IF(OR(G1364="",G1363=""),"",G1364/G1363-1)</f>
        <v/>
      </c>
      <c r="N1364" s="7">
        <f>IF(G1364="","",E1364/G1364)</f>
        <v/>
      </c>
      <c r="O1364" s="7">
        <f>IF(G1364="","",F1364/G1364)</f>
        <v/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4">
        <f>IF(SUMIFS('Daily NSE Equity Cash'!$H:$H,'Daily NSE Equity Cash'!$A:$A,$A1365)=0,"",SUMIFS('Daily NSE Equity Cash'!$H:$H,'Daily NSE Equity Cash'!$A:$A,$A1365))</f>
        <v/>
      </c>
      <c r="F1365" s="4">
        <f>IF(SUMIFS('Daily BSE Equity Cash'!$H:$H,'Daily BSE Equity Cash'!$A:$A,$A1365)=0,"",SUMIFS('Daily BSE Equity Cash'!$H:$H,'Daily BSE Equity Cash'!$A:$A,$A1365))</f>
        <v/>
      </c>
      <c r="G1365" s="4">
        <f>IF(OR(E1365="",F1365=""),"",E1365+F1365)</f>
        <v/>
      </c>
      <c r="H1365" s="7">
        <f>IFERROR(IF(OR(E1365="",INDEX(E:E,MATCH(DATE(YEAR($A1365)-1,MONTH($A1365),DAY($A1365)),$A:$A,0))=""),"",E1365/INDEX(E:E,MATCH(DATE(YEAR($A1365)-1,MONTH($A1365),DAY($A1365)),$A:$A,0))-1),"")</f>
        <v/>
      </c>
      <c r="I1365" s="7">
        <f>IFERROR(IF(OR(F1365="",INDEX(F:F,MATCH(DATE(YEAR($A1365)-1,MONTH($A1365),DAY($A1365)),$A:$A,0))=""),"",F1365/INDEX(F:F,MATCH(DATE(YEAR($A1365)-1,MONTH($A1365),DAY($A1365)),$A:$A,0))-1),"")</f>
        <v/>
      </c>
      <c r="J1365" s="7">
        <f>IFERROR(IF(OR(G1365="",INDEX(G:G,MATCH(DATE(YEAR($A1365)-1,MONTH($A1365),DAY($A1365)),$A:$A,0))=""),"",G1365/INDEX(G:G,MATCH(DATE(YEAR($A1365)-1,MONTH($A1365),DAY($A1365)),$A:$A,0))-1),"")</f>
        <v/>
      </c>
      <c r="K1365" s="7">
        <f>IF(OR(E1365="",E1364=""),"",E1365/E1364-1)</f>
        <v/>
      </c>
      <c r="L1365" s="7">
        <f>IF(OR(F1365="",F1364=""),"",F1365/F1364-1)</f>
        <v/>
      </c>
      <c r="M1365" s="7">
        <f>IF(OR(G1365="",G1364=""),"",G1365/G1364-1)</f>
        <v/>
      </c>
      <c r="N1365" s="7">
        <f>IF(G1365="","",E1365/G1365)</f>
        <v/>
      </c>
      <c r="O1365" s="7">
        <f>IF(G1365="","",F1365/G1365)</f>
        <v/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4">
        <f>IF(SUMIFS('Daily NSE Equity Cash'!$H:$H,'Daily NSE Equity Cash'!$A:$A,$A1366)=0,"",SUMIFS('Daily NSE Equity Cash'!$H:$H,'Daily NSE Equity Cash'!$A:$A,$A1366))</f>
        <v/>
      </c>
      <c r="F1366" s="4">
        <f>IF(SUMIFS('Daily BSE Equity Cash'!$H:$H,'Daily BSE Equity Cash'!$A:$A,$A1366)=0,"",SUMIFS('Daily BSE Equity Cash'!$H:$H,'Daily BSE Equity Cash'!$A:$A,$A1366))</f>
        <v/>
      </c>
      <c r="G1366" s="4">
        <f>IF(OR(E1366="",F1366=""),"",E1366+F1366)</f>
        <v/>
      </c>
      <c r="H1366" s="7">
        <f>IFERROR(IF(OR(E1366="",INDEX(E:E,MATCH(DATE(YEAR($A1366)-1,MONTH($A1366),DAY($A1366)),$A:$A,0))=""),"",E1366/INDEX(E:E,MATCH(DATE(YEAR($A1366)-1,MONTH($A1366),DAY($A1366)),$A:$A,0))-1),"")</f>
        <v/>
      </c>
      <c r="I1366" s="7">
        <f>IFERROR(IF(OR(F1366="",INDEX(F:F,MATCH(DATE(YEAR($A1366)-1,MONTH($A1366),DAY($A1366)),$A:$A,0))=""),"",F1366/INDEX(F:F,MATCH(DATE(YEAR($A1366)-1,MONTH($A1366),DAY($A1366)),$A:$A,0))-1),"")</f>
        <v/>
      </c>
      <c r="J1366" s="7">
        <f>IFERROR(IF(OR(G1366="",INDEX(G:G,MATCH(DATE(YEAR($A1366)-1,MONTH($A1366),DAY($A1366)),$A:$A,0))=""),"",G1366/INDEX(G:G,MATCH(DATE(YEAR($A1366)-1,MONTH($A1366),DAY($A1366)),$A:$A,0))-1),"")</f>
        <v/>
      </c>
      <c r="K1366" s="7">
        <f>IF(OR(E1366="",E1365=""),"",E1366/E1365-1)</f>
        <v/>
      </c>
      <c r="L1366" s="7">
        <f>IF(OR(F1366="",F1365=""),"",F1366/F1365-1)</f>
        <v/>
      </c>
      <c r="M1366" s="7">
        <f>IF(OR(G1366="",G1365=""),"",G1366/G1365-1)</f>
        <v/>
      </c>
      <c r="N1366" s="7">
        <f>IF(G1366="","",E1366/G1366)</f>
        <v/>
      </c>
      <c r="O1366" s="7">
        <f>IF(G1366="","",F1366/G1366)</f>
        <v/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4">
        <f>IF(SUMIFS('Daily NSE Equity Cash'!$H:$H,'Daily NSE Equity Cash'!$A:$A,$A1367)=0,"",SUMIFS('Daily NSE Equity Cash'!$H:$H,'Daily NSE Equity Cash'!$A:$A,$A1367))</f>
        <v/>
      </c>
      <c r="F1367" s="4">
        <f>IF(SUMIFS('Daily BSE Equity Cash'!$H:$H,'Daily BSE Equity Cash'!$A:$A,$A1367)=0,"",SUMIFS('Daily BSE Equity Cash'!$H:$H,'Daily BSE Equity Cash'!$A:$A,$A1367))</f>
        <v/>
      </c>
      <c r="G1367" s="4">
        <f>IF(OR(E1367="",F1367=""),"",E1367+F1367)</f>
        <v/>
      </c>
      <c r="H1367" s="7">
        <f>IFERROR(IF(OR(E1367="",INDEX(E:E,MATCH(DATE(YEAR($A1367)-1,MONTH($A1367),DAY($A1367)),$A:$A,0))=""),"",E1367/INDEX(E:E,MATCH(DATE(YEAR($A1367)-1,MONTH($A1367),DAY($A1367)),$A:$A,0))-1),"")</f>
        <v/>
      </c>
      <c r="I1367" s="7">
        <f>IFERROR(IF(OR(F1367="",INDEX(F:F,MATCH(DATE(YEAR($A1367)-1,MONTH($A1367),DAY($A1367)),$A:$A,0))=""),"",F1367/INDEX(F:F,MATCH(DATE(YEAR($A1367)-1,MONTH($A1367),DAY($A1367)),$A:$A,0))-1),"")</f>
        <v/>
      </c>
      <c r="J1367" s="7">
        <f>IFERROR(IF(OR(G1367="",INDEX(G:G,MATCH(DATE(YEAR($A1367)-1,MONTH($A1367),DAY($A1367)),$A:$A,0))=""),"",G1367/INDEX(G:G,MATCH(DATE(YEAR($A1367)-1,MONTH($A1367),DAY($A1367)),$A:$A,0))-1),"")</f>
        <v/>
      </c>
      <c r="K1367" s="7">
        <f>IF(OR(E1367="",E1366=""),"",E1367/E1366-1)</f>
        <v/>
      </c>
      <c r="L1367" s="7">
        <f>IF(OR(F1367="",F1366=""),"",F1367/F1366-1)</f>
        <v/>
      </c>
      <c r="M1367" s="7">
        <f>IF(OR(G1367="",G1366=""),"",G1367/G1366-1)</f>
        <v/>
      </c>
      <c r="N1367" s="7">
        <f>IF(G1367="","",E1367/G1367)</f>
        <v/>
      </c>
      <c r="O1367" s="7">
        <f>IF(G1367="","",F1367/G1367)</f>
        <v/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4">
        <f>IF(SUMIFS('Daily NSE Equity Cash'!$H:$H,'Daily NSE Equity Cash'!$A:$A,$A1368)=0,"",SUMIFS('Daily NSE Equity Cash'!$H:$H,'Daily NSE Equity Cash'!$A:$A,$A1368))</f>
        <v/>
      </c>
      <c r="F1368" s="4">
        <f>IF(SUMIFS('Daily BSE Equity Cash'!$H:$H,'Daily BSE Equity Cash'!$A:$A,$A1368)=0,"",SUMIFS('Daily BSE Equity Cash'!$H:$H,'Daily BSE Equity Cash'!$A:$A,$A1368))</f>
        <v/>
      </c>
      <c r="G1368" s="4">
        <f>IF(OR(E1368="",F1368=""),"",E1368+F1368)</f>
        <v/>
      </c>
      <c r="H1368" s="7">
        <f>IFERROR(IF(OR(E1368="",INDEX(E:E,MATCH(DATE(YEAR($A1368)-1,MONTH($A1368),DAY($A1368)),$A:$A,0))=""),"",E1368/INDEX(E:E,MATCH(DATE(YEAR($A1368)-1,MONTH($A1368),DAY($A1368)),$A:$A,0))-1),"")</f>
        <v/>
      </c>
      <c r="I1368" s="7">
        <f>IFERROR(IF(OR(F1368="",INDEX(F:F,MATCH(DATE(YEAR($A1368)-1,MONTH($A1368),DAY($A1368)),$A:$A,0))=""),"",F1368/INDEX(F:F,MATCH(DATE(YEAR($A1368)-1,MONTH($A1368),DAY($A1368)),$A:$A,0))-1),"")</f>
        <v/>
      </c>
      <c r="J1368" s="7">
        <f>IFERROR(IF(OR(G1368="",INDEX(G:G,MATCH(DATE(YEAR($A1368)-1,MONTH($A1368),DAY($A1368)),$A:$A,0))=""),"",G1368/INDEX(G:G,MATCH(DATE(YEAR($A1368)-1,MONTH($A1368),DAY($A1368)),$A:$A,0))-1),"")</f>
        <v/>
      </c>
      <c r="K1368" s="7">
        <f>IF(OR(E1368="",E1367=""),"",E1368/E1367-1)</f>
        <v/>
      </c>
      <c r="L1368" s="7">
        <f>IF(OR(F1368="",F1367=""),"",F1368/F1367-1)</f>
        <v/>
      </c>
      <c r="M1368" s="7">
        <f>IF(OR(G1368="",G1367=""),"",G1368/G1367-1)</f>
        <v/>
      </c>
      <c r="N1368" s="7">
        <f>IF(G1368="","",E1368/G1368)</f>
        <v/>
      </c>
      <c r="O1368" s="7">
        <f>IF(G1368="","",F1368/G1368)</f>
        <v/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4">
        <f>IF(SUMIFS('Daily NSE Equity Cash'!$H:$H,'Daily NSE Equity Cash'!$A:$A,$A1369)=0,"",SUMIFS('Daily NSE Equity Cash'!$H:$H,'Daily NSE Equity Cash'!$A:$A,$A1369))</f>
        <v/>
      </c>
      <c r="F1369" s="4">
        <f>IF(SUMIFS('Daily BSE Equity Cash'!$H:$H,'Daily BSE Equity Cash'!$A:$A,$A1369)=0,"",SUMIFS('Daily BSE Equity Cash'!$H:$H,'Daily BSE Equity Cash'!$A:$A,$A1369))</f>
        <v/>
      </c>
      <c r="G1369" s="4">
        <f>IF(OR(E1369="",F1369=""),"",E1369+F1369)</f>
        <v/>
      </c>
      <c r="H1369" s="7">
        <f>IFERROR(IF(OR(E1369="",INDEX(E:E,MATCH(DATE(YEAR($A1369)-1,MONTH($A1369),DAY($A1369)),$A:$A,0))=""),"",E1369/INDEX(E:E,MATCH(DATE(YEAR($A1369)-1,MONTH($A1369),DAY($A1369)),$A:$A,0))-1),"")</f>
        <v/>
      </c>
      <c r="I1369" s="7">
        <f>IFERROR(IF(OR(F1369="",INDEX(F:F,MATCH(DATE(YEAR($A1369)-1,MONTH($A1369),DAY($A1369)),$A:$A,0))=""),"",F1369/INDEX(F:F,MATCH(DATE(YEAR($A1369)-1,MONTH($A1369),DAY($A1369)),$A:$A,0))-1),"")</f>
        <v/>
      </c>
      <c r="J1369" s="7">
        <f>IFERROR(IF(OR(G1369="",INDEX(G:G,MATCH(DATE(YEAR($A1369)-1,MONTH($A1369),DAY($A1369)),$A:$A,0))=""),"",G1369/INDEX(G:G,MATCH(DATE(YEAR($A1369)-1,MONTH($A1369),DAY($A1369)),$A:$A,0))-1),"")</f>
        <v/>
      </c>
      <c r="K1369" s="7">
        <f>IF(OR(E1369="",E1368=""),"",E1369/E1368-1)</f>
        <v/>
      </c>
      <c r="L1369" s="7">
        <f>IF(OR(F1369="",F1368=""),"",F1369/F1368-1)</f>
        <v/>
      </c>
      <c r="M1369" s="7">
        <f>IF(OR(G1369="",G1368=""),"",G1369/G1368-1)</f>
        <v/>
      </c>
      <c r="N1369" s="7">
        <f>IF(G1369="","",E1369/G1369)</f>
        <v/>
      </c>
      <c r="O1369" s="7">
        <f>IF(G1369="","",F1369/G1369)</f>
        <v/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4">
        <f>IF(SUMIFS('Daily NSE Equity Cash'!$H:$H,'Daily NSE Equity Cash'!$A:$A,$A1370)=0,"",SUMIFS('Daily NSE Equity Cash'!$H:$H,'Daily NSE Equity Cash'!$A:$A,$A1370))</f>
        <v/>
      </c>
      <c r="F1370" s="4">
        <f>IF(SUMIFS('Daily BSE Equity Cash'!$H:$H,'Daily BSE Equity Cash'!$A:$A,$A1370)=0,"",SUMIFS('Daily BSE Equity Cash'!$H:$H,'Daily BSE Equity Cash'!$A:$A,$A1370))</f>
        <v/>
      </c>
      <c r="G1370" s="4">
        <f>IF(OR(E1370="",F1370=""),"",E1370+F1370)</f>
        <v/>
      </c>
      <c r="H1370" s="7">
        <f>IFERROR(IF(OR(E1370="",INDEX(E:E,MATCH(DATE(YEAR($A1370)-1,MONTH($A1370),DAY($A1370)),$A:$A,0))=""),"",E1370/INDEX(E:E,MATCH(DATE(YEAR($A1370)-1,MONTH($A1370),DAY($A1370)),$A:$A,0))-1),"")</f>
        <v/>
      </c>
      <c r="I1370" s="7">
        <f>IFERROR(IF(OR(F1370="",INDEX(F:F,MATCH(DATE(YEAR($A1370)-1,MONTH($A1370),DAY($A1370)),$A:$A,0))=""),"",F1370/INDEX(F:F,MATCH(DATE(YEAR($A1370)-1,MONTH($A1370),DAY($A1370)),$A:$A,0))-1),"")</f>
        <v/>
      </c>
      <c r="J1370" s="7">
        <f>IFERROR(IF(OR(G1370="",INDEX(G:G,MATCH(DATE(YEAR($A1370)-1,MONTH($A1370),DAY($A1370)),$A:$A,0))=""),"",G1370/INDEX(G:G,MATCH(DATE(YEAR($A1370)-1,MONTH($A1370),DAY($A1370)),$A:$A,0))-1),"")</f>
        <v/>
      </c>
      <c r="K1370" s="7">
        <f>IF(OR(E1370="",E1369=""),"",E1370/E1369-1)</f>
        <v/>
      </c>
      <c r="L1370" s="7">
        <f>IF(OR(F1370="",F1369=""),"",F1370/F1369-1)</f>
        <v/>
      </c>
      <c r="M1370" s="7">
        <f>IF(OR(G1370="",G1369=""),"",G1370/G1369-1)</f>
        <v/>
      </c>
      <c r="N1370" s="7">
        <f>IF(G1370="","",E1370/G1370)</f>
        <v/>
      </c>
      <c r="O1370" s="7">
        <f>IF(G1370="","",F1370/G1370)</f>
        <v/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4">
        <f>IF(SUMIFS('Daily NSE Equity Cash'!$H:$H,'Daily NSE Equity Cash'!$A:$A,$A1371)=0,"",SUMIFS('Daily NSE Equity Cash'!$H:$H,'Daily NSE Equity Cash'!$A:$A,$A1371))</f>
        <v/>
      </c>
      <c r="F1371" s="4">
        <f>IF(SUMIFS('Daily BSE Equity Cash'!$H:$H,'Daily BSE Equity Cash'!$A:$A,$A1371)=0,"",SUMIFS('Daily BSE Equity Cash'!$H:$H,'Daily BSE Equity Cash'!$A:$A,$A1371))</f>
        <v/>
      </c>
      <c r="G1371" s="4">
        <f>IF(OR(E1371="",F1371=""),"",E1371+F1371)</f>
        <v/>
      </c>
      <c r="H1371" s="7">
        <f>IFERROR(IF(OR(E1371="",INDEX(E:E,MATCH(DATE(YEAR($A1371)-1,MONTH($A1371),DAY($A1371)),$A:$A,0))=""),"",E1371/INDEX(E:E,MATCH(DATE(YEAR($A1371)-1,MONTH($A1371),DAY($A1371)),$A:$A,0))-1),"")</f>
        <v/>
      </c>
      <c r="I1371" s="7">
        <f>IFERROR(IF(OR(F1371="",INDEX(F:F,MATCH(DATE(YEAR($A1371)-1,MONTH($A1371),DAY($A1371)),$A:$A,0))=""),"",F1371/INDEX(F:F,MATCH(DATE(YEAR($A1371)-1,MONTH($A1371),DAY($A1371)),$A:$A,0))-1),"")</f>
        <v/>
      </c>
      <c r="J1371" s="7">
        <f>IFERROR(IF(OR(G1371="",INDEX(G:G,MATCH(DATE(YEAR($A1371)-1,MONTH($A1371),DAY($A1371)),$A:$A,0))=""),"",G1371/INDEX(G:G,MATCH(DATE(YEAR($A1371)-1,MONTH($A1371),DAY($A1371)),$A:$A,0))-1),"")</f>
        <v/>
      </c>
      <c r="K1371" s="7">
        <f>IF(OR(E1371="",E1370=""),"",E1371/E1370-1)</f>
        <v/>
      </c>
      <c r="L1371" s="7">
        <f>IF(OR(F1371="",F1370=""),"",F1371/F1370-1)</f>
        <v/>
      </c>
      <c r="M1371" s="7">
        <f>IF(OR(G1371="",G1370=""),"",G1371/G1370-1)</f>
        <v/>
      </c>
      <c r="N1371" s="7">
        <f>IF(G1371="","",E1371/G1371)</f>
        <v/>
      </c>
      <c r="O1371" s="7">
        <f>IF(G1371="","",F1371/G1371)</f>
        <v/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4">
        <f>IF(SUMIFS('Daily NSE Equity Cash'!$H:$H,'Daily NSE Equity Cash'!$A:$A,$A1372)=0,"",SUMIFS('Daily NSE Equity Cash'!$H:$H,'Daily NSE Equity Cash'!$A:$A,$A1372))</f>
        <v/>
      </c>
      <c r="F1372" s="4">
        <f>IF(SUMIFS('Daily BSE Equity Cash'!$H:$H,'Daily BSE Equity Cash'!$A:$A,$A1372)=0,"",SUMIFS('Daily BSE Equity Cash'!$H:$H,'Daily BSE Equity Cash'!$A:$A,$A1372))</f>
        <v/>
      </c>
      <c r="G1372" s="4">
        <f>IF(OR(E1372="",F1372=""),"",E1372+F1372)</f>
        <v/>
      </c>
      <c r="H1372" s="7">
        <f>IFERROR(IF(OR(E1372="",INDEX(E:E,MATCH(DATE(YEAR($A1372)-1,MONTH($A1372),DAY($A1372)),$A:$A,0))=""),"",E1372/INDEX(E:E,MATCH(DATE(YEAR($A1372)-1,MONTH($A1372),DAY($A1372)),$A:$A,0))-1),"")</f>
        <v/>
      </c>
      <c r="I1372" s="7">
        <f>IFERROR(IF(OR(F1372="",INDEX(F:F,MATCH(DATE(YEAR($A1372)-1,MONTH($A1372),DAY($A1372)),$A:$A,0))=""),"",F1372/INDEX(F:F,MATCH(DATE(YEAR($A1372)-1,MONTH($A1372),DAY($A1372)),$A:$A,0))-1),"")</f>
        <v/>
      </c>
      <c r="J1372" s="7">
        <f>IFERROR(IF(OR(G1372="",INDEX(G:G,MATCH(DATE(YEAR($A1372)-1,MONTH($A1372),DAY($A1372)),$A:$A,0))=""),"",G1372/INDEX(G:G,MATCH(DATE(YEAR($A1372)-1,MONTH($A1372),DAY($A1372)),$A:$A,0))-1),"")</f>
        <v/>
      </c>
      <c r="K1372" s="7">
        <f>IF(OR(E1372="",E1371=""),"",E1372/E1371-1)</f>
        <v/>
      </c>
      <c r="L1372" s="7">
        <f>IF(OR(F1372="",F1371=""),"",F1372/F1371-1)</f>
        <v/>
      </c>
      <c r="M1372" s="7">
        <f>IF(OR(G1372="",G1371=""),"",G1372/G1371-1)</f>
        <v/>
      </c>
      <c r="N1372" s="7">
        <f>IF(G1372="","",E1372/G1372)</f>
        <v/>
      </c>
      <c r="O1372" s="7">
        <f>IF(G1372="","",F1372/G1372)</f>
        <v/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4">
        <f>IF(SUMIFS('Daily NSE Equity Cash'!$H:$H,'Daily NSE Equity Cash'!$A:$A,$A1373)=0,"",SUMIFS('Daily NSE Equity Cash'!$H:$H,'Daily NSE Equity Cash'!$A:$A,$A1373))</f>
        <v/>
      </c>
      <c r="F1373" s="4">
        <f>IF(SUMIFS('Daily BSE Equity Cash'!$H:$H,'Daily BSE Equity Cash'!$A:$A,$A1373)=0,"",SUMIFS('Daily BSE Equity Cash'!$H:$H,'Daily BSE Equity Cash'!$A:$A,$A1373))</f>
        <v/>
      </c>
      <c r="G1373" s="4">
        <f>IF(OR(E1373="",F1373=""),"",E1373+F1373)</f>
        <v/>
      </c>
      <c r="H1373" s="7">
        <f>IFERROR(IF(OR(E1373="",INDEX(E:E,MATCH(DATE(YEAR($A1373)-1,MONTH($A1373),DAY($A1373)),$A:$A,0))=""),"",E1373/INDEX(E:E,MATCH(DATE(YEAR($A1373)-1,MONTH($A1373),DAY($A1373)),$A:$A,0))-1),"")</f>
        <v/>
      </c>
      <c r="I1373" s="7">
        <f>IFERROR(IF(OR(F1373="",INDEX(F:F,MATCH(DATE(YEAR($A1373)-1,MONTH($A1373),DAY($A1373)),$A:$A,0))=""),"",F1373/INDEX(F:F,MATCH(DATE(YEAR($A1373)-1,MONTH($A1373),DAY($A1373)),$A:$A,0))-1),"")</f>
        <v/>
      </c>
      <c r="J1373" s="7">
        <f>IFERROR(IF(OR(G1373="",INDEX(G:G,MATCH(DATE(YEAR($A1373)-1,MONTH($A1373),DAY($A1373)),$A:$A,0))=""),"",G1373/INDEX(G:G,MATCH(DATE(YEAR($A1373)-1,MONTH($A1373),DAY($A1373)),$A:$A,0))-1),"")</f>
        <v/>
      </c>
      <c r="K1373" s="7">
        <f>IF(OR(E1373="",E1372=""),"",E1373/E1372-1)</f>
        <v/>
      </c>
      <c r="L1373" s="7">
        <f>IF(OR(F1373="",F1372=""),"",F1373/F1372-1)</f>
        <v/>
      </c>
      <c r="M1373" s="7">
        <f>IF(OR(G1373="",G1372=""),"",G1373/G1372-1)</f>
        <v/>
      </c>
      <c r="N1373" s="7">
        <f>IF(G1373="","",E1373/G1373)</f>
        <v/>
      </c>
      <c r="O1373" s="7">
        <f>IF(G1373="","",F1373/G1373)</f>
        <v/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4">
        <f>IF(SUMIFS('Daily NSE Equity Cash'!$H:$H,'Daily NSE Equity Cash'!$A:$A,$A1374)=0,"",SUMIFS('Daily NSE Equity Cash'!$H:$H,'Daily NSE Equity Cash'!$A:$A,$A1374))</f>
        <v/>
      </c>
      <c r="F1374" s="4">
        <f>IF(SUMIFS('Daily BSE Equity Cash'!$H:$H,'Daily BSE Equity Cash'!$A:$A,$A1374)=0,"",SUMIFS('Daily BSE Equity Cash'!$H:$H,'Daily BSE Equity Cash'!$A:$A,$A1374))</f>
        <v/>
      </c>
      <c r="G1374" s="4">
        <f>IF(OR(E1374="",F1374=""),"",E1374+F1374)</f>
        <v/>
      </c>
      <c r="H1374" s="7">
        <f>IFERROR(IF(OR(E1374="",INDEX(E:E,MATCH(DATE(YEAR($A1374)-1,MONTH($A1374),DAY($A1374)),$A:$A,0))=""),"",E1374/INDEX(E:E,MATCH(DATE(YEAR($A1374)-1,MONTH($A1374),DAY($A1374)),$A:$A,0))-1),"")</f>
        <v/>
      </c>
      <c r="I1374" s="7">
        <f>IFERROR(IF(OR(F1374="",INDEX(F:F,MATCH(DATE(YEAR($A1374)-1,MONTH($A1374),DAY($A1374)),$A:$A,0))=""),"",F1374/INDEX(F:F,MATCH(DATE(YEAR($A1374)-1,MONTH($A1374),DAY($A1374)),$A:$A,0))-1),"")</f>
        <v/>
      </c>
      <c r="J1374" s="7">
        <f>IFERROR(IF(OR(G1374="",INDEX(G:G,MATCH(DATE(YEAR($A1374)-1,MONTH($A1374),DAY($A1374)),$A:$A,0))=""),"",G1374/INDEX(G:G,MATCH(DATE(YEAR($A1374)-1,MONTH($A1374),DAY($A1374)),$A:$A,0))-1),"")</f>
        <v/>
      </c>
      <c r="K1374" s="7">
        <f>IF(OR(E1374="",E1373=""),"",E1374/E1373-1)</f>
        <v/>
      </c>
      <c r="L1374" s="7">
        <f>IF(OR(F1374="",F1373=""),"",F1374/F1373-1)</f>
        <v/>
      </c>
      <c r="M1374" s="7">
        <f>IF(OR(G1374="",G1373=""),"",G1374/G1373-1)</f>
        <v/>
      </c>
      <c r="N1374" s="7">
        <f>IF(G1374="","",E1374/G1374)</f>
        <v/>
      </c>
      <c r="O1374" s="7">
        <f>IF(G1374="","",F1374/G1374)</f>
        <v/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4">
        <f>IF(SUMIFS('Daily NSE Equity Cash'!$H:$H,'Daily NSE Equity Cash'!$A:$A,$A1375)=0,"",SUMIFS('Daily NSE Equity Cash'!$H:$H,'Daily NSE Equity Cash'!$A:$A,$A1375))</f>
        <v/>
      </c>
      <c r="F1375" s="4">
        <f>IF(SUMIFS('Daily BSE Equity Cash'!$H:$H,'Daily BSE Equity Cash'!$A:$A,$A1375)=0,"",SUMIFS('Daily BSE Equity Cash'!$H:$H,'Daily BSE Equity Cash'!$A:$A,$A1375))</f>
        <v/>
      </c>
      <c r="G1375" s="4">
        <f>IF(OR(E1375="",F1375=""),"",E1375+F1375)</f>
        <v/>
      </c>
      <c r="H1375" s="7">
        <f>IFERROR(IF(OR(E1375="",INDEX(E:E,MATCH(DATE(YEAR($A1375)-1,MONTH($A1375),DAY($A1375)),$A:$A,0))=""),"",E1375/INDEX(E:E,MATCH(DATE(YEAR($A1375)-1,MONTH($A1375),DAY($A1375)),$A:$A,0))-1),"")</f>
        <v/>
      </c>
      <c r="I1375" s="7">
        <f>IFERROR(IF(OR(F1375="",INDEX(F:F,MATCH(DATE(YEAR($A1375)-1,MONTH($A1375),DAY($A1375)),$A:$A,0))=""),"",F1375/INDEX(F:F,MATCH(DATE(YEAR($A1375)-1,MONTH($A1375),DAY($A1375)),$A:$A,0))-1),"")</f>
        <v/>
      </c>
      <c r="J1375" s="7">
        <f>IFERROR(IF(OR(G1375="",INDEX(G:G,MATCH(DATE(YEAR($A1375)-1,MONTH($A1375),DAY($A1375)),$A:$A,0))=""),"",G1375/INDEX(G:G,MATCH(DATE(YEAR($A1375)-1,MONTH($A1375),DAY($A1375)),$A:$A,0))-1),"")</f>
        <v/>
      </c>
      <c r="K1375" s="7">
        <f>IF(OR(E1375="",E1374=""),"",E1375/E1374-1)</f>
        <v/>
      </c>
      <c r="L1375" s="7">
        <f>IF(OR(F1375="",F1374=""),"",F1375/F1374-1)</f>
        <v/>
      </c>
      <c r="M1375" s="7">
        <f>IF(OR(G1375="",G1374=""),"",G1375/G1374-1)</f>
        <v/>
      </c>
      <c r="N1375" s="7">
        <f>IF(G1375="","",E1375/G1375)</f>
        <v/>
      </c>
      <c r="O1375" s="7">
        <f>IF(G1375="","",F1375/G1375)</f>
        <v/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4">
        <f>IF(SUMIFS('Daily NSE Equity Cash'!$H:$H,'Daily NSE Equity Cash'!$A:$A,$A1376)=0,"",SUMIFS('Daily NSE Equity Cash'!$H:$H,'Daily NSE Equity Cash'!$A:$A,$A1376))</f>
        <v/>
      </c>
      <c r="F1376" s="4">
        <f>IF(SUMIFS('Daily BSE Equity Cash'!$H:$H,'Daily BSE Equity Cash'!$A:$A,$A1376)=0,"",SUMIFS('Daily BSE Equity Cash'!$H:$H,'Daily BSE Equity Cash'!$A:$A,$A1376))</f>
        <v/>
      </c>
      <c r="G1376" s="4">
        <f>IF(OR(E1376="",F1376=""),"",E1376+F1376)</f>
        <v/>
      </c>
      <c r="H1376" s="7">
        <f>IFERROR(IF(OR(E1376="",INDEX(E:E,MATCH(DATE(YEAR($A1376)-1,MONTH($A1376),DAY($A1376)),$A:$A,0))=""),"",E1376/INDEX(E:E,MATCH(DATE(YEAR($A1376)-1,MONTH($A1376),DAY($A1376)),$A:$A,0))-1),"")</f>
        <v/>
      </c>
      <c r="I1376" s="7">
        <f>IFERROR(IF(OR(F1376="",INDEX(F:F,MATCH(DATE(YEAR($A1376)-1,MONTH($A1376),DAY($A1376)),$A:$A,0))=""),"",F1376/INDEX(F:F,MATCH(DATE(YEAR($A1376)-1,MONTH($A1376),DAY($A1376)),$A:$A,0))-1),"")</f>
        <v/>
      </c>
      <c r="J1376" s="7">
        <f>IFERROR(IF(OR(G1376="",INDEX(G:G,MATCH(DATE(YEAR($A1376)-1,MONTH($A1376),DAY($A1376)),$A:$A,0))=""),"",G1376/INDEX(G:G,MATCH(DATE(YEAR($A1376)-1,MONTH($A1376),DAY($A1376)),$A:$A,0))-1),"")</f>
        <v/>
      </c>
      <c r="K1376" s="7">
        <f>IF(OR(E1376="",E1375=""),"",E1376/E1375-1)</f>
        <v/>
      </c>
      <c r="L1376" s="7">
        <f>IF(OR(F1376="",F1375=""),"",F1376/F1375-1)</f>
        <v/>
      </c>
      <c r="M1376" s="7">
        <f>IF(OR(G1376="",G1375=""),"",G1376/G1375-1)</f>
        <v/>
      </c>
      <c r="N1376" s="7">
        <f>IF(G1376="","",E1376/G1376)</f>
        <v/>
      </c>
      <c r="O1376" s="7">
        <f>IF(G1376="","",F1376/G1376)</f>
        <v/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4">
        <f>IF(SUMIFS('Daily NSE Equity Cash'!$H:$H,'Daily NSE Equity Cash'!$A:$A,$A1377)=0,"",SUMIFS('Daily NSE Equity Cash'!$H:$H,'Daily NSE Equity Cash'!$A:$A,$A1377))</f>
        <v/>
      </c>
      <c r="F1377" s="4">
        <f>IF(SUMIFS('Daily BSE Equity Cash'!$H:$H,'Daily BSE Equity Cash'!$A:$A,$A1377)=0,"",SUMIFS('Daily BSE Equity Cash'!$H:$H,'Daily BSE Equity Cash'!$A:$A,$A1377))</f>
        <v/>
      </c>
      <c r="G1377" s="4">
        <f>IF(OR(E1377="",F1377=""),"",E1377+F1377)</f>
        <v/>
      </c>
      <c r="H1377" s="7">
        <f>IFERROR(IF(OR(E1377="",INDEX(E:E,MATCH(DATE(YEAR($A1377)-1,MONTH($A1377),DAY($A1377)),$A:$A,0))=""),"",E1377/INDEX(E:E,MATCH(DATE(YEAR($A1377)-1,MONTH($A1377),DAY($A1377)),$A:$A,0))-1),"")</f>
        <v/>
      </c>
      <c r="I1377" s="7">
        <f>IFERROR(IF(OR(F1377="",INDEX(F:F,MATCH(DATE(YEAR($A1377)-1,MONTH($A1377),DAY($A1377)),$A:$A,0))=""),"",F1377/INDEX(F:F,MATCH(DATE(YEAR($A1377)-1,MONTH($A1377),DAY($A1377)),$A:$A,0))-1),"")</f>
        <v/>
      </c>
      <c r="J1377" s="7">
        <f>IFERROR(IF(OR(G1377="",INDEX(G:G,MATCH(DATE(YEAR($A1377)-1,MONTH($A1377),DAY($A1377)),$A:$A,0))=""),"",G1377/INDEX(G:G,MATCH(DATE(YEAR($A1377)-1,MONTH($A1377),DAY($A1377)),$A:$A,0))-1),"")</f>
        <v/>
      </c>
      <c r="K1377" s="7">
        <f>IF(OR(E1377="",E1376=""),"",E1377/E1376-1)</f>
        <v/>
      </c>
      <c r="L1377" s="7">
        <f>IF(OR(F1377="",F1376=""),"",F1377/F1376-1)</f>
        <v/>
      </c>
      <c r="M1377" s="7">
        <f>IF(OR(G1377="",G1376=""),"",G1377/G1376-1)</f>
        <v/>
      </c>
      <c r="N1377" s="7">
        <f>IF(G1377="","",E1377/G1377)</f>
        <v/>
      </c>
      <c r="O1377" s="7">
        <f>IF(G1377="","",F1377/G1377)</f>
        <v/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4">
        <f>IF(SUMIFS('Daily NSE Equity Cash'!$H:$H,'Daily NSE Equity Cash'!$A:$A,$A1378)=0,"",SUMIFS('Daily NSE Equity Cash'!$H:$H,'Daily NSE Equity Cash'!$A:$A,$A1378))</f>
        <v/>
      </c>
      <c r="F1378" s="4">
        <f>IF(SUMIFS('Daily BSE Equity Cash'!$H:$H,'Daily BSE Equity Cash'!$A:$A,$A1378)=0,"",SUMIFS('Daily BSE Equity Cash'!$H:$H,'Daily BSE Equity Cash'!$A:$A,$A1378))</f>
        <v/>
      </c>
      <c r="G1378" s="4">
        <f>IF(OR(E1378="",F1378=""),"",E1378+F1378)</f>
        <v/>
      </c>
      <c r="H1378" s="7">
        <f>IFERROR(IF(OR(E1378="",INDEX(E:E,MATCH(DATE(YEAR($A1378)-1,MONTH($A1378),DAY($A1378)),$A:$A,0))=""),"",E1378/INDEX(E:E,MATCH(DATE(YEAR($A1378)-1,MONTH($A1378),DAY($A1378)),$A:$A,0))-1),"")</f>
        <v/>
      </c>
      <c r="I1378" s="7">
        <f>IFERROR(IF(OR(F1378="",INDEX(F:F,MATCH(DATE(YEAR($A1378)-1,MONTH($A1378),DAY($A1378)),$A:$A,0))=""),"",F1378/INDEX(F:F,MATCH(DATE(YEAR($A1378)-1,MONTH($A1378),DAY($A1378)),$A:$A,0))-1),"")</f>
        <v/>
      </c>
      <c r="J1378" s="7">
        <f>IFERROR(IF(OR(G1378="",INDEX(G:G,MATCH(DATE(YEAR($A1378)-1,MONTH($A1378),DAY($A1378)),$A:$A,0))=""),"",G1378/INDEX(G:G,MATCH(DATE(YEAR($A1378)-1,MONTH($A1378),DAY($A1378)),$A:$A,0))-1),"")</f>
        <v/>
      </c>
      <c r="K1378" s="7">
        <f>IF(OR(E1378="",E1377=""),"",E1378/E1377-1)</f>
        <v/>
      </c>
      <c r="L1378" s="7">
        <f>IF(OR(F1378="",F1377=""),"",F1378/F1377-1)</f>
        <v/>
      </c>
      <c r="M1378" s="7">
        <f>IF(OR(G1378="",G1377=""),"",G1378/G1377-1)</f>
        <v/>
      </c>
      <c r="N1378" s="7">
        <f>IF(G1378="","",E1378/G1378)</f>
        <v/>
      </c>
      <c r="O1378" s="7">
        <f>IF(G1378="","",F1378/G1378)</f>
        <v/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4">
        <f>IF(SUMIFS('Daily NSE Equity Cash'!$H:$H,'Daily NSE Equity Cash'!$A:$A,$A1379)=0,"",SUMIFS('Daily NSE Equity Cash'!$H:$H,'Daily NSE Equity Cash'!$A:$A,$A1379))</f>
        <v/>
      </c>
      <c r="F1379" s="4">
        <f>IF(SUMIFS('Daily BSE Equity Cash'!$H:$H,'Daily BSE Equity Cash'!$A:$A,$A1379)=0,"",SUMIFS('Daily BSE Equity Cash'!$H:$H,'Daily BSE Equity Cash'!$A:$A,$A1379))</f>
        <v/>
      </c>
      <c r="G1379" s="4">
        <f>IF(OR(E1379="",F1379=""),"",E1379+F1379)</f>
        <v/>
      </c>
      <c r="H1379" s="7">
        <f>IFERROR(IF(OR(E1379="",INDEX(E:E,MATCH(DATE(YEAR($A1379)-1,MONTH($A1379),DAY($A1379)),$A:$A,0))=""),"",E1379/INDEX(E:E,MATCH(DATE(YEAR($A1379)-1,MONTH($A1379),DAY($A1379)),$A:$A,0))-1),"")</f>
        <v/>
      </c>
      <c r="I1379" s="7">
        <f>IFERROR(IF(OR(F1379="",INDEX(F:F,MATCH(DATE(YEAR($A1379)-1,MONTH($A1379),DAY($A1379)),$A:$A,0))=""),"",F1379/INDEX(F:F,MATCH(DATE(YEAR($A1379)-1,MONTH($A1379),DAY($A1379)),$A:$A,0))-1),"")</f>
        <v/>
      </c>
      <c r="J1379" s="7">
        <f>IFERROR(IF(OR(G1379="",INDEX(G:G,MATCH(DATE(YEAR($A1379)-1,MONTH($A1379),DAY($A1379)),$A:$A,0))=""),"",G1379/INDEX(G:G,MATCH(DATE(YEAR($A1379)-1,MONTH($A1379),DAY($A1379)),$A:$A,0))-1),"")</f>
        <v/>
      </c>
      <c r="K1379" s="7">
        <f>IF(OR(E1379="",E1378=""),"",E1379/E1378-1)</f>
        <v/>
      </c>
      <c r="L1379" s="7">
        <f>IF(OR(F1379="",F1378=""),"",F1379/F1378-1)</f>
        <v/>
      </c>
      <c r="M1379" s="7">
        <f>IF(OR(G1379="",G1378=""),"",G1379/G1378-1)</f>
        <v/>
      </c>
      <c r="N1379" s="7">
        <f>IF(G1379="","",E1379/G1379)</f>
        <v/>
      </c>
      <c r="O1379" s="7">
        <f>IF(G1379="","",F1379/G1379)</f>
        <v/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4">
        <f>IF(SUMIFS('Daily NSE Equity Cash'!$H:$H,'Daily NSE Equity Cash'!$A:$A,$A1380)=0,"",SUMIFS('Daily NSE Equity Cash'!$H:$H,'Daily NSE Equity Cash'!$A:$A,$A1380))</f>
        <v/>
      </c>
      <c r="F1380" s="4">
        <f>IF(SUMIFS('Daily BSE Equity Cash'!$H:$H,'Daily BSE Equity Cash'!$A:$A,$A1380)=0,"",SUMIFS('Daily BSE Equity Cash'!$H:$H,'Daily BSE Equity Cash'!$A:$A,$A1380))</f>
        <v/>
      </c>
      <c r="G1380" s="4">
        <f>IF(OR(E1380="",F1380=""),"",E1380+F1380)</f>
        <v/>
      </c>
      <c r="H1380" s="7">
        <f>IFERROR(IF(OR(E1380="",INDEX(E:E,MATCH(DATE(YEAR($A1380)-1,MONTH($A1380),DAY($A1380)),$A:$A,0))=""),"",E1380/INDEX(E:E,MATCH(DATE(YEAR($A1380)-1,MONTH($A1380),DAY($A1380)),$A:$A,0))-1),"")</f>
        <v/>
      </c>
      <c r="I1380" s="7">
        <f>IFERROR(IF(OR(F1380="",INDEX(F:F,MATCH(DATE(YEAR($A1380)-1,MONTH($A1380),DAY($A1380)),$A:$A,0))=""),"",F1380/INDEX(F:F,MATCH(DATE(YEAR($A1380)-1,MONTH($A1380),DAY($A1380)),$A:$A,0))-1),"")</f>
        <v/>
      </c>
      <c r="J1380" s="7">
        <f>IFERROR(IF(OR(G1380="",INDEX(G:G,MATCH(DATE(YEAR($A1380)-1,MONTH($A1380),DAY($A1380)),$A:$A,0))=""),"",G1380/INDEX(G:G,MATCH(DATE(YEAR($A1380)-1,MONTH($A1380),DAY($A1380)),$A:$A,0))-1),"")</f>
        <v/>
      </c>
      <c r="K1380" s="7">
        <f>IF(OR(E1380="",E1379=""),"",E1380/E1379-1)</f>
        <v/>
      </c>
      <c r="L1380" s="7">
        <f>IF(OR(F1380="",F1379=""),"",F1380/F1379-1)</f>
        <v/>
      </c>
      <c r="M1380" s="7">
        <f>IF(OR(G1380="",G1379=""),"",G1380/G1379-1)</f>
        <v/>
      </c>
      <c r="N1380" s="7">
        <f>IF(G1380="","",E1380/G1380)</f>
        <v/>
      </c>
      <c r="O1380" s="7">
        <f>IF(G1380="","",F1380/G1380)</f>
        <v/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4">
        <f>IF(SUMIFS('Daily NSE Equity Cash'!$H:$H,'Daily NSE Equity Cash'!$A:$A,$A1381)=0,"",SUMIFS('Daily NSE Equity Cash'!$H:$H,'Daily NSE Equity Cash'!$A:$A,$A1381))</f>
        <v/>
      </c>
      <c r="F1381" s="4">
        <f>IF(SUMIFS('Daily BSE Equity Cash'!$H:$H,'Daily BSE Equity Cash'!$A:$A,$A1381)=0,"",SUMIFS('Daily BSE Equity Cash'!$H:$H,'Daily BSE Equity Cash'!$A:$A,$A1381))</f>
        <v/>
      </c>
      <c r="G1381" s="4">
        <f>IF(OR(E1381="",F1381=""),"",E1381+F1381)</f>
        <v/>
      </c>
      <c r="H1381" s="7">
        <f>IFERROR(IF(OR(E1381="",INDEX(E:E,MATCH(DATE(YEAR($A1381)-1,MONTH($A1381),DAY($A1381)),$A:$A,0))=""),"",E1381/INDEX(E:E,MATCH(DATE(YEAR($A1381)-1,MONTH($A1381),DAY($A1381)),$A:$A,0))-1),"")</f>
        <v/>
      </c>
      <c r="I1381" s="7">
        <f>IFERROR(IF(OR(F1381="",INDEX(F:F,MATCH(DATE(YEAR($A1381)-1,MONTH($A1381),DAY($A1381)),$A:$A,0))=""),"",F1381/INDEX(F:F,MATCH(DATE(YEAR($A1381)-1,MONTH($A1381),DAY($A1381)),$A:$A,0))-1),"")</f>
        <v/>
      </c>
      <c r="J1381" s="7">
        <f>IFERROR(IF(OR(G1381="",INDEX(G:G,MATCH(DATE(YEAR($A1381)-1,MONTH($A1381),DAY($A1381)),$A:$A,0))=""),"",G1381/INDEX(G:G,MATCH(DATE(YEAR($A1381)-1,MONTH($A1381),DAY($A1381)),$A:$A,0))-1),"")</f>
        <v/>
      </c>
      <c r="K1381" s="7">
        <f>IF(OR(E1381="",E1380=""),"",E1381/E1380-1)</f>
        <v/>
      </c>
      <c r="L1381" s="7">
        <f>IF(OR(F1381="",F1380=""),"",F1381/F1380-1)</f>
        <v/>
      </c>
      <c r="M1381" s="7">
        <f>IF(OR(G1381="",G1380=""),"",G1381/G1380-1)</f>
        <v/>
      </c>
      <c r="N1381" s="7">
        <f>IF(G1381="","",E1381/G1381)</f>
        <v/>
      </c>
      <c r="O1381" s="7">
        <f>IF(G1381="","",F1381/G1381)</f>
        <v/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4">
        <f>IF(SUMIFS('Daily NSE Equity Cash'!$H:$H,'Daily NSE Equity Cash'!$A:$A,$A1382)=0,"",SUMIFS('Daily NSE Equity Cash'!$H:$H,'Daily NSE Equity Cash'!$A:$A,$A1382))</f>
        <v/>
      </c>
      <c r="F1382" s="4">
        <f>IF(SUMIFS('Daily BSE Equity Cash'!$H:$H,'Daily BSE Equity Cash'!$A:$A,$A1382)=0,"",SUMIFS('Daily BSE Equity Cash'!$H:$H,'Daily BSE Equity Cash'!$A:$A,$A1382))</f>
        <v/>
      </c>
      <c r="G1382" s="4">
        <f>IF(OR(E1382="",F1382=""),"",E1382+F1382)</f>
        <v/>
      </c>
      <c r="H1382" s="7">
        <f>IFERROR(IF(OR(E1382="",INDEX(E:E,MATCH(DATE(YEAR($A1382)-1,MONTH($A1382),DAY($A1382)),$A:$A,0))=""),"",E1382/INDEX(E:E,MATCH(DATE(YEAR($A1382)-1,MONTH($A1382),DAY($A1382)),$A:$A,0))-1),"")</f>
        <v/>
      </c>
      <c r="I1382" s="7">
        <f>IFERROR(IF(OR(F1382="",INDEX(F:F,MATCH(DATE(YEAR($A1382)-1,MONTH($A1382),DAY($A1382)),$A:$A,0))=""),"",F1382/INDEX(F:F,MATCH(DATE(YEAR($A1382)-1,MONTH($A1382),DAY($A1382)),$A:$A,0))-1),"")</f>
        <v/>
      </c>
      <c r="J1382" s="7">
        <f>IFERROR(IF(OR(G1382="",INDEX(G:G,MATCH(DATE(YEAR($A1382)-1,MONTH($A1382),DAY($A1382)),$A:$A,0))=""),"",G1382/INDEX(G:G,MATCH(DATE(YEAR($A1382)-1,MONTH($A1382),DAY($A1382)),$A:$A,0))-1),"")</f>
        <v/>
      </c>
      <c r="K1382" s="7">
        <f>IF(OR(E1382="",E1381=""),"",E1382/E1381-1)</f>
        <v/>
      </c>
      <c r="L1382" s="7">
        <f>IF(OR(F1382="",F1381=""),"",F1382/F1381-1)</f>
        <v/>
      </c>
      <c r="M1382" s="7">
        <f>IF(OR(G1382="",G1381=""),"",G1382/G1381-1)</f>
        <v/>
      </c>
      <c r="N1382" s="7">
        <f>IF(G1382="","",E1382/G1382)</f>
        <v/>
      </c>
      <c r="O1382" s="7">
        <f>IF(G1382="","",F1382/G1382)</f>
        <v/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4">
        <f>IF(SUMIFS('Daily NSE Equity Cash'!$H:$H,'Daily NSE Equity Cash'!$A:$A,$A1383)=0,"",SUMIFS('Daily NSE Equity Cash'!$H:$H,'Daily NSE Equity Cash'!$A:$A,$A1383))</f>
        <v/>
      </c>
      <c r="F1383" s="4">
        <f>IF(SUMIFS('Daily BSE Equity Cash'!$H:$H,'Daily BSE Equity Cash'!$A:$A,$A1383)=0,"",SUMIFS('Daily BSE Equity Cash'!$H:$H,'Daily BSE Equity Cash'!$A:$A,$A1383))</f>
        <v/>
      </c>
      <c r="G1383" s="4">
        <f>IF(OR(E1383="",F1383=""),"",E1383+F1383)</f>
        <v/>
      </c>
      <c r="H1383" s="7">
        <f>IFERROR(IF(OR(E1383="",INDEX(E:E,MATCH(DATE(YEAR($A1383)-1,MONTH($A1383),DAY($A1383)),$A:$A,0))=""),"",E1383/INDEX(E:E,MATCH(DATE(YEAR($A1383)-1,MONTH($A1383),DAY($A1383)),$A:$A,0))-1),"")</f>
        <v/>
      </c>
      <c r="I1383" s="7">
        <f>IFERROR(IF(OR(F1383="",INDEX(F:F,MATCH(DATE(YEAR($A1383)-1,MONTH($A1383),DAY($A1383)),$A:$A,0))=""),"",F1383/INDEX(F:F,MATCH(DATE(YEAR($A1383)-1,MONTH($A1383),DAY($A1383)),$A:$A,0))-1),"")</f>
        <v/>
      </c>
      <c r="J1383" s="7">
        <f>IFERROR(IF(OR(G1383="",INDEX(G:G,MATCH(DATE(YEAR($A1383)-1,MONTH($A1383),DAY($A1383)),$A:$A,0))=""),"",G1383/INDEX(G:G,MATCH(DATE(YEAR($A1383)-1,MONTH($A1383),DAY($A1383)),$A:$A,0))-1),"")</f>
        <v/>
      </c>
      <c r="K1383" s="7">
        <f>IF(OR(E1383="",E1382=""),"",E1383/E1382-1)</f>
        <v/>
      </c>
      <c r="L1383" s="7">
        <f>IF(OR(F1383="",F1382=""),"",F1383/F1382-1)</f>
        <v/>
      </c>
      <c r="M1383" s="7">
        <f>IF(OR(G1383="",G1382=""),"",G1383/G1382-1)</f>
        <v/>
      </c>
      <c r="N1383" s="7">
        <f>IF(G1383="","",E1383/G1383)</f>
        <v/>
      </c>
      <c r="O1383" s="7">
        <f>IF(G1383="","",F1383/G1383)</f>
        <v/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4">
        <f>IF(SUMIFS('Daily NSE Equity Cash'!$H:$H,'Daily NSE Equity Cash'!$A:$A,$A1384)=0,"",SUMIFS('Daily NSE Equity Cash'!$H:$H,'Daily NSE Equity Cash'!$A:$A,$A1384))</f>
        <v/>
      </c>
      <c r="F1384" s="4">
        <f>IF(SUMIFS('Daily BSE Equity Cash'!$H:$H,'Daily BSE Equity Cash'!$A:$A,$A1384)=0,"",SUMIFS('Daily BSE Equity Cash'!$H:$H,'Daily BSE Equity Cash'!$A:$A,$A1384))</f>
        <v/>
      </c>
      <c r="G1384" s="4">
        <f>IF(OR(E1384="",F1384=""),"",E1384+F1384)</f>
        <v/>
      </c>
      <c r="H1384" s="7">
        <f>IFERROR(IF(OR(E1384="",INDEX(E:E,MATCH(DATE(YEAR($A1384)-1,MONTH($A1384),DAY($A1384)),$A:$A,0))=""),"",E1384/INDEX(E:E,MATCH(DATE(YEAR($A1384)-1,MONTH($A1384),DAY($A1384)),$A:$A,0))-1),"")</f>
        <v/>
      </c>
      <c r="I1384" s="7">
        <f>IFERROR(IF(OR(F1384="",INDEX(F:F,MATCH(DATE(YEAR($A1384)-1,MONTH($A1384),DAY($A1384)),$A:$A,0))=""),"",F1384/INDEX(F:F,MATCH(DATE(YEAR($A1384)-1,MONTH($A1384),DAY($A1384)),$A:$A,0))-1),"")</f>
        <v/>
      </c>
      <c r="J1384" s="7">
        <f>IFERROR(IF(OR(G1384="",INDEX(G:G,MATCH(DATE(YEAR($A1384)-1,MONTH($A1384),DAY($A1384)),$A:$A,0))=""),"",G1384/INDEX(G:G,MATCH(DATE(YEAR($A1384)-1,MONTH($A1384),DAY($A1384)),$A:$A,0))-1),"")</f>
        <v/>
      </c>
      <c r="K1384" s="7">
        <f>IF(OR(E1384="",E1383=""),"",E1384/E1383-1)</f>
        <v/>
      </c>
      <c r="L1384" s="7">
        <f>IF(OR(F1384="",F1383=""),"",F1384/F1383-1)</f>
        <v/>
      </c>
      <c r="M1384" s="7">
        <f>IF(OR(G1384="",G1383=""),"",G1384/G1383-1)</f>
        <v/>
      </c>
      <c r="N1384" s="7">
        <f>IF(G1384="","",E1384/G1384)</f>
        <v/>
      </c>
      <c r="O1384" s="7">
        <f>IF(G1384="","",F1384/G1384)</f>
        <v/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4">
        <f>IF(SUMIFS('Daily NSE Equity Cash'!$H:$H,'Daily NSE Equity Cash'!$A:$A,$A1385)=0,"",SUMIFS('Daily NSE Equity Cash'!$H:$H,'Daily NSE Equity Cash'!$A:$A,$A1385))</f>
        <v/>
      </c>
      <c r="F1385" s="4">
        <f>IF(SUMIFS('Daily BSE Equity Cash'!$H:$H,'Daily BSE Equity Cash'!$A:$A,$A1385)=0,"",SUMIFS('Daily BSE Equity Cash'!$H:$H,'Daily BSE Equity Cash'!$A:$A,$A1385))</f>
        <v/>
      </c>
      <c r="G1385" s="4">
        <f>IF(OR(E1385="",F1385=""),"",E1385+F1385)</f>
        <v/>
      </c>
      <c r="H1385" s="7">
        <f>IFERROR(IF(OR(E1385="",INDEX(E:E,MATCH(DATE(YEAR($A1385)-1,MONTH($A1385),DAY($A1385)),$A:$A,0))=""),"",E1385/INDEX(E:E,MATCH(DATE(YEAR($A1385)-1,MONTH($A1385),DAY($A1385)),$A:$A,0))-1),"")</f>
        <v/>
      </c>
      <c r="I1385" s="7">
        <f>IFERROR(IF(OR(F1385="",INDEX(F:F,MATCH(DATE(YEAR($A1385)-1,MONTH($A1385),DAY($A1385)),$A:$A,0))=""),"",F1385/INDEX(F:F,MATCH(DATE(YEAR($A1385)-1,MONTH($A1385),DAY($A1385)),$A:$A,0))-1),"")</f>
        <v/>
      </c>
      <c r="J1385" s="7">
        <f>IFERROR(IF(OR(G1385="",INDEX(G:G,MATCH(DATE(YEAR($A1385)-1,MONTH($A1385),DAY($A1385)),$A:$A,0))=""),"",G1385/INDEX(G:G,MATCH(DATE(YEAR($A1385)-1,MONTH($A1385),DAY($A1385)),$A:$A,0))-1),"")</f>
        <v/>
      </c>
      <c r="K1385" s="7">
        <f>IF(OR(E1385="",E1384=""),"",E1385/E1384-1)</f>
        <v/>
      </c>
      <c r="L1385" s="7">
        <f>IF(OR(F1385="",F1384=""),"",F1385/F1384-1)</f>
        <v/>
      </c>
      <c r="M1385" s="7">
        <f>IF(OR(G1385="",G1384=""),"",G1385/G1384-1)</f>
        <v/>
      </c>
      <c r="N1385" s="7">
        <f>IF(G1385="","",E1385/G1385)</f>
        <v/>
      </c>
      <c r="O1385" s="7">
        <f>IF(G1385="","",F1385/G1385)</f>
        <v/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4">
        <f>IF(SUMIFS('Daily NSE Equity Cash'!$H:$H,'Daily NSE Equity Cash'!$A:$A,$A1386)=0,"",SUMIFS('Daily NSE Equity Cash'!$H:$H,'Daily NSE Equity Cash'!$A:$A,$A1386))</f>
        <v/>
      </c>
      <c r="F1386" s="4">
        <f>IF(SUMIFS('Daily BSE Equity Cash'!$H:$H,'Daily BSE Equity Cash'!$A:$A,$A1386)=0,"",SUMIFS('Daily BSE Equity Cash'!$H:$H,'Daily BSE Equity Cash'!$A:$A,$A1386))</f>
        <v/>
      </c>
      <c r="G1386" s="4">
        <f>IF(OR(E1386="",F1386=""),"",E1386+F1386)</f>
        <v/>
      </c>
      <c r="H1386" s="7">
        <f>IFERROR(IF(OR(E1386="",INDEX(E:E,MATCH(DATE(YEAR($A1386)-1,MONTH($A1386),DAY($A1386)),$A:$A,0))=""),"",E1386/INDEX(E:E,MATCH(DATE(YEAR($A1386)-1,MONTH($A1386),DAY($A1386)),$A:$A,0))-1),"")</f>
        <v/>
      </c>
      <c r="I1386" s="7">
        <f>IFERROR(IF(OR(F1386="",INDEX(F:F,MATCH(DATE(YEAR($A1386)-1,MONTH($A1386),DAY($A1386)),$A:$A,0))=""),"",F1386/INDEX(F:F,MATCH(DATE(YEAR($A1386)-1,MONTH($A1386),DAY($A1386)),$A:$A,0))-1),"")</f>
        <v/>
      </c>
      <c r="J1386" s="7">
        <f>IFERROR(IF(OR(G1386="",INDEX(G:G,MATCH(DATE(YEAR($A1386)-1,MONTH($A1386),DAY($A1386)),$A:$A,0))=""),"",G1386/INDEX(G:G,MATCH(DATE(YEAR($A1386)-1,MONTH($A1386),DAY($A1386)),$A:$A,0))-1),"")</f>
        <v/>
      </c>
      <c r="K1386" s="7">
        <f>IF(OR(E1386="",E1385=""),"",E1386/E1385-1)</f>
        <v/>
      </c>
      <c r="L1386" s="7">
        <f>IF(OR(F1386="",F1385=""),"",F1386/F1385-1)</f>
        <v/>
      </c>
      <c r="M1386" s="7">
        <f>IF(OR(G1386="",G1385=""),"",G1386/G1385-1)</f>
        <v/>
      </c>
      <c r="N1386" s="7">
        <f>IF(G1386="","",E1386/G1386)</f>
        <v/>
      </c>
      <c r="O1386" s="7">
        <f>IF(G1386="","",F1386/G1386)</f>
        <v/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4">
        <f>IF(SUMIFS('Daily NSE Equity Cash'!$H:$H,'Daily NSE Equity Cash'!$A:$A,$A1387)=0,"",SUMIFS('Daily NSE Equity Cash'!$H:$H,'Daily NSE Equity Cash'!$A:$A,$A1387))</f>
        <v/>
      </c>
      <c r="F1387" s="4">
        <f>IF(SUMIFS('Daily BSE Equity Cash'!$H:$H,'Daily BSE Equity Cash'!$A:$A,$A1387)=0,"",SUMIFS('Daily BSE Equity Cash'!$H:$H,'Daily BSE Equity Cash'!$A:$A,$A1387))</f>
        <v/>
      </c>
      <c r="G1387" s="4">
        <f>IF(OR(E1387="",F1387=""),"",E1387+F1387)</f>
        <v/>
      </c>
      <c r="H1387" s="7">
        <f>IFERROR(IF(OR(E1387="",INDEX(E:E,MATCH(DATE(YEAR($A1387)-1,MONTH($A1387),DAY($A1387)),$A:$A,0))=""),"",E1387/INDEX(E:E,MATCH(DATE(YEAR($A1387)-1,MONTH($A1387),DAY($A1387)),$A:$A,0))-1),"")</f>
        <v/>
      </c>
      <c r="I1387" s="7">
        <f>IFERROR(IF(OR(F1387="",INDEX(F:F,MATCH(DATE(YEAR($A1387)-1,MONTH($A1387),DAY($A1387)),$A:$A,0))=""),"",F1387/INDEX(F:F,MATCH(DATE(YEAR($A1387)-1,MONTH($A1387),DAY($A1387)),$A:$A,0))-1),"")</f>
        <v/>
      </c>
      <c r="J1387" s="7">
        <f>IFERROR(IF(OR(G1387="",INDEX(G:G,MATCH(DATE(YEAR($A1387)-1,MONTH($A1387),DAY($A1387)),$A:$A,0))=""),"",G1387/INDEX(G:G,MATCH(DATE(YEAR($A1387)-1,MONTH($A1387),DAY($A1387)),$A:$A,0))-1),"")</f>
        <v/>
      </c>
      <c r="K1387" s="7">
        <f>IF(OR(E1387="",E1386=""),"",E1387/E1386-1)</f>
        <v/>
      </c>
      <c r="L1387" s="7">
        <f>IF(OR(F1387="",F1386=""),"",F1387/F1386-1)</f>
        <v/>
      </c>
      <c r="M1387" s="7">
        <f>IF(OR(G1387="",G1386=""),"",G1387/G1386-1)</f>
        <v/>
      </c>
      <c r="N1387" s="7">
        <f>IF(G1387="","",E1387/G1387)</f>
        <v/>
      </c>
      <c r="O1387" s="7">
        <f>IF(G1387="","",F1387/G1387)</f>
        <v/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4">
        <f>IF(SUMIFS('Daily NSE Equity Cash'!$H:$H,'Daily NSE Equity Cash'!$A:$A,$A1388)=0,"",SUMIFS('Daily NSE Equity Cash'!$H:$H,'Daily NSE Equity Cash'!$A:$A,$A1388))</f>
        <v/>
      </c>
      <c r="F1388" s="4">
        <f>IF(SUMIFS('Daily BSE Equity Cash'!$H:$H,'Daily BSE Equity Cash'!$A:$A,$A1388)=0,"",SUMIFS('Daily BSE Equity Cash'!$H:$H,'Daily BSE Equity Cash'!$A:$A,$A1388))</f>
        <v/>
      </c>
      <c r="G1388" s="4">
        <f>IF(OR(E1388="",F1388=""),"",E1388+F1388)</f>
        <v/>
      </c>
      <c r="H1388" s="7">
        <f>IFERROR(IF(OR(E1388="",INDEX(E:E,MATCH(DATE(YEAR($A1388)-1,MONTH($A1388),DAY($A1388)),$A:$A,0))=""),"",E1388/INDEX(E:E,MATCH(DATE(YEAR($A1388)-1,MONTH($A1388),DAY($A1388)),$A:$A,0))-1),"")</f>
        <v/>
      </c>
      <c r="I1388" s="7">
        <f>IFERROR(IF(OR(F1388="",INDEX(F:F,MATCH(DATE(YEAR($A1388)-1,MONTH($A1388),DAY($A1388)),$A:$A,0))=""),"",F1388/INDEX(F:F,MATCH(DATE(YEAR($A1388)-1,MONTH($A1388),DAY($A1388)),$A:$A,0))-1),"")</f>
        <v/>
      </c>
      <c r="J1388" s="7">
        <f>IFERROR(IF(OR(G1388="",INDEX(G:G,MATCH(DATE(YEAR($A1388)-1,MONTH($A1388),DAY($A1388)),$A:$A,0))=""),"",G1388/INDEX(G:G,MATCH(DATE(YEAR($A1388)-1,MONTH($A1388),DAY($A1388)),$A:$A,0))-1),"")</f>
        <v/>
      </c>
      <c r="K1388" s="7">
        <f>IF(OR(E1388="",E1387=""),"",E1388/E1387-1)</f>
        <v/>
      </c>
      <c r="L1388" s="7">
        <f>IF(OR(F1388="",F1387=""),"",F1388/F1387-1)</f>
        <v/>
      </c>
      <c r="M1388" s="7">
        <f>IF(OR(G1388="",G1387=""),"",G1388/G1387-1)</f>
        <v/>
      </c>
      <c r="N1388" s="7">
        <f>IF(G1388="","",E1388/G1388)</f>
        <v/>
      </c>
      <c r="O1388" s="7">
        <f>IF(G1388="","",F1388/G1388)</f>
        <v/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4">
        <f>IF(SUMIFS('Daily NSE Equity Cash'!$H:$H,'Daily NSE Equity Cash'!$A:$A,$A1389)=0,"",SUMIFS('Daily NSE Equity Cash'!$H:$H,'Daily NSE Equity Cash'!$A:$A,$A1389))</f>
        <v/>
      </c>
      <c r="F1389" s="4">
        <f>IF(SUMIFS('Daily BSE Equity Cash'!$H:$H,'Daily BSE Equity Cash'!$A:$A,$A1389)=0,"",SUMIFS('Daily BSE Equity Cash'!$H:$H,'Daily BSE Equity Cash'!$A:$A,$A1389))</f>
        <v/>
      </c>
      <c r="G1389" s="4">
        <f>IF(OR(E1389="",F1389=""),"",E1389+F1389)</f>
        <v/>
      </c>
      <c r="H1389" s="7">
        <f>IFERROR(IF(OR(E1389="",INDEX(E:E,MATCH(DATE(YEAR($A1389)-1,MONTH($A1389),DAY($A1389)),$A:$A,0))=""),"",E1389/INDEX(E:E,MATCH(DATE(YEAR($A1389)-1,MONTH($A1389),DAY($A1389)),$A:$A,0))-1),"")</f>
        <v/>
      </c>
      <c r="I1389" s="7">
        <f>IFERROR(IF(OR(F1389="",INDEX(F:F,MATCH(DATE(YEAR($A1389)-1,MONTH($A1389),DAY($A1389)),$A:$A,0))=""),"",F1389/INDEX(F:F,MATCH(DATE(YEAR($A1389)-1,MONTH($A1389),DAY($A1389)),$A:$A,0))-1),"")</f>
        <v/>
      </c>
      <c r="J1389" s="7">
        <f>IFERROR(IF(OR(G1389="",INDEX(G:G,MATCH(DATE(YEAR($A1389)-1,MONTH($A1389),DAY($A1389)),$A:$A,0))=""),"",G1389/INDEX(G:G,MATCH(DATE(YEAR($A1389)-1,MONTH($A1389),DAY($A1389)),$A:$A,0))-1),"")</f>
        <v/>
      </c>
      <c r="K1389" s="7">
        <f>IF(OR(E1389="",E1388=""),"",E1389/E1388-1)</f>
        <v/>
      </c>
      <c r="L1389" s="7">
        <f>IF(OR(F1389="",F1388=""),"",F1389/F1388-1)</f>
        <v/>
      </c>
      <c r="M1389" s="7">
        <f>IF(OR(G1389="",G1388=""),"",G1389/G1388-1)</f>
        <v/>
      </c>
      <c r="N1389" s="7">
        <f>IF(G1389="","",E1389/G1389)</f>
        <v/>
      </c>
      <c r="O1389" s="7">
        <f>IF(G1389="","",F1389/G1389)</f>
        <v/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4">
        <f>IF(SUMIFS('Daily NSE Equity Cash'!$H:$H,'Daily NSE Equity Cash'!$A:$A,$A1390)=0,"",SUMIFS('Daily NSE Equity Cash'!$H:$H,'Daily NSE Equity Cash'!$A:$A,$A1390))</f>
        <v/>
      </c>
      <c r="F1390" s="4">
        <f>IF(SUMIFS('Daily BSE Equity Cash'!$H:$H,'Daily BSE Equity Cash'!$A:$A,$A1390)=0,"",SUMIFS('Daily BSE Equity Cash'!$H:$H,'Daily BSE Equity Cash'!$A:$A,$A1390))</f>
        <v/>
      </c>
      <c r="G1390" s="4">
        <f>IF(OR(E1390="",F1390=""),"",E1390+F1390)</f>
        <v/>
      </c>
      <c r="H1390" s="7">
        <f>IFERROR(IF(OR(E1390="",INDEX(E:E,MATCH(DATE(YEAR($A1390)-1,MONTH($A1390),DAY($A1390)),$A:$A,0))=""),"",E1390/INDEX(E:E,MATCH(DATE(YEAR($A1390)-1,MONTH($A1390),DAY($A1390)),$A:$A,0))-1),"")</f>
        <v/>
      </c>
      <c r="I1390" s="7">
        <f>IFERROR(IF(OR(F1390="",INDEX(F:F,MATCH(DATE(YEAR($A1390)-1,MONTH($A1390),DAY($A1390)),$A:$A,0))=""),"",F1390/INDEX(F:F,MATCH(DATE(YEAR($A1390)-1,MONTH($A1390),DAY($A1390)),$A:$A,0))-1),"")</f>
        <v/>
      </c>
      <c r="J1390" s="7">
        <f>IFERROR(IF(OR(G1390="",INDEX(G:G,MATCH(DATE(YEAR($A1390)-1,MONTH($A1390),DAY($A1390)),$A:$A,0))=""),"",G1390/INDEX(G:G,MATCH(DATE(YEAR($A1390)-1,MONTH($A1390),DAY($A1390)),$A:$A,0))-1),"")</f>
        <v/>
      </c>
      <c r="K1390" s="7">
        <f>IF(OR(E1390="",E1389=""),"",E1390/E1389-1)</f>
        <v/>
      </c>
      <c r="L1390" s="7">
        <f>IF(OR(F1390="",F1389=""),"",F1390/F1389-1)</f>
        <v/>
      </c>
      <c r="M1390" s="7">
        <f>IF(OR(G1390="",G1389=""),"",G1390/G1389-1)</f>
        <v/>
      </c>
      <c r="N1390" s="7">
        <f>IF(G1390="","",E1390/G1390)</f>
        <v/>
      </c>
      <c r="O1390" s="7">
        <f>IF(G1390="","",F1390/G1390)</f>
        <v/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4">
        <f>IF(SUMIFS('Daily NSE Equity Cash'!$H:$H,'Daily NSE Equity Cash'!$A:$A,$A1391)=0,"",SUMIFS('Daily NSE Equity Cash'!$H:$H,'Daily NSE Equity Cash'!$A:$A,$A1391))</f>
        <v/>
      </c>
      <c r="F1391" s="4">
        <f>IF(SUMIFS('Daily BSE Equity Cash'!$H:$H,'Daily BSE Equity Cash'!$A:$A,$A1391)=0,"",SUMIFS('Daily BSE Equity Cash'!$H:$H,'Daily BSE Equity Cash'!$A:$A,$A1391))</f>
        <v/>
      </c>
      <c r="G1391" s="4">
        <f>IF(OR(E1391="",F1391=""),"",E1391+F1391)</f>
        <v/>
      </c>
      <c r="H1391" s="7">
        <f>IFERROR(IF(OR(E1391="",INDEX(E:E,MATCH(DATE(YEAR($A1391)-1,MONTH($A1391),DAY($A1391)),$A:$A,0))=""),"",E1391/INDEX(E:E,MATCH(DATE(YEAR($A1391)-1,MONTH($A1391),DAY($A1391)),$A:$A,0))-1),"")</f>
        <v/>
      </c>
      <c r="I1391" s="7">
        <f>IFERROR(IF(OR(F1391="",INDEX(F:F,MATCH(DATE(YEAR($A1391)-1,MONTH($A1391),DAY($A1391)),$A:$A,0))=""),"",F1391/INDEX(F:F,MATCH(DATE(YEAR($A1391)-1,MONTH($A1391),DAY($A1391)),$A:$A,0))-1),"")</f>
        <v/>
      </c>
      <c r="J1391" s="7">
        <f>IFERROR(IF(OR(G1391="",INDEX(G:G,MATCH(DATE(YEAR($A1391)-1,MONTH($A1391),DAY($A1391)),$A:$A,0))=""),"",G1391/INDEX(G:G,MATCH(DATE(YEAR($A1391)-1,MONTH($A1391),DAY($A1391)),$A:$A,0))-1),"")</f>
        <v/>
      </c>
      <c r="K1391" s="7">
        <f>IF(OR(E1391="",E1390=""),"",E1391/E1390-1)</f>
        <v/>
      </c>
      <c r="L1391" s="7">
        <f>IF(OR(F1391="",F1390=""),"",F1391/F1390-1)</f>
        <v/>
      </c>
      <c r="M1391" s="7">
        <f>IF(OR(G1391="",G1390=""),"",G1391/G1390-1)</f>
        <v/>
      </c>
      <c r="N1391" s="7">
        <f>IF(G1391="","",E1391/G1391)</f>
        <v/>
      </c>
      <c r="O1391" s="7">
        <f>IF(G1391="","",F1391/G1391)</f>
        <v/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4">
        <f>IF(SUMIFS('Daily NSE Equity Cash'!$H:$H,'Daily NSE Equity Cash'!$A:$A,$A1392)=0,"",SUMIFS('Daily NSE Equity Cash'!$H:$H,'Daily NSE Equity Cash'!$A:$A,$A1392))</f>
        <v/>
      </c>
      <c r="F1392" s="4">
        <f>IF(SUMIFS('Daily BSE Equity Cash'!$H:$H,'Daily BSE Equity Cash'!$A:$A,$A1392)=0,"",SUMIFS('Daily BSE Equity Cash'!$H:$H,'Daily BSE Equity Cash'!$A:$A,$A1392))</f>
        <v/>
      </c>
      <c r="G1392" s="4">
        <f>IF(OR(E1392="",F1392=""),"",E1392+F1392)</f>
        <v/>
      </c>
      <c r="H1392" s="7">
        <f>IFERROR(IF(OR(E1392="",INDEX(E:E,MATCH(DATE(YEAR($A1392)-1,MONTH($A1392),DAY($A1392)),$A:$A,0))=""),"",E1392/INDEX(E:E,MATCH(DATE(YEAR($A1392)-1,MONTH($A1392),DAY($A1392)),$A:$A,0))-1),"")</f>
        <v/>
      </c>
      <c r="I1392" s="7">
        <f>IFERROR(IF(OR(F1392="",INDEX(F:F,MATCH(DATE(YEAR($A1392)-1,MONTH($A1392),DAY($A1392)),$A:$A,0))=""),"",F1392/INDEX(F:F,MATCH(DATE(YEAR($A1392)-1,MONTH($A1392),DAY($A1392)),$A:$A,0))-1),"")</f>
        <v/>
      </c>
      <c r="J1392" s="7">
        <f>IFERROR(IF(OR(G1392="",INDEX(G:G,MATCH(DATE(YEAR($A1392)-1,MONTH($A1392),DAY($A1392)),$A:$A,0))=""),"",G1392/INDEX(G:G,MATCH(DATE(YEAR($A1392)-1,MONTH($A1392),DAY($A1392)),$A:$A,0))-1),"")</f>
        <v/>
      </c>
      <c r="K1392" s="7">
        <f>IF(OR(E1392="",E1391=""),"",E1392/E1391-1)</f>
        <v/>
      </c>
      <c r="L1392" s="7">
        <f>IF(OR(F1392="",F1391=""),"",F1392/F1391-1)</f>
        <v/>
      </c>
      <c r="M1392" s="7">
        <f>IF(OR(G1392="",G1391=""),"",G1392/G1391-1)</f>
        <v/>
      </c>
      <c r="N1392" s="7">
        <f>IF(G1392="","",E1392/G1392)</f>
        <v/>
      </c>
      <c r="O1392" s="7">
        <f>IF(G1392="","",F1392/G1392)</f>
        <v/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4">
        <f>IF(SUMIFS('Daily NSE Equity Cash'!$H:$H,'Daily NSE Equity Cash'!$A:$A,$A1393)=0,"",SUMIFS('Daily NSE Equity Cash'!$H:$H,'Daily NSE Equity Cash'!$A:$A,$A1393))</f>
        <v/>
      </c>
      <c r="F1393" s="4">
        <f>IF(SUMIFS('Daily BSE Equity Cash'!$H:$H,'Daily BSE Equity Cash'!$A:$A,$A1393)=0,"",SUMIFS('Daily BSE Equity Cash'!$H:$H,'Daily BSE Equity Cash'!$A:$A,$A1393))</f>
        <v/>
      </c>
      <c r="G1393" s="4">
        <f>IF(OR(E1393="",F1393=""),"",E1393+F1393)</f>
        <v/>
      </c>
      <c r="H1393" s="7">
        <f>IFERROR(IF(OR(E1393="",INDEX(E:E,MATCH(DATE(YEAR($A1393)-1,MONTH($A1393),DAY($A1393)),$A:$A,0))=""),"",E1393/INDEX(E:E,MATCH(DATE(YEAR($A1393)-1,MONTH($A1393),DAY($A1393)),$A:$A,0))-1),"")</f>
        <v/>
      </c>
      <c r="I1393" s="7">
        <f>IFERROR(IF(OR(F1393="",INDEX(F:F,MATCH(DATE(YEAR($A1393)-1,MONTH($A1393),DAY($A1393)),$A:$A,0))=""),"",F1393/INDEX(F:F,MATCH(DATE(YEAR($A1393)-1,MONTH($A1393),DAY($A1393)),$A:$A,0))-1),"")</f>
        <v/>
      </c>
      <c r="J1393" s="7">
        <f>IFERROR(IF(OR(G1393="",INDEX(G:G,MATCH(DATE(YEAR($A1393)-1,MONTH($A1393),DAY($A1393)),$A:$A,0))=""),"",G1393/INDEX(G:G,MATCH(DATE(YEAR($A1393)-1,MONTH($A1393),DAY($A1393)),$A:$A,0))-1),"")</f>
        <v/>
      </c>
      <c r="K1393" s="7">
        <f>IF(OR(E1393="",E1392=""),"",E1393/E1392-1)</f>
        <v/>
      </c>
      <c r="L1393" s="7">
        <f>IF(OR(F1393="",F1392=""),"",F1393/F1392-1)</f>
        <v/>
      </c>
      <c r="M1393" s="7">
        <f>IF(OR(G1393="",G1392=""),"",G1393/G1392-1)</f>
        <v/>
      </c>
      <c r="N1393" s="7">
        <f>IF(G1393="","",E1393/G1393)</f>
        <v/>
      </c>
      <c r="O1393" s="7">
        <f>IF(G1393="","",F1393/G1393)</f>
        <v/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4">
        <f>IF(SUMIFS('Daily NSE Equity Cash'!$H:$H,'Daily NSE Equity Cash'!$A:$A,$A1394)=0,"",SUMIFS('Daily NSE Equity Cash'!$H:$H,'Daily NSE Equity Cash'!$A:$A,$A1394))</f>
        <v/>
      </c>
      <c r="F1394" s="4">
        <f>IF(SUMIFS('Daily BSE Equity Cash'!$H:$H,'Daily BSE Equity Cash'!$A:$A,$A1394)=0,"",SUMIFS('Daily BSE Equity Cash'!$H:$H,'Daily BSE Equity Cash'!$A:$A,$A1394))</f>
        <v/>
      </c>
      <c r="G1394" s="4">
        <f>IF(OR(E1394="",F1394=""),"",E1394+F1394)</f>
        <v/>
      </c>
      <c r="H1394" s="7">
        <f>IFERROR(IF(OR(E1394="",INDEX(E:E,MATCH(DATE(YEAR($A1394)-1,MONTH($A1394),DAY($A1394)),$A:$A,0))=""),"",E1394/INDEX(E:E,MATCH(DATE(YEAR($A1394)-1,MONTH($A1394),DAY($A1394)),$A:$A,0))-1),"")</f>
        <v/>
      </c>
      <c r="I1394" s="7">
        <f>IFERROR(IF(OR(F1394="",INDEX(F:F,MATCH(DATE(YEAR($A1394)-1,MONTH($A1394),DAY($A1394)),$A:$A,0))=""),"",F1394/INDEX(F:F,MATCH(DATE(YEAR($A1394)-1,MONTH($A1394),DAY($A1394)),$A:$A,0))-1),"")</f>
        <v/>
      </c>
      <c r="J1394" s="7">
        <f>IFERROR(IF(OR(G1394="",INDEX(G:G,MATCH(DATE(YEAR($A1394)-1,MONTH($A1394),DAY($A1394)),$A:$A,0))=""),"",G1394/INDEX(G:G,MATCH(DATE(YEAR($A1394)-1,MONTH($A1394),DAY($A1394)),$A:$A,0))-1),"")</f>
        <v/>
      </c>
      <c r="K1394" s="7">
        <f>IF(OR(E1394="",E1393=""),"",E1394/E1393-1)</f>
        <v/>
      </c>
      <c r="L1394" s="7">
        <f>IF(OR(F1394="",F1393=""),"",F1394/F1393-1)</f>
        <v/>
      </c>
      <c r="M1394" s="7">
        <f>IF(OR(G1394="",G1393=""),"",G1394/G1393-1)</f>
        <v/>
      </c>
      <c r="N1394" s="7">
        <f>IF(G1394="","",E1394/G1394)</f>
        <v/>
      </c>
      <c r="O1394" s="7">
        <f>IF(G1394="","",F1394/G1394)</f>
        <v/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4">
        <f>IF(SUMIFS('Daily NSE Equity Cash'!$H:$H,'Daily NSE Equity Cash'!$A:$A,$A1395)=0,"",SUMIFS('Daily NSE Equity Cash'!$H:$H,'Daily NSE Equity Cash'!$A:$A,$A1395))</f>
        <v/>
      </c>
      <c r="F1395" s="4">
        <f>IF(SUMIFS('Daily BSE Equity Cash'!$H:$H,'Daily BSE Equity Cash'!$A:$A,$A1395)=0,"",SUMIFS('Daily BSE Equity Cash'!$H:$H,'Daily BSE Equity Cash'!$A:$A,$A1395))</f>
        <v/>
      </c>
      <c r="G1395" s="4">
        <f>IF(OR(E1395="",F1395=""),"",E1395+F1395)</f>
        <v/>
      </c>
      <c r="H1395" s="7">
        <f>IFERROR(IF(OR(E1395="",INDEX(E:E,MATCH(DATE(YEAR($A1395)-1,MONTH($A1395),DAY($A1395)),$A:$A,0))=""),"",E1395/INDEX(E:E,MATCH(DATE(YEAR($A1395)-1,MONTH($A1395),DAY($A1395)),$A:$A,0))-1),"")</f>
        <v/>
      </c>
      <c r="I1395" s="7">
        <f>IFERROR(IF(OR(F1395="",INDEX(F:F,MATCH(DATE(YEAR($A1395)-1,MONTH($A1395),DAY($A1395)),$A:$A,0))=""),"",F1395/INDEX(F:F,MATCH(DATE(YEAR($A1395)-1,MONTH($A1395),DAY($A1395)),$A:$A,0))-1),"")</f>
        <v/>
      </c>
      <c r="J1395" s="7">
        <f>IFERROR(IF(OR(G1395="",INDEX(G:G,MATCH(DATE(YEAR($A1395)-1,MONTH($A1395),DAY($A1395)),$A:$A,0))=""),"",G1395/INDEX(G:G,MATCH(DATE(YEAR($A1395)-1,MONTH($A1395),DAY($A1395)),$A:$A,0))-1),"")</f>
        <v/>
      </c>
      <c r="K1395" s="7">
        <f>IF(OR(E1395="",E1394=""),"",E1395/E1394-1)</f>
        <v/>
      </c>
      <c r="L1395" s="7">
        <f>IF(OR(F1395="",F1394=""),"",F1395/F1394-1)</f>
        <v/>
      </c>
      <c r="M1395" s="7">
        <f>IF(OR(G1395="",G1394=""),"",G1395/G1394-1)</f>
        <v/>
      </c>
      <c r="N1395" s="7">
        <f>IF(G1395="","",E1395/G1395)</f>
        <v/>
      </c>
      <c r="O1395" s="7">
        <f>IF(G1395="","",F1395/G1395)</f>
        <v/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4">
        <f>IF(SUMIFS('Daily NSE Equity Cash'!$H:$H,'Daily NSE Equity Cash'!$A:$A,$A1396)=0,"",SUMIFS('Daily NSE Equity Cash'!$H:$H,'Daily NSE Equity Cash'!$A:$A,$A1396))</f>
        <v/>
      </c>
      <c r="F1396" s="4">
        <f>IF(SUMIFS('Daily BSE Equity Cash'!$H:$H,'Daily BSE Equity Cash'!$A:$A,$A1396)=0,"",SUMIFS('Daily BSE Equity Cash'!$H:$H,'Daily BSE Equity Cash'!$A:$A,$A1396))</f>
        <v/>
      </c>
      <c r="G1396" s="4">
        <f>IF(OR(E1396="",F1396=""),"",E1396+F1396)</f>
        <v/>
      </c>
      <c r="H1396" s="7">
        <f>IFERROR(IF(OR(E1396="",INDEX(E:E,MATCH(DATE(YEAR($A1396)-1,MONTH($A1396),DAY($A1396)),$A:$A,0))=""),"",E1396/INDEX(E:E,MATCH(DATE(YEAR($A1396)-1,MONTH($A1396),DAY($A1396)),$A:$A,0))-1),"")</f>
        <v/>
      </c>
      <c r="I1396" s="7">
        <f>IFERROR(IF(OR(F1396="",INDEX(F:F,MATCH(DATE(YEAR($A1396)-1,MONTH($A1396),DAY($A1396)),$A:$A,0))=""),"",F1396/INDEX(F:F,MATCH(DATE(YEAR($A1396)-1,MONTH($A1396),DAY($A1396)),$A:$A,0))-1),"")</f>
        <v/>
      </c>
      <c r="J1396" s="7">
        <f>IFERROR(IF(OR(G1396="",INDEX(G:G,MATCH(DATE(YEAR($A1396)-1,MONTH($A1396),DAY($A1396)),$A:$A,0))=""),"",G1396/INDEX(G:G,MATCH(DATE(YEAR($A1396)-1,MONTH($A1396),DAY($A1396)),$A:$A,0))-1),"")</f>
        <v/>
      </c>
      <c r="K1396" s="7">
        <f>IF(OR(E1396="",E1395=""),"",E1396/E1395-1)</f>
        <v/>
      </c>
      <c r="L1396" s="7">
        <f>IF(OR(F1396="",F1395=""),"",F1396/F1395-1)</f>
        <v/>
      </c>
      <c r="M1396" s="7">
        <f>IF(OR(G1396="",G1395=""),"",G1396/G1395-1)</f>
        <v/>
      </c>
      <c r="N1396" s="7">
        <f>IF(G1396="","",E1396/G1396)</f>
        <v/>
      </c>
      <c r="O1396" s="7">
        <f>IF(G1396="","",F1396/G1396)</f>
        <v/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4">
        <f>IF(SUMIFS('Daily NSE Equity Cash'!$H:$H,'Daily NSE Equity Cash'!$A:$A,$A1397)=0,"",SUMIFS('Daily NSE Equity Cash'!$H:$H,'Daily NSE Equity Cash'!$A:$A,$A1397))</f>
        <v/>
      </c>
      <c r="F1397" s="4">
        <f>IF(SUMIFS('Daily BSE Equity Cash'!$H:$H,'Daily BSE Equity Cash'!$A:$A,$A1397)=0,"",SUMIFS('Daily BSE Equity Cash'!$H:$H,'Daily BSE Equity Cash'!$A:$A,$A1397))</f>
        <v/>
      </c>
      <c r="G1397" s="4">
        <f>IF(OR(E1397="",F1397=""),"",E1397+F1397)</f>
        <v/>
      </c>
      <c r="H1397" s="7">
        <f>IFERROR(IF(OR(E1397="",INDEX(E:E,MATCH(DATE(YEAR($A1397)-1,MONTH($A1397),DAY($A1397)),$A:$A,0))=""),"",E1397/INDEX(E:E,MATCH(DATE(YEAR($A1397)-1,MONTH($A1397),DAY($A1397)),$A:$A,0))-1),"")</f>
        <v/>
      </c>
      <c r="I1397" s="7">
        <f>IFERROR(IF(OR(F1397="",INDEX(F:F,MATCH(DATE(YEAR($A1397)-1,MONTH($A1397),DAY($A1397)),$A:$A,0))=""),"",F1397/INDEX(F:F,MATCH(DATE(YEAR($A1397)-1,MONTH($A1397),DAY($A1397)),$A:$A,0))-1),"")</f>
        <v/>
      </c>
      <c r="J1397" s="7">
        <f>IFERROR(IF(OR(G1397="",INDEX(G:G,MATCH(DATE(YEAR($A1397)-1,MONTH($A1397),DAY($A1397)),$A:$A,0))=""),"",G1397/INDEX(G:G,MATCH(DATE(YEAR($A1397)-1,MONTH($A1397),DAY($A1397)),$A:$A,0))-1),"")</f>
        <v/>
      </c>
      <c r="K1397" s="7">
        <f>IF(OR(E1397="",E1396=""),"",E1397/E1396-1)</f>
        <v/>
      </c>
      <c r="L1397" s="7">
        <f>IF(OR(F1397="",F1396=""),"",F1397/F1396-1)</f>
        <v/>
      </c>
      <c r="M1397" s="7">
        <f>IF(OR(G1397="",G1396=""),"",G1397/G1396-1)</f>
        <v/>
      </c>
      <c r="N1397" s="7">
        <f>IF(G1397="","",E1397/G1397)</f>
        <v/>
      </c>
      <c r="O1397" s="7">
        <f>IF(G1397="","",F1397/G1397)</f>
        <v/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4">
        <f>IF(SUMIFS('Daily NSE Equity Cash'!$H:$H,'Daily NSE Equity Cash'!$A:$A,$A1398)=0,"",SUMIFS('Daily NSE Equity Cash'!$H:$H,'Daily NSE Equity Cash'!$A:$A,$A1398))</f>
        <v/>
      </c>
      <c r="F1398" s="4">
        <f>IF(SUMIFS('Daily BSE Equity Cash'!$H:$H,'Daily BSE Equity Cash'!$A:$A,$A1398)=0,"",SUMIFS('Daily BSE Equity Cash'!$H:$H,'Daily BSE Equity Cash'!$A:$A,$A1398))</f>
        <v/>
      </c>
      <c r="G1398" s="4">
        <f>IF(OR(E1398="",F1398=""),"",E1398+F1398)</f>
        <v/>
      </c>
      <c r="H1398" s="7">
        <f>IFERROR(IF(OR(E1398="",INDEX(E:E,MATCH(DATE(YEAR($A1398)-1,MONTH($A1398),DAY($A1398)),$A:$A,0))=""),"",E1398/INDEX(E:E,MATCH(DATE(YEAR($A1398)-1,MONTH($A1398),DAY($A1398)),$A:$A,0))-1),"")</f>
        <v/>
      </c>
      <c r="I1398" s="7">
        <f>IFERROR(IF(OR(F1398="",INDEX(F:F,MATCH(DATE(YEAR($A1398)-1,MONTH($A1398),DAY($A1398)),$A:$A,0))=""),"",F1398/INDEX(F:F,MATCH(DATE(YEAR($A1398)-1,MONTH($A1398),DAY($A1398)),$A:$A,0))-1),"")</f>
        <v/>
      </c>
      <c r="J1398" s="7">
        <f>IFERROR(IF(OR(G1398="",INDEX(G:G,MATCH(DATE(YEAR($A1398)-1,MONTH($A1398),DAY($A1398)),$A:$A,0))=""),"",G1398/INDEX(G:G,MATCH(DATE(YEAR($A1398)-1,MONTH($A1398),DAY($A1398)),$A:$A,0))-1),"")</f>
        <v/>
      </c>
      <c r="K1398" s="7">
        <f>IF(OR(E1398="",E1397=""),"",E1398/E1397-1)</f>
        <v/>
      </c>
      <c r="L1398" s="7">
        <f>IF(OR(F1398="",F1397=""),"",F1398/F1397-1)</f>
        <v/>
      </c>
      <c r="M1398" s="7">
        <f>IF(OR(G1398="",G1397=""),"",G1398/G1397-1)</f>
        <v/>
      </c>
      <c r="N1398" s="7">
        <f>IF(G1398="","",E1398/G1398)</f>
        <v/>
      </c>
      <c r="O1398" s="7">
        <f>IF(G1398="","",F1398/G1398)</f>
        <v/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4">
        <f>IF(SUMIFS('Daily NSE Equity Cash'!$H:$H,'Daily NSE Equity Cash'!$A:$A,$A1399)=0,"",SUMIFS('Daily NSE Equity Cash'!$H:$H,'Daily NSE Equity Cash'!$A:$A,$A1399))</f>
        <v/>
      </c>
      <c r="F1399" s="4">
        <f>IF(SUMIFS('Daily BSE Equity Cash'!$H:$H,'Daily BSE Equity Cash'!$A:$A,$A1399)=0,"",SUMIFS('Daily BSE Equity Cash'!$H:$H,'Daily BSE Equity Cash'!$A:$A,$A1399))</f>
        <v/>
      </c>
      <c r="G1399" s="4">
        <f>IF(OR(E1399="",F1399=""),"",E1399+F1399)</f>
        <v/>
      </c>
      <c r="H1399" s="7">
        <f>IFERROR(IF(OR(E1399="",INDEX(E:E,MATCH(DATE(YEAR($A1399)-1,MONTH($A1399),DAY($A1399)),$A:$A,0))=""),"",E1399/INDEX(E:E,MATCH(DATE(YEAR($A1399)-1,MONTH($A1399),DAY($A1399)),$A:$A,0))-1),"")</f>
        <v/>
      </c>
      <c r="I1399" s="7">
        <f>IFERROR(IF(OR(F1399="",INDEX(F:F,MATCH(DATE(YEAR($A1399)-1,MONTH($A1399),DAY($A1399)),$A:$A,0))=""),"",F1399/INDEX(F:F,MATCH(DATE(YEAR($A1399)-1,MONTH($A1399),DAY($A1399)),$A:$A,0))-1),"")</f>
        <v/>
      </c>
      <c r="J1399" s="7">
        <f>IFERROR(IF(OR(G1399="",INDEX(G:G,MATCH(DATE(YEAR($A1399)-1,MONTH($A1399),DAY($A1399)),$A:$A,0))=""),"",G1399/INDEX(G:G,MATCH(DATE(YEAR($A1399)-1,MONTH($A1399),DAY($A1399)),$A:$A,0))-1),"")</f>
        <v/>
      </c>
      <c r="K1399" s="7">
        <f>IF(OR(E1399="",E1398=""),"",E1399/E1398-1)</f>
        <v/>
      </c>
      <c r="L1399" s="7">
        <f>IF(OR(F1399="",F1398=""),"",F1399/F1398-1)</f>
        <v/>
      </c>
      <c r="M1399" s="7">
        <f>IF(OR(G1399="",G1398=""),"",G1399/G1398-1)</f>
        <v/>
      </c>
      <c r="N1399" s="7">
        <f>IF(G1399="","",E1399/G1399)</f>
        <v/>
      </c>
      <c r="O1399" s="7">
        <f>IF(G1399="","",F1399/G1399)</f>
        <v/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4">
        <f>IF(SUMIFS('Daily NSE Equity Cash'!$H:$H,'Daily NSE Equity Cash'!$A:$A,$A1400)=0,"",SUMIFS('Daily NSE Equity Cash'!$H:$H,'Daily NSE Equity Cash'!$A:$A,$A1400))</f>
        <v/>
      </c>
      <c r="F1400" s="4">
        <f>IF(SUMIFS('Daily BSE Equity Cash'!$H:$H,'Daily BSE Equity Cash'!$A:$A,$A1400)=0,"",SUMIFS('Daily BSE Equity Cash'!$H:$H,'Daily BSE Equity Cash'!$A:$A,$A1400))</f>
        <v/>
      </c>
      <c r="G1400" s="4">
        <f>IF(OR(E1400="",F1400=""),"",E1400+F1400)</f>
        <v/>
      </c>
      <c r="H1400" s="7">
        <f>IFERROR(IF(OR(E1400="",INDEX(E:E,MATCH(DATE(YEAR($A1400)-1,MONTH($A1400),DAY($A1400)),$A:$A,0))=""),"",E1400/INDEX(E:E,MATCH(DATE(YEAR($A1400)-1,MONTH($A1400),DAY($A1400)),$A:$A,0))-1),"")</f>
        <v/>
      </c>
      <c r="I1400" s="7">
        <f>IFERROR(IF(OR(F1400="",INDEX(F:F,MATCH(DATE(YEAR($A1400)-1,MONTH($A1400),DAY($A1400)),$A:$A,0))=""),"",F1400/INDEX(F:F,MATCH(DATE(YEAR($A1400)-1,MONTH($A1400),DAY($A1400)),$A:$A,0))-1),"")</f>
        <v/>
      </c>
      <c r="J1400" s="7">
        <f>IFERROR(IF(OR(G1400="",INDEX(G:G,MATCH(DATE(YEAR($A1400)-1,MONTH($A1400),DAY($A1400)),$A:$A,0))=""),"",G1400/INDEX(G:G,MATCH(DATE(YEAR($A1400)-1,MONTH($A1400),DAY($A1400)),$A:$A,0))-1),"")</f>
        <v/>
      </c>
      <c r="K1400" s="7">
        <f>IF(OR(E1400="",E1399=""),"",E1400/E1399-1)</f>
        <v/>
      </c>
      <c r="L1400" s="7">
        <f>IF(OR(F1400="",F1399=""),"",F1400/F1399-1)</f>
        <v/>
      </c>
      <c r="M1400" s="7">
        <f>IF(OR(G1400="",G1399=""),"",G1400/G1399-1)</f>
        <v/>
      </c>
      <c r="N1400" s="7">
        <f>IF(G1400="","",E1400/G1400)</f>
        <v/>
      </c>
      <c r="O1400" s="7">
        <f>IF(G1400="","",F1400/G1400)</f>
        <v/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4">
        <f>IF(SUMIFS('Daily NSE Equity Cash'!$H:$H,'Daily NSE Equity Cash'!$A:$A,$A1401)=0,"",SUMIFS('Daily NSE Equity Cash'!$H:$H,'Daily NSE Equity Cash'!$A:$A,$A1401))</f>
        <v/>
      </c>
      <c r="F1401" s="4">
        <f>IF(SUMIFS('Daily BSE Equity Cash'!$H:$H,'Daily BSE Equity Cash'!$A:$A,$A1401)=0,"",SUMIFS('Daily BSE Equity Cash'!$H:$H,'Daily BSE Equity Cash'!$A:$A,$A1401))</f>
        <v/>
      </c>
      <c r="G1401" s="4">
        <f>IF(OR(E1401="",F1401=""),"",E1401+F1401)</f>
        <v/>
      </c>
      <c r="H1401" s="7">
        <f>IFERROR(IF(OR(E1401="",INDEX(E:E,MATCH(DATE(YEAR($A1401)-1,MONTH($A1401),DAY($A1401)),$A:$A,0))=""),"",E1401/INDEX(E:E,MATCH(DATE(YEAR($A1401)-1,MONTH($A1401),DAY($A1401)),$A:$A,0))-1),"")</f>
        <v/>
      </c>
      <c r="I1401" s="7">
        <f>IFERROR(IF(OR(F1401="",INDEX(F:F,MATCH(DATE(YEAR($A1401)-1,MONTH($A1401),DAY($A1401)),$A:$A,0))=""),"",F1401/INDEX(F:F,MATCH(DATE(YEAR($A1401)-1,MONTH($A1401),DAY($A1401)),$A:$A,0))-1),"")</f>
        <v/>
      </c>
      <c r="J1401" s="7">
        <f>IFERROR(IF(OR(G1401="",INDEX(G:G,MATCH(DATE(YEAR($A1401)-1,MONTH($A1401),DAY($A1401)),$A:$A,0))=""),"",G1401/INDEX(G:G,MATCH(DATE(YEAR($A1401)-1,MONTH($A1401),DAY($A1401)),$A:$A,0))-1),"")</f>
        <v/>
      </c>
      <c r="K1401" s="7">
        <f>IF(OR(E1401="",E1400=""),"",E1401/E1400-1)</f>
        <v/>
      </c>
      <c r="L1401" s="7">
        <f>IF(OR(F1401="",F1400=""),"",F1401/F1400-1)</f>
        <v/>
      </c>
      <c r="M1401" s="7">
        <f>IF(OR(G1401="",G1400=""),"",G1401/G1400-1)</f>
        <v/>
      </c>
      <c r="N1401" s="7">
        <f>IF(G1401="","",E1401/G1401)</f>
        <v/>
      </c>
      <c r="O1401" s="7">
        <f>IF(G1401="","",F1401/G1401)</f>
        <v/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4">
        <f>IF(SUMIFS('Daily NSE Equity Cash'!$H:$H,'Daily NSE Equity Cash'!$A:$A,$A1402)=0,"",SUMIFS('Daily NSE Equity Cash'!$H:$H,'Daily NSE Equity Cash'!$A:$A,$A1402))</f>
        <v/>
      </c>
      <c r="F1402" s="4">
        <f>IF(SUMIFS('Daily BSE Equity Cash'!$H:$H,'Daily BSE Equity Cash'!$A:$A,$A1402)=0,"",SUMIFS('Daily BSE Equity Cash'!$H:$H,'Daily BSE Equity Cash'!$A:$A,$A1402))</f>
        <v/>
      </c>
      <c r="G1402" s="4">
        <f>IF(OR(E1402="",F1402=""),"",E1402+F1402)</f>
        <v/>
      </c>
      <c r="H1402" s="7">
        <f>IFERROR(IF(OR(E1402="",INDEX(E:E,MATCH(DATE(YEAR($A1402)-1,MONTH($A1402),DAY($A1402)),$A:$A,0))=""),"",E1402/INDEX(E:E,MATCH(DATE(YEAR($A1402)-1,MONTH($A1402),DAY($A1402)),$A:$A,0))-1),"")</f>
        <v/>
      </c>
      <c r="I1402" s="7">
        <f>IFERROR(IF(OR(F1402="",INDEX(F:F,MATCH(DATE(YEAR($A1402)-1,MONTH($A1402),DAY($A1402)),$A:$A,0))=""),"",F1402/INDEX(F:F,MATCH(DATE(YEAR($A1402)-1,MONTH($A1402),DAY($A1402)),$A:$A,0))-1),"")</f>
        <v/>
      </c>
      <c r="J1402" s="7">
        <f>IFERROR(IF(OR(G1402="",INDEX(G:G,MATCH(DATE(YEAR($A1402)-1,MONTH($A1402),DAY($A1402)),$A:$A,0))=""),"",G1402/INDEX(G:G,MATCH(DATE(YEAR($A1402)-1,MONTH($A1402),DAY($A1402)),$A:$A,0))-1),"")</f>
        <v/>
      </c>
      <c r="K1402" s="7">
        <f>IF(OR(E1402="",E1401=""),"",E1402/E1401-1)</f>
        <v/>
      </c>
      <c r="L1402" s="7">
        <f>IF(OR(F1402="",F1401=""),"",F1402/F1401-1)</f>
        <v/>
      </c>
      <c r="M1402" s="7">
        <f>IF(OR(G1402="",G1401=""),"",G1402/G1401-1)</f>
        <v/>
      </c>
      <c r="N1402" s="7">
        <f>IF(G1402="","",E1402/G1402)</f>
        <v/>
      </c>
      <c r="O1402" s="7">
        <f>IF(G1402="","",F1402/G1402)</f>
        <v/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4">
        <f>IF(SUMIFS('Daily NSE Equity Cash'!$H:$H,'Daily NSE Equity Cash'!$A:$A,$A1403)=0,"",SUMIFS('Daily NSE Equity Cash'!$H:$H,'Daily NSE Equity Cash'!$A:$A,$A1403))</f>
        <v/>
      </c>
      <c r="F1403" s="4">
        <f>IF(SUMIFS('Daily BSE Equity Cash'!$H:$H,'Daily BSE Equity Cash'!$A:$A,$A1403)=0,"",SUMIFS('Daily BSE Equity Cash'!$H:$H,'Daily BSE Equity Cash'!$A:$A,$A1403))</f>
        <v/>
      </c>
      <c r="G1403" s="4">
        <f>IF(OR(E1403="",F1403=""),"",E1403+F1403)</f>
        <v/>
      </c>
      <c r="H1403" s="7">
        <f>IFERROR(IF(OR(E1403="",INDEX(E:E,MATCH(DATE(YEAR($A1403)-1,MONTH($A1403),DAY($A1403)),$A:$A,0))=""),"",E1403/INDEX(E:E,MATCH(DATE(YEAR($A1403)-1,MONTH($A1403),DAY($A1403)),$A:$A,0))-1),"")</f>
        <v/>
      </c>
      <c r="I1403" s="7">
        <f>IFERROR(IF(OR(F1403="",INDEX(F:F,MATCH(DATE(YEAR($A1403)-1,MONTH($A1403),DAY($A1403)),$A:$A,0))=""),"",F1403/INDEX(F:F,MATCH(DATE(YEAR($A1403)-1,MONTH($A1403),DAY($A1403)),$A:$A,0))-1),"")</f>
        <v/>
      </c>
      <c r="J1403" s="7">
        <f>IFERROR(IF(OR(G1403="",INDEX(G:G,MATCH(DATE(YEAR($A1403)-1,MONTH($A1403),DAY($A1403)),$A:$A,0))=""),"",G1403/INDEX(G:G,MATCH(DATE(YEAR($A1403)-1,MONTH($A1403),DAY($A1403)),$A:$A,0))-1),"")</f>
        <v/>
      </c>
      <c r="K1403" s="7">
        <f>IF(OR(E1403="",E1402=""),"",E1403/E1402-1)</f>
        <v/>
      </c>
      <c r="L1403" s="7">
        <f>IF(OR(F1403="",F1402=""),"",F1403/F1402-1)</f>
        <v/>
      </c>
      <c r="M1403" s="7">
        <f>IF(OR(G1403="",G1402=""),"",G1403/G1402-1)</f>
        <v/>
      </c>
      <c r="N1403" s="7">
        <f>IF(G1403="","",E1403/G1403)</f>
        <v/>
      </c>
      <c r="O1403" s="7">
        <f>IF(G1403="","",F1403/G1403)</f>
        <v/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4">
        <f>IF(SUMIFS('Daily NSE Equity Cash'!$H:$H,'Daily NSE Equity Cash'!$A:$A,$A1404)=0,"",SUMIFS('Daily NSE Equity Cash'!$H:$H,'Daily NSE Equity Cash'!$A:$A,$A1404))</f>
        <v/>
      </c>
      <c r="F1404" s="4">
        <f>IF(SUMIFS('Daily BSE Equity Cash'!$H:$H,'Daily BSE Equity Cash'!$A:$A,$A1404)=0,"",SUMIFS('Daily BSE Equity Cash'!$H:$H,'Daily BSE Equity Cash'!$A:$A,$A1404))</f>
        <v/>
      </c>
      <c r="G1404" s="4">
        <f>IF(OR(E1404="",F1404=""),"",E1404+F1404)</f>
        <v/>
      </c>
      <c r="H1404" s="7">
        <f>IFERROR(IF(OR(E1404="",INDEX(E:E,MATCH(DATE(YEAR($A1404)-1,MONTH($A1404),DAY($A1404)),$A:$A,0))=""),"",E1404/INDEX(E:E,MATCH(DATE(YEAR($A1404)-1,MONTH($A1404),DAY($A1404)),$A:$A,0))-1),"")</f>
        <v/>
      </c>
      <c r="I1404" s="7">
        <f>IFERROR(IF(OR(F1404="",INDEX(F:F,MATCH(DATE(YEAR($A1404)-1,MONTH($A1404),DAY($A1404)),$A:$A,0))=""),"",F1404/INDEX(F:F,MATCH(DATE(YEAR($A1404)-1,MONTH($A1404),DAY($A1404)),$A:$A,0))-1),"")</f>
        <v/>
      </c>
      <c r="J1404" s="7">
        <f>IFERROR(IF(OR(G1404="",INDEX(G:G,MATCH(DATE(YEAR($A1404)-1,MONTH($A1404),DAY($A1404)),$A:$A,0))=""),"",G1404/INDEX(G:G,MATCH(DATE(YEAR($A1404)-1,MONTH($A1404),DAY($A1404)),$A:$A,0))-1),"")</f>
        <v/>
      </c>
      <c r="K1404" s="7">
        <f>IF(OR(E1404="",E1403=""),"",E1404/E1403-1)</f>
        <v/>
      </c>
      <c r="L1404" s="7">
        <f>IF(OR(F1404="",F1403=""),"",F1404/F1403-1)</f>
        <v/>
      </c>
      <c r="M1404" s="7">
        <f>IF(OR(G1404="",G1403=""),"",G1404/G1403-1)</f>
        <v/>
      </c>
      <c r="N1404" s="7">
        <f>IF(G1404="","",E1404/G1404)</f>
        <v/>
      </c>
      <c r="O1404" s="7">
        <f>IF(G1404="","",F1404/G1404)</f>
        <v/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4">
        <f>IF(SUMIFS('Daily NSE Equity Cash'!$H:$H,'Daily NSE Equity Cash'!$A:$A,$A1405)=0,"",SUMIFS('Daily NSE Equity Cash'!$H:$H,'Daily NSE Equity Cash'!$A:$A,$A1405))</f>
        <v/>
      </c>
      <c r="F1405" s="4">
        <f>IF(SUMIFS('Daily BSE Equity Cash'!$H:$H,'Daily BSE Equity Cash'!$A:$A,$A1405)=0,"",SUMIFS('Daily BSE Equity Cash'!$H:$H,'Daily BSE Equity Cash'!$A:$A,$A1405))</f>
        <v/>
      </c>
      <c r="G1405" s="4">
        <f>IF(OR(E1405="",F1405=""),"",E1405+F1405)</f>
        <v/>
      </c>
      <c r="H1405" s="7">
        <f>IFERROR(IF(OR(E1405="",INDEX(E:E,MATCH(DATE(YEAR($A1405)-1,MONTH($A1405),DAY($A1405)),$A:$A,0))=""),"",E1405/INDEX(E:E,MATCH(DATE(YEAR($A1405)-1,MONTH($A1405),DAY($A1405)),$A:$A,0))-1),"")</f>
        <v/>
      </c>
      <c r="I1405" s="7">
        <f>IFERROR(IF(OR(F1405="",INDEX(F:F,MATCH(DATE(YEAR($A1405)-1,MONTH($A1405),DAY($A1405)),$A:$A,0))=""),"",F1405/INDEX(F:F,MATCH(DATE(YEAR($A1405)-1,MONTH($A1405),DAY($A1405)),$A:$A,0))-1),"")</f>
        <v/>
      </c>
      <c r="J1405" s="7">
        <f>IFERROR(IF(OR(G1405="",INDEX(G:G,MATCH(DATE(YEAR($A1405)-1,MONTH($A1405),DAY($A1405)),$A:$A,0))=""),"",G1405/INDEX(G:G,MATCH(DATE(YEAR($A1405)-1,MONTH($A1405),DAY($A1405)),$A:$A,0))-1),"")</f>
        <v/>
      </c>
      <c r="K1405" s="7">
        <f>IF(OR(E1405="",E1404=""),"",E1405/E1404-1)</f>
        <v/>
      </c>
      <c r="L1405" s="7">
        <f>IF(OR(F1405="",F1404=""),"",F1405/F1404-1)</f>
        <v/>
      </c>
      <c r="M1405" s="7">
        <f>IF(OR(G1405="",G1404=""),"",G1405/G1404-1)</f>
        <v/>
      </c>
      <c r="N1405" s="7">
        <f>IF(G1405="","",E1405/G1405)</f>
        <v/>
      </c>
      <c r="O1405" s="7">
        <f>IF(G1405="","",F1405/G1405)</f>
        <v/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4">
        <f>IF(SUMIFS('Daily NSE Equity Cash'!$H:$H,'Daily NSE Equity Cash'!$A:$A,$A1406)=0,"",SUMIFS('Daily NSE Equity Cash'!$H:$H,'Daily NSE Equity Cash'!$A:$A,$A1406))</f>
        <v/>
      </c>
      <c r="F1406" s="4">
        <f>IF(SUMIFS('Daily BSE Equity Cash'!$H:$H,'Daily BSE Equity Cash'!$A:$A,$A1406)=0,"",SUMIFS('Daily BSE Equity Cash'!$H:$H,'Daily BSE Equity Cash'!$A:$A,$A1406))</f>
        <v/>
      </c>
      <c r="G1406" s="4">
        <f>IF(OR(E1406="",F1406=""),"",E1406+F1406)</f>
        <v/>
      </c>
      <c r="H1406" s="7">
        <f>IFERROR(IF(OR(E1406="",INDEX(E:E,MATCH(DATE(YEAR($A1406)-1,MONTH($A1406),DAY($A1406)),$A:$A,0))=""),"",E1406/INDEX(E:E,MATCH(DATE(YEAR($A1406)-1,MONTH($A1406),DAY($A1406)),$A:$A,0))-1),"")</f>
        <v/>
      </c>
      <c r="I1406" s="7">
        <f>IFERROR(IF(OR(F1406="",INDEX(F:F,MATCH(DATE(YEAR($A1406)-1,MONTH($A1406),DAY($A1406)),$A:$A,0))=""),"",F1406/INDEX(F:F,MATCH(DATE(YEAR($A1406)-1,MONTH($A1406),DAY($A1406)),$A:$A,0))-1),"")</f>
        <v/>
      </c>
      <c r="J1406" s="7">
        <f>IFERROR(IF(OR(G1406="",INDEX(G:G,MATCH(DATE(YEAR($A1406)-1,MONTH($A1406),DAY($A1406)),$A:$A,0))=""),"",G1406/INDEX(G:G,MATCH(DATE(YEAR($A1406)-1,MONTH($A1406),DAY($A1406)),$A:$A,0))-1),"")</f>
        <v/>
      </c>
      <c r="K1406" s="7">
        <f>IF(OR(E1406="",E1405=""),"",E1406/E1405-1)</f>
        <v/>
      </c>
      <c r="L1406" s="7">
        <f>IF(OR(F1406="",F1405=""),"",F1406/F1405-1)</f>
        <v/>
      </c>
      <c r="M1406" s="7">
        <f>IF(OR(G1406="",G1405=""),"",G1406/G1405-1)</f>
        <v/>
      </c>
      <c r="N1406" s="7">
        <f>IF(G1406="","",E1406/G1406)</f>
        <v/>
      </c>
      <c r="O1406" s="7">
        <f>IF(G1406="","",F1406/G1406)</f>
        <v/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4">
        <f>IF(SUMIFS('Daily NSE Equity Cash'!$H:$H,'Daily NSE Equity Cash'!$A:$A,$A1407)=0,"",SUMIFS('Daily NSE Equity Cash'!$H:$H,'Daily NSE Equity Cash'!$A:$A,$A1407))</f>
        <v/>
      </c>
      <c r="F1407" s="4">
        <f>IF(SUMIFS('Daily BSE Equity Cash'!$H:$H,'Daily BSE Equity Cash'!$A:$A,$A1407)=0,"",SUMIFS('Daily BSE Equity Cash'!$H:$H,'Daily BSE Equity Cash'!$A:$A,$A1407))</f>
        <v/>
      </c>
      <c r="G1407" s="4">
        <f>IF(OR(E1407="",F1407=""),"",E1407+F1407)</f>
        <v/>
      </c>
      <c r="H1407" s="7">
        <f>IFERROR(IF(OR(E1407="",INDEX(E:E,MATCH(DATE(YEAR($A1407)-1,MONTH($A1407),DAY($A1407)),$A:$A,0))=""),"",E1407/INDEX(E:E,MATCH(DATE(YEAR($A1407)-1,MONTH($A1407),DAY($A1407)),$A:$A,0))-1),"")</f>
        <v/>
      </c>
      <c r="I1407" s="7">
        <f>IFERROR(IF(OR(F1407="",INDEX(F:F,MATCH(DATE(YEAR($A1407)-1,MONTH($A1407),DAY($A1407)),$A:$A,0))=""),"",F1407/INDEX(F:F,MATCH(DATE(YEAR($A1407)-1,MONTH($A1407),DAY($A1407)),$A:$A,0))-1),"")</f>
        <v/>
      </c>
      <c r="J1407" s="7">
        <f>IFERROR(IF(OR(G1407="",INDEX(G:G,MATCH(DATE(YEAR($A1407)-1,MONTH($A1407),DAY($A1407)),$A:$A,0))=""),"",G1407/INDEX(G:G,MATCH(DATE(YEAR($A1407)-1,MONTH($A1407),DAY($A1407)),$A:$A,0))-1),"")</f>
        <v/>
      </c>
      <c r="K1407" s="7">
        <f>IF(OR(E1407="",E1406=""),"",E1407/E1406-1)</f>
        <v/>
      </c>
      <c r="L1407" s="7">
        <f>IF(OR(F1407="",F1406=""),"",F1407/F1406-1)</f>
        <v/>
      </c>
      <c r="M1407" s="7">
        <f>IF(OR(G1407="",G1406=""),"",G1407/G1406-1)</f>
        <v/>
      </c>
      <c r="N1407" s="7">
        <f>IF(G1407="","",E1407/G1407)</f>
        <v/>
      </c>
      <c r="O1407" s="7">
        <f>IF(G1407="","",F1407/G1407)</f>
        <v/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4">
        <f>IF(SUMIFS('Daily NSE Equity Cash'!$H:$H,'Daily NSE Equity Cash'!$A:$A,$A1408)=0,"",SUMIFS('Daily NSE Equity Cash'!$H:$H,'Daily NSE Equity Cash'!$A:$A,$A1408))</f>
        <v/>
      </c>
      <c r="F1408" s="4">
        <f>IF(SUMIFS('Daily BSE Equity Cash'!$H:$H,'Daily BSE Equity Cash'!$A:$A,$A1408)=0,"",SUMIFS('Daily BSE Equity Cash'!$H:$H,'Daily BSE Equity Cash'!$A:$A,$A1408))</f>
        <v/>
      </c>
      <c r="G1408" s="4">
        <f>IF(OR(E1408="",F1408=""),"",E1408+F1408)</f>
        <v/>
      </c>
      <c r="H1408" s="7">
        <f>IFERROR(IF(OR(E1408="",INDEX(E:E,MATCH(DATE(YEAR($A1408)-1,MONTH($A1408),DAY($A1408)),$A:$A,0))=""),"",E1408/INDEX(E:E,MATCH(DATE(YEAR($A1408)-1,MONTH($A1408),DAY($A1408)),$A:$A,0))-1),"")</f>
        <v/>
      </c>
      <c r="I1408" s="7">
        <f>IFERROR(IF(OR(F1408="",INDEX(F:F,MATCH(DATE(YEAR($A1408)-1,MONTH($A1408),DAY($A1408)),$A:$A,0))=""),"",F1408/INDEX(F:F,MATCH(DATE(YEAR($A1408)-1,MONTH($A1408),DAY($A1408)),$A:$A,0))-1),"")</f>
        <v/>
      </c>
      <c r="J1408" s="7">
        <f>IFERROR(IF(OR(G1408="",INDEX(G:G,MATCH(DATE(YEAR($A1408)-1,MONTH($A1408),DAY($A1408)),$A:$A,0))=""),"",G1408/INDEX(G:G,MATCH(DATE(YEAR($A1408)-1,MONTH($A1408),DAY($A1408)),$A:$A,0))-1),"")</f>
        <v/>
      </c>
      <c r="K1408" s="7">
        <f>IF(OR(E1408="",E1407=""),"",E1408/E1407-1)</f>
        <v/>
      </c>
      <c r="L1408" s="7">
        <f>IF(OR(F1408="",F1407=""),"",F1408/F1407-1)</f>
        <v/>
      </c>
      <c r="M1408" s="7">
        <f>IF(OR(G1408="",G1407=""),"",G1408/G1407-1)</f>
        <v/>
      </c>
      <c r="N1408" s="7">
        <f>IF(G1408="","",E1408/G1408)</f>
        <v/>
      </c>
      <c r="O1408" s="7">
        <f>IF(G1408="","",F1408/G1408)</f>
        <v/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4">
        <f>IF(SUMIFS('Daily NSE Equity Cash'!$H:$H,'Daily NSE Equity Cash'!$A:$A,$A1409)=0,"",SUMIFS('Daily NSE Equity Cash'!$H:$H,'Daily NSE Equity Cash'!$A:$A,$A1409))</f>
        <v/>
      </c>
      <c r="F1409" s="4">
        <f>IF(SUMIFS('Daily BSE Equity Cash'!$H:$H,'Daily BSE Equity Cash'!$A:$A,$A1409)=0,"",SUMIFS('Daily BSE Equity Cash'!$H:$H,'Daily BSE Equity Cash'!$A:$A,$A1409))</f>
        <v/>
      </c>
      <c r="G1409" s="4">
        <f>IF(OR(E1409="",F1409=""),"",E1409+F1409)</f>
        <v/>
      </c>
      <c r="H1409" s="7">
        <f>IFERROR(IF(OR(E1409="",INDEX(E:E,MATCH(DATE(YEAR($A1409)-1,MONTH($A1409),DAY($A1409)),$A:$A,0))=""),"",E1409/INDEX(E:E,MATCH(DATE(YEAR($A1409)-1,MONTH($A1409),DAY($A1409)),$A:$A,0))-1),"")</f>
        <v/>
      </c>
      <c r="I1409" s="7">
        <f>IFERROR(IF(OR(F1409="",INDEX(F:F,MATCH(DATE(YEAR($A1409)-1,MONTH($A1409),DAY($A1409)),$A:$A,0))=""),"",F1409/INDEX(F:F,MATCH(DATE(YEAR($A1409)-1,MONTH($A1409),DAY($A1409)),$A:$A,0))-1),"")</f>
        <v/>
      </c>
      <c r="J1409" s="7">
        <f>IFERROR(IF(OR(G1409="",INDEX(G:G,MATCH(DATE(YEAR($A1409)-1,MONTH($A1409),DAY($A1409)),$A:$A,0))=""),"",G1409/INDEX(G:G,MATCH(DATE(YEAR($A1409)-1,MONTH($A1409),DAY($A1409)),$A:$A,0))-1),"")</f>
        <v/>
      </c>
      <c r="K1409" s="7">
        <f>IF(OR(E1409="",E1408=""),"",E1409/E1408-1)</f>
        <v/>
      </c>
      <c r="L1409" s="7">
        <f>IF(OR(F1409="",F1408=""),"",F1409/F1408-1)</f>
        <v/>
      </c>
      <c r="M1409" s="7">
        <f>IF(OR(G1409="",G1408=""),"",G1409/G1408-1)</f>
        <v/>
      </c>
      <c r="N1409" s="7">
        <f>IF(G1409="","",E1409/G1409)</f>
        <v/>
      </c>
      <c r="O1409" s="7">
        <f>IF(G1409="","",F1409/G1409)</f>
        <v/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4">
        <f>IF(SUMIFS('Daily NSE Equity Cash'!$H:$H,'Daily NSE Equity Cash'!$A:$A,$A1410)=0,"",SUMIFS('Daily NSE Equity Cash'!$H:$H,'Daily NSE Equity Cash'!$A:$A,$A1410))</f>
        <v/>
      </c>
      <c r="F1410" s="4">
        <f>IF(SUMIFS('Daily BSE Equity Cash'!$H:$H,'Daily BSE Equity Cash'!$A:$A,$A1410)=0,"",SUMIFS('Daily BSE Equity Cash'!$H:$H,'Daily BSE Equity Cash'!$A:$A,$A1410))</f>
        <v/>
      </c>
      <c r="G1410" s="4">
        <f>IF(OR(E1410="",F1410=""),"",E1410+F1410)</f>
        <v/>
      </c>
      <c r="H1410" s="7">
        <f>IFERROR(IF(OR(E1410="",INDEX(E:E,MATCH(DATE(YEAR($A1410)-1,MONTH($A1410),DAY($A1410)),$A:$A,0))=""),"",E1410/INDEX(E:E,MATCH(DATE(YEAR($A1410)-1,MONTH($A1410),DAY($A1410)),$A:$A,0))-1),"")</f>
        <v/>
      </c>
      <c r="I1410" s="7">
        <f>IFERROR(IF(OR(F1410="",INDEX(F:F,MATCH(DATE(YEAR($A1410)-1,MONTH($A1410),DAY($A1410)),$A:$A,0))=""),"",F1410/INDEX(F:F,MATCH(DATE(YEAR($A1410)-1,MONTH($A1410),DAY($A1410)),$A:$A,0))-1),"")</f>
        <v/>
      </c>
      <c r="J1410" s="7">
        <f>IFERROR(IF(OR(G1410="",INDEX(G:G,MATCH(DATE(YEAR($A1410)-1,MONTH($A1410),DAY($A1410)),$A:$A,0))=""),"",G1410/INDEX(G:G,MATCH(DATE(YEAR($A1410)-1,MONTH($A1410),DAY($A1410)),$A:$A,0))-1),"")</f>
        <v/>
      </c>
      <c r="K1410" s="7">
        <f>IF(OR(E1410="",E1409=""),"",E1410/E1409-1)</f>
        <v/>
      </c>
      <c r="L1410" s="7">
        <f>IF(OR(F1410="",F1409=""),"",F1410/F1409-1)</f>
        <v/>
      </c>
      <c r="M1410" s="7">
        <f>IF(OR(G1410="",G1409=""),"",G1410/G1409-1)</f>
        <v/>
      </c>
      <c r="N1410" s="7">
        <f>IF(G1410="","",E1410/G1410)</f>
        <v/>
      </c>
      <c r="O1410" s="7">
        <f>IF(G1410="","",F1410/G1410)</f>
        <v/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4">
        <f>IF(SUMIFS('Daily NSE Equity Cash'!$H:$H,'Daily NSE Equity Cash'!$A:$A,$A1411)=0,"",SUMIFS('Daily NSE Equity Cash'!$H:$H,'Daily NSE Equity Cash'!$A:$A,$A1411))</f>
        <v/>
      </c>
      <c r="F1411" s="4">
        <f>IF(SUMIFS('Daily BSE Equity Cash'!$H:$H,'Daily BSE Equity Cash'!$A:$A,$A1411)=0,"",SUMIFS('Daily BSE Equity Cash'!$H:$H,'Daily BSE Equity Cash'!$A:$A,$A1411))</f>
        <v/>
      </c>
      <c r="G1411" s="4">
        <f>IF(OR(E1411="",F1411=""),"",E1411+F1411)</f>
        <v/>
      </c>
      <c r="H1411" s="7">
        <f>IFERROR(IF(OR(E1411="",INDEX(E:E,MATCH(DATE(YEAR($A1411)-1,MONTH($A1411),DAY($A1411)),$A:$A,0))=""),"",E1411/INDEX(E:E,MATCH(DATE(YEAR($A1411)-1,MONTH($A1411),DAY($A1411)),$A:$A,0))-1),"")</f>
        <v/>
      </c>
      <c r="I1411" s="7">
        <f>IFERROR(IF(OR(F1411="",INDEX(F:F,MATCH(DATE(YEAR($A1411)-1,MONTH($A1411),DAY($A1411)),$A:$A,0))=""),"",F1411/INDEX(F:F,MATCH(DATE(YEAR($A1411)-1,MONTH($A1411),DAY($A1411)),$A:$A,0))-1),"")</f>
        <v/>
      </c>
      <c r="J1411" s="7">
        <f>IFERROR(IF(OR(G1411="",INDEX(G:G,MATCH(DATE(YEAR($A1411)-1,MONTH($A1411),DAY($A1411)),$A:$A,0))=""),"",G1411/INDEX(G:G,MATCH(DATE(YEAR($A1411)-1,MONTH($A1411),DAY($A1411)),$A:$A,0))-1),"")</f>
        <v/>
      </c>
      <c r="K1411" s="7">
        <f>IF(OR(E1411="",E1410=""),"",E1411/E1410-1)</f>
        <v/>
      </c>
      <c r="L1411" s="7">
        <f>IF(OR(F1411="",F1410=""),"",F1411/F1410-1)</f>
        <v/>
      </c>
      <c r="M1411" s="7">
        <f>IF(OR(G1411="",G1410=""),"",G1411/G1410-1)</f>
        <v/>
      </c>
      <c r="N1411" s="7">
        <f>IF(G1411="","",E1411/G1411)</f>
        <v/>
      </c>
      <c r="O1411" s="7">
        <f>IF(G1411="","",F1411/G1411)</f>
        <v/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4">
        <f>IF(SUMIFS('Daily NSE Equity Cash'!$H:$H,'Daily NSE Equity Cash'!$A:$A,$A1412)=0,"",SUMIFS('Daily NSE Equity Cash'!$H:$H,'Daily NSE Equity Cash'!$A:$A,$A1412))</f>
        <v/>
      </c>
      <c r="F1412" s="4">
        <f>IF(SUMIFS('Daily BSE Equity Cash'!$H:$H,'Daily BSE Equity Cash'!$A:$A,$A1412)=0,"",SUMIFS('Daily BSE Equity Cash'!$H:$H,'Daily BSE Equity Cash'!$A:$A,$A1412))</f>
        <v/>
      </c>
      <c r="G1412" s="4">
        <f>IF(OR(E1412="",F1412=""),"",E1412+F1412)</f>
        <v/>
      </c>
      <c r="H1412" s="7">
        <f>IFERROR(IF(OR(E1412="",INDEX(E:E,MATCH(DATE(YEAR($A1412)-1,MONTH($A1412),DAY($A1412)),$A:$A,0))=""),"",E1412/INDEX(E:E,MATCH(DATE(YEAR($A1412)-1,MONTH($A1412),DAY($A1412)),$A:$A,0))-1),"")</f>
        <v/>
      </c>
      <c r="I1412" s="7">
        <f>IFERROR(IF(OR(F1412="",INDEX(F:F,MATCH(DATE(YEAR($A1412)-1,MONTH($A1412),DAY($A1412)),$A:$A,0))=""),"",F1412/INDEX(F:F,MATCH(DATE(YEAR($A1412)-1,MONTH($A1412),DAY($A1412)),$A:$A,0))-1),"")</f>
        <v/>
      </c>
      <c r="J1412" s="7">
        <f>IFERROR(IF(OR(G1412="",INDEX(G:G,MATCH(DATE(YEAR($A1412)-1,MONTH($A1412),DAY($A1412)),$A:$A,0))=""),"",G1412/INDEX(G:G,MATCH(DATE(YEAR($A1412)-1,MONTH($A1412),DAY($A1412)),$A:$A,0))-1),"")</f>
        <v/>
      </c>
      <c r="K1412" s="7">
        <f>IF(OR(E1412="",E1411=""),"",E1412/E1411-1)</f>
        <v/>
      </c>
      <c r="L1412" s="7">
        <f>IF(OR(F1412="",F1411=""),"",F1412/F1411-1)</f>
        <v/>
      </c>
      <c r="M1412" s="7">
        <f>IF(OR(G1412="",G1411=""),"",G1412/G1411-1)</f>
        <v/>
      </c>
      <c r="N1412" s="7">
        <f>IF(G1412="","",E1412/G1412)</f>
        <v/>
      </c>
      <c r="O1412" s="7">
        <f>IF(G1412="","",F1412/G1412)</f>
        <v/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4">
        <f>IF(SUMIFS('Daily NSE Equity Cash'!$H:$H,'Daily NSE Equity Cash'!$A:$A,$A1413)=0,"",SUMIFS('Daily NSE Equity Cash'!$H:$H,'Daily NSE Equity Cash'!$A:$A,$A1413))</f>
        <v/>
      </c>
      <c r="F1413" s="4">
        <f>IF(SUMIFS('Daily BSE Equity Cash'!$H:$H,'Daily BSE Equity Cash'!$A:$A,$A1413)=0,"",SUMIFS('Daily BSE Equity Cash'!$H:$H,'Daily BSE Equity Cash'!$A:$A,$A1413))</f>
        <v/>
      </c>
      <c r="G1413" s="4">
        <f>IF(OR(E1413="",F1413=""),"",E1413+F1413)</f>
        <v/>
      </c>
      <c r="H1413" s="7">
        <f>IFERROR(IF(OR(E1413="",INDEX(E:E,MATCH(DATE(YEAR($A1413)-1,MONTH($A1413),DAY($A1413)),$A:$A,0))=""),"",E1413/INDEX(E:E,MATCH(DATE(YEAR($A1413)-1,MONTH($A1413),DAY($A1413)),$A:$A,0))-1),"")</f>
        <v/>
      </c>
      <c r="I1413" s="7">
        <f>IFERROR(IF(OR(F1413="",INDEX(F:F,MATCH(DATE(YEAR($A1413)-1,MONTH($A1413),DAY($A1413)),$A:$A,0))=""),"",F1413/INDEX(F:F,MATCH(DATE(YEAR($A1413)-1,MONTH($A1413),DAY($A1413)),$A:$A,0))-1),"")</f>
        <v/>
      </c>
      <c r="J1413" s="7">
        <f>IFERROR(IF(OR(G1413="",INDEX(G:G,MATCH(DATE(YEAR($A1413)-1,MONTH($A1413),DAY($A1413)),$A:$A,0))=""),"",G1413/INDEX(G:G,MATCH(DATE(YEAR($A1413)-1,MONTH($A1413),DAY($A1413)),$A:$A,0))-1),"")</f>
        <v/>
      </c>
      <c r="K1413" s="7">
        <f>IF(OR(E1413="",E1412=""),"",E1413/E1412-1)</f>
        <v/>
      </c>
      <c r="L1413" s="7">
        <f>IF(OR(F1413="",F1412=""),"",F1413/F1412-1)</f>
        <v/>
      </c>
      <c r="M1413" s="7">
        <f>IF(OR(G1413="",G1412=""),"",G1413/G1412-1)</f>
        <v/>
      </c>
      <c r="N1413" s="7">
        <f>IF(G1413="","",E1413/G1413)</f>
        <v/>
      </c>
      <c r="O1413" s="7">
        <f>IF(G1413="","",F1413/G1413)</f>
        <v/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4">
        <f>IF(SUMIFS('Daily NSE Equity Cash'!$H:$H,'Daily NSE Equity Cash'!$A:$A,$A1414)=0,"",SUMIFS('Daily NSE Equity Cash'!$H:$H,'Daily NSE Equity Cash'!$A:$A,$A1414))</f>
        <v/>
      </c>
      <c r="F1414" s="4">
        <f>IF(SUMIFS('Daily BSE Equity Cash'!$H:$H,'Daily BSE Equity Cash'!$A:$A,$A1414)=0,"",SUMIFS('Daily BSE Equity Cash'!$H:$H,'Daily BSE Equity Cash'!$A:$A,$A1414))</f>
        <v/>
      </c>
      <c r="G1414" s="4">
        <f>IF(OR(E1414="",F1414=""),"",E1414+F1414)</f>
        <v/>
      </c>
      <c r="H1414" s="7">
        <f>IFERROR(IF(OR(E1414="",INDEX(E:E,MATCH(DATE(YEAR($A1414)-1,MONTH($A1414),DAY($A1414)),$A:$A,0))=""),"",E1414/INDEX(E:E,MATCH(DATE(YEAR($A1414)-1,MONTH($A1414),DAY($A1414)),$A:$A,0))-1),"")</f>
        <v/>
      </c>
      <c r="I1414" s="7">
        <f>IFERROR(IF(OR(F1414="",INDEX(F:F,MATCH(DATE(YEAR($A1414)-1,MONTH($A1414),DAY($A1414)),$A:$A,0))=""),"",F1414/INDEX(F:F,MATCH(DATE(YEAR($A1414)-1,MONTH($A1414),DAY($A1414)),$A:$A,0))-1),"")</f>
        <v/>
      </c>
      <c r="J1414" s="7">
        <f>IFERROR(IF(OR(G1414="",INDEX(G:G,MATCH(DATE(YEAR($A1414)-1,MONTH($A1414),DAY($A1414)),$A:$A,0))=""),"",G1414/INDEX(G:G,MATCH(DATE(YEAR($A1414)-1,MONTH($A1414),DAY($A1414)),$A:$A,0))-1),"")</f>
        <v/>
      </c>
      <c r="K1414" s="7">
        <f>IF(OR(E1414="",E1413=""),"",E1414/E1413-1)</f>
        <v/>
      </c>
      <c r="L1414" s="7">
        <f>IF(OR(F1414="",F1413=""),"",F1414/F1413-1)</f>
        <v/>
      </c>
      <c r="M1414" s="7">
        <f>IF(OR(G1414="",G1413=""),"",G1414/G1413-1)</f>
        <v/>
      </c>
      <c r="N1414" s="7">
        <f>IF(G1414="","",E1414/G1414)</f>
        <v/>
      </c>
      <c r="O1414" s="7">
        <f>IF(G1414="","",F1414/G1414)</f>
        <v/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4">
        <f>IF(SUMIFS('Daily NSE Equity Cash'!$H:$H,'Daily NSE Equity Cash'!$A:$A,$A1415)=0,"",SUMIFS('Daily NSE Equity Cash'!$H:$H,'Daily NSE Equity Cash'!$A:$A,$A1415))</f>
        <v/>
      </c>
      <c r="F1415" s="4">
        <f>IF(SUMIFS('Daily BSE Equity Cash'!$H:$H,'Daily BSE Equity Cash'!$A:$A,$A1415)=0,"",SUMIFS('Daily BSE Equity Cash'!$H:$H,'Daily BSE Equity Cash'!$A:$A,$A1415))</f>
        <v/>
      </c>
      <c r="G1415" s="4">
        <f>IF(OR(E1415="",F1415=""),"",E1415+F1415)</f>
        <v/>
      </c>
      <c r="H1415" s="7">
        <f>IFERROR(IF(OR(E1415="",INDEX(E:E,MATCH(DATE(YEAR($A1415)-1,MONTH($A1415),DAY($A1415)),$A:$A,0))=""),"",E1415/INDEX(E:E,MATCH(DATE(YEAR($A1415)-1,MONTH($A1415),DAY($A1415)),$A:$A,0))-1),"")</f>
        <v/>
      </c>
      <c r="I1415" s="7">
        <f>IFERROR(IF(OR(F1415="",INDEX(F:F,MATCH(DATE(YEAR($A1415)-1,MONTH($A1415),DAY($A1415)),$A:$A,0))=""),"",F1415/INDEX(F:F,MATCH(DATE(YEAR($A1415)-1,MONTH($A1415),DAY($A1415)),$A:$A,0))-1),"")</f>
        <v/>
      </c>
      <c r="J1415" s="7">
        <f>IFERROR(IF(OR(G1415="",INDEX(G:G,MATCH(DATE(YEAR($A1415)-1,MONTH($A1415),DAY($A1415)),$A:$A,0))=""),"",G1415/INDEX(G:G,MATCH(DATE(YEAR($A1415)-1,MONTH($A1415),DAY($A1415)),$A:$A,0))-1),"")</f>
        <v/>
      </c>
      <c r="K1415" s="7">
        <f>IF(OR(E1415="",E1414=""),"",E1415/E1414-1)</f>
        <v/>
      </c>
      <c r="L1415" s="7">
        <f>IF(OR(F1415="",F1414=""),"",F1415/F1414-1)</f>
        <v/>
      </c>
      <c r="M1415" s="7">
        <f>IF(OR(G1415="",G1414=""),"",G1415/G1414-1)</f>
        <v/>
      </c>
      <c r="N1415" s="7">
        <f>IF(G1415="","",E1415/G1415)</f>
        <v/>
      </c>
      <c r="O1415" s="7">
        <f>IF(G1415="","",F1415/G1415)</f>
        <v/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4">
        <f>IF(SUMIFS('Daily NSE Equity Cash'!$H:$H,'Daily NSE Equity Cash'!$A:$A,$A1416)=0,"",SUMIFS('Daily NSE Equity Cash'!$H:$H,'Daily NSE Equity Cash'!$A:$A,$A1416))</f>
        <v/>
      </c>
      <c r="F1416" s="4">
        <f>IF(SUMIFS('Daily BSE Equity Cash'!$H:$H,'Daily BSE Equity Cash'!$A:$A,$A1416)=0,"",SUMIFS('Daily BSE Equity Cash'!$H:$H,'Daily BSE Equity Cash'!$A:$A,$A1416))</f>
        <v/>
      </c>
      <c r="G1416" s="4">
        <f>IF(OR(E1416="",F1416=""),"",E1416+F1416)</f>
        <v/>
      </c>
      <c r="H1416" s="7">
        <f>IFERROR(IF(OR(E1416="",INDEX(E:E,MATCH(DATE(YEAR($A1416)-1,MONTH($A1416),DAY($A1416)),$A:$A,0))=""),"",E1416/INDEX(E:E,MATCH(DATE(YEAR($A1416)-1,MONTH($A1416),DAY($A1416)),$A:$A,0))-1),"")</f>
        <v/>
      </c>
      <c r="I1416" s="7">
        <f>IFERROR(IF(OR(F1416="",INDEX(F:F,MATCH(DATE(YEAR($A1416)-1,MONTH($A1416),DAY($A1416)),$A:$A,0))=""),"",F1416/INDEX(F:F,MATCH(DATE(YEAR($A1416)-1,MONTH($A1416),DAY($A1416)),$A:$A,0))-1),"")</f>
        <v/>
      </c>
      <c r="J1416" s="7">
        <f>IFERROR(IF(OR(G1416="",INDEX(G:G,MATCH(DATE(YEAR($A1416)-1,MONTH($A1416),DAY($A1416)),$A:$A,0))=""),"",G1416/INDEX(G:G,MATCH(DATE(YEAR($A1416)-1,MONTH($A1416),DAY($A1416)),$A:$A,0))-1),"")</f>
        <v/>
      </c>
      <c r="K1416" s="7">
        <f>IF(OR(E1416="",E1415=""),"",E1416/E1415-1)</f>
        <v/>
      </c>
      <c r="L1416" s="7">
        <f>IF(OR(F1416="",F1415=""),"",F1416/F1415-1)</f>
        <v/>
      </c>
      <c r="M1416" s="7">
        <f>IF(OR(G1416="",G1415=""),"",G1416/G1415-1)</f>
        <v/>
      </c>
      <c r="N1416" s="7">
        <f>IF(G1416="","",E1416/G1416)</f>
        <v/>
      </c>
      <c r="O1416" s="7">
        <f>IF(G1416="","",F1416/G1416)</f>
        <v/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4">
        <f>IF(SUMIFS('Daily NSE Equity Cash'!$H:$H,'Daily NSE Equity Cash'!$A:$A,$A1417)=0,"",SUMIFS('Daily NSE Equity Cash'!$H:$H,'Daily NSE Equity Cash'!$A:$A,$A1417))</f>
        <v/>
      </c>
      <c r="F1417" s="4">
        <f>IF(SUMIFS('Daily BSE Equity Cash'!$H:$H,'Daily BSE Equity Cash'!$A:$A,$A1417)=0,"",SUMIFS('Daily BSE Equity Cash'!$H:$H,'Daily BSE Equity Cash'!$A:$A,$A1417))</f>
        <v/>
      </c>
      <c r="G1417" s="4">
        <f>IF(OR(E1417="",F1417=""),"",E1417+F1417)</f>
        <v/>
      </c>
      <c r="H1417" s="7">
        <f>IFERROR(IF(OR(E1417="",INDEX(E:E,MATCH(DATE(YEAR($A1417)-1,MONTH($A1417),DAY($A1417)),$A:$A,0))=""),"",E1417/INDEX(E:E,MATCH(DATE(YEAR($A1417)-1,MONTH($A1417),DAY($A1417)),$A:$A,0))-1),"")</f>
        <v/>
      </c>
      <c r="I1417" s="7">
        <f>IFERROR(IF(OR(F1417="",INDEX(F:F,MATCH(DATE(YEAR($A1417)-1,MONTH($A1417),DAY($A1417)),$A:$A,0))=""),"",F1417/INDEX(F:F,MATCH(DATE(YEAR($A1417)-1,MONTH($A1417),DAY($A1417)),$A:$A,0))-1),"")</f>
        <v/>
      </c>
      <c r="J1417" s="7">
        <f>IFERROR(IF(OR(G1417="",INDEX(G:G,MATCH(DATE(YEAR($A1417)-1,MONTH($A1417),DAY($A1417)),$A:$A,0))=""),"",G1417/INDEX(G:G,MATCH(DATE(YEAR($A1417)-1,MONTH($A1417),DAY($A1417)),$A:$A,0))-1),"")</f>
        <v/>
      </c>
      <c r="K1417" s="7">
        <f>IF(OR(E1417="",E1416=""),"",E1417/E1416-1)</f>
        <v/>
      </c>
      <c r="L1417" s="7">
        <f>IF(OR(F1417="",F1416=""),"",F1417/F1416-1)</f>
        <v/>
      </c>
      <c r="M1417" s="7">
        <f>IF(OR(G1417="",G1416=""),"",G1417/G1416-1)</f>
        <v/>
      </c>
      <c r="N1417" s="7">
        <f>IF(G1417="","",E1417/G1417)</f>
        <v/>
      </c>
      <c r="O1417" s="7">
        <f>IF(G1417="","",F1417/G1417)</f>
        <v/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4">
        <f>IF(SUMIFS('Daily NSE Equity Cash'!$H:$H,'Daily NSE Equity Cash'!$A:$A,$A1418)=0,"",SUMIFS('Daily NSE Equity Cash'!$H:$H,'Daily NSE Equity Cash'!$A:$A,$A1418))</f>
        <v/>
      </c>
      <c r="F1418" s="4">
        <f>IF(SUMIFS('Daily BSE Equity Cash'!$H:$H,'Daily BSE Equity Cash'!$A:$A,$A1418)=0,"",SUMIFS('Daily BSE Equity Cash'!$H:$H,'Daily BSE Equity Cash'!$A:$A,$A1418))</f>
        <v/>
      </c>
      <c r="G1418" s="4">
        <f>IF(OR(E1418="",F1418=""),"",E1418+F1418)</f>
        <v/>
      </c>
      <c r="H1418" s="7">
        <f>IFERROR(IF(OR(E1418="",INDEX(E:E,MATCH(DATE(YEAR($A1418)-1,MONTH($A1418),DAY($A1418)),$A:$A,0))=""),"",E1418/INDEX(E:E,MATCH(DATE(YEAR($A1418)-1,MONTH($A1418),DAY($A1418)),$A:$A,0))-1),"")</f>
        <v/>
      </c>
      <c r="I1418" s="7">
        <f>IFERROR(IF(OR(F1418="",INDEX(F:F,MATCH(DATE(YEAR($A1418)-1,MONTH($A1418),DAY($A1418)),$A:$A,0))=""),"",F1418/INDEX(F:F,MATCH(DATE(YEAR($A1418)-1,MONTH($A1418),DAY($A1418)),$A:$A,0))-1),"")</f>
        <v/>
      </c>
      <c r="J1418" s="7">
        <f>IFERROR(IF(OR(G1418="",INDEX(G:G,MATCH(DATE(YEAR($A1418)-1,MONTH($A1418),DAY($A1418)),$A:$A,0))=""),"",G1418/INDEX(G:G,MATCH(DATE(YEAR($A1418)-1,MONTH($A1418),DAY($A1418)),$A:$A,0))-1),"")</f>
        <v/>
      </c>
      <c r="K1418" s="7">
        <f>IF(OR(E1418="",E1417=""),"",E1418/E1417-1)</f>
        <v/>
      </c>
      <c r="L1418" s="7">
        <f>IF(OR(F1418="",F1417=""),"",F1418/F1417-1)</f>
        <v/>
      </c>
      <c r="M1418" s="7">
        <f>IF(OR(G1418="",G1417=""),"",G1418/G1417-1)</f>
        <v/>
      </c>
      <c r="N1418" s="7">
        <f>IF(G1418="","",E1418/G1418)</f>
        <v/>
      </c>
      <c r="O1418" s="7">
        <f>IF(G1418="","",F1418/G1418)</f>
        <v/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4">
        <f>IF(SUMIFS('Daily NSE Equity Cash'!$H:$H,'Daily NSE Equity Cash'!$A:$A,$A1419)=0,"",SUMIFS('Daily NSE Equity Cash'!$H:$H,'Daily NSE Equity Cash'!$A:$A,$A1419))</f>
        <v/>
      </c>
      <c r="F1419" s="4">
        <f>IF(SUMIFS('Daily BSE Equity Cash'!$H:$H,'Daily BSE Equity Cash'!$A:$A,$A1419)=0,"",SUMIFS('Daily BSE Equity Cash'!$H:$H,'Daily BSE Equity Cash'!$A:$A,$A1419))</f>
        <v/>
      </c>
      <c r="G1419" s="4">
        <f>IF(OR(E1419="",F1419=""),"",E1419+F1419)</f>
        <v/>
      </c>
      <c r="H1419" s="7">
        <f>IFERROR(IF(OR(E1419="",INDEX(E:E,MATCH(DATE(YEAR($A1419)-1,MONTH($A1419),DAY($A1419)),$A:$A,0))=""),"",E1419/INDEX(E:E,MATCH(DATE(YEAR($A1419)-1,MONTH($A1419),DAY($A1419)),$A:$A,0))-1),"")</f>
        <v/>
      </c>
      <c r="I1419" s="7">
        <f>IFERROR(IF(OR(F1419="",INDEX(F:F,MATCH(DATE(YEAR($A1419)-1,MONTH($A1419),DAY($A1419)),$A:$A,0))=""),"",F1419/INDEX(F:F,MATCH(DATE(YEAR($A1419)-1,MONTH($A1419),DAY($A1419)),$A:$A,0))-1),"")</f>
        <v/>
      </c>
      <c r="J1419" s="7">
        <f>IFERROR(IF(OR(G1419="",INDEX(G:G,MATCH(DATE(YEAR($A1419)-1,MONTH($A1419),DAY($A1419)),$A:$A,0))=""),"",G1419/INDEX(G:G,MATCH(DATE(YEAR($A1419)-1,MONTH($A1419),DAY($A1419)),$A:$A,0))-1),"")</f>
        <v/>
      </c>
      <c r="K1419" s="7">
        <f>IF(OR(E1419="",E1418=""),"",E1419/E1418-1)</f>
        <v/>
      </c>
      <c r="L1419" s="7">
        <f>IF(OR(F1419="",F1418=""),"",F1419/F1418-1)</f>
        <v/>
      </c>
      <c r="M1419" s="7">
        <f>IF(OR(G1419="",G1418=""),"",G1419/G1418-1)</f>
        <v/>
      </c>
      <c r="N1419" s="7">
        <f>IF(G1419="","",E1419/G1419)</f>
        <v/>
      </c>
      <c r="O1419" s="7">
        <f>IF(G1419="","",F1419/G1419)</f>
        <v/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4">
        <f>IF(SUMIFS('Daily NSE Equity Cash'!$H:$H,'Daily NSE Equity Cash'!$A:$A,$A1420)=0,"",SUMIFS('Daily NSE Equity Cash'!$H:$H,'Daily NSE Equity Cash'!$A:$A,$A1420))</f>
        <v/>
      </c>
      <c r="F1420" s="4">
        <f>IF(SUMIFS('Daily BSE Equity Cash'!$H:$H,'Daily BSE Equity Cash'!$A:$A,$A1420)=0,"",SUMIFS('Daily BSE Equity Cash'!$H:$H,'Daily BSE Equity Cash'!$A:$A,$A1420))</f>
        <v/>
      </c>
      <c r="G1420" s="4">
        <f>IF(OR(E1420="",F1420=""),"",E1420+F1420)</f>
        <v/>
      </c>
      <c r="H1420" s="7">
        <f>IFERROR(IF(OR(E1420="",INDEX(E:E,MATCH(DATE(YEAR($A1420)-1,MONTH($A1420),DAY($A1420)),$A:$A,0))=""),"",E1420/INDEX(E:E,MATCH(DATE(YEAR($A1420)-1,MONTH($A1420),DAY($A1420)),$A:$A,0))-1),"")</f>
        <v/>
      </c>
      <c r="I1420" s="7">
        <f>IFERROR(IF(OR(F1420="",INDEX(F:F,MATCH(DATE(YEAR($A1420)-1,MONTH($A1420),DAY($A1420)),$A:$A,0))=""),"",F1420/INDEX(F:F,MATCH(DATE(YEAR($A1420)-1,MONTH($A1420),DAY($A1420)),$A:$A,0))-1),"")</f>
        <v/>
      </c>
      <c r="J1420" s="7">
        <f>IFERROR(IF(OR(G1420="",INDEX(G:G,MATCH(DATE(YEAR($A1420)-1,MONTH($A1420),DAY($A1420)),$A:$A,0))=""),"",G1420/INDEX(G:G,MATCH(DATE(YEAR($A1420)-1,MONTH($A1420),DAY($A1420)),$A:$A,0))-1),"")</f>
        <v/>
      </c>
      <c r="K1420" s="7">
        <f>IF(OR(E1420="",E1419=""),"",E1420/E1419-1)</f>
        <v/>
      </c>
      <c r="L1420" s="7">
        <f>IF(OR(F1420="",F1419=""),"",F1420/F1419-1)</f>
        <v/>
      </c>
      <c r="M1420" s="7">
        <f>IF(OR(G1420="",G1419=""),"",G1420/G1419-1)</f>
        <v/>
      </c>
      <c r="N1420" s="7">
        <f>IF(G1420="","",E1420/G1420)</f>
        <v/>
      </c>
      <c r="O1420" s="7">
        <f>IF(G1420="","",F1420/G1420)</f>
        <v/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4">
        <f>IF(SUMIFS('Daily NSE Equity Cash'!$H:$H,'Daily NSE Equity Cash'!$A:$A,$A1421)=0,"",SUMIFS('Daily NSE Equity Cash'!$H:$H,'Daily NSE Equity Cash'!$A:$A,$A1421))</f>
        <v/>
      </c>
      <c r="F1421" s="4">
        <f>IF(SUMIFS('Daily BSE Equity Cash'!$H:$H,'Daily BSE Equity Cash'!$A:$A,$A1421)=0,"",SUMIFS('Daily BSE Equity Cash'!$H:$H,'Daily BSE Equity Cash'!$A:$A,$A1421))</f>
        <v/>
      </c>
      <c r="G1421" s="4">
        <f>IF(OR(E1421="",F1421=""),"",E1421+F1421)</f>
        <v/>
      </c>
      <c r="H1421" s="7">
        <f>IFERROR(IF(OR(E1421="",INDEX(E:E,MATCH(DATE(YEAR($A1421)-1,MONTH($A1421),DAY($A1421)),$A:$A,0))=""),"",E1421/INDEX(E:E,MATCH(DATE(YEAR($A1421)-1,MONTH($A1421),DAY($A1421)),$A:$A,0))-1),"")</f>
        <v/>
      </c>
      <c r="I1421" s="7">
        <f>IFERROR(IF(OR(F1421="",INDEX(F:F,MATCH(DATE(YEAR($A1421)-1,MONTH($A1421),DAY($A1421)),$A:$A,0))=""),"",F1421/INDEX(F:F,MATCH(DATE(YEAR($A1421)-1,MONTH($A1421),DAY($A1421)),$A:$A,0))-1),"")</f>
        <v/>
      </c>
      <c r="J1421" s="7">
        <f>IFERROR(IF(OR(G1421="",INDEX(G:G,MATCH(DATE(YEAR($A1421)-1,MONTH($A1421),DAY($A1421)),$A:$A,0))=""),"",G1421/INDEX(G:G,MATCH(DATE(YEAR($A1421)-1,MONTH($A1421),DAY($A1421)),$A:$A,0))-1),"")</f>
        <v/>
      </c>
      <c r="K1421" s="7">
        <f>IF(OR(E1421="",E1420=""),"",E1421/E1420-1)</f>
        <v/>
      </c>
      <c r="L1421" s="7">
        <f>IF(OR(F1421="",F1420=""),"",F1421/F1420-1)</f>
        <v/>
      </c>
      <c r="M1421" s="7">
        <f>IF(OR(G1421="",G1420=""),"",G1421/G1420-1)</f>
        <v/>
      </c>
      <c r="N1421" s="7">
        <f>IF(G1421="","",E1421/G1421)</f>
        <v/>
      </c>
      <c r="O1421" s="7">
        <f>IF(G1421="","",F1421/G1421)</f>
        <v/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4">
        <f>IF(SUMIFS('Daily NSE Equity Cash'!$H:$H,'Daily NSE Equity Cash'!$A:$A,$A1422)=0,"",SUMIFS('Daily NSE Equity Cash'!$H:$H,'Daily NSE Equity Cash'!$A:$A,$A1422))</f>
        <v/>
      </c>
      <c r="F1422" s="4">
        <f>IF(SUMIFS('Daily BSE Equity Cash'!$H:$H,'Daily BSE Equity Cash'!$A:$A,$A1422)=0,"",SUMIFS('Daily BSE Equity Cash'!$H:$H,'Daily BSE Equity Cash'!$A:$A,$A1422))</f>
        <v/>
      </c>
      <c r="G1422" s="4">
        <f>IF(OR(E1422="",F1422=""),"",E1422+F1422)</f>
        <v/>
      </c>
      <c r="H1422" s="7">
        <f>IFERROR(IF(OR(E1422="",INDEX(E:E,MATCH(DATE(YEAR($A1422)-1,MONTH($A1422),DAY($A1422)),$A:$A,0))=""),"",E1422/INDEX(E:E,MATCH(DATE(YEAR($A1422)-1,MONTH($A1422),DAY($A1422)),$A:$A,0))-1),"")</f>
        <v/>
      </c>
      <c r="I1422" s="7">
        <f>IFERROR(IF(OR(F1422="",INDEX(F:F,MATCH(DATE(YEAR($A1422)-1,MONTH($A1422),DAY($A1422)),$A:$A,0))=""),"",F1422/INDEX(F:F,MATCH(DATE(YEAR($A1422)-1,MONTH($A1422),DAY($A1422)),$A:$A,0))-1),"")</f>
        <v/>
      </c>
      <c r="J1422" s="7">
        <f>IFERROR(IF(OR(G1422="",INDEX(G:G,MATCH(DATE(YEAR($A1422)-1,MONTH($A1422),DAY($A1422)),$A:$A,0))=""),"",G1422/INDEX(G:G,MATCH(DATE(YEAR($A1422)-1,MONTH($A1422),DAY($A1422)),$A:$A,0))-1),"")</f>
        <v/>
      </c>
      <c r="K1422" s="7">
        <f>IF(OR(E1422="",E1421=""),"",E1422/E1421-1)</f>
        <v/>
      </c>
      <c r="L1422" s="7">
        <f>IF(OR(F1422="",F1421=""),"",F1422/F1421-1)</f>
        <v/>
      </c>
      <c r="M1422" s="7">
        <f>IF(OR(G1422="",G1421=""),"",G1422/G1421-1)</f>
        <v/>
      </c>
      <c r="N1422" s="7">
        <f>IF(G1422="","",E1422/G1422)</f>
        <v/>
      </c>
      <c r="O1422" s="7">
        <f>IF(G1422="","",F1422/G1422)</f>
        <v/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4">
        <f>IF(SUMIFS('Daily NSE Equity Cash'!$H:$H,'Daily NSE Equity Cash'!$A:$A,$A1423)=0,"",SUMIFS('Daily NSE Equity Cash'!$H:$H,'Daily NSE Equity Cash'!$A:$A,$A1423))</f>
        <v/>
      </c>
      <c r="F1423" s="4">
        <f>IF(SUMIFS('Daily BSE Equity Cash'!$H:$H,'Daily BSE Equity Cash'!$A:$A,$A1423)=0,"",SUMIFS('Daily BSE Equity Cash'!$H:$H,'Daily BSE Equity Cash'!$A:$A,$A1423))</f>
        <v/>
      </c>
      <c r="G1423" s="4">
        <f>IF(OR(E1423="",F1423=""),"",E1423+F1423)</f>
        <v/>
      </c>
      <c r="H1423" s="7">
        <f>IFERROR(IF(OR(E1423="",INDEX(E:E,MATCH(DATE(YEAR($A1423)-1,MONTH($A1423),DAY($A1423)),$A:$A,0))=""),"",E1423/INDEX(E:E,MATCH(DATE(YEAR($A1423)-1,MONTH($A1423),DAY($A1423)),$A:$A,0))-1),"")</f>
        <v/>
      </c>
      <c r="I1423" s="7">
        <f>IFERROR(IF(OR(F1423="",INDEX(F:F,MATCH(DATE(YEAR($A1423)-1,MONTH($A1423),DAY($A1423)),$A:$A,0))=""),"",F1423/INDEX(F:F,MATCH(DATE(YEAR($A1423)-1,MONTH($A1423),DAY($A1423)),$A:$A,0))-1),"")</f>
        <v/>
      </c>
      <c r="J1423" s="7">
        <f>IFERROR(IF(OR(G1423="",INDEX(G:G,MATCH(DATE(YEAR($A1423)-1,MONTH($A1423),DAY($A1423)),$A:$A,0))=""),"",G1423/INDEX(G:G,MATCH(DATE(YEAR($A1423)-1,MONTH($A1423),DAY($A1423)),$A:$A,0))-1),"")</f>
        <v/>
      </c>
      <c r="K1423" s="7">
        <f>IF(OR(E1423="",E1422=""),"",E1423/E1422-1)</f>
        <v/>
      </c>
      <c r="L1423" s="7">
        <f>IF(OR(F1423="",F1422=""),"",F1423/F1422-1)</f>
        <v/>
      </c>
      <c r="M1423" s="7">
        <f>IF(OR(G1423="",G1422=""),"",G1423/G1422-1)</f>
        <v/>
      </c>
      <c r="N1423" s="7">
        <f>IF(G1423="","",E1423/G1423)</f>
        <v/>
      </c>
      <c r="O1423" s="7">
        <f>IF(G1423="","",F1423/G1423)</f>
        <v/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4">
        <f>IF(SUMIFS('Daily NSE Equity Cash'!$H:$H,'Daily NSE Equity Cash'!$A:$A,$A1424)=0,"",SUMIFS('Daily NSE Equity Cash'!$H:$H,'Daily NSE Equity Cash'!$A:$A,$A1424))</f>
        <v/>
      </c>
      <c r="F1424" s="4">
        <f>IF(SUMIFS('Daily BSE Equity Cash'!$H:$H,'Daily BSE Equity Cash'!$A:$A,$A1424)=0,"",SUMIFS('Daily BSE Equity Cash'!$H:$H,'Daily BSE Equity Cash'!$A:$A,$A1424))</f>
        <v/>
      </c>
      <c r="G1424" s="4">
        <f>IF(OR(E1424="",F1424=""),"",E1424+F1424)</f>
        <v/>
      </c>
      <c r="H1424" s="7">
        <f>IFERROR(IF(OR(E1424="",INDEX(E:E,MATCH(DATE(YEAR($A1424)-1,MONTH($A1424),DAY($A1424)),$A:$A,0))=""),"",E1424/INDEX(E:E,MATCH(DATE(YEAR($A1424)-1,MONTH($A1424),DAY($A1424)),$A:$A,0))-1),"")</f>
        <v/>
      </c>
      <c r="I1424" s="7">
        <f>IFERROR(IF(OR(F1424="",INDEX(F:F,MATCH(DATE(YEAR($A1424)-1,MONTH($A1424),DAY($A1424)),$A:$A,0))=""),"",F1424/INDEX(F:F,MATCH(DATE(YEAR($A1424)-1,MONTH($A1424),DAY($A1424)),$A:$A,0))-1),"")</f>
        <v/>
      </c>
      <c r="J1424" s="7">
        <f>IFERROR(IF(OR(G1424="",INDEX(G:G,MATCH(DATE(YEAR($A1424)-1,MONTH($A1424),DAY($A1424)),$A:$A,0))=""),"",G1424/INDEX(G:G,MATCH(DATE(YEAR($A1424)-1,MONTH($A1424),DAY($A1424)),$A:$A,0))-1),"")</f>
        <v/>
      </c>
      <c r="K1424" s="7">
        <f>IF(OR(E1424="",E1423=""),"",E1424/E1423-1)</f>
        <v/>
      </c>
      <c r="L1424" s="7">
        <f>IF(OR(F1424="",F1423=""),"",F1424/F1423-1)</f>
        <v/>
      </c>
      <c r="M1424" s="7">
        <f>IF(OR(G1424="",G1423=""),"",G1424/G1423-1)</f>
        <v/>
      </c>
      <c r="N1424" s="7">
        <f>IF(G1424="","",E1424/G1424)</f>
        <v/>
      </c>
      <c r="O1424" s="7">
        <f>IF(G1424="","",F1424/G1424)</f>
        <v/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4">
        <f>IF(SUMIFS('Daily NSE Equity Cash'!$H:$H,'Daily NSE Equity Cash'!$A:$A,$A1425)=0,"",SUMIFS('Daily NSE Equity Cash'!$H:$H,'Daily NSE Equity Cash'!$A:$A,$A1425))</f>
        <v/>
      </c>
      <c r="F1425" s="4">
        <f>IF(SUMIFS('Daily BSE Equity Cash'!$H:$H,'Daily BSE Equity Cash'!$A:$A,$A1425)=0,"",SUMIFS('Daily BSE Equity Cash'!$H:$H,'Daily BSE Equity Cash'!$A:$A,$A1425))</f>
        <v/>
      </c>
      <c r="G1425" s="4">
        <f>IF(OR(E1425="",F1425=""),"",E1425+F1425)</f>
        <v/>
      </c>
      <c r="H1425" s="7">
        <f>IFERROR(IF(OR(E1425="",INDEX(E:E,MATCH(DATE(YEAR($A1425)-1,MONTH($A1425),DAY($A1425)),$A:$A,0))=""),"",E1425/INDEX(E:E,MATCH(DATE(YEAR($A1425)-1,MONTH($A1425),DAY($A1425)),$A:$A,0))-1),"")</f>
        <v/>
      </c>
      <c r="I1425" s="7">
        <f>IFERROR(IF(OR(F1425="",INDEX(F:F,MATCH(DATE(YEAR($A1425)-1,MONTH($A1425),DAY($A1425)),$A:$A,0))=""),"",F1425/INDEX(F:F,MATCH(DATE(YEAR($A1425)-1,MONTH($A1425),DAY($A1425)),$A:$A,0))-1),"")</f>
        <v/>
      </c>
      <c r="J1425" s="7">
        <f>IFERROR(IF(OR(G1425="",INDEX(G:G,MATCH(DATE(YEAR($A1425)-1,MONTH($A1425),DAY($A1425)),$A:$A,0))=""),"",G1425/INDEX(G:G,MATCH(DATE(YEAR($A1425)-1,MONTH($A1425),DAY($A1425)),$A:$A,0))-1),"")</f>
        <v/>
      </c>
      <c r="K1425" s="7">
        <f>IF(OR(E1425="",E1424=""),"",E1425/E1424-1)</f>
        <v/>
      </c>
      <c r="L1425" s="7">
        <f>IF(OR(F1425="",F1424=""),"",F1425/F1424-1)</f>
        <v/>
      </c>
      <c r="M1425" s="7">
        <f>IF(OR(G1425="",G1424=""),"",G1425/G1424-1)</f>
        <v/>
      </c>
      <c r="N1425" s="7">
        <f>IF(G1425="","",E1425/G1425)</f>
        <v/>
      </c>
      <c r="O1425" s="7">
        <f>IF(G1425="","",F1425/G1425)</f>
        <v/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4">
        <f>IF(SUMIFS('Daily NSE Equity Cash'!$H:$H,'Daily NSE Equity Cash'!$A:$A,$A1426)=0,"",SUMIFS('Daily NSE Equity Cash'!$H:$H,'Daily NSE Equity Cash'!$A:$A,$A1426))</f>
        <v/>
      </c>
      <c r="F1426" s="4">
        <f>IF(SUMIFS('Daily BSE Equity Cash'!$H:$H,'Daily BSE Equity Cash'!$A:$A,$A1426)=0,"",SUMIFS('Daily BSE Equity Cash'!$H:$H,'Daily BSE Equity Cash'!$A:$A,$A1426))</f>
        <v/>
      </c>
      <c r="G1426" s="4">
        <f>IF(OR(E1426="",F1426=""),"",E1426+F1426)</f>
        <v/>
      </c>
      <c r="H1426" s="7">
        <f>IFERROR(IF(OR(E1426="",INDEX(E:E,MATCH(DATE(YEAR($A1426)-1,MONTH($A1426),DAY($A1426)),$A:$A,0))=""),"",E1426/INDEX(E:E,MATCH(DATE(YEAR($A1426)-1,MONTH($A1426),DAY($A1426)),$A:$A,0))-1),"")</f>
        <v/>
      </c>
      <c r="I1426" s="7">
        <f>IFERROR(IF(OR(F1426="",INDEX(F:F,MATCH(DATE(YEAR($A1426)-1,MONTH($A1426),DAY($A1426)),$A:$A,0))=""),"",F1426/INDEX(F:F,MATCH(DATE(YEAR($A1426)-1,MONTH($A1426),DAY($A1426)),$A:$A,0))-1),"")</f>
        <v/>
      </c>
      <c r="J1426" s="7">
        <f>IFERROR(IF(OR(G1426="",INDEX(G:G,MATCH(DATE(YEAR($A1426)-1,MONTH($A1426),DAY($A1426)),$A:$A,0))=""),"",G1426/INDEX(G:G,MATCH(DATE(YEAR($A1426)-1,MONTH($A1426),DAY($A1426)),$A:$A,0))-1),"")</f>
        <v/>
      </c>
      <c r="K1426" s="7">
        <f>IF(OR(E1426="",E1425=""),"",E1426/E1425-1)</f>
        <v/>
      </c>
      <c r="L1426" s="7">
        <f>IF(OR(F1426="",F1425=""),"",F1426/F1425-1)</f>
        <v/>
      </c>
      <c r="M1426" s="7">
        <f>IF(OR(G1426="",G1425=""),"",G1426/G1425-1)</f>
        <v/>
      </c>
      <c r="N1426" s="7">
        <f>IF(G1426="","",E1426/G1426)</f>
        <v/>
      </c>
      <c r="O1426" s="7">
        <f>IF(G1426="","",F1426/G1426)</f>
        <v/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4">
        <f>IF(SUMIFS('Daily NSE Equity Cash'!$H:$H,'Daily NSE Equity Cash'!$A:$A,$A1427)=0,"",SUMIFS('Daily NSE Equity Cash'!$H:$H,'Daily NSE Equity Cash'!$A:$A,$A1427))</f>
        <v/>
      </c>
      <c r="F1427" s="4">
        <f>IF(SUMIFS('Daily BSE Equity Cash'!$H:$H,'Daily BSE Equity Cash'!$A:$A,$A1427)=0,"",SUMIFS('Daily BSE Equity Cash'!$H:$H,'Daily BSE Equity Cash'!$A:$A,$A1427))</f>
        <v/>
      </c>
      <c r="G1427" s="4">
        <f>IF(OR(E1427="",F1427=""),"",E1427+F1427)</f>
        <v/>
      </c>
      <c r="H1427" s="7">
        <f>IFERROR(IF(OR(E1427="",INDEX(E:E,MATCH(DATE(YEAR($A1427)-1,MONTH($A1427),DAY($A1427)),$A:$A,0))=""),"",E1427/INDEX(E:E,MATCH(DATE(YEAR($A1427)-1,MONTH($A1427),DAY($A1427)),$A:$A,0))-1),"")</f>
        <v/>
      </c>
      <c r="I1427" s="7">
        <f>IFERROR(IF(OR(F1427="",INDEX(F:F,MATCH(DATE(YEAR($A1427)-1,MONTH($A1427),DAY($A1427)),$A:$A,0))=""),"",F1427/INDEX(F:F,MATCH(DATE(YEAR($A1427)-1,MONTH($A1427),DAY($A1427)),$A:$A,0))-1),"")</f>
        <v/>
      </c>
      <c r="J1427" s="7">
        <f>IFERROR(IF(OR(G1427="",INDEX(G:G,MATCH(DATE(YEAR($A1427)-1,MONTH($A1427),DAY($A1427)),$A:$A,0))=""),"",G1427/INDEX(G:G,MATCH(DATE(YEAR($A1427)-1,MONTH($A1427),DAY($A1427)),$A:$A,0))-1),"")</f>
        <v/>
      </c>
      <c r="K1427" s="7">
        <f>IF(OR(E1427="",E1426=""),"",E1427/E1426-1)</f>
        <v/>
      </c>
      <c r="L1427" s="7">
        <f>IF(OR(F1427="",F1426=""),"",F1427/F1426-1)</f>
        <v/>
      </c>
      <c r="M1427" s="7">
        <f>IF(OR(G1427="",G1426=""),"",G1427/G1426-1)</f>
        <v/>
      </c>
      <c r="N1427" s="7">
        <f>IF(G1427="","",E1427/G1427)</f>
        <v/>
      </c>
      <c r="O1427" s="7">
        <f>IF(G1427="","",F1427/G1427)</f>
        <v/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4">
        <f>IF(SUMIFS('Daily NSE Equity Cash'!$H:$H,'Daily NSE Equity Cash'!$A:$A,$A1428)=0,"",SUMIFS('Daily NSE Equity Cash'!$H:$H,'Daily NSE Equity Cash'!$A:$A,$A1428))</f>
        <v/>
      </c>
      <c r="F1428" s="4">
        <f>IF(SUMIFS('Daily BSE Equity Cash'!$H:$H,'Daily BSE Equity Cash'!$A:$A,$A1428)=0,"",SUMIFS('Daily BSE Equity Cash'!$H:$H,'Daily BSE Equity Cash'!$A:$A,$A1428))</f>
        <v/>
      </c>
      <c r="G1428" s="4">
        <f>IF(OR(E1428="",F1428=""),"",E1428+F1428)</f>
        <v/>
      </c>
      <c r="H1428" s="7">
        <f>IFERROR(IF(OR(E1428="",INDEX(E:E,MATCH(DATE(YEAR($A1428)-1,MONTH($A1428),DAY($A1428)),$A:$A,0))=""),"",E1428/INDEX(E:E,MATCH(DATE(YEAR($A1428)-1,MONTH($A1428),DAY($A1428)),$A:$A,0))-1),"")</f>
        <v/>
      </c>
      <c r="I1428" s="7">
        <f>IFERROR(IF(OR(F1428="",INDEX(F:F,MATCH(DATE(YEAR($A1428)-1,MONTH($A1428),DAY($A1428)),$A:$A,0))=""),"",F1428/INDEX(F:F,MATCH(DATE(YEAR($A1428)-1,MONTH($A1428),DAY($A1428)),$A:$A,0))-1),"")</f>
        <v/>
      </c>
      <c r="J1428" s="7">
        <f>IFERROR(IF(OR(G1428="",INDEX(G:G,MATCH(DATE(YEAR($A1428)-1,MONTH($A1428),DAY($A1428)),$A:$A,0))=""),"",G1428/INDEX(G:G,MATCH(DATE(YEAR($A1428)-1,MONTH($A1428),DAY($A1428)),$A:$A,0))-1),"")</f>
        <v/>
      </c>
      <c r="K1428" s="7">
        <f>IF(OR(E1428="",E1427=""),"",E1428/E1427-1)</f>
        <v/>
      </c>
      <c r="L1428" s="7">
        <f>IF(OR(F1428="",F1427=""),"",F1428/F1427-1)</f>
        <v/>
      </c>
      <c r="M1428" s="7">
        <f>IF(OR(G1428="",G1427=""),"",G1428/G1427-1)</f>
        <v/>
      </c>
      <c r="N1428" s="7">
        <f>IF(G1428="","",E1428/G1428)</f>
        <v/>
      </c>
      <c r="O1428" s="7">
        <f>IF(G1428="","",F1428/G1428)</f>
        <v/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4">
        <f>IF(SUMIFS('Daily NSE Equity Cash'!$H:$H,'Daily NSE Equity Cash'!$A:$A,$A1429)=0,"",SUMIFS('Daily NSE Equity Cash'!$H:$H,'Daily NSE Equity Cash'!$A:$A,$A1429))</f>
        <v/>
      </c>
      <c r="F1429" s="4">
        <f>IF(SUMIFS('Daily BSE Equity Cash'!$H:$H,'Daily BSE Equity Cash'!$A:$A,$A1429)=0,"",SUMIFS('Daily BSE Equity Cash'!$H:$H,'Daily BSE Equity Cash'!$A:$A,$A1429))</f>
        <v/>
      </c>
      <c r="G1429" s="4">
        <f>IF(OR(E1429="",F1429=""),"",E1429+F1429)</f>
        <v/>
      </c>
      <c r="H1429" s="7">
        <f>IFERROR(IF(OR(E1429="",INDEX(E:E,MATCH(DATE(YEAR($A1429)-1,MONTH($A1429),DAY($A1429)),$A:$A,0))=""),"",E1429/INDEX(E:E,MATCH(DATE(YEAR($A1429)-1,MONTH($A1429),DAY($A1429)),$A:$A,0))-1),"")</f>
        <v/>
      </c>
      <c r="I1429" s="7">
        <f>IFERROR(IF(OR(F1429="",INDEX(F:F,MATCH(DATE(YEAR($A1429)-1,MONTH($A1429),DAY($A1429)),$A:$A,0))=""),"",F1429/INDEX(F:F,MATCH(DATE(YEAR($A1429)-1,MONTH($A1429),DAY($A1429)),$A:$A,0))-1),"")</f>
        <v/>
      </c>
      <c r="J1429" s="7">
        <f>IFERROR(IF(OR(G1429="",INDEX(G:G,MATCH(DATE(YEAR($A1429)-1,MONTH($A1429),DAY($A1429)),$A:$A,0))=""),"",G1429/INDEX(G:G,MATCH(DATE(YEAR($A1429)-1,MONTH($A1429),DAY($A1429)),$A:$A,0))-1),"")</f>
        <v/>
      </c>
      <c r="K1429" s="7">
        <f>IF(OR(E1429="",E1428=""),"",E1429/E1428-1)</f>
        <v/>
      </c>
      <c r="L1429" s="7">
        <f>IF(OR(F1429="",F1428=""),"",F1429/F1428-1)</f>
        <v/>
      </c>
      <c r="M1429" s="7">
        <f>IF(OR(G1429="",G1428=""),"",G1429/G1428-1)</f>
        <v/>
      </c>
      <c r="N1429" s="7">
        <f>IF(G1429="","",E1429/G1429)</f>
        <v/>
      </c>
      <c r="O1429" s="7">
        <f>IF(G1429="","",F1429/G1429)</f>
        <v/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4">
        <f>IF(SUMIFS('Daily NSE Equity Cash'!$H:$H,'Daily NSE Equity Cash'!$A:$A,$A1430)=0,"",SUMIFS('Daily NSE Equity Cash'!$H:$H,'Daily NSE Equity Cash'!$A:$A,$A1430))</f>
        <v/>
      </c>
      <c r="F1430" s="4">
        <f>IF(SUMIFS('Daily BSE Equity Cash'!$H:$H,'Daily BSE Equity Cash'!$A:$A,$A1430)=0,"",SUMIFS('Daily BSE Equity Cash'!$H:$H,'Daily BSE Equity Cash'!$A:$A,$A1430))</f>
        <v/>
      </c>
      <c r="G1430" s="4">
        <f>IF(OR(E1430="",F1430=""),"",E1430+F1430)</f>
        <v/>
      </c>
      <c r="H1430" s="7">
        <f>IFERROR(IF(OR(E1430="",INDEX(E:E,MATCH(DATE(YEAR($A1430)-1,MONTH($A1430),DAY($A1430)),$A:$A,0))=""),"",E1430/INDEX(E:E,MATCH(DATE(YEAR($A1430)-1,MONTH($A1430),DAY($A1430)),$A:$A,0))-1),"")</f>
        <v/>
      </c>
      <c r="I1430" s="7">
        <f>IFERROR(IF(OR(F1430="",INDEX(F:F,MATCH(DATE(YEAR($A1430)-1,MONTH($A1430),DAY($A1430)),$A:$A,0))=""),"",F1430/INDEX(F:F,MATCH(DATE(YEAR($A1430)-1,MONTH($A1430),DAY($A1430)),$A:$A,0))-1),"")</f>
        <v/>
      </c>
      <c r="J1430" s="7">
        <f>IFERROR(IF(OR(G1430="",INDEX(G:G,MATCH(DATE(YEAR($A1430)-1,MONTH($A1430),DAY($A1430)),$A:$A,0))=""),"",G1430/INDEX(G:G,MATCH(DATE(YEAR($A1430)-1,MONTH($A1430),DAY($A1430)),$A:$A,0))-1),"")</f>
        <v/>
      </c>
      <c r="K1430" s="7">
        <f>IF(OR(E1430="",E1429=""),"",E1430/E1429-1)</f>
        <v/>
      </c>
      <c r="L1430" s="7">
        <f>IF(OR(F1430="",F1429=""),"",F1430/F1429-1)</f>
        <v/>
      </c>
      <c r="M1430" s="7">
        <f>IF(OR(G1430="",G1429=""),"",G1430/G1429-1)</f>
        <v/>
      </c>
      <c r="N1430" s="7">
        <f>IF(G1430="","",E1430/G1430)</f>
        <v/>
      </c>
      <c r="O1430" s="7">
        <f>IF(G1430="","",F1430/G1430)</f>
        <v/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4">
        <f>IF(SUMIFS('Daily NSE Equity Cash'!$H:$H,'Daily NSE Equity Cash'!$A:$A,$A1431)=0,"",SUMIFS('Daily NSE Equity Cash'!$H:$H,'Daily NSE Equity Cash'!$A:$A,$A1431))</f>
        <v/>
      </c>
      <c r="F1431" s="4">
        <f>IF(SUMIFS('Daily BSE Equity Cash'!$H:$H,'Daily BSE Equity Cash'!$A:$A,$A1431)=0,"",SUMIFS('Daily BSE Equity Cash'!$H:$H,'Daily BSE Equity Cash'!$A:$A,$A1431))</f>
        <v/>
      </c>
      <c r="G1431" s="4">
        <f>IF(OR(E1431="",F1431=""),"",E1431+F1431)</f>
        <v/>
      </c>
      <c r="H1431" s="7">
        <f>IFERROR(IF(OR(E1431="",INDEX(E:E,MATCH(DATE(YEAR($A1431)-1,MONTH($A1431),DAY($A1431)),$A:$A,0))=""),"",E1431/INDEX(E:E,MATCH(DATE(YEAR($A1431)-1,MONTH($A1431),DAY($A1431)),$A:$A,0))-1),"")</f>
        <v/>
      </c>
      <c r="I1431" s="7">
        <f>IFERROR(IF(OR(F1431="",INDEX(F:F,MATCH(DATE(YEAR($A1431)-1,MONTH($A1431),DAY($A1431)),$A:$A,0))=""),"",F1431/INDEX(F:F,MATCH(DATE(YEAR($A1431)-1,MONTH($A1431),DAY($A1431)),$A:$A,0))-1),"")</f>
        <v/>
      </c>
      <c r="J1431" s="7">
        <f>IFERROR(IF(OR(G1431="",INDEX(G:G,MATCH(DATE(YEAR($A1431)-1,MONTH($A1431),DAY($A1431)),$A:$A,0))=""),"",G1431/INDEX(G:G,MATCH(DATE(YEAR($A1431)-1,MONTH($A1431),DAY($A1431)),$A:$A,0))-1),"")</f>
        <v/>
      </c>
      <c r="K1431" s="7">
        <f>IF(OR(E1431="",E1430=""),"",E1431/E1430-1)</f>
        <v/>
      </c>
      <c r="L1431" s="7">
        <f>IF(OR(F1431="",F1430=""),"",F1431/F1430-1)</f>
        <v/>
      </c>
      <c r="M1431" s="7">
        <f>IF(OR(G1431="",G1430=""),"",G1431/G1430-1)</f>
        <v/>
      </c>
      <c r="N1431" s="7">
        <f>IF(G1431="","",E1431/G1431)</f>
        <v/>
      </c>
      <c r="O1431" s="7">
        <f>IF(G1431="","",F1431/G1431)</f>
        <v/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4">
        <f>IF(SUMIFS('Daily NSE Equity Cash'!$H:$H,'Daily NSE Equity Cash'!$A:$A,$A1432)=0,"",SUMIFS('Daily NSE Equity Cash'!$H:$H,'Daily NSE Equity Cash'!$A:$A,$A1432))</f>
        <v/>
      </c>
      <c r="F1432" s="4">
        <f>IF(SUMIFS('Daily BSE Equity Cash'!$H:$H,'Daily BSE Equity Cash'!$A:$A,$A1432)=0,"",SUMIFS('Daily BSE Equity Cash'!$H:$H,'Daily BSE Equity Cash'!$A:$A,$A1432))</f>
        <v/>
      </c>
      <c r="G1432" s="4">
        <f>IF(OR(E1432="",F1432=""),"",E1432+F1432)</f>
        <v/>
      </c>
      <c r="H1432" s="7">
        <f>IFERROR(IF(OR(E1432="",INDEX(E:E,MATCH(DATE(YEAR($A1432)-1,MONTH($A1432),DAY($A1432)),$A:$A,0))=""),"",E1432/INDEX(E:E,MATCH(DATE(YEAR($A1432)-1,MONTH($A1432),DAY($A1432)),$A:$A,0))-1),"")</f>
        <v/>
      </c>
      <c r="I1432" s="7">
        <f>IFERROR(IF(OR(F1432="",INDEX(F:F,MATCH(DATE(YEAR($A1432)-1,MONTH($A1432),DAY($A1432)),$A:$A,0))=""),"",F1432/INDEX(F:F,MATCH(DATE(YEAR($A1432)-1,MONTH($A1432),DAY($A1432)),$A:$A,0))-1),"")</f>
        <v/>
      </c>
      <c r="J1432" s="7">
        <f>IFERROR(IF(OR(G1432="",INDEX(G:G,MATCH(DATE(YEAR($A1432)-1,MONTH($A1432),DAY($A1432)),$A:$A,0))=""),"",G1432/INDEX(G:G,MATCH(DATE(YEAR($A1432)-1,MONTH($A1432),DAY($A1432)),$A:$A,0))-1),"")</f>
        <v/>
      </c>
      <c r="K1432" s="7">
        <f>IF(OR(E1432="",E1431=""),"",E1432/E1431-1)</f>
        <v/>
      </c>
      <c r="L1432" s="7">
        <f>IF(OR(F1432="",F1431=""),"",F1432/F1431-1)</f>
        <v/>
      </c>
      <c r="M1432" s="7">
        <f>IF(OR(G1432="",G1431=""),"",G1432/G1431-1)</f>
        <v/>
      </c>
      <c r="N1432" s="7">
        <f>IF(G1432="","",E1432/G1432)</f>
        <v/>
      </c>
      <c r="O1432" s="7">
        <f>IF(G1432="","",F1432/G1432)</f>
        <v/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4">
        <f>IF(SUMIFS('Daily NSE Equity Cash'!$H:$H,'Daily NSE Equity Cash'!$A:$A,$A1433)=0,"",SUMIFS('Daily NSE Equity Cash'!$H:$H,'Daily NSE Equity Cash'!$A:$A,$A1433))</f>
        <v/>
      </c>
      <c r="F1433" s="4">
        <f>IF(SUMIFS('Daily BSE Equity Cash'!$H:$H,'Daily BSE Equity Cash'!$A:$A,$A1433)=0,"",SUMIFS('Daily BSE Equity Cash'!$H:$H,'Daily BSE Equity Cash'!$A:$A,$A1433))</f>
        <v/>
      </c>
      <c r="G1433" s="4">
        <f>IF(OR(E1433="",F1433=""),"",E1433+F1433)</f>
        <v/>
      </c>
      <c r="H1433" s="7">
        <f>IFERROR(IF(OR(E1433="",INDEX(E:E,MATCH(DATE(YEAR($A1433)-1,MONTH($A1433),DAY($A1433)),$A:$A,0))=""),"",E1433/INDEX(E:E,MATCH(DATE(YEAR($A1433)-1,MONTH($A1433),DAY($A1433)),$A:$A,0))-1),"")</f>
        <v/>
      </c>
      <c r="I1433" s="7">
        <f>IFERROR(IF(OR(F1433="",INDEX(F:F,MATCH(DATE(YEAR($A1433)-1,MONTH($A1433),DAY($A1433)),$A:$A,0))=""),"",F1433/INDEX(F:F,MATCH(DATE(YEAR($A1433)-1,MONTH($A1433),DAY($A1433)),$A:$A,0))-1),"")</f>
        <v/>
      </c>
      <c r="J1433" s="7">
        <f>IFERROR(IF(OR(G1433="",INDEX(G:G,MATCH(DATE(YEAR($A1433)-1,MONTH($A1433),DAY($A1433)),$A:$A,0))=""),"",G1433/INDEX(G:G,MATCH(DATE(YEAR($A1433)-1,MONTH($A1433),DAY($A1433)),$A:$A,0))-1),"")</f>
        <v/>
      </c>
      <c r="K1433" s="7">
        <f>IF(OR(E1433="",E1432=""),"",E1433/E1432-1)</f>
        <v/>
      </c>
      <c r="L1433" s="7">
        <f>IF(OR(F1433="",F1432=""),"",F1433/F1432-1)</f>
        <v/>
      </c>
      <c r="M1433" s="7">
        <f>IF(OR(G1433="",G1432=""),"",G1433/G1432-1)</f>
        <v/>
      </c>
      <c r="N1433" s="7">
        <f>IF(G1433="","",E1433/G1433)</f>
        <v/>
      </c>
      <c r="O1433" s="7">
        <f>IF(G1433="","",F1433/G1433)</f>
        <v/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4">
        <f>IF(SUMIFS('Daily NSE Equity Cash'!$H:$H,'Daily NSE Equity Cash'!$A:$A,$A1434)=0,"",SUMIFS('Daily NSE Equity Cash'!$H:$H,'Daily NSE Equity Cash'!$A:$A,$A1434))</f>
        <v/>
      </c>
      <c r="F1434" s="4">
        <f>IF(SUMIFS('Daily BSE Equity Cash'!$H:$H,'Daily BSE Equity Cash'!$A:$A,$A1434)=0,"",SUMIFS('Daily BSE Equity Cash'!$H:$H,'Daily BSE Equity Cash'!$A:$A,$A1434))</f>
        <v/>
      </c>
      <c r="G1434" s="4">
        <f>IF(OR(E1434="",F1434=""),"",E1434+F1434)</f>
        <v/>
      </c>
      <c r="H1434" s="7">
        <f>IFERROR(IF(OR(E1434="",INDEX(E:E,MATCH(DATE(YEAR($A1434)-1,MONTH($A1434),DAY($A1434)),$A:$A,0))=""),"",E1434/INDEX(E:E,MATCH(DATE(YEAR($A1434)-1,MONTH($A1434),DAY($A1434)),$A:$A,0))-1),"")</f>
        <v/>
      </c>
      <c r="I1434" s="7">
        <f>IFERROR(IF(OR(F1434="",INDEX(F:F,MATCH(DATE(YEAR($A1434)-1,MONTH($A1434),DAY($A1434)),$A:$A,0))=""),"",F1434/INDEX(F:F,MATCH(DATE(YEAR($A1434)-1,MONTH($A1434),DAY($A1434)),$A:$A,0))-1),"")</f>
        <v/>
      </c>
      <c r="J1434" s="7">
        <f>IFERROR(IF(OR(G1434="",INDEX(G:G,MATCH(DATE(YEAR($A1434)-1,MONTH($A1434),DAY($A1434)),$A:$A,0))=""),"",G1434/INDEX(G:G,MATCH(DATE(YEAR($A1434)-1,MONTH($A1434),DAY($A1434)),$A:$A,0))-1),"")</f>
        <v/>
      </c>
      <c r="K1434" s="7">
        <f>IF(OR(E1434="",E1433=""),"",E1434/E1433-1)</f>
        <v/>
      </c>
      <c r="L1434" s="7">
        <f>IF(OR(F1434="",F1433=""),"",F1434/F1433-1)</f>
        <v/>
      </c>
      <c r="M1434" s="7">
        <f>IF(OR(G1434="",G1433=""),"",G1434/G1433-1)</f>
        <v/>
      </c>
      <c r="N1434" s="7">
        <f>IF(G1434="","",E1434/G1434)</f>
        <v/>
      </c>
      <c r="O1434" s="7">
        <f>IF(G1434="","",F1434/G1434)</f>
        <v/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4">
        <f>IF(SUMIFS('Daily NSE Equity Cash'!$H:$H,'Daily NSE Equity Cash'!$A:$A,$A1435)=0,"",SUMIFS('Daily NSE Equity Cash'!$H:$H,'Daily NSE Equity Cash'!$A:$A,$A1435))</f>
        <v/>
      </c>
      <c r="F1435" s="4">
        <f>IF(SUMIFS('Daily BSE Equity Cash'!$H:$H,'Daily BSE Equity Cash'!$A:$A,$A1435)=0,"",SUMIFS('Daily BSE Equity Cash'!$H:$H,'Daily BSE Equity Cash'!$A:$A,$A1435))</f>
        <v/>
      </c>
      <c r="G1435" s="4">
        <f>IF(OR(E1435="",F1435=""),"",E1435+F1435)</f>
        <v/>
      </c>
      <c r="H1435" s="7">
        <f>IFERROR(IF(OR(E1435="",INDEX(E:E,MATCH(DATE(YEAR($A1435)-1,MONTH($A1435),DAY($A1435)),$A:$A,0))=""),"",E1435/INDEX(E:E,MATCH(DATE(YEAR($A1435)-1,MONTH($A1435),DAY($A1435)),$A:$A,0))-1),"")</f>
        <v/>
      </c>
      <c r="I1435" s="7">
        <f>IFERROR(IF(OR(F1435="",INDEX(F:F,MATCH(DATE(YEAR($A1435)-1,MONTH($A1435),DAY($A1435)),$A:$A,0))=""),"",F1435/INDEX(F:F,MATCH(DATE(YEAR($A1435)-1,MONTH($A1435),DAY($A1435)),$A:$A,0))-1),"")</f>
        <v/>
      </c>
      <c r="J1435" s="7">
        <f>IFERROR(IF(OR(G1435="",INDEX(G:G,MATCH(DATE(YEAR($A1435)-1,MONTH($A1435),DAY($A1435)),$A:$A,0))=""),"",G1435/INDEX(G:G,MATCH(DATE(YEAR($A1435)-1,MONTH($A1435),DAY($A1435)),$A:$A,0))-1),"")</f>
        <v/>
      </c>
      <c r="K1435" s="7">
        <f>IF(OR(E1435="",E1434=""),"",E1435/E1434-1)</f>
        <v/>
      </c>
      <c r="L1435" s="7">
        <f>IF(OR(F1435="",F1434=""),"",F1435/F1434-1)</f>
        <v/>
      </c>
      <c r="M1435" s="7">
        <f>IF(OR(G1435="",G1434=""),"",G1435/G1434-1)</f>
        <v/>
      </c>
      <c r="N1435" s="7">
        <f>IF(G1435="","",E1435/G1435)</f>
        <v/>
      </c>
      <c r="O1435" s="7">
        <f>IF(G1435="","",F1435/G1435)</f>
        <v/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4">
        <f>IF(SUMIFS('Daily NSE Equity Cash'!$H:$H,'Daily NSE Equity Cash'!$A:$A,$A1436)=0,"",SUMIFS('Daily NSE Equity Cash'!$H:$H,'Daily NSE Equity Cash'!$A:$A,$A1436))</f>
        <v/>
      </c>
      <c r="F1436" s="4">
        <f>IF(SUMIFS('Daily BSE Equity Cash'!$H:$H,'Daily BSE Equity Cash'!$A:$A,$A1436)=0,"",SUMIFS('Daily BSE Equity Cash'!$H:$H,'Daily BSE Equity Cash'!$A:$A,$A1436))</f>
        <v/>
      </c>
      <c r="G1436" s="4">
        <f>IF(OR(E1436="",F1436=""),"",E1436+F1436)</f>
        <v/>
      </c>
      <c r="H1436" s="7">
        <f>IFERROR(IF(OR(E1436="",INDEX(E:E,MATCH(DATE(YEAR($A1436)-1,MONTH($A1436),DAY($A1436)),$A:$A,0))=""),"",E1436/INDEX(E:E,MATCH(DATE(YEAR($A1436)-1,MONTH($A1436),DAY($A1436)),$A:$A,0))-1),"")</f>
        <v/>
      </c>
      <c r="I1436" s="7">
        <f>IFERROR(IF(OR(F1436="",INDEX(F:F,MATCH(DATE(YEAR($A1436)-1,MONTH($A1436),DAY($A1436)),$A:$A,0))=""),"",F1436/INDEX(F:F,MATCH(DATE(YEAR($A1436)-1,MONTH($A1436),DAY($A1436)),$A:$A,0))-1),"")</f>
        <v/>
      </c>
      <c r="J1436" s="7">
        <f>IFERROR(IF(OR(G1436="",INDEX(G:G,MATCH(DATE(YEAR($A1436)-1,MONTH($A1436),DAY($A1436)),$A:$A,0))=""),"",G1436/INDEX(G:G,MATCH(DATE(YEAR($A1436)-1,MONTH($A1436),DAY($A1436)),$A:$A,0))-1),"")</f>
        <v/>
      </c>
      <c r="K1436" s="7">
        <f>IF(OR(E1436="",E1435=""),"",E1436/E1435-1)</f>
        <v/>
      </c>
      <c r="L1436" s="7">
        <f>IF(OR(F1436="",F1435=""),"",F1436/F1435-1)</f>
        <v/>
      </c>
      <c r="M1436" s="7">
        <f>IF(OR(G1436="",G1435=""),"",G1436/G1435-1)</f>
        <v/>
      </c>
      <c r="N1436" s="7">
        <f>IF(G1436="","",E1436/G1436)</f>
        <v/>
      </c>
      <c r="O1436" s="7">
        <f>IF(G1436="","",F1436/G1436)</f>
        <v/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4">
        <f>IF(SUMIFS('Daily NSE Equity Cash'!$H:$H,'Daily NSE Equity Cash'!$A:$A,$A1437)=0,"",SUMIFS('Daily NSE Equity Cash'!$H:$H,'Daily NSE Equity Cash'!$A:$A,$A1437))</f>
        <v/>
      </c>
      <c r="F1437" s="4">
        <f>IF(SUMIFS('Daily BSE Equity Cash'!$H:$H,'Daily BSE Equity Cash'!$A:$A,$A1437)=0,"",SUMIFS('Daily BSE Equity Cash'!$H:$H,'Daily BSE Equity Cash'!$A:$A,$A1437))</f>
        <v/>
      </c>
      <c r="G1437" s="4">
        <f>IF(OR(E1437="",F1437=""),"",E1437+F1437)</f>
        <v/>
      </c>
      <c r="H1437" s="7">
        <f>IFERROR(IF(OR(E1437="",INDEX(E:E,MATCH(DATE(YEAR($A1437)-1,MONTH($A1437),DAY($A1437)),$A:$A,0))=""),"",E1437/INDEX(E:E,MATCH(DATE(YEAR($A1437)-1,MONTH($A1437),DAY($A1437)),$A:$A,0))-1),"")</f>
        <v/>
      </c>
      <c r="I1437" s="7">
        <f>IFERROR(IF(OR(F1437="",INDEX(F:F,MATCH(DATE(YEAR($A1437)-1,MONTH($A1437),DAY($A1437)),$A:$A,0))=""),"",F1437/INDEX(F:F,MATCH(DATE(YEAR($A1437)-1,MONTH($A1437),DAY($A1437)),$A:$A,0))-1),"")</f>
        <v/>
      </c>
      <c r="J1437" s="7">
        <f>IFERROR(IF(OR(G1437="",INDEX(G:G,MATCH(DATE(YEAR($A1437)-1,MONTH($A1437),DAY($A1437)),$A:$A,0))=""),"",G1437/INDEX(G:G,MATCH(DATE(YEAR($A1437)-1,MONTH($A1437),DAY($A1437)),$A:$A,0))-1),"")</f>
        <v/>
      </c>
      <c r="K1437" s="7">
        <f>IF(OR(E1437="",E1436=""),"",E1437/E1436-1)</f>
        <v/>
      </c>
      <c r="L1437" s="7">
        <f>IF(OR(F1437="",F1436=""),"",F1437/F1436-1)</f>
        <v/>
      </c>
      <c r="M1437" s="7">
        <f>IF(OR(G1437="",G1436=""),"",G1437/G1436-1)</f>
        <v/>
      </c>
      <c r="N1437" s="7">
        <f>IF(G1437="","",E1437/G1437)</f>
        <v/>
      </c>
      <c r="O1437" s="7">
        <f>IF(G1437="","",F1437/G1437)</f>
        <v/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4">
        <f>IF(SUMIFS('Daily NSE Equity Cash'!$H:$H,'Daily NSE Equity Cash'!$A:$A,$A1438)=0,"",SUMIFS('Daily NSE Equity Cash'!$H:$H,'Daily NSE Equity Cash'!$A:$A,$A1438))</f>
        <v/>
      </c>
      <c r="F1438" s="4">
        <f>IF(SUMIFS('Daily BSE Equity Cash'!$H:$H,'Daily BSE Equity Cash'!$A:$A,$A1438)=0,"",SUMIFS('Daily BSE Equity Cash'!$H:$H,'Daily BSE Equity Cash'!$A:$A,$A1438))</f>
        <v/>
      </c>
      <c r="G1438" s="4">
        <f>IF(OR(E1438="",F1438=""),"",E1438+F1438)</f>
        <v/>
      </c>
      <c r="H1438" s="7">
        <f>IFERROR(IF(OR(E1438="",INDEX(E:E,MATCH(DATE(YEAR($A1438)-1,MONTH($A1438),DAY($A1438)),$A:$A,0))=""),"",E1438/INDEX(E:E,MATCH(DATE(YEAR($A1438)-1,MONTH($A1438),DAY($A1438)),$A:$A,0))-1),"")</f>
        <v/>
      </c>
      <c r="I1438" s="7">
        <f>IFERROR(IF(OR(F1438="",INDEX(F:F,MATCH(DATE(YEAR($A1438)-1,MONTH($A1438),DAY($A1438)),$A:$A,0))=""),"",F1438/INDEX(F:F,MATCH(DATE(YEAR($A1438)-1,MONTH($A1438),DAY($A1438)),$A:$A,0))-1),"")</f>
        <v/>
      </c>
      <c r="J1438" s="7">
        <f>IFERROR(IF(OR(G1438="",INDEX(G:G,MATCH(DATE(YEAR($A1438)-1,MONTH($A1438),DAY($A1438)),$A:$A,0))=""),"",G1438/INDEX(G:G,MATCH(DATE(YEAR($A1438)-1,MONTH($A1438),DAY($A1438)),$A:$A,0))-1),"")</f>
        <v/>
      </c>
      <c r="K1438" s="7">
        <f>IF(OR(E1438="",E1437=""),"",E1438/E1437-1)</f>
        <v/>
      </c>
      <c r="L1438" s="7">
        <f>IF(OR(F1438="",F1437=""),"",F1438/F1437-1)</f>
        <v/>
      </c>
      <c r="M1438" s="7">
        <f>IF(OR(G1438="",G1437=""),"",G1438/G1437-1)</f>
        <v/>
      </c>
      <c r="N1438" s="7">
        <f>IF(G1438="","",E1438/G1438)</f>
        <v/>
      </c>
      <c r="O1438" s="7">
        <f>IF(G1438="","",F1438/G1438)</f>
        <v/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4">
        <f>IF(SUMIFS('Daily NSE Equity Cash'!$H:$H,'Daily NSE Equity Cash'!$A:$A,$A1439)=0,"",SUMIFS('Daily NSE Equity Cash'!$H:$H,'Daily NSE Equity Cash'!$A:$A,$A1439))</f>
        <v/>
      </c>
      <c r="F1439" s="4">
        <f>IF(SUMIFS('Daily BSE Equity Cash'!$H:$H,'Daily BSE Equity Cash'!$A:$A,$A1439)=0,"",SUMIFS('Daily BSE Equity Cash'!$H:$H,'Daily BSE Equity Cash'!$A:$A,$A1439))</f>
        <v/>
      </c>
      <c r="G1439" s="4">
        <f>IF(OR(E1439="",F1439=""),"",E1439+F1439)</f>
        <v/>
      </c>
      <c r="H1439" s="7">
        <f>IFERROR(IF(OR(E1439="",INDEX(E:E,MATCH(DATE(YEAR($A1439)-1,MONTH($A1439),DAY($A1439)),$A:$A,0))=""),"",E1439/INDEX(E:E,MATCH(DATE(YEAR($A1439)-1,MONTH($A1439),DAY($A1439)),$A:$A,0))-1),"")</f>
        <v/>
      </c>
      <c r="I1439" s="7">
        <f>IFERROR(IF(OR(F1439="",INDEX(F:F,MATCH(DATE(YEAR($A1439)-1,MONTH($A1439),DAY($A1439)),$A:$A,0))=""),"",F1439/INDEX(F:F,MATCH(DATE(YEAR($A1439)-1,MONTH($A1439),DAY($A1439)),$A:$A,0))-1),"")</f>
        <v/>
      </c>
      <c r="J1439" s="7">
        <f>IFERROR(IF(OR(G1439="",INDEX(G:G,MATCH(DATE(YEAR($A1439)-1,MONTH($A1439),DAY($A1439)),$A:$A,0))=""),"",G1439/INDEX(G:G,MATCH(DATE(YEAR($A1439)-1,MONTH($A1439),DAY($A1439)),$A:$A,0))-1),"")</f>
        <v/>
      </c>
      <c r="K1439" s="7">
        <f>IF(OR(E1439="",E1438=""),"",E1439/E1438-1)</f>
        <v/>
      </c>
      <c r="L1439" s="7">
        <f>IF(OR(F1439="",F1438=""),"",F1439/F1438-1)</f>
        <v/>
      </c>
      <c r="M1439" s="7">
        <f>IF(OR(G1439="",G1438=""),"",G1439/G1438-1)</f>
        <v/>
      </c>
      <c r="N1439" s="7">
        <f>IF(G1439="","",E1439/G1439)</f>
        <v/>
      </c>
      <c r="O1439" s="7">
        <f>IF(G1439="","",F1439/G1439)</f>
        <v/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4">
        <f>IF(SUMIFS('Daily NSE Equity Cash'!$H:$H,'Daily NSE Equity Cash'!$A:$A,$A1440)=0,"",SUMIFS('Daily NSE Equity Cash'!$H:$H,'Daily NSE Equity Cash'!$A:$A,$A1440))</f>
        <v/>
      </c>
      <c r="F1440" s="4">
        <f>IF(SUMIFS('Daily BSE Equity Cash'!$H:$H,'Daily BSE Equity Cash'!$A:$A,$A1440)=0,"",SUMIFS('Daily BSE Equity Cash'!$H:$H,'Daily BSE Equity Cash'!$A:$A,$A1440))</f>
        <v/>
      </c>
      <c r="G1440" s="4">
        <f>IF(OR(E1440="",F1440=""),"",E1440+F1440)</f>
        <v/>
      </c>
      <c r="H1440" s="7">
        <f>IFERROR(IF(OR(E1440="",INDEX(E:E,MATCH(DATE(YEAR($A1440)-1,MONTH($A1440),DAY($A1440)),$A:$A,0))=""),"",E1440/INDEX(E:E,MATCH(DATE(YEAR($A1440)-1,MONTH($A1440),DAY($A1440)),$A:$A,0))-1),"")</f>
        <v/>
      </c>
      <c r="I1440" s="7">
        <f>IFERROR(IF(OR(F1440="",INDEX(F:F,MATCH(DATE(YEAR($A1440)-1,MONTH($A1440),DAY($A1440)),$A:$A,0))=""),"",F1440/INDEX(F:F,MATCH(DATE(YEAR($A1440)-1,MONTH($A1440),DAY($A1440)),$A:$A,0))-1),"")</f>
        <v/>
      </c>
      <c r="J1440" s="7">
        <f>IFERROR(IF(OR(G1440="",INDEX(G:G,MATCH(DATE(YEAR($A1440)-1,MONTH($A1440),DAY($A1440)),$A:$A,0))=""),"",G1440/INDEX(G:G,MATCH(DATE(YEAR($A1440)-1,MONTH($A1440),DAY($A1440)),$A:$A,0))-1),"")</f>
        <v/>
      </c>
      <c r="K1440" s="7">
        <f>IF(OR(E1440="",E1439=""),"",E1440/E1439-1)</f>
        <v/>
      </c>
      <c r="L1440" s="7">
        <f>IF(OR(F1440="",F1439=""),"",F1440/F1439-1)</f>
        <v/>
      </c>
      <c r="M1440" s="7">
        <f>IF(OR(G1440="",G1439=""),"",G1440/G1439-1)</f>
        <v/>
      </c>
      <c r="N1440" s="7">
        <f>IF(G1440="","",E1440/G1440)</f>
        <v/>
      </c>
      <c r="O1440" s="7">
        <f>IF(G1440="","",F1440/G1440)</f>
        <v/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4">
        <f>IF(SUMIFS('Daily NSE Equity Cash'!$H:$H,'Daily NSE Equity Cash'!$A:$A,$A1441)=0,"",SUMIFS('Daily NSE Equity Cash'!$H:$H,'Daily NSE Equity Cash'!$A:$A,$A1441))</f>
        <v/>
      </c>
      <c r="F1441" s="4">
        <f>IF(SUMIFS('Daily BSE Equity Cash'!$H:$H,'Daily BSE Equity Cash'!$A:$A,$A1441)=0,"",SUMIFS('Daily BSE Equity Cash'!$H:$H,'Daily BSE Equity Cash'!$A:$A,$A1441))</f>
        <v/>
      </c>
      <c r="G1441" s="4">
        <f>IF(OR(E1441="",F1441=""),"",E1441+F1441)</f>
        <v/>
      </c>
      <c r="H1441" s="7">
        <f>IFERROR(IF(OR(E1441="",INDEX(E:E,MATCH(DATE(YEAR($A1441)-1,MONTH($A1441),DAY($A1441)),$A:$A,0))=""),"",E1441/INDEX(E:E,MATCH(DATE(YEAR($A1441)-1,MONTH($A1441),DAY($A1441)),$A:$A,0))-1),"")</f>
        <v/>
      </c>
      <c r="I1441" s="7">
        <f>IFERROR(IF(OR(F1441="",INDEX(F:F,MATCH(DATE(YEAR($A1441)-1,MONTH($A1441),DAY($A1441)),$A:$A,0))=""),"",F1441/INDEX(F:F,MATCH(DATE(YEAR($A1441)-1,MONTH($A1441),DAY($A1441)),$A:$A,0))-1),"")</f>
        <v/>
      </c>
      <c r="J1441" s="7">
        <f>IFERROR(IF(OR(G1441="",INDEX(G:G,MATCH(DATE(YEAR($A1441)-1,MONTH($A1441),DAY($A1441)),$A:$A,0))=""),"",G1441/INDEX(G:G,MATCH(DATE(YEAR($A1441)-1,MONTH($A1441),DAY($A1441)),$A:$A,0))-1),"")</f>
        <v/>
      </c>
      <c r="K1441" s="7">
        <f>IF(OR(E1441="",E1440=""),"",E1441/E1440-1)</f>
        <v/>
      </c>
      <c r="L1441" s="7">
        <f>IF(OR(F1441="",F1440=""),"",F1441/F1440-1)</f>
        <v/>
      </c>
      <c r="M1441" s="7">
        <f>IF(OR(G1441="",G1440=""),"",G1441/G1440-1)</f>
        <v/>
      </c>
      <c r="N1441" s="7">
        <f>IF(G1441="","",E1441/G1441)</f>
        <v/>
      </c>
      <c r="O1441" s="7">
        <f>IF(G1441="","",F1441/G1441)</f>
        <v/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4">
        <f>IF(SUMIFS('Daily NSE Equity Cash'!$H:$H,'Daily NSE Equity Cash'!$A:$A,$A1442)=0,"",SUMIFS('Daily NSE Equity Cash'!$H:$H,'Daily NSE Equity Cash'!$A:$A,$A1442))</f>
        <v/>
      </c>
      <c r="F1442" s="4">
        <f>IF(SUMIFS('Daily BSE Equity Cash'!$H:$H,'Daily BSE Equity Cash'!$A:$A,$A1442)=0,"",SUMIFS('Daily BSE Equity Cash'!$H:$H,'Daily BSE Equity Cash'!$A:$A,$A1442))</f>
        <v/>
      </c>
      <c r="G1442" s="4">
        <f>IF(OR(E1442="",F1442=""),"",E1442+F1442)</f>
        <v/>
      </c>
      <c r="H1442" s="7">
        <f>IFERROR(IF(OR(E1442="",INDEX(E:E,MATCH(DATE(YEAR($A1442)-1,MONTH($A1442),DAY($A1442)),$A:$A,0))=""),"",E1442/INDEX(E:E,MATCH(DATE(YEAR($A1442)-1,MONTH($A1442),DAY($A1442)),$A:$A,0))-1),"")</f>
        <v/>
      </c>
      <c r="I1442" s="7">
        <f>IFERROR(IF(OR(F1442="",INDEX(F:F,MATCH(DATE(YEAR($A1442)-1,MONTH($A1442),DAY($A1442)),$A:$A,0))=""),"",F1442/INDEX(F:F,MATCH(DATE(YEAR($A1442)-1,MONTH($A1442),DAY($A1442)),$A:$A,0))-1),"")</f>
        <v/>
      </c>
      <c r="J1442" s="7">
        <f>IFERROR(IF(OR(G1442="",INDEX(G:G,MATCH(DATE(YEAR($A1442)-1,MONTH($A1442),DAY($A1442)),$A:$A,0))=""),"",G1442/INDEX(G:G,MATCH(DATE(YEAR($A1442)-1,MONTH($A1442),DAY($A1442)),$A:$A,0))-1),"")</f>
        <v/>
      </c>
      <c r="K1442" s="7">
        <f>IF(OR(E1442="",E1441=""),"",E1442/E1441-1)</f>
        <v/>
      </c>
      <c r="L1442" s="7">
        <f>IF(OR(F1442="",F1441=""),"",F1442/F1441-1)</f>
        <v/>
      </c>
      <c r="M1442" s="7">
        <f>IF(OR(G1442="",G1441=""),"",G1442/G1441-1)</f>
        <v/>
      </c>
      <c r="N1442" s="7">
        <f>IF(G1442="","",E1442/G1442)</f>
        <v/>
      </c>
      <c r="O1442" s="7">
        <f>IF(G1442="","",F1442/G1442)</f>
        <v/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4">
        <f>IF(SUMIFS('Daily NSE Equity Cash'!$H:$H,'Daily NSE Equity Cash'!$A:$A,$A1443)=0,"",SUMIFS('Daily NSE Equity Cash'!$H:$H,'Daily NSE Equity Cash'!$A:$A,$A1443))</f>
        <v/>
      </c>
      <c r="F1443" s="4">
        <f>IF(SUMIFS('Daily BSE Equity Cash'!$H:$H,'Daily BSE Equity Cash'!$A:$A,$A1443)=0,"",SUMIFS('Daily BSE Equity Cash'!$H:$H,'Daily BSE Equity Cash'!$A:$A,$A1443))</f>
        <v/>
      </c>
      <c r="G1443" s="4">
        <f>IF(OR(E1443="",F1443=""),"",E1443+F1443)</f>
        <v/>
      </c>
      <c r="H1443" s="7">
        <f>IFERROR(IF(OR(E1443="",INDEX(E:E,MATCH(DATE(YEAR($A1443)-1,MONTH($A1443),DAY($A1443)),$A:$A,0))=""),"",E1443/INDEX(E:E,MATCH(DATE(YEAR($A1443)-1,MONTH($A1443),DAY($A1443)),$A:$A,0))-1),"")</f>
        <v/>
      </c>
      <c r="I1443" s="7">
        <f>IFERROR(IF(OR(F1443="",INDEX(F:F,MATCH(DATE(YEAR($A1443)-1,MONTH($A1443),DAY($A1443)),$A:$A,0))=""),"",F1443/INDEX(F:F,MATCH(DATE(YEAR($A1443)-1,MONTH($A1443),DAY($A1443)),$A:$A,0))-1),"")</f>
        <v/>
      </c>
      <c r="J1443" s="7">
        <f>IFERROR(IF(OR(G1443="",INDEX(G:G,MATCH(DATE(YEAR($A1443)-1,MONTH($A1443),DAY($A1443)),$A:$A,0))=""),"",G1443/INDEX(G:G,MATCH(DATE(YEAR($A1443)-1,MONTH($A1443),DAY($A1443)),$A:$A,0))-1),"")</f>
        <v/>
      </c>
      <c r="K1443" s="7">
        <f>IF(OR(E1443="",E1442=""),"",E1443/E1442-1)</f>
        <v/>
      </c>
      <c r="L1443" s="7">
        <f>IF(OR(F1443="",F1442=""),"",F1443/F1442-1)</f>
        <v/>
      </c>
      <c r="M1443" s="7">
        <f>IF(OR(G1443="",G1442=""),"",G1443/G1442-1)</f>
        <v/>
      </c>
      <c r="N1443" s="7">
        <f>IF(G1443="","",E1443/G1443)</f>
        <v/>
      </c>
      <c r="O1443" s="7">
        <f>IF(G1443="","",F1443/G1443)</f>
        <v/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4">
        <f>IF(SUMIFS('Daily NSE Equity Cash'!$H:$H,'Daily NSE Equity Cash'!$A:$A,$A1444)=0,"",SUMIFS('Daily NSE Equity Cash'!$H:$H,'Daily NSE Equity Cash'!$A:$A,$A1444))</f>
        <v/>
      </c>
      <c r="F1444" s="4">
        <f>IF(SUMIFS('Daily BSE Equity Cash'!$H:$H,'Daily BSE Equity Cash'!$A:$A,$A1444)=0,"",SUMIFS('Daily BSE Equity Cash'!$H:$H,'Daily BSE Equity Cash'!$A:$A,$A1444))</f>
        <v/>
      </c>
      <c r="G1444" s="4">
        <f>IF(OR(E1444="",F1444=""),"",E1444+F1444)</f>
        <v/>
      </c>
      <c r="H1444" s="7">
        <f>IFERROR(IF(OR(E1444="",INDEX(E:E,MATCH(DATE(YEAR($A1444)-1,MONTH($A1444),DAY($A1444)),$A:$A,0))=""),"",E1444/INDEX(E:E,MATCH(DATE(YEAR($A1444)-1,MONTH($A1444),DAY($A1444)),$A:$A,0))-1),"")</f>
        <v/>
      </c>
      <c r="I1444" s="7">
        <f>IFERROR(IF(OR(F1444="",INDEX(F:F,MATCH(DATE(YEAR($A1444)-1,MONTH($A1444),DAY($A1444)),$A:$A,0))=""),"",F1444/INDEX(F:F,MATCH(DATE(YEAR($A1444)-1,MONTH($A1444),DAY($A1444)),$A:$A,0))-1),"")</f>
        <v/>
      </c>
      <c r="J1444" s="7">
        <f>IFERROR(IF(OR(G1444="",INDEX(G:G,MATCH(DATE(YEAR($A1444)-1,MONTH($A1444),DAY($A1444)),$A:$A,0))=""),"",G1444/INDEX(G:G,MATCH(DATE(YEAR($A1444)-1,MONTH($A1444),DAY($A1444)),$A:$A,0))-1),"")</f>
        <v/>
      </c>
      <c r="K1444" s="7">
        <f>IF(OR(E1444="",E1443=""),"",E1444/E1443-1)</f>
        <v/>
      </c>
      <c r="L1444" s="7">
        <f>IF(OR(F1444="",F1443=""),"",F1444/F1443-1)</f>
        <v/>
      </c>
      <c r="M1444" s="7">
        <f>IF(OR(G1444="",G1443=""),"",G1444/G1443-1)</f>
        <v/>
      </c>
      <c r="N1444" s="7">
        <f>IF(G1444="","",E1444/G1444)</f>
        <v/>
      </c>
      <c r="O1444" s="7">
        <f>IF(G1444="","",F1444/G1444)</f>
        <v/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4">
        <f>IF(SUMIFS('Daily NSE Equity Cash'!$H:$H,'Daily NSE Equity Cash'!$A:$A,$A1445)=0,"",SUMIFS('Daily NSE Equity Cash'!$H:$H,'Daily NSE Equity Cash'!$A:$A,$A1445))</f>
        <v/>
      </c>
      <c r="F1445" s="4">
        <f>IF(SUMIFS('Daily BSE Equity Cash'!$H:$H,'Daily BSE Equity Cash'!$A:$A,$A1445)=0,"",SUMIFS('Daily BSE Equity Cash'!$H:$H,'Daily BSE Equity Cash'!$A:$A,$A1445))</f>
        <v/>
      </c>
      <c r="G1445" s="4">
        <f>IF(OR(E1445="",F1445=""),"",E1445+F1445)</f>
        <v/>
      </c>
      <c r="H1445" s="7">
        <f>IFERROR(IF(OR(E1445="",INDEX(E:E,MATCH(DATE(YEAR($A1445)-1,MONTH($A1445),DAY($A1445)),$A:$A,0))=""),"",E1445/INDEX(E:E,MATCH(DATE(YEAR($A1445)-1,MONTH($A1445),DAY($A1445)),$A:$A,0))-1),"")</f>
        <v/>
      </c>
      <c r="I1445" s="7">
        <f>IFERROR(IF(OR(F1445="",INDEX(F:F,MATCH(DATE(YEAR($A1445)-1,MONTH($A1445),DAY($A1445)),$A:$A,0))=""),"",F1445/INDEX(F:F,MATCH(DATE(YEAR($A1445)-1,MONTH($A1445),DAY($A1445)),$A:$A,0))-1),"")</f>
        <v/>
      </c>
      <c r="J1445" s="7">
        <f>IFERROR(IF(OR(G1445="",INDEX(G:G,MATCH(DATE(YEAR($A1445)-1,MONTH($A1445),DAY($A1445)),$A:$A,0))=""),"",G1445/INDEX(G:G,MATCH(DATE(YEAR($A1445)-1,MONTH($A1445),DAY($A1445)),$A:$A,0))-1),"")</f>
        <v/>
      </c>
      <c r="K1445" s="7">
        <f>IF(OR(E1445="",E1444=""),"",E1445/E1444-1)</f>
        <v/>
      </c>
      <c r="L1445" s="7">
        <f>IF(OR(F1445="",F1444=""),"",F1445/F1444-1)</f>
        <v/>
      </c>
      <c r="M1445" s="7">
        <f>IF(OR(G1445="",G1444=""),"",G1445/G1444-1)</f>
        <v/>
      </c>
      <c r="N1445" s="7">
        <f>IF(G1445="","",E1445/G1445)</f>
        <v/>
      </c>
      <c r="O1445" s="7">
        <f>IF(G1445="","",F1445/G1445)</f>
        <v/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4">
        <f>IF(SUMIFS('Daily NSE Equity Cash'!$H:$H,'Daily NSE Equity Cash'!$A:$A,$A1446)=0,"",SUMIFS('Daily NSE Equity Cash'!$H:$H,'Daily NSE Equity Cash'!$A:$A,$A1446))</f>
        <v/>
      </c>
      <c r="F1446" s="4">
        <f>IF(SUMIFS('Daily BSE Equity Cash'!$H:$H,'Daily BSE Equity Cash'!$A:$A,$A1446)=0,"",SUMIFS('Daily BSE Equity Cash'!$H:$H,'Daily BSE Equity Cash'!$A:$A,$A1446))</f>
        <v/>
      </c>
      <c r="G1446" s="4">
        <f>IF(OR(E1446="",F1446=""),"",E1446+F1446)</f>
        <v/>
      </c>
      <c r="H1446" s="7">
        <f>IFERROR(IF(OR(E1446="",INDEX(E:E,MATCH(DATE(YEAR($A1446)-1,MONTH($A1446),DAY($A1446)),$A:$A,0))=""),"",E1446/INDEX(E:E,MATCH(DATE(YEAR($A1446)-1,MONTH($A1446),DAY($A1446)),$A:$A,0))-1),"")</f>
        <v/>
      </c>
      <c r="I1446" s="7">
        <f>IFERROR(IF(OR(F1446="",INDEX(F:F,MATCH(DATE(YEAR($A1446)-1,MONTH($A1446),DAY($A1446)),$A:$A,0))=""),"",F1446/INDEX(F:F,MATCH(DATE(YEAR($A1446)-1,MONTH($A1446),DAY($A1446)),$A:$A,0))-1),"")</f>
        <v/>
      </c>
      <c r="J1446" s="7">
        <f>IFERROR(IF(OR(G1446="",INDEX(G:G,MATCH(DATE(YEAR($A1446)-1,MONTH($A1446),DAY($A1446)),$A:$A,0))=""),"",G1446/INDEX(G:G,MATCH(DATE(YEAR($A1446)-1,MONTH($A1446),DAY($A1446)),$A:$A,0))-1),"")</f>
        <v/>
      </c>
      <c r="K1446" s="7">
        <f>IF(OR(E1446="",E1445=""),"",E1446/E1445-1)</f>
        <v/>
      </c>
      <c r="L1446" s="7">
        <f>IF(OR(F1446="",F1445=""),"",F1446/F1445-1)</f>
        <v/>
      </c>
      <c r="M1446" s="7">
        <f>IF(OR(G1446="",G1445=""),"",G1446/G1445-1)</f>
        <v/>
      </c>
      <c r="N1446" s="7">
        <f>IF(G1446="","",E1446/G1446)</f>
        <v/>
      </c>
      <c r="O1446" s="7">
        <f>IF(G1446="","",F1446/G1446)</f>
        <v/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4">
        <f>IF(SUMIFS('Daily NSE Equity Cash'!$H:$H,'Daily NSE Equity Cash'!$A:$A,$A1447)=0,"",SUMIFS('Daily NSE Equity Cash'!$H:$H,'Daily NSE Equity Cash'!$A:$A,$A1447))</f>
        <v/>
      </c>
      <c r="F1447" s="4">
        <f>IF(SUMIFS('Daily BSE Equity Cash'!$H:$H,'Daily BSE Equity Cash'!$A:$A,$A1447)=0,"",SUMIFS('Daily BSE Equity Cash'!$H:$H,'Daily BSE Equity Cash'!$A:$A,$A1447))</f>
        <v/>
      </c>
      <c r="G1447" s="4">
        <f>IF(OR(E1447="",F1447=""),"",E1447+F1447)</f>
        <v/>
      </c>
      <c r="H1447" s="7">
        <f>IFERROR(IF(OR(E1447="",INDEX(E:E,MATCH(DATE(YEAR($A1447)-1,MONTH($A1447),DAY($A1447)),$A:$A,0))=""),"",E1447/INDEX(E:E,MATCH(DATE(YEAR($A1447)-1,MONTH($A1447),DAY($A1447)),$A:$A,0))-1),"")</f>
        <v/>
      </c>
      <c r="I1447" s="7">
        <f>IFERROR(IF(OR(F1447="",INDEX(F:F,MATCH(DATE(YEAR($A1447)-1,MONTH($A1447),DAY($A1447)),$A:$A,0))=""),"",F1447/INDEX(F:F,MATCH(DATE(YEAR($A1447)-1,MONTH($A1447),DAY($A1447)),$A:$A,0))-1),"")</f>
        <v/>
      </c>
      <c r="J1447" s="7">
        <f>IFERROR(IF(OR(G1447="",INDEX(G:G,MATCH(DATE(YEAR($A1447)-1,MONTH($A1447),DAY($A1447)),$A:$A,0))=""),"",G1447/INDEX(G:G,MATCH(DATE(YEAR($A1447)-1,MONTH($A1447),DAY($A1447)),$A:$A,0))-1),"")</f>
        <v/>
      </c>
      <c r="K1447" s="7">
        <f>IF(OR(E1447="",E1446=""),"",E1447/E1446-1)</f>
        <v/>
      </c>
      <c r="L1447" s="7">
        <f>IF(OR(F1447="",F1446=""),"",F1447/F1446-1)</f>
        <v/>
      </c>
      <c r="M1447" s="7">
        <f>IF(OR(G1447="",G1446=""),"",G1447/G1446-1)</f>
        <v/>
      </c>
      <c r="N1447" s="7">
        <f>IF(G1447="","",E1447/G1447)</f>
        <v/>
      </c>
      <c r="O1447" s="7">
        <f>IF(G1447="","",F1447/G1447)</f>
        <v/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4">
        <f>IF(SUMIFS('Daily NSE Equity Cash'!$H:$H,'Daily NSE Equity Cash'!$A:$A,$A1448)=0,"",SUMIFS('Daily NSE Equity Cash'!$H:$H,'Daily NSE Equity Cash'!$A:$A,$A1448))</f>
        <v/>
      </c>
      <c r="F1448" s="4">
        <f>IF(SUMIFS('Daily BSE Equity Cash'!$H:$H,'Daily BSE Equity Cash'!$A:$A,$A1448)=0,"",SUMIFS('Daily BSE Equity Cash'!$H:$H,'Daily BSE Equity Cash'!$A:$A,$A1448))</f>
        <v/>
      </c>
      <c r="G1448" s="4">
        <f>IF(OR(E1448="",F1448=""),"",E1448+F1448)</f>
        <v/>
      </c>
      <c r="H1448" s="7">
        <f>IFERROR(IF(OR(E1448="",INDEX(E:E,MATCH(DATE(YEAR($A1448)-1,MONTH($A1448),DAY($A1448)),$A:$A,0))=""),"",E1448/INDEX(E:E,MATCH(DATE(YEAR($A1448)-1,MONTH($A1448),DAY($A1448)),$A:$A,0))-1),"")</f>
        <v/>
      </c>
      <c r="I1448" s="7">
        <f>IFERROR(IF(OR(F1448="",INDEX(F:F,MATCH(DATE(YEAR($A1448)-1,MONTH($A1448),DAY($A1448)),$A:$A,0))=""),"",F1448/INDEX(F:F,MATCH(DATE(YEAR($A1448)-1,MONTH($A1448),DAY($A1448)),$A:$A,0))-1),"")</f>
        <v/>
      </c>
      <c r="J1448" s="7">
        <f>IFERROR(IF(OR(G1448="",INDEX(G:G,MATCH(DATE(YEAR($A1448)-1,MONTH($A1448),DAY($A1448)),$A:$A,0))=""),"",G1448/INDEX(G:G,MATCH(DATE(YEAR($A1448)-1,MONTH($A1448),DAY($A1448)),$A:$A,0))-1),"")</f>
        <v/>
      </c>
      <c r="K1448" s="7">
        <f>IF(OR(E1448="",E1447=""),"",E1448/E1447-1)</f>
        <v/>
      </c>
      <c r="L1448" s="7">
        <f>IF(OR(F1448="",F1447=""),"",F1448/F1447-1)</f>
        <v/>
      </c>
      <c r="M1448" s="7">
        <f>IF(OR(G1448="",G1447=""),"",G1448/G1447-1)</f>
        <v/>
      </c>
      <c r="N1448" s="7">
        <f>IF(G1448="","",E1448/G1448)</f>
        <v/>
      </c>
      <c r="O1448" s="7">
        <f>IF(G1448="","",F1448/G1448)</f>
        <v/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4">
        <f>IF(SUMIFS('Daily NSE Equity Cash'!$H:$H,'Daily NSE Equity Cash'!$A:$A,$A1449)=0,"",SUMIFS('Daily NSE Equity Cash'!$H:$H,'Daily NSE Equity Cash'!$A:$A,$A1449))</f>
        <v/>
      </c>
      <c r="F1449" s="4">
        <f>IF(SUMIFS('Daily BSE Equity Cash'!$H:$H,'Daily BSE Equity Cash'!$A:$A,$A1449)=0,"",SUMIFS('Daily BSE Equity Cash'!$H:$H,'Daily BSE Equity Cash'!$A:$A,$A1449))</f>
        <v/>
      </c>
      <c r="G1449" s="4">
        <f>IF(OR(E1449="",F1449=""),"",E1449+F1449)</f>
        <v/>
      </c>
      <c r="H1449" s="7">
        <f>IFERROR(IF(OR(E1449="",INDEX(E:E,MATCH(DATE(YEAR($A1449)-1,MONTH($A1449),DAY($A1449)),$A:$A,0))=""),"",E1449/INDEX(E:E,MATCH(DATE(YEAR($A1449)-1,MONTH($A1449),DAY($A1449)),$A:$A,0))-1),"")</f>
        <v/>
      </c>
      <c r="I1449" s="7">
        <f>IFERROR(IF(OR(F1449="",INDEX(F:F,MATCH(DATE(YEAR($A1449)-1,MONTH($A1449),DAY($A1449)),$A:$A,0))=""),"",F1449/INDEX(F:F,MATCH(DATE(YEAR($A1449)-1,MONTH($A1449),DAY($A1449)),$A:$A,0))-1),"")</f>
        <v/>
      </c>
      <c r="J1449" s="7">
        <f>IFERROR(IF(OR(G1449="",INDEX(G:G,MATCH(DATE(YEAR($A1449)-1,MONTH($A1449),DAY($A1449)),$A:$A,0))=""),"",G1449/INDEX(G:G,MATCH(DATE(YEAR($A1449)-1,MONTH($A1449),DAY($A1449)),$A:$A,0))-1),"")</f>
        <v/>
      </c>
      <c r="K1449" s="7">
        <f>IF(OR(E1449="",E1448=""),"",E1449/E1448-1)</f>
        <v/>
      </c>
      <c r="L1449" s="7">
        <f>IF(OR(F1449="",F1448=""),"",F1449/F1448-1)</f>
        <v/>
      </c>
      <c r="M1449" s="7">
        <f>IF(OR(G1449="",G1448=""),"",G1449/G1448-1)</f>
        <v/>
      </c>
      <c r="N1449" s="7">
        <f>IF(G1449="","",E1449/G1449)</f>
        <v/>
      </c>
      <c r="O1449" s="7">
        <f>IF(G1449="","",F1449/G1449)</f>
        <v/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4">
        <f>IF(SUMIFS('Daily NSE Equity Cash'!$H:$H,'Daily NSE Equity Cash'!$A:$A,$A1450)=0,"",SUMIFS('Daily NSE Equity Cash'!$H:$H,'Daily NSE Equity Cash'!$A:$A,$A1450))</f>
        <v/>
      </c>
      <c r="F1450" s="4">
        <f>IF(SUMIFS('Daily BSE Equity Cash'!$H:$H,'Daily BSE Equity Cash'!$A:$A,$A1450)=0,"",SUMIFS('Daily BSE Equity Cash'!$H:$H,'Daily BSE Equity Cash'!$A:$A,$A1450))</f>
        <v/>
      </c>
      <c r="G1450" s="4">
        <f>IF(OR(E1450="",F1450=""),"",E1450+F1450)</f>
        <v/>
      </c>
      <c r="H1450" s="7">
        <f>IFERROR(IF(OR(E1450="",INDEX(E:E,MATCH(DATE(YEAR($A1450)-1,MONTH($A1450),DAY($A1450)),$A:$A,0))=""),"",E1450/INDEX(E:E,MATCH(DATE(YEAR($A1450)-1,MONTH($A1450),DAY($A1450)),$A:$A,0))-1),"")</f>
        <v/>
      </c>
      <c r="I1450" s="7">
        <f>IFERROR(IF(OR(F1450="",INDEX(F:F,MATCH(DATE(YEAR($A1450)-1,MONTH($A1450),DAY($A1450)),$A:$A,0))=""),"",F1450/INDEX(F:F,MATCH(DATE(YEAR($A1450)-1,MONTH($A1450),DAY($A1450)),$A:$A,0))-1),"")</f>
        <v/>
      </c>
      <c r="J1450" s="7">
        <f>IFERROR(IF(OR(G1450="",INDEX(G:G,MATCH(DATE(YEAR($A1450)-1,MONTH($A1450),DAY($A1450)),$A:$A,0))=""),"",G1450/INDEX(G:G,MATCH(DATE(YEAR($A1450)-1,MONTH($A1450),DAY($A1450)),$A:$A,0))-1),"")</f>
        <v/>
      </c>
      <c r="K1450" s="7">
        <f>IF(OR(E1450="",E1449=""),"",E1450/E1449-1)</f>
        <v/>
      </c>
      <c r="L1450" s="7">
        <f>IF(OR(F1450="",F1449=""),"",F1450/F1449-1)</f>
        <v/>
      </c>
      <c r="M1450" s="7">
        <f>IF(OR(G1450="",G1449=""),"",G1450/G1449-1)</f>
        <v/>
      </c>
      <c r="N1450" s="7">
        <f>IF(G1450="","",E1450/G1450)</f>
        <v/>
      </c>
      <c r="O1450" s="7">
        <f>IF(G1450="","",F1450/G1450)</f>
        <v/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4">
        <f>IF(SUMIFS('Daily NSE Equity Cash'!$H:$H,'Daily NSE Equity Cash'!$A:$A,$A1451)=0,"",SUMIFS('Daily NSE Equity Cash'!$H:$H,'Daily NSE Equity Cash'!$A:$A,$A1451))</f>
        <v/>
      </c>
      <c r="F1451" s="4">
        <f>IF(SUMIFS('Daily BSE Equity Cash'!$H:$H,'Daily BSE Equity Cash'!$A:$A,$A1451)=0,"",SUMIFS('Daily BSE Equity Cash'!$H:$H,'Daily BSE Equity Cash'!$A:$A,$A1451))</f>
        <v/>
      </c>
      <c r="G1451" s="4">
        <f>IF(OR(E1451="",F1451=""),"",E1451+F1451)</f>
        <v/>
      </c>
      <c r="H1451" s="7">
        <f>IFERROR(IF(OR(E1451="",INDEX(E:E,MATCH(DATE(YEAR($A1451)-1,MONTH($A1451),DAY($A1451)),$A:$A,0))=""),"",E1451/INDEX(E:E,MATCH(DATE(YEAR($A1451)-1,MONTH($A1451),DAY($A1451)),$A:$A,0))-1),"")</f>
        <v/>
      </c>
      <c r="I1451" s="7">
        <f>IFERROR(IF(OR(F1451="",INDEX(F:F,MATCH(DATE(YEAR($A1451)-1,MONTH($A1451),DAY($A1451)),$A:$A,0))=""),"",F1451/INDEX(F:F,MATCH(DATE(YEAR($A1451)-1,MONTH($A1451),DAY($A1451)),$A:$A,0))-1),"")</f>
        <v/>
      </c>
      <c r="J1451" s="7">
        <f>IFERROR(IF(OR(G1451="",INDEX(G:G,MATCH(DATE(YEAR($A1451)-1,MONTH($A1451),DAY($A1451)),$A:$A,0))=""),"",G1451/INDEX(G:G,MATCH(DATE(YEAR($A1451)-1,MONTH($A1451),DAY($A1451)),$A:$A,0))-1),"")</f>
        <v/>
      </c>
      <c r="K1451" s="7">
        <f>IF(OR(E1451="",E1450=""),"",E1451/E1450-1)</f>
        <v/>
      </c>
      <c r="L1451" s="7">
        <f>IF(OR(F1451="",F1450=""),"",F1451/F1450-1)</f>
        <v/>
      </c>
      <c r="M1451" s="7">
        <f>IF(OR(G1451="",G1450=""),"",G1451/G1450-1)</f>
        <v/>
      </c>
      <c r="N1451" s="7">
        <f>IF(G1451="","",E1451/G1451)</f>
        <v/>
      </c>
      <c r="O1451" s="7">
        <f>IF(G1451="","",F1451/G1451)</f>
        <v/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4">
        <f>IF(SUMIFS('Daily NSE Equity Cash'!$H:$H,'Daily NSE Equity Cash'!$A:$A,$A1452)=0,"",SUMIFS('Daily NSE Equity Cash'!$H:$H,'Daily NSE Equity Cash'!$A:$A,$A1452))</f>
        <v/>
      </c>
      <c r="F1452" s="4">
        <f>IF(SUMIFS('Daily BSE Equity Cash'!$H:$H,'Daily BSE Equity Cash'!$A:$A,$A1452)=0,"",SUMIFS('Daily BSE Equity Cash'!$H:$H,'Daily BSE Equity Cash'!$A:$A,$A1452))</f>
        <v/>
      </c>
      <c r="G1452" s="4">
        <f>IF(OR(E1452="",F1452=""),"",E1452+F1452)</f>
        <v/>
      </c>
      <c r="H1452" s="7">
        <f>IFERROR(IF(OR(E1452="",INDEX(E:E,MATCH(DATE(YEAR($A1452)-1,MONTH($A1452),DAY($A1452)),$A:$A,0))=""),"",E1452/INDEX(E:E,MATCH(DATE(YEAR($A1452)-1,MONTH($A1452),DAY($A1452)),$A:$A,0))-1),"")</f>
        <v/>
      </c>
      <c r="I1452" s="7">
        <f>IFERROR(IF(OR(F1452="",INDEX(F:F,MATCH(DATE(YEAR($A1452)-1,MONTH($A1452),DAY($A1452)),$A:$A,0))=""),"",F1452/INDEX(F:F,MATCH(DATE(YEAR($A1452)-1,MONTH($A1452),DAY($A1452)),$A:$A,0))-1),"")</f>
        <v/>
      </c>
      <c r="J1452" s="7">
        <f>IFERROR(IF(OR(G1452="",INDEX(G:G,MATCH(DATE(YEAR($A1452)-1,MONTH($A1452),DAY($A1452)),$A:$A,0))=""),"",G1452/INDEX(G:G,MATCH(DATE(YEAR($A1452)-1,MONTH($A1452),DAY($A1452)),$A:$A,0))-1),"")</f>
        <v/>
      </c>
      <c r="K1452" s="7">
        <f>IF(OR(E1452="",E1451=""),"",E1452/E1451-1)</f>
        <v/>
      </c>
      <c r="L1452" s="7">
        <f>IF(OR(F1452="",F1451=""),"",F1452/F1451-1)</f>
        <v/>
      </c>
      <c r="M1452" s="7">
        <f>IF(OR(G1452="",G1451=""),"",G1452/G1451-1)</f>
        <v/>
      </c>
      <c r="N1452" s="7">
        <f>IF(G1452="","",E1452/G1452)</f>
        <v/>
      </c>
      <c r="O1452" s="7">
        <f>IF(G1452="","",F1452/G1452)</f>
        <v/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4">
        <f>IF(SUMIFS('Daily NSE Equity Cash'!$H:$H,'Daily NSE Equity Cash'!$A:$A,$A1453)=0,"",SUMIFS('Daily NSE Equity Cash'!$H:$H,'Daily NSE Equity Cash'!$A:$A,$A1453))</f>
        <v/>
      </c>
      <c r="F1453" s="4">
        <f>IF(SUMIFS('Daily BSE Equity Cash'!$H:$H,'Daily BSE Equity Cash'!$A:$A,$A1453)=0,"",SUMIFS('Daily BSE Equity Cash'!$H:$H,'Daily BSE Equity Cash'!$A:$A,$A1453))</f>
        <v/>
      </c>
      <c r="G1453" s="4">
        <f>IF(OR(E1453="",F1453=""),"",E1453+F1453)</f>
        <v/>
      </c>
      <c r="H1453" s="7">
        <f>IFERROR(IF(OR(E1453="",INDEX(E:E,MATCH(DATE(YEAR($A1453)-1,MONTH($A1453),DAY($A1453)),$A:$A,0))=""),"",E1453/INDEX(E:E,MATCH(DATE(YEAR($A1453)-1,MONTH($A1453),DAY($A1453)),$A:$A,0))-1),"")</f>
        <v/>
      </c>
      <c r="I1453" s="7">
        <f>IFERROR(IF(OR(F1453="",INDEX(F:F,MATCH(DATE(YEAR($A1453)-1,MONTH($A1453),DAY($A1453)),$A:$A,0))=""),"",F1453/INDEX(F:F,MATCH(DATE(YEAR($A1453)-1,MONTH($A1453),DAY($A1453)),$A:$A,0))-1),"")</f>
        <v/>
      </c>
      <c r="J1453" s="7">
        <f>IFERROR(IF(OR(G1453="",INDEX(G:G,MATCH(DATE(YEAR($A1453)-1,MONTH($A1453),DAY($A1453)),$A:$A,0))=""),"",G1453/INDEX(G:G,MATCH(DATE(YEAR($A1453)-1,MONTH($A1453),DAY($A1453)),$A:$A,0))-1),"")</f>
        <v/>
      </c>
      <c r="K1453" s="7">
        <f>IF(OR(E1453="",E1452=""),"",E1453/E1452-1)</f>
        <v/>
      </c>
      <c r="L1453" s="7">
        <f>IF(OR(F1453="",F1452=""),"",F1453/F1452-1)</f>
        <v/>
      </c>
      <c r="M1453" s="7">
        <f>IF(OR(G1453="",G1452=""),"",G1453/G1452-1)</f>
        <v/>
      </c>
      <c r="N1453" s="7">
        <f>IF(G1453="","",E1453/G1453)</f>
        <v/>
      </c>
      <c r="O1453" s="7">
        <f>IF(G1453="","",F1453/G1453)</f>
        <v/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4">
        <f>IF(SUMIFS('Daily NSE Equity Cash'!$H:$H,'Daily NSE Equity Cash'!$A:$A,$A1454)=0,"",SUMIFS('Daily NSE Equity Cash'!$H:$H,'Daily NSE Equity Cash'!$A:$A,$A1454))</f>
        <v/>
      </c>
      <c r="F1454" s="4">
        <f>IF(SUMIFS('Daily BSE Equity Cash'!$H:$H,'Daily BSE Equity Cash'!$A:$A,$A1454)=0,"",SUMIFS('Daily BSE Equity Cash'!$H:$H,'Daily BSE Equity Cash'!$A:$A,$A1454))</f>
        <v/>
      </c>
      <c r="G1454" s="4">
        <f>IF(OR(E1454="",F1454=""),"",E1454+F1454)</f>
        <v/>
      </c>
      <c r="H1454" s="7">
        <f>IFERROR(IF(OR(E1454="",INDEX(E:E,MATCH(DATE(YEAR($A1454)-1,MONTH($A1454),DAY($A1454)),$A:$A,0))=""),"",E1454/INDEX(E:E,MATCH(DATE(YEAR($A1454)-1,MONTH($A1454),DAY($A1454)),$A:$A,0))-1),"")</f>
        <v/>
      </c>
      <c r="I1454" s="7">
        <f>IFERROR(IF(OR(F1454="",INDEX(F:F,MATCH(DATE(YEAR($A1454)-1,MONTH($A1454),DAY($A1454)),$A:$A,0))=""),"",F1454/INDEX(F:F,MATCH(DATE(YEAR($A1454)-1,MONTH($A1454),DAY($A1454)),$A:$A,0))-1),"")</f>
        <v/>
      </c>
      <c r="J1454" s="7">
        <f>IFERROR(IF(OR(G1454="",INDEX(G:G,MATCH(DATE(YEAR($A1454)-1,MONTH($A1454),DAY($A1454)),$A:$A,0))=""),"",G1454/INDEX(G:G,MATCH(DATE(YEAR($A1454)-1,MONTH($A1454),DAY($A1454)),$A:$A,0))-1),"")</f>
        <v/>
      </c>
      <c r="K1454" s="7">
        <f>IF(OR(E1454="",E1453=""),"",E1454/E1453-1)</f>
        <v/>
      </c>
      <c r="L1454" s="7">
        <f>IF(OR(F1454="",F1453=""),"",F1454/F1453-1)</f>
        <v/>
      </c>
      <c r="M1454" s="7">
        <f>IF(OR(G1454="",G1453=""),"",G1454/G1453-1)</f>
        <v/>
      </c>
      <c r="N1454" s="7">
        <f>IF(G1454="","",E1454/G1454)</f>
        <v/>
      </c>
      <c r="O1454" s="7">
        <f>IF(G1454="","",F1454/G1454)</f>
        <v/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4">
        <f>IF(SUMIFS('Daily NSE Equity Cash'!$H:$H,'Daily NSE Equity Cash'!$A:$A,$A1455)=0,"",SUMIFS('Daily NSE Equity Cash'!$H:$H,'Daily NSE Equity Cash'!$A:$A,$A1455))</f>
        <v/>
      </c>
      <c r="F1455" s="4">
        <f>IF(SUMIFS('Daily BSE Equity Cash'!$H:$H,'Daily BSE Equity Cash'!$A:$A,$A1455)=0,"",SUMIFS('Daily BSE Equity Cash'!$H:$H,'Daily BSE Equity Cash'!$A:$A,$A1455))</f>
        <v/>
      </c>
      <c r="G1455" s="4">
        <f>IF(OR(E1455="",F1455=""),"",E1455+F1455)</f>
        <v/>
      </c>
      <c r="H1455" s="7">
        <f>IFERROR(IF(OR(E1455="",INDEX(E:E,MATCH(DATE(YEAR($A1455)-1,MONTH($A1455),DAY($A1455)),$A:$A,0))=""),"",E1455/INDEX(E:E,MATCH(DATE(YEAR($A1455)-1,MONTH($A1455),DAY($A1455)),$A:$A,0))-1),"")</f>
        <v/>
      </c>
      <c r="I1455" s="7">
        <f>IFERROR(IF(OR(F1455="",INDEX(F:F,MATCH(DATE(YEAR($A1455)-1,MONTH($A1455),DAY($A1455)),$A:$A,0))=""),"",F1455/INDEX(F:F,MATCH(DATE(YEAR($A1455)-1,MONTH($A1455),DAY($A1455)),$A:$A,0))-1),"")</f>
        <v/>
      </c>
      <c r="J1455" s="7">
        <f>IFERROR(IF(OR(G1455="",INDEX(G:G,MATCH(DATE(YEAR($A1455)-1,MONTH($A1455),DAY($A1455)),$A:$A,0))=""),"",G1455/INDEX(G:G,MATCH(DATE(YEAR($A1455)-1,MONTH($A1455),DAY($A1455)),$A:$A,0))-1),"")</f>
        <v/>
      </c>
      <c r="K1455" s="7">
        <f>IF(OR(E1455="",E1454=""),"",E1455/E1454-1)</f>
        <v/>
      </c>
      <c r="L1455" s="7">
        <f>IF(OR(F1455="",F1454=""),"",F1455/F1454-1)</f>
        <v/>
      </c>
      <c r="M1455" s="7">
        <f>IF(OR(G1455="",G1454=""),"",G1455/G1454-1)</f>
        <v/>
      </c>
      <c r="N1455" s="7">
        <f>IF(G1455="","",E1455/G1455)</f>
        <v/>
      </c>
      <c r="O1455" s="7">
        <f>IF(G1455="","",F1455/G1455)</f>
        <v/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4">
        <f>IF(SUMIFS('Daily NSE Equity Cash'!$H:$H,'Daily NSE Equity Cash'!$A:$A,$A1456)=0,"",SUMIFS('Daily NSE Equity Cash'!$H:$H,'Daily NSE Equity Cash'!$A:$A,$A1456))</f>
        <v/>
      </c>
      <c r="F1456" s="4">
        <f>IF(SUMIFS('Daily BSE Equity Cash'!$H:$H,'Daily BSE Equity Cash'!$A:$A,$A1456)=0,"",SUMIFS('Daily BSE Equity Cash'!$H:$H,'Daily BSE Equity Cash'!$A:$A,$A1456))</f>
        <v/>
      </c>
      <c r="G1456" s="4">
        <f>IF(OR(E1456="",F1456=""),"",E1456+F1456)</f>
        <v/>
      </c>
      <c r="H1456" s="7">
        <f>IFERROR(IF(OR(E1456="",INDEX(E:E,MATCH(DATE(YEAR($A1456)-1,MONTH($A1456),DAY($A1456)),$A:$A,0))=""),"",E1456/INDEX(E:E,MATCH(DATE(YEAR($A1456)-1,MONTH($A1456),DAY($A1456)),$A:$A,0))-1),"")</f>
        <v/>
      </c>
      <c r="I1456" s="7">
        <f>IFERROR(IF(OR(F1456="",INDEX(F:F,MATCH(DATE(YEAR($A1456)-1,MONTH($A1456),DAY($A1456)),$A:$A,0))=""),"",F1456/INDEX(F:F,MATCH(DATE(YEAR($A1456)-1,MONTH($A1456),DAY($A1456)),$A:$A,0))-1),"")</f>
        <v/>
      </c>
      <c r="J1456" s="7">
        <f>IFERROR(IF(OR(G1456="",INDEX(G:G,MATCH(DATE(YEAR($A1456)-1,MONTH($A1456),DAY($A1456)),$A:$A,0))=""),"",G1456/INDEX(G:G,MATCH(DATE(YEAR($A1456)-1,MONTH($A1456),DAY($A1456)),$A:$A,0))-1),"")</f>
        <v/>
      </c>
      <c r="K1456" s="7">
        <f>IF(OR(E1456="",E1455=""),"",E1456/E1455-1)</f>
        <v/>
      </c>
      <c r="L1456" s="7">
        <f>IF(OR(F1456="",F1455=""),"",F1456/F1455-1)</f>
        <v/>
      </c>
      <c r="M1456" s="7">
        <f>IF(OR(G1456="",G1455=""),"",G1456/G1455-1)</f>
        <v/>
      </c>
      <c r="N1456" s="7">
        <f>IF(G1456="","",E1456/G1456)</f>
        <v/>
      </c>
      <c r="O1456" s="7">
        <f>IF(G1456="","",F1456/G1456)</f>
        <v/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4">
        <f>IF(SUMIFS('Daily NSE Equity Cash'!$H:$H,'Daily NSE Equity Cash'!$A:$A,$A1457)=0,"",SUMIFS('Daily NSE Equity Cash'!$H:$H,'Daily NSE Equity Cash'!$A:$A,$A1457))</f>
        <v/>
      </c>
      <c r="F1457" s="4">
        <f>IF(SUMIFS('Daily BSE Equity Cash'!$H:$H,'Daily BSE Equity Cash'!$A:$A,$A1457)=0,"",SUMIFS('Daily BSE Equity Cash'!$H:$H,'Daily BSE Equity Cash'!$A:$A,$A1457))</f>
        <v/>
      </c>
      <c r="G1457" s="4">
        <f>IF(OR(E1457="",F1457=""),"",E1457+F1457)</f>
        <v/>
      </c>
      <c r="H1457" s="7">
        <f>IFERROR(IF(OR(E1457="",INDEX(E:E,MATCH(DATE(YEAR($A1457)-1,MONTH($A1457),DAY($A1457)),$A:$A,0))=""),"",E1457/INDEX(E:E,MATCH(DATE(YEAR($A1457)-1,MONTH($A1457),DAY($A1457)),$A:$A,0))-1),"")</f>
        <v/>
      </c>
      <c r="I1457" s="7">
        <f>IFERROR(IF(OR(F1457="",INDEX(F:F,MATCH(DATE(YEAR($A1457)-1,MONTH($A1457),DAY($A1457)),$A:$A,0))=""),"",F1457/INDEX(F:F,MATCH(DATE(YEAR($A1457)-1,MONTH($A1457),DAY($A1457)),$A:$A,0))-1),"")</f>
        <v/>
      </c>
      <c r="J1457" s="7">
        <f>IFERROR(IF(OR(G1457="",INDEX(G:G,MATCH(DATE(YEAR($A1457)-1,MONTH($A1457),DAY($A1457)),$A:$A,0))=""),"",G1457/INDEX(G:G,MATCH(DATE(YEAR($A1457)-1,MONTH($A1457),DAY($A1457)),$A:$A,0))-1),"")</f>
        <v/>
      </c>
      <c r="K1457" s="7">
        <f>IF(OR(E1457="",E1456=""),"",E1457/E1456-1)</f>
        <v/>
      </c>
      <c r="L1457" s="7">
        <f>IF(OR(F1457="",F1456=""),"",F1457/F1456-1)</f>
        <v/>
      </c>
      <c r="M1457" s="7">
        <f>IF(OR(G1457="",G1456=""),"",G1457/G1456-1)</f>
        <v/>
      </c>
      <c r="N1457" s="7">
        <f>IF(G1457="","",E1457/G1457)</f>
        <v/>
      </c>
      <c r="O1457" s="7">
        <f>IF(G1457="","",F1457/G1457)</f>
        <v/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4">
        <f>IF(SUMIFS('Daily NSE Equity Cash'!$H:$H,'Daily NSE Equity Cash'!$A:$A,$A1458)=0,"",SUMIFS('Daily NSE Equity Cash'!$H:$H,'Daily NSE Equity Cash'!$A:$A,$A1458))</f>
        <v/>
      </c>
      <c r="F1458" s="4">
        <f>IF(SUMIFS('Daily BSE Equity Cash'!$H:$H,'Daily BSE Equity Cash'!$A:$A,$A1458)=0,"",SUMIFS('Daily BSE Equity Cash'!$H:$H,'Daily BSE Equity Cash'!$A:$A,$A1458))</f>
        <v/>
      </c>
      <c r="G1458" s="4">
        <f>IF(OR(E1458="",F1458=""),"",E1458+F1458)</f>
        <v/>
      </c>
      <c r="H1458" s="7">
        <f>IFERROR(IF(OR(E1458="",INDEX(E:E,MATCH(DATE(YEAR($A1458)-1,MONTH($A1458),DAY($A1458)),$A:$A,0))=""),"",E1458/INDEX(E:E,MATCH(DATE(YEAR($A1458)-1,MONTH($A1458),DAY($A1458)),$A:$A,0))-1),"")</f>
        <v/>
      </c>
      <c r="I1458" s="7">
        <f>IFERROR(IF(OR(F1458="",INDEX(F:F,MATCH(DATE(YEAR($A1458)-1,MONTH($A1458),DAY($A1458)),$A:$A,0))=""),"",F1458/INDEX(F:F,MATCH(DATE(YEAR($A1458)-1,MONTH($A1458),DAY($A1458)),$A:$A,0))-1),"")</f>
        <v/>
      </c>
      <c r="J1458" s="7">
        <f>IFERROR(IF(OR(G1458="",INDEX(G:G,MATCH(DATE(YEAR($A1458)-1,MONTH($A1458),DAY($A1458)),$A:$A,0))=""),"",G1458/INDEX(G:G,MATCH(DATE(YEAR($A1458)-1,MONTH($A1458),DAY($A1458)),$A:$A,0))-1),"")</f>
        <v/>
      </c>
      <c r="K1458" s="7">
        <f>IF(OR(E1458="",E1457=""),"",E1458/E1457-1)</f>
        <v/>
      </c>
      <c r="L1458" s="7">
        <f>IF(OR(F1458="",F1457=""),"",F1458/F1457-1)</f>
        <v/>
      </c>
      <c r="M1458" s="7">
        <f>IF(OR(G1458="",G1457=""),"",G1458/G1457-1)</f>
        <v/>
      </c>
      <c r="N1458" s="7">
        <f>IF(G1458="","",E1458/G1458)</f>
        <v/>
      </c>
      <c r="O1458" s="7">
        <f>IF(G1458="","",F1458/G1458)</f>
        <v/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4">
        <f>IF(SUMIFS('Daily NSE Equity Cash'!$H:$H,'Daily NSE Equity Cash'!$A:$A,$A1459)=0,"",SUMIFS('Daily NSE Equity Cash'!$H:$H,'Daily NSE Equity Cash'!$A:$A,$A1459))</f>
        <v/>
      </c>
      <c r="F1459" s="4">
        <f>IF(SUMIFS('Daily BSE Equity Cash'!$H:$H,'Daily BSE Equity Cash'!$A:$A,$A1459)=0,"",SUMIFS('Daily BSE Equity Cash'!$H:$H,'Daily BSE Equity Cash'!$A:$A,$A1459))</f>
        <v/>
      </c>
      <c r="G1459" s="4">
        <f>IF(OR(E1459="",F1459=""),"",E1459+F1459)</f>
        <v/>
      </c>
      <c r="H1459" s="7">
        <f>IFERROR(IF(OR(E1459="",INDEX(E:E,MATCH(DATE(YEAR($A1459)-1,MONTH($A1459),DAY($A1459)),$A:$A,0))=""),"",E1459/INDEX(E:E,MATCH(DATE(YEAR($A1459)-1,MONTH($A1459),DAY($A1459)),$A:$A,0))-1),"")</f>
        <v/>
      </c>
      <c r="I1459" s="7">
        <f>IFERROR(IF(OR(F1459="",INDEX(F:F,MATCH(DATE(YEAR($A1459)-1,MONTH($A1459),DAY($A1459)),$A:$A,0))=""),"",F1459/INDEX(F:F,MATCH(DATE(YEAR($A1459)-1,MONTH($A1459),DAY($A1459)),$A:$A,0))-1),"")</f>
        <v/>
      </c>
      <c r="J1459" s="7">
        <f>IFERROR(IF(OR(G1459="",INDEX(G:G,MATCH(DATE(YEAR($A1459)-1,MONTH($A1459),DAY($A1459)),$A:$A,0))=""),"",G1459/INDEX(G:G,MATCH(DATE(YEAR($A1459)-1,MONTH($A1459),DAY($A1459)),$A:$A,0))-1),"")</f>
        <v/>
      </c>
      <c r="K1459" s="7">
        <f>IF(OR(E1459="",E1458=""),"",E1459/E1458-1)</f>
        <v/>
      </c>
      <c r="L1459" s="7">
        <f>IF(OR(F1459="",F1458=""),"",F1459/F1458-1)</f>
        <v/>
      </c>
      <c r="M1459" s="7">
        <f>IF(OR(G1459="",G1458=""),"",G1459/G1458-1)</f>
        <v/>
      </c>
      <c r="N1459" s="7">
        <f>IF(G1459="","",E1459/G1459)</f>
        <v/>
      </c>
      <c r="O1459" s="7">
        <f>IF(G1459="","",F1459/G1459)</f>
        <v/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4">
        <f>IF(SUMIFS('Daily NSE Equity Cash'!$H:$H,'Daily NSE Equity Cash'!$A:$A,$A1460)=0,"",SUMIFS('Daily NSE Equity Cash'!$H:$H,'Daily NSE Equity Cash'!$A:$A,$A1460))</f>
        <v/>
      </c>
      <c r="F1460" s="4">
        <f>IF(SUMIFS('Daily BSE Equity Cash'!$H:$H,'Daily BSE Equity Cash'!$A:$A,$A1460)=0,"",SUMIFS('Daily BSE Equity Cash'!$H:$H,'Daily BSE Equity Cash'!$A:$A,$A1460))</f>
        <v/>
      </c>
      <c r="G1460" s="4">
        <f>IF(OR(E1460="",F1460=""),"",E1460+F1460)</f>
        <v/>
      </c>
      <c r="H1460" s="7">
        <f>IFERROR(IF(OR(E1460="",INDEX(E:E,MATCH(DATE(YEAR($A1460)-1,MONTH($A1460),DAY($A1460)),$A:$A,0))=""),"",E1460/INDEX(E:E,MATCH(DATE(YEAR($A1460)-1,MONTH($A1460),DAY($A1460)),$A:$A,0))-1),"")</f>
        <v/>
      </c>
      <c r="I1460" s="7">
        <f>IFERROR(IF(OR(F1460="",INDEX(F:F,MATCH(DATE(YEAR($A1460)-1,MONTH($A1460),DAY($A1460)),$A:$A,0))=""),"",F1460/INDEX(F:F,MATCH(DATE(YEAR($A1460)-1,MONTH($A1460),DAY($A1460)),$A:$A,0))-1),"")</f>
        <v/>
      </c>
      <c r="J1460" s="7">
        <f>IFERROR(IF(OR(G1460="",INDEX(G:G,MATCH(DATE(YEAR($A1460)-1,MONTH($A1460),DAY($A1460)),$A:$A,0))=""),"",G1460/INDEX(G:G,MATCH(DATE(YEAR($A1460)-1,MONTH($A1460),DAY($A1460)),$A:$A,0))-1),"")</f>
        <v/>
      </c>
      <c r="K1460" s="7">
        <f>IF(OR(E1460="",E1459=""),"",E1460/E1459-1)</f>
        <v/>
      </c>
      <c r="L1460" s="7">
        <f>IF(OR(F1460="",F1459=""),"",F1460/F1459-1)</f>
        <v/>
      </c>
      <c r="M1460" s="7">
        <f>IF(OR(G1460="",G1459=""),"",G1460/G1459-1)</f>
        <v/>
      </c>
      <c r="N1460" s="7">
        <f>IF(G1460="","",E1460/G1460)</f>
        <v/>
      </c>
      <c r="O1460" s="7">
        <f>IF(G1460="","",F1460/G1460)</f>
        <v/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4">
        <f>IF(SUMIFS('Daily NSE Equity Cash'!$H:$H,'Daily NSE Equity Cash'!$A:$A,$A1461)=0,"",SUMIFS('Daily NSE Equity Cash'!$H:$H,'Daily NSE Equity Cash'!$A:$A,$A1461))</f>
        <v/>
      </c>
      <c r="F1461" s="4">
        <f>IF(SUMIFS('Daily BSE Equity Cash'!$H:$H,'Daily BSE Equity Cash'!$A:$A,$A1461)=0,"",SUMIFS('Daily BSE Equity Cash'!$H:$H,'Daily BSE Equity Cash'!$A:$A,$A1461))</f>
        <v/>
      </c>
      <c r="G1461" s="4">
        <f>IF(OR(E1461="",F1461=""),"",E1461+F1461)</f>
        <v/>
      </c>
      <c r="H1461" s="7">
        <f>IFERROR(IF(OR(E1461="",INDEX(E:E,MATCH(DATE(YEAR($A1461)-1,MONTH($A1461),DAY($A1461)),$A:$A,0))=""),"",E1461/INDEX(E:E,MATCH(DATE(YEAR($A1461)-1,MONTH($A1461),DAY($A1461)),$A:$A,0))-1),"")</f>
        <v/>
      </c>
      <c r="I1461" s="7">
        <f>IFERROR(IF(OR(F1461="",INDEX(F:F,MATCH(DATE(YEAR($A1461)-1,MONTH($A1461),DAY($A1461)),$A:$A,0))=""),"",F1461/INDEX(F:F,MATCH(DATE(YEAR($A1461)-1,MONTH($A1461),DAY($A1461)),$A:$A,0))-1),"")</f>
        <v/>
      </c>
      <c r="J1461" s="7">
        <f>IFERROR(IF(OR(G1461="",INDEX(G:G,MATCH(DATE(YEAR($A1461)-1,MONTH($A1461),DAY($A1461)),$A:$A,0))=""),"",G1461/INDEX(G:G,MATCH(DATE(YEAR($A1461)-1,MONTH($A1461),DAY($A1461)),$A:$A,0))-1),"")</f>
        <v/>
      </c>
      <c r="K1461" s="7">
        <f>IF(OR(E1461="",E1460=""),"",E1461/E1460-1)</f>
        <v/>
      </c>
      <c r="L1461" s="7">
        <f>IF(OR(F1461="",F1460=""),"",F1461/F1460-1)</f>
        <v/>
      </c>
      <c r="M1461" s="7">
        <f>IF(OR(G1461="",G1460=""),"",G1461/G1460-1)</f>
        <v/>
      </c>
      <c r="N1461" s="7">
        <f>IF(G1461="","",E1461/G1461)</f>
        <v/>
      </c>
      <c r="O1461" s="7">
        <f>IF(G1461="","",F1461/G1461)</f>
        <v/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4">
        <f>IF(SUMIFS('Daily NSE Equity Cash'!$H:$H,'Daily NSE Equity Cash'!$A:$A,$A1462)=0,"",SUMIFS('Daily NSE Equity Cash'!$H:$H,'Daily NSE Equity Cash'!$A:$A,$A1462))</f>
        <v/>
      </c>
      <c r="F1462" s="4">
        <f>IF(SUMIFS('Daily BSE Equity Cash'!$H:$H,'Daily BSE Equity Cash'!$A:$A,$A1462)=0,"",SUMIFS('Daily BSE Equity Cash'!$H:$H,'Daily BSE Equity Cash'!$A:$A,$A1462))</f>
        <v/>
      </c>
      <c r="G1462" s="4">
        <f>IF(OR(E1462="",F1462=""),"",E1462+F1462)</f>
        <v/>
      </c>
      <c r="H1462" s="7">
        <f>IFERROR(IF(OR(E1462="",INDEX(E:E,MATCH(DATE(YEAR($A1462)-1,MONTH($A1462),DAY($A1462)),$A:$A,0))=""),"",E1462/INDEX(E:E,MATCH(DATE(YEAR($A1462)-1,MONTH($A1462),DAY($A1462)),$A:$A,0))-1),"")</f>
        <v/>
      </c>
      <c r="I1462" s="7">
        <f>IFERROR(IF(OR(F1462="",INDEX(F:F,MATCH(DATE(YEAR($A1462)-1,MONTH($A1462),DAY($A1462)),$A:$A,0))=""),"",F1462/INDEX(F:F,MATCH(DATE(YEAR($A1462)-1,MONTH($A1462),DAY($A1462)),$A:$A,0))-1),"")</f>
        <v/>
      </c>
      <c r="J1462" s="7">
        <f>IFERROR(IF(OR(G1462="",INDEX(G:G,MATCH(DATE(YEAR($A1462)-1,MONTH($A1462),DAY($A1462)),$A:$A,0))=""),"",G1462/INDEX(G:G,MATCH(DATE(YEAR($A1462)-1,MONTH($A1462),DAY($A1462)),$A:$A,0))-1),"")</f>
        <v/>
      </c>
      <c r="K1462" s="7">
        <f>IF(OR(E1462="",E1461=""),"",E1462/E1461-1)</f>
        <v/>
      </c>
      <c r="L1462" s="7">
        <f>IF(OR(F1462="",F1461=""),"",F1462/F1461-1)</f>
        <v/>
      </c>
      <c r="M1462" s="7">
        <f>IF(OR(G1462="",G1461=""),"",G1462/G1461-1)</f>
        <v/>
      </c>
      <c r="N1462" s="7">
        <f>IF(G1462="","",E1462/G1462)</f>
        <v/>
      </c>
      <c r="O1462" s="7">
        <f>IF(G1462="","",F1462/G1462)</f>
        <v/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4">
        <f>IF(SUMIFS('Daily NSE Equity Cash'!$H:$H,'Daily NSE Equity Cash'!$A:$A,$A1463)=0,"",SUMIFS('Daily NSE Equity Cash'!$H:$H,'Daily NSE Equity Cash'!$A:$A,$A1463))</f>
        <v/>
      </c>
      <c r="F1463" s="4">
        <f>IF(SUMIFS('Daily BSE Equity Cash'!$H:$H,'Daily BSE Equity Cash'!$A:$A,$A1463)=0,"",SUMIFS('Daily BSE Equity Cash'!$H:$H,'Daily BSE Equity Cash'!$A:$A,$A1463))</f>
        <v/>
      </c>
      <c r="G1463" s="4">
        <f>IF(OR(E1463="",F1463=""),"",E1463+F1463)</f>
        <v/>
      </c>
      <c r="H1463" s="7">
        <f>IFERROR(IF(OR(E1463="",INDEX(E:E,MATCH(DATE(YEAR($A1463)-1,MONTH($A1463),DAY($A1463)),$A:$A,0))=""),"",E1463/INDEX(E:E,MATCH(DATE(YEAR($A1463)-1,MONTH($A1463),DAY($A1463)),$A:$A,0))-1),"")</f>
        <v/>
      </c>
      <c r="I1463" s="7">
        <f>IFERROR(IF(OR(F1463="",INDEX(F:F,MATCH(DATE(YEAR($A1463)-1,MONTH($A1463),DAY($A1463)),$A:$A,0))=""),"",F1463/INDEX(F:F,MATCH(DATE(YEAR($A1463)-1,MONTH($A1463),DAY($A1463)),$A:$A,0))-1),"")</f>
        <v/>
      </c>
      <c r="J1463" s="7">
        <f>IFERROR(IF(OR(G1463="",INDEX(G:G,MATCH(DATE(YEAR($A1463)-1,MONTH($A1463),DAY($A1463)),$A:$A,0))=""),"",G1463/INDEX(G:G,MATCH(DATE(YEAR($A1463)-1,MONTH($A1463),DAY($A1463)),$A:$A,0))-1),"")</f>
        <v/>
      </c>
      <c r="K1463" s="7">
        <f>IF(OR(E1463="",E1462=""),"",E1463/E1462-1)</f>
        <v/>
      </c>
      <c r="L1463" s="7">
        <f>IF(OR(F1463="",F1462=""),"",F1463/F1462-1)</f>
        <v/>
      </c>
      <c r="M1463" s="7">
        <f>IF(OR(G1463="",G1462=""),"",G1463/G1462-1)</f>
        <v/>
      </c>
      <c r="N1463" s="7">
        <f>IF(G1463="","",E1463/G1463)</f>
        <v/>
      </c>
      <c r="O1463" s="7">
        <f>IF(G1463="","",F1463/G1463)</f>
        <v/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4">
        <f>IF(SUMIFS('Daily NSE Equity Cash'!$H:$H,'Daily NSE Equity Cash'!$A:$A,$A1464)=0,"",SUMIFS('Daily NSE Equity Cash'!$H:$H,'Daily NSE Equity Cash'!$A:$A,$A1464))</f>
        <v/>
      </c>
      <c r="F1464" s="4">
        <f>IF(SUMIFS('Daily BSE Equity Cash'!$H:$H,'Daily BSE Equity Cash'!$A:$A,$A1464)=0,"",SUMIFS('Daily BSE Equity Cash'!$H:$H,'Daily BSE Equity Cash'!$A:$A,$A1464))</f>
        <v/>
      </c>
      <c r="G1464" s="4">
        <f>IF(OR(E1464="",F1464=""),"",E1464+F1464)</f>
        <v/>
      </c>
      <c r="H1464" s="7">
        <f>IFERROR(IF(OR(E1464="",INDEX(E:E,MATCH(DATE(YEAR($A1464)-1,MONTH($A1464),DAY($A1464)),$A:$A,0))=""),"",E1464/INDEX(E:E,MATCH(DATE(YEAR($A1464)-1,MONTH($A1464),DAY($A1464)),$A:$A,0))-1),"")</f>
        <v/>
      </c>
      <c r="I1464" s="7">
        <f>IFERROR(IF(OR(F1464="",INDEX(F:F,MATCH(DATE(YEAR($A1464)-1,MONTH($A1464),DAY($A1464)),$A:$A,0))=""),"",F1464/INDEX(F:F,MATCH(DATE(YEAR($A1464)-1,MONTH($A1464),DAY($A1464)),$A:$A,0))-1),"")</f>
        <v/>
      </c>
      <c r="J1464" s="7">
        <f>IFERROR(IF(OR(G1464="",INDEX(G:G,MATCH(DATE(YEAR($A1464)-1,MONTH($A1464),DAY($A1464)),$A:$A,0))=""),"",G1464/INDEX(G:G,MATCH(DATE(YEAR($A1464)-1,MONTH($A1464),DAY($A1464)),$A:$A,0))-1),"")</f>
        <v/>
      </c>
      <c r="K1464" s="7">
        <f>IF(OR(E1464="",E1463=""),"",E1464/E1463-1)</f>
        <v/>
      </c>
      <c r="L1464" s="7">
        <f>IF(OR(F1464="",F1463=""),"",F1464/F1463-1)</f>
        <v/>
      </c>
      <c r="M1464" s="7">
        <f>IF(OR(G1464="",G1463=""),"",G1464/G1463-1)</f>
        <v/>
      </c>
      <c r="N1464" s="7">
        <f>IF(G1464="","",E1464/G1464)</f>
        <v/>
      </c>
      <c r="O1464" s="7">
        <f>IF(G1464="","",F1464/G1464)</f>
        <v/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4">
        <f>IF(SUMIFS('Daily NSE Equity Cash'!$H:$H,'Daily NSE Equity Cash'!$A:$A,$A1465)=0,"",SUMIFS('Daily NSE Equity Cash'!$H:$H,'Daily NSE Equity Cash'!$A:$A,$A1465))</f>
        <v/>
      </c>
      <c r="F1465" s="4">
        <f>IF(SUMIFS('Daily BSE Equity Cash'!$H:$H,'Daily BSE Equity Cash'!$A:$A,$A1465)=0,"",SUMIFS('Daily BSE Equity Cash'!$H:$H,'Daily BSE Equity Cash'!$A:$A,$A1465))</f>
        <v/>
      </c>
      <c r="G1465" s="4">
        <f>IF(OR(E1465="",F1465=""),"",E1465+F1465)</f>
        <v/>
      </c>
      <c r="H1465" s="7">
        <f>IFERROR(IF(OR(E1465="",INDEX(E:E,MATCH(DATE(YEAR($A1465)-1,MONTH($A1465),DAY($A1465)),$A:$A,0))=""),"",E1465/INDEX(E:E,MATCH(DATE(YEAR($A1465)-1,MONTH($A1465),DAY($A1465)),$A:$A,0))-1),"")</f>
        <v/>
      </c>
      <c r="I1465" s="7">
        <f>IFERROR(IF(OR(F1465="",INDEX(F:F,MATCH(DATE(YEAR($A1465)-1,MONTH($A1465),DAY($A1465)),$A:$A,0))=""),"",F1465/INDEX(F:F,MATCH(DATE(YEAR($A1465)-1,MONTH($A1465),DAY($A1465)),$A:$A,0))-1),"")</f>
        <v/>
      </c>
      <c r="J1465" s="7">
        <f>IFERROR(IF(OR(G1465="",INDEX(G:G,MATCH(DATE(YEAR($A1465)-1,MONTH($A1465),DAY($A1465)),$A:$A,0))=""),"",G1465/INDEX(G:G,MATCH(DATE(YEAR($A1465)-1,MONTH($A1465),DAY($A1465)),$A:$A,0))-1),"")</f>
        <v/>
      </c>
      <c r="K1465" s="7">
        <f>IF(OR(E1465="",E1464=""),"",E1465/E1464-1)</f>
        <v/>
      </c>
      <c r="L1465" s="7">
        <f>IF(OR(F1465="",F1464=""),"",F1465/F1464-1)</f>
        <v/>
      </c>
      <c r="M1465" s="7">
        <f>IF(OR(G1465="",G1464=""),"",G1465/G1464-1)</f>
        <v/>
      </c>
      <c r="N1465" s="7">
        <f>IF(G1465="","",E1465/G1465)</f>
        <v/>
      </c>
      <c r="O1465" s="7">
        <f>IF(G1465="","",F1465/G1465)</f>
        <v/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4">
        <f>IF(SUMIFS('Daily NSE Equity Cash'!$H:$H,'Daily NSE Equity Cash'!$A:$A,$A1466)=0,"",SUMIFS('Daily NSE Equity Cash'!$H:$H,'Daily NSE Equity Cash'!$A:$A,$A1466))</f>
        <v/>
      </c>
      <c r="F1466" s="4">
        <f>IF(SUMIFS('Daily BSE Equity Cash'!$H:$H,'Daily BSE Equity Cash'!$A:$A,$A1466)=0,"",SUMIFS('Daily BSE Equity Cash'!$H:$H,'Daily BSE Equity Cash'!$A:$A,$A1466))</f>
        <v/>
      </c>
      <c r="G1466" s="4">
        <f>IF(OR(E1466="",F1466=""),"",E1466+F1466)</f>
        <v/>
      </c>
      <c r="H1466" s="7">
        <f>IFERROR(IF(OR(E1466="",INDEX(E:E,MATCH(DATE(YEAR($A1466)-1,MONTH($A1466),DAY($A1466)),$A:$A,0))=""),"",E1466/INDEX(E:E,MATCH(DATE(YEAR($A1466)-1,MONTH($A1466),DAY($A1466)),$A:$A,0))-1),"")</f>
        <v/>
      </c>
      <c r="I1466" s="7">
        <f>IFERROR(IF(OR(F1466="",INDEX(F:F,MATCH(DATE(YEAR($A1466)-1,MONTH($A1466),DAY($A1466)),$A:$A,0))=""),"",F1466/INDEX(F:F,MATCH(DATE(YEAR($A1466)-1,MONTH($A1466),DAY($A1466)),$A:$A,0))-1),"")</f>
        <v/>
      </c>
      <c r="J1466" s="7">
        <f>IFERROR(IF(OR(G1466="",INDEX(G:G,MATCH(DATE(YEAR($A1466)-1,MONTH($A1466),DAY($A1466)),$A:$A,0))=""),"",G1466/INDEX(G:G,MATCH(DATE(YEAR($A1466)-1,MONTH($A1466),DAY($A1466)),$A:$A,0))-1),"")</f>
        <v/>
      </c>
      <c r="K1466" s="7">
        <f>IF(OR(E1466="",E1465=""),"",E1466/E1465-1)</f>
        <v/>
      </c>
      <c r="L1466" s="7">
        <f>IF(OR(F1466="",F1465=""),"",F1466/F1465-1)</f>
        <v/>
      </c>
      <c r="M1466" s="7">
        <f>IF(OR(G1466="",G1465=""),"",G1466/G1465-1)</f>
        <v/>
      </c>
      <c r="N1466" s="7">
        <f>IF(G1466="","",E1466/G1466)</f>
        <v/>
      </c>
      <c r="O1466" s="7">
        <f>IF(G1466="","",F1466/G1466)</f>
        <v/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4">
        <f>IF(SUMIFS('Daily NSE Equity Cash'!$H:$H,'Daily NSE Equity Cash'!$A:$A,$A1467)=0,"",SUMIFS('Daily NSE Equity Cash'!$H:$H,'Daily NSE Equity Cash'!$A:$A,$A1467))</f>
        <v/>
      </c>
      <c r="F1467" s="4">
        <f>IF(SUMIFS('Daily BSE Equity Cash'!$H:$H,'Daily BSE Equity Cash'!$A:$A,$A1467)=0,"",SUMIFS('Daily BSE Equity Cash'!$H:$H,'Daily BSE Equity Cash'!$A:$A,$A1467))</f>
        <v/>
      </c>
      <c r="G1467" s="4">
        <f>IF(OR(E1467="",F1467=""),"",E1467+F1467)</f>
        <v/>
      </c>
      <c r="H1467" s="7">
        <f>IFERROR(IF(OR(E1467="",INDEX(E:E,MATCH(DATE(YEAR($A1467)-1,MONTH($A1467),DAY($A1467)),$A:$A,0))=""),"",E1467/INDEX(E:E,MATCH(DATE(YEAR($A1467)-1,MONTH($A1467),DAY($A1467)),$A:$A,0))-1),"")</f>
        <v/>
      </c>
      <c r="I1467" s="7">
        <f>IFERROR(IF(OR(F1467="",INDEX(F:F,MATCH(DATE(YEAR($A1467)-1,MONTH($A1467),DAY($A1467)),$A:$A,0))=""),"",F1467/INDEX(F:F,MATCH(DATE(YEAR($A1467)-1,MONTH($A1467),DAY($A1467)),$A:$A,0))-1),"")</f>
        <v/>
      </c>
      <c r="J1467" s="7">
        <f>IFERROR(IF(OR(G1467="",INDEX(G:G,MATCH(DATE(YEAR($A1467)-1,MONTH($A1467),DAY($A1467)),$A:$A,0))=""),"",G1467/INDEX(G:G,MATCH(DATE(YEAR($A1467)-1,MONTH($A1467),DAY($A1467)),$A:$A,0))-1),"")</f>
        <v/>
      </c>
      <c r="K1467" s="7">
        <f>IF(OR(E1467="",E1466=""),"",E1467/E1466-1)</f>
        <v/>
      </c>
      <c r="L1467" s="7">
        <f>IF(OR(F1467="",F1466=""),"",F1467/F1466-1)</f>
        <v/>
      </c>
      <c r="M1467" s="7">
        <f>IF(OR(G1467="",G1466=""),"",G1467/G1466-1)</f>
        <v/>
      </c>
      <c r="N1467" s="7">
        <f>IF(G1467="","",E1467/G1467)</f>
        <v/>
      </c>
      <c r="O1467" s="7">
        <f>IF(G1467="","",F1467/G1467)</f>
        <v/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4">
        <f>IF(SUMIFS('Daily NSE Equity Cash'!$H:$H,'Daily NSE Equity Cash'!$A:$A,$A1468)=0,"",SUMIFS('Daily NSE Equity Cash'!$H:$H,'Daily NSE Equity Cash'!$A:$A,$A1468))</f>
        <v/>
      </c>
      <c r="F1468" s="4">
        <f>IF(SUMIFS('Daily BSE Equity Cash'!$H:$H,'Daily BSE Equity Cash'!$A:$A,$A1468)=0,"",SUMIFS('Daily BSE Equity Cash'!$H:$H,'Daily BSE Equity Cash'!$A:$A,$A1468))</f>
        <v/>
      </c>
      <c r="G1468" s="4">
        <f>IF(OR(E1468="",F1468=""),"",E1468+F1468)</f>
        <v/>
      </c>
      <c r="H1468" s="7">
        <f>IFERROR(IF(OR(E1468="",INDEX(E:E,MATCH(DATE(YEAR($A1468)-1,MONTH($A1468),DAY($A1468)),$A:$A,0))=""),"",E1468/INDEX(E:E,MATCH(DATE(YEAR($A1468)-1,MONTH($A1468),DAY($A1468)),$A:$A,0))-1),"")</f>
        <v/>
      </c>
      <c r="I1468" s="7">
        <f>IFERROR(IF(OR(F1468="",INDEX(F:F,MATCH(DATE(YEAR($A1468)-1,MONTH($A1468),DAY($A1468)),$A:$A,0))=""),"",F1468/INDEX(F:F,MATCH(DATE(YEAR($A1468)-1,MONTH($A1468),DAY($A1468)),$A:$A,0))-1),"")</f>
        <v/>
      </c>
      <c r="J1468" s="7">
        <f>IFERROR(IF(OR(G1468="",INDEX(G:G,MATCH(DATE(YEAR($A1468)-1,MONTH($A1468),DAY($A1468)),$A:$A,0))=""),"",G1468/INDEX(G:G,MATCH(DATE(YEAR($A1468)-1,MONTH($A1468),DAY($A1468)),$A:$A,0))-1),"")</f>
        <v/>
      </c>
      <c r="K1468" s="7">
        <f>IF(OR(E1468="",E1467=""),"",E1468/E1467-1)</f>
        <v/>
      </c>
      <c r="L1468" s="7">
        <f>IF(OR(F1468="",F1467=""),"",F1468/F1467-1)</f>
        <v/>
      </c>
      <c r="M1468" s="7">
        <f>IF(OR(G1468="",G1467=""),"",G1468/G1467-1)</f>
        <v/>
      </c>
      <c r="N1468" s="7">
        <f>IF(G1468="","",E1468/G1468)</f>
        <v/>
      </c>
      <c r="O1468" s="7">
        <f>IF(G1468="","",F1468/G1468)</f>
        <v/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4">
        <f>IF(SUMIFS('Daily NSE Equity Cash'!$H:$H,'Daily NSE Equity Cash'!$A:$A,$A1469)=0,"",SUMIFS('Daily NSE Equity Cash'!$H:$H,'Daily NSE Equity Cash'!$A:$A,$A1469))</f>
        <v/>
      </c>
      <c r="F1469" s="4">
        <f>IF(SUMIFS('Daily BSE Equity Cash'!$H:$H,'Daily BSE Equity Cash'!$A:$A,$A1469)=0,"",SUMIFS('Daily BSE Equity Cash'!$H:$H,'Daily BSE Equity Cash'!$A:$A,$A1469))</f>
        <v/>
      </c>
      <c r="G1469" s="4">
        <f>IF(OR(E1469="",F1469=""),"",E1469+F1469)</f>
        <v/>
      </c>
      <c r="H1469" s="7">
        <f>IFERROR(IF(OR(E1469="",INDEX(E:E,MATCH(DATE(YEAR($A1469)-1,MONTH($A1469),DAY($A1469)),$A:$A,0))=""),"",E1469/INDEX(E:E,MATCH(DATE(YEAR($A1469)-1,MONTH($A1469),DAY($A1469)),$A:$A,0))-1),"")</f>
        <v/>
      </c>
      <c r="I1469" s="7">
        <f>IFERROR(IF(OR(F1469="",INDEX(F:F,MATCH(DATE(YEAR($A1469)-1,MONTH($A1469),DAY($A1469)),$A:$A,0))=""),"",F1469/INDEX(F:F,MATCH(DATE(YEAR($A1469)-1,MONTH($A1469),DAY($A1469)),$A:$A,0))-1),"")</f>
        <v/>
      </c>
      <c r="J1469" s="7">
        <f>IFERROR(IF(OR(G1469="",INDEX(G:G,MATCH(DATE(YEAR($A1469)-1,MONTH($A1469),DAY($A1469)),$A:$A,0))=""),"",G1469/INDEX(G:G,MATCH(DATE(YEAR($A1469)-1,MONTH($A1469),DAY($A1469)),$A:$A,0))-1),"")</f>
        <v/>
      </c>
      <c r="K1469" s="7">
        <f>IF(OR(E1469="",E1468=""),"",E1469/E1468-1)</f>
        <v/>
      </c>
      <c r="L1469" s="7">
        <f>IF(OR(F1469="",F1468=""),"",F1469/F1468-1)</f>
        <v/>
      </c>
      <c r="M1469" s="7">
        <f>IF(OR(G1469="",G1468=""),"",G1469/G1468-1)</f>
        <v/>
      </c>
      <c r="N1469" s="7">
        <f>IF(G1469="","",E1469/G1469)</f>
        <v/>
      </c>
      <c r="O1469" s="7">
        <f>IF(G1469="","",F1469/G1469)</f>
        <v/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4">
        <f>IF(SUMIFS('Daily NSE Equity Cash'!$H:$H,'Daily NSE Equity Cash'!$A:$A,$A1470)=0,"",SUMIFS('Daily NSE Equity Cash'!$H:$H,'Daily NSE Equity Cash'!$A:$A,$A1470))</f>
        <v/>
      </c>
      <c r="F1470" s="4">
        <f>IF(SUMIFS('Daily BSE Equity Cash'!$H:$H,'Daily BSE Equity Cash'!$A:$A,$A1470)=0,"",SUMIFS('Daily BSE Equity Cash'!$H:$H,'Daily BSE Equity Cash'!$A:$A,$A1470))</f>
        <v/>
      </c>
      <c r="G1470" s="4">
        <f>IF(OR(E1470="",F1470=""),"",E1470+F1470)</f>
        <v/>
      </c>
      <c r="H1470" s="7">
        <f>IFERROR(IF(OR(E1470="",INDEX(E:E,MATCH(DATE(YEAR($A1470)-1,MONTH($A1470),DAY($A1470)),$A:$A,0))=""),"",E1470/INDEX(E:E,MATCH(DATE(YEAR($A1470)-1,MONTH($A1470),DAY($A1470)),$A:$A,0))-1),"")</f>
        <v/>
      </c>
      <c r="I1470" s="7">
        <f>IFERROR(IF(OR(F1470="",INDEX(F:F,MATCH(DATE(YEAR($A1470)-1,MONTH($A1470),DAY($A1470)),$A:$A,0))=""),"",F1470/INDEX(F:F,MATCH(DATE(YEAR($A1470)-1,MONTH($A1470),DAY($A1470)),$A:$A,0))-1),"")</f>
        <v/>
      </c>
      <c r="J1470" s="7">
        <f>IFERROR(IF(OR(G1470="",INDEX(G:G,MATCH(DATE(YEAR($A1470)-1,MONTH($A1470),DAY($A1470)),$A:$A,0))=""),"",G1470/INDEX(G:G,MATCH(DATE(YEAR($A1470)-1,MONTH($A1470),DAY($A1470)),$A:$A,0))-1),"")</f>
        <v/>
      </c>
      <c r="K1470" s="7">
        <f>IF(OR(E1470="",E1469=""),"",E1470/E1469-1)</f>
        <v/>
      </c>
      <c r="L1470" s="7">
        <f>IF(OR(F1470="",F1469=""),"",F1470/F1469-1)</f>
        <v/>
      </c>
      <c r="M1470" s="7">
        <f>IF(OR(G1470="",G1469=""),"",G1470/G1469-1)</f>
        <v/>
      </c>
      <c r="N1470" s="7">
        <f>IF(G1470="","",E1470/G1470)</f>
        <v/>
      </c>
      <c r="O1470" s="7">
        <f>IF(G1470="","",F1470/G1470)</f>
        <v/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4">
        <f>IF(SUMIFS('Daily NSE Equity Cash'!$H:$H,'Daily NSE Equity Cash'!$A:$A,$A1471)=0,"",SUMIFS('Daily NSE Equity Cash'!$H:$H,'Daily NSE Equity Cash'!$A:$A,$A1471))</f>
        <v/>
      </c>
      <c r="F1471" s="4">
        <f>IF(SUMIFS('Daily BSE Equity Cash'!$H:$H,'Daily BSE Equity Cash'!$A:$A,$A1471)=0,"",SUMIFS('Daily BSE Equity Cash'!$H:$H,'Daily BSE Equity Cash'!$A:$A,$A1471))</f>
        <v/>
      </c>
      <c r="G1471" s="4">
        <f>IF(OR(E1471="",F1471=""),"",E1471+F1471)</f>
        <v/>
      </c>
      <c r="H1471" s="7">
        <f>IFERROR(IF(OR(E1471="",INDEX(E:E,MATCH(DATE(YEAR($A1471)-1,MONTH($A1471),DAY($A1471)),$A:$A,0))=""),"",E1471/INDEX(E:E,MATCH(DATE(YEAR($A1471)-1,MONTH($A1471),DAY($A1471)),$A:$A,0))-1),"")</f>
        <v/>
      </c>
      <c r="I1471" s="7">
        <f>IFERROR(IF(OR(F1471="",INDEX(F:F,MATCH(DATE(YEAR($A1471)-1,MONTH($A1471),DAY($A1471)),$A:$A,0))=""),"",F1471/INDEX(F:F,MATCH(DATE(YEAR($A1471)-1,MONTH($A1471),DAY($A1471)),$A:$A,0))-1),"")</f>
        <v/>
      </c>
      <c r="J1471" s="7">
        <f>IFERROR(IF(OR(G1471="",INDEX(G:G,MATCH(DATE(YEAR($A1471)-1,MONTH($A1471),DAY($A1471)),$A:$A,0))=""),"",G1471/INDEX(G:G,MATCH(DATE(YEAR($A1471)-1,MONTH($A1471),DAY($A1471)),$A:$A,0))-1),"")</f>
        <v/>
      </c>
      <c r="K1471" s="7">
        <f>IF(OR(E1471="",E1470=""),"",E1471/E1470-1)</f>
        <v/>
      </c>
      <c r="L1471" s="7">
        <f>IF(OR(F1471="",F1470=""),"",F1471/F1470-1)</f>
        <v/>
      </c>
      <c r="M1471" s="7">
        <f>IF(OR(G1471="",G1470=""),"",G1471/G1470-1)</f>
        <v/>
      </c>
      <c r="N1471" s="7">
        <f>IF(G1471="","",E1471/G1471)</f>
        <v/>
      </c>
      <c r="O1471" s="7">
        <f>IF(G1471="","",F1471/G1471)</f>
        <v/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4">
        <f>IF(SUMIFS('Daily NSE Equity Cash'!$H:$H,'Daily NSE Equity Cash'!$A:$A,$A1472)=0,"",SUMIFS('Daily NSE Equity Cash'!$H:$H,'Daily NSE Equity Cash'!$A:$A,$A1472))</f>
        <v/>
      </c>
      <c r="F1472" s="4">
        <f>IF(SUMIFS('Daily BSE Equity Cash'!$H:$H,'Daily BSE Equity Cash'!$A:$A,$A1472)=0,"",SUMIFS('Daily BSE Equity Cash'!$H:$H,'Daily BSE Equity Cash'!$A:$A,$A1472))</f>
        <v/>
      </c>
      <c r="G1472" s="4">
        <f>IF(OR(E1472="",F1472=""),"",E1472+F1472)</f>
        <v/>
      </c>
      <c r="H1472" s="7">
        <f>IFERROR(IF(OR(E1472="",INDEX(E:E,MATCH(DATE(YEAR($A1472)-1,MONTH($A1472),DAY($A1472)),$A:$A,0))=""),"",E1472/INDEX(E:E,MATCH(DATE(YEAR($A1472)-1,MONTH($A1472),DAY($A1472)),$A:$A,0))-1),"")</f>
        <v/>
      </c>
      <c r="I1472" s="7">
        <f>IFERROR(IF(OR(F1472="",INDEX(F:F,MATCH(DATE(YEAR($A1472)-1,MONTH($A1472),DAY($A1472)),$A:$A,0))=""),"",F1472/INDEX(F:F,MATCH(DATE(YEAR($A1472)-1,MONTH($A1472),DAY($A1472)),$A:$A,0))-1),"")</f>
        <v/>
      </c>
      <c r="J1472" s="7">
        <f>IFERROR(IF(OR(G1472="",INDEX(G:G,MATCH(DATE(YEAR($A1472)-1,MONTH($A1472),DAY($A1472)),$A:$A,0))=""),"",G1472/INDEX(G:G,MATCH(DATE(YEAR($A1472)-1,MONTH($A1472),DAY($A1472)),$A:$A,0))-1),"")</f>
        <v/>
      </c>
      <c r="K1472" s="7">
        <f>IF(OR(E1472="",E1471=""),"",E1472/E1471-1)</f>
        <v/>
      </c>
      <c r="L1472" s="7">
        <f>IF(OR(F1472="",F1471=""),"",F1472/F1471-1)</f>
        <v/>
      </c>
      <c r="M1472" s="7">
        <f>IF(OR(G1472="",G1471=""),"",G1472/G1471-1)</f>
        <v/>
      </c>
      <c r="N1472" s="7">
        <f>IF(G1472="","",E1472/G1472)</f>
        <v/>
      </c>
      <c r="O1472" s="7">
        <f>IF(G1472="","",F1472/G1472)</f>
        <v/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4">
        <f>IF(SUMIFS('Daily NSE Equity Cash'!$H:$H,'Daily NSE Equity Cash'!$A:$A,$A1473)=0,"",SUMIFS('Daily NSE Equity Cash'!$H:$H,'Daily NSE Equity Cash'!$A:$A,$A1473))</f>
        <v/>
      </c>
      <c r="F1473" s="4">
        <f>IF(SUMIFS('Daily BSE Equity Cash'!$H:$H,'Daily BSE Equity Cash'!$A:$A,$A1473)=0,"",SUMIFS('Daily BSE Equity Cash'!$H:$H,'Daily BSE Equity Cash'!$A:$A,$A1473))</f>
        <v/>
      </c>
      <c r="G1473" s="4">
        <f>IF(OR(E1473="",F1473=""),"",E1473+F1473)</f>
        <v/>
      </c>
      <c r="H1473" s="7">
        <f>IFERROR(IF(OR(E1473="",INDEX(E:E,MATCH(DATE(YEAR($A1473)-1,MONTH($A1473),DAY($A1473)),$A:$A,0))=""),"",E1473/INDEX(E:E,MATCH(DATE(YEAR($A1473)-1,MONTH($A1473),DAY($A1473)),$A:$A,0))-1),"")</f>
        <v/>
      </c>
      <c r="I1473" s="7">
        <f>IFERROR(IF(OR(F1473="",INDEX(F:F,MATCH(DATE(YEAR($A1473)-1,MONTH($A1473),DAY($A1473)),$A:$A,0))=""),"",F1473/INDEX(F:F,MATCH(DATE(YEAR($A1473)-1,MONTH($A1473),DAY($A1473)),$A:$A,0))-1),"")</f>
        <v/>
      </c>
      <c r="J1473" s="7">
        <f>IFERROR(IF(OR(G1473="",INDEX(G:G,MATCH(DATE(YEAR($A1473)-1,MONTH($A1473),DAY($A1473)),$A:$A,0))=""),"",G1473/INDEX(G:G,MATCH(DATE(YEAR($A1473)-1,MONTH($A1473),DAY($A1473)),$A:$A,0))-1),"")</f>
        <v/>
      </c>
      <c r="K1473" s="7">
        <f>IF(OR(E1473="",E1472=""),"",E1473/E1472-1)</f>
        <v/>
      </c>
      <c r="L1473" s="7">
        <f>IF(OR(F1473="",F1472=""),"",F1473/F1472-1)</f>
        <v/>
      </c>
      <c r="M1473" s="7">
        <f>IF(OR(G1473="",G1472=""),"",G1473/G1472-1)</f>
        <v/>
      </c>
      <c r="N1473" s="7">
        <f>IF(G1473="","",E1473/G1473)</f>
        <v/>
      </c>
      <c r="O1473" s="7">
        <f>IF(G1473="","",F1473/G1473)</f>
        <v/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4">
        <f>IF(SUMIFS('Daily NSE Equity Cash'!$H:$H,'Daily NSE Equity Cash'!$A:$A,$A1474)=0,"",SUMIFS('Daily NSE Equity Cash'!$H:$H,'Daily NSE Equity Cash'!$A:$A,$A1474))</f>
        <v/>
      </c>
      <c r="F1474" s="4">
        <f>IF(SUMIFS('Daily BSE Equity Cash'!$H:$H,'Daily BSE Equity Cash'!$A:$A,$A1474)=0,"",SUMIFS('Daily BSE Equity Cash'!$H:$H,'Daily BSE Equity Cash'!$A:$A,$A1474))</f>
        <v/>
      </c>
      <c r="G1474" s="4">
        <f>IF(OR(E1474="",F1474=""),"",E1474+F1474)</f>
        <v/>
      </c>
      <c r="H1474" s="7">
        <f>IFERROR(IF(OR(E1474="",INDEX(E:E,MATCH(DATE(YEAR($A1474)-1,MONTH($A1474),DAY($A1474)),$A:$A,0))=""),"",E1474/INDEX(E:E,MATCH(DATE(YEAR($A1474)-1,MONTH($A1474),DAY($A1474)),$A:$A,0))-1),"")</f>
        <v/>
      </c>
      <c r="I1474" s="7">
        <f>IFERROR(IF(OR(F1474="",INDEX(F:F,MATCH(DATE(YEAR($A1474)-1,MONTH($A1474),DAY($A1474)),$A:$A,0))=""),"",F1474/INDEX(F:F,MATCH(DATE(YEAR($A1474)-1,MONTH($A1474),DAY($A1474)),$A:$A,0))-1),"")</f>
        <v/>
      </c>
      <c r="J1474" s="7">
        <f>IFERROR(IF(OR(G1474="",INDEX(G:G,MATCH(DATE(YEAR($A1474)-1,MONTH($A1474),DAY($A1474)),$A:$A,0))=""),"",G1474/INDEX(G:G,MATCH(DATE(YEAR($A1474)-1,MONTH($A1474),DAY($A1474)),$A:$A,0))-1),"")</f>
        <v/>
      </c>
      <c r="K1474" s="7">
        <f>IF(OR(E1474="",E1473=""),"",E1474/E1473-1)</f>
        <v/>
      </c>
      <c r="L1474" s="7">
        <f>IF(OR(F1474="",F1473=""),"",F1474/F1473-1)</f>
        <v/>
      </c>
      <c r="M1474" s="7">
        <f>IF(OR(G1474="",G1473=""),"",G1474/G1473-1)</f>
        <v/>
      </c>
      <c r="N1474" s="7">
        <f>IF(G1474="","",E1474/G1474)</f>
        <v/>
      </c>
      <c r="O1474" s="7">
        <f>IF(G1474="","",F1474/G1474)</f>
        <v/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4">
        <f>IF(SUMIFS('Daily NSE Equity Cash'!$H:$H,'Daily NSE Equity Cash'!$A:$A,$A1475)=0,"",SUMIFS('Daily NSE Equity Cash'!$H:$H,'Daily NSE Equity Cash'!$A:$A,$A1475))</f>
        <v/>
      </c>
      <c r="F1475" s="4">
        <f>IF(SUMIFS('Daily BSE Equity Cash'!$H:$H,'Daily BSE Equity Cash'!$A:$A,$A1475)=0,"",SUMIFS('Daily BSE Equity Cash'!$H:$H,'Daily BSE Equity Cash'!$A:$A,$A1475))</f>
        <v/>
      </c>
      <c r="G1475" s="4">
        <f>IF(OR(E1475="",F1475=""),"",E1475+F1475)</f>
        <v/>
      </c>
      <c r="H1475" s="7">
        <f>IFERROR(IF(OR(E1475="",INDEX(E:E,MATCH(DATE(YEAR($A1475)-1,MONTH($A1475),DAY($A1475)),$A:$A,0))=""),"",E1475/INDEX(E:E,MATCH(DATE(YEAR($A1475)-1,MONTH($A1475),DAY($A1475)),$A:$A,0))-1),"")</f>
        <v/>
      </c>
      <c r="I1475" s="7">
        <f>IFERROR(IF(OR(F1475="",INDEX(F:F,MATCH(DATE(YEAR($A1475)-1,MONTH($A1475),DAY($A1475)),$A:$A,0))=""),"",F1475/INDEX(F:F,MATCH(DATE(YEAR($A1475)-1,MONTH($A1475),DAY($A1475)),$A:$A,0))-1),"")</f>
        <v/>
      </c>
      <c r="J1475" s="7">
        <f>IFERROR(IF(OR(G1475="",INDEX(G:G,MATCH(DATE(YEAR($A1475)-1,MONTH($A1475),DAY($A1475)),$A:$A,0))=""),"",G1475/INDEX(G:G,MATCH(DATE(YEAR($A1475)-1,MONTH($A1475),DAY($A1475)),$A:$A,0))-1),"")</f>
        <v/>
      </c>
      <c r="K1475" s="7">
        <f>IF(OR(E1475="",E1474=""),"",E1475/E1474-1)</f>
        <v/>
      </c>
      <c r="L1475" s="7">
        <f>IF(OR(F1475="",F1474=""),"",F1475/F1474-1)</f>
        <v/>
      </c>
      <c r="M1475" s="7">
        <f>IF(OR(G1475="",G1474=""),"",G1475/G1474-1)</f>
        <v/>
      </c>
      <c r="N1475" s="7">
        <f>IF(G1475="","",E1475/G1475)</f>
        <v/>
      </c>
      <c r="O1475" s="7">
        <f>IF(G1475="","",F1475/G1475)</f>
        <v/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4">
        <f>IF(SUMIFS('Daily NSE Equity Cash'!$H:$H,'Daily NSE Equity Cash'!$A:$A,$A1476)=0,"",SUMIFS('Daily NSE Equity Cash'!$H:$H,'Daily NSE Equity Cash'!$A:$A,$A1476))</f>
        <v/>
      </c>
      <c r="F1476" s="4">
        <f>IF(SUMIFS('Daily BSE Equity Cash'!$H:$H,'Daily BSE Equity Cash'!$A:$A,$A1476)=0,"",SUMIFS('Daily BSE Equity Cash'!$H:$H,'Daily BSE Equity Cash'!$A:$A,$A1476))</f>
        <v/>
      </c>
      <c r="G1476" s="4">
        <f>IF(OR(E1476="",F1476=""),"",E1476+F1476)</f>
        <v/>
      </c>
      <c r="H1476" s="7">
        <f>IFERROR(IF(OR(E1476="",INDEX(E:E,MATCH(DATE(YEAR($A1476)-1,MONTH($A1476),DAY($A1476)),$A:$A,0))=""),"",E1476/INDEX(E:E,MATCH(DATE(YEAR($A1476)-1,MONTH($A1476),DAY($A1476)),$A:$A,0))-1),"")</f>
        <v/>
      </c>
      <c r="I1476" s="7">
        <f>IFERROR(IF(OR(F1476="",INDEX(F:F,MATCH(DATE(YEAR($A1476)-1,MONTH($A1476),DAY($A1476)),$A:$A,0))=""),"",F1476/INDEX(F:F,MATCH(DATE(YEAR($A1476)-1,MONTH($A1476),DAY($A1476)),$A:$A,0))-1),"")</f>
        <v/>
      </c>
      <c r="J1476" s="7">
        <f>IFERROR(IF(OR(G1476="",INDEX(G:G,MATCH(DATE(YEAR($A1476)-1,MONTH($A1476),DAY($A1476)),$A:$A,0))=""),"",G1476/INDEX(G:G,MATCH(DATE(YEAR($A1476)-1,MONTH($A1476),DAY($A1476)),$A:$A,0))-1),"")</f>
        <v/>
      </c>
      <c r="K1476" s="7">
        <f>IF(OR(E1476="",E1475=""),"",E1476/E1475-1)</f>
        <v/>
      </c>
      <c r="L1476" s="7">
        <f>IF(OR(F1476="",F1475=""),"",F1476/F1475-1)</f>
        <v/>
      </c>
      <c r="M1476" s="7">
        <f>IF(OR(G1476="",G1475=""),"",G1476/G1475-1)</f>
        <v/>
      </c>
      <c r="N1476" s="7">
        <f>IF(G1476="","",E1476/G1476)</f>
        <v/>
      </c>
      <c r="O1476" s="7">
        <f>IF(G1476="","",F1476/G1476)</f>
        <v/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4">
        <f>IF(SUMIFS('Daily NSE Equity Cash'!$H:$H,'Daily NSE Equity Cash'!$A:$A,$A1477)=0,"",SUMIFS('Daily NSE Equity Cash'!$H:$H,'Daily NSE Equity Cash'!$A:$A,$A1477))</f>
        <v/>
      </c>
      <c r="F1477" s="4">
        <f>IF(SUMIFS('Daily BSE Equity Cash'!$H:$H,'Daily BSE Equity Cash'!$A:$A,$A1477)=0,"",SUMIFS('Daily BSE Equity Cash'!$H:$H,'Daily BSE Equity Cash'!$A:$A,$A1477))</f>
        <v/>
      </c>
      <c r="G1477" s="4">
        <f>IF(OR(E1477="",F1477=""),"",E1477+F1477)</f>
        <v/>
      </c>
      <c r="H1477" s="7">
        <f>IFERROR(IF(OR(E1477="",INDEX(E:E,MATCH(DATE(YEAR($A1477)-1,MONTH($A1477),DAY($A1477)),$A:$A,0))=""),"",E1477/INDEX(E:E,MATCH(DATE(YEAR($A1477)-1,MONTH($A1477),DAY($A1477)),$A:$A,0))-1),"")</f>
        <v/>
      </c>
      <c r="I1477" s="7">
        <f>IFERROR(IF(OR(F1477="",INDEX(F:F,MATCH(DATE(YEAR($A1477)-1,MONTH($A1477),DAY($A1477)),$A:$A,0))=""),"",F1477/INDEX(F:F,MATCH(DATE(YEAR($A1477)-1,MONTH($A1477),DAY($A1477)),$A:$A,0))-1),"")</f>
        <v/>
      </c>
      <c r="J1477" s="7">
        <f>IFERROR(IF(OR(G1477="",INDEX(G:G,MATCH(DATE(YEAR($A1477)-1,MONTH($A1477),DAY($A1477)),$A:$A,0))=""),"",G1477/INDEX(G:G,MATCH(DATE(YEAR($A1477)-1,MONTH($A1477),DAY($A1477)),$A:$A,0))-1),"")</f>
        <v/>
      </c>
      <c r="K1477" s="7">
        <f>IF(OR(E1477="",E1476=""),"",E1477/E1476-1)</f>
        <v/>
      </c>
      <c r="L1477" s="7">
        <f>IF(OR(F1477="",F1476=""),"",F1477/F1476-1)</f>
        <v/>
      </c>
      <c r="M1477" s="7">
        <f>IF(OR(G1477="",G1476=""),"",G1477/G1476-1)</f>
        <v/>
      </c>
      <c r="N1477" s="7">
        <f>IF(G1477="","",E1477/G1477)</f>
        <v/>
      </c>
      <c r="O1477" s="7">
        <f>IF(G1477="","",F1477/G1477)</f>
        <v/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4">
        <f>IF(SUMIFS('Daily NSE Equity Cash'!$H:$H,'Daily NSE Equity Cash'!$A:$A,$A1478)=0,"",SUMIFS('Daily NSE Equity Cash'!$H:$H,'Daily NSE Equity Cash'!$A:$A,$A1478))</f>
        <v/>
      </c>
      <c r="F1478" s="4">
        <f>IF(SUMIFS('Daily BSE Equity Cash'!$H:$H,'Daily BSE Equity Cash'!$A:$A,$A1478)=0,"",SUMIFS('Daily BSE Equity Cash'!$H:$H,'Daily BSE Equity Cash'!$A:$A,$A1478))</f>
        <v/>
      </c>
      <c r="G1478" s="4">
        <f>IF(OR(E1478="",F1478=""),"",E1478+F1478)</f>
        <v/>
      </c>
      <c r="H1478" s="7">
        <f>IFERROR(IF(OR(E1478="",INDEX(E:E,MATCH(DATE(YEAR($A1478)-1,MONTH($A1478),DAY($A1478)),$A:$A,0))=""),"",E1478/INDEX(E:E,MATCH(DATE(YEAR($A1478)-1,MONTH($A1478),DAY($A1478)),$A:$A,0))-1),"")</f>
        <v/>
      </c>
      <c r="I1478" s="7">
        <f>IFERROR(IF(OR(F1478="",INDEX(F:F,MATCH(DATE(YEAR($A1478)-1,MONTH($A1478),DAY($A1478)),$A:$A,0))=""),"",F1478/INDEX(F:F,MATCH(DATE(YEAR($A1478)-1,MONTH($A1478),DAY($A1478)),$A:$A,0))-1),"")</f>
        <v/>
      </c>
      <c r="J1478" s="7">
        <f>IFERROR(IF(OR(G1478="",INDEX(G:G,MATCH(DATE(YEAR($A1478)-1,MONTH($A1478),DAY($A1478)),$A:$A,0))=""),"",G1478/INDEX(G:G,MATCH(DATE(YEAR($A1478)-1,MONTH($A1478),DAY($A1478)),$A:$A,0))-1),"")</f>
        <v/>
      </c>
      <c r="K1478" s="7">
        <f>IF(OR(E1478="",E1477=""),"",E1478/E1477-1)</f>
        <v/>
      </c>
      <c r="L1478" s="7">
        <f>IF(OR(F1478="",F1477=""),"",F1478/F1477-1)</f>
        <v/>
      </c>
      <c r="M1478" s="7">
        <f>IF(OR(G1478="",G1477=""),"",G1478/G1477-1)</f>
        <v/>
      </c>
      <c r="N1478" s="7">
        <f>IF(G1478="","",E1478/G1478)</f>
        <v/>
      </c>
      <c r="O1478" s="7">
        <f>IF(G1478="","",F1478/G1478)</f>
        <v/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4">
        <f>IF(SUMIFS('Daily NSE Equity Cash'!$H:$H,'Daily NSE Equity Cash'!$A:$A,$A1479)=0,"",SUMIFS('Daily NSE Equity Cash'!$H:$H,'Daily NSE Equity Cash'!$A:$A,$A1479))</f>
        <v/>
      </c>
      <c r="F1479" s="4">
        <f>IF(SUMIFS('Daily BSE Equity Cash'!$H:$H,'Daily BSE Equity Cash'!$A:$A,$A1479)=0,"",SUMIFS('Daily BSE Equity Cash'!$H:$H,'Daily BSE Equity Cash'!$A:$A,$A1479))</f>
        <v/>
      </c>
      <c r="G1479" s="4">
        <f>IF(OR(E1479="",F1479=""),"",E1479+F1479)</f>
        <v/>
      </c>
      <c r="H1479" s="7">
        <f>IFERROR(IF(OR(E1479="",INDEX(E:E,MATCH(DATE(YEAR($A1479)-1,MONTH($A1479),DAY($A1479)),$A:$A,0))=""),"",E1479/INDEX(E:E,MATCH(DATE(YEAR($A1479)-1,MONTH($A1479),DAY($A1479)),$A:$A,0))-1),"")</f>
        <v/>
      </c>
      <c r="I1479" s="7">
        <f>IFERROR(IF(OR(F1479="",INDEX(F:F,MATCH(DATE(YEAR($A1479)-1,MONTH($A1479),DAY($A1479)),$A:$A,0))=""),"",F1479/INDEX(F:F,MATCH(DATE(YEAR($A1479)-1,MONTH($A1479),DAY($A1479)),$A:$A,0))-1),"")</f>
        <v/>
      </c>
      <c r="J1479" s="7">
        <f>IFERROR(IF(OR(G1479="",INDEX(G:G,MATCH(DATE(YEAR($A1479)-1,MONTH($A1479),DAY($A1479)),$A:$A,0))=""),"",G1479/INDEX(G:G,MATCH(DATE(YEAR($A1479)-1,MONTH($A1479),DAY($A1479)),$A:$A,0))-1),"")</f>
        <v/>
      </c>
      <c r="K1479" s="7">
        <f>IF(OR(E1479="",E1478=""),"",E1479/E1478-1)</f>
        <v/>
      </c>
      <c r="L1479" s="7">
        <f>IF(OR(F1479="",F1478=""),"",F1479/F1478-1)</f>
        <v/>
      </c>
      <c r="M1479" s="7">
        <f>IF(OR(G1479="",G1478=""),"",G1479/G1478-1)</f>
        <v/>
      </c>
      <c r="N1479" s="7">
        <f>IF(G1479="","",E1479/G1479)</f>
        <v/>
      </c>
      <c r="O1479" s="7">
        <f>IF(G1479="","",F1479/G1479)</f>
        <v/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4">
        <f>IF(SUMIFS('Daily NSE Equity Cash'!$H:$H,'Daily NSE Equity Cash'!$A:$A,$A1480)=0,"",SUMIFS('Daily NSE Equity Cash'!$H:$H,'Daily NSE Equity Cash'!$A:$A,$A1480))</f>
        <v/>
      </c>
      <c r="F1480" s="4">
        <f>IF(SUMIFS('Daily BSE Equity Cash'!$H:$H,'Daily BSE Equity Cash'!$A:$A,$A1480)=0,"",SUMIFS('Daily BSE Equity Cash'!$H:$H,'Daily BSE Equity Cash'!$A:$A,$A1480))</f>
        <v/>
      </c>
      <c r="G1480" s="4">
        <f>IF(OR(E1480="",F1480=""),"",E1480+F1480)</f>
        <v/>
      </c>
      <c r="H1480" s="7">
        <f>IFERROR(IF(OR(E1480="",INDEX(E:E,MATCH(DATE(YEAR($A1480)-1,MONTH($A1480),DAY($A1480)),$A:$A,0))=""),"",E1480/INDEX(E:E,MATCH(DATE(YEAR($A1480)-1,MONTH($A1480),DAY($A1480)),$A:$A,0))-1),"")</f>
        <v/>
      </c>
      <c r="I1480" s="7">
        <f>IFERROR(IF(OR(F1480="",INDEX(F:F,MATCH(DATE(YEAR($A1480)-1,MONTH($A1480),DAY($A1480)),$A:$A,0))=""),"",F1480/INDEX(F:F,MATCH(DATE(YEAR($A1480)-1,MONTH($A1480),DAY($A1480)),$A:$A,0))-1),"")</f>
        <v/>
      </c>
      <c r="J1480" s="7">
        <f>IFERROR(IF(OR(G1480="",INDEX(G:G,MATCH(DATE(YEAR($A1480)-1,MONTH($A1480),DAY($A1480)),$A:$A,0))=""),"",G1480/INDEX(G:G,MATCH(DATE(YEAR($A1480)-1,MONTH($A1480),DAY($A1480)),$A:$A,0))-1),"")</f>
        <v/>
      </c>
      <c r="K1480" s="7">
        <f>IF(OR(E1480="",E1479=""),"",E1480/E1479-1)</f>
        <v/>
      </c>
      <c r="L1480" s="7">
        <f>IF(OR(F1480="",F1479=""),"",F1480/F1479-1)</f>
        <v/>
      </c>
      <c r="M1480" s="7">
        <f>IF(OR(G1480="",G1479=""),"",G1480/G1479-1)</f>
        <v/>
      </c>
      <c r="N1480" s="7">
        <f>IF(G1480="","",E1480/G1480)</f>
        <v/>
      </c>
      <c r="O1480" s="7">
        <f>IF(G1480="","",F1480/G1480)</f>
        <v/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4">
        <f>IF(SUMIFS('Daily NSE Equity Cash'!$H:$H,'Daily NSE Equity Cash'!$A:$A,$A1481)=0,"",SUMIFS('Daily NSE Equity Cash'!$H:$H,'Daily NSE Equity Cash'!$A:$A,$A1481))</f>
        <v/>
      </c>
      <c r="F1481" s="4">
        <f>IF(SUMIFS('Daily BSE Equity Cash'!$H:$H,'Daily BSE Equity Cash'!$A:$A,$A1481)=0,"",SUMIFS('Daily BSE Equity Cash'!$H:$H,'Daily BSE Equity Cash'!$A:$A,$A1481))</f>
        <v/>
      </c>
      <c r="G1481" s="4">
        <f>IF(OR(E1481="",F1481=""),"",E1481+F1481)</f>
        <v/>
      </c>
      <c r="H1481" s="7">
        <f>IFERROR(IF(OR(E1481="",INDEX(E:E,MATCH(DATE(YEAR($A1481)-1,MONTH($A1481),DAY($A1481)),$A:$A,0))=""),"",E1481/INDEX(E:E,MATCH(DATE(YEAR($A1481)-1,MONTH($A1481),DAY($A1481)),$A:$A,0))-1),"")</f>
        <v/>
      </c>
      <c r="I1481" s="7">
        <f>IFERROR(IF(OR(F1481="",INDEX(F:F,MATCH(DATE(YEAR($A1481)-1,MONTH($A1481),DAY($A1481)),$A:$A,0))=""),"",F1481/INDEX(F:F,MATCH(DATE(YEAR($A1481)-1,MONTH($A1481),DAY($A1481)),$A:$A,0))-1),"")</f>
        <v/>
      </c>
      <c r="J1481" s="7">
        <f>IFERROR(IF(OR(G1481="",INDEX(G:G,MATCH(DATE(YEAR($A1481)-1,MONTH($A1481),DAY($A1481)),$A:$A,0))=""),"",G1481/INDEX(G:G,MATCH(DATE(YEAR($A1481)-1,MONTH($A1481),DAY($A1481)),$A:$A,0))-1),"")</f>
        <v/>
      </c>
      <c r="K1481" s="7">
        <f>IF(OR(E1481="",E1480=""),"",E1481/E1480-1)</f>
        <v/>
      </c>
      <c r="L1481" s="7">
        <f>IF(OR(F1481="",F1480=""),"",F1481/F1480-1)</f>
        <v/>
      </c>
      <c r="M1481" s="7">
        <f>IF(OR(G1481="",G1480=""),"",G1481/G1480-1)</f>
        <v/>
      </c>
      <c r="N1481" s="7">
        <f>IF(G1481="","",E1481/G1481)</f>
        <v/>
      </c>
      <c r="O1481" s="7">
        <f>IF(G1481="","",F1481/G1481)</f>
        <v/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4">
        <f>IF(SUMIFS('Daily NSE Equity Cash'!$H:$H,'Daily NSE Equity Cash'!$A:$A,$A1482)=0,"",SUMIFS('Daily NSE Equity Cash'!$H:$H,'Daily NSE Equity Cash'!$A:$A,$A1482))</f>
        <v/>
      </c>
      <c r="F1482" s="4">
        <f>IF(SUMIFS('Daily BSE Equity Cash'!$H:$H,'Daily BSE Equity Cash'!$A:$A,$A1482)=0,"",SUMIFS('Daily BSE Equity Cash'!$H:$H,'Daily BSE Equity Cash'!$A:$A,$A1482))</f>
        <v/>
      </c>
      <c r="G1482" s="4">
        <f>IF(OR(E1482="",F1482=""),"",E1482+F1482)</f>
        <v/>
      </c>
      <c r="H1482" s="7">
        <f>IFERROR(IF(OR(E1482="",INDEX(E:E,MATCH(DATE(YEAR($A1482)-1,MONTH($A1482),DAY($A1482)),$A:$A,0))=""),"",E1482/INDEX(E:E,MATCH(DATE(YEAR($A1482)-1,MONTH($A1482),DAY($A1482)),$A:$A,0))-1),"")</f>
        <v/>
      </c>
      <c r="I1482" s="7">
        <f>IFERROR(IF(OR(F1482="",INDEX(F:F,MATCH(DATE(YEAR($A1482)-1,MONTH($A1482),DAY($A1482)),$A:$A,0))=""),"",F1482/INDEX(F:F,MATCH(DATE(YEAR($A1482)-1,MONTH($A1482),DAY($A1482)),$A:$A,0))-1),"")</f>
        <v/>
      </c>
      <c r="J1482" s="7">
        <f>IFERROR(IF(OR(G1482="",INDEX(G:G,MATCH(DATE(YEAR($A1482)-1,MONTH($A1482),DAY($A1482)),$A:$A,0))=""),"",G1482/INDEX(G:G,MATCH(DATE(YEAR($A1482)-1,MONTH($A1482),DAY($A1482)),$A:$A,0))-1),"")</f>
        <v/>
      </c>
      <c r="K1482" s="7">
        <f>IF(OR(E1482="",E1481=""),"",E1482/E1481-1)</f>
        <v/>
      </c>
      <c r="L1482" s="7">
        <f>IF(OR(F1482="",F1481=""),"",F1482/F1481-1)</f>
        <v/>
      </c>
      <c r="M1482" s="7">
        <f>IF(OR(G1482="",G1481=""),"",G1482/G1481-1)</f>
        <v/>
      </c>
      <c r="N1482" s="7">
        <f>IF(G1482="","",E1482/G1482)</f>
        <v/>
      </c>
      <c r="O1482" s="7">
        <f>IF(G1482="","",F1482/G1482)</f>
        <v/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4">
        <f>IF(SUMIFS('Daily NSE Equity Cash'!$H:$H,'Daily NSE Equity Cash'!$A:$A,$A1483)=0,"",SUMIFS('Daily NSE Equity Cash'!$H:$H,'Daily NSE Equity Cash'!$A:$A,$A1483))</f>
        <v/>
      </c>
      <c r="F1483" s="4">
        <f>IF(SUMIFS('Daily BSE Equity Cash'!$H:$H,'Daily BSE Equity Cash'!$A:$A,$A1483)=0,"",SUMIFS('Daily BSE Equity Cash'!$H:$H,'Daily BSE Equity Cash'!$A:$A,$A1483))</f>
        <v/>
      </c>
      <c r="G1483" s="4">
        <f>IF(OR(E1483="",F1483=""),"",E1483+F1483)</f>
        <v/>
      </c>
      <c r="H1483" s="7">
        <f>IFERROR(IF(OR(E1483="",INDEX(E:E,MATCH(DATE(YEAR($A1483)-1,MONTH($A1483),DAY($A1483)),$A:$A,0))=""),"",E1483/INDEX(E:E,MATCH(DATE(YEAR($A1483)-1,MONTH($A1483),DAY($A1483)),$A:$A,0))-1),"")</f>
        <v/>
      </c>
      <c r="I1483" s="7">
        <f>IFERROR(IF(OR(F1483="",INDEX(F:F,MATCH(DATE(YEAR($A1483)-1,MONTH($A1483),DAY($A1483)),$A:$A,0))=""),"",F1483/INDEX(F:F,MATCH(DATE(YEAR($A1483)-1,MONTH($A1483),DAY($A1483)),$A:$A,0))-1),"")</f>
        <v/>
      </c>
      <c r="J1483" s="7">
        <f>IFERROR(IF(OR(G1483="",INDEX(G:G,MATCH(DATE(YEAR($A1483)-1,MONTH($A1483),DAY($A1483)),$A:$A,0))=""),"",G1483/INDEX(G:G,MATCH(DATE(YEAR($A1483)-1,MONTH($A1483),DAY($A1483)),$A:$A,0))-1),"")</f>
        <v/>
      </c>
      <c r="K1483" s="7">
        <f>IF(OR(E1483="",E1482=""),"",E1483/E1482-1)</f>
        <v/>
      </c>
      <c r="L1483" s="7">
        <f>IF(OR(F1483="",F1482=""),"",F1483/F1482-1)</f>
        <v/>
      </c>
      <c r="M1483" s="7">
        <f>IF(OR(G1483="",G1482=""),"",G1483/G1482-1)</f>
        <v/>
      </c>
      <c r="N1483" s="7">
        <f>IF(G1483="","",E1483/G1483)</f>
        <v/>
      </c>
      <c r="O1483" s="7">
        <f>IF(G1483="","",F1483/G1483)</f>
        <v/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4">
        <f>IF(SUMIFS('Daily NSE Equity Cash'!$H:$H,'Daily NSE Equity Cash'!$A:$A,$A1484)=0,"",SUMIFS('Daily NSE Equity Cash'!$H:$H,'Daily NSE Equity Cash'!$A:$A,$A1484))</f>
        <v/>
      </c>
      <c r="F1484" s="4">
        <f>IF(SUMIFS('Daily BSE Equity Cash'!$H:$H,'Daily BSE Equity Cash'!$A:$A,$A1484)=0,"",SUMIFS('Daily BSE Equity Cash'!$H:$H,'Daily BSE Equity Cash'!$A:$A,$A1484))</f>
        <v/>
      </c>
      <c r="G1484" s="4">
        <f>IF(OR(E1484="",F1484=""),"",E1484+F1484)</f>
        <v/>
      </c>
      <c r="H1484" s="7">
        <f>IFERROR(IF(OR(E1484="",INDEX(E:E,MATCH(DATE(YEAR($A1484)-1,MONTH($A1484),DAY($A1484)),$A:$A,0))=""),"",E1484/INDEX(E:E,MATCH(DATE(YEAR($A1484)-1,MONTH($A1484),DAY($A1484)),$A:$A,0))-1),"")</f>
        <v/>
      </c>
      <c r="I1484" s="7">
        <f>IFERROR(IF(OR(F1484="",INDEX(F:F,MATCH(DATE(YEAR($A1484)-1,MONTH($A1484),DAY($A1484)),$A:$A,0))=""),"",F1484/INDEX(F:F,MATCH(DATE(YEAR($A1484)-1,MONTH($A1484),DAY($A1484)),$A:$A,0))-1),"")</f>
        <v/>
      </c>
      <c r="J1484" s="7">
        <f>IFERROR(IF(OR(G1484="",INDEX(G:G,MATCH(DATE(YEAR($A1484)-1,MONTH($A1484),DAY($A1484)),$A:$A,0))=""),"",G1484/INDEX(G:G,MATCH(DATE(YEAR($A1484)-1,MONTH($A1484),DAY($A1484)),$A:$A,0))-1),"")</f>
        <v/>
      </c>
      <c r="K1484" s="7">
        <f>IF(OR(E1484="",E1483=""),"",E1484/E1483-1)</f>
        <v/>
      </c>
      <c r="L1484" s="7">
        <f>IF(OR(F1484="",F1483=""),"",F1484/F1483-1)</f>
        <v/>
      </c>
      <c r="M1484" s="7">
        <f>IF(OR(G1484="",G1483=""),"",G1484/G1483-1)</f>
        <v/>
      </c>
      <c r="N1484" s="7">
        <f>IF(G1484="","",E1484/G1484)</f>
        <v/>
      </c>
      <c r="O1484" s="7">
        <f>IF(G1484="","",F1484/G1484)</f>
        <v/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4">
        <f>IF(SUMIFS('Daily NSE Equity Cash'!$H:$H,'Daily NSE Equity Cash'!$A:$A,$A1485)=0,"",SUMIFS('Daily NSE Equity Cash'!$H:$H,'Daily NSE Equity Cash'!$A:$A,$A1485))</f>
        <v/>
      </c>
      <c r="F1485" s="4">
        <f>IF(SUMIFS('Daily BSE Equity Cash'!$H:$H,'Daily BSE Equity Cash'!$A:$A,$A1485)=0,"",SUMIFS('Daily BSE Equity Cash'!$H:$H,'Daily BSE Equity Cash'!$A:$A,$A1485))</f>
        <v/>
      </c>
      <c r="G1485" s="4">
        <f>IF(OR(E1485="",F1485=""),"",E1485+F1485)</f>
        <v/>
      </c>
      <c r="H1485" s="7">
        <f>IFERROR(IF(OR(E1485="",INDEX(E:E,MATCH(DATE(YEAR($A1485)-1,MONTH($A1485),DAY($A1485)),$A:$A,0))=""),"",E1485/INDEX(E:E,MATCH(DATE(YEAR($A1485)-1,MONTH($A1485),DAY($A1485)),$A:$A,0))-1),"")</f>
        <v/>
      </c>
      <c r="I1485" s="7">
        <f>IFERROR(IF(OR(F1485="",INDEX(F:F,MATCH(DATE(YEAR($A1485)-1,MONTH($A1485),DAY($A1485)),$A:$A,0))=""),"",F1485/INDEX(F:F,MATCH(DATE(YEAR($A1485)-1,MONTH($A1485),DAY($A1485)),$A:$A,0))-1),"")</f>
        <v/>
      </c>
      <c r="J1485" s="7">
        <f>IFERROR(IF(OR(G1485="",INDEX(G:G,MATCH(DATE(YEAR($A1485)-1,MONTH($A1485),DAY($A1485)),$A:$A,0))=""),"",G1485/INDEX(G:G,MATCH(DATE(YEAR($A1485)-1,MONTH($A1485),DAY($A1485)),$A:$A,0))-1),"")</f>
        <v/>
      </c>
      <c r="K1485" s="7">
        <f>IF(OR(E1485="",E1484=""),"",E1485/E1484-1)</f>
        <v/>
      </c>
      <c r="L1485" s="7">
        <f>IF(OR(F1485="",F1484=""),"",F1485/F1484-1)</f>
        <v/>
      </c>
      <c r="M1485" s="7">
        <f>IF(OR(G1485="",G1484=""),"",G1485/G1484-1)</f>
        <v/>
      </c>
      <c r="N1485" s="7">
        <f>IF(G1485="","",E1485/G1485)</f>
        <v/>
      </c>
      <c r="O1485" s="7">
        <f>IF(G1485="","",F1485/G1485)</f>
        <v/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4">
        <f>IF(SUMIFS('Daily NSE Equity Cash'!$H:$H,'Daily NSE Equity Cash'!$A:$A,$A1486)=0,"",SUMIFS('Daily NSE Equity Cash'!$H:$H,'Daily NSE Equity Cash'!$A:$A,$A1486))</f>
        <v/>
      </c>
      <c r="F1486" s="4">
        <f>IF(SUMIFS('Daily BSE Equity Cash'!$H:$H,'Daily BSE Equity Cash'!$A:$A,$A1486)=0,"",SUMIFS('Daily BSE Equity Cash'!$H:$H,'Daily BSE Equity Cash'!$A:$A,$A1486))</f>
        <v/>
      </c>
      <c r="G1486" s="4">
        <f>IF(OR(E1486="",F1486=""),"",E1486+F1486)</f>
        <v/>
      </c>
      <c r="H1486" s="7">
        <f>IFERROR(IF(OR(E1486="",INDEX(E:E,MATCH(DATE(YEAR($A1486)-1,MONTH($A1486),DAY($A1486)),$A:$A,0))=""),"",E1486/INDEX(E:E,MATCH(DATE(YEAR($A1486)-1,MONTH($A1486),DAY($A1486)),$A:$A,0))-1),"")</f>
        <v/>
      </c>
      <c r="I1486" s="7">
        <f>IFERROR(IF(OR(F1486="",INDEX(F:F,MATCH(DATE(YEAR($A1486)-1,MONTH($A1486),DAY($A1486)),$A:$A,0))=""),"",F1486/INDEX(F:F,MATCH(DATE(YEAR($A1486)-1,MONTH($A1486),DAY($A1486)),$A:$A,0))-1),"")</f>
        <v/>
      </c>
      <c r="J1486" s="7">
        <f>IFERROR(IF(OR(G1486="",INDEX(G:G,MATCH(DATE(YEAR($A1486)-1,MONTH($A1486),DAY($A1486)),$A:$A,0))=""),"",G1486/INDEX(G:G,MATCH(DATE(YEAR($A1486)-1,MONTH($A1486),DAY($A1486)),$A:$A,0))-1),"")</f>
        <v/>
      </c>
      <c r="K1486" s="7">
        <f>IF(OR(E1486="",E1485=""),"",E1486/E1485-1)</f>
        <v/>
      </c>
      <c r="L1486" s="7">
        <f>IF(OR(F1486="",F1485=""),"",F1486/F1485-1)</f>
        <v/>
      </c>
      <c r="M1486" s="7">
        <f>IF(OR(G1486="",G1485=""),"",G1486/G1485-1)</f>
        <v/>
      </c>
      <c r="N1486" s="7">
        <f>IF(G1486="","",E1486/G1486)</f>
        <v/>
      </c>
      <c r="O1486" s="7">
        <f>IF(G1486="","",F1486/G1486)</f>
        <v/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4">
        <f>IF(SUMIFS('Daily NSE Equity Cash'!$H:$H,'Daily NSE Equity Cash'!$A:$A,$A1487)=0,"",SUMIFS('Daily NSE Equity Cash'!$H:$H,'Daily NSE Equity Cash'!$A:$A,$A1487))</f>
        <v/>
      </c>
      <c r="F1487" s="4">
        <f>IF(SUMIFS('Daily BSE Equity Cash'!$H:$H,'Daily BSE Equity Cash'!$A:$A,$A1487)=0,"",SUMIFS('Daily BSE Equity Cash'!$H:$H,'Daily BSE Equity Cash'!$A:$A,$A1487))</f>
        <v/>
      </c>
      <c r="G1487" s="4">
        <f>IF(OR(E1487="",F1487=""),"",E1487+F1487)</f>
        <v/>
      </c>
      <c r="H1487" s="7">
        <f>IFERROR(IF(OR(E1487="",INDEX(E:E,MATCH(DATE(YEAR($A1487)-1,MONTH($A1487),DAY($A1487)),$A:$A,0))=""),"",E1487/INDEX(E:E,MATCH(DATE(YEAR($A1487)-1,MONTH($A1487),DAY($A1487)),$A:$A,0))-1),"")</f>
        <v/>
      </c>
      <c r="I1487" s="7">
        <f>IFERROR(IF(OR(F1487="",INDEX(F:F,MATCH(DATE(YEAR($A1487)-1,MONTH($A1487),DAY($A1487)),$A:$A,0))=""),"",F1487/INDEX(F:F,MATCH(DATE(YEAR($A1487)-1,MONTH($A1487),DAY($A1487)),$A:$A,0))-1),"")</f>
        <v/>
      </c>
      <c r="J1487" s="7">
        <f>IFERROR(IF(OR(G1487="",INDEX(G:G,MATCH(DATE(YEAR($A1487)-1,MONTH($A1487),DAY($A1487)),$A:$A,0))=""),"",G1487/INDEX(G:G,MATCH(DATE(YEAR($A1487)-1,MONTH($A1487),DAY($A1487)),$A:$A,0))-1),"")</f>
        <v/>
      </c>
      <c r="K1487" s="7">
        <f>IF(OR(E1487="",E1486=""),"",E1487/E1486-1)</f>
        <v/>
      </c>
      <c r="L1487" s="7">
        <f>IF(OR(F1487="",F1486=""),"",F1487/F1486-1)</f>
        <v/>
      </c>
      <c r="M1487" s="7">
        <f>IF(OR(G1487="",G1486=""),"",G1487/G1486-1)</f>
        <v/>
      </c>
      <c r="N1487" s="7">
        <f>IF(G1487="","",E1487/G1487)</f>
        <v/>
      </c>
      <c r="O1487" s="7">
        <f>IF(G1487="","",F1487/G1487)</f>
        <v/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4">
        <f>IF(SUMIFS('Daily NSE Equity Cash'!$H:$H,'Daily NSE Equity Cash'!$A:$A,$A1488)=0,"",SUMIFS('Daily NSE Equity Cash'!$H:$H,'Daily NSE Equity Cash'!$A:$A,$A1488))</f>
        <v/>
      </c>
      <c r="F1488" s="4">
        <f>IF(SUMIFS('Daily BSE Equity Cash'!$H:$H,'Daily BSE Equity Cash'!$A:$A,$A1488)=0,"",SUMIFS('Daily BSE Equity Cash'!$H:$H,'Daily BSE Equity Cash'!$A:$A,$A1488))</f>
        <v/>
      </c>
      <c r="G1488" s="4">
        <f>IF(OR(E1488="",F1488=""),"",E1488+F1488)</f>
        <v/>
      </c>
      <c r="H1488" s="7">
        <f>IFERROR(IF(OR(E1488="",INDEX(E:E,MATCH(DATE(YEAR($A1488)-1,MONTH($A1488),DAY($A1488)),$A:$A,0))=""),"",E1488/INDEX(E:E,MATCH(DATE(YEAR($A1488)-1,MONTH($A1488),DAY($A1488)),$A:$A,0))-1),"")</f>
        <v/>
      </c>
      <c r="I1488" s="7">
        <f>IFERROR(IF(OR(F1488="",INDEX(F:F,MATCH(DATE(YEAR($A1488)-1,MONTH($A1488),DAY($A1488)),$A:$A,0))=""),"",F1488/INDEX(F:F,MATCH(DATE(YEAR($A1488)-1,MONTH($A1488),DAY($A1488)),$A:$A,0))-1),"")</f>
        <v/>
      </c>
      <c r="J1488" s="7">
        <f>IFERROR(IF(OR(G1488="",INDEX(G:G,MATCH(DATE(YEAR($A1488)-1,MONTH($A1488),DAY($A1488)),$A:$A,0))=""),"",G1488/INDEX(G:G,MATCH(DATE(YEAR($A1488)-1,MONTH($A1488),DAY($A1488)),$A:$A,0))-1),"")</f>
        <v/>
      </c>
      <c r="K1488" s="7">
        <f>IF(OR(E1488="",E1487=""),"",E1488/E1487-1)</f>
        <v/>
      </c>
      <c r="L1488" s="7">
        <f>IF(OR(F1488="",F1487=""),"",F1488/F1487-1)</f>
        <v/>
      </c>
      <c r="M1488" s="7">
        <f>IF(OR(G1488="",G1487=""),"",G1488/G1487-1)</f>
        <v/>
      </c>
      <c r="N1488" s="7">
        <f>IF(G1488="","",E1488/G1488)</f>
        <v/>
      </c>
      <c r="O1488" s="7">
        <f>IF(G1488="","",F1488/G1488)</f>
        <v/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4">
        <f>IF(SUMIFS('Daily NSE Equity Cash'!$H:$H,'Daily NSE Equity Cash'!$A:$A,$A1489)=0,"",SUMIFS('Daily NSE Equity Cash'!$H:$H,'Daily NSE Equity Cash'!$A:$A,$A1489))</f>
        <v/>
      </c>
      <c r="F1489" s="4">
        <f>IF(SUMIFS('Daily BSE Equity Cash'!$H:$H,'Daily BSE Equity Cash'!$A:$A,$A1489)=0,"",SUMIFS('Daily BSE Equity Cash'!$H:$H,'Daily BSE Equity Cash'!$A:$A,$A1489))</f>
        <v/>
      </c>
      <c r="G1489" s="4">
        <f>IF(OR(E1489="",F1489=""),"",E1489+F1489)</f>
        <v/>
      </c>
      <c r="H1489" s="7">
        <f>IFERROR(IF(OR(E1489="",INDEX(E:E,MATCH(DATE(YEAR($A1489)-1,MONTH($A1489),DAY($A1489)),$A:$A,0))=""),"",E1489/INDEX(E:E,MATCH(DATE(YEAR($A1489)-1,MONTH($A1489),DAY($A1489)),$A:$A,0))-1),"")</f>
        <v/>
      </c>
      <c r="I1489" s="7">
        <f>IFERROR(IF(OR(F1489="",INDEX(F:F,MATCH(DATE(YEAR($A1489)-1,MONTH($A1489),DAY($A1489)),$A:$A,0))=""),"",F1489/INDEX(F:F,MATCH(DATE(YEAR($A1489)-1,MONTH($A1489),DAY($A1489)),$A:$A,0))-1),"")</f>
        <v/>
      </c>
      <c r="J1489" s="7">
        <f>IFERROR(IF(OR(G1489="",INDEX(G:G,MATCH(DATE(YEAR($A1489)-1,MONTH($A1489),DAY($A1489)),$A:$A,0))=""),"",G1489/INDEX(G:G,MATCH(DATE(YEAR($A1489)-1,MONTH($A1489),DAY($A1489)),$A:$A,0))-1),"")</f>
        <v/>
      </c>
      <c r="K1489" s="7">
        <f>IF(OR(E1489="",E1488=""),"",E1489/E1488-1)</f>
        <v/>
      </c>
      <c r="L1489" s="7">
        <f>IF(OR(F1489="",F1488=""),"",F1489/F1488-1)</f>
        <v/>
      </c>
      <c r="M1489" s="7">
        <f>IF(OR(G1489="",G1488=""),"",G1489/G1488-1)</f>
        <v/>
      </c>
      <c r="N1489" s="7">
        <f>IF(G1489="","",E1489/G1489)</f>
        <v/>
      </c>
      <c r="O1489" s="7">
        <f>IF(G1489="","",F1489/G1489)</f>
        <v/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4">
        <f>IF(SUMIFS('Daily NSE Equity Cash'!$H:$H,'Daily NSE Equity Cash'!$A:$A,$A1490)=0,"",SUMIFS('Daily NSE Equity Cash'!$H:$H,'Daily NSE Equity Cash'!$A:$A,$A1490))</f>
        <v/>
      </c>
      <c r="F1490" s="4">
        <f>IF(SUMIFS('Daily BSE Equity Cash'!$H:$H,'Daily BSE Equity Cash'!$A:$A,$A1490)=0,"",SUMIFS('Daily BSE Equity Cash'!$H:$H,'Daily BSE Equity Cash'!$A:$A,$A1490))</f>
        <v/>
      </c>
      <c r="G1490" s="4">
        <f>IF(OR(E1490="",F1490=""),"",E1490+F1490)</f>
        <v/>
      </c>
      <c r="H1490" s="7">
        <f>IFERROR(IF(OR(E1490="",INDEX(E:E,MATCH(DATE(YEAR($A1490)-1,MONTH($A1490),DAY($A1490)),$A:$A,0))=""),"",E1490/INDEX(E:E,MATCH(DATE(YEAR($A1490)-1,MONTH($A1490),DAY($A1490)),$A:$A,0))-1),"")</f>
        <v/>
      </c>
      <c r="I1490" s="7">
        <f>IFERROR(IF(OR(F1490="",INDEX(F:F,MATCH(DATE(YEAR($A1490)-1,MONTH($A1490),DAY($A1490)),$A:$A,0))=""),"",F1490/INDEX(F:F,MATCH(DATE(YEAR($A1490)-1,MONTH($A1490),DAY($A1490)),$A:$A,0))-1),"")</f>
        <v/>
      </c>
      <c r="J1490" s="7">
        <f>IFERROR(IF(OR(G1490="",INDEX(G:G,MATCH(DATE(YEAR($A1490)-1,MONTH($A1490),DAY($A1490)),$A:$A,0))=""),"",G1490/INDEX(G:G,MATCH(DATE(YEAR($A1490)-1,MONTH($A1490),DAY($A1490)),$A:$A,0))-1),"")</f>
        <v/>
      </c>
      <c r="K1490" s="7">
        <f>IF(OR(E1490="",E1489=""),"",E1490/E1489-1)</f>
        <v/>
      </c>
      <c r="L1490" s="7">
        <f>IF(OR(F1490="",F1489=""),"",F1490/F1489-1)</f>
        <v/>
      </c>
      <c r="M1490" s="7">
        <f>IF(OR(G1490="",G1489=""),"",G1490/G1489-1)</f>
        <v/>
      </c>
      <c r="N1490" s="7">
        <f>IF(G1490="","",E1490/G1490)</f>
        <v/>
      </c>
      <c r="O1490" s="7">
        <f>IF(G1490="","",F1490/G1490)</f>
        <v/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4">
        <f>IF(SUMIFS('Daily NSE Equity Cash'!$H:$H,'Daily NSE Equity Cash'!$A:$A,$A1491)=0,"",SUMIFS('Daily NSE Equity Cash'!$H:$H,'Daily NSE Equity Cash'!$A:$A,$A1491))</f>
        <v/>
      </c>
      <c r="F1491" s="4">
        <f>IF(SUMIFS('Daily BSE Equity Cash'!$H:$H,'Daily BSE Equity Cash'!$A:$A,$A1491)=0,"",SUMIFS('Daily BSE Equity Cash'!$H:$H,'Daily BSE Equity Cash'!$A:$A,$A1491))</f>
        <v/>
      </c>
      <c r="G1491" s="4">
        <f>IF(OR(E1491="",F1491=""),"",E1491+F1491)</f>
        <v/>
      </c>
      <c r="H1491" s="7">
        <f>IFERROR(IF(OR(E1491="",INDEX(E:E,MATCH(DATE(YEAR($A1491)-1,MONTH($A1491),DAY($A1491)),$A:$A,0))=""),"",E1491/INDEX(E:E,MATCH(DATE(YEAR($A1491)-1,MONTH($A1491),DAY($A1491)),$A:$A,0))-1),"")</f>
        <v/>
      </c>
      <c r="I1491" s="7">
        <f>IFERROR(IF(OR(F1491="",INDEX(F:F,MATCH(DATE(YEAR($A1491)-1,MONTH($A1491),DAY($A1491)),$A:$A,0))=""),"",F1491/INDEX(F:F,MATCH(DATE(YEAR($A1491)-1,MONTH($A1491),DAY($A1491)),$A:$A,0))-1),"")</f>
        <v/>
      </c>
      <c r="J1491" s="7">
        <f>IFERROR(IF(OR(G1491="",INDEX(G:G,MATCH(DATE(YEAR($A1491)-1,MONTH($A1491),DAY($A1491)),$A:$A,0))=""),"",G1491/INDEX(G:G,MATCH(DATE(YEAR($A1491)-1,MONTH($A1491),DAY($A1491)),$A:$A,0))-1),"")</f>
        <v/>
      </c>
      <c r="K1491" s="7">
        <f>IF(OR(E1491="",E1490=""),"",E1491/E1490-1)</f>
        <v/>
      </c>
      <c r="L1491" s="7">
        <f>IF(OR(F1491="",F1490=""),"",F1491/F1490-1)</f>
        <v/>
      </c>
      <c r="M1491" s="7">
        <f>IF(OR(G1491="",G1490=""),"",G1491/G1490-1)</f>
        <v/>
      </c>
      <c r="N1491" s="7">
        <f>IF(G1491="","",E1491/G1491)</f>
        <v/>
      </c>
      <c r="O1491" s="7">
        <f>IF(G1491="","",F1491/G1491)</f>
        <v/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4">
        <f>IF(SUMIFS('Daily NSE Equity Cash'!$H:$H,'Daily NSE Equity Cash'!$A:$A,$A1492)=0,"",SUMIFS('Daily NSE Equity Cash'!$H:$H,'Daily NSE Equity Cash'!$A:$A,$A1492))</f>
        <v/>
      </c>
      <c r="F1492" s="4">
        <f>IF(SUMIFS('Daily BSE Equity Cash'!$H:$H,'Daily BSE Equity Cash'!$A:$A,$A1492)=0,"",SUMIFS('Daily BSE Equity Cash'!$H:$H,'Daily BSE Equity Cash'!$A:$A,$A1492))</f>
        <v/>
      </c>
      <c r="G1492" s="4">
        <f>IF(OR(E1492="",F1492=""),"",E1492+F1492)</f>
        <v/>
      </c>
      <c r="H1492" s="7">
        <f>IFERROR(IF(OR(E1492="",INDEX(E:E,MATCH(DATE(YEAR($A1492)-1,MONTH($A1492),DAY($A1492)),$A:$A,0))=""),"",E1492/INDEX(E:E,MATCH(DATE(YEAR($A1492)-1,MONTH($A1492),DAY($A1492)),$A:$A,0))-1),"")</f>
        <v/>
      </c>
      <c r="I1492" s="7">
        <f>IFERROR(IF(OR(F1492="",INDEX(F:F,MATCH(DATE(YEAR($A1492)-1,MONTH($A1492),DAY($A1492)),$A:$A,0))=""),"",F1492/INDEX(F:F,MATCH(DATE(YEAR($A1492)-1,MONTH($A1492),DAY($A1492)),$A:$A,0))-1),"")</f>
        <v/>
      </c>
      <c r="J1492" s="7">
        <f>IFERROR(IF(OR(G1492="",INDEX(G:G,MATCH(DATE(YEAR($A1492)-1,MONTH($A1492),DAY($A1492)),$A:$A,0))=""),"",G1492/INDEX(G:G,MATCH(DATE(YEAR($A1492)-1,MONTH($A1492),DAY($A1492)),$A:$A,0))-1),"")</f>
        <v/>
      </c>
      <c r="K1492" s="7">
        <f>IF(OR(E1492="",E1491=""),"",E1492/E1491-1)</f>
        <v/>
      </c>
      <c r="L1492" s="7">
        <f>IF(OR(F1492="",F1491=""),"",F1492/F1491-1)</f>
        <v/>
      </c>
      <c r="M1492" s="7">
        <f>IF(OR(G1492="",G1491=""),"",G1492/G1491-1)</f>
        <v/>
      </c>
      <c r="N1492" s="7">
        <f>IF(G1492="","",E1492/G1492)</f>
        <v/>
      </c>
      <c r="O1492" s="7">
        <f>IF(G1492="","",F1492/G1492)</f>
        <v/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4">
        <f>IF(SUMIFS('Daily NSE Equity Cash'!$H:$H,'Daily NSE Equity Cash'!$A:$A,$A1493)=0,"",SUMIFS('Daily NSE Equity Cash'!$H:$H,'Daily NSE Equity Cash'!$A:$A,$A1493))</f>
        <v/>
      </c>
      <c r="F1493" s="4">
        <f>IF(SUMIFS('Daily BSE Equity Cash'!$H:$H,'Daily BSE Equity Cash'!$A:$A,$A1493)=0,"",SUMIFS('Daily BSE Equity Cash'!$H:$H,'Daily BSE Equity Cash'!$A:$A,$A1493))</f>
        <v/>
      </c>
      <c r="G1493" s="4">
        <f>IF(OR(E1493="",F1493=""),"",E1493+F1493)</f>
        <v/>
      </c>
      <c r="H1493" s="7">
        <f>IFERROR(IF(OR(E1493="",INDEX(E:E,MATCH(DATE(YEAR($A1493)-1,MONTH($A1493),DAY($A1493)),$A:$A,0))=""),"",E1493/INDEX(E:E,MATCH(DATE(YEAR($A1493)-1,MONTH($A1493),DAY($A1493)),$A:$A,0))-1),"")</f>
        <v/>
      </c>
      <c r="I1493" s="7">
        <f>IFERROR(IF(OR(F1493="",INDEX(F:F,MATCH(DATE(YEAR($A1493)-1,MONTH($A1493),DAY($A1493)),$A:$A,0))=""),"",F1493/INDEX(F:F,MATCH(DATE(YEAR($A1493)-1,MONTH($A1493),DAY($A1493)),$A:$A,0))-1),"")</f>
        <v/>
      </c>
      <c r="J1493" s="7">
        <f>IFERROR(IF(OR(G1493="",INDEX(G:G,MATCH(DATE(YEAR($A1493)-1,MONTH($A1493),DAY($A1493)),$A:$A,0))=""),"",G1493/INDEX(G:G,MATCH(DATE(YEAR($A1493)-1,MONTH($A1493),DAY($A1493)),$A:$A,0))-1),"")</f>
        <v/>
      </c>
      <c r="K1493" s="7">
        <f>IF(OR(E1493="",E1492=""),"",E1493/E1492-1)</f>
        <v/>
      </c>
      <c r="L1493" s="7">
        <f>IF(OR(F1493="",F1492=""),"",F1493/F1492-1)</f>
        <v/>
      </c>
      <c r="M1493" s="7">
        <f>IF(OR(G1493="",G1492=""),"",G1493/G1492-1)</f>
        <v/>
      </c>
      <c r="N1493" s="7">
        <f>IF(G1493="","",E1493/G1493)</f>
        <v/>
      </c>
      <c r="O1493" s="7">
        <f>IF(G1493="","",F1493/G1493)</f>
        <v/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4">
        <f>IF(SUMIFS('Daily NSE Equity Cash'!$H:$H,'Daily NSE Equity Cash'!$A:$A,$A1494)=0,"",SUMIFS('Daily NSE Equity Cash'!$H:$H,'Daily NSE Equity Cash'!$A:$A,$A1494))</f>
        <v/>
      </c>
      <c r="F1494" s="4">
        <f>IF(SUMIFS('Daily BSE Equity Cash'!$H:$H,'Daily BSE Equity Cash'!$A:$A,$A1494)=0,"",SUMIFS('Daily BSE Equity Cash'!$H:$H,'Daily BSE Equity Cash'!$A:$A,$A1494))</f>
        <v/>
      </c>
      <c r="G1494" s="4">
        <f>IF(OR(E1494="",F1494=""),"",E1494+F1494)</f>
        <v/>
      </c>
      <c r="H1494" s="7">
        <f>IFERROR(IF(OR(E1494="",INDEX(E:E,MATCH(DATE(YEAR($A1494)-1,MONTH($A1494),DAY($A1494)),$A:$A,0))=""),"",E1494/INDEX(E:E,MATCH(DATE(YEAR($A1494)-1,MONTH($A1494),DAY($A1494)),$A:$A,0))-1),"")</f>
        <v/>
      </c>
      <c r="I1494" s="7">
        <f>IFERROR(IF(OR(F1494="",INDEX(F:F,MATCH(DATE(YEAR($A1494)-1,MONTH($A1494),DAY($A1494)),$A:$A,0))=""),"",F1494/INDEX(F:F,MATCH(DATE(YEAR($A1494)-1,MONTH($A1494),DAY($A1494)),$A:$A,0))-1),"")</f>
        <v/>
      </c>
      <c r="J1494" s="7">
        <f>IFERROR(IF(OR(G1494="",INDEX(G:G,MATCH(DATE(YEAR($A1494)-1,MONTH($A1494),DAY($A1494)),$A:$A,0))=""),"",G1494/INDEX(G:G,MATCH(DATE(YEAR($A1494)-1,MONTH($A1494),DAY($A1494)),$A:$A,0))-1),"")</f>
        <v/>
      </c>
      <c r="K1494" s="7">
        <f>IF(OR(E1494="",E1493=""),"",E1494/E1493-1)</f>
        <v/>
      </c>
      <c r="L1494" s="7">
        <f>IF(OR(F1494="",F1493=""),"",F1494/F1493-1)</f>
        <v/>
      </c>
      <c r="M1494" s="7">
        <f>IF(OR(G1494="",G1493=""),"",G1494/G1493-1)</f>
        <v/>
      </c>
      <c r="N1494" s="7">
        <f>IF(G1494="","",E1494/G1494)</f>
        <v/>
      </c>
      <c r="O1494" s="7">
        <f>IF(G1494="","",F1494/G1494)</f>
        <v/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4">
        <f>IF(SUMIFS('Daily NSE Equity Cash'!$H:$H,'Daily NSE Equity Cash'!$A:$A,$A1495)=0,"",SUMIFS('Daily NSE Equity Cash'!$H:$H,'Daily NSE Equity Cash'!$A:$A,$A1495))</f>
        <v/>
      </c>
      <c r="F1495" s="4">
        <f>IF(SUMIFS('Daily BSE Equity Cash'!$H:$H,'Daily BSE Equity Cash'!$A:$A,$A1495)=0,"",SUMIFS('Daily BSE Equity Cash'!$H:$H,'Daily BSE Equity Cash'!$A:$A,$A1495))</f>
        <v/>
      </c>
      <c r="G1495" s="4">
        <f>IF(OR(E1495="",F1495=""),"",E1495+F1495)</f>
        <v/>
      </c>
      <c r="H1495" s="7">
        <f>IFERROR(IF(OR(E1495="",INDEX(E:E,MATCH(DATE(YEAR($A1495)-1,MONTH($A1495),DAY($A1495)),$A:$A,0))=""),"",E1495/INDEX(E:E,MATCH(DATE(YEAR($A1495)-1,MONTH($A1495),DAY($A1495)),$A:$A,0))-1),"")</f>
        <v/>
      </c>
      <c r="I1495" s="7">
        <f>IFERROR(IF(OR(F1495="",INDEX(F:F,MATCH(DATE(YEAR($A1495)-1,MONTH($A1495),DAY($A1495)),$A:$A,0))=""),"",F1495/INDEX(F:F,MATCH(DATE(YEAR($A1495)-1,MONTH($A1495),DAY($A1495)),$A:$A,0))-1),"")</f>
        <v/>
      </c>
      <c r="J1495" s="7">
        <f>IFERROR(IF(OR(G1495="",INDEX(G:G,MATCH(DATE(YEAR($A1495)-1,MONTH($A1495),DAY($A1495)),$A:$A,0))=""),"",G1495/INDEX(G:G,MATCH(DATE(YEAR($A1495)-1,MONTH($A1495),DAY($A1495)),$A:$A,0))-1),"")</f>
        <v/>
      </c>
      <c r="K1495" s="7">
        <f>IF(OR(E1495="",E1494=""),"",E1495/E1494-1)</f>
        <v/>
      </c>
      <c r="L1495" s="7">
        <f>IF(OR(F1495="",F1494=""),"",F1495/F1494-1)</f>
        <v/>
      </c>
      <c r="M1495" s="7">
        <f>IF(OR(G1495="",G1494=""),"",G1495/G1494-1)</f>
        <v/>
      </c>
      <c r="N1495" s="7">
        <f>IF(G1495="","",E1495/G1495)</f>
        <v/>
      </c>
      <c r="O1495" s="7">
        <f>IF(G1495="","",F1495/G1495)</f>
        <v/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4">
        <f>IF(SUMIFS('Daily NSE Equity Cash'!$H:$H,'Daily NSE Equity Cash'!$A:$A,$A1496)=0,"",SUMIFS('Daily NSE Equity Cash'!$H:$H,'Daily NSE Equity Cash'!$A:$A,$A1496))</f>
        <v/>
      </c>
      <c r="F1496" s="4">
        <f>IF(SUMIFS('Daily BSE Equity Cash'!$H:$H,'Daily BSE Equity Cash'!$A:$A,$A1496)=0,"",SUMIFS('Daily BSE Equity Cash'!$H:$H,'Daily BSE Equity Cash'!$A:$A,$A1496))</f>
        <v/>
      </c>
      <c r="G1496" s="4">
        <f>IF(OR(E1496="",F1496=""),"",E1496+F1496)</f>
        <v/>
      </c>
      <c r="H1496" s="7">
        <f>IFERROR(IF(OR(E1496="",INDEX(E:E,MATCH(DATE(YEAR($A1496)-1,MONTH($A1496),DAY($A1496)),$A:$A,0))=""),"",E1496/INDEX(E:E,MATCH(DATE(YEAR($A1496)-1,MONTH($A1496),DAY($A1496)),$A:$A,0))-1),"")</f>
        <v/>
      </c>
      <c r="I1496" s="7">
        <f>IFERROR(IF(OR(F1496="",INDEX(F:F,MATCH(DATE(YEAR($A1496)-1,MONTH($A1496),DAY($A1496)),$A:$A,0))=""),"",F1496/INDEX(F:F,MATCH(DATE(YEAR($A1496)-1,MONTH($A1496),DAY($A1496)),$A:$A,0))-1),"")</f>
        <v/>
      </c>
      <c r="J1496" s="7">
        <f>IFERROR(IF(OR(G1496="",INDEX(G:G,MATCH(DATE(YEAR($A1496)-1,MONTH($A1496),DAY($A1496)),$A:$A,0))=""),"",G1496/INDEX(G:G,MATCH(DATE(YEAR($A1496)-1,MONTH($A1496),DAY($A1496)),$A:$A,0))-1),"")</f>
        <v/>
      </c>
      <c r="K1496" s="7">
        <f>IF(OR(E1496="",E1495=""),"",E1496/E1495-1)</f>
        <v/>
      </c>
      <c r="L1496" s="7">
        <f>IF(OR(F1496="",F1495=""),"",F1496/F1495-1)</f>
        <v/>
      </c>
      <c r="M1496" s="7">
        <f>IF(OR(G1496="",G1495=""),"",G1496/G1495-1)</f>
        <v/>
      </c>
      <c r="N1496" s="7">
        <f>IF(G1496="","",E1496/G1496)</f>
        <v/>
      </c>
      <c r="O1496" s="7">
        <f>IF(G1496="","",F1496/G1496)</f>
        <v/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4">
        <f>IF(SUMIFS('Daily NSE Equity Cash'!$H:$H,'Daily NSE Equity Cash'!$A:$A,$A1497)=0,"",SUMIFS('Daily NSE Equity Cash'!$H:$H,'Daily NSE Equity Cash'!$A:$A,$A1497))</f>
        <v/>
      </c>
      <c r="F1497" s="4">
        <f>IF(SUMIFS('Daily BSE Equity Cash'!$H:$H,'Daily BSE Equity Cash'!$A:$A,$A1497)=0,"",SUMIFS('Daily BSE Equity Cash'!$H:$H,'Daily BSE Equity Cash'!$A:$A,$A1497))</f>
        <v/>
      </c>
      <c r="G1497" s="4">
        <f>IF(OR(E1497="",F1497=""),"",E1497+F1497)</f>
        <v/>
      </c>
      <c r="H1497" s="7">
        <f>IFERROR(IF(OR(E1497="",INDEX(E:E,MATCH(DATE(YEAR($A1497)-1,MONTH($A1497),DAY($A1497)),$A:$A,0))=""),"",E1497/INDEX(E:E,MATCH(DATE(YEAR($A1497)-1,MONTH($A1497),DAY($A1497)),$A:$A,0))-1),"")</f>
        <v/>
      </c>
      <c r="I1497" s="7">
        <f>IFERROR(IF(OR(F1497="",INDEX(F:F,MATCH(DATE(YEAR($A1497)-1,MONTH($A1497),DAY($A1497)),$A:$A,0))=""),"",F1497/INDEX(F:F,MATCH(DATE(YEAR($A1497)-1,MONTH($A1497),DAY($A1497)),$A:$A,0))-1),"")</f>
        <v/>
      </c>
      <c r="J1497" s="7">
        <f>IFERROR(IF(OR(G1497="",INDEX(G:G,MATCH(DATE(YEAR($A1497)-1,MONTH($A1497),DAY($A1497)),$A:$A,0))=""),"",G1497/INDEX(G:G,MATCH(DATE(YEAR($A1497)-1,MONTH($A1497),DAY($A1497)),$A:$A,0))-1),"")</f>
        <v/>
      </c>
      <c r="K1497" s="7">
        <f>IF(OR(E1497="",E1496=""),"",E1497/E1496-1)</f>
        <v/>
      </c>
      <c r="L1497" s="7">
        <f>IF(OR(F1497="",F1496=""),"",F1497/F1496-1)</f>
        <v/>
      </c>
      <c r="M1497" s="7">
        <f>IF(OR(G1497="",G1496=""),"",G1497/G1496-1)</f>
        <v/>
      </c>
      <c r="N1497" s="7">
        <f>IF(G1497="","",E1497/G1497)</f>
        <v/>
      </c>
      <c r="O1497" s="7">
        <f>IF(G1497="","",F1497/G1497)</f>
        <v/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4">
        <f>IF(SUMIFS('Daily NSE Equity Cash'!$H:$H,'Daily NSE Equity Cash'!$A:$A,$A1498)=0,"",SUMIFS('Daily NSE Equity Cash'!$H:$H,'Daily NSE Equity Cash'!$A:$A,$A1498))</f>
        <v/>
      </c>
      <c r="F1498" s="4">
        <f>IF(SUMIFS('Daily BSE Equity Cash'!$H:$H,'Daily BSE Equity Cash'!$A:$A,$A1498)=0,"",SUMIFS('Daily BSE Equity Cash'!$H:$H,'Daily BSE Equity Cash'!$A:$A,$A1498))</f>
        <v/>
      </c>
      <c r="G1498" s="4">
        <f>IF(OR(E1498="",F1498=""),"",E1498+F1498)</f>
        <v/>
      </c>
      <c r="H1498" s="7">
        <f>IFERROR(IF(OR(E1498="",INDEX(E:E,MATCH(DATE(YEAR($A1498)-1,MONTH($A1498),DAY($A1498)),$A:$A,0))=""),"",E1498/INDEX(E:E,MATCH(DATE(YEAR($A1498)-1,MONTH($A1498),DAY($A1498)),$A:$A,0))-1),"")</f>
        <v/>
      </c>
      <c r="I1498" s="7">
        <f>IFERROR(IF(OR(F1498="",INDEX(F:F,MATCH(DATE(YEAR($A1498)-1,MONTH($A1498),DAY($A1498)),$A:$A,0))=""),"",F1498/INDEX(F:F,MATCH(DATE(YEAR($A1498)-1,MONTH($A1498),DAY($A1498)),$A:$A,0))-1),"")</f>
        <v/>
      </c>
      <c r="J1498" s="7">
        <f>IFERROR(IF(OR(G1498="",INDEX(G:G,MATCH(DATE(YEAR($A1498)-1,MONTH($A1498),DAY($A1498)),$A:$A,0))=""),"",G1498/INDEX(G:G,MATCH(DATE(YEAR($A1498)-1,MONTH($A1498),DAY($A1498)),$A:$A,0))-1),"")</f>
        <v/>
      </c>
      <c r="K1498" s="7">
        <f>IF(OR(E1498="",E1497=""),"",E1498/E1497-1)</f>
        <v/>
      </c>
      <c r="L1498" s="7">
        <f>IF(OR(F1498="",F1497=""),"",F1498/F1497-1)</f>
        <v/>
      </c>
      <c r="M1498" s="7">
        <f>IF(OR(G1498="",G1497=""),"",G1498/G1497-1)</f>
        <v/>
      </c>
      <c r="N1498" s="7">
        <f>IF(G1498="","",E1498/G1498)</f>
        <v/>
      </c>
      <c r="O1498" s="7">
        <f>IF(G1498="","",F1498/G1498)</f>
        <v/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4">
        <f>IF(SUMIFS('Daily NSE Equity Cash'!$H:$H,'Daily NSE Equity Cash'!$A:$A,$A1499)=0,"",SUMIFS('Daily NSE Equity Cash'!$H:$H,'Daily NSE Equity Cash'!$A:$A,$A1499))</f>
        <v/>
      </c>
      <c r="F1499" s="4">
        <f>IF(SUMIFS('Daily BSE Equity Cash'!$H:$H,'Daily BSE Equity Cash'!$A:$A,$A1499)=0,"",SUMIFS('Daily BSE Equity Cash'!$H:$H,'Daily BSE Equity Cash'!$A:$A,$A1499))</f>
        <v/>
      </c>
      <c r="G1499" s="4">
        <f>IF(OR(E1499="",F1499=""),"",E1499+F1499)</f>
        <v/>
      </c>
      <c r="H1499" s="7">
        <f>IFERROR(IF(OR(E1499="",INDEX(E:E,MATCH(DATE(YEAR($A1499)-1,MONTH($A1499),DAY($A1499)),$A:$A,0))=""),"",E1499/INDEX(E:E,MATCH(DATE(YEAR($A1499)-1,MONTH($A1499),DAY($A1499)),$A:$A,0))-1),"")</f>
        <v/>
      </c>
      <c r="I1499" s="7">
        <f>IFERROR(IF(OR(F1499="",INDEX(F:F,MATCH(DATE(YEAR($A1499)-1,MONTH($A1499),DAY($A1499)),$A:$A,0))=""),"",F1499/INDEX(F:F,MATCH(DATE(YEAR($A1499)-1,MONTH($A1499),DAY($A1499)),$A:$A,0))-1),"")</f>
        <v/>
      </c>
      <c r="J1499" s="7">
        <f>IFERROR(IF(OR(G1499="",INDEX(G:G,MATCH(DATE(YEAR($A1499)-1,MONTH($A1499),DAY($A1499)),$A:$A,0))=""),"",G1499/INDEX(G:G,MATCH(DATE(YEAR($A1499)-1,MONTH($A1499),DAY($A1499)),$A:$A,0))-1),"")</f>
        <v/>
      </c>
      <c r="K1499" s="7">
        <f>IF(OR(E1499="",E1498=""),"",E1499/E1498-1)</f>
        <v/>
      </c>
      <c r="L1499" s="7">
        <f>IF(OR(F1499="",F1498=""),"",F1499/F1498-1)</f>
        <v/>
      </c>
      <c r="M1499" s="7">
        <f>IF(OR(G1499="",G1498=""),"",G1499/G1498-1)</f>
        <v/>
      </c>
      <c r="N1499" s="7">
        <f>IF(G1499="","",E1499/G1499)</f>
        <v/>
      </c>
      <c r="O1499" s="7">
        <f>IF(G1499="","",F1499/G1499)</f>
        <v/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4">
        <f>IF(SUMIFS('Daily NSE Equity Cash'!$H:$H,'Daily NSE Equity Cash'!$A:$A,$A1500)=0,"",SUMIFS('Daily NSE Equity Cash'!$H:$H,'Daily NSE Equity Cash'!$A:$A,$A1500))</f>
        <v/>
      </c>
      <c r="F1500" s="4">
        <f>IF(SUMIFS('Daily BSE Equity Cash'!$H:$H,'Daily BSE Equity Cash'!$A:$A,$A1500)=0,"",SUMIFS('Daily BSE Equity Cash'!$H:$H,'Daily BSE Equity Cash'!$A:$A,$A1500))</f>
        <v/>
      </c>
      <c r="G1500" s="4">
        <f>IF(OR(E1500="",F1500=""),"",E1500+F1500)</f>
        <v/>
      </c>
      <c r="H1500" s="7">
        <f>IFERROR(IF(OR(E1500="",INDEX(E:E,MATCH(DATE(YEAR($A1500)-1,MONTH($A1500),DAY($A1500)),$A:$A,0))=""),"",E1500/INDEX(E:E,MATCH(DATE(YEAR($A1500)-1,MONTH($A1500),DAY($A1500)),$A:$A,0))-1),"")</f>
        <v/>
      </c>
      <c r="I1500" s="7">
        <f>IFERROR(IF(OR(F1500="",INDEX(F:F,MATCH(DATE(YEAR($A1500)-1,MONTH($A1500),DAY($A1500)),$A:$A,0))=""),"",F1500/INDEX(F:F,MATCH(DATE(YEAR($A1500)-1,MONTH($A1500),DAY($A1500)),$A:$A,0))-1),"")</f>
        <v/>
      </c>
      <c r="J1500" s="7">
        <f>IFERROR(IF(OR(G1500="",INDEX(G:G,MATCH(DATE(YEAR($A1500)-1,MONTH($A1500),DAY($A1500)),$A:$A,0))=""),"",G1500/INDEX(G:G,MATCH(DATE(YEAR($A1500)-1,MONTH($A1500),DAY($A1500)),$A:$A,0))-1),"")</f>
        <v/>
      </c>
      <c r="K1500" s="7">
        <f>IF(OR(E1500="",E1499=""),"",E1500/E1499-1)</f>
        <v/>
      </c>
      <c r="L1500" s="7">
        <f>IF(OR(F1500="",F1499=""),"",F1500/F1499-1)</f>
        <v/>
      </c>
      <c r="M1500" s="7">
        <f>IF(OR(G1500="",G1499=""),"",G1500/G1499-1)</f>
        <v/>
      </c>
      <c r="N1500" s="7">
        <f>IF(G1500="","",E1500/G1500)</f>
        <v/>
      </c>
      <c r="O1500" s="7">
        <f>IF(G1500="","",F1500/G1500)</f>
        <v/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4">
        <f>IF(SUMIFS('Daily NSE Equity Cash'!$H:$H,'Daily NSE Equity Cash'!$A:$A,$A1501)=0,"",SUMIFS('Daily NSE Equity Cash'!$H:$H,'Daily NSE Equity Cash'!$A:$A,$A1501))</f>
        <v/>
      </c>
      <c r="F1501" s="4">
        <f>IF(SUMIFS('Daily BSE Equity Cash'!$H:$H,'Daily BSE Equity Cash'!$A:$A,$A1501)=0,"",SUMIFS('Daily BSE Equity Cash'!$H:$H,'Daily BSE Equity Cash'!$A:$A,$A1501))</f>
        <v/>
      </c>
      <c r="G1501" s="4">
        <f>IF(OR(E1501="",F1501=""),"",E1501+F1501)</f>
        <v/>
      </c>
      <c r="H1501" s="7">
        <f>IFERROR(IF(OR(E1501="",INDEX(E:E,MATCH(DATE(YEAR($A1501)-1,MONTH($A1501),DAY($A1501)),$A:$A,0))=""),"",E1501/INDEX(E:E,MATCH(DATE(YEAR($A1501)-1,MONTH($A1501),DAY($A1501)),$A:$A,0))-1),"")</f>
        <v/>
      </c>
      <c r="I1501" s="7">
        <f>IFERROR(IF(OR(F1501="",INDEX(F:F,MATCH(DATE(YEAR($A1501)-1,MONTH($A1501),DAY($A1501)),$A:$A,0))=""),"",F1501/INDEX(F:F,MATCH(DATE(YEAR($A1501)-1,MONTH($A1501),DAY($A1501)),$A:$A,0))-1),"")</f>
        <v/>
      </c>
      <c r="J1501" s="7">
        <f>IFERROR(IF(OR(G1501="",INDEX(G:G,MATCH(DATE(YEAR($A1501)-1,MONTH($A1501),DAY($A1501)),$A:$A,0))=""),"",G1501/INDEX(G:G,MATCH(DATE(YEAR($A1501)-1,MONTH($A1501),DAY($A1501)),$A:$A,0))-1),"")</f>
        <v/>
      </c>
      <c r="K1501" s="7">
        <f>IF(OR(E1501="",E1500=""),"",E1501/E1500-1)</f>
        <v/>
      </c>
      <c r="L1501" s="7">
        <f>IF(OR(F1501="",F1500=""),"",F1501/F1500-1)</f>
        <v/>
      </c>
      <c r="M1501" s="7">
        <f>IF(OR(G1501="",G1500=""),"",G1501/G1500-1)</f>
        <v/>
      </c>
      <c r="N1501" s="7">
        <f>IF(G1501="","",E1501/G1501)</f>
        <v/>
      </c>
      <c r="O1501" s="7">
        <f>IF(G1501="","",F1501/G1501)</f>
        <v/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4">
        <f>IF(SUMIFS('Daily NSE Equity Cash'!$H:$H,'Daily NSE Equity Cash'!$A:$A,$A1502)=0,"",SUMIFS('Daily NSE Equity Cash'!$H:$H,'Daily NSE Equity Cash'!$A:$A,$A1502))</f>
        <v/>
      </c>
      <c r="F1502" s="4">
        <f>IF(SUMIFS('Daily BSE Equity Cash'!$H:$H,'Daily BSE Equity Cash'!$A:$A,$A1502)=0,"",SUMIFS('Daily BSE Equity Cash'!$H:$H,'Daily BSE Equity Cash'!$A:$A,$A1502))</f>
        <v/>
      </c>
      <c r="G1502" s="4">
        <f>IF(OR(E1502="",F1502=""),"",E1502+F1502)</f>
        <v/>
      </c>
      <c r="H1502" s="7">
        <f>IFERROR(IF(OR(E1502="",INDEX(E:E,MATCH(DATE(YEAR($A1502)-1,MONTH($A1502),DAY($A1502)),$A:$A,0))=""),"",E1502/INDEX(E:E,MATCH(DATE(YEAR($A1502)-1,MONTH($A1502),DAY($A1502)),$A:$A,0))-1),"")</f>
        <v/>
      </c>
      <c r="I1502" s="7">
        <f>IFERROR(IF(OR(F1502="",INDEX(F:F,MATCH(DATE(YEAR($A1502)-1,MONTH($A1502),DAY($A1502)),$A:$A,0))=""),"",F1502/INDEX(F:F,MATCH(DATE(YEAR($A1502)-1,MONTH($A1502),DAY($A1502)),$A:$A,0))-1),"")</f>
        <v/>
      </c>
      <c r="J1502" s="7">
        <f>IFERROR(IF(OR(G1502="",INDEX(G:G,MATCH(DATE(YEAR($A1502)-1,MONTH($A1502),DAY($A1502)),$A:$A,0))=""),"",G1502/INDEX(G:G,MATCH(DATE(YEAR($A1502)-1,MONTH($A1502),DAY($A1502)),$A:$A,0))-1),"")</f>
        <v/>
      </c>
      <c r="K1502" s="7">
        <f>IF(OR(E1502="",E1501=""),"",E1502/E1501-1)</f>
        <v/>
      </c>
      <c r="L1502" s="7">
        <f>IF(OR(F1502="",F1501=""),"",F1502/F1501-1)</f>
        <v/>
      </c>
      <c r="M1502" s="7">
        <f>IF(OR(G1502="",G1501=""),"",G1502/G1501-1)</f>
        <v/>
      </c>
      <c r="N1502" s="7">
        <f>IF(G1502="","",E1502/G1502)</f>
        <v/>
      </c>
      <c r="O1502" s="7">
        <f>IF(G1502="","",F1502/G1502)</f>
        <v/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4">
        <f>IF(SUMIFS('Daily NSE Equity Cash'!$H:$H,'Daily NSE Equity Cash'!$A:$A,$A1503)=0,"",SUMIFS('Daily NSE Equity Cash'!$H:$H,'Daily NSE Equity Cash'!$A:$A,$A1503))</f>
        <v/>
      </c>
      <c r="F1503" s="4">
        <f>IF(SUMIFS('Daily BSE Equity Cash'!$H:$H,'Daily BSE Equity Cash'!$A:$A,$A1503)=0,"",SUMIFS('Daily BSE Equity Cash'!$H:$H,'Daily BSE Equity Cash'!$A:$A,$A1503))</f>
        <v/>
      </c>
      <c r="G1503" s="4">
        <f>IF(OR(E1503="",F1503=""),"",E1503+F1503)</f>
        <v/>
      </c>
      <c r="H1503" s="7">
        <f>IFERROR(IF(OR(E1503="",INDEX(E:E,MATCH(DATE(YEAR($A1503)-1,MONTH($A1503),DAY($A1503)),$A:$A,0))=""),"",E1503/INDEX(E:E,MATCH(DATE(YEAR($A1503)-1,MONTH($A1503),DAY($A1503)),$A:$A,0))-1),"")</f>
        <v/>
      </c>
      <c r="I1503" s="7">
        <f>IFERROR(IF(OR(F1503="",INDEX(F:F,MATCH(DATE(YEAR($A1503)-1,MONTH($A1503),DAY($A1503)),$A:$A,0))=""),"",F1503/INDEX(F:F,MATCH(DATE(YEAR($A1503)-1,MONTH($A1503),DAY($A1503)),$A:$A,0))-1),"")</f>
        <v/>
      </c>
      <c r="J1503" s="7">
        <f>IFERROR(IF(OR(G1503="",INDEX(G:G,MATCH(DATE(YEAR($A1503)-1,MONTH($A1503),DAY($A1503)),$A:$A,0))=""),"",G1503/INDEX(G:G,MATCH(DATE(YEAR($A1503)-1,MONTH($A1503),DAY($A1503)),$A:$A,0))-1),"")</f>
        <v/>
      </c>
      <c r="K1503" s="7">
        <f>IF(OR(E1503="",E1502=""),"",E1503/E1502-1)</f>
        <v/>
      </c>
      <c r="L1503" s="7">
        <f>IF(OR(F1503="",F1502=""),"",F1503/F1502-1)</f>
        <v/>
      </c>
      <c r="M1503" s="7">
        <f>IF(OR(G1503="",G1502=""),"",G1503/G1502-1)</f>
        <v/>
      </c>
      <c r="N1503" s="7">
        <f>IF(G1503="","",E1503/G1503)</f>
        <v/>
      </c>
      <c r="O1503" s="7">
        <f>IF(G1503="","",F1503/G1503)</f>
        <v/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4">
        <f>IF(SUMIFS('Daily NSE Equity Cash'!$H:$H,'Daily NSE Equity Cash'!$A:$A,$A1504)=0,"",SUMIFS('Daily NSE Equity Cash'!$H:$H,'Daily NSE Equity Cash'!$A:$A,$A1504))</f>
        <v/>
      </c>
      <c r="F1504" s="4">
        <f>IF(SUMIFS('Daily BSE Equity Cash'!$H:$H,'Daily BSE Equity Cash'!$A:$A,$A1504)=0,"",SUMIFS('Daily BSE Equity Cash'!$H:$H,'Daily BSE Equity Cash'!$A:$A,$A1504))</f>
        <v/>
      </c>
      <c r="G1504" s="4">
        <f>IF(OR(E1504="",F1504=""),"",E1504+F1504)</f>
        <v/>
      </c>
      <c r="H1504" s="7">
        <f>IFERROR(IF(OR(E1504="",INDEX(E:E,MATCH(DATE(YEAR($A1504)-1,MONTH($A1504),DAY($A1504)),$A:$A,0))=""),"",E1504/INDEX(E:E,MATCH(DATE(YEAR($A1504)-1,MONTH($A1504),DAY($A1504)),$A:$A,0))-1),"")</f>
        <v/>
      </c>
      <c r="I1504" s="7">
        <f>IFERROR(IF(OR(F1504="",INDEX(F:F,MATCH(DATE(YEAR($A1504)-1,MONTH($A1504),DAY($A1504)),$A:$A,0))=""),"",F1504/INDEX(F:F,MATCH(DATE(YEAR($A1504)-1,MONTH($A1504),DAY($A1504)),$A:$A,0))-1),"")</f>
        <v/>
      </c>
      <c r="J1504" s="7">
        <f>IFERROR(IF(OR(G1504="",INDEX(G:G,MATCH(DATE(YEAR($A1504)-1,MONTH($A1504),DAY($A1504)),$A:$A,0))=""),"",G1504/INDEX(G:G,MATCH(DATE(YEAR($A1504)-1,MONTH($A1504),DAY($A1504)),$A:$A,0))-1),"")</f>
        <v/>
      </c>
      <c r="K1504" s="7">
        <f>IF(OR(E1504="",E1503=""),"",E1504/E1503-1)</f>
        <v/>
      </c>
      <c r="L1504" s="7">
        <f>IF(OR(F1504="",F1503=""),"",F1504/F1503-1)</f>
        <v/>
      </c>
      <c r="M1504" s="7">
        <f>IF(OR(G1504="",G1503=""),"",G1504/G1503-1)</f>
        <v/>
      </c>
      <c r="N1504" s="7">
        <f>IF(G1504="","",E1504/G1504)</f>
        <v/>
      </c>
      <c r="O1504" s="7">
        <f>IF(G1504="","",F1504/G1504)</f>
        <v/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4">
        <f>IF(SUMIFS('Daily NSE Equity Cash'!$H:$H,'Daily NSE Equity Cash'!$A:$A,$A1505)=0,"",SUMIFS('Daily NSE Equity Cash'!$H:$H,'Daily NSE Equity Cash'!$A:$A,$A1505))</f>
        <v/>
      </c>
      <c r="F1505" s="4">
        <f>IF(SUMIFS('Daily BSE Equity Cash'!$H:$H,'Daily BSE Equity Cash'!$A:$A,$A1505)=0,"",SUMIFS('Daily BSE Equity Cash'!$H:$H,'Daily BSE Equity Cash'!$A:$A,$A1505))</f>
        <v/>
      </c>
      <c r="G1505" s="4">
        <f>IF(OR(E1505="",F1505=""),"",E1505+F1505)</f>
        <v/>
      </c>
      <c r="H1505" s="7">
        <f>IFERROR(IF(OR(E1505="",INDEX(E:E,MATCH(DATE(YEAR($A1505)-1,MONTH($A1505),DAY($A1505)),$A:$A,0))=""),"",E1505/INDEX(E:E,MATCH(DATE(YEAR($A1505)-1,MONTH($A1505),DAY($A1505)),$A:$A,0))-1),"")</f>
        <v/>
      </c>
      <c r="I1505" s="7">
        <f>IFERROR(IF(OR(F1505="",INDEX(F:F,MATCH(DATE(YEAR($A1505)-1,MONTH($A1505),DAY($A1505)),$A:$A,0))=""),"",F1505/INDEX(F:F,MATCH(DATE(YEAR($A1505)-1,MONTH($A1505),DAY($A1505)),$A:$A,0))-1),"")</f>
        <v/>
      </c>
      <c r="J1505" s="7">
        <f>IFERROR(IF(OR(G1505="",INDEX(G:G,MATCH(DATE(YEAR($A1505)-1,MONTH($A1505),DAY($A1505)),$A:$A,0))=""),"",G1505/INDEX(G:G,MATCH(DATE(YEAR($A1505)-1,MONTH($A1505),DAY($A1505)),$A:$A,0))-1),"")</f>
        <v/>
      </c>
      <c r="K1505" s="7">
        <f>IF(OR(E1505="",E1504=""),"",E1505/E1504-1)</f>
        <v/>
      </c>
      <c r="L1505" s="7">
        <f>IF(OR(F1505="",F1504=""),"",F1505/F1504-1)</f>
        <v/>
      </c>
      <c r="M1505" s="7">
        <f>IF(OR(G1505="",G1504=""),"",G1505/G1504-1)</f>
        <v/>
      </c>
      <c r="N1505" s="7">
        <f>IF(G1505="","",E1505/G1505)</f>
        <v/>
      </c>
      <c r="O1505" s="7">
        <f>IF(G1505="","",F1505/G1505)</f>
        <v/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4">
        <f>IF(SUMIFS('Daily NSE Equity Cash'!$H:$H,'Daily NSE Equity Cash'!$A:$A,$A1506)=0,"",SUMIFS('Daily NSE Equity Cash'!$H:$H,'Daily NSE Equity Cash'!$A:$A,$A1506))</f>
        <v/>
      </c>
      <c r="F1506" s="4">
        <f>IF(SUMIFS('Daily BSE Equity Cash'!$H:$H,'Daily BSE Equity Cash'!$A:$A,$A1506)=0,"",SUMIFS('Daily BSE Equity Cash'!$H:$H,'Daily BSE Equity Cash'!$A:$A,$A1506))</f>
        <v/>
      </c>
      <c r="G1506" s="4">
        <f>IF(OR(E1506="",F1506=""),"",E1506+F1506)</f>
        <v/>
      </c>
      <c r="H1506" s="7">
        <f>IFERROR(IF(OR(E1506="",INDEX(E:E,MATCH(DATE(YEAR($A1506)-1,MONTH($A1506),DAY($A1506)),$A:$A,0))=""),"",E1506/INDEX(E:E,MATCH(DATE(YEAR($A1506)-1,MONTH($A1506),DAY($A1506)),$A:$A,0))-1),"")</f>
        <v/>
      </c>
      <c r="I1506" s="7">
        <f>IFERROR(IF(OR(F1506="",INDEX(F:F,MATCH(DATE(YEAR($A1506)-1,MONTH($A1506),DAY($A1506)),$A:$A,0))=""),"",F1506/INDEX(F:F,MATCH(DATE(YEAR($A1506)-1,MONTH($A1506),DAY($A1506)),$A:$A,0))-1),"")</f>
        <v/>
      </c>
      <c r="J1506" s="7">
        <f>IFERROR(IF(OR(G1506="",INDEX(G:G,MATCH(DATE(YEAR($A1506)-1,MONTH($A1506),DAY($A1506)),$A:$A,0))=""),"",G1506/INDEX(G:G,MATCH(DATE(YEAR($A1506)-1,MONTH($A1506),DAY($A1506)),$A:$A,0))-1),"")</f>
        <v/>
      </c>
      <c r="K1506" s="7">
        <f>IF(OR(E1506="",E1505=""),"",E1506/E1505-1)</f>
        <v/>
      </c>
      <c r="L1506" s="7">
        <f>IF(OR(F1506="",F1505=""),"",F1506/F1505-1)</f>
        <v/>
      </c>
      <c r="M1506" s="7">
        <f>IF(OR(G1506="",G1505=""),"",G1506/G1505-1)</f>
        <v/>
      </c>
      <c r="N1506" s="7">
        <f>IF(G1506="","",E1506/G1506)</f>
        <v/>
      </c>
      <c r="O1506" s="7">
        <f>IF(G1506="","",F1506/G1506)</f>
        <v/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4">
        <f>IF(SUMIFS('Daily NSE Equity Cash'!$H:$H,'Daily NSE Equity Cash'!$A:$A,$A1507)=0,"",SUMIFS('Daily NSE Equity Cash'!$H:$H,'Daily NSE Equity Cash'!$A:$A,$A1507))</f>
        <v/>
      </c>
      <c r="F1507" s="4">
        <f>IF(SUMIFS('Daily BSE Equity Cash'!$H:$H,'Daily BSE Equity Cash'!$A:$A,$A1507)=0,"",SUMIFS('Daily BSE Equity Cash'!$H:$H,'Daily BSE Equity Cash'!$A:$A,$A1507))</f>
        <v/>
      </c>
      <c r="G1507" s="4">
        <f>IF(OR(E1507="",F1507=""),"",E1507+F1507)</f>
        <v/>
      </c>
      <c r="H1507" s="7">
        <f>IFERROR(IF(OR(E1507="",INDEX(E:E,MATCH(DATE(YEAR($A1507)-1,MONTH($A1507),DAY($A1507)),$A:$A,0))=""),"",E1507/INDEX(E:E,MATCH(DATE(YEAR($A1507)-1,MONTH($A1507),DAY($A1507)),$A:$A,0))-1),"")</f>
        <v/>
      </c>
      <c r="I1507" s="7">
        <f>IFERROR(IF(OR(F1507="",INDEX(F:F,MATCH(DATE(YEAR($A1507)-1,MONTH($A1507),DAY($A1507)),$A:$A,0))=""),"",F1507/INDEX(F:F,MATCH(DATE(YEAR($A1507)-1,MONTH($A1507),DAY($A1507)),$A:$A,0))-1),"")</f>
        <v/>
      </c>
      <c r="J1507" s="7">
        <f>IFERROR(IF(OR(G1507="",INDEX(G:G,MATCH(DATE(YEAR($A1507)-1,MONTH($A1507),DAY($A1507)),$A:$A,0))=""),"",G1507/INDEX(G:G,MATCH(DATE(YEAR($A1507)-1,MONTH($A1507),DAY($A1507)),$A:$A,0))-1),"")</f>
        <v/>
      </c>
      <c r="K1507" s="7">
        <f>IF(OR(E1507="",E1506=""),"",E1507/E1506-1)</f>
        <v/>
      </c>
      <c r="L1507" s="7">
        <f>IF(OR(F1507="",F1506=""),"",F1507/F1506-1)</f>
        <v/>
      </c>
      <c r="M1507" s="7">
        <f>IF(OR(G1507="",G1506=""),"",G1507/G1506-1)</f>
        <v/>
      </c>
      <c r="N1507" s="7">
        <f>IF(G1507="","",E1507/G1507)</f>
        <v/>
      </c>
      <c r="O1507" s="7">
        <f>IF(G1507="","",F1507/G1507)</f>
        <v/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4">
        <f>IF(SUMIFS('Daily NSE Equity Cash'!$H:$H,'Daily NSE Equity Cash'!$A:$A,$A1508)=0,"",SUMIFS('Daily NSE Equity Cash'!$H:$H,'Daily NSE Equity Cash'!$A:$A,$A1508))</f>
        <v/>
      </c>
      <c r="F1508" s="4">
        <f>IF(SUMIFS('Daily BSE Equity Cash'!$H:$H,'Daily BSE Equity Cash'!$A:$A,$A1508)=0,"",SUMIFS('Daily BSE Equity Cash'!$H:$H,'Daily BSE Equity Cash'!$A:$A,$A1508))</f>
        <v/>
      </c>
      <c r="G1508" s="4">
        <f>IF(OR(E1508="",F1508=""),"",E1508+F1508)</f>
        <v/>
      </c>
      <c r="H1508" s="7">
        <f>IFERROR(IF(OR(E1508="",INDEX(E:E,MATCH(DATE(YEAR($A1508)-1,MONTH($A1508),DAY($A1508)),$A:$A,0))=""),"",E1508/INDEX(E:E,MATCH(DATE(YEAR($A1508)-1,MONTH($A1508),DAY($A1508)),$A:$A,0))-1),"")</f>
        <v/>
      </c>
      <c r="I1508" s="7">
        <f>IFERROR(IF(OR(F1508="",INDEX(F:F,MATCH(DATE(YEAR($A1508)-1,MONTH($A1508),DAY($A1508)),$A:$A,0))=""),"",F1508/INDEX(F:F,MATCH(DATE(YEAR($A1508)-1,MONTH($A1508),DAY($A1508)),$A:$A,0))-1),"")</f>
        <v/>
      </c>
      <c r="J1508" s="7">
        <f>IFERROR(IF(OR(G1508="",INDEX(G:G,MATCH(DATE(YEAR($A1508)-1,MONTH($A1508),DAY($A1508)),$A:$A,0))=""),"",G1508/INDEX(G:G,MATCH(DATE(YEAR($A1508)-1,MONTH($A1508),DAY($A1508)),$A:$A,0))-1),"")</f>
        <v/>
      </c>
      <c r="K1508" s="7">
        <f>IF(OR(E1508="",E1507=""),"",E1508/E1507-1)</f>
        <v/>
      </c>
      <c r="L1508" s="7">
        <f>IF(OR(F1508="",F1507=""),"",F1508/F1507-1)</f>
        <v/>
      </c>
      <c r="M1508" s="7">
        <f>IF(OR(G1508="",G1507=""),"",G1508/G1507-1)</f>
        <v/>
      </c>
      <c r="N1508" s="7">
        <f>IF(G1508="","",E1508/G1508)</f>
        <v/>
      </c>
      <c r="O1508" s="7">
        <f>IF(G1508="","",F1508/G1508)</f>
        <v/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4">
        <f>IF(SUMIFS('Daily NSE Equity Cash'!$H:$H,'Daily NSE Equity Cash'!$A:$A,$A1509)=0,"",SUMIFS('Daily NSE Equity Cash'!$H:$H,'Daily NSE Equity Cash'!$A:$A,$A1509))</f>
        <v/>
      </c>
      <c r="F1509" s="4">
        <f>IF(SUMIFS('Daily BSE Equity Cash'!$H:$H,'Daily BSE Equity Cash'!$A:$A,$A1509)=0,"",SUMIFS('Daily BSE Equity Cash'!$H:$H,'Daily BSE Equity Cash'!$A:$A,$A1509))</f>
        <v/>
      </c>
      <c r="G1509" s="4">
        <f>IF(OR(E1509="",F1509=""),"",E1509+F1509)</f>
        <v/>
      </c>
      <c r="H1509" s="7">
        <f>IFERROR(IF(OR(E1509="",INDEX(E:E,MATCH(DATE(YEAR($A1509)-1,MONTH($A1509),DAY($A1509)),$A:$A,0))=""),"",E1509/INDEX(E:E,MATCH(DATE(YEAR($A1509)-1,MONTH($A1509),DAY($A1509)),$A:$A,0))-1),"")</f>
        <v/>
      </c>
      <c r="I1509" s="7">
        <f>IFERROR(IF(OR(F1509="",INDEX(F:F,MATCH(DATE(YEAR($A1509)-1,MONTH($A1509),DAY($A1509)),$A:$A,0))=""),"",F1509/INDEX(F:F,MATCH(DATE(YEAR($A1509)-1,MONTH($A1509),DAY($A1509)),$A:$A,0))-1),"")</f>
        <v/>
      </c>
      <c r="J1509" s="7">
        <f>IFERROR(IF(OR(G1509="",INDEX(G:G,MATCH(DATE(YEAR($A1509)-1,MONTH($A1509),DAY($A1509)),$A:$A,0))=""),"",G1509/INDEX(G:G,MATCH(DATE(YEAR($A1509)-1,MONTH($A1509),DAY($A1509)),$A:$A,0))-1),"")</f>
        <v/>
      </c>
      <c r="K1509" s="7">
        <f>IF(OR(E1509="",E1508=""),"",E1509/E1508-1)</f>
        <v/>
      </c>
      <c r="L1509" s="7">
        <f>IF(OR(F1509="",F1508=""),"",F1509/F1508-1)</f>
        <v/>
      </c>
      <c r="M1509" s="7">
        <f>IF(OR(G1509="",G1508=""),"",G1509/G1508-1)</f>
        <v/>
      </c>
      <c r="N1509" s="7">
        <f>IF(G1509="","",E1509/G1509)</f>
        <v/>
      </c>
      <c r="O1509" s="7">
        <f>IF(G1509="","",F1509/G1509)</f>
        <v/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4">
        <f>IF(SUMIFS('Daily NSE Equity Cash'!$H:$H,'Daily NSE Equity Cash'!$A:$A,$A1510)=0,"",SUMIFS('Daily NSE Equity Cash'!$H:$H,'Daily NSE Equity Cash'!$A:$A,$A1510))</f>
        <v/>
      </c>
      <c r="F1510" s="4">
        <f>IF(SUMIFS('Daily BSE Equity Cash'!$H:$H,'Daily BSE Equity Cash'!$A:$A,$A1510)=0,"",SUMIFS('Daily BSE Equity Cash'!$H:$H,'Daily BSE Equity Cash'!$A:$A,$A1510))</f>
        <v/>
      </c>
      <c r="G1510" s="4">
        <f>IF(OR(E1510="",F1510=""),"",E1510+F1510)</f>
        <v/>
      </c>
      <c r="H1510" s="7">
        <f>IFERROR(IF(OR(E1510="",INDEX(E:E,MATCH(DATE(YEAR($A1510)-1,MONTH($A1510),DAY($A1510)),$A:$A,0))=""),"",E1510/INDEX(E:E,MATCH(DATE(YEAR($A1510)-1,MONTH($A1510),DAY($A1510)),$A:$A,0))-1),"")</f>
        <v/>
      </c>
      <c r="I1510" s="7">
        <f>IFERROR(IF(OR(F1510="",INDEX(F:F,MATCH(DATE(YEAR($A1510)-1,MONTH($A1510),DAY($A1510)),$A:$A,0))=""),"",F1510/INDEX(F:F,MATCH(DATE(YEAR($A1510)-1,MONTH($A1510),DAY($A1510)),$A:$A,0))-1),"")</f>
        <v/>
      </c>
      <c r="J1510" s="7">
        <f>IFERROR(IF(OR(G1510="",INDEX(G:G,MATCH(DATE(YEAR($A1510)-1,MONTH($A1510),DAY($A1510)),$A:$A,0))=""),"",G1510/INDEX(G:G,MATCH(DATE(YEAR($A1510)-1,MONTH($A1510),DAY($A1510)),$A:$A,0))-1),"")</f>
        <v/>
      </c>
      <c r="K1510" s="7">
        <f>IF(OR(E1510="",E1509=""),"",E1510/E1509-1)</f>
        <v/>
      </c>
      <c r="L1510" s="7">
        <f>IF(OR(F1510="",F1509=""),"",F1510/F1509-1)</f>
        <v/>
      </c>
      <c r="M1510" s="7">
        <f>IF(OR(G1510="",G1509=""),"",G1510/G1509-1)</f>
        <v/>
      </c>
      <c r="N1510" s="7">
        <f>IF(G1510="","",E1510/G1510)</f>
        <v/>
      </c>
      <c r="O1510" s="7">
        <f>IF(G1510="","",F1510/G1510)</f>
        <v/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4">
        <f>IF(SUMIFS('Daily NSE Equity Cash'!$H:$H,'Daily NSE Equity Cash'!$A:$A,$A1511)=0,"",SUMIFS('Daily NSE Equity Cash'!$H:$H,'Daily NSE Equity Cash'!$A:$A,$A1511))</f>
        <v/>
      </c>
      <c r="F1511" s="4">
        <f>IF(SUMIFS('Daily BSE Equity Cash'!$H:$H,'Daily BSE Equity Cash'!$A:$A,$A1511)=0,"",SUMIFS('Daily BSE Equity Cash'!$H:$H,'Daily BSE Equity Cash'!$A:$A,$A1511))</f>
        <v/>
      </c>
      <c r="G1511" s="4">
        <f>IF(OR(E1511="",F1511=""),"",E1511+F1511)</f>
        <v/>
      </c>
      <c r="H1511" s="7">
        <f>IFERROR(IF(OR(E1511="",INDEX(E:E,MATCH(DATE(YEAR($A1511)-1,MONTH($A1511),DAY($A1511)),$A:$A,0))=""),"",E1511/INDEX(E:E,MATCH(DATE(YEAR($A1511)-1,MONTH($A1511),DAY($A1511)),$A:$A,0))-1),"")</f>
        <v/>
      </c>
      <c r="I1511" s="7">
        <f>IFERROR(IF(OR(F1511="",INDEX(F:F,MATCH(DATE(YEAR($A1511)-1,MONTH($A1511),DAY($A1511)),$A:$A,0))=""),"",F1511/INDEX(F:F,MATCH(DATE(YEAR($A1511)-1,MONTH($A1511),DAY($A1511)),$A:$A,0))-1),"")</f>
        <v/>
      </c>
      <c r="J1511" s="7">
        <f>IFERROR(IF(OR(G1511="",INDEX(G:G,MATCH(DATE(YEAR($A1511)-1,MONTH($A1511),DAY($A1511)),$A:$A,0))=""),"",G1511/INDEX(G:G,MATCH(DATE(YEAR($A1511)-1,MONTH($A1511),DAY($A1511)),$A:$A,0))-1),"")</f>
        <v/>
      </c>
      <c r="K1511" s="7">
        <f>IF(OR(E1511="",E1510=""),"",E1511/E1510-1)</f>
        <v/>
      </c>
      <c r="L1511" s="7">
        <f>IF(OR(F1511="",F1510=""),"",F1511/F1510-1)</f>
        <v/>
      </c>
      <c r="M1511" s="7">
        <f>IF(OR(G1511="",G1510=""),"",G1511/G1510-1)</f>
        <v/>
      </c>
      <c r="N1511" s="7">
        <f>IF(G1511="","",E1511/G1511)</f>
        <v/>
      </c>
      <c r="O1511" s="7">
        <f>IF(G1511="","",F1511/G1511)</f>
        <v/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4">
        <f>IF(SUMIFS('Daily NSE Equity Cash'!$H:$H,'Daily NSE Equity Cash'!$A:$A,$A1512)=0,"",SUMIFS('Daily NSE Equity Cash'!$H:$H,'Daily NSE Equity Cash'!$A:$A,$A1512))</f>
        <v/>
      </c>
      <c r="F1512" s="4">
        <f>IF(SUMIFS('Daily BSE Equity Cash'!$H:$H,'Daily BSE Equity Cash'!$A:$A,$A1512)=0,"",SUMIFS('Daily BSE Equity Cash'!$H:$H,'Daily BSE Equity Cash'!$A:$A,$A1512))</f>
        <v/>
      </c>
      <c r="G1512" s="4">
        <f>IF(OR(E1512="",F1512=""),"",E1512+F1512)</f>
        <v/>
      </c>
      <c r="H1512" s="7">
        <f>IFERROR(IF(OR(E1512="",INDEX(E:E,MATCH(DATE(YEAR($A1512)-1,MONTH($A1512),DAY($A1512)),$A:$A,0))=""),"",E1512/INDEX(E:E,MATCH(DATE(YEAR($A1512)-1,MONTH($A1512),DAY($A1512)),$A:$A,0))-1),"")</f>
        <v/>
      </c>
      <c r="I1512" s="7">
        <f>IFERROR(IF(OR(F1512="",INDEX(F:F,MATCH(DATE(YEAR($A1512)-1,MONTH($A1512),DAY($A1512)),$A:$A,0))=""),"",F1512/INDEX(F:F,MATCH(DATE(YEAR($A1512)-1,MONTH($A1512),DAY($A1512)),$A:$A,0))-1),"")</f>
        <v/>
      </c>
      <c r="J1512" s="7">
        <f>IFERROR(IF(OR(G1512="",INDEX(G:G,MATCH(DATE(YEAR($A1512)-1,MONTH($A1512),DAY($A1512)),$A:$A,0))=""),"",G1512/INDEX(G:G,MATCH(DATE(YEAR($A1512)-1,MONTH($A1512),DAY($A1512)),$A:$A,0))-1),"")</f>
        <v/>
      </c>
      <c r="K1512" s="7">
        <f>IF(OR(E1512="",E1511=""),"",E1512/E1511-1)</f>
        <v/>
      </c>
      <c r="L1512" s="7">
        <f>IF(OR(F1512="",F1511=""),"",F1512/F1511-1)</f>
        <v/>
      </c>
      <c r="M1512" s="7">
        <f>IF(OR(G1512="",G1511=""),"",G1512/G1511-1)</f>
        <v/>
      </c>
      <c r="N1512" s="7">
        <f>IF(G1512="","",E1512/G1512)</f>
        <v/>
      </c>
      <c r="O1512" s="7">
        <f>IF(G1512="","",F1512/G1512)</f>
        <v/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4">
        <f>IF(SUMIFS('Daily NSE Equity Cash'!$H:$H,'Daily NSE Equity Cash'!$A:$A,$A1513)=0,"",SUMIFS('Daily NSE Equity Cash'!$H:$H,'Daily NSE Equity Cash'!$A:$A,$A1513))</f>
        <v/>
      </c>
      <c r="F1513" s="4">
        <f>IF(SUMIFS('Daily BSE Equity Cash'!$H:$H,'Daily BSE Equity Cash'!$A:$A,$A1513)=0,"",SUMIFS('Daily BSE Equity Cash'!$H:$H,'Daily BSE Equity Cash'!$A:$A,$A1513))</f>
        <v/>
      </c>
      <c r="G1513" s="4">
        <f>IF(OR(E1513="",F1513=""),"",E1513+F1513)</f>
        <v/>
      </c>
      <c r="H1513" s="7">
        <f>IFERROR(IF(OR(E1513="",INDEX(E:E,MATCH(DATE(YEAR($A1513)-1,MONTH($A1513),DAY($A1513)),$A:$A,0))=""),"",E1513/INDEX(E:E,MATCH(DATE(YEAR($A1513)-1,MONTH($A1513),DAY($A1513)),$A:$A,0))-1),"")</f>
        <v/>
      </c>
      <c r="I1513" s="7">
        <f>IFERROR(IF(OR(F1513="",INDEX(F:F,MATCH(DATE(YEAR($A1513)-1,MONTH($A1513),DAY($A1513)),$A:$A,0))=""),"",F1513/INDEX(F:F,MATCH(DATE(YEAR($A1513)-1,MONTH($A1513),DAY($A1513)),$A:$A,0))-1),"")</f>
        <v/>
      </c>
      <c r="J1513" s="7">
        <f>IFERROR(IF(OR(G1513="",INDEX(G:G,MATCH(DATE(YEAR($A1513)-1,MONTH($A1513),DAY($A1513)),$A:$A,0))=""),"",G1513/INDEX(G:G,MATCH(DATE(YEAR($A1513)-1,MONTH($A1513),DAY($A1513)),$A:$A,0))-1),"")</f>
        <v/>
      </c>
      <c r="K1513" s="7">
        <f>IF(OR(E1513="",E1512=""),"",E1513/E1512-1)</f>
        <v/>
      </c>
      <c r="L1513" s="7">
        <f>IF(OR(F1513="",F1512=""),"",F1513/F1512-1)</f>
        <v/>
      </c>
      <c r="M1513" s="7">
        <f>IF(OR(G1513="",G1512=""),"",G1513/G1512-1)</f>
        <v/>
      </c>
      <c r="N1513" s="7">
        <f>IF(G1513="","",E1513/G1513)</f>
        <v/>
      </c>
      <c r="O1513" s="7">
        <f>IF(G1513="","",F1513/G1513)</f>
        <v/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4">
        <f>IF(SUMIFS('Daily NSE Equity Cash'!$H:$H,'Daily NSE Equity Cash'!$A:$A,$A1514)=0,"",SUMIFS('Daily NSE Equity Cash'!$H:$H,'Daily NSE Equity Cash'!$A:$A,$A1514))</f>
        <v/>
      </c>
      <c r="F1514" s="4">
        <f>IF(SUMIFS('Daily BSE Equity Cash'!$H:$H,'Daily BSE Equity Cash'!$A:$A,$A1514)=0,"",SUMIFS('Daily BSE Equity Cash'!$H:$H,'Daily BSE Equity Cash'!$A:$A,$A1514))</f>
        <v/>
      </c>
      <c r="G1514" s="4">
        <f>IF(OR(E1514="",F1514=""),"",E1514+F1514)</f>
        <v/>
      </c>
      <c r="H1514" s="7">
        <f>IFERROR(IF(OR(E1514="",INDEX(E:E,MATCH(DATE(YEAR($A1514)-1,MONTH($A1514),DAY($A1514)),$A:$A,0))=""),"",E1514/INDEX(E:E,MATCH(DATE(YEAR($A1514)-1,MONTH($A1514),DAY($A1514)),$A:$A,0))-1),"")</f>
        <v/>
      </c>
      <c r="I1514" s="7">
        <f>IFERROR(IF(OR(F1514="",INDEX(F:F,MATCH(DATE(YEAR($A1514)-1,MONTH($A1514),DAY($A1514)),$A:$A,0))=""),"",F1514/INDEX(F:F,MATCH(DATE(YEAR($A1514)-1,MONTH($A1514),DAY($A1514)),$A:$A,0))-1),"")</f>
        <v/>
      </c>
      <c r="J1514" s="7">
        <f>IFERROR(IF(OR(G1514="",INDEX(G:G,MATCH(DATE(YEAR($A1514)-1,MONTH($A1514),DAY($A1514)),$A:$A,0))=""),"",G1514/INDEX(G:G,MATCH(DATE(YEAR($A1514)-1,MONTH($A1514),DAY($A1514)),$A:$A,0))-1),"")</f>
        <v/>
      </c>
      <c r="K1514" s="7">
        <f>IF(OR(E1514="",E1513=""),"",E1514/E1513-1)</f>
        <v/>
      </c>
      <c r="L1514" s="7">
        <f>IF(OR(F1514="",F1513=""),"",F1514/F1513-1)</f>
        <v/>
      </c>
      <c r="M1514" s="7">
        <f>IF(OR(G1514="",G1513=""),"",G1514/G1513-1)</f>
        <v/>
      </c>
      <c r="N1514" s="7">
        <f>IF(G1514="","",E1514/G1514)</f>
        <v/>
      </c>
      <c r="O1514" s="7">
        <f>IF(G1514="","",F1514/G1514)</f>
        <v/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4">
        <f>IF(SUMIFS('Daily NSE Equity Cash'!$H:$H,'Daily NSE Equity Cash'!$A:$A,$A1515)=0,"",SUMIFS('Daily NSE Equity Cash'!$H:$H,'Daily NSE Equity Cash'!$A:$A,$A1515))</f>
        <v/>
      </c>
      <c r="F1515" s="4">
        <f>IF(SUMIFS('Daily BSE Equity Cash'!$H:$H,'Daily BSE Equity Cash'!$A:$A,$A1515)=0,"",SUMIFS('Daily BSE Equity Cash'!$H:$H,'Daily BSE Equity Cash'!$A:$A,$A1515))</f>
        <v/>
      </c>
      <c r="G1515" s="4">
        <f>IF(OR(E1515="",F1515=""),"",E1515+F1515)</f>
        <v/>
      </c>
      <c r="H1515" s="7">
        <f>IFERROR(IF(OR(E1515="",INDEX(E:E,MATCH(DATE(YEAR($A1515)-1,MONTH($A1515),DAY($A1515)),$A:$A,0))=""),"",E1515/INDEX(E:E,MATCH(DATE(YEAR($A1515)-1,MONTH($A1515),DAY($A1515)),$A:$A,0))-1),"")</f>
        <v/>
      </c>
      <c r="I1515" s="7">
        <f>IFERROR(IF(OR(F1515="",INDEX(F:F,MATCH(DATE(YEAR($A1515)-1,MONTH($A1515),DAY($A1515)),$A:$A,0))=""),"",F1515/INDEX(F:F,MATCH(DATE(YEAR($A1515)-1,MONTH($A1515),DAY($A1515)),$A:$A,0))-1),"")</f>
        <v/>
      </c>
      <c r="J1515" s="7">
        <f>IFERROR(IF(OR(G1515="",INDEX(G:G,MATCH(DATE(YEAR($A1515)-1,MONTH($A1515),DAY($A1515)),$A:$A,0))=""),"",G1515/INDEX(G:G,MATCH(DATE(YEAR($A1515)-1,MONTH($A1515),DAY($A1515)),$A:$A,0))-1),"")</f>
        <v/>
      </c>
      <c r="K1515" s="7">
        <f>IF(OR(E1515="",E1514=""),"",E1515/E1514-1)</f>
        <v/>
      </c>
      <c r="L1515" s="7">
        <f>IF(OR(F1515="",F1514=""),"",F1515/F1514-1)</f>
        <v/>
      </c>
      <c r="M1515" s="7">
        <f>IF(OR(G1515="",G1514=""),"",G1515/G1514-1)</f>
        <v/>
      </c>
      <c r="N1515" s="7">
        <f>IF(G1515="","",E1515/G1515)</f>
        <v/>
      </c>
      <c r="O1515" s="7">
        <f>IF(G1515="","",F1515/G1515)</f>
        <v/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4">
        <f>IF(SUMIFS('Daily NSE Equity Cash'!$H:$H,'Daily NSE Equity Cash'!$A:$A,$A1516)=0,"",SUMIFS('Daily NSE Equity Cash'!$H:$H,'Daily NSE Equity Cash'!$A:$A,$A1516))</f>
        <v/>
      </c>
      <c r="F1516" s="4">
        <f>IF(SUMIFS('Daily BSE Equity Cash'!$H:$H,'Daily BSE Equity Cash'!$A:$A,$A1516)=0,"",SUMIFS('Daily BSE Equity Cash'!$H:$H,'Daily BSE Equity Cash'!$A:$A,$A1516))</f>
        <v/>
      </c>
      <c r="G1516" s="4">
        <f>IF(OR(E1516="",F1516=""),"",E1516+F1516)</f>
        <v/>
      </c>
      <c r="H1516" s="7">
        <f>IFERROR(IF(OR(E1516="",INDEX(E:E,MATCH(DATE(YEAR($A1516)-1,MONTH($A1516),DAY($A1516)),$A:$A,0))=""),"",E1516/INDEX(E:E,MATCH(DATE(YEAR($A1516)-1,MONTH($A1516),DAY($A1516)),$A:$A,0))-1),"")</f>
        <v/>
      </c>
      <c r="I1516" s="7">
        <f>IFERROR(IF(OR(F1516="",INDEX(F:F,MATCH(DATE(YEAR($A1516)-1,MONTH($A1516),DAY($A1516)),$A:$A,0))=""),"",F1516/INDEX(F:F,MATCH(DATE(YEAR($A1516)-1,MONTH($A1516),DAY($A1516)),$A:$A,0))-1),"")</f>
        <v/>
      </c>
      <c r="J1516" s="7">
        <f>IFERROR(IF(OR(G1516="",INDEX(G:G,MATCH(DATE(YEAR($A1516)-1,MONTH($A1516),DAY($A1516)),$A:$A,0))=""),"",G1516/INDEX(G:G,MATCH(DATE(YEAR($A1516)-1,MONTH($A1516),DAY($A1516)),$A:$A,0))-1),"")</f>
        <v/>
      </c>
      <c r="K1516" s="7">
        <f>IF(OR(E1516="",E1515=""),"",E1516/E1515-1)</f>
        <v/>
      </c>
      <c r="L1516" s="7">
        <f>IF(OR(F1516="",F1515=""),"",F1516/F1515-1)</f>
        <v/>
      </c>
      <c r="M1516" s="7">
        <f>IF(OR(G1516="",G1515=""),"",G1516/G1515-1)</f>
        <v/>
      </c>
      <c r="N1516" s="7">
        <f>IF(G1516="","",E1516/G1516)</f>
        <v/>
      </c>
      <c r="O1516" s="7">
        <f>IF(G1516="","",F1516/G1516)</f>
        <v/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4">
        <f>IF(SUMIFS('Daily NSE Equity Cash'!$H:$H,'Daily NSE Equity Cash'!$A:$A,$A1517)=0,"",SUMIFS('Daily NSE Equity Cash'!$H:$H,'Daily NSE Equity Cash'!$A:$A,$A1517))</f>
        <v/>
      </c>
      <c r="F1517" s="4">
        <f>IF(SUMIFS('Daily BSE Equity Cash'!$H:$H,'Daily BSE Equity Cash'!$A:$A,$A1517)=0,"",SUMIFS('Daily BSE Equity Cash'!$H:$H,'Daily BSE Equity Cash'!$A:$A,$A1517))</f>
        <v/>
      </c>
      <c r="G1517" s="4">
        <f>IF(OR(E1517="",F1517=""),"",E1517+F1517)</f>
        <v/>
      </c>
      <c r="H1517" s="7">
        <f>IFERROR(IF(OR(E1517="",INDEX(E:E,MATCH(DATE(YEAR($A1517)-1,MONTH($A1517),DAY($A1517)),$A:$A,0))=""),"",E1517/INDEX(E:E,MATCH(DATE(YEAR($A1517)-1,MONTH($A1517),DAY($A1517)),$A:$A,0))-1),"")</f>
        <v/>
      </c>
      <c r="I1517" s="7">
        <f>IFERROR(IF(OR(F1517="",INDEX(F:F,MATCH(DATE(YEAR($A1517)-1,MONTH($A1517),DAY($A1517)),$A:$A,0))=""),"",F1517/INDEX(F:F,MATCH(DATE(YEAR($A1517)-1,MONTH($A1517),DAY($A1517)),$A:$A,0))-1),"")</f>
        <v/>
      </c>
      <c r="J1517" s="7">
        <f>IFERROR(IF(OR(G1517="",INDEX(G:G,MATCH(DATE(YEAR($A1517)-1,MONTH($A1517),DAY($A1517)),$A:$A,0))=""),"",G1517/INDEX(G:G,MATCH(DATE(YEAR($A1517)-1,MONTH($A1517),DAY($A1517)),$A:$A,0))-1),"")</f>
        <v/>
      </c>
      <c r="K1517" s="7">
        <f>IF(OR(E1517="",E1516=""),"",E1517/E1516-1)</f>
        <v/>
      </c>
      <c r="L1517" s="7">
        <f>IF(OR(F1517="",F1516=""),"",F1517/F1516-1)</f>
        <v/>
      </c>
      <c r="M1517" s="7">
        <f>IF(OR(G1517="",G1516=""),"",G1517/G1516-1)</f>
        <v/>
      </c>
      <c r="N1517" s="7">
        <f>IF(G1517="","",E1517/G1517)</f>
        <v/>
      </c>
      <c r="O1517" s="7">
        <f>IF(G1517="","",F1517/G1517)</f>
        <v/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4">
        <f>IF(SUMIFS('Daily NSE Equity Cash'!$H:$H,'Daily NSE Equity Cash'!$A:$A,$A1518)=0,"",SUMIFS('Daily NSE Equity Cash'!$H:$H,'Daily NSE Equity Cash'!$A:$A,$A1518))</f>
        <v/>
      </c>
      <c r="F1518" s="4">
        <f>IF(SUMIFS('Daily BSE Equity Cash'!$H:$H,'Daily BSE Equity Cash'!$A:$A,$A1518)=0,"",SUMIFS('Daily BSE Equity Cash'!$H:$H,'Daily BSE Equity Cash'!$A:$A,$A1518))</f>
        <v/>
      </c>
      <c r="G1518" s="4">
        <f>IF(OR(E1518="",F1518=""),"",E1518+F1518)</f>
        <v/>
      </c>
      <c r="H1518" s="7">
        <f>IFERROR(IF(OR(E1518="",INDEX(E:E,MATCH(DATE(YEAR($A1518)-1,MONTH($A1518),DAY($A1518)),$A:$A,0))=""),"",E1518/INDEX(E:E,MATCH(DATE(YEAR($A1518)-1,MONTH($A1518),DAY($A1518)),$A:$A,0))-1),"")</f>
        <v/>
      </c>
      <c r="I1518" s="7">
        <f>IFERROR(IF(OR(F1518="",INDEX(F:F,MATCH(DATE(YEAR($A1518)-1,MONTH($A1518),DAY($A1518)),$A:$A,0))=""),"",F1518/INDEX(F:F,MATCH(DATE(YEAR($A1518)-1,MONTH($A1518),DAY($A1518)),$A:$A,0))-1),"")</f>
        <v/>
      </c>
      <c r="J1518" s="7">
        <f>IFERROR(IF(OR(G1518="",INDEX(G:G,MATCH(DATE(YEAR($A1518)-1,MONTH($A1518),DAY($A1518)),$A:$A,0))=""),"",G1518/INDEX(G:G,MATCH(DATE(YEAR($A1518)-1,MONTH($A1518),DAY($A1518)),$A:$A,0))-1),"")</f>
        <v/>
      </c>
      <c r="K1518" s="7">
        <f>IF(OR(E1518="",E1517=""),"",E1518/E1517-1)</f>
        <v/>
      </c>
      <c r="L1518" s="7">
        <f>IF(OR(F1518="",F1517=""),"",F1518/F1517-1)</f>
        <v/>
      </c>
      <c r="M1518" s="7">
        <f>IF(OR(G1518="",G1517=""),"",G1518/G1517-1)</f>
        <v/>
      </c>
      <c r="N1518" s="7">
        <f>IF(G1518="","",E1518/G1518)</f>
        <v/>
      </c>
      <c r="O1518" s="7">
        <f>IF(G1518="","",F1518/G1518)</f>
        <v/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4">
        <f>IF(SUMIFS('Daily NSE Equity Cash'!$H:$H,'Daily NSE Equity Cash'!$A:$A,$A1519)=0,"",SUMIFS('Daily NSE Equity Cash'!$H:$H,'Daily NSE Equity Cash'!$A:$A,$A1519))</f>
        <v/>
      </c>
      <c r="F1519" s="4">
        <f>IF(SUMIFS('Daily BSE Equity Cash'!$H:$H,'Daily BSE Equity Cash'!$A:$A,$A1519)=0,"",SUMIFS('Daily BSE Equity Cash'!$H:$H,'Daily BSE Equity Cash'!$A:$A,$A1519))</f>
        <v/>
      </c>
      <c r="G1519" s="4">
        <f>IF(OR(E1519="",F1519=""),"",E1519+F1519)</f>
        <v/>
      </c>
      <c r="H1519" s="7">
        <f>IFERROR(IF(OR(E1519="",INDEX(E:E,MATCH(DATE(YEAR($A1519)-1,MONTH($A1519),DAY($A1519)),$A:$A,0))=""),"",E1519/INDEX(E:E,MATCH(DATE(YEAR($A1519)-1,MONTH($A1519),DAY($A1519)),$A:$A,0))-1),"")</f>
        <v/>
      </c>
      <c r="I1519" s="7">
        <f>IFERROR(IF(OR(F1519="",INDEX(F:F,MATCH(DATE(YEAR($A1519)-1,MONTH($A1519),DAY($A1519)),$A:$A,0))=""),"",F1519/INDEX(F:F,MATCH(DATE(YEAR($A1519)-1,MONTH($A1519),DAY($A1519)),$A:$A,0))-1),"")</f>
        <v/>
      </c>
      <c r="J1519" s="7">
        <f>IFERROR(IF(OR(G1519="",INDEX(G:G,MATCH(DATE(YEAR($A1519)-1,MONTH($A1519),DAY($A1519)),$A:$A,0))=""),"",G1519/INDEX(G:G,MATCH(DATE(YEAR($A1519)-1,MONTH($A1519),DAY($A1519)),$A:$A,0))-1),"")</f>
        <v/>
      </c>
      <c r="K1519" s="7">
        <f>IF(OR(E1519="",E1518=""),"",E1519/E1518-1)</f>
        <v/>
      </c>
      <c r="L1519" s="7">
        <f>IF(OR(F1519="",F1518=""),"",F1519/F1518-1)</f>
        <v/>
      </c>
      <c r="M1519" s="7">
        <f>IF(OR(G1519="",G1518=""),"",G1519/G1518-1)</f>
        <v/>
      </c>
      <c r="N1519" s="7">
        <f>IF(G1519="","",E1519/G1519)</f>
        <v/>
      </c>
      <c r="O1519" s="7">
        <f>IF(G1519="","",F1519/G1519)</f>
        <v/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4">
        <f>IF(SUMIFS('Daily NSE Equity Cash'!$H:$H,'Daily NSE Equity Cash'!$A:$A,$A1520)=0,"",SUMIFS('Daily NSE Equity Cash'!$H:$H,'Daily NSE Equity Cash'!$A:$A,$A1520))</f>
        <v/>
      </c>
      <c r="F1520" s="4">
        <f>IF(SUMIFS('Daily BSE Equity Cash'!$H:$H,'Daily BSE Equity Cash'!$A:$A,$A1520)=0,"",SUMIFS('Daily BSE Equity Cash'!$H:$H,'Daily BSE Equity Cash'!$A:$A,$A1520))</f>
        <v/>
      </c>
      <c r="G1520" s="4">
        <f>IF(OR(E1520="",F1520=""),"",E1520+F1520)</f>
        <v/>
      </c>
      <c r="H1520" s="7">
        <f>IFERROR(IF(OR(E1520="",INDEX(E:E,MATCH(DATE(YEAR($A1520)-1,MONTH($A1520),DAY($A1520)),$A:$A,0))=""),"",E1520/INDEX(E:E,MATCH(DATE(YEAR($A1520)-1,MONTH($A1520),DAY($A1520)),$A:$A,0))-1),"")</f>
        <v/>
      </c>
      <c r="I1520" s="7">
        <f>IFERROR(IF(OR(F1520="",INDEX(F:F,MATCH(DATE(YEAR($A1520)-1,MONTH($A1520),DAY($A1520)),$A:$A,0))=""),"",F1520/INDEX(F:F,MATCH(DATE(YEAR($A1520)-1,MONTH($A1520),DAY($A1520)),$A:$A,0))-1),"")</f>
        <v/>
      </c>
      <c r="J1520" s="7">
        <f>IFERROR(IF(OR(G1520="",INDEX(G:G,MATCH(DATE(YEAR($A1520)-1,MONTH($A1520),DAY($A1520)),$A:$A,0))=""),"",G1520/INDEX(G:G,MATCH(DATE(YEAR($A1520)-1,MONTH($A1520),DAY($A1520)),$A:$A,0))-1),"")</f>
        <v/>
      </c>
      <c r="K1520" s="7">
        <f>IF(OR(E1520="",E1519=""),"",E1520/E1519-1)</f>
        <v/>
      </c>
      <c r="L1520" s="7">
        <f>IF(OR(F1520="",F1519=""),"",F1520/F1519-1)</f>
        <v/>
      </c>
      <c r="M1520" s="7">
        <f>IF(OR(G1520="",G1519=""),"",G1520/G1519-1)</f>
        <v/>
      </c>
      <c r="N1520" s="7">
        <f>IF(G1520="","",E1520/G1520)</f>
        <v/>
      </c>
      <c r="O1520" s="7">
        <f>IF(G1520="","",F1520/G1520)</f>
        <v/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4">
        <f>IF(SUMIFS('Daily NSE Equity Cash'!$H:$H,'Daily NSE Equity Cash'!$A:$A,$A1521)=0,"",SUMIFS('Daily NSE Equity Cash'!$H:$H,'Daily NSE Equity Cash'!$A:$A,$A1521))</f>
        <v/>
      </c>
      <c r="F1521" s="4">
        <f>IF(SUMIFS('Daily BSE Equity Cash'!$H:$H,'Daily BSE Equity Cash'!$A:$A,$A1521)=0,"",SUMIFS('Daily BSE Equity Cash'!$H:$H,'Daily BSE Equity Cash'!$A:$A,$A1521))</f>
        <v/>
      </c>
      <c r="G1521" s="4">
        <f>IF(OR(E1521="",F1521=""),"",E1521+F1521)</f>
        <v/>
      </c>
      <c r="H1521" s="7">
        <f>IFERROR(IF(OR(E1521="",INDEX(E:E,MATCH(DATE(YEAR($A1521)-1,MONTH($A1521),DAY($A1521)),$A:$A,0))=""),"",E1521/INDEX(E:E,MATCH(DATE(YEAR($A1521)-1,MONTH($A1521),DAY($A1521)),$A:$A,0))-1),"")</f>
        <v/>
      </c>
      <c r="I1521" s="7">
        <f>IFERROR(IF(OR(F1521="",INDEX(F:F,MATCH(DATE(YEAR($A1521)-1,MONTH($A1521),DAY($A1521)),$A:$A,0))=""),"",F1521/INDEX(F:F,MATCH(DATE(YEAR($A1521)-1,MONTH($A1521),DAY($A1521)),$A:$A,0))-1),"")</f>
        <v/>
      </c>
      <c r="J1521" s="7">
        <f>IFERROR(IF(OR(G1521="",INDEX(G:G,MATCH(DATE(YEAR($A1521)-1,MONTH($A1521),DAY($A1521)),$A:$A,0))=""),"",G1521/INDEX(G:G,MATCH(DATE(YEAR($A1521)-1,MONTH($A1521),DAY($A1521)),$A:$A,0))-1),"")</f>
        <v/>
      </c>
      <c r="K1521" s="7">
        <f>IF(OR(E1521="",E1520=""),"",E1521/E1520-1)</f>
        <v/>
      </c>
      <c r="L1521" s="7">
        <f>IF(OR(F1521="",F1520=""),"",F1521/F1520-1)</f>
        <v/>
      </c>
      <c r="M1521" s="7">
        <f>IF(OR(G1521="",G1520=""),"",G1521/G1520-1)</f>
        <v/>
      </c>
      <c r="N1521" s="7">
        <f>IF(G1521="","",E1521/G1521)</f>
        <v/>
      </c>
      <c r="O1521" s="7">
        <f>IF(G1521="","",F1521/G1521)</f>
        <v/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4">
        <f>IF(SUMIFS('Daily NSE Equity Cash'!$H:$H,'Daily NSE Equity Cash'!$A:$A,$A1522)=0,"",SUMIFS('Daily NSE Equity Cash'!$H:$H,'Daily NSE Equity Cash'!$A:$A,$A1522))</f>
        <v/>
      </c>
      <c r="F1522" s="4">
        <f>IF(SUMIFS('Daily BSE Equity Cash'!$H:$H,'Daily BSE Equity Cash'!$A:$A,$A1522)=0,"",SUMIFS('Daily BSE Equity Cash'!$H:$H,'Daily BSE Equity Cash'!$A:$A,$A1522))</f>
        <v/>
      </c>
      <c r="G1522" s="4">
        <f>IF(OR(E1522="",F1522=""),"",E1522+F1522)</f>
        <v/>
      </c>
      <c r="H1522" s="7">
        <f>IFERROR(IF(OR(E1522="",INDEX(E:E,MATCH(DATE(YEAR($A1522)-1,MONTH($A1522),DAY($A1522)),$A:$A,0))=""),"",E1522/INDEX(E:E,MATCH(DATE(YEAR($A1522)-1,MONTH($A1522),DAY($A1522)),$A:$A,0))-1),"")</f>
        <v/>
      </c>
      <c r="I1522" s="7">
        <f>IFERROR(IF(OR(F1522="",INDEX(F:F,MATCH(DATE(YEAR($A1522)-1,MONTH($A1522),DAY($A1522)),$A:$A,0))=""),"",F1522/INDEX(F:F,MATCH(DATE(YEAR($A1522)-1,MONTH($A1522),DAY($A1522)),$A:$A,0))-1),"")</f>
        <v/>
      </c>
      <c r="J1522" s="7">
        <f>IFERROR(IF(OR(G1522="",INDEX(G:G,MATCH(DATE(YEAR($A1522)-1,MONTH($A1522),DAY($A1522)),$A:$A,0))=""),"",G1522/INDEX(G:G,MATCH(DATE(YEAR($A1522)-1,MONTH($A1522),DAY($A1522)),$A:$A,0))-1),"")</f>
        <v/>
      </c>
      <c r="K1522" s="7">
        <f>IF(OR(E1522="",E1521=""),"",E1522/E1521-1)</f>
        <v/>
      </c>
      <c r="L1522" s="7">
        <f>IF(OR(F1522="",F1521=""),"",F1522/F1521-1)</f>
        <v/>
      </c>
      <c r="M1522" s="7">
        <f>IF(OR(G1522="",G1521=""),"",G1522/G1521-1)</f>
        <v/>
      </c>
      <c r="N1522" s="7">
        <f>IF(G1522="","",E1522/G1522)</f>
        <v/>
      </c>
      <c r="O1522" s="7">
        <f>IF(G1522="","",F1522/G1522)</f>
        <v/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4">
        <f>IF(SUMIFS('Daily NSE Equity Cash'!$H:$H,'Daily NSE Equity Cash'!$A:$A,$A1523)=0,"",SUMIFS('Daily NSE Equity Cash'!$H:$H,'Daily NSE Equity Cash'!$A:$A,$A1523))</f>
        <v/>
      </c>
      <c r="F1523" s="4">
        <f>IF(SUMIFS('Daily BSE Equity Cash'!$H:$H,'Daily BSE Equity Cash'!$A:$A,$A1523)=0,"",SUMIFS('Daily BSE Equity Cash'!$H:$H,'Daily BSE Equity Cash'!$A:$A,$A1523))</f>
        <v/>
      </c>
      <c r="G1523" s="4">
        <f>IF(OR(E1523="",F1523=""),"",E1523+F1523)</f>
        <v/>
      </c>
      <c r="H1523" s="7">
        <f>IFERROR(IF(OR(E1523="",INDEX(E:E,MATCH(DATE(YEAR($A1523)-1,MONTH($A1523),DAY($A1523)),$A:$A,0))=""),"",E1523/INDEX(E:E,MATCH(DATE(YEAR($A1523)-1,MONTH($A1523),DAY($A1523)),$A:$A,0))-1),"")</f>
        <v/>
      </c>
      <c r="I1523" s="7">
        <f>IFERROR(IF(OR(F1523="",INDEX(F:F,MATCH(DATE(YEAR($A1523)-1,MONTH($A1523),DAY($A1523)),$A:$A,0))=""),"",F1523/INDEX(F:F,MATCH(DATE(YEAR($A1523)-1,MONTH($A1523),DAY($A1523)),$A:$A,0))-1),"")</f>
        <v/>
      </c>
      <c r="J1523" s="7">
        <f>IFERROR(IF(OR(G1523="",INDEX(G:G,MATCH(DATE(YEAR($A1523)-1,MONTH($A1523),DAY($A1523)),$A:$A,0))=""),"",G1523/INDEX(G:G,MATCH(DATE(YEAR($A1523)-1,MONTH($A1523),DAY($A1523)),$A:$A,0))-1),"")</f>
        <v/>
      </c>
      <c r="K1523" s="7">
        <f>IF(OR(E1523="",E1522=""),"",E1523/E1522-1)</f>
        <v/>
      </c>
      <c r="L1523" s="7">
        <f>IF(OR(F1523="",F1522=""),"",F1523/F1522-1)</f>
        <v/>
      </c>
      <c r="M1523" s="7">
        <f>IF(OR(G1523="",G1522=""),"",G1523/G1522-1)</f>
        <v/>
      </c>
      <c r="N1523" s="7">
        <f>IF(G1523="","",E1523/G1523)</f>
        <v/>
      </c>
      <c r="O1523" s="7">
        <f>IF(G1523="","",F1523/G1523)</f>
        <v/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4">
        <f>IF(SUMIFS('Daily NSE Equity Cash'!$H:$H,'Daily NSE Equity Cash'!$A:$A,$A1524)=0,"",SUMIFS('Daily NSE Equity Cash'!$H:$H,'Daily NSE Equity Cash'!$A:$A,$A1524))</f>
        <v/>
      </c>
      <c r="F1524" s="4">
        <f>IF(SUMIFS('Daily BSE Equity Cash'!$H:$H,'Daily BSE Equity Cash'!$A:$A,$A1524)=0,"",SUMIFS('Daily BSE Equity Cash'!$H:$H,'Daily BSE Equity Cash'!$A:$A,$A1524))</f>
        <v/>
      </c>
      <c r="G1524" s="4">
        <f>IF(OR(E1524="",F1524=""),"",E1524+F1524)</f>
        <v/>
      </c>
      <c r="H1524" s="7">
        <f>IFERROR(IF(OR(E1524="",INDEX(E:E,MATCH(DATE(YEAR($A1524)-1,MONTH($A1524),DAY($A1524)),$A:$A,0))=""),"",E1524/INDEX(E:E,MATCH(DATE(YEAR($A1524)-1,MONTH($A1524),DAY($A1524)),$A:$A,0))-1),"")</f>
        <v/>
      </c>
      <c r="I1524" s="7">
        <f>IFERROR(IF(OR(F1524="",INDEX(F:F,MATCH(DATE(YEAR($A1524)-1,MONTH($A1524),DAY($A1524)),$A:$A,0))=""),"",F1524/INDEX(F:F,MATCH(DATE(YEAR($A1524)-1,MONTH($A1524),DAY($A1524)),$A:$A,0))-1),"")</f>
        <v/>
      </c>
      <c r="J1524" s="7">
        <f>IFERROR(IF(OR(G1524="",INDEX(G:G,MATCH(DATE(YEAR($A1524)-1,MONTH($A1524),DAY($A1524)),$A:$A,0))=""),"",G1524/INDEX(G:G,MATCH(DATE(YEAR($A1524)-1,MONTH($A1524),DAY($A1524)),$A:$A,0))-1),"")</f>
        <v/>
      </c>
      <c r="K1524" s="7">
        <f>IF(OR(E1524="",E1523=""),"",E1524/E1523-1)</f>
        <v/>
      </c>
      <c r="L1524" s="7">
        <f>IF(OR(F1524="",F1523=""),"",F1524/F1523-1)</f>
        <v/>
      </c>
      <c r="M1524" s="7">
        <f>IF(OR(G1524="",G1523=""),"",G1524/G1523-1)</f>
        <v/>
      </c>
      <c r="N1524" s="7">
        <f>IF(G1524="","",E1524/G1524)</f>
        <v/>
      </c>
      <c r="O1524" s="7">
        <f>IF(G1524="","",F1524/G1524)</f>
        <v/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4">
        <f>IF(SUMIFS('Daily NSE Equity Cash'!$H:$H,'Daily NSE Equity Cash'!$A:$A,$A1525)=0,"",SUMIFS('Daily NSE Equity Cash'!$H:$H,'Daily NSE Equity Cash'!$A:$A,$A1525))</f>
        <v/>
      </c>
      <c r="F1525" s="4">
        <f>IF(SUMIFS('Daily BSE Equity Cash'!$H:$H,'Daily BSE Equity Cash'!$A:$A,$A1525)=0,"",SUMIFS('Daily BSE Equity Cash'!$H:$H,'Daily BSE Equity Cash'!$A:$A,$A1525))</f>
        <v/>
      </c>
      <c r="G1525" s="4">
        <f>IF(OR(E1525="",F1525=""),"",E1525+F1525)</f>
        <v/>
      </c>
      <c r="H1525" s="7">
        <f>IFERROR(IF(OR(E1525="",INDEX(E:E,MATCH(DATE(YEAR($A1525)-1,MONTH($A1525),DAY($A1525)),$A:$A,0))=""),"",E1525/INDEX(E:E,MATCH(DATE(YEAR($A1525)-1,MONTH($A1525),DAY($A1525)),$A:$A,0))-1),"")</f>
        <v/>
      </c>
      <c r="I1525" s="7">
        <f>IFERROR(IF(OR(F1525="",INDEX(F:F,MATCH(DATE(YEAR($A1525)-1,MONTH($A1525),DAY($A1525)),$A:$A,0))=""),"",F1525/INDEX(F:F,MATCH(DATE(YEAR($A1525)-1,MONTH($A1525),DAY($A1525)),$A:$A,0))-1),"")</f>
        <v/>
      </c>
      <c r="J1525" s="7">
        <f>IFERROR(IF(OR(G1525="",INDEX(G:G,MATCH(DATE(YEAR($A1525)-1,MONTH($A1525),DAY($A1525)),$A:$A,0))=""),"",G1525/INDEX(G:G,MATCH(DATE(YEAR($A1525)-1,MONTH($A1525),DAY($A1525)),$A:$A,0))-1),"")</f>
        <v/>
      </c>
      <c r="K1525" s="7">
        <f>IF(OR(E1525="",E1524=""),"",E1525/E1524-1)</f>
        <v/>
      </c>
      <c r="L1525" s="7">
        <f>IF(OR(F1525="",F1524=""),"",F1525/F1524-1)</f>
        <v/>
      </c>
      <c r="M1525" s="7">
        <f>IF(OR(G1525="",G1524=""),"",G1525/G1524-1)</f>
        <v/>
      </c>
      <c r="N1525" s="7">
        <f>IF(G1525="","",E1525/G1525)</f>
        <v/>
      </c>
      <c r="O1525" s="7">
        <f>IF(G1525="","",F1525/G1525)</f>
        <v/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4">
        <f>IF(SUMIFS('Daily NSE Equity Cash'!$H:$H,'Daily NSE Equity Cash'!$A:$A,$A1526)=0,"",SUMIFS('Daily NSE Equity Cash'!$H:$H,'Daily NSE Equity Cash'!$A:$A,$A1526))</f>
        <v/>
      </c>
      <c r="F1526" s="4">
        <f>IF(SUMIFS('Daily BSE Equity Cash'!$H:$H,'Daily BSE Equity Cash'!$A:$A,$A1526)=0,"",SUMIFS('Daily BSE Equity Cash'!$H:$H,'Daily BSE Equity Cash'!$A:$A,$A1526))</f>
        <v/>
      </c>
      <c r="G1526" s="4">
        <f>IF(OR(E1526="",F1526=""),"",E1526+F1526)</f>
        <v/>
      </c>
      <c r="H1526" s="7">
        <f>IFERROR(IF(OR(E1526="",INDEX(E:E,MATCH(DATE(YEAR($A1526)-1,MONTH($A1526),DAY($A1526)),$A:$A,0))=""),"",E1526/INDEX(E:E,MATCH(DATE(YEAR($A1526)-1,MONTH($A1526),DAY($A1526)),$A:$A,0))-1),"")</f>
        <v/>
      </c>
      <c r="I1526" s="7">
        <f>IFERROR(IF(OR(F1526="",INDEX(F:F,MATCH(DATE(YEAR($A1526)-1,MONTH($A1526),DAY($A1526)),$A:$A,0))=""),"",F1526/INDEX(F:F,MATCH(DATE(YEAR($A1526)-1,MONTH($A1526),DAY($A1526)),$A:$A,0))-1),"")</f>
        <v/>
      </c>
      <c r="J1526" s="7">
        <f>IFERROR(IF(OR(G1526="",INDEX(G:G,MATCH(DATE(YEAR($A1526)-1,MONTH($A1526),DAY($A1526)),$A:$A,0))=""),"",G1526/INDEX(G:G,MATCH(DATE(YEAR($A1526)-1,MONTH($A1526),DAY($A1526)),$A:$A,0))-1),"")</f>
        <v/>
      </c>
      <c r="K1526" s="7">
        <f>IF(OR(E1526="",E1525=""),"",E1526/E1525-1)</f>
        <v/>
      </c>
      <c r="L1526" s="7">
        <f>IF(OR(F1526="",F1525=""),"",F1526/F1525-1)</f>
        <v/>
      </c>
      <c r="M1526" s="7">
        <f>IF(OR(G1526="",G1525=""),"",G1526/G1525-1)</f>
        <v/>
      </c>
      <c r="N1526" s="7">
        <f>IF(G1526="","",E1526/G1526)</f>
        <v/>
      </c>
      <c r="O1526" s="7">
        <f>IF(G1526="","",F1526/G1526)</f>
        <v/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4">
        <f>IF(SUMIFS('Daily NSE Equity Cash'!$H:$H,'Daily NSE Equity Cash'!$A:$A,$A1527)=0,"",SUMIFS('Daily NSE Equity Cash'!$H:$H,'Daily NSE Equity Cash'!$A:$A,$A1527))</f>
        <v/>
      </c>
      <c r="F1527" s="4">
        <f>IF(SUMIFS('Daily BSE Equity Cash'!$H:$H,'Daily BSE Equity Cash'!$A:$A,$A1527)=0,"",SUMIFS('Daily BSE Equity Cash'!$H:$H,'Daily BSE Equity Cash'!$A:$A,$A1527))</f>
        <v/>
      </c>
      <c r="G1527" s="4">
        <f>IF(OR(E1527="",F1527=""),"",E1527+F1527)</f>
        <v/>
      </c>
      <c r="H1527" s="7">
        <f>IFERROR(IF(OR(E1527="",INDEX(E:E,MATCH(DATE(YEAR($A1527)-1,MONTH($A1527),DAY($A1527)),$A:$A,0))=""),"",E1527/INDEX(E:E,MATCH(DATE(YEAR($A1527)-1,MONTH($A1527),DAY($A1527)),$A:$A,0))-1),"")</f>
        <v/>
      </c>
      <c r="I1527" s="7">
        <f>IFERROR(IF(OR(F1527="",INDEX(F:F,MATCH(DATE(YEAR($A1527)-1,MONTH($A1527),DAY($A1527)),$A:$A,0))=""),"",F1527/INDEX(F:F,MATCH(DATE(YEAR($A1527)-1,MONTH($A1527),DAY($A1527)),$A:$A,0))-1),"")</f>
        <v/>
      </c>
      <c r="J1527" s="7">
        <f>IFERROR(IF(OR(G1527="",INDEX(G:G,MATCH(DATE(YEAR($A1527)-1,MONTH($A1527),DAY($A1527)),$A:$A,0))=""),"",G1527/INDEX(G:G,MATCH(DATE(YEAR($A1527)-1,MONTH($A1527),DAY($A1527)),$A:$A,0))-1),"")</f>
        <v/>
      </c>
      <c r="K1527" s="7">
        <f>IF(OR(E1527="",E1526=""),"",E1527/E1526-1)</f>
        <v/>
      </c>
      <c r="L1527" s="7">
        <f>IF(OR(F1527="",F1526=""),"",F1527/F1526-1)</f>
        <v/>
      </c>
      <c r="M1527" s="7">
        <f>IF(OR(G1527="",G1526=""),"",G1527/G1526-1)</f>
        <v/>
      </c>
      <c r="N1527" s="7">
        <f>IF(G1527="","",E1527/G1527)</f>
        <v/>
      </c>
      <c r="O1527" s="7">
        <f>IF(G1527="","",F1527/G1527)</f>
        <v/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4">
        <f>IF(SUMIFS('Daily NSE Equity Cash'!$H:$H,'Daily NSE Equity Cash'!$A:$A,$A1528)=0,"",SUMIFS('Daily NSE Equity Cash'!$H:$H,'Daily NSE Equity Cash'!$A:$A,$A1528))</f>
        <v/>
      </c>
      <c r="F1528" s="4">
        <f>IF(SUMIFS('Daily BSE Equity Cash'!$H:$H,'Daily BSE Equity Cash'!$A:$A,$A1528)=0,"",SUMIFS('Daily BSE Equity Cash'!$H:$H,'Daily BSE Equity Cash'!$A:$A,$A1528))</f>
        <v/>
      </c>
      <c r="G1528" s="4">
        <f>IF(OR(E1528="",F1528=""),"",E1528+F1528)</f>
        <v/>
      </c>
      <c r="H1528" s="7">
        <f>IFERROR(IF(OR(E1528="",INDEX(E:E,MATCH(DATE(YEAR($A1528)-1,MONTH($A1528),DAY($A1528)),$A:$A,0))=""),"",E1528/INDEX(E:E,MATCH(DATE(YEAR($A1528)-1,MONTH($A1528),DAY($A1528)),$A:$A,0))-1),"")</f>
        <v/>
      </c>
      <c r="I1528" s="7">
        <f>IFERROR(IF(OR(F1528="",INDEX(F:F,MATCH(DATE(YEAR($A1528)-1,MONTH($A1528),DAY($A1528)),$A:$A,0))=""),"",F1528/INDEX(F:F,MATCH(DATE(YEAR($A1528)-1,MONTH($A1528),DAY($A1528)),$A:$A,0))-1),"")</f>
        <v/>
      </c>
      <c r="J1528" s="7">
        <f>IFERROR(IF(OR(G1528="",INDEX(G:G,MATCH(DATE(YEAR($A1528)-1,MONTH($A1528),DAY($A1528)),$A:$A,0))=""),"",G1528/INDEX(G:G,MATCH(DATE(YEAR($A1528)-1,MONTH($A1528),DAY($A1528)),$A:$A,0))-1),"")</f>
        <v/>
      </c>
      <c r="K1528" s="7">
        <f>IF(OR(E1528="",E1527=""),"",E1528/E1527-1)</f>
        <v/>
      </c>
      <c r="L1528" s="7">
        <f>IF(OR(F1528="",F1527=""),"",F1528/F1527-1)</f>
        <v/>
      </c>
      <c r="M1528" s="7">
        <f>IF(OR(G1528="",G1527=""),"",G1528/G1527-1)</f>
        <v/>
      </c>
      <c r="N1528" s="7">
        <f>IF(G1528="","",E1528/G1528)</f>
        <v/>
      </c>
      <c r="O1528" s="7">
        <f>IF(G1528="","",F1528/G1528)</f>
        <v/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4">
        <f>IF(SUMIFS('Daily NSE Equity Cash'!$H:$H,'Daily NSE Equity Cash'!$A:$A,$A1529)=0,"",SUMIFS('Daily NSE Equity Cash'!$H:$H,'Daily NSE Equity Cash'!$A:$A,$A1529))</f>
        <v/>
      </c>
      <c r="F1529" s="4">
        <f>IF(SUMIFS('Daily BSE Equity Cash'!$H:$H,'Daily BSE Equity Cash'!$A:$A,$A1529)=0,"",SUMIFS('Daily BSE Equity Cash'!$H:$H,'Daily BSE Equity Cash'!$A:$A,$A1529))</f>
        <v/>
      </c>
      <c r="G1529" s="4">
        <f>IF(OR(E1529="",F1529=""),"",E1529+F1529)</f>
        <v/>
      </c>
      <c r="H1529" s="7">
        <f>IFERROR(IF(OR(E1529="",INDEX(E:E,MATCH(DATE(YEAR($A1529)-1,MONTH($A1529),DAY($A1529)),$A:$A,0))=""),"",E1529/INDEX(E:E,MATCH(DATE(YEAR($A1529)-1,MONTH($A1529),DAY($A1529)),$A:$A,0))-1),"")</f>
        <v/>
      </c>
      <c r="I1529" s="7">
        <f>IFERROR(IF(OR(F1529="",INDEX(F:F,MATCH(DATE(YEAR($A1529)-1,MONTH($A1529),DAY($A1529)),$A:$A,0))=""),"",F1529/INDEX(F:F,MATCH(DATE(YEAR($A1529)-1,MONTH($A1529),DAY($A1529)),$A:$A,0))-1),"")</f>
        <v/>
      </c>
      <c r="J1529" s="7">
        <f>IFERROR(IF(OR(G1529="",INDEX(G:G,MATCH(DATE(YEAR($A1529)-1,MONTH($A1529),DAY($A1529)),$A:$A,0))=""),"",G1529/INDEX(G:G,MATCH(DATE(YEAR($A1529)-1,MONTH($A1529),DAY($A1529)),$A:$A,0))-1),"")</f>
        <v/>
      </c>
      <c r="K1529" s="7">
        <f>IF(OR(E1529="",E1528=""),"",E1529/E1528-1)</f>
        <v/>
      </c>
      <c r="L1529" s="7">
        <f>IF(OR(F1529="",F1528=""),"",F1529/F1528-1)</f>
        <v/>
      </c>
      <c r="M1529" s="7">
        <f>IF(OR(G1529="",G1528=""),"",G1529/G1528-1)</f>
        <v/>
      </c>
      <c r="N1529" s="7">
        <f>IF(G1529="","",E1529/G1529)</f>
        <v/>
      </c>
      <c r="O1529" s="7">
        <f>IF(G1529="","",F1529/G1529)</f>
        <v/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4">
        <f>IF(SUMIFS('Daily NSE Equity Cash'!$H:$H,'Daily NSE Equity Cash'!$A:$A,$A1530)=0,"",SUMIFS('Daily NSE Equity Cash'!$H:$H,'Daily NSE Equity Cash'!$A:$A,$A1530))</f>
        <v/>
      </c>
      <c r="F1530" s="4">
        <f>IF(SUMIFS('Daily BSE Equity Cash'!$H:$H,'Daily BSE Equity Cash'!$A:$A,$A1530)=0,"",SUMIFS('Daily BSE Equity Cash'!$H:$H,'Daily BSE Equity Cash'!$A:$A,$A1530))</f>
        <v/>
      </c>
      <c r="G1530" s="4">
        <f>IF(OR(E1530="",F1530=""),"",E1530+F1530)</f>
        <v/>
      </c>
      <c r="H1530" s="7">
        <f>IFERROR(IF(OR(E1530="",INDEX(E:E,MATCH(DATE(YEAR($A1530)-1,MONTH($A1530),DAY($A1530)),$A:$A,0))=""),"",E1530/INDEX(E:E,MATCH(DATE(YEAR($A1530)-1,MONTH($A1530),DAY($A1530)),$A:$A,0))-1),"")</f>
        <v/>
      </c>
      <c r="I1530" s="7">
        <f>IFERROR(IF(OR(F1530="",INDEX(F:F,MATCH(DATE(YEAR($A1530)-1,MONTH($A1530),DAY($A1530)),$A:$A,0))=""),"",F1530/INDEX(F:F,MATCH(DATE(YEAR($A1530)-1,MONTH($A1530),DAY($A1530)),$A:$A,0))-1),"")</f>
        <v/>
      </c>
      <c r="J1530" s="7">
        <f>IFERROR(IF(OR(G1530="",INDEX(G:G,MATCH(DATE(YEAR($A1530)-1,MONTH($A1530),DAY($A1530)),$A:$A,0))=""),"",G1530/INDEX(G:G,MATCH(DATE(YEAR($A1530)-1,MONTH($A1530),DAY($A1530)),$A:$A,0))-1),"")</f>
        <v/>
      </c>
      <c r="K1530" s="7">
        <f>IF(OR(E1530="",E1529=""),"",E1530/E1529-1)</f>
        <v/>
      </c>
      <c r="L1530" s="7">
        <f>IF(OR(F1530="",F1529=""),"",F1530/F1529-1)</f>
        <v/>
      </c>
      <c r="M1530" s="7">
        <f>IF(OR(G1530="",G1529=""),"",G1530/G1529-1)</f>
        <v/>
      </c>
      <c r="N1530" s="7">
        <f>IF(G1530="","",E1530/G1530)</f>
        <v/>
      </c>
      <c r="O1530" s="7">
        <f>IF(G1530="","",F1530/G1530)</f>
        <v/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4">
        <f>IF(SUMIFS('Daily NSE Equity Cash'!$H:$H,'Daily NSE Equity Cash'!$A:$A,$A1531)=0,"",SUMIFS('Daily NSE Equity Cash'!$H:$H,'Daily NSE Equity Cash'!$A:$A,$A1531))</f>
        <v/>
      </c>
      <c r="F1531" s="4">
        <f>IF(SUMIFS('Daily BSE Equity Cash'!$H:$H,'Daily BSE Equity Cash'!$A:$A,$A1531)=0,"",SUMIFS('Daily BSE Equity Cash'!$H:$H,'Daily BSE Equity Cash'!$A:$A,$A1531))</f>
        <v/>
      </c>
      <c r="G1531" s="4">
        <f>IF(OR(E1531="",F1531=""),"",E1531+F1531)</f>
        <v/>
      </c>
      <c r="H1531" s="7">
        <f>IFERROR(IF(OR(E1531="",INDEX(E:E,MATCH(DATE(YEAR($A1531)-1,MONTH($A1531),DAY($A1531)),$A:$A,0))=""),"",E1531/INDEX(E:E,MATCH(DATE(YEAR($A1531)-1,MONTH($A1531),DAY($A1531)),$A:$A,0))-1),"")</f>
        <v/>
      </c>
      <c r="I1531" s="7">
        <f>IFERROR(IF(OR(F1531="",INDEX(F:F,MATCH(DATE(YEAR($A1531)-1,MONTH($A1531),DAY($A1531)),$A:$A,0))=""),"",F1531/INDEX(F:F,MATCH(DATE(YEAR($A1531)-1,MONTH($A1531),DAY($A1531)),$A:$A,0))-1),"")</f>
        <v/>
      </c>
      <c r="J1531" s="7">
        <f>IFERROR(IF(OR(G1531="",INDEX(G:G,MATCH(DATE(YEAR($A1531)-1,MONTH($A1531),DAY($A1531)),$A:$A,0))=""),"",G1531/INDEX(G:G,MATCH(DATE(YEAR($A1531)-1,MONTH($A1531),DAY($A1531)),$A:$A,0))-1),"")</f>
        <v/>
      </c>
      <c r="K1531" s="7">
        <f>IF(OR(E1531="",E1530=""),"",E1531/E1530-1)</f>
        <v/>
      </c>
      <c r="L1531" s="7">
        <f>IF(OR(F1531="",F1530=""),"",F1531/F1530-1)</f>
        <v/>
      </c>
      <c r="M1531" s="7">
        <f>IF(OR(G1531="",G1530=""),"",G1531/G1530-1)</f>
        <v/>
      </c>
      <c r="N1531" s="7">
        <f>IF(G1531="","",E1531/G1531)</f>
        <v/>
      </c>
      <c r="O1531" s="7">
        <f>IF(G1531="","",F1531/G1531)</f>
        <v/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4">
        <f>IF(SUMIFS('Daily NSE Equity Cash'!$H:$H,'Daily NSE Equity Cash'!$A:$A,$A1532)=0,"",SUMIFS('Daily NSE Equity Cash'!$H:$H,'Daily NSE Equity Cash'!$A:$A,$A1532))</f>
        <v/>
      </c>
      <c r="F1532" s="4">
        <f>IF(SUMIFS('Daily BSE Equity Cash'!$H:$H,'Daily BSE Equity Cash'!$A:$A,$A1532)=0,"",SUMIFS('Daily BSE Equity Cash'!$H:$H,'Daily BSE Equity Cash'!$A:$A,$A1532))</f>
        <v/>
      </c>
      <c r="G1532" s="4">
        <f>IF(OR(E1532="",F1532=""),"",E1532+F1532)</f>
        <v/>
      </c>
      <c r="H1532" s="7">
        <f>IFERROR(IF(OR(E1532="",INDEX(E:E,MATCH(DATE(YEAR($A1532)-1,MONTH($A1532),DAY($A1532)),$A:$A,0))=""),"",E1532/INDEX(E:E,MATCH(DATE(YEAR($A1532)-1,MONTH($A1532),DAY($A1532)),$A:$A,0))-1),"")</f>
        <v/>
      </c>
      <c r="I1532" s="7">
        <f>IFERROR(IF(OR(F1532="",INDEX(F:F,MATCH(DATE(YEAR($A1532)-1,MONTH($A1532),DAY($A1532)),$A:$A,0))=""),"",F1532/INDEX(F:F,MATCH(DATE(YEAR($A1532)-1,MONTH($A1532),DAY($A1532)),$A:$A,0))-1),"")</f>
        <v/>
      </c>
      <c r="J1532" s="7">
        <f>IFERROR(IF(OR(G1532="",INDEX(G:G,MATCH(DATE(YEAR($A1532)-1,MONTH($A1532),DAY($A1532)),$A:$A,0))=""),"",G1532/INDEX(G:G,MATCH(DATE(YEAR($A1532)-1,MONTH($A1532),DAY($A1532)),$A:$A,0))-1),"")</f>
        <v/>
      </c>
      <c r="K1532" s="7">
        <f>IF(OR(E1532="",E1531=""),"",E1532/E1531-1)</f>
        <v/>
      </c>
      <c r="L1532" s="7">
        <f>IF(OR(F1532="",F1531=""),"",F1532/F1531-1)</f>
        <v/>
      </c>
      <c r="M1532" s="7">
        <f>IF(OR(G1532="",G1531=""),"",G1532/G1531-1)</f>
        <v/>
      </c>
      <c r="N1532" s="7">
        <f>IF(G1532="","",E1532/G1532)</f>
        <v/>
      </c>
      <c r="O1532" s="7">
        <f>IF(G1532="","",F1532/G1532)</f>
        <v/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4">
        <f>IF(SUMIFS('Daily NSE Equity Cash'!$H:$H,'Daily NSE Equity Cash'!$A:$A,$A1533)=0,"",SUMIFS('Daily NSE Equity Cash'!$H:$H,'Daily NSE Equity Cash'!$A:$A,$A1533))</f>
        <v/>
      </c>
      <c r="F1533" s="4">
        <f>IF(SUMIFS('Daily BSE Equity Cash'!$H:$H,'Daily BSE Equity Cash'!$A:$A,$A1533)=0,"",SUMIFS('Daily BSE Equity Cash'!$H:$H,'Daily BSE Equity Cash'!$A:$A,$A1533))</f>
        <v/>
      </c>
      <c r="G1533" s="4">
        <f>IF(OR(E1533="",F1533=""),"",E1533+F1533)</f>
        <v/>
      </c>
      <c r="H1533" s="7">
        <f>IFERROR(IF(OR(E1533="",INDEX(E:E,MATCH(DATE(YEAR($A1533)-1,MONTH($A1533),DAY($A1533)),$A:$A,0))=""),"",E1533/INDEX(E:E,MATCH(DATE(YEAR($A1533)-1,MONTH($A1533),DAY($A1533)),$A:$A,0))-1),"")</f>
        <v/>
      </c>
      <c r="I1533" s="7">
        <f>IFERROR(IF(OR(F1533="",INDEX(F:F,MATCH(DATE(YEAR($A1533)-1,MONTH($A1533),DAY($A1533)),$A:$A,0))=""),"",F1533/INDEX(F:F,MATCH(DATE(YEAR($A1533)-1,MONTH($A1533),DAY($A1533)),$A:$A,0))-1),"")</f>
        <v/>
      </c>
      <c r="J1533" s="7">
        <f>IFERROR(IF(OR(G1533="",INDEX(G:G,MATCH(DATE(YEAR($A1533)-1,MONTH($A1533),DAY($A1533)),$A:$A,0))=""),"",G1533/INDEX(G:G,MATCH(DATE(YEAR($A1533)-1,MONTH($A1533),DAY($A1533)),$A:$A,0))-1),"")</f>
        <v/>
      </c>
      <c r="K1533" s="7">
        <f>IF(OR(E1533="",E1532=""),"",E1533/E1532-1)</f>
        <v/>
      </c>
      <c r="L1533" s="7">
        <f>IF(OR(F1533="",F1532=""),"",F1533/F1532-1)</f>
        <v/>
      </c>
      <c r="M1533" s="7">
        <f>IF(OR(G1533="",G1532=""),"",G1533/G1532-1)</f>
        <v/>
      </c>
      <c r="N1533" s="7">
        <f>IF(G1533="","",E1533/G1533)</f>
        <v/>
      </c>
      <c r="O1533" s="7">
        <f>IF(G1533="","",F1533/G1533)</f>
        <v/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4">
        <f>IF(SUMIFS('Daily NSE Equity Cash'!$H:$H,'Daily NSE Equity Cash'!$A:$A,$A1534)=0,"",SUMIFS('Daily NSE Equity Cash'!$H:$H,'Daily NSE Equity Cash'!$A:$A,$A1534))</f>
        <v/>
      </c>
      <c r="F1534" s="4">
        <f>IF(SUMIFS('Daily BSE Equity Cash'!$H:$H,'Daily BSE Equity Cash'!$A:$A,$A1534)=0,"",SUMIFS('Daily BSE Equity Cash'!$H:$H,'Daily BSE Equity Cash'!$A:$A,$A1534))</f>
        <v/>
      </c>
      <c r="G1534" s="4">
        <f>IF(OR(E1534="",F1534=""),"",E1534+F1534)</f>
        <v/>
      </c>
      <c r="H1534" s="7">
        <f>IFERROR(IF(OR(E1534="",INDEX(E:E,MATCH(DATE(YEAR($A1534)-1,MONTH($A1534),DAY($A1534)),$A:$A,0))=""),"",E1534/INDEX(E:E,MATCH(DATE(YEAR($A1534)-1,MONTH($A1534),DAY($A1534)),$A:$A,0))-1),"")</f>
        <v/>
      </c>
      <c r="I1534" s="7">
        <f>IFERROR(IF(OR(F1534="",INDEX(F:F,MATCH(DATE(YEAR($A1534)-1,MONTH($A1534),DAY($A1534)),$A:$A,0))=""),"",F1534/INDEX(F:F,MATCH(DATE(YEAR($A1534)-1,MONTH($A1534),DAY($A1534)),$A:$A,0))-1),"")</f>
        <v/>
      </c>
      <c r="J1534" s="7">
        <f>IFERROR(IF(OR(G1534="",INDEX(G:G,MATCH(DATE(YEAR($A1534)-1,MONTH($A1534),DAY($A1534)),$A:$A,0))=""),"",G1534/INDEX(G:G,MATCH(DATE(YEAR($A1534)-1,MONTH($A1534),DAY($A1534)),$A:$A,0))-1),"")</f>
        <v/>
      </c>
      <c r="K1534" s="7">
        <f>IF(OR(E1534="",E1533=""),"",E1534/E1533-1)</f>
        <v/>
      </c>
      <c r="L1534" s="7">
        <f>IF(OR(F1534="",F1533=""),"",F1534/F1533-1)</f>
        <v/>
      </c>
      <c r="M1534" s="7">
        <f>IF(OR(G1534="",G1533=""),"",G1534/G1533-1)</f>
        <v/>
      </c>
      <c r="N1534" s="7">
        <f>IF(G1534="","",E1534/G1534)</f>
        <v/>
      </c>
      <c r="O1534" s="7">
        <f>IF(G1534="","",F1534/G1534)</f>
        <v/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4">
        <f>IF(SUMIFS('Daily NSE Equity Cash'!$H:$H,'Daily NSE Equity Cash'!$A:$A,$A1535)=0,"",SUMIFS('Daily NSE Equity Cash'!$H:$H,'Daily NSE Equity Cash'!$A:$A,$A1535))</f>
        <v/>
      </c>
      <c r="F1535" s="4">
        <f>IF(SUMIFS('Daily BSE Equity Cash'!$H:$H,'Daily BSE Equity Cash'!$A:$A,$A1535)=0,"",SUMIFS('Daily BSE Equity Cash'!$H:$H,'Daily BSE Equity Cash'!$A:$A,$A1535))</f>
        <v/>
      </c>
      <c r="G1535" s="4">
        <f>IF(OR(E1535="",F1535=""),"",E1535+F1535)</f>
        <v/>
      </c>
      <c r="H1535" s="7">
        <f>IFERROR(IF(OR(E1535="",INDEX(E:E,MATCH(DATE(YEAR($A1535)-1,MONTH($A1535),DAY($A1535)),$A:$A,0))=""),"",E1535/INDEX(E:E,MATCH(DATE(YEAR($A1535)-1,MONTH($A1535),DAY($A1535)),$A:$A,0))-1),"")</f>
        <v/>
      </c>
      <c r="I1535" s="7">
        <f>IFERROR(IF(OR(F1535="",INDEX(F:F,MATCH(DATE(YEAR($A1535)-1,MONTH($A1535),DAY($A1535)),$A:$A,0))=""),"",F1535/INDEX(F:F,MATCH(DATE(YEAR($A1535)-1,MONTH($A1535),DAY($A1535)),$A:$A,0))-1),"")</f>
        <v/>
      </c>
      <c r="J1535" s="7">
        <f>IFERROR(IF(OR(G1535="",INDEX(G:G,MATCH(DATE(YEAR($A1535)-1,MONTH($A1535),DAY($A1535)),$A:$A,0))=""),"",G1535/INDEX(G:G,MATCH(DATE(YEAR($A1535)-1,MONTH($A1535),DAY($A1535)),$A:$A,0))-1),"")</f>
        <v/>
      </c>
      <c r="K1535" s="7">
        <f>IF(OR(E1535="",E1534=""),"",E1535/E1534-1)</f>
        <v/>
      </c>
      <c r="L1535" s="7">
        <f>IF(OR(F1535="",F1534=""),"",F1535/F1534-1)</f>
        <v/>
      </c>
      <c r="M1535" s="7">
        <f>IF(OR(G1535="",G1534=""),"",G1535/G1534-1)</f>
        <v/>
      </c>
      <c r="N1535" s="7">
        <f>IF(G1535="","",E1535/G1535)</f>
        <v/>
      </c>
      <c r="O1535" s="7">
        <f>IF(G1535="","",F1535/G1535)</f>
        <v/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4">
        <f>IF(SUMIFS('Daily NSE Equity Cash'!$H:$H,'Daily NSE Equity Cash'!$A:$A,$A1536)=0,"",SUMIFS('Daily NSE Equity Cash'!$H:$H,'Daily NSE Equity Cash'!$A:$A,$A1536))</f>
        <v/>
      </c>
      <c r="F1536" s="4">
        <f>IF(SUMIFS('Daily BSE Equity Cash'!$H:$H,'Daily BSE Equity Cash'!$A:$A,$A1536)=0,"",SUMIFS('Daily BSE Equity Cash'!$H:$H,'Daily BSE Equity Cash'!$A:$A,$A1536))</f>
        <v/>
      </c>
      <c r="G1536" s="4">
        <f>IF(OR(E1536="",F1536=""),"",E1536+F1536)</f>
        <v/>
      </c>
      <c r="H1536" s="7">
        <f>IFERROR(IF(OR(E1536="",INDEX(E:E,MATCH(DATE(YEAR($A1536)-1,MONTH($A1536),DAY($A1536)),$A:$A,0))=""),"",E1536/INDEX(E:E,MATCH(DATE(YEAR($A1536)-1,MONTH($A1536),DAY($A1536)),$A:$A,0))-1),"")</f>
        <v/>
      </c>
      <c r="I1536" s="7">
        <f>IFERROR(IF(OR(F1536="",INDEX(F:F,MATCH(DATE(YEAR($A1536)-1,MONTH($A1536),DAY($A1536)),$A:$A,0))=""),"",F1536/INDEX(F:F,MATCH(DATE(YEAR($A1536)-1,MONTH($A1536),DAY($A1536)),$A:$A,0))-1),"")</f>
        <v/>
      </c>
      <c r="J1536" s="7">
        <f>IFERROR(IF(OR(G1536="",INDEX(G:G,MATCH(DATE(YEAR($A1536)-1,MONTH($A1536),DAY($A1536)),$A:$A,0))=""),"",G1536/INDEX(G:G,MATCH(DATE(YEAR($A1536)-1,MONTH($A1536),DAY($A1536)),$A:$A,0))-1),"")</f>
        <v/>
      </c>
      <c r="K1536" s="7">
        <f>IF(OR(E1536="",E1535=""),"",E1536/E1535-1)</f>
        <v/>
      </c>
      <c r="L1536" s="7">
        <f>IF(OR(F1536="",F1535=""),"",F1536/F1535-1)</f>
        <v/>
      </c>
      <c r="M1536" s="7">
        <f>IF(OR(G1536="",G1535=""),"",G1536/G1535-1)</f>
        <v/>
      </c>
      <c r="N1536" s="7">
        <f>IF(G1536="","",E1536/G1536)</f>
        <v/>
      </c>
      <c r="O1536" s="7">
        <f>IF(G1536="","",F1536/G1536)</f>
        <v/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4">
        <f>IF(SUMIFS('Daily NSE Equity Cash'!$H:$H,'Daily NSE Equity Cash'!$A:$A,$A1537)=0,"",SUMIFS('Daily NSE Equity Cash'!$H:$H,'Daily NSE Equity Cash'!$A:$A,$A1537))</f>
        <v/>
      </c>
      <c r="F1537" s="4">
        <f>IF(SUMIFS('Daily BSE Equity Cash'!$H:$H,'Daily BSE Equity Cash'!$A:$A,$A1537)=0,"",SUMIFS('Daily BSE Equity Cash'!$H:$H,'Daily BSE Equity Cash'!$A:$A,$A1537))</f>
        <v/>
      </c>
      <c r="G1537" s="4">
        <f>IF(OR(E1537="",F1537=""),"",E1537+F1537)</f>
        <v/>
      </c>
      <c r="H1537" s="7">
        <f>IFERROR(IF(OR(E1537="",INDEX(E:E,MATCH(DATE(YEAR($A1537)-1,MONTH($A1537),DAY($A1537)),$A:$A,0))=""),"",E1537/INDEX(E:E,MATCH(DATE(YEAR($A1537)-1,MONTH($A1537),DAY($A1537)),$A:$A,0))-1),"")</f>
        <v/>
      </c>
      <c r="I1537" s="7">
        <f>IFERROR(IF(OR(F1537="",INDEX(F:F,MATCH(DATE(YEAR($A1537)-1,MONTH($A1537),DAY($A1537)),$A:$A,0))=""),"",F1537/INDEX(F:F,MATCH(DATE(YEAR($A1537)-1,MONTH($A1537),DAY($A1537)),$A:$A,0))-1),"")</f>
        <v/>
      </c>
      <c r="J1537" s="7">
        <f>IFERROR(IF(OR(G1537="",INDEX(G:G,MATCH(DATE(YEAR($A1537)-1,MONTH($A1537),DAY($A1537)),$A:$A,0))=""),"",G1537/INDEX(G:G,MATCH(DATE(YEAR($A1537)-1,MONTH($A1537),DAY($A1537)),$A:$A,0))-1),"")</f>
        <v/>
      </c>
      <c r="K1537" s="7">
        <f>IF(OR(E1537="",E1536=""),"",E1537/E1536-1)</f>
        <v/>
      </c>
      <c r="L1537" s="7">
        <f>IF(OR(F1537="",F1536=""),"",F1537/F1536-1)</f>
        <v/>
      </c>
      <c r="M1537" s="7">
        <f>IF(OR(G1537="",G1536=""),"",G1537/G1536-1)</f>
        <v/>
      </c>
      <c r="N1537" s="7">
        <f>IF(G1537="","",E1537/G1537)</f>
        <v/>
      </c>
      <c r="O1537" s="7">
        <f>IF(G1537="","",F1537/G1537)</f>
        <v/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4">
        <f>IF(SUMIFS('Daily NSE Equity Cash'!$H:$H,'Daily NSE Equity Cash'!$A:$A,$A1538)=0,"",SUMIFS('Daily NSE Equity Cash'!$H:$H,'Daily NSE Equity Cash'!$A:$A,$A1538))</f>
        <v/>
      </c>
      <c r="F1538" s="4">
        <f>IF(SUMIFS('Daily BSE Equity Cash'!$H:$H,'Daily BSE Equity Cash'!$A:$A,$A1538)=0,"",SUMIFS('Daily BSE Equity Cash'!$H:$H,'Daily BSE Equity Cash'!$A:$A,$A1538))</f>
        <v/>
      </c>
      <c r="G1538" s="4">
        <f>IF(OR(E1538="",F1538=""),"",E1538+F1538)</f>
        <v/>
      </c>
      <c r="H1538" s="7">
        <f>IFERROR(IF(OR(E1538="",INDEX(E:E,MATCH(DATE(YEAR($A1538)-1,MONTH($A1538),DAY($A1538)),$A:$A,0))=""),"",E1538/INDEX(E:E,MATCH(DATE(YEAR($A1538)-1,MONTH($A1538),DAY($A1538)),$A:$A,0))-1),"")</f>
        <v/>
      </c>
      <c r="I1538" s="7">
        <f>IFERROR(IF(OR(F1538="",INDEX(F:F,MATCH(DATE(YEAR($A1538)-1,MONTH($A1538),DAY($A1538)),$A:$A,0))=""),"",F1538/INDEX(F:F,MATCH(DATE(YEAR($A1538)-1,MONTH($A1538),DAY($A1538)),$A:$A,0))-1),"")</f>
        <v/>
      </c>
      <c r="J1538" s="7">
        <f>IFERROR(IF(OR(G1538="",INDEX(G:G,MATCH(DATE(YEAR($A1538)-1,MONTH($A1538),DAY($A1538)),$A:$A,0))=""),"",G1538/INDEX(G:G,MATCH(DATE(YEAR($A1538)-1,MONTH($A1538),DAY($A1538)),$A:$A,0))-1),"")</f>
        <v/>
      </c>
      <c r="K1538" s="7">
        <f>IF(OR(E1538="",E1537=""),"",E1538/E1537-1)</f>
        <v/>
      </c>
      <c r="L1538" s="7">
        <f>IF(OR(F1538="",F1537=""),"",F1538/F1537-1)</f>
        <v/>
      </c>
      <c r="M1538" s="7">
        <f>IF(OR(G1538="",G1537=""),"",G1538/G1537-1)</f>
        <v/>
      </c>
      <c r="N1538" s="7">
        <f>IF(G1538="","",E1538/G1538)</f>
        <v/>
      </c>
      <c r="O1538" s="7">
        <f>IF(G1538="","",F1538/G1538)</f>
        <v/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4">
        <f>IF(SUMIFS('Daily NSE Equity Cash'!$H:$H,'Daily NSE Equity Cash'!$A:$A,$A1539)=0,"",SUMIFS('Daily NSE Equity Cash'!$H:$H,'Daily NSE Equity Cash'!$A:$A,$A1539))</f>
        <v/>
      </c>
      <c r="F1539" s="4">
        <f>IF(SUMIFS('Daily BSE Equity Cash'!$H:$H,'Daily BSE Equity Cash'!$A:$A,$A1539)=0,"",SUMIFS('Daily BSE Equity Cash'!$H:$H,'Daily BSE Equity Cash'!$A:$A,$A1539))</f>
        <v/>
      </c>
      <c r="G1539" s="4">
        <f>IF(OR(E1539="",F1539=""),"",E1539+F1539)</f>
        <v/>
      </c>
      <c r="H1539" s="7">
        <f>IFERROR(IF(OR(E1539="",INDEX(E:E,MATCH(DATE(YEAR($A1539)-1,MONTH($A1539),DAY($A1539)),$A:$A,0))=""),"",E1539/INDEX(E:E,MATCH(DATE(YEAR($A1539)-1,MONTH($A1539),DAY($A1539)),$A:$A,0))-1),"")</f>
        <v/>
      </c>
      <c r="I1539" s="7">
        <f>IFERROR(IF(OR(F1539="",INDEX(F:F,MATCH(DATE(YEAR($A1539)-1,MONTH($A1539),DAY($A1539)),$A:$A,0))=""),"",F1539/INDEX(F:F,MATCH(DATE(YEAR($A1539)-1,MONTH($A1539),DAY($A1539)),$A:$A,0))-1),"")</f>
        <v/>
      </c>
      <c r="J1539" s="7">
        <f>IFERROR(IF(OR(G1539="",INDEX(G:G,MATCH(DATE(YEAR($A1539)-1,MONTH($A1539),DAY($A1539)),$A:$A,0))=""),"",G1539/INDEX(G:G,MATCH(DATE(YEAR($A1539)-1,MONTH($A1539),DAY($A1539)),$A:$A,0))-1),"")</f>
        <v/>
      </c>
      <c r="K1539" s="7">
        <f>IF(OR(E1539="",E1538=""),"",E1539/E1538-1)</f>
        <v/>
      </c>
      <c r="L1539" s="7">
        <f>IF(OR(F1539="",F1538=""),"",F1539/F1538-1)</f>
        <v/>
      </c>
      <c r="M1539" s="7">
        <f>IF(OR(G1539="",G1538=""),"",G1539/G1538-1)</f>
        <v/>
      </c>
      <c r="N1539" s="7">
        <f>IF(G1539="","",E1539/G1539)</f>
        <v/>
      </c>
      <c r="O1539" s="7">
        <f>IF(G1539="","",F1539/G1539)</f>
        <v/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4">
        <f>IF(SUMIFS('Daily NSE Equity Cash'!$H:$H,'Daily NSE Equity Cash'!$A:$A,$A1540)=0,"",SUMIFS('Daily NSE Equity Cash'!$H:$H,'Daily NSE Equity Cash'!$A:$A,$A1540))</f>
        <v/>
      </c>
      <c r="F1540" s="4">
        <f>IF(SUMIFS('Daily BSE Equity Cash'!$H:$H,'Daily BSE Equity Cash'!$A:$A,$A1540)=0,"",SUMIFS('Daily BSE Equity Cash'!$H:$H,'Daily BSE Equity Cash'!$A:$A,$A1540))</f>
        <v/>
      </c>
      <c r="G1540" s="4">
        <f>IF(OR(E1540="",F1540=""),"",E1540+F1540)</f>
        <v/>
      </c>
      <c r="H1540" s="7">
        <f>IFERROR(IF(OR(E1540="",INDEX(E:E,MATCH(DATE(YEAR($A1540)-1,MONTH($A1540),DAY($A1540)),$A:$A,0))=""),"",E1540/INDEX(E:E,MATCH(DATE(YEAR($A1540)-1,MONTH($A1540),DAY($A1540)),$A:$A,0))-1),"")</f>
        <v/>
      </c>
      <c r="I1540" s="7">
        <f>IFERROR(IF(OR(F1540="",INDEX(F:F,MATCH(DATE(YEAR($A1540)-1,MONTH($A1540),DAY($A1540)),$A:$A,0))=""),"",F1540/INDEX(F:F,MATCH(DATE(YEAR($A1540)-1,MONTH($A1540),DAY($A1540)),$A:$A,0))-1),"")</f>
        <v/>
      </c>
      <c r="J1540" s="7">
        <f>IFERROR(IF(OR(G1540="",INDEX(G:G,MATCH(DATE(YEAR($A1540)-1,MONTH($A1540),DAY($A1540)),$A:$A,0))=""),"",G1540/INDEX(G:G,MATCH(DATE(YEAR($A1540)-1,MONTH($A1540),DAY($A1540)),$A:$A,0))-1),"")</f>
        <v/>
      </c>
      <c r="K1540" s="7">
        <f>IF(OR(E1540="",E1539=""),"",E1540/E1539-1)</f>
        <v/>
      </c>
      <c r="L1540" s="7">
        <f>IF(OR(F1540="",F1539=""),"",F1540/F1539-1)</f>
        <v/>
      </c>
      <c r="M1540" s="7">
        <f>IF(OR(G1540="",G1539=""),"",G1540/G1539-1)</f>
        <v/>
      </c>
      <c r="N1540" s="7">
        <f>IF(G1540="","",E1540/G1540)</f>
        <v/>
      </c>
      <c r="O1540" s="7">
        <f>IF(G1540="","",F1540/G1540)</f>
        <v/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4">
        <f>IF(SUMIFS('Daily NSE Equity Cash'!$H:$H,'Daily NSE Equity Cash'!$A:$A,$A1541)=0,"",SUMIFS('Daily NSE Equity Cash'!$H:$H,'Daily NSE Equity Cash'!$A:$A,$A1541))</f>
        <v/>
      </c>
      <c r="F1541" s="4">
        <f>IF(SUMIFS('Daily BSE Equity Cash'!$H:$H,'Daily BSE Equity Cash'!$A:$A,$A1541)=0,"",SUMIFS('Daily BSE Equity Cash'!$H:$H,'Daily BSE Equity Cash'!$A:$A,$A1541))</f>
        <v/>
      </c>
      <c r="G1541" s="4">
        <f>IF(OR(E1541="",F1541=""),"",E1541+F1541)</f>
        <v/>
      </c>
      <c r="H1541" s="7">
        <f>IFERROR(IF(OR(E1541="",INDEX(E:E,MATCH(DATE(YEAR($A1541)-1,MONTH($A1541),DAY($A1541)),$A:$A,0))=""),"",E1541/INDEX(E:E,MATCH(DATE(YEAR($A1541)-1,MONTH($A1541),DAY($A1541)),$A:$A,0))-1),"")</f>
        <v/>
      </c>
      <c r="I1541" s="7">
        <f>IFERROR(IF(OR(F1541="",INDEX(F:F,MATCH(DATE(YEAR($A1541)-1,MONTH($A1541),DAY($A1541)),$A:$A,0))=""),"",F1541/INDEX(F:F,MATCH(DATE(YEAR($A1541)-1,MONTH($A1541),DAY($A1541)),$A:$A,0))-1),"")</f>
        <v/>
      </c>
      <c r="J1541" s="7">
        <f>IFERROR(IF(OR(G1541="",INDEX(G:G,MATCH(DATE(YEAR($A1541)-1,MONTH($A1541),DAY($A1541)),$A:$A,0))=""),"",G1541/INDEX(G:G,MATCH(DATE(YEAR($A1541)-1,MONTH($A1541),DAY($A1541)),$A:$A,0))-1),"")</f>
        <v/>
      </c>
      <c r="K1541" s="7">
        <f>IF(OR(E1541="",E1540=""),"",E1541/E1540-1)</f>
        <v/>
      </c>
      <c r="L1541" s="7">
        <f>IF(OR(F1541="",F1540=""),"",F1541/F1540-1)</f>
        <v/>
      </c>
      <c r="M1541" s="7">
        <f>IF(OR(G1541="",G1540=""),"",G1541/G1540-1)</f>
        <v/>
      </c>
      <c r="N1541" s="7">
        <f>IF(G1541="","",E1541/G1541)</f>
        <v/>
      </c>
      <c r="O1541" s="7">
        <f>IF(G1541="","",F1541/G1541)</f>
        <v/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4">
        <f>IF(SUMIFS('Daily NSE Equity Cash'!$H:$H,'Daily NSE Equity Cash'!$A:$A,$A1542)=0,"",SUMIFS('Daily NSE Equity Cash'!$H:$H,'Daily NSE Equity Cash'!$A:$A,$A1542))</f>
        <v/>
      </c>
      <c r="F1542" s="4">
        <f>IF(SUMIFS('Daily BSE Equity Cash'!$H:$H,'Daily BSE Equity Cash'!$A:$A,$A1542)=0,"",SUMIFS('Daily BSE Equity Cash'!$H:$H,'Daily BSE Equity Cash'!$A:$A,$A1542))</f>
        <v/>
      </c>
      <c r="G1542" s="4">
        <f>IF(OR(E1542="",F1542=""),"",E1542+F1542)</f>
        <v/>
      </c>
      <c r="H1542" s="7">
        <f>IFERROR(IF(OR(E1542="",INDEX(E:E,MATCH(DATE(YEAR($A1542)-1,MONTH($A1542),DAY($A1542)),$A:$A,0))=""),"",E1542/INDEX(E:E,MATCH(DATE(YEAR($A1542)-1,MONTH($A1542),DAY($A1542)),$A:$A,0))-1),"")</f>
        <v/>
      </c>
      <c r="I1542" s="7">
        <f>IFERROR(IF(OR(F1542="",INDEX(F:F,MATCH(DATE(YEAR($A1542)-1,MONTH($A1542),DAY($A1542)),$A:$A,0))=""),"",F1542/INDEX(F:F,MATCH(DATE(YEAR($A1542)-1,MONTH($A1542),DAY($A1542)),$A:$A,0))-1),"")</f>
        <v/>
      </c>
      <c r="J1542" s="7">
        <f>IFERROR(IF(OR(G1542="",INDEX(G:G,MATCH(DATE(YEAR($A1542)-1,MONTH($A1542),DAY($A1542)),$A:$A,0))=""),"",G1542/INDEX(G:G,MATCH(DATE(YEAR($A1542)-1,MONTH($A1542),DAY($A1542)),$A:$A,0))-1),"")</f>
        <v/>
      </c>
      <c r="K1542" s="7">
        <f>IF(OR(E1542="",E1541=""),"",E1542/E1541-1)</f>
        <v/>
      </c>
      <c r="L1542" s="7">
        <f>IF(OR(F1542="",F1541=""),"",F1542/F1541-1)</f>
        <v/>
      </c>
      <c r="M1542" s="7">
        <f>IF(OR(G1542="",G1541=""),"",G1542/G1541-1)</f>
        <v/>
      </c>
      <c r="N1542" s="7">
        <f>IF(G1542="","",E1542/G1542)</f>
        <v/>
      </c>
      <c r="O1542" s="7">
        <f>IF(G1542="","",F1542/G1542)</f>
        <v/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4">
        <f>IF(SUMIFS('Daily NSE Equity Cash'!$H:$H,'Daily NSE Equity Cash'!$A:$A,$A1543)=0,"",SUMIFS('Daily NSE Equity Cash'!$H:$H,'Daily NSE Equity Cash'!$A:$A,$A1543))</f>
        <v/>
      </c>
      <c r="F1543" s="4">
        <f>IF(SUMIFS('Daily BSE Equity Cash'!$H:$H,'Daily BSE Equity Cash'!$A:$A,$A1543)=0,"",SUMIFS('Daily BSE Equity Cash'!$H:$H,'Daily BSE Equity Cash'!$A:$A,$A1543))</f>
        <v/>
      </c>
      <c r="G1543" s="4">
        <f>IF(OR(E1543="",F1543=""),"",E1543+F1543)</f>
        <v/>
      </c>
      <c r="H1543" s="7">
        <f>IFERROR(IF(OR(E1543="",INDEX(E:E,MATCH(DATE(YEAR($A1543)-1,MONTH($A1543),DAY($A1543)),$A:$A,0))=""),"",E1543/INDEX(E:E,MATCH(DATE(YEAR($A1543)-1,MONTH($A1543),DAY($A1543)),$A:$A,0))-1),"")</f>
        <v/>
      </c>
      <c r="I1543" s="7">
        <f>IFERROR(IF(OR(F1543="",INDEX(F:F,MATCH(DATE(YEAR($A1543)-1,MONTH($A1543),DAY($A1543)),$A:$A,0))=""),"",F1543/INDEX(F:F,MATCH(DATE(YEAR($A1543)-1,MONTH($A1543),DAY($A1543)),$A:$A,0))-1),"")</f>
        <v/>
      </c>
      <c r="J1543" s="7">
        <f>IFERROR(IF(OR(G1543="",INDEX(G:G,MATCH(DATE(YEAR($A1543)-1,MONTH($A1543),DAY($A1543)),$A:$A,0))=""),"",G1543/INDEX(G:G,MATCH(DATE(YEAR($A1543)-1,MONTH($A1543),DAY($A1543)),$A:$A,0))-1),"")</f>
        <v/>
      </c>
      <c r="K1543" s="7">
        <f>IF(OR(E1543="",E1542=""),"",E1543/E1542-1)</f>
        <v/>
      </c>
      <c r="L1543" s="7">
        <f>IF(OR(F1543="",F1542=""),"",F1543/F1542-1)</f>
        <v/>
      </c>
      <c r="M1543" s="7">
        <f>IF(OR(G1543="",G1542=""),"",G1543/G1542-1)</f>
        <v/>
      </c>
      <c r="N1543" s="7">
        <f>IF(G1543="","",E1543/G1543)</f>
        <v/>
      </c>
      <c r="O1543" s="7">
        <f>IF(G1543="","",F1543/G1543)</f>
        <v/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4">
        <f>IF(SUMIFS('Daily NSE Equity Cash'!$H:$H,'Daily NSE Equity Cash'!$A:$A,$A1544)=0,"",SUMIFS('Daily NSE Equity Cash'!$H:$H,'Daily NSE Equity Cash'!$A:$A,$A1544))</f>
        <v/>
      </c>
      <c r="F1544" s="4">
        <f>IF(SUMIFS('Daily BSE Equity Cash'!$H:$H,'Daily BSE Equity Cash'!$A:$A,$A1544)=0,"",SUMIFS('Daily BSE Equity Cash'!$H:$H,'Daily BSE Equity Cash'!$A:$A,$A1544))</f>
        <v/>
      </c>
      <c r="G1544" s="4">
        <f>IF(OR(E1544="",F1544=""),"",E1544+F1544)</f>
        <v/>
      </c>
      <c r="H1544" s="7">
        <f>IFERROR(IF(OR(E1544="",INDEX(E:E,MATCH(DATE(YEAR($A1544)-1,MONTH($A1544),DAY($A1544)),$A:$A,0))=""),"",E1544/INDEX(E:E,MATCH(DATE(YEAR($A1544)-1,MONTH($A1544),DAY($A1544)),$A:$A,0))-1),"")</f>
        <v/>
      </c>
      <c r="I1544" s="7">
        <f>IFERROR(IF(OR(F1544="",INDEX(F:F,MATCH(DATE(YEAR($A1544)-1,MONTH($A1544),DAY($A1544)),$A:$A,0))=""),"",F1544/INDEX(F:F,MATCH(DATE(YEAR($A1544)-1,MONTH($A1544),DAY($A1544)),$A:$A,0))-1),"")</f>
        <v/>
      </c>
      <c r="J1544" s="7">
        <f>IFERROR(IF(OR(G1544="",INDEX(G:G,MATCH(DATE(YEAR($A1544)-1,MONTH($A1544),DAY($A1544)),$A:$A,0))=""),"",G1544/INDEX(G:G,MATCH(DATE(YEAR($A1544)-1,MONTH($A1544),DAY($A1544)),$A:$A,0))-1),"")</f>
        <v/>
      </c>
      <c r="K1544" s="7">
        <f>IF(OR(E1544="",E1543=""),"",E1544/E1543-1)</f>
        <v/>
      </c>
      <c r="L1544" s="7">
        <f>IF(OR(F1544="",F1543=""),"",F1544/F1543-1)</f>
        <v/>
      </c>
      <c r="M1544" s="7">
        <f>IF(OR(G1544="",G1543=""),"",G1544/G1543-1)</f>
        <v/>
      </c>
      <c r="N1544" s="7">
        <f>IF(G1544="","",E1544/G1544)</f>
        <v/>
      </c>
      <c r="O1544" s="7">
        <f>IF(G1544="","",F1544/G1544)</f>
        <v/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4">
        <f>IF(SUMIFS('Daily NSE Equity Cash'!$H:$H,'Daily NSE Equity Cash'!$A:$A,$A1545)=0,"",SUMIFS('Daily NSE Equity Cash'!$H:$H,'Daily NSE Equity Cash'!$A:$A,$A1545))</f>
        <v/>
      </c>
      <c r="F1545" s="4">
        <f>IF(SUMIFS('Daily BSE Equity Cash'!$H:$H,'Daily BSE Equity Cash'!$A:$A,$A1545)=0,"",SUMIFS('Daily BSE Equity Cash'!$H:$H,'Daily BSE Equity Cash'!$A:$A,$A1545))</f>
        <v/>
      </c>
      <c r="G1545" s="4">
        <f>IF(OR(E1545="",F1545=""),"",E1545+F1545)</f>
        <v/>
      </c>
      <c r="H1545" s="7">
        <f>IFERROR(IF(OR(E1545="",INDEX(E:E,MATCH(DATE(YEAR($A1545)-1,MONTH($A1545),DAY($A1545)),$A:$A,0))=""),"",E1545/INDEX(E:E,MATCH(DATE(YEAR($A1545)-1,MONTH($A1545),DAY($A1545)),$A:$A,0))-1),"")</f>
        <v/>
      </c>
      <c r="I1545" s="7">
        <f>IFERROR(IF(OR(F1545="",INDEX(F:F,MATCH(DATE(YEAR($A1545)-1,MONTH($A1545),DAY($A1545)),$A:$A,0))=""),"",F1545/INDEX(F:F,MATCH(DATE(YEAR($A1545)-1,MONTH($A1545),DAY($A1545)),$A:$A,0))-1),"")</f>
        <v/>
      </c>
      <c r="J1545" s="7">
        <f>IFERROR(IF(OR(G1545="",INDEX(G:G,MATCH(DATE(YEAR($A1545)-1,MONTH($A1545),DAY($A1545)),$A:$A,0))=""),"",G1545/INDEX(G:G,MATCH(DATE(YEAR($A1545)-1,MONTH($A1545),DAY($A1545)),$A:$A,0))-1),"")</f>
        <v/>
      </c>
      <c r="K1545" s="7">
        <f>IF(OR(E1545="",E1544=""),"",E1545/E1544-1)</f>
        <v/>
      </c>
      <c r="L1545" s="7">
        <f>IF(OR(F1545="",F1544=""),"",F1545/F1544-1)</f>
        <v/>
      </c>
      <c r="M1545" s="7">
        <f>IF(OR(G1545="",G1544=""),"",G1545/G1544-1)</f>
        <v/>
      </c>
      <c r="N1545" s="7">
        <f>IF(G1545="","",E1545/G1545)</f>
        <v/>
      </c>
      <c r="O1545" s="7">
        <f>IF(G1545="","",F1545/G1545)</f>
        <v/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4">
        <f>IF(SUMIFS('Daily NSE Equity Cash'!$H:$H,'Daily NSE Equity Cash'!$A:$A,$A1546)=0,"",SUMIFS('Daily NSE Equity Cash'!$H:$H,'Daily NSE Equity Cash'!$A:$A,$A1546))</f>
        <v/>
      </c>
      <c r="F1546" s="4">
        <f>IF(SUMIFS('Daily BSE Equity Cash'!$H:$H,'Daily BSE Equity Cash'!$A:$A,$A1546)=0,"",SUMIFS('Daily BSE Equity Cash'!$H:$H,'Daily BSE Equity Cash'!$A:$A,$A1546))</f>
        <v/>
      </c>
      <c r="G1546" s="4">
        <f>IF(OR(E1546="",F1546=""),"",E1546+F1546)</f>
        <v/>
      </c>
      <c r="H1546" s="7">
        <f>IFERROR(IF(OR(E1546="",INDEX(E:E,MATCH(DATE(YEAR($A1546)-1,MONTH($A1546),DAY($A1546)),$A:$A,0))=""),"",E1546/INDEX(E:E,MATCH(DATE(YEAR($A1546)-1,MONTH($A1546),DAY($A1546)),$A:$A,0))-1),"")</f>
        <v/>
      </c>
      <c r="I1546" s="7">
        <f>IFERROR(IF(OR(F1546="",INDEX(F:F,MATCH(DATE(YEAR($A1546)-1,MONTH($A1546),DAY($A1546)),$A:$A,0))=""),"",F1546/INDEX(F:F,MATCH(DATE(YEAR($A1546)-1,MONTH($A1546),DAY($A1546)),$A:$A,0))-1),"")</f>
        <v/>
      </c>
      <c r="J1546" s="7">
        <f>IFERROR(IF(OR(G1546="",INDEX(G:G,MATCH(DATE(YEAR($A1546)-1,MONTH($A1546),DAY($A1546)),$A:$A,0))=""),"",G1546/INDEX(G:G,MATCH(DATE(YEAR($A1546)-1,MONTH($A1546),DAY($A1546)),$A:$A,0))-1),"")</f>
        <v/>
      </c>
      <c r="K1546" s="7">
        <f>IF(OR(E1546="",E1545=""),"",E1546/E1545-1)</f>
        <v/>
      </c>
      <c r="L1546" s="7">
        <f>IF(OR(F1546="",F1545=""),"",F1546/F1545-1)</f>
        <v/>
      </c>
      <c r="M1546" s="7">
        <f>IF(OR(G1546="",G1545=""),"",G1546/G1545-1)</f>
        <v/>
      </c>
      <c r="N1546" s="7">
        <f>IF(G1546="","",E1546/G1546)</f>
        <v/>
      </c>
      <c r="O1546" s="7">
        <f>IF(G1546="","",F1546/G1546)</f>
        <v/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4">
        <f>IF(SUMIFS('Daily NSE Equity Cash'!$H:$H,'Daily NSE Equity Cash'!$A:$A,$A1547)=0,"",SUMIFS('Daily NSE Equity Cash'!$H:$H,'Daily NSE Equity Cash'!$A:$A,$A1547))</f>
        <v/>
      </c>
      <c r="F1547" s="4">
        <f>IF(SUMIFS('Daily BSE Equity Cash'!$H:$H,'Daily BSE Equity Cash'!$A:$A,$A1547)=0,"",SUMIFS('Daily BSE Equity Cash'!$H:$H,'Daily BSE Equity Cash'!$A:$A,$A1547))</f>
        <v/>
      </c>
      <c r="G1547" s="4">
        <f>IF(OR(E1547="",F1547=""),"",E1547+F1547)</f>
        <v/>
      </c>
      <c r="H1547" s="7">
        <f>IFERROR(IF(OR(E1547="",INDEX(E:E,MATCH(DATE(YEAR($A1547)-1,MONTH($A1547),DAY($A1547)),$A:$A,0))=""),"",E1547/INDEX(E:E,MATCH(DATE(YEAR($A1547)-1,MONTH($A1547),DAY($A1547)),$A:$A,0))-1),"")</f>
        <v/>
      </c>
      <c r="I1547" s="7">
        <f>IFERROR(IF(OR(F1547="",INDEX(F:F,MATCH(DATE(YEAR($A1547)-1,MONTH($A1547),DAY($A1547)),$A:$A,0))=""),"",F1547/INDEX(F:F,MATCH(DATE(YEAR($A1547)-1,MONTH($A1547),DAY($A1547)),$A:$A,0))-1),"")</f>
        <v/>
      </c>
      <c r="J1547" s="7">
        <f>IFERROR(IF(OR(G1547="",INDEX(G:G,MATCH(DATE(YEAR($A1547)-1,MONTH($A1547),DAY($A1547)),$A:$A,0))=""),"",G1547/INDEX(G:G,MATCH(DATE(YEAR($A1547)-1,MONTH($A1547),DAY($A1547)),$A:$A,0))-1),"")</f>
        <v/>
      </c>
      <c r="K1547" s="7">
        <f>IF(OR(E1547="",E1546=""),"",E1547/E1546-1)</f>
        <v/>
      </c>
      <c r="L1547" s="7">
        <f>IF(OR(F1547="",F1546=""),"",F1547/F1546-1)</f>
        <v/>
      </c>
      <c r="M1547" s="7">
        <f>IF(OR(G1547="",G1546=""),"",G1547/G1546-1)</f>
        <v/>
      </c>
      <c r="N1547" s="7">
        <f>IF(G1547="","",E1547/G1547)</f>
        <v/>
      </c>
      <c r="O1547" s="7">
        <f>IF(G1547="","",F1547/G1547)</f>
        <v/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4">
        <f>IF(SUMIFS('Daily NSE Equity Cash'!$H:$H,'Daily NSE Equity Cash'!$A:$A,$A1548)=0,"",SUMIFS('Daily NSE Equity Cash'!$H:$H,'Daily NSE Equity Cash'!$A:$A,$A1548))</f>
        <v/>
      </c>
      <c r="F1548" s="4">
        <f>IF(SUMIFS('Daily BSE Equity Cash'!$H:$H,'Daily BSE Equity Cash'!$A:$A,$A1548)=0,"",SUMIFS('Daily BSE Equity Cash'!$H:$H,'Daily BSE Equity Cash'!$A:$A,$A1548))</f>
        <v/>
      </c>
      <c r="G1548" s="4">
        <f>IF(OR(E1548="",F1548=""),"",E1548+F1548)</f>
        <v/>
      </c>
      <c r="H1548" s="7">
        <f>IFERROR(IF(OR(E1548="",INDEX(E:E,MATCH(DATE(YEAR($A1548)-1,MONTH($A1548),DAY($A1548)),$A:$A,0))=""),"",E1548/INDEX(E:E,MATCH(DATE(YEAR($A1548)-1,MONTH($A1548),DAY($A1548)),$A:$A,0))-1),"")</f>
        <v/>
      </c>
      <c r="I1548" s="7">
        <f>IFERROR(IF(OR(F1548="",INDEX(F:F,MATCH(DATE(YEAR($A1548)-1,MONTH($A1548),DAY($A1548)),$A:$A,0))=""),"",F1548/INDEX(F:F,MATCH(DATE(YEAR($A1548)-1,MONTH($A1548),DAY($A1548)),$A:$A,0))-1),"")</f>
        <v/>
      </c>
      <c r="J1548" s="7">
        <f>IFERROR(IF(OR(G1548="",INDEX(G:G,MATCH(DATE(YEAR($A1548)-1,MONTH($A1548),DAY($A1548)),$A:$A,0))=""),"",G1548/INDEX(G:G,MATCH(DATE(YEAR($A1548)-1,MONTH($A1548),DAY($A1548)),$A:$A,0))-1),"")</f>
        <v/>
      </c>
      <c r="K1548" s="7">
        <f>IF(OR(E1548="",E1547=""),"",E1548/E1547-1)</f>
        <v/>
      </c>
      <c r="L1548" s="7">
        <f>IF(OR(F1548="",F1547=""),"",F1548/F1547-1)</f>
        <v/>
      </c>
      <c r="M1548" s="7">
        <f>IF(OR(G1548="",G1547=""),"",G1548/G1547-1)</f>
        <v/>
      </c>
      <c r="N1548" s="7">
        <f>IF(G1548="","",E1548/G1548)</f>
        <v/>
      </c>
      <c r="O1548" s="7">
        <f>IF(G1548="","",F1548/G1548)</f>
        <v/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4">
        <f>IF(SUMIFS('Daily NSE Equity Cash'!$H:$H,'Daily NSE Equity Cash'!$A:$A,$A1549)=0,"",SUMIFS('Daily NSE Equity Cash'!$H:$H,'Daily NSE Equity Cash'!$A:$A,$A1549))</f>
        <v/>
      </c>
      <c r="F1549" s="4">
        <f>IF(SUMIFS('Daily BSE Equity Cash'!$H:$H,'Daily BSE Equity Cash'!$A:$A,$A1549)=0,"",SUMIFS('Daily BSE Equity Cash'!$H:$H,'Daily BSE Equity Cash'!$A:$A,$A1549))</f>
        <v/>
      </c>
      <c r="G1549" s="4">
        <f>IF(OR(E1549="",F1549=""),"",E1549+F1549)</f>
        <v/>
      </c>
      <c r="H1549" s="7">
        <f>IFERROR(IF(OR(E1549="",INDEX(E:E,MATCH(DATE(YEAR($A1549)-1,MONTH($A1549),DAY($A1549)),$A:$A,0))=""),"",E1549/INDEX(E:E,MATCH(DATE(YEAR($A1549)-1,MONTH($A1549),DAY($A1549)),$A:$A,0))-1),"")</f>
        <v/>
      </c>
      <c r="I1549" s="7">
        <f>IFERROR(IF(OR(F1549="",INDEX(F:F,MATCH(DATE(YEAR($A1549)-1,MONTH($A1549),DAY($A1549)),$A:$A,0))=""),"",F1549/INDEX(F:F,MATCH(DATE(YEAR($A1549)-1,MONTH($A1549),DAY($A1549)),$A:$A,0))-1),"")</f>
        <v/>
      </c>
      <c r="J1549" s="7">
        <f>IFERROR(IF(OR(G1549="",INDEX(G:G,MATCH(DATE(YEAR($A1549)-1,MONTH($A1549),DAY($A1549)),$A:$A,0))=""),"",G1549/INDEX(G:G,MATCH(DATE(YEAR($A1549)-1,MONTH($A1549),DAY($A1549)),$A:$A,0))-1),"")</f>
        <v/>
      </c>
      <c r="K1549" s="7">
        <f>IF(OR(E1549="",E1548=""),"",E1549/E1548-1)</f>
        <v/>
      </c>
      <c r="L1549" s="7">
        <f>IF(OR(F1549="",F1548=""),"",F1549/F1548-1)</f>
        <v/>
      </c>
      <c r="M1549" s="7">
        <f>IF(OR(G1549="",G1548=""),"",G1549/G1548-1)</f>
        <v/>
      </c>
      <c r="N1549" s="7">
        <f>IF(G1549="","",E1549/G1549)</f>
        <v/>
      </c>
      <c r="O1549" s="7">
        <f>IF(G1549="","",F1549/G1549)</f>
        <v/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4">
        <f>IF(SUMIFS('Daily NSE Equity Cash'!$H:$H,'Daily NSE Equity Cash'!$A:$A,$A1550)=0,"",SUMIFS('Daily NSE Equity Cash'!$H:$H,'Daily NSE Equity Cash'!$A:$A,$A1550))</f>
        <v/>
      </c>
      <c r="F1550" s="4">
        <f>IF(SUMIFS('Daily BSE Equity Cash'!$H:$H,'Daily BSE Equity Cash'!$A:$A,$A1550)=0,"",SUMIFS('Daily BSE Equity Cash'!$H:$H,'Daily BSE Equity Cash'!$A:$A,$A1550))</f>
        <v/>
      </c>
      <c r="G1550" s="4">
        <f>IF(OR(E1550="",F1550=""),"",E1550+F1550)</f>
        <v/>
      </c>
      <c r="H1550" s="7">
        <f>IFERROR(IF(OR(E1550="",INDEX(E:E,MATCH(DATE(YEAR($A1550)-1,MONTH($A1550),DAY($A1550)),$A:$A,0))=""),"",E1550/INDEX(E:E,MATCH(DATE(YEAR($A1550)-1,MONTH($A1550),DAY($A1550)),$A:$A,0))-1),"")</f>
        <v/>
      </c>
      <c r="I1550" s="7">
        <f>IFERROR(IF(OR(F1550="",INDEX(F:F,MATCH(DATE(YEAR($A1550)-1,MONTH($A1550),DAY($A1550)),$A:$A,0))=""),"",F1550/INDEX(F:F,MATCH(DATE(YEAR($A1550)-1,MONTH($A1550),DAY($A1550)),$A:$A,0))-1),"")</f>
        <v/>
      </c>
      <c r="J1550" s="7">
        <f>IFERROR(IF(OR(G1550="",INDEX(G:G,MATCH(DATE(YEAR($A1550)-1,MONTH($A1550),DAY($A1550)),$A:$A,0))=""),"",G1550/INDEX(G:G,MATCH(DATE(YEAR($A1550)-1,MONTH($A1550),DAY($A1550)),$A:$A,0))-1),"")</f>
        <v/>
      </c>
      <c r="K1550" s="7">
        <f>IF(OR(E1550="",E1549=""),"",E1550/E1549-1)</f>
        <v/>
      </c>
      <c r="L1550" s="7">
        <f>IF(OR(F1550="",F1549=""),"",F1550/F1549-1)</f>
        <v/>
      </c>
      <c r="M1550" s="7">
        <f>IF(OR(G1550="",G1549=""),"",G1550/G1549-1)</f>
        <v/>
      </c>
      <c r="N1550" s="7">
        <f>IF(G1550="","",E1550/G1550)</f>
        <v/>
      </c>
      <c r="O1550" s="7">
        <f>IF(G1550="","",F1550/G1550)</f>
        <v/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4">
        <f>IF(SUMIFS('Daily NSE Equity Cash'!$H:$H,'Daily NSE Equity Cash'!$A:$A,$A1551)=0,"",SUMIFS('Daily NSE Equity Cash'!$H:$H,'Daily NSE Equity Cash'!$A:$A,$A1551))</f>
        <v/>
      </c>
      <c r="F1551" s="4">
        <f>IF(SUMIFS('Daily BSE Equity Cash'!$H:$H,'Daily BSE Equity Cash'!$A:$A,$A1551)=0,"",SUMIFS('Daily BSE Equity Cash'!$H:$H,'Daily BSE Equity Cash'!$A:$A,$A1551))</f>
        <v/>
      </c>
      <c r="G1551" s="4">
        <f>IF(OR(E1551="",F1551=""),"",E1551+F1551)</f>
        <v/>
      </c>
      <c r="H1551" s="7">
        <f>IFERROR(IF(OR(E1551="",INDEX(E:E,MATCH(DATE(YEAR($A1551)-1,MONTH($A1551),DAY($A1551)),$A:$A,0))=""),"",E1551/INDEX(E:E,MATCH(DATE(YEAR($A1551)-1,MONTH($A1551),DAY($A1551)),$A:$A,0))-1),"")</f>
        <v/>
      </c>
      <c r="I1551" s="7">
        <f>IFERROR(IF(OR(F1551="",INDEX(F:F,MATCH(DATE(YEAR($A1551)-1,MONTH($A1551),DAY($A1551)),$A:$A,0))=""),"",F1551/INDEX(F:F,MATCH(DATE(YEAR($A1551)-1,MONTH($A1551),DAY($A1551)),$A:$A,0))-1),"")</f>
        <v/>
      </c>
      <c r="J1551" s="7">
        <f>IFERROR(IF(OR(G1551="",INDEX(G:G,MATCH(DATE(YEAR($A1551)-1,MONTH($A1551),DAY($A1551)),$A:$A,0))=""),"",G1551/INDEX(G:G,MATCH(DATE(YEAR($A1551)-1,MONTH($A1551),DAY($A1551)),$A:$A,0))-1),"")</f>
        <v/>
      </c>
      <c r="K1551" s="7">
        <f>IF(OR(E1551="",E1550=""),"",E1551/E1550-1)</f>
        <v/>
      </c>
      <c r="L1551" s="7">
        <f>IF(OR(F1551="",F1550=""),"",F1551/F1550-1)</f>
        <v/>
      </c>
      <c r="M1551" s="7">
        <f>IF(OR(G1551="",G1550=""),"",G1551/G1550-1)</f>
        <v/>
      </c>
      <c r="N1551" s="7">
        <f>IF(G1551="","",E1551/G1551)</f>
        <v/>
      </c>
      <c r="O1551" s="7">
        <f>IF(G1551="","",F1551/G1551)</f>
        <v/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4">
        <f>IF(SUMIFS('Daily NSE Equity Cash'!$H:$H,'Daily NSE Equity Cash'!$A:$A,$A1552)=0,"",SUMIFS('Daily NSE Equity Cash'!$H:$H,'Daily NSE Equity Cash'!$A:$A,$A1552))</f>
        <v/>
      </c>
      <c r="F1552" s="4">
        <f>IF(SUMIFS('Daily BSE Equity Cash'!$H:$H,'Daily BSE Equity Cash'!$A:$A,$A1552)=0,"",SUMIFS('Daily BSE Equity Cash'!$H:$H,'Daily BSE Equity Cash'!$A:$A,$A1552))</f>
        <v/>
      </c>
      <c r="G1552" s="4">
        <f>IF(OR(E1552="",F1552=""),"",E1552+F1552)</f>
        <v/>
      </c>
      <c r="H1552" s="7">
        <f>IFERROR(IF(OR(E1552="",INDEX(E:E,MATCH(DATE(YEAR($A1552)-1,MONTH($A1552),DAY($A1552)),$A:$A,0))=""),"",E1552/INDEX(E:E,MATCH(DATE(YEAR($A1552)-1,MONTH($A1552),DAY($A1552)),$A:$A,0))-1),"")</f>
        <v/>
      </c>
      <c r="I1552" s="7">
        <f>IFERROR(IF(OR(F1552="",INDEX(F:F,MATCH(DATE(YEAR($A1552)-1,MONTH($A1552),DAY($A1552)),$A:$A,0))=""),"",F1552/INDEX(F:F,MATCH(DATE(YEAR($A1552)-1,MONTH($A1552),DAY($A1552)),$A:$A,0))-1),"")</f>
        <v/>
      </c>
      <c r="J1552" s="7">
        <f>IFERROR(IF(OR(G1552="",INDEX(G:G,MATCH(DATE(YEAR($A1552)-1,MONTH($A1552),DAY($A1552)),$A:$A,0))=""),"",G1552/INDEX(G:G,MATCH(DATE(YEAR($A1552)-1,MONTH($A1552),DAY($A1552)),$A:$A,0))-1),"")</f>
        <v/>
      </c>
      <c r="K1552" s="7">
        <f>IF(OR(E1552="",E1551=""),"",E1552/E1551-1)</f>
        <v/>
      </c>
      <c r="L1552" s="7">
        <f>IF(OR(F1552="",F1551=""),"",F1552/F1551-1)</f>
        <v/>
      </c>
      <c r="M1552" s="7">
        <f>IF(OR(G1552="",G1551=""),"",G1552/G1551-1)</f>
        <v/>
      </c>
      <c r="N1552" s="7">
        <f>IF(G1552="","",E1552/G1552)</f>
        <v/>
      </c>
      <c r="O1552" s="7">
        <f>IF(G1552="","",F1552/G1552)</f>
        <v/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4">
        <f>IF(SUMIFS('Daily NSE Equity Cash'!$H:$H,'Daily NSE Equity Cash'!$A:$A,$A1553)=0,"",SUMIFS('Daily NSE Equity Cash'!$H:$H,'Daily NSE Equity Cash'!$A:$A,$A1553))</f>
        <v/>
      </c>
      <c r="F1553" s="4">
        <f>IF(SUMIFS('Daily BSE Equity Cash'!$H:$H,'Daily BSE Equity Cash'!$A:$A,$A1553)=0,"",SUMIFS('Daily BSE Equity Cash'!$H:$H,'Daily BSE Equity Cash'!$A:$A,$A1553))</f>
        <v/>
      </c>
      <c r="G1553" s="4">
        <f>IF(OR(E1553="",F1553=""),"",E1553+F1553)</f>
        <v/>
      </c>
      <c r="H1553" s="7">
        <f>IFERROR(IF(OR(E1553="",INDEX(E:E,MATCH(DATE(YEAR($A1553)-1,MONTH($A1553),DAY($A1553)),$A:$A,0))=""),"",E1553/INDEX(E:E,MATCH(DATE(YEAR($A1553)-1,MONTH($A1553),DAY($A1553)),$A:$A,0))-1),"")</f>
        <v/>
      </c>
      <c r="I1553" s="7">
        <f>IFERROR(IF(OR(F1553="",INDEX(F:F,MATCH(DATE(YEAR($A1553)-1,MONTH($A1553),DAY($A1553)),$A:$A,0))=""),"",F1553/INDEX(F:F,MATCH(DATE(YEAR($A1553)-1,MONTH($A1553),DAY($A1553)),$A:$A,0))-1),"")</f>
        <v/>
      </c>
      <c r="J1553" s="7">
        <f>IFERROR(IF(OR(G1553="",INDEX(G:G,MATCH(DATE(YEAR($A1553)-1,MONTH($A1553),DAY($A1553)),$A:$A,0))=""),"",G1553/INDEX(G:G,MATCH(DATE(YEAR($A1553)-1,MONTH($A1553),DAY($A1553)),$A:$A,0))-1),"")</f>
        <v/>
      </c>
      <c r="K1553" s="7">
        <f>IF(OR(E1553="",E1552=""),"",E1553/E1552-1)</f>
        <v/>
      </c>
      <c r="L1553" s="7">
        <f>IF(OR(F1553="",F1552=""),"",F1553/F1552-1)</f>
        <v/>
      </c>
      <c r="M1553" s="7">
        <f>IF(OR(G1553="",G1552=""),"",G1553/G1552-1)</f>
        <v/>
      </c>
      <c r="N1553" s="7">
        <f>IF(G1553="","",E1553/G1553)</f>
        <v/>
      </c>
      <c r="O1553" s="7">
        <f>IF(G1553="","",F1553/G1553)</f>
        <v/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4">
        <f>IF(SUMIFS('Daily NSE Equity Cash'!$H:$H,'Daily NSE Equity Cash'!$A:$A,$A1554)=0,"",SUMIFS('Daily NSE Equity Cash'!$H:$H,'Daily NSE Equity Cash'!$A:$A,$A1554))</f>
        <v/>
      </c>
      <c r="F1554" s="4">
        <f>IF(SUMIFS('Daily BSE Equity Cash'!$H:$H,'Daily BSE Equity Cash'!$A:$A,$A1554)=0,"",SUMIFS('Daily BSE Equity Cash'!$H:$H,'Daily BSE Equity Cash'!$A:$A,$A1554))</f>
        <v/>
      </c>
      <c r="G1554" s="4">
        <f>IF(OR(E1554="",F1554=""),"",E1554+F1554)</f>
        <v/>
      </c>
      <c r="H1554" s="7">
        <f>IFERROR(IF(OR(E1554="",INDEX(E:E,MATCH(DATE(YEAR($A1554)-1,MONTH($A1554),DAY($A1554)),$A:$A,0))=""),"",E1554/INDEX(E:E,MATCH(DATE(YEAR($A1554)-1,MONTH($A1554),DAY($A1554)),$A:$A,0))-1),"")</f>
        <v/>
      </c>
      <c r="I1554" s="7">
        <f>IFERROR(IF(OR(F1554="",INDEX(F:F,MATCH(DATE(YEAR($A1554)-1,MONTH($A1554),DAY($A1554)),$A:$A,0))=""),"",F1554/INDEX(F:F,MATCH(DATE(YEAR($A1554)-1,MONTH($A1554),DAY($A1554)),$A:$A,0))-1),"")</f>
        <v/>
      </c>
      <c r="J1554" s="7">
        <f>IFERROR(IF(OR(G1554="",INDEX(G:G,MATCH(DATE(YEAR($A1554)-1,MONTH($A1554),DAY($A1554)),$A:$A,0))=""),"",G1554/INDEX(G:G,MATCH(DATE(YEAR($A1554)-1,MONTH($A1554),DAY($A1554)),$A:$A,0))-1),"")</f>
        <v/>
      </c>
      <c r="K1554" s="7">
        <f>IF(OR(E1554="",E1553=""),"",E1554/E1553-1)</f>
        <v/>
      </c>
      <c r="L1554" s="7">
        <f>IF(OR(F1554="",F1553=""),"",F1554/F1553-1)</f>
        <v/>
      </c>
      <c r="M1554" s="7">
        <f>IF(OR(G1554="",G1553=""),"",G1554/G1553-1)</f>
        <v/>
      </c>
      <c r="N1554" s="7">
        <f>IF(G1554="","",E1554/G1554)</f>
        <v/>
      </c>
      <c r="O1554" s="7">
        <f>IF(G1554="","",F1554/G1554)</f>
        <v/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4">
        <f>IF(SUMIFS('Daily NSE Equity Cash'!$H:$H,'Daily NSE Equity Cash'!$A:$A,$A1555)=0,"",SUMIFS('Daily NSE Equity Cash'!$H:$H,'Daily NSE Equity Cash'!$A:$A,$A1555))</f>
        <v/>
      </c>
      <c r="F1555" s="4">
        <f>IF(SUMIFS('Daily BSE Equity Cash'!$H:$H,'Daily BSE Equity Cash'!$A:$A,$A1555)=0,"",SUMIFS('Daily BSE Equity Cash'!$H:$H,'Daily BSE Equity Cash'!$A:$A,$A1555))</f>
        <v/>
      </c>
      <c r="G1555" s="4">
        <f>IF(OR(E1555="",F1555=""),"",E1555+F1555)</f>
        <v/>
      </c>
      <c r="H1555" s="7">
        <f>IFERROR(IF(OR(E1555="",INDEX(E:E,MATCH(DATE(YEAR($A1555)-1,MONTH($A1555),DAY($A1555)),$A:$A,0))=""),"",E1555/INDEX(E:E,MATCH(DATE(YEAR($A1555)-1,MONTH($A1555),DAY($A1555)),$A:$A,0))-1),"")</f>
        <v/>
      </c>
      <c r="I1555" s="7">
        <f>IFERROR(IF(OR(F1555="",INDEX(F:F,MATCH(DATE(YEAR($A1555)-1,MONTH($A1555),DAY($A1555)),$A:$A,0))=""),"",F1555/INDEX(F:F,MATCH(DATE(YEAR($A1555)-1,MONTH($A1555),DAY($A1555)),$A:$A,0))-1),"")</f>
        <v/>
      </c>
      <c r="J1555" s="7">
        <f>IFERROR(IF(OR(G1555="",INDEX(G:G,MATCH(DATE(YEAR($A1555)-1,MONTH($A1555),DAY($A1555)),$A:$A,0))=""),"",G1555/INDEX(G:G,MATCH(DATE(YEAR($A1555)-1,MONTH($A1555),DAY($A1555)),$A:$A,0))-1),"")</f>
        <v/>
      </c>
      <c r="K1555" s="7">
        <f>IF(OR(E1555="",E1554=""),"",E1555/E1554-1)</f>
        <v/>
      </c>
      <c r="L1555" s="7">
        <f>IF(OR(F1555="",F1554=""),"",F1555/F1554-1)</f>
        <v/>
      </c>
      <c r="M1555" s="7">
        <f>IF(OR(G1555="",G1554=""),"",G1555/G1554-1)</f>
        <v/>
      </c>
      <c r="N1555" s="7">
        <f>IF(G1555="","",E1555/G1555)</f>
        <v/>
      </c>
      <c r="O1555" s="7">
        <f>IF(G1555="","",F1555/G1555)</f>
        <v/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4">
        <f>IF(SUMIFS('Daily NSE Equity Cash'!$H:$H,'Daily NSE Equity Cash'!$A:$A,$A1556)=0,"",SUMIFS('Daily NSE Equity Cash'!$H:$H,'Daily NSE Equity Cash'!$A:$A,$A1556))</f>
        <v/>
      </c>
      <c r="F1556" s="4">
        <f>IF(SUMIFS('Daily BSE Equity Cash'!$H:$H,'Daily BSE Equity Cash'!$A:$A,$A1556)=0,"",SUMIFS('Daily BSE Equity Cash'!$H:$H,'Daily BSE Equity Cash'!$A:$A,$A1556))</f>
        <v/>
      </c>
      <c r="G1556" s="4">
        <f>IF(OR(E1556="",F1556=""),"",E1556+F1556)</f>
        <v/>
      </c>
      <c r="H1556" s="7">
        <f>IFERROR(IF(OR(E1556="",INDEX(E:E,MATCH(DATE(YEAR($A1556)-1,MONTH($A1556),DAY($A1556)),$A:$A,0))=""),"",E1556/INDEX(E:E,MATCH(DATE(YEAR($A1556)-1,MONTH($A1556),DAY($A1556)),$A:$A,0))-1),"")</f>
        <v/>
      </c>
      <c r="I1556" s="7">
        <f>IFERROR(IF(OR(F1556="",INDEX(F:F,MATCH(DATE(YEAR($A1556)-1,MONTH($A1556),DAY($A1556)),$A:$A,0))=""),"",F1556/INDEX(F:F,MATCH(DATE(YEAR($A1556)-1,MONTH($A1556),DAY($A1556)),$A:$A,0))-1),"")</f>
        <v/>
      </c>
      <c r="J1556" s="7">
        <f>IFERROR(IF(OR(G1556="",INDEX(G:G,MATCH(DATE(YEAR($A1556)-1,MONTH($A1556),DAY($A1556)),$A:$A,0))=""),"",G1556/INDEX(G:G,MATCH(DATE(YEAR($A1556)-1,MONTH($A1556),DAY($A1556)),$A:$A,0))-1),"")</f>
        <v/>
      </c>
      <c r="K1556" s="7">
        <f>IF(OR(E1556="",E1555=""),"",E1556/E1555-1)</f>
        <v/>
      </c>
      <c r="L1556" s="7">
        <f>IF(OR(F1556="",F1555=""),"",F1556/F1555-1)</f>
        <v/>
      </c>
      <c r="M1556" s="7">
        <f>IF(OR(G1556="",G1555=""),"",G1556/G1555-1)</f>
        <v/>
      </c>
      <c r="N1556" s="7">
        <f>IF(G1556="","",E1556/G1556)</f>
        <v/>
      </c>
      <c r="O1556" s="7">
        <f>IF(G1556="","",F1556/G1556)</f>
        <v/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4">
        <f>IF(SUMIFS('Daily NSE Equity Cash'!$H:$H,'Daily NSE Equity Cash'!$A:$A,$A1557)=0,"",SUMIFS('Daily NSE Equity Cash'!$H:$H,'Daily NSE Equity Cash'!$A:$A,$A1557))</f>
        <v/>
      </c>
      <c r="F1557" s="4">
        <f>IF(SUMIFS('Daily BSE Equity Cash'!$H:$H,'Daily BSE Equity Cash'!$A:$A,$A1557)=0,"",SUMIFS('Daily BSE Equity Cash'!$H:$H,'Daily BSE Equity Cash'!$A:$A,$A1557))</f>
        <v/>
      </c>
      <c r="G1557" s="4">
        <f>IF(OR(E1557="",F1557=""),"",E1557+F1557)</f>
        <v/>
      </c>
      <c r="H1557" s="7">
        <f>IFERROR(IF(OR(E1557="",INDEX(E:E,MATCH(DATE(YEAR($A1557)-1,MONTH($A1557),DAY($A1557)),$A:$A,0))=""),"",E1557/INDEX(E:E,MATCH(DATE(YEAR($A1557)-1,MONTH($A1557),DAY($A1557)),$A:$A,0))-1),"")</f>
        <v/>
      </c>
      <c r="I1557" s="7">
        <f>IFERROR(IF(OR(F1557="",INDEX(F:F,MATCH(DATE(YEAR($A1557)-1,MONTH($A1557),DAY($A1557)),$A:$A,0))=""),"",F1557/INDEX(F:F,MATCH(DATE(YEAR($A1557)-1,MONTH($A1557),DAY($A1557)),$A:$A,0))-1),"")</f>
        <v/>
      </c>
      <c r="J1557" s="7">
        <f>IFERROR(IF(OR(G1557="",INDEX(G:G,MATCH(DATE(YEAR($A1557)-1,MONTH($A1557),DAY($A1557)),$A:$A,0))=""),"",G1557/INDEX(G:G,MATCH(DATE(YEAR($A1557)-1,MONTH($A1557),DAY($A1557)),$A:$A,0))-1),"")</f>
        <v/>
      </c>
      <c r="K1557" s="7">
        <f>IF(OR(E1557="",E1556=""),"",E1557/E1556-1)</f>
        <v/>
      </c>
      <c r="L1557" s="7">
        <f>IF(OR(F1557="",F1556=""),"",F1557/F1556-1)</f>
        <v/>
      </c>
      <c r="M1557" s="7">
        <f>IF(OR(G1557="",G1556=""),"",G1557/G1556-1)</f>
        <v/>
      </c>
      <c r="N1557" s="7">
        <f>IF(G1557="","",E1557/G1557)</f>
        <v/>
      </c>
      <c r="O1557" s="7">
        <f>IF(G1557="","",F1557/G1557)</f>
        <v/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4">
        <f>IF(SUMIFS('Daily NSE Equity Cash'!$H:$H,'Daily NSE Equity Cash'!$A:$A,$A1558)=0,"",SUMIFS('Daily NSE Equity Cash'!$H:$H,'Daily NSE Equity Cash'!$A:$A,$A1558))</f>
        <v/>
      </c>
      <c r="F1558" s="4">
        <f>IF(SUMIFS('Daily BSE Equity Cash'!$H:$H,'Daily BSE Equity Cash'!$A:$A,$A1558)=0,"",SUMIFS('Daily BSE Equity Cash'!$H:$H,'Daily BSE Equity Cash'!$A:$A,$A1558))</f>
        <v/>
      </c>
      <c r="G1558" s="4">
        <f>IF(OR(E1558="",F1558=""),"",E1558+F1558)</f>
        <v/>
      </c>
      <c r="H1558" s="7">
        <f>IFERROR(IF(OR(E1558="",INDEX(E:E,MATCH(DATE(YEAR($A1558)-1,MONTH($A1558),DAY($A1558)),$A:$A,0))=""),"",E1558/INDEX(E:E,MATCH(DATE(YEAR($A1558)-1,MONTH($A1558),DAY($A1558)),$A:$A,0))-1),"")</f>
        <v/>
      </c>
      <c r="I1558" s="7">
        <f>IFERROR(IF(OR(F1558="",INDEX(F:F,MATCH(DATE(YEAR($A1558)-1,MONTH($A1558),DAY($A1558)),$A:$A,0))=""),"",F1558/INDEX(F:F,MATCH(DATE(YEAR($A1558)-1,MONTH($A1558),DAY($A1558)),$A:$A,0))-1),"")</f>
        <v/>
      </c>
      <c r="J1558" s="7">
        <f>IFERROR(IF(OR(G1558="",INDEX(G:G,MATCH(DATE(YEAR($A1558)-1,MONTH($A1558),DAY($A1558)),$A:$A,0))=""),"",G1558/INDEX(G:G,MATCH(DATE(YEAR($A1558)-1,MONTH($A1558),DAY($A1558)),$A:$A,0))-1),"")</f>
        <v/>
      </c>
      <c r="K1558" s="7">
        <f>IF(OR(E1558="",E1557=""),"",E1558/E1557-1)</f>
        <v/>
      </c>
      <c r="L1558" s="7">
        <f>IF(OR(F1558="",F1557=""),"",F1558/F1557-1)</f>
        <v/>
      </c>
      <c r="M1558" s="7">
        <f>IF(OR(G1558="",G1557=""),"",G1558/G1557-1)</f>
        <v/>
      </c>
      <c r="N1558" s="7">
        <f>IF(G1558="","",E1558/G1558)</f>
        <v/>
      </c>
      <c r="O1558" s="7">
        <f>IF(G1558="","",F1558/G1558)</f>
        <v/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4">
        <f>IF(SUMIFS('Daily NSE Equity Cash'!$H:$H,'Daily NSE Equity Cash'!$A:$A,$A1559)=0,"",SUMIFS('Daily NSE Equity Cash'!$H:$H,'Daily NSE Equity Cash'!$A:$A,$A1559))</f>
        <v/>
      </c>
      <c r="F1559" s="4">
        <f>IF(SUMIFS('Daily BSE Equity Cash'!$H:$H,'Daily BSE Equity Cash'!$A:$A,$A1559)=0,"",SUMIFS('Daily BSE Equity Cash'!$H:$H,'Daily BSE Equity Cash'!$A:$A,$A1559))</f>
        <v/>
      </c>
      <c r="G1559" s="4">
        <f>IF(OR(E1559="",F1559=""),"",E1559+F1559)</f>
        <v/>
      </c>
      <c r="H1559" s="7">
        <f>IFERROR(IF(OR(E1559="",INDEX(E:E,MATCH(DATE(YEAR($A1559)-1,MONTH($A1559),DAY($A1559)),$A:$A,0))=""),"",E1559/INDEX(E:E,MATCH(DATE(YEAR($A1559)-1,MONTH($A1559),DAY($A1559)),$A:$A,0))-1),"")</f>
        <v/>
      </c>
      <c r="I1559" s="7">
        <f>IFERROR(IF(OR(F1559="",INDEX(F:F,MATCH(DATE(YEAR($A1559)-1,MONTH($A1559),DAY($A1559)),$A:$A,0))=""),"",F1559/INDEX(F:F,MATCH(DATE(YEAR($A1559)-1,MONTH($A1559),DAY($A1559)),$A:$A,0))-1),"")</f>
        <v/>
      </c>
      <c r="J1559" s="7">
        <f>IFERROR(IF(OR(G1559="",INDEX(G:G,MATCH(DATE(YEAR($A1559)-1,MONTH($A1559),DAY($A1559)),$A:$A,0))=""),"",G1559/INDEX(G:G,MATCH(DATE(YEAR($A1559)-1,MONTH($A1559),DAY($A1559)),$A:$A,0))-1),"")</f>
        <v/>
      </c>
      <c r="K1559" s="7">
        <f>IF(OR(E1559="",E1558=""),"",E1559/E1558-1)</f>
        <v/>
      </c>
      <c r="L1559" s="7">
        <f>IF(OR(F1559="",F1558=""),"",F1559/F1558-1)</f>
        <v/>
      </c>
      <c r="M1559" s="7">
        <f>IF(OR(G1559="",G1558=""),"",G1559/G1558-1)</f>
        <v/>
      </c>
      <c r="N1559" s="7">
        <f>IF(G1559="","",E1559/G1559)</f>
        <v/>
      </c>
      <c r="O1559" s="7">
        <f>IF(G1559="","",F1559/G1559)</f>
        <v/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4">
        <f>IF(SUMIFS('Daily NSE Equity Cash'!$H:$H,'Daily NSE Equity Cash'!$A:$A,$A1560)=0,"",SUMIFS('Daily NSE Equity Cash'!$H:$H,'Daily NSE Equity Cash'!$A:$A,$A1560))</f>
        <v/>
      </c>
      <c r="F1560" s="4">
        <f>IF(SUMIFS('Daily BSE Equity Cash'!$H:$H,'Daily BSE Equity Cash'!$A:$A,$A1560)=0,"",SUMIFS('Daily BSE Equity Cash'!$H:$H,'Daily BSE Equity Cash'!$A:$A,$A1560))</f>
        <v/>
      </c>
      <c r="G1560" s="4">
        <f>IF(OR(E1560="",F1560=""),"",E1560+F1560)</f>
        <v/>
      </c>
      <c r="H1560" s="7">
        <f>IFERROR(IF(OR(E1560="",INDEX(E:E,MATCH(DATE(YEAR($A1560)-1,MONTH($A1560),DAY($A1560)),$A:$A,0))=""),"",E1560/INDEX(E:E,MATCH(DATE(YEAR($A1560)-1,MONTH($A1560),DAY($A1560)),$A:$A,0))-1),"")</f>
        <v/>
      </c>
      <c r="I1560" s="7">
        <f>IFERROR(IF(OR(F1560="",INDEX(F:F,MATCH(DATE(YEAR($A1560)-1,MONTH($A1560),DAY($A1560)),$A:$A,0))=""),"",F1560/INDEX(F:F,MATCH(DATE(YEAR($A1560)-1,MONTH($A1560),DAY($A1560)),$A:$A,0))-1),"")</f>
        <v/>
      </c>
      <c r="J1560" s="7">
        <f>IFERROR(IF(OR(G1560="",INDEX(G:G,MATCH(DATE(YEAR($A1560)-1,MONTH($A1560),DAY($A1560)),$A:$A,0))=""),"",G1560/INDEX(G:G,MATCH(DATE(YEAR($A1560)-1,MONTH($A1560),DAY($A1560)),$A:$A,0))-1),"")</f>
        <v/>
      </c>
      <c r="K1560" s="7">
        <f>IF(OR(E1560="",E1559=""),"",E1560/E1559-1)</f>
        <v/>
      </c>
      <c r="L1560" s="7">
        <f>IF(OR(F1560="",F1559=""),"",F1560/F1559-1)</f>
        <v/>
      </c>
      <c r="M1560" s="7">
        <f>IF(OR(G1560="",G1559=""),"",G1560/G1559-1)</f>
        <v/>
      </c>
      <c r="N1560" s="7">
        <f>IF(G1560="","",E1560/G1560)</f>
        <v/>
      </c>
      <c r="O1560" s="7">
        <f>IF(G1560="","",F1560/G1560)</f>
        <v/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4">
        <f>IF(SUMIFS('Daily NSE Equity Cash'!$H:$H,'Daily NSE Equity Cash'!$A:$A,$A1561)=0,"",SUMIFS('Daily NSE Equity Cash'!$H:$H,'Daily NSE Equity Cash'!$A:$A,$A1561))</f>
        <v/>
      </c>
      <c r="F1561" s="4">
        <f>IF(SUMIFS('Daily BSE Equity Cash'!$H:$H,'Daily BSE Equity Cash'!$A:$A,$A1561)=0,"",SUMIFS('Daily BSE Equity Cash'!$H:$H,'Daily BSE Equity Cash'!$A:$A,$A1561))</f>
        <v/>
      </c>
      <c r="G1561" s="4">
        <f>IF(OR(E1561="",F1561=""),"",E1561+F1561)</f>
        <v/>
      </c>
      <c r="H1561" s="7">
        <f>IFERROR(IF(OR(E1561="",INDEX(E:E,MATCH(DATE(YEAR($A1561)-1,MONTH($A1561),DAY($A1561)),$A:$A,0))=""),"",E1561/INDEX(E:E,MATCH(DATE(YEAR($A1561)-1,MONTH($A1561),DAY($A1561)),$A:$A,0))-1),"")</f>
        <v/>
      </c>
      <c r="I1561" s="7">
        <f>IFERROR(IF(OR(F1561="",INDEX(F:F,MATCH(DATE(YEAR($A1561)-1,MONTH($A1561),DAY($A1561)),$A:$A,0))=""),"",F1561/INDEX(F:F,MATCH(DATE(YEAR($A1561)-1,MONTH($A1561),DAY($A1561)),$A:$A,0))-1),"")</f>
        <v/>
      </c>
      <c r="J1561" s="7">
        <f>IFERROR(IF(OR(G1561="",INDEX(G:G,MATCH(DATE(YEAR($A1561)-1,MONTH($A1561),DAY($A1561)),$A:$A,0))=""),"",G1561/INDEX(G:G,MATCH(DATE(YEAR($A1561)-1,MONTH($A1561),DAY($A1561)),$A:$A,0))-1),"")</f>
        <v/>
      </c>
      <c r="K1561" s="7">
        <f>IF(OR(E1561="",E1560=""),"",E1561/E1560-1)</f>
        <v/>
      </c>
      <c r="L1561" s="7">
        <f>IF(OR(F1561="",F1560=""),"",F1561/F1560-1)</f>
        <v/>
      </c>
      <c r="M1561" s="7">
        <f>IF(OR(G1561="",G1560=""),"",G1561/G1560-1)</f>
        <v/>
      </c>
      <c r="N1561" s="7">
        <f>IF(G1561="","",E1561/G1561)</f>
        <v/>
      </c>
      <c r="O1561" s="7">
        <f>IF(G1561="","",F1561/G1561)</f>
        <v/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4">
        <f>IF(SUMIFS('Daily NSE Equity Cash'!$H:$H,'Daily NSE Equity Cash'!$A:$A,$A1562)=0,"",SUMIFS('Daily NSE Equity Cash'!$H:$H,'Daily NSE Equity Cash'!$A:$A,$A1562))</f>
        <v/>
      </c>
      <c r="F1562" s="4">
        <f>IF(SUMIFS('Daily BSE Equity Cash'!$H:$H,'Daily BSE Equity Cash'!$A:$A,$A1562)=0,"",SUMIFS('Daily BSE Equity Cash'!$H:$H,'Daily BSE Equity Cash'!$A:$A,$A1562))</f>
        <v/>
      </c>
      <c r="G1562" s="4">
        <f>IF(OR(E1562="",F1562=""),"",E1562+F1562)</f>
        <v/>
      </c>
      <c r="H1562" s="7">
        <f>IFERROR(IF(OR(E1562="",INDEX(E:E,MATCH(DATE(YEAR($A1562)-1,MONTH($A1562),DAY($A1562)),$A:$A,0))=""),"",E1562/INDEX(E:E,MATCH(DATE(YEAR($A1562)-1,MONTH($A1562),DAY($A1562)),$A:$A,0))-1),"")</f>
        <v/>
      </c>
      <c r="I1562" s="7">
        <f>IFERROR(IF(OR(F1562="",INDEX(F:F,MATCH(DATE(YEAR($A1562)-1,MONTH($A1562),DAY($A1562)),$A:$A,0))=""),"",F1562/INDEX(F:F,MATCH(DATE(YEAR($A1562)-1,MONTH($A1562),DAY($A1562)),$A:$A,0))-1),"")</f>
        <v/>
      </c>
      <c r="J1562" s="7">
        <f>IFERROR(IF(OR(G1562="",INDEX(G:G,MATCH(DATE(YEAR($A1562)-1,MONTH($A1562),DAY($A1562)),$A:$A,0))=""),"",G1562/INDEX(G:G,MATCH(DATE(YEAR($A1562)-1,MONTH($A1562),DAY($A1562)),$A:$A,0))-1),"")</f>
        <v/>
      </c>
      <c r="K1562" s="7">
        <f>IF(OR(E1562="",E1561=""),"",E1562/E1561-1)</f>
        <v/>
      </c>
      <c r="L1562" s="7">
        <f>IF(OR(F1562="",F1561=""),"",F1562/F1561-1)</f>
        <v/>
      </c>
      <c r="M1562" s="7">
        <f>IF(OR(G1562="",G1561=""),"",G1562/G1561-1)</f>
        <v/>
      </c>
      <c r="N1562" s="7">
        <f>IF(G1562="","",E1562/G1562)</f>
        <v/>
      </c>
      <c r="O1562" s="7">
        <f>IF(G1562="","",F1562/G1562)</f>
        <v/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4">
        <f>IF(SUMIFS('Daily NSE Equity Cash'!$H:$H,'Daily NSE Equity Cash'!$A:$A,$A1563)=0,"",SUMIFS('Daily NSE Equity Cash'!$H:$H,'Daily NSE Equity Cash'!$A:$A,$A1563))</f>
        <v/>
      </c>
      <c r="F1563" s="4">
        <f>IF(SUMIFS('Daily BSE Equity Cash'!$H:$H,'Daily BSE Equity Cash'!$A:$A,$A1563)=0,"",SUMIFS('Daily BSE Equity Cash'!$H:$H,'Daily BSE Equity Cash'!$A:$A,$A1563))</f>
        <v/>
      </c>
      <c r="G1563" s="4">
        <f>IF(OR(E1563="",F1563=""),"",E1563+F1563)</f>
        <v/>
      </c>
      <c r="H1563" s="7">
        <f>IFERROR(IF(OR(E1563="",INDEX(E:E,MATCH(DATE(YEAR($A1563)-1,MONTH($A1563),DAY($A1563)),$A:$A,0))=""),"",E1563/INDEX(E:E,MATCH(DATE(YEAR($A1563)-1,MONTH($A1563),DAY($A1563)),$A:$A,0))-1),"")</f>
        <v/>
      </c>
      <c r="I1563" s="7">
        <f>IFERROR(IF(OR(F1563="",INDEX(F:F,MATCH(DATE(YEAR($A1563)-1,MONTH($A1563),DAY($A1563)),$A:$A,0))=""),"",F1563/INDEX(F:F,MATCH(DATE(YEAR($A1563)-1,MONTH($A1563),DAY($A1563)),$A:$A,0))-1),"")</f>
        <v/>
      </c>
      <c r="J1563" s="7">
        <f>IFERROR(IF(OR(G1563="",INDEX(G:G,MATCH(DATE(YEAR($A1563)-1,MONTH($A1563),DAY($A1563)),$A:$A,0))=""),"",G1563/INDEX(G:G,MATCH(DATE(YEAR($A1563)-1,MONTH($A1563),DAY($A1563)),$A:$A,0))-1),"")</f>
        <v/>
      </c>
      <c r="K1563" s="7">
        <f>IF(OR(E1563="",E1562=""),"",E1563/E1562-1)</f>
        <v/>
      </c>
      <c r="L1563" s="7">
        <f>IF(OR(F1563="",F1562=""),"",F1563/F1562-1)</f>
        <v/>
      </c>
      <c r="M1563" s="7">
        <f>IF(OR(G1563="",G1562=""),"",G1563/G1562-1)</f>
        <v/>
      </c>
      <c r="N1563" s="7">
        <f>IF(G1563="","",E1563/G1563)</f>
        <v/>
      </c>
      <c r="O1563" s="7">
        <f>IF(G1563="","",F1563/G1563)</f>
        <v/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4">
        <f>IF(SUMIFS('Daily NSE Equity Cash'!$H:$H,'Daily NSE Equity Cash'!$A:$A,$A1564)=0,"",SUMIFS('Daily NSE Equity Cash'!$H:$H,'Daily NSE Equity Cash'!$A:$A,$A1564))</f>
        <v/>
      </c>
      <c r="F1564" s="4">
        <f>IF(SUMIFS('Daily BSE Equity Cash'!$H:$H,'Daily BSE Equity Cash'!$A:$A,$A1564)=0,"",SUMIFS('Daily BSE Equity Cash'!$H:$H,'Daily BSE Equity Cash'!$A:$A,$A1564))</f>
        <v/>
      </c>
      <c r="G1564" s="4">
        <f>IF(OR(E1564="",F1564=""),"",E1564+F1564)</f>
        <v/>
      </c>
      <c r="H1564" s="7">
        <f>IFERROR(IF(OR(E1564="",INDEX(E:E,MATCH(DATE(YEAR($A1564)-1,MONTH($A1564),DAY($A1564)),$A:$A,0))=""),"",E1564/INDEX(E:E,MATCH(DATE(YEAR($A1564)-1,MONTH($A1564),DAY($A1564)),$A:$A,0))-1),"")</f>
        <v/>
      </c>
      <c r="I1564" s="7">
        <f>IFERROR(IF(OR(F1564="",INDEX(F:F,MATCH(DATE(YEAR($A1564)-1,MONTH($A1564),DAY($A1564)),$A:$A,0))=""),"",F1564/INDEX(F:F,MATCH(DATE(YEAR($A1564)-1,MONTH($A1564),DAY($A1564)),$A:$A,0))-1),"")</f>
        <v/>
      </c>
      <c r="J1564" s="7">
        <f>IFERROR(IF(OR(G1564="",INDEX(G:G,MATCH(DATE(YEAR($A1564)-1,MONTH($A1564),DAY($A1564)),$A:$A,0))=""),"",G1564/INDEX(G:G,MATCH(DATE(YEAR($A1564)-1,MONTH($A1564),DAY($A1564)),$A:$A,0))-1),"")</f>
        <v/>
      </c>
      <c r="K1564" s="7">
        <f>IF(OR(E1564="",E1563=""),"",E1564/E1563-1)</f>
        <v/>
      </c>
      <c r="L1564" s="7">
        <f>IF(OR(F1564="",F1563=""),"",F1564/F1563-1)</f>
        <v/>
      </c>
      <c r="M1564" s="7">
        <f>IF(OR(G1564="",G1563=""),"",G1564/G1563-1)</f>
        <v/>
      </c>
      <c r="N1564" s="7">
        <f>IF(G1564="","",E1564/G1564)</f>
        <v/>
      </c>
      <c r="O1564" s="7">
        <f>IF(G1564="","",F1564/G1564)</f>
        <v/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4">
        <f>IF(SUMIFS('Daily NSE Equity Cash'!$H:$H,'Daily NSE Equity Cash'!$A:$A,$A1565)=0,"",SUMIFS('Daily NSE Equity Cash'!$H:$H,'Daily NSE Equity Cash'!$A:$A,$A1565))</f>
        <v/>
      </c>
      <c r="F1565" s="4">
        <f>IF(SUMIFS('Daily BSE Equity Cash'!$H:$H,'Daily BSE Equity Cash'!$A:$A,$A1565)=0,"",SUMIFS('Daily BSE Equity Cash'!$H:$H,'Daily BSE Equity Cash'!$A:$A,$A1565))</f>
        <v/>
      </c>
      <c r="G1565" s="4">
        <f>IF(OR(E1565="",F1565=""),"",E1565+F1565)</f>
        <v/>
      </c>
      <c r="H1565" s="7">
        <f>IFERROR(IF(OR(E1565="",INDEX(E:E,MATCH(DATE(YEAR($A1565)-1,MONTH($A1565),DAY($A1565)),$A:$A,0))=""),"",E1565/INDEX(E:E,MATCH(DATE(YEAR($A1565)-1,MONTH($A1565),DAY($A1565)),$A:$A,0))-1),"")</f>
        <v/>
      </c>
      <c r="I1565" s="7">
        <f>IFERROR(IF(OR(F1565="",INDEX(F:F,MATCH(DATE(YEAR($A1565)-1,MONTH($A1565),DAY($A1565)),$A:$A,0))=""),"",F1565/INDEX(F:F,MATCH(DATE(YEAR($A1565)-1,MONTH($A1565),DAY($A1565)),$A:$A,0))-1),"")</f>
        <v/>
      </c>
      <c r="J1565" s="7">
        <f>IFERROR(IF(OR(G1565="",INDEX(G:G,MATCH(DATE(YEAR($A1565)-1,MONTH($A1565),DAY($A1565)),$A:$A,0))=""),"",G1565/INDEX(G:G,MATCH(DATE(YEAR($A1565)-1,MONTH($A1565),DAY($A1565)),$A:$A,0))-1),"")</f>
        <v/>
      </c>
      <c r="K1565" s="7">
        <f>IF(OR(E1565="",E1564=""),"",E1565/E1564-1)</f>
        <v/>
      </c>
      <c r="L1565" s="7">
        <f>IF(OR(F1565="",F1564=""),"",F1565/F1564-1)</f>
        <v/>
      </c>
      <c r="M1565" s="7">
        <f>IF(OR(G1565="",G1564=""),"",G1565/G1564-1)</f>
        <v/>
      </c>
      <c r="N1565" s="7">
        <f>IF(G1565="","",E1565/G1565)</f>
        <v/>
      </c>
      <c r="O1565" s="7">
        <f>IF(G1565="","",F1565/G1565)</f>
        <v/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4">
        <f>IF(SUMIFS('Daily NSE Equity Cash'!$H:$H,'Daily NSE Equity Cash'!$A:$A,$A1566)=0,"",SUMIFS('Daily NSE Equity Cash'!$H:$H,'Daily NSE Equity Cash'!$A:$A,$A1566))</f>
        <v/>
      </c>
      <c r="F1566" s="4">
        <f>IF(SUMIFS('Daily BSE Equity Cash'!$H:$H,'Daily BSE Equity Cash'!$A:$A,$A1566)=0,"",SUMIFS('Daily BSE Equity Cash'!$H:$H,'Daily BSE Equity Cash'!$A:$A,$A1566))</f>
        <v/>
      </c>
      <c r="G1566" s="4">
        <f>IF(OR(E1566="",F1566=""),"",E1566+F1566)</f>
        <v/>
      </c>
      <c r="H1566" s="7">
        <f>IFERROR(IF(OR(E1566="",INDEX(E:E,MATCH(DATE(YEAR($A1566)-1,MONTH($A1566),DAY($A1566)),$A:$A,0))=""),"",E1566/INDEX(E:E,MATCH(DATE(YEAR($A1566)-1,MONTH($A1566),DAY($A1566)),$A:$A,0))-1),"")</f>
        <v/>
      </c>
      <c r="I1566" s="7">
        <f>IFERROR(IF(OR(F1566="",INDEX(F:F,MATCH(DATE(YEAR($A1566)-1,MONTH($A1566),DAY($A1566)),$A:$A,0))=""),"",F1566/INDEX(F:F,MATCH(DATE(YEAR($A1566)-1,MONTH($A1566),DAY($A1566)),$A:$A,0))-1),"")</f>
        <v/>
      </c>
      <c r="J1566" s="7">
        <f>IFERROR(IF(OR(G1566="",INDEX(G:G,MATCH(DATE(YEAR($A1566)-1,MONTH($A1566),DAY($A1566)),$A:$A,0))=""),"",G1566/INDEX(G:G,MATCH(DATE(YEAR($A1566)-1,MONTH($A1566),DAY($A1566)),$A:$A,0))-1),"")</f>
        <v/>
      </c>
      <c r="K1566" s="7">
        <f>IF(OR(E1566="",E1565=""),"",E1566/E1565-1)</f>
        <v/>
      </c>
      <c r="L1566" s="7">
        <f>IF(OR(F1566="",F1565=""),"",F1566/F1565-1)</f>
        <v/>
      </c>
      <c r="M1566" s="7">
        <f>IF(OR(G1566="",G1565=""),"",G1566/G1565-1)</f>
        <v/>
      </c>
      <c r="N1566" s="7">
        <f>IF(G1566="","",E1566/G1566)</f>
        <v/>
      </c>
      <c r="O1566" s="7">
        <f>IF(G1566="","",F1566/G1566)</f>
        <v/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4">
        <f>IF(SUMIFS('Daily NSE Equity Cash'!$H:$H,'Daily NSE Equity Cash'!$A:$A,$A1567)=0,"",SUMIFS('Daily NSE Equity Cash'!$H:$H,'Daily NSE Equity Cash'!$A:$A,$A1567))</f>
        <v/>
      </c>
      <c r="F1567" s="4">
        <f>IF(SUMIFS('Daily BSE Equity Cash'!$H:$H,'Daily BSE Equity Cash'!$A:$A,$A1567)=0,"",SUMIFS('Daily BSE Equity Cash'!$H:$H,'Daily BSE Equity Cash'!$A:$A,$A1567))</f>
        <v/>
      </c>
      <c r="G1567" s="4">
        <f>IF(OR(E1567="",F1567=""),"",E1567+F1567)</f>
        <v/>
      </c>
      <c r="H1567" s="7">
        <f>IFERROR(IF(OR(E1567="",INDEX(E:E,MATCH(DATE(YEAR($A1567)-1,MONTH($A1567),DAY($A1567)),$A:$A,0))=""),"",E1567/INDEX(E:E,MATCH(DATE(YEAR($A1567)-1,MONTH($A1567),DAY($A1567)),$A:$A,0))-1),"")</f>
        <v/>
      </c>
      <c r="I1567" s="7">
        <f>IFERROR(IF(OR(F1567="",INDEX(F:F,MATCH(DATE(YEAR($A1567)-1,MONTH($A1567),DAY($A1567)),$A:$A,0))=""),"",F1567/INDEX(F:F,MATCH(DATE(YEAR($A1567)-1,MONTH($A1567),DAY($A1567)),$A:$A,0))-1),"")</f>
        <v/>
      </c>
      <c r="J1567" s="7">
        <f>IFERROR(IF(OR(G1567="",INDEX(G:G,MATCH(DATE(YEAR($A1567)-1,MONTH($A1567),DAY($A1567)),$A:$A,0))=""),"",G1567/INDEX(G:G,MATCH(DATE(YEAR($A1567)-1,MONTH($A1567),DAY($A1567)),$A:$A,0))-1),"")</f>
        <v/>
      </c>
      <c r="K1567" s="7">
        <f>IF(OR(E1567="",E1566=""),"",E1567/E1566-1)</f>
        <v/>
      </c>
      <c r="L1567" s="7">
        <f>IF(OR(F1567="",F1566=""),"",F1567/F1566-1)</f>
        <v/>
      </c>
      <c r="M1567" s="7">
        <f>IF(OR(G1567="",G1566=""),"",G1567/G1566-1)</f>
        <v/>
      </c>
      <c r="N1567" s="7">
        <f>IF(G1567="","",E1567/G1567)</f>
        <v/>
      </c>
      <c r="O1567" s="7">
        <f>IF(G1567="","",F1567/G1567)</f>
        <v/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4">
        <f>IF(SUMIFS('Daily NSE Equity Cash'!$H:$H,'Daily NSE Equity Cash'!$A:$A,$A1568)=0,"",SUMIFS('Daily NSE Equity Cash'!$H:$H,'Daily NSE Equity Cash'!$A:$A,$A1568))</f>
        <v/>
      </c>
      <c r="F1568" s="4">
        <f>IF(SUMIFS('Daily BSE Equity Cash'!$H:$H,'Daily BSE Equity Cash'!$A:$A,$A1568)=0,"",SUMIFS('Daily BSE Equity Cash'!$H:$H,'Daily BSE Equity Cash'!$A:$A,$A1568))</f>
        <v/>
      </c>
      <c r="G1568" s="4">
        <f>IF(OR(E1568="",F1568=""),"",E1568+F1568)</f>
        <v/>
      </c>
      <c r="H1568" s="7">
        <f>IFERROR(IF(OR(E1568="",INDEX(E:E,MATCH(DATE(YEAR($A1568)-1,MONTH($A1568),DAY($A1568)),$A:$A,0))=""),"",E1568/INDEX(E:E,MATCH(DATE(YEAR($A1568)-1,MONTH($A1568),DAY($A1568)),$A:$A,0))-1),"")</f>
        <v/>
      </c>
      <c r="I1568" s="7">
        <f>IFERROR(IF(OR(F1568="",INDEX(F:F,MATCH(DATE(YEAR($A1568)-1,MONTH($A1568),DAY($A1568)),$A:$A,0))=""),"",F1568/INDEX(F:F,MATCH(DATE(YEAR($A1568)-1,MONTH($A1568),DAY($A1568)),$A:$A,0))-1),"")</f>
        <v/>
      </c>
      <c r="J1568" s="7">
        <f>IFERROR(IF(OR(G1568="",INDEX(G:G,MATCH(DATE(YEAR($A1568)-1,MONTH($A1568),DAY($A1568)),$A:$A,0))=""),"",G1568/INDEX(G:G,MATCH(DATE(YEAR($A1568)-1,MONTH($A1568),DAY($A1568)),$A:$A,0))-1),"")</f>
        <v/>
      </c>
      <c r="K1568" s="7">
        <f>IF(OR(E1568="",E1567=""),"",E1568/E1567-1)</f>
        <v/>
      </c>
      <c r="L1568" s="7">
        <f>IF(OR(F1568="",F1567=""),"",F1568/F1567-1)</f>
        <v/>
      </c>
      <c r="M1568" s="7">
        <f>IF(OR(G1568="",G1567=""),"",G1568/G1567-1)</f>
        <v/>
      </c>
      <c r="N1568" s="7">
        <f>IF(G1568="","",E1568/G1568)</f>
        <v/>
      </c>
      <c r="O1568" s="7">
        <f>IF(G1568="","",F1568/G1568)</f>
        <v/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4">
        <f>IF(SUMIFS('Daily NSE Equity Cash'!$H:$H,'Daily NSE Equity Cash'!$A:$A,$A1569)=0,"",SUMIFS('Daily NSE Equity Cash'!$H:$H,'Daily NSE Equity Cash'!$A:$A,$A1569))</f>
        <v/>
      </c>
      <c r="F1569" s="4">
        <f>IF(SUMIFS('Daily BSE Equity Cash'!$H:$H,'Daily BSE Equity Cash'!$A:$A,$A1569)=0,"",SUMIFS('Daily BSE Equity Cash'!$H:$H,'Daily BSE Equity Cash'!$A:$A,$A1569))</f>
        <v/>
      </c>
      <c r="G1569" s="4">
        <f>IF(OR(E1569="",F1569=""),"",E1569+F1569)</f>
        <v/>
      </c>
      <c r="H1569" s="7">
        <f>IFERROR(IF(OR(E1569="",INDEX(E:E,MATCH(DATE(YEAR($A1569)-1,MONTH($A1569),DAY($A1569)),$A:$A,0))=""),"",E1569/INDEX(E:E,MATCH(DATE(YEAR($A1569)-1,MONTH($A1569),DAY($A1569)),$A:$A,0))-1),"")</f>
        <v/>
      </c>
      <c r="I1569" s="7">
        <f>IFERROR(IF(OR(F1569="",INDEX(F:F,MATCH(DATE(YEAR($A1569)-1,MONTH($A1569),DAY($A1569)),$A:$A,0))=""),"",F1569/INDEX(F:F,MATCH(DATE(YEAR($A1569)-1,MONTH($A1569),DAY($A1569)),$A:$A,0))-1),"")</f>
        <v/>
      </c>
      <c r="J1569" s="7">
        <f>IFERROR(IF(OR(G1569="",INDEX(G:G,MATCH(DATE(YEAR($A1569)-1,MONTH($A1569),DAY($A1569)),$A:$A,0))=""),"",G1569/INDEX(G:G,MATCH(DATE(YEAR($A1569)-1,MONTH($A1569),DAY($A1569)),$A:$A,0))-1),"")</f>
        <v/>
      </c>
      <c r="K1569" s="7">
        <f>IF(OR(E1569="",E1568=""),"",E1569/E1568-1)</f>
        <v/>
      </c>
      <c r="L1569" s="7">
        <f>IF(OR(F1569="",F1568=""),"",F1569/F1568-1)</f>
        <v/>
      </c>
      <c r="M1569" s="7">
        <f>IF(OR(G1569="",G1568=""),"",G1569/G1568-1)</f>
        <v/>
      </c>
      <c r="N1569" s="7">
        <f>IF(G1569="","",E1569/G1569)</f>
        <v/>
      </c>
      <c r="O1569" s="7">
        <f>IF(G1569="","",F1569/G1569)</f>
        <v/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4">
        <f>IF(SUMIFS('Daily NSE Equity Cash'!$H:$H,'Daily NSE Equity Cash'!$A:$A,$A1570)=0,"",SUMIFS('Daily NSE Equity Cash'!$H:$H,'Daily NSE Equity Cash'!$A:$A,$A1570))</f>
        <v/>
      </c>
      <c r="F1570" s="4">
        <f>IF(SUMIFS('Daily BSE Equity Cash'!$H:$H,'Daily BSE Equity Cash'!$A:$A,$A1570)=0,"",SUMIFS('Daily BSE Equity Cash'!$H:$H,'Daily BSE Equity Cash'!$A:$A,$A1570))</f>
        <v/>
      </c>
      <c r="G1570" s="4">
        <f>IF(OR(E1570="",F1570=""),"",E1570+F1570)</f>
        <v/>
      </c>
      <c r="H1570" s="7">
        <f>IFERROR(IF(OR(E1570="",INDEX(E:E,MATCH(DATE(YEAR($A1570)-1,MONTH($A1570),DAY($A1570)),$A:$A,0))=""),"",E1570/INDEX(E:E,MATCH(DATE(YEAR($A1570)-1,MONTH($A1570),DAY($A1570)),$A:$A,0))-1),"")</f>
        <v/>
      </c>
      <c r="I1570" s="7">
        <f>IFERROR(IF(OR(F1570="",INDEX(F:F,MATCH(DATE(YEAR($A1570)-1,MONTH($A1570),DAY($A1570)),$A:$A,0))=""),"",F1570/INDEX(F:F,MATCH(DATE(YEAR($A1570)-1,MONTH($A1570),DAY($A1570)),$A:$A,0))-1),"")</f>
        <v/>
      </c>
      <c r="J1570" s="7">
        <f>IFERROR(IF(OR(G1570="",INDEX(G:G,MATCH(DATE(YEAR($A1570)-1,MONTH($A1570),DAY($A1570)),$A:$A,0))=""),"",G1570/INDEX(G:G,MATCH(DATE(YEAR($A1570)-1,MONTH($A1570),DAY($A1570)),$A:$A,0))-1),"")</f>
        <v/>
      </c>
      <c r="K1570" s="7">
        <f>IF(OR(E1570="",E1569=""),"",E1570/E1569-1)</f>
        <v/>
      </c>
      <c r="L1570" s="7">
        <f>IF(OR(F1570="",F1569=""),"",F1570/F1569-1)</f>
        <v/>
      </c>
      <c r="M1570" s="7">
        <f>IF(OR(G1570="",G1569=""),"",G1570/G1569-1)</f>
        <v/>
      </c>
      <c r="N1570" s="7">
        <f>IF(G1570="","",E1570/G1570)</f>
        <v/>
      </c>
      <c r="O1570" s="7">
        <f>IF(G1570="","",F1570/G1570)</f>
        <v/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4">
        <f>IF(SUMIFS('Daily NSE Equity Cash'!$H:$H,'Daily NSE Equity Cash'!$A:$A,$A1571)=0,"",SUMIFS('Daily NSE Equity Cash'!$H:$H,'Daily NSE Equity Cash'!$A:$A,$A1571))</f>
        <v/>
      </c>
      <c r="F1571" s="4">
        <f>IF(SUMIFS('Daily BSE Equity Cash'!$H:$H,'Daily BSE Equity Cash'!$A:$A,$A1571)=0,"",SUMIFS('Daily BSE Equity Cash'!$H:$H,'Daily BSE Equity Cash'!$A:$A,$A1571))</f>
        <v/>
      </c>
      <c r="G1571" s="4">
        <f>IF(OR(E1571="",F1571=""),"",E1571+F1571)</f>
        <v/>
      </c>
      <c r="H1571" s="7">
        <f>IFERROR(IF(OR(E1571="",INDEX(E:E,MATCH(DATE(YEAR($A1571)-1,MONTH($A1571),DAY($A1571)),$A:$A,0))=""),"",E1571/INDEX(E:E,MATCH(DATE(YEAR($A1571)-1,MONTH($A1571),DAY($A1571)),$A:$A,0))-1),"")</f>
        <v/>
      </c>
      <c r="I1571" s="7">
        <f>IFERROR(IF(OR(F1571="",INDEX(F:F,MATCH(DATE(YEAR($A1571)-1,MONTH($A1571),DAY($A1571)),$A:$A,0))=""),"",F1571/INDEX(F:F,MATCH(DATE(YEAR($A1571)-1,MONTH($A1571),DAY($A1571)),$A:$A,0))-1),"")</f>
        <v/>
      </c>
      <c r="J1571" s="7">
        <f>IFERROR(IF(OR(G1571="",INDEX(G:G,MATCH(DATE(YEAR($A1571)-1,MONTH($A1571),DAY($A1571)),$A:$A,0))=""),"",G1571/INDEX(G:G,MATCH(DATE(YEAR($A1571)-1,MONTH($A1571),DAY($A1571)),$A:$A,0))-1),"")</f>
        <v/>
      </c>
      <c r="K1571" s="7">
        <f>IF(OR(E1571="",E1570=""),"",E1571/E1570-1)</f>
        <v/>
      </c>
      <c r="L1571" s="7">
        <f>IF(OR(F1571="",F1570=""),"",F1571/F1570-1)</f>
        <v/>
      </c>
      <c r="M1571" s="7">
        <f>IF(OR(G1571="",G1570=""),"",G1571/G1570-1)</f>
        <v/>
      </c>
      <c r="N1571" s="7">
        <f>IF(G1571="","",E1571/G1571)</f>
        <v/>
      </c>
      <c r="O1571" s="7">
        <f>IF(G1571="","",F1571/G1571)</f>
        <v/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4">
        <f>IF(SUMIFS('Daily NSE Equity Cash'!$H:$H,'Daily NSE Equity Cash'!$A:$A,$A1572)=0,"",SUMIFS('Daily NSE Equity Cash'!$H:$H,'Daily NSE Equity Cash'!$A:$A,$A1572))</f>
        <v/>
      </c>
      <c r="F1572" s="4">
        <f>IF(SUMIFS('Daily BSE Equity Cash'!$H:$H,'Daily BSE Equity Cash'!$A:$A,$A1572)=0,"",SUMIFS('Daily BSE Equity Cash'!$H:$H,'Daily BSE Equity Cash'!$A:$A,$A1572))</f>
        <v/>
      </c>
      <c r="G1572" s="4">
        <f>IF(OR(E1572="",F1572=""),"",E1572+F1572)</f>
        <v/>
      </c>
      <c r="H1572" s="7">
        <f>IFERROR(IF(OR(E1572="",INDEX(E:E,MATCH(DATE(YEAR($A1572)-1,MONTH($A1572),DAY($A1572)),$A:$A,0))=""),"",E1572/INDEX(E:E,MATCH(DATE(YEAR($A1572)-1,MONTH($A1572),DAY($A1572)),$A:$A,0))-1),"")</f>
        <v/>
      </c>
      <c r="I1572" s="7">
        <f>IFERROR(IF(OR(F1572="",INDEX(F:F,MATCH(DATE(YEAR($A1572)-1,MONTH($A1572),DAY($A1572)),$A:$A,0))=""),"",F1572/INDEX(F:F,MATCH(DATE(YEAR($A1572)-1,MONTH($A1572),DAY($A1572)),$A:$A,0))-1),"")</f>
        <v/>
      </c>
      <c r="J1572" s="7">
        <f>IFERROR(IF(OR(G1572="",INDEX(G:G,MATCH(DATE(YEAR($A1572)-1,MONTH($A1572),DAY($A1572)),$A:$A,0))=""),"",G1572/INDEX(G:G,MATCH(DATE(YEAR($A1572)-1,MONTH($A1572),DAY($A1572)),$A:$A,0))-1),"")</f>
        <v/>
      </c>
      <c r="K1572" s="7">
        <f>IF(OR(E1572="",E1571=""),"",E1572/E1571-1)</f>
        <v/>
      </c>
      <c r="L1572" s="7">
        <f>IF(OR(F1572="",F1571=""),"",F1572/F1571-1)</f>
        <v/>
      </c>
      <c r="M1572" s="7">
        <f>IF(OR(G1572="",G1571=""),"",G1572/G1571-1)</f>
        <v/>
      </c>
      <c r="N1572" s="7">
        <f>IF(G1572="","",E1572/G1572)</f>
        <v/>
      </c>
      <c r="O1572" s="7">
        <f>IF(G1572="","",F1572/G1572)</f>
        <v/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4">
        <f>IF(SUMIFS('Daily NSE Equity Cash'!$H:$H,'Daily NSE Equity Cash'!$A:$A,$A1573)=0,"",SUMIFS('Daily NSE Equity Cash'!$H:$H,'Daily NSE Equity Cash'!$A:$A,$A1573))</f>
        <v/>
      </c>
      <c r="F1573" s="4">
        <f>IF(SUMIFS('Daily BSE Equity Cash'!$H:$H,'Daily BSE Equity Cash'!$A:$A,$A1573)=0,"",SUMIFS('Daily BSE Equity Cash'!$H:$H,'Daily BSE Equity Cash'!$A:$A,$A1573))</f>
        <v/>
      </c>
      <c r="G1573" s="4">
        <f>IF(OR(E1573="",F1573=""),"",E1573+F1573)</f>
        <v/>
      </c>
      <c r="H1573" s="7">
        <f>IFERROR(IF(OR(E1573="",INDEX(E:E,MATCH(DATE(YEAR($A1573)-1,MONTH($A1573),DAY($A1573)),$A:$A,0))=""),"",E1573/INDEX(E:E,MATCH(DATE(YEAR($A1573)-1,MONTH($A1573),DAY($A1573)),$A:$A,0))-1),"")</f>
        <v/>
      </c>
      <c r="I1573" s="7">
        <f>IFERROR(IF(OR(F1573="",INDEX(F:F,MATCH(DATE(YEAR($A1573)-1,MONTH($A1573),DAY($A1573)),$A:$A,0))=""),"",F1573/INDEX(F:F,MATCH(DATE(YEAR($A1573)-1,MONTH($A1573),DAY($A1573)),$A:$A,0))-1),"")</f>
        <v/>
      </c>
      <c r="J1573" s="7">
        <f>IFERROR(IF(OR(G1573="",INDEX(G:G,MATCH(DATE(YEAR($A1573)-1,MONTH($A1573),DAY($A1573)),$A:$A,0))=""),"",G1573/INDEX(G:G,MATCH(DATE(YEAR($A1573)-1,MONTH($A1573),DAY($A1573)),$A:$A,0))-1),"")</f>
        <v/>
      </c>
      <c r="K1573" s="7">
        <f>IF(OR(E1573="",E1572=""),"",E1573/E1572-1)</f>
        <v/>
      </c>
      <c r="L1573" s="7">
        <f>IF(OR(F1573="",F1572=""),"",F1573/F1572-1)</f>
        <v/>
      </c>
      <c r="M1573" s="7">
        <f>IF(OR(G1573="",G1572=""),"",G1573/G1572-1)</f>
        <v/>
      </c>
      <c r="N1573" s="7">
        <f>IF(G1573="","",E1573/G1573)</f>
        <v/>
      </c>
      <c r="O1573" s="7">
        <f>IF(G1573="","",F1573/G1573)</f>
        <v/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4">
        <f>IF(SUMIFS('Daily NSE Equity Cash'!$H:$H,'Daily NSE Equity Cash'!$A:$A,$A1574)=0,"",SUMIFS('Daily NSE Equity Cash'!$H:$H,'Daily NSE Equity Cash'!$A:$A,$A1574))</f>
        <v/>
      </c>
      <c r="F1574" s="4">
        <f>IF(SUMIFS('Daily BSE Equity Cash'!$H:$H,'Daily BSE Equity Cash'!$A:$A,$A1574)=0,"",SUMIFS('Daily BSE Equity Cash'!$H:$H,'Daily BSE Equity Cash'!$A:$A,$A1574))</f>
        <v/>
      </c>
      <c r="G1574" s="4">
        <f>IF(OR(E1574="",F1574=""),"",E1574+F1574)</f>
        <v/>
      </c>
      <c r="H1574" s="7">
        <f>IFERROR(IF(OR(E1574="",INDEX(E:E,MATCH(DATE(YEAR($A1574)-1,MONTH($A1574),DAY($A1574)),$A:$A,0))=""),"",E1574/INDEX(E:E,MATCH(DATE(YEAR($A1574)-1,MONTH($A1574),DAY($A1574)),$A:$A,0))-1),"")</f>
        <v/>
      </c>
      <c r="I1574" s="7">
        <f>IFERROR(IF(OR(F1574="",INDEX(F:F,MATCH(DATE(YEAR($A1574)-1,MONTH($A1574),DAY($A1574)),$A:$A,0))=""),"",F1574/INDEX(F:F,MATCH(DATE(YEAR($A1574)-1,MONTH($A1574),DAY($A1574)),$A:$A,0))-1),"")</f>
        <v/>
      </c>
      <c r="J1574" s="7">
        <f>IFERROR(IF(OR(G1574="",INDEX(G:G,MATCH(DATE(YEAR($A1574)-1,MONTH($A1574),DAY($A1574)),$A:$A,0))=""),"",G1574/INDEX(G:G,MATCH(DATE(YEAR($A1574)-1,MONTH($A1574),DAY($A1574)),$A:$A,0))-1),"")</f>
        <v/>
      </c>
      <c r="K1574" s="7">
        <f>IF(OR(E1574="",E1573=""),"",E1574/E1573-1)</f>
        <v/>
      </c>
      <c r="L1574" s="7">
        <f>IF(OR(F1574="",F1573=""),"",F1574/F1573-1)</f>
        <v/>
      </c>
      <c r="M1574" s="7">
        <f>IF(OR(G1574="",G1573=""),"",G1574/G1573-1)</f>
        <v/>
      </c>
      <c r="N1574" s="7">
        <f>IF(G1574="","",E1574/G1574)</f>
        <v/>
      </c>
      <c r="O1574" s="7">
        <f>IF(G1574="","",F1574/G1574)</f>
        <v/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4">
        <f>IF(SUMIFS('Daily NSE Equity Cash'!$H:$H,'Daily NSE Equity Cash'!$A:$A,$A1575)=0,"",SUMIFS('Daily NSE Equity Cash'!$H:$H,'Daily NSE Equity Cash'!$A:$A,$A1575))</f>
        <v/>
      </c>
      <c r="F1575" s="4">
        <f>IF(SUMIFS('Daily BSE Equity Cash'!$H:$H,'Daily BSE Equity Cash'!$A:$A,$A1575)=0,"",SUMIFS('Daily BSE Equity Cash'!$H:$H,'Daily BSE Equity Cash'!$A:$A,$A1575))</f>
        <v/>
      </c>
      <c r="G1575" s="4">
        <f>IF(OR(E1575="",F1575=""),"",E1575+F1575)</f>
        <v/>
      </c>
      <c r="H1575" s="7">
        <f>IFERROR(IF(OR(E1575="",INDEX(E:E,MATCH(DATE(YEAR($A1575)-1,MONTH($A1575),DAY($A1575)),$A:$A,0))=""),"",E1575/INDEX(E:E,MATCH(DATE(YEAR($A1575)-1,MONTH($A1575),DAY($A1575)),$A:$A,0))-1),"")</f>
        <v/>
      </c>
      <c r="I1575" s="7">
        <f>IFERROR(IF(OR(F1575="",INDEX(F:F,MATCH(DATE(YEAR($A1575)-1,MONTH($A1575),DAY($A1575)),$A:$A,0))=""),"",F1575/INDEX(F:F,MATCH(DATE(YEAR($A1575)-1,MONTH($A1575),DAY($A1575)),$A:$A,0))-1),"")</f>
        <v/>
      </c>
      <c r="J1575" s="7">
        <f>IFERROR(IF(OR(G1575="",INDEX(G:G,MATCH(DATE(YEAR($A1575)-1,MONTH($A1575),DAY($A1575)),$A:$A,0))=""),"",G1575/INDEX(G:G,MATCH(DATE(YEAR($A1575)-1,MONTH($A1575),DAY($A1575)),$A:$A,0))-1),"")</f>
        <v/>
      </c>
      <c r="K1575" s="7">
        <f>IF(OR(E1575="",E1574=""),"",E1575/E1574-1)</f>
        <v/>
      </c>
      <c r="L1575" s="7">
        <f>IF(OR(F1575="",F1574=""),"",F1575/F1574-1)</f>
        <v/>
      </c>
      <c r="M1575" s="7">
        <f>IF(OR(G1575="",G1574=""),"",G1575/G1574-1)</f>
        <v/>
      </c>
      <c r="N1575" s="7">
        <f>IF(G1575="","",E1575/G1575)</f>
        <v/>
      </c>
      <c r="O1575" s="7">
        <f>IF(G1575="","",F1575/G1575)</f>
        <v/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4">
        <f>IF(SUMIFS('Daily NSE Equity Cash'!$H:$H,'Daily NSE Equity Cash'!$A:$A,$A1576)=0,"",SUMIFS('Daily NSE Equity Cash'!$H:$H,'Daily NSE Equity Cash'!$A:$A,$A1576))</f>
        <v/>
      </c>
      <c r="F1576" s="4">
        <f>IF(SUMIFS('Daily BSE Equity Cash'!$H:$H,'Daily BSE Equity Cash'!$A:$A,$A1576)=0,"",SUMIFS('Daily BSE Equity Cash'!$H:$H,'Daily BSE Equity Cash'!$A:$A,$A1576))</f>
        <v/>
      </c>
      <c r="G1576" s="4">
        <f>IF(OR(E1576="",F1576=""),"",E1576+F1576)</f>
        <v/>
      </c>
      <c r="H1576" s="7">
        <f>IFERROR(IF(OR(E1576="",INDEX(E:E,MATCH(DATE(YEAR($A1576)-1,MONTH($A1576),DAY($A1576)),$A:$A,0))=""),"",E1576/INDEX(E:E,MATCH(DATE(YEAR($A1576)-1,MONTH($A1576),DAY($A1576)),$A:$A,0))-1),"")</f>
        <v/>
      </c>
      <c r="I1576" s="7">
        <f>IFERROR(IF(OR(F1576="",INDEX(F:F,MATCH(DATE(YEAR($A1576)-1,MONTH($A1576),DAY($A1576)),$A:$A,0))=""),"",F1576/INDEX(F:F,MATCH(DATE(YEAR($A1576)-1,MONTH($A1576),DAY($A1576)),$A:$A,0))-1),"")</f>
        <v/>
      </c>
      <c r="J1576" s="7">
        <f>IFERROR(IF(OR(G1576="",INDEX(G:G,MATCH(DATE(YEAR($A1576)-1,MONTH($A1576),DAY($A1576)),$A:$A,0))=""),"",G1576/INDEX(G:G,MATCH(DATE(YEAR($A1576)-1,MONTH($A1576),DAY($A1576)),$A:$A,0))-1),"")</f>
        <v/>
      </c>
      <c r="K1576" s="7">
        <f>IF(OR(E1576="",E1575=""),"",E1576/E1575-1)</f>
        <v/>
      </c>
      <c r="L1576" s="7">
        <f>IF(OR(F1576="",F1575=""),"",F1576/F1575-1)</f>
        <v/>
      </c>
      <c r="M1576" s="7">
        <f>IF(OR(G1576="",G1575=""),"",G1576/G1575-1)</f>
        <v/>
      </c>
      <c r="N1576" s="7">
        <f>IF(G1576="","",E1576/G1576)</f>
        <v/>
      </c>
      <c r="O1576" s="7">
        <f>IF(G1576="","",F1576/G1576)</f>
        <v/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4">
        <f>IF(SUMIFS('Daily NSE Equity Cash'!$H:$H,'Daily NSE Equity Cash'!$A:$A,$A1577)=0,"",SUMIFS('Daily NSE Equity Cash'!$H:$H,'Daily NSE Equity Cash'!$A:$A,$A1577))</f>
        <v/>
      </c>
      <c r="F1577" s="4">
        <f>IF(SUMIFS('Daily BSE Equity Cash'!$H:$H,'Daily BSE Equity Cash'!$A:$A,$A1577)=0,"",SUMIFS('Daily BSE Equity Cash'!$H:$H,'Daily BSE Equity Cash'!$A:$A,$A1577))</f>
        <v/>
      </c>
      <c r="G1577" s="4">
        <f>IF(OR(E1577="",F1577=""),"",E1577+F1577)</f>
        <v/>
      </c>
      <c r="H1577" s="7">
        <f>IFERROR(IF(OR(E1577="",INDEX(E:E,MATCH(DATE(YEAR($A1577)-1,MONTH($A1577),DAY($A1577)),$A:$A,0))=""),"",E1577/INDEX(E:E,MATCH(DATE(YEAR($A1577)-1,MONTH($A1577),DAY($A1577)),$A:$A,0))-1),"")</f>
        <v/>
      </c>
      <c r="I1577" s="7">
        <f>IFERROR(IF(OR(F1577="",INDEX(F:F,MATCH(DATE(YEAR($A1577)-1,MONTH($A1577),DAY($A1577)),$A:$A,0))=""),"",F1577/INDEX(F:F,MATCH(DATE(YEAR($A1577)-1,MONTH($A1577),DAY($A1577)),$A:$A,0))-1),"")</f>
        <v/>
      </c>
      <c r="J1577" s="7">
        <f>IFERROR(IF(OR(G1577="",INDEX(G:G,MATCH(DATE(YEAR($A1577)-1,MONTH($A1577),DAY($A1577)),$A:$A,0))=""),"",G1577/INDEX(G:G,MATCH(DATE(YEAR($A1577)-1,MONTH($A1577),DAY($A1577)),$A:$A,0))-1),"")</f>
        <v/>
      </c>
      <c r="K1577" s="7">
        <f>IF(OR(E1577="",E1576=""),"",E1577/E1576-1)</f>
        <v/>
      </c>
      <c r="L1577" s="7">
        <f>IF(OR(F1577="",F1576=""),"",F1577/F1576-1)</f>
        <v/>
      </c>
      <c r="M1577" s="7">
        <f>IF(OR(G1577="",G1576=""),"",G1577/G1576-1)</f>
        <v/>
      </c>
      <c r="N1577" s="7">
        <f>IF(G1577="","",E1577/G1577)</f>
        <v/>
      </c>
      <c r="O1577" s="7">
        <f>IF(G1577="","",F1577/G1577)</f>
        <v/>
      </c>
    </row>
    <row r="1578">
      <c r="A1578" s="6" t="n">
        <v>46244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4">
        <f>IF(SUMIFS('Daily NSE Equity Cash'!$H:$H,'Daily NSE Equity Cash'!$A:$A,$A1578)=0,"",SUMIFS('Daily NSE Equity Cash'!$H:$H,'Daily NSE Equity Cash'!$A:$A,$A1578))</f>
        <v/>
      </c>
      <c r="F1578" s="4">
        <f>IF(SUMIFS('Daily BSE Equity Cash'!$H:$H,'Daily BSE Equity Cash'!$A:$A,$A1578)=0,"",SUMIFS('Daily BSE Equity Cash'!$H:$H,'Daily BSE Equity Cash'!$A:$A,$A1578))</f>
        <v/>
      </c>
      <c r="G1578" s="4">
        <f>IF(OR(E1578="",F1578=""),"",E1578+F1578)</f>
        <v/>
      </c>
      <c r="H1578" s="7">
        <f>IFERROR(IF(OR(E1578="",INDEX(E:E,MATCH(DATE(YEAR($A1578)-1,MONTH($A1578),DAY($A1578)),$A:$A,0))=""),"",E1578/INDEX(E:E,MATCH(DATE(YEAR($A1578)-1,MONTH($A1578),DAY($A1578)),$A:$A,0))-1),"")</f>
        <v/>
      </c>
      <c r="I1578" s="7">
        <f>IFERROR(IF(OR(F1578="",INDEX(F:F,MATCH(DATE(YEAR($A1578)-1,MONTH($A1578),DAY($A1578)),$A:$A,0))=""),"",F1578/INDEX(F:F,MATCH(DATE(YEAR($A1578)-1,MONTH($A1578),DAY($A1578)),$A:$A,0))-1),"")</f>
        <v/>
      </c>
      <c r="J1578" s="7">
        <f>IFERROR(IF(OR(G1578="",INDEX(G:G,MATCH(DATE(YEAR($A1578)-1,MONTH($A1578),DAY($A1578)),$A:$A,0))=""),"",G1578/INDEX(G:G,MATCH(DATE(YEAR($A1578)-1,MONTH($A1578),DAY($A1578)),$A:$A,0))-1),"")</f>
        <v/>
      </c>
      <c r="K1578" s="7">
        <f>IF(OR(E1578="",E1577=""),"",E1578/E1577-1)</f>
        <v/>
      </c>
      <c r="L1578" s="7">
        <f>IF(OR(F1578="",F1577=""),"",F1578/F1577-1)</f>
        <v/>
      </c>
      <c r="M1578" s="7">
        <f>IF(OR(G1578="",G1577=""),"",G1578/G1577-1)</f>
        <v/>
      </c>
      <c r="N1578" s="7">
        <f>IF(G1578="","",E1578/G1578)</f>
        <v/>
      </c>
      <c r="O1578" s="7">
        <f>IF(G1578="","",F1578/G1578)</f>
        <v/>
      </c>
    </row>
    <row r="1579">
      <c r="A1579" s="6" t="n">
        <v>46245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4">
        <f>IF(SUMIFS('Daily NSE Equity Cash'!$H:$H,'Daily NSE Equity Cash'!$A:$A,$A1579)=0,"",SUMIFS('Daily NSE Equity Cash'!$H:$H,'Daily NSE Equity Cash'!$A:$A,$A1579))</f>
        <v/>
      </c>
      <c r="F1579" s="4">
        <f>IF(SUMIFS('Daily BSE Equity Cash'!$H:$H,'Daily BSE Equity Cash'!$A:$A,$A1579)=0,"",SUMIFS('Daily BSE Equity Cash'!$H:$H,'Daily BSE Equity Cash'!$A:$A,$A1579))</f>
        <v/>
      </c>
      <c r="G1579" s="4">
        <f>IF(OR(E1579="",F1579=""),"",E1579+F1579)</f>
        <v/>
      </c>
      <c r="H1579" s="7">
        <f>IFERROR(IF(OR(E1579="",INDEX(E:E,MATCH(DATE(YEAR($A1579)-1,MONTH($A1579),DAY($A1579)),$A:$A,0))=""),"",E1579/INDEX(E:E,MATCH(DATE(YEAR($A1579)-1,MONTH($A1579),DAY($A1579)),$A:$A,0))-1),"")</f>
        <v/>
      </c>
      <c r="I1579" s="7">
        <f>IFERROR(IF(OR(F1579="",INDEX(F:F,MATCH(DATE(YEAR($A1579)-1,MONTH($A1579),DAY($A1579)),$A:$A,0))=""),"",F1579/INDEX(F:F,MATCH(DATE(YEAR($A1579)-1,MONTH($A1579),DAY($A1579)),$A:$A,0))-1),"")</f>
        <v/>
      </c>
      <c r="J1579" s="7">
        <f>IFERROR(IF(OR(G1579="",INDEX(G:G,MATCH(DATE(YEAR($A1579)-1,MONTH($A1579),DAY($A1579)),$A:$A,0))=""),"",G1579/INDEX(G:G,MATCH(DATE(YEAR($A1579)-1,MONTH($A1579),DAY($A1579)),$A:$A,0))-1),"")</f>
        <v/>
      </c>
      <c r="K1579" s="7">
        <f>IF(OR(E1579="",E1578=""),"",E1579/E1578-1)</f>
        <v/>
      </c>
      <c r="L1579" s="7">
        <f>IF(OR(F1579="",F1578=""),"",F1579/F1578-1)</f>
        <v/>
      </c>
      <c r="M1579" s="7">
        <f>IF(OR(G1579="",G1578=""),"",G1579/G1578-1)</f>
        <v/>
      </c>
      <c r="N1579" s="7">
        <f>IF(G1579="","",E1579/G1579)</f>
        <v/>
      </c>
      <c r="O1579" s="7">
        <f>IF(G1579="","",F1579/G1579)</f>
        <v/>
      </c>
    </row>
    <row r="1580">
      <c r="A1580" s="6" t="n">
        <v>46246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4">
        <f>IF(SUMIFS('Daily NSE Equity Cash'!$H:$H,'Daily NSE Equity Cash'!$A:$A,$A1580)=0,"",SUMIFS('Daily NSE Equity Cash'!$H:$H,'Daily NSE Equity Cash'!$A:$A,$A1580))</f>
        <v/>
      </c>
      <c r="F1580" s="4">
        <f>IF(SUMIFS('Daily BSE Equity Cash'!$H:$H,'Daily BSE Equity Cash'!$A:$A,$A1580)=0,"",SUMIFS('Daily BSE Equity Cash'!$H:$H,'Daily BSE Equity Cash'!$A:$A,$A1580))</f>
        <v/>
      </c>
      <c r="G1580" s="4">
        <f>IF(OR(E1580="",F1580=""),"",E1580+F1580)</f>
        <v/>
      </c>
      <c r="H1580" s="7">
        <f>IFERROR(IF(OR(E1580="",INDEX(E:E,MATCH(DATE(YEAR($A1580)-1,MONTH($A1580),DAY($A1580)),$A:$A,0))=""),"",E1580/INDEX(E:E,MATCH(DATE(YEAR($A1580)-1,MONTH($A1580),DAY($A1580)),$A:$A,0))-1),"")</f>
        <v/>
      </c>
      <c r="I1580" s="7">
        <f>IFERROR(IF(OR(F1580="",INDEX(F:F,MATCH(DATE(YEAR($A1580)-1,MONTH($A1580),DAY($A1580)),$A:$A,0))=""),"",F1580/INDEX(F:F,MATCH(DATE(YEAR($A1580)-1,MONTH($A1580),DAY($A1580)),$A:$A,0))-1),"")</f>
        <v/>
      </c>
      <c r="J1580" s="7">
        <f>IFERROR(IF(OR(G1580="",INDEX(G:G,MATCH(DATE(YEAR($A1580)-1,MONTH($A1580),DAY($A1580)),$A:$A,0))=""),"",G1580/INDEX(G:G,MATCH(DATE(YEAR($A1580)-1,MONTH($A1580),DAY($A1580)),$A:$A,0))-1),"")</f>
        <v/>
      </c>
      <c r="K1580" s="7">
        <f>IF(OR(E1580="",E1579=""),"",E1580/E1579-1)</f>
        <v/>
      </c>
      <c r="L1580" s="7">
        <f>IF(OR(F1580="",F1579=""),"",F1580/F1579-1)</f>
        <v/>
      </c>
      <c r="M1580" s="7">
        <f>IF(OR(G1580="",G1579=""),"",G1580/G1579-1)</f>
        <v/>
      </c>
      <c r="N1580" s="7">
        <f>IF(G1580="","",E1580/G1580)</f>
        <v/>
      </c>
      <c r="O1580" s="7">
        <f>IF(G1580="","",F1580/G1580)</f>
        <v/>
      </c>
    </row>
    <row r="1582">
      <c r="A1582" s="1" t="inlineStr">
        <is>
          <t>YTD Comparison - FY2026-2027 YTD vs FY2025-2026 YTD (same number of trading days)</t>
        </is>
      </c>
    </row>
    <row r="1583">
      <c r="A1583" s="2" t="inlineStr">
        <is>
          <t>Trading days elapsed in FY2026-2027 (per NSE daily)</t>
        </is>
      </c>
      <c r="B1583" s="3">
        <f>COUNTIF('Daily NSE Equity Cash'!$A:$A,"&gt;="&amp;DATE(2026,4,1))</f>
        <v/>
      </c>
    </row>
    <row r="1584">
      <c r="A1584" s="2" t="inlineStr">
        <is>
          <t>Matched FY2025-2026 window</t>
        </is>
      </c>
      <c r="B1584" s="6">
        <f>DATE(2025,4,1)</f>
        <v/>
      </c>
      <c r="C1584" s="6">
        <f>INDEX('Daily NSE Equity Cash'!$A:$A,COUNTIF('Daily NSE Equity Cash'!$A:$A,"&lt;"&amp;DATE(2025,4,1))+1+$B1583)</f>
        <v/>
      </c>
    </row>
    <row r="1585">
      <c r="E1585" s="1" t="inlineStr">
        <is>
          <t>NSE Turnover (INR Bn)</t>
        </is>
      </c>
      <c r="F1585" s="1" t="inlineStr">
        <is>
          <t>BSE Turnover (INR Bn)</t>
        </is>
      </c>
      <c r="G1585" s="1" t="inlineStr">
        <is>
          <t>Total Turnover (INR Bn)</t>
        </is>
      </c>
      <c r="N1585" s="1" t="inlineStr">
        <is>
          <t>NSE Market Share</t>
        </is>
      </c>
      <c r="O1585" s="1" t="inlineStr">
        <is>
          <t>BSE Market Share</t>
        </is>
      </c>
    </row>
    <row r="1586">
      <c r="A1586" s="2" t="inlineStr">
        <is>
          <t>FY2025-2026 YTD (first N trading days)</t>
        </is>
      </c>
      <c r="E1586" s="4">
        <f>SUMIFS('Daily NSE Equity Cash'!$H:$H,'Daily NSE Equity Cash'!$A:$A,"&gt;="&amp;$B$1584,'Daily NSE Equity Cash'!$A:$A,"&lt;="&amp;$C$1584)</f>
        <v/>
      </c>
      <c r="F1586" s="4">
        <f>SUMIFS('Daily BSE Equity Cash'!$H:$H,'Daily BSE Equity Cash'!$A:$A,"&gt;="&amp;$B$1584,'Daily BSE Equity Cash'!$A:$A,"&lt;="&amp;$C$1584)</f>
        <v/>
      </c>
      <c r="G1586" s="4">
        <f>E1586+F1586</f>
        <v/>
      </c>
      <c r="N1586" s="7">
        <f>IF(G1586=0,"",E1586/G1586)</f>
        <v/>
      </c>
      <c r="O1586" s="7">
        <f>IF(G1586=0,"",F1586/G1586)</f>
        <v/>
      </c>
    </row>
    <row r="1587">
      <c r="A1587" s="2" t="inlineStr">
        <is>
          <t>FY2026-2027 YTD</t>
        </is>
      </c>
      <c r="E1587" s="4">
        <f>SUMIFS('Daily NSE Equity Cash'!$H:$H,'Daily NSE Equity Cash'!$A:$A,"&gt;="&amp;DATE(2026,4,1))</f>
        <v/>
      </c>
      <c r="F1587" s="4">
        <f>SUMIFS('Daily BSE Equity Cash'!$H:$H,'Daily BSE Equity Cash'!$A:$A,"&gt;="&amp;DATE(2026,4,1))</f>
        <v/>
      </c>
      <c r="G1587" s="4">
        <f>E1587+F1587</f>
        <v/>
      </c>
      <c r="N1587" s="7">
        <f>IF(G1587=0,"",E1587/G1587)</f>
        <v/>
      </c>
      <c r="O1587" s="7">
        <f>IF(G1587=0,"",F1587/G1587)</f>
        <v/>
      </c>
    </row>
    <row r="1588">
      <c r="A1588" s="1" t="inlineStr">
        <is>
          <t>YTD Growth (FY2026-2027 vs FY2025-2026)</t>
        </is>
      </c>
      <c r="E1588" s="7">
        <f>IF(OR(E1586=0,E1586=""),"",E1587/E1586-1)</f>
        <v/>
      </c>
      <c r="F1588" s="7">
        <f>IF(OR(F1586=0,F1586=""),"",F1587/F1586-1)</f>
        <v/>
      </c>
      <c r="G1588" s="7">
        <f>IF(OR(G1586=0,G1586=""),"",G1587/G1586-1)</f>
        <v/>
      </c>
    </row>
  </sheetData>
  <conditionalFormatting sqref="N2:N158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58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6" customWidth="1" min="4" max="4"/>
    <col width="16" customWidth="1" min="5" max="5"/>
    <col width="20" customWidth="1" min="6" max="6"/>
    <col width="18" customWidth="1" min="7" max="7"/>
    <col width="20" customWidth="1" min="8" max="8"/>
    <col width="18" customWidth="1" min="9" max="9"/>
    <col width="26" customWidth="1" min="10" max="10"/>
    <col width="20" customWidth="1" min="11" max="11"/>
    <col width="24" customWidth="1" min="12" max="12"/>
    <col width="20" customWidth="1" min="13" max="13"/>
    <col width="24" customWidth="1" min="14" max="14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Cos. Permitted</t>
        </is>
      </c>
      <c r="D1" s="1" t="inlineStr">
        <is>
          <t>No. of Cos. Available for Trading</t>
        </is>
      </c>
      <c r="E1" s="1" t="inlineStr">
        <is>
          <t>No. of Trading Days</t>
        </is>
      </c>
      <c r="F1" s="1" t="inlineStr">
        <is>
          <t>No. of Securities Traded</t>
        </is>
      </c>
      <c r="G1" s="1" t="inlineStr">
        <is>
          <t>No. of Trades (Crs)</t>
        </is>
      </c>
      <c r="H1" s="1" t="inlineStr">
        <is>
          <t>Traded Quantity (Crs)</t>
        </is>
      </c>
      <c r="I1" s="1" t="inlineStr">
        <is>
          <t>Turnover (INR Bn)</t>
        </is>
      </c>
      <c r="J1" s="1" t="inlineStr">
        <is>
          <t>Average Daily Turnover (INR Bn)</t>
        </is>
      </c>
      <c r="K1" s="1" t="inlineStr">
        <is>
          <t>Average Trade Size (INR)</t>
        </is>
      </c>
      <c r="L1" s="1" t="inlineStr">
        <is>
          <t>Demat Securities Traded (Crs)</t>
        </is>
      </c>
      <c r="M1" s="1" t="inlineStr">
        <is>
          <t>Demat Turnover (INR Bn)</t>
        </is>
      </c>
      <c r="N1" s="1" t="inlineStr">
        <is>
          <t>Market Capitalisation (INR Bn)</t>
        </is>
      </c>
    </row>
    <row r="2">
      <c r="A2" s="2" t="inlineStr">
        <is>
          <t>1994-1995</t>
        </is>
      </c>
      <c r="B2" s="3" t="n">
        <v>135</v>
      </c>
      <c r="C2" s="3" t="n">
        <v>543</v>
      </c>
      <c r="D2" s="3" t="n">
        <v>678</v>
      </c>
      <c r="E2" s="3" t="n">
        <v>102</v>
      </c>
      <c r="F2" s="3" t="n"/>
      <c r="G2" s="4" t="n">
        <v>0.03</v>
      </c>
      <c r="H2" s="4" t="n">
        <v>13.91</v>
      </c>
      <c r="I2" s="4" t="n">
        <v>18.05</v>
      </c>
      <c r="J2" s="4" t="n">
        <v>0.17</v>
      </c>
      <c r="K2" s="3" t="n">
        <v>60167</v>
      </c>
      <c r="L2" s="4" t="n"/>
      <c r="M2" s="4" t="n"/>
      <c r="N2" s="4" t="n">
        <v>3633.5</v>
      </c>
    </row>
    <row r="3">
      <c r="A3" s="2" t="inlineStr">
        <is>
          <t>1995-1996</t>
        </is>
      </c>
      <c r="B3" s="3" t="n">
        <v>422</v>
      </c>
      <c r="C3" s="3" t="n">
        <v>847</v>
      </c>
      <c r="D3" s="3" t="n">
        <v>1269</v>
      </c>
      <c r="E3" s="3" t="n">
        <v>246</v>
      </c>
      <c r="F3" s="3" t="n"/>
      <c r="G3" s="4" t="n">
        <v>0.66</v>
      </c>
      <c r="H3" s="4" t="n">
        <v>399.12</v>
      </c>
      <c r="I3" s="4" t="n">
        <v>672.87</v>
      </c>
      <c r="J3" s="4" t="n">
        <v>2.76</v>
      </c>
      <c r="K3" s="3" t="n">
        <v>101950</v>
      </c>
      <c r="L3" s="4" t="n"/>
      <c r="M3" s="4" t="n"/>
      <c r="N3" s="4" t="n">
        <v>4014.59</v>
      </c>
    </row>
    <row r="4">
      <c r="A4" s="2" t="inlineStr">
        <is>
          <t>1996-1997</t>
        </is>
      </c>
      <c r="B4" s="3" t="n">
        <v>550</v>
      </c>
      <c r="C4" s="3" t="n">
        <v>934</v>
      </c>
      <c r="D4" s="3" t="n">
        <v>1484</v>
      </c>
      <c r="E4" s="3" t="n">
        <v>250</v>
      </c>
      <c r="F4" s="3" t="n"/>
      <c r="G4" s="4" t="n">
        <v>2.64</v>
      </c>
      <c r="H4" s="4" t="n">
        <v>1355.61</v>
      </c>
      <c r="I4" s="4" t="n">
        <v>2945.03</v>
      </c>
      <c r="J4" s="4" t="n">
        <v>11.76</v>
      </c>
      <c r="K4" s="3" t="n">
        <v>111895</v>
      </c>
      <c r="L4" s="4" t="n"/>
      <c r="M4" s="4" t="n"/>
      <c r="N4" s="4" t="n">
        <v>4193.67</v>
      </c>
    </row>
    <row r="5">
      <c r="A5" s="2" t="inlineStr">
        <is>
          <t>1997-1998</t>
        </is>
      </c>
      <c r="B5" s="3" t="n">
        <v>612</v>
      </c>
      <c r="C5" s="3" t="n">
        <v>745</v>
      </c>
      <c r="D5" s="3" t="n">
        <v>1357</v>
      </c>
      <c r="E5" s="3" t="n">
        <v>244</v>
      </c>
      <c r="F5" s="3" t="n"/>
      <c r="G5" s="4" t="n">
        <v>3.81</v>
      </c>
      <c r="H5" s="4" t="n">
        <v>1356.85</v>
      </c>
      <c r="I5" s="4" t="n">
        <v>3701.93</v>
      </c>
      <c r="J5" s="4" t="n">
        <v>15.2</v>
      </c>
      <c r="K5" s="3" t="n">
        <v>97164</v>
      </c>
      <c r="L5" s="4" t="n"/>
      <c r="M5" s="4" t="n"/>
      <c r="N5" s="4" t="n">
        <v>4815.03</v>
      </c>
    </row>
    <row r="6">
      <c r="A6" s="2" t="inlineStr">
        <is>
          <t>1998-1999</t>
        </is>
      </c>
      <c r="B6" s="3" t="n">
        <v>648</v>
      </c>
      <c r="C6" s="3" t="n">
        <v>609</v>
      </c>
      <c r="D6" s="3" t="n">
        <v>1254</v>
      </c>
      <c r="E6" s="3" t="n">
        <v>251</v>
      </c>
      <c r="F6" s="3" t="n"/>
      <c r="G6" s="4" t="n">
        <v>5.46</v>
      </c>
      <c r="H6" s="4" t="n">
        <v>1653.27</v>
      </c>
      <c r="I6" s="4" t="n">
        <v>4144.74</v>
      </c>
      <c r="J6" s="4" t="n">
        <v>16.51</v>
      </c>
      <c r="K6" s="3" t="n">
        <v>75911</v>
      </c>
      <c r="L6" s="4" t="n">
        <v>85.42</v>
      </c>
      <c r="M6" s="4" t="n">
        <v>238.18</v>
      </c>
      <c r="N6" s="4" t="n">
        <v>4911.75</v>
      </c>
    </row>
    <row r="7">
      <c r="A7" s="2" t="inlineStr">
        <is>
          <t>1999-2000</t>
        </is>
      </c>
      <c r="B7" s="3" t="n">
        <v>720</v>
      </c>
      <c r="C7" s="3" t="n">
        <v>479</v>
      </c>
      <c r="D7" s="3" t="n">
        <v>1152</v>
      </c>
      <c r="E7" s="3" t="n">
        <v>254</v>
      </c>
      <c r="F7" s="3" t="n"/>
      <c r="G7" s="4" t="n">
        <v>9.84</v>
      </c>
      <c r="H7" s="4" t="n">
        <v>2427.04</v>
      </c>
      <c r="I7" s="4" t="n">
        <v>8390.52</v>
      </c>
      <c r="J7" s="4" t="n">
        <v>33.03</v>
      </c>
      <c r="K7" s="3" t="n">
        <v>85270</v>
      </c>
      <c r="L7" s="4" t="n">
        <v>1537.72</v>
      </c>
      <c r="M7" s="4" t="n">
        <v>7117.06</v>
      </c>
      <c r="N7" s="4" t="n">
        <v>10204.26</v>
      </c>
    </row>
    <row r="8">
      <c r="A8" s="2" t="inlineStr">
        <is>
          <t>2000-2001</t>
        </is>
      </c>
      <c r="B8" s="3" t="n">
        <v>785</v>
      </c>
      <c r="C8" s="3" t="n">
        <v>320</v>
      </c>
      <c r="D8" s="3" t="n">
        <v>1029</v>
      </c>
      <c r="E8" s="3" t="n">
        <v>251</v>
      </c>
      <c r="F8" s="3" t="n">
        <v>1201</v>
      </c>
      <c r="G8" s="4" t="n">
        <v>16.76</v>
      </c>
      <c r="H8" s="4" t="n">
        <v>3295.36</v>
      </c>
      <c r="I8" s="4" t="n">
        <v>13395.1</v>
      </c>
      <c r="J8" s="4" t="n">
        <v>53.37</v>
      </c>
      <c r="K8" s="3" t="n">
        <v>79923</v>
      </c>
      <c r="L8" s="4" t="n">
        <v>3072.22</v>
      </c>
      <c r="M8" s="4" t="n">
        <v>12643.37</v>
      </c>
      <c r="N8" s="4" t="n">
        <v>6578.47</v>
      </c>
    </row>
    <row r="9">
      <c r="A9" s="2" t="inlineStr">
        <is>
          <t>2001-2002</t>
        </is>
      </c>
      <c r="B9" s="3" t="n">
        <v>793</v>
      </c>
      <c r="C9" s="3" t="n">
        <v>197</v>
      </c>
      <c r="D9" s="3" t="n">
        <v>890</v>
      </c>
      <c r="E9" s="3" t="n">
        <v>247</v>
      </c>
      <c r="F9" s="3" t="n">
        <v>1019</v>
      </c>
      <c r="G9" s="4" t="n">
        <v>17.53</v>
      </c>
      <c r="H9" s="4" t="n">
        <v>2784.08</v>
      </c>
      <c r="I9" s="4" t="n">
        <v>5131.67</v>
      </c>
      <c r="J9" s="4" t="n">
        <v>20.78</v>
      </c>
      <c r="K9" s="3" t="n">
        <v>29274</v>
      </c>
      <c r="L9" s="4" t="n">
        <v>2777.17</v>
      </c>
      <c r="M9" s="4" t="n">
        <v>5128.66</v>
      </c>
      <c r="N9" s="4" t="n">
        <v>6368.61</v>
      </c>
    </row>
    <row r="10">
      <c r="A10" s="2" t="inlineStr">
        <is>
          <t>2002-2003</t>
        </is>
      </c>
      <c r="B10" s="3" t="n">
        <v>818</v>
      </c>
      <c r="C10" s="3" t="n">
        <v>107</v>
      </c>
      <c r="D10" s="3" t="n">
        <v>788</v>
      </c>
      <c r="E10" s="3" t="n">
        <v>251</v>
      </c>
      <c r="F10" s="3" t="n">
        <v>899</v>
      </c>
      <c r="G10" s="4" t="n">
        <v>23.98</v>
      </c>
      <c r="H10" s="4" t="n">
        <v>3640.65</v>
      </c>
      <c r="I10" s="4" t="n">
        <v>6179.89</v>
      </c>
      <c r="J10" s="4" t="n">
        <v>24.62</v>
      </c>
      <c r="K10" s="3" t="n">
        <v>25771</v>
      </c>
      <c r="L10" s="4" t="n">
        <v>3640.49</v>
      </c>
      <c r="M10" s="4" t="n">
        <v>6179.84</v>
      </c>
      <c r="N10" s="4" t="n">
        <v>5371.33</v>
      </c>
    </row>
    <row r="11">
      <c r="A11" s="2" t="inlineStr">
        <is>
          <t>2003-2004</t>
        </is>
      </c>
      <c r="B11" s="3" t="n">
        <v>909</v>
      </c>
      <c r="C11" s="3" t="n">
        <v>18</v>
      </c>
      <c r="D11" s="3" t="n">
        <v>787</v>
      </c>
      <c r="E11" s="3" t="n">
        <v>254</v>
      </c>
      <c r="F11" s="3" t="n">
        <v>804</v>
      </c>
      <c r="G11" s="4" t="n">
        <v>37.8</v>
      </c>
      <c r="H11" s="4" t="n">
        <v>7133.01</v>
      </c>
      <c r="I11" s="4" t="n">
        <v>10995.35</v>
      </c>
      <c r="J11" s="4" t="n">
        <v>43.28</v>
      </c>
      <c r="K11" s="3" t="n">
        <v>29088</v>
      </c>
      <c r="L11" s="4" t="n">
        <v>7133.01</v>
      </c>
      <c r="M11" s="4" t="n">
        <v>10995.35</v>
      </c>
      <c r="N11" s="4" t="n">
        <v>11209.76</v>
      </c>
    </row>
    <row r="12">
      <c r="A12" s="2" t="inlineStr">
        <is>
          <t>2004-2005</t>
        </is>
      </c>
      <c r="B12" s="3" t="n">
        <v>970</v>
      </c>
      <c r="C12" s="3" t="n">
        <v>1</v>
      </c>
      <c r="D12" s="3" t="n">
        <v>839</v>
      </c>
      <c r="E12" s="3" t="n">
        <v>253</v>
      </c>
      <c r="F12" s="3" t="n">
        <v>870</v>
      </c>
      <c r="G12" s="4" t="n">
        <v>45.1</v>
      </c>
      <c r="H12" s="4" t="n">
        <v>7976.84</v>
      </c>
      <c r="I12" s="4" t="n">
        <v>11400.71</v>
      </c>
      <c r="J12" s="4" t="n">
        <v>45.06</v>
      </c>
      <c r="K12" s="3" t="n">
        <v>25279</v>
      </c>
      <c r="L12" s="4" t="n">
        <v>7976.84</v>
      </c>
      <c r="M12" s="4" t="n">
        <v>11400.71</v>
      </c>
      <c r="N12" s="4" t="n">
        <v>15855.85</v>
      </c>
    </row>
    <row r="13">
      <c r="A13" s="2" t="inlineStr">
        <is>
          <t>2005-2006</t>
        </is>
      </c>
      <c r="B13" s="3" t="n">
        <v>1069</v>
      </c>
      <c r="C13" s="3" t="n"/>
      <c r="D13" s="3" t="n">
        <v>929</v>
      </c>
      <c r="E13" s="3" t="n">
        <v>251</v>
      </c>
      <c r="F13" s="3" t="n">
        <v>1288</v>
      </c>
      <c r="G13" s="4" t="n">
        <v>60.89</v>
      </c>
      <c r="H13" s="4" t="n">
        <v>8444.860000000001</v>
      </c>
      <c r="I13" s="4" t="n">
        <v>15695.58</v>
      </c>
      <c r="J13" s="4" t="n">
        <v>62.53</v>
      </c>
      <c r="K13" s="3" t="n">
        <v>25777</v>
      </c>
      <c r="L13" s="4" t="n">
        <v>8444.860000000001</v>
      </c>
      <c r="M13" s="4" t="n">
        <v>15695.58</v>
      </c>
      <c r="N13" s="4" t="n">
        <v>28132.01</v>
      </c>
    </row>
    <row r="14">
      <c r="A14" s="2" t="inlineStr">
        <is>
          <t>2006-2007</t>
        </is>
      </c>
      <c r="B14" s="3" t="n">
        <v>1228</v>
      </c>
      <c r="C14" s="3" t="n"/>
      <c r="D14" s="3" t="n">
        <v>1084</v>
      </c>
      <c r="E14" s="3" t="n">
        <v>249</v>
      </c>
      <c r="F14" s="3" t="n">
        <v>1191</v>
      </c>
      <c r="G14" s="4" t="n">
        <v>78.45999999999999</v>
      </c>
      <c r="H14" s="4" t="n">
        <v>8554.559999999999</v>
      </c>
      <c r="I14" s="4" t="n">
        <v>19452.85</v>
      </c>
      <c r="J14" s="4" t="n">
        <v>78.12</v>
      </c>
      <c r="K14" s="3" t="n">
        <v>24793</v>
      </c>
      <c r="L14" s="4" t="n">
        <v>8554.559999999999</v>
      </c>
      <c r="M14" s="4" t="n">
        <v>19452.85</v>
      </c>
      <c r="N14" s="4" t="n">
        <v>33673.5</v>
      </c>
    </row>
    <row r="15">
      <c r="A15" s="2" t="inlineStr">
        <is>
          <t>2007-2008</t>
        </is>
      </c>
      <c r="B15" s="3" t="n">
        <v>1381</v>
      </c>
      <c r="C15" s="3" t="n"/>
      <c r="D15" s="3" t="n">
        <v>1236</v>
      </c>
      <c r="E15" s="3" t="n">
        <v>251</v>
      </c>
      <c r="F15" s="3" t="n">
        <v>1264</v>
      </c>
      <c r="G15" s="4" t="n">
        <v>117.27</v>
      </c>
      <c r="H15" s="4" t="n">
        <v>14984.69</v>
      </c>
      <c r="I15" s="4" t="n">
        <v>35510.38</v>
      </c>
      <c r="J15" s="4" t="n">
        <v>141.48</v>
      </c>
      <c r="K15" s="3" t="n">
        <v>30281</v>
      </c>
      <c r="L15" s="4" t="n">
        <v>14984.69</v>
      </c>
      <c r="M15" s="4" t="n">
        <v>35510.38</v>
      </c>
      <c r="N15" s="4" t="n">
        <v>48581.22</v>
      </c>
    </row>
    <row r="16">
      <c r="A16" s="2" t="inlineStr">
        <is>
          <t>2008-2009</t>
        </is>
      </c>
      <c r="B16" s="3" t="n">
        <v>1432</v>
      </c>
      <c r="C16" s="3" t="n"/>
      <c r="D16" s="3" t="n">
        <v>1291</v>
      </c>
      <c r="E16" s="3" t="n">
        <v>243</v>
      </c>
      <c r="F16" s="3" t="n">
        <v>1327</v>
      </c>
      <c r="G16" s="4" t="n">
        <v>136.51</v>
      </c>
      <c r="H16" s="4" t="n">
        <v>14263.54</v>
      </c>
      <c r="I16" s="4" t="n">
        <v>27520.23</v>
      </c>
      <c r="J16" s="4" t="n">
        <v>113.25</v>
      </c>
      <c r="K16" s="3" t="n">
        <v>20160</v>
      </c>
      <c r="L16" s="4" t="n">
        <v>14263.54</v>
      </c>
      <c r="M16" s="4" t="n">
        <v>27520.23</v>
      </c>
      <c r="N16" s="4" t="n">
        <v>28961.94</v>
      </c>
    </row>
    <row r="17">
      <c r="A17" s="2" t="inlineStr">
        <is>
          <t>2009-2010</t>
        </is>
      </c>
      <c r="B17" s="3" t="n">
        <v>1470</v>
      </c>
      <c r="C17" s="3" t="n">
        <v>37</v>
      </c>
      <c r="D17" s="3" t="n">
        <v>1359</v>
      </c>
      <c r="E17" s="3" t="n">
        <v>244</v>
      </c>
      <c r="F17" s="3" t="n">
        <v>1968</v>
      </c>
      <c r="G17" s="4" t="n">
        <v>168.16</v>
      </c>
      <c r="H17" s="4" t="n">
        <v>22155.3</v>
      </c>
      <c r="I17" s="4" t="n">
        <v>41380.24</v>
      </c>
      <c r="J17" s="4" t="n">
        <v>169.59</v>
      </c>
      <c r="K17" s="3" t="n">
        <v>24608</v>
      </c>
      <c r="L17" s="4" t="n">
        <v>22155.3</v>
      </c>
      <c r="M17" s="4" t="n">
        <v>41380.24</v>
      </c>
      <c r="N17" s="4" t="n">
        <v>60091.73</v>
      </c>
    </row>
    <row r="18">
      <c r="A18" s="2" t="inlineStr">
        <is>
          <t>2010-2011</t>
        </is>
      </c>
      <c r="B18" s="3" t="n">
        <v>1574</v>
      </c>
      <c r="C18" s="3" t="n">
        <v>61</v>
      </c>
      <c r="D18" s="3" t="n">
        <v>1484</v>
      </c>
      <c r="E18" s="3" t="n">
        <v>255</v>
      </c>
      <c r="F18" s="3" t="n">
        <v>1607</v>
      </c>
      <c r="G18" s="4" t="n">
        <v>155.07</v>
      </c>
      <c r="H18" s="4" t="n">
        <v>18245.15</v>
      </c>
      <c r="I18" s="4" t="n">
        <v>35774.12</v>
      </c>
      <c r="J18" s="4" t="n">
        <v>140.48</v>
      </c>
      <c r="K18" s="3" t="n">
        <v>23009</v>
      </c>
      <c r="L18" s="4" t="n">
        <v>18245.15</v>
      </c>
      <c r="M18" s="4" t="n">
        <v>35774.12</v>
      </c>
      <c r="N18" s="4" t="n">
        <v>67026.16</v>
      </c>
    </row>
    <row r="19">
      <c r="A19" s="2" t="inlineStr">
        <is>
          <t>2011-2012</t>
        </is>
      </c>
      <c r="B19" s="3" t="n">
        <v>1646</v>
      </c>
      <c r="C19" s="3" t="n">
        <v>73</v>
      </c>
      <c r="D19" s="3" t="n">
        <v>1563</v>
      </c>
      <c r="E19" s="3" t="n">
        <v>249</v>
      </c>
      <c r="F19" s="3" t="n">
        <v>1807</v>
      </c>
      <c r="G19" s="4" t="n">
        <v>143.77</v>
      </c>
      <c r="H19" s="4" t="n">
        <v>16169.78</v>
      </c>
      <c r="I19" s="4" t="n">
        <v>28108.93</v>
      </c>
      <c r="J19" s="4" t="n">
        <v>112.89</v>
      </c>
      <c r="K19" s="3" t="n">
        <v>19551</v>
      </c>
      <c r="L19" s="4" t="n">
        <v>16169.78</v>
      </c>
      <c r="M19" s="4" t="n">
        <v>28108.93</v>
      </c>
      <c r="N19" s="4" t="n">
        <v>60965.18</v>
      </c>
    </row>
    <row r="20">
      <c r="A20" s="2" t="inlineStr">
        <is>
          <t>2012-2013</t>
        </is>
      </c>
      <c r="B20" s="3" t="n">
        <v>1666</v>
      </c>
      <c r="C20" s="3" t="n">
        <v>76</v>
      </c>
      <c r="D20" s="3" t="n">
        <v>1582</v>
      </c>
      <c r="E20" s="3" t="n">
        <v>250</v>
      </c>
      <c r="F20" s="3" t="n">
        <v>1683</v>
      </c>
      <c r="G20" s="4" t="n">
        <v>136.05</v>
      </c>
      <c r="H20" s="4" t="n">
        <v>16591.6</v>
      </c>
      <c r="I20" s="4" t="n">
        <v>27082.79</v>
      </c>
      <c r="J20" s="4" t="n">
        <v>108.33</v>
      </c>
      <c r="K20" s="3" t="n">
        <v>19907</v>
      </c>
      <c r="L20" s="4" t="n">
        <v>16591.6</v>
      </c>
      <c r="M20" s="4" t="n">
        <v>27082.79</v>
      </c>
      <c r="N20" s="4" t="n">
        <v>62390.35</v>
      </c>
    </row>
    <row r="21">
      <c r="A21" s="2" t="inlineStr">
        <is>
          <t>2013-2014</t>
        </is>
      </c>
      <c r="B21" s="3" t="n">
        <v>1688</v>
      </c>
      <c r="C21" s="3" t="n">
        <v>75</v>
      </c>
      <c r="D21" s="3" t="n">
        <v>1586</v>
      </c>
      <c r="E21" s="3" t="n">
        <v>251</v>
      </c>
      <c r="F21" s="3" t="n">
        <v>2860</v>
      </c>
      <c r="G21" s="4" t="n">
        <v>144.32</v>
      </c>
      <c r="H21" s="4" t="n">
        <v>15337.16</v>
      </c>
      <c r="I21" s="4" t="n">
        <v>28084.88</v>
      </c>
      <c r="J21" s="4" t="n">
        <v>111.89</v>
      </c>
      <c r="K21" s="3" t="n">
        <v>19460</v>
      </c>
      <c r="L21" s="4" t="n">
        <v>15337.16</v>
      </c>
      <c r="M21" s="4" t="n">
        <v>28084.88</v>
      </c>
      <c r="N21" s="4" t="n">
        <v>72777.2</v>
      </c>
    </row>
    <row r="22">
      <c r="A22" s="2" t="inlineStr">
        <is>
          <t>2014-2015</t>
        </is>
      </c>
      <c r="B22" s="3" t="n">
        <v>1733</v>
      </c>
      <c r="C22" s="3" t="n">
        <v>4</v>
      </c>
      <c r="D22" s="3" t="n">
        <v>1544</v>
      </c>
      <c r="E22" s="3" t="n">
        <v>243</v>
      </c>
      <c r="F22" s="3" t="n">
        <v>1603</v>
      </c>
      <c r="G22" s="4" t="n">
        <v>183.28</v>
      </c>
      <c r="H22" s="4" t="n">
        <v>23617.79</v>
      </c>
      <c r="I22" s="4" t="n">
        <v>43296.55</v>
      </c>
      <c r="J22" s="4" t="n">
        <v>178.18</v>
      </c>
      <c r="K22" s="3" t="n">
        <v>23623</v>
      </c>
      <c r="L22" s="4" t="n">
        <v>23617.79</v>
      </c>
      <c r="M22" s="4" t="n">
        <v>43296.55</v>
      </c>
      <c r="N22" s="4" t="n">
        <v>99301.22</v>
      </c>
    </row>
    <row r="23">
      <c r="A23" s="2" t="inlineStr">
        <is>
          <t>2015-2016</t>
        </is>
      </c>
      <c r="B23" s="3" t="n">
        <v>1808</v>
      </c>
      <c r="C23" s="3" t="n">
        <v>4</v>
      </c>
      <c r="D23" s="3" t="n">
        <v>1613</v>
      </c>
      <c r="E23" s="3" t="n">
        <v>247</v>
      </c>
      <c r="F23" s="3" t="n">
        <v>1615</v>
      </c>
      <c r="G23" s="4" t="n">
        <v>185.18</v>
      </c>
      <c r="H23" s="4" t="n">
        <v>22017.71</v>
      </c>
      <c r="I23" s="4" t="n">
        <v>42369.83</v>
      </c>
      <c r="J23" s="4" t="n">
        <v>171.54</v>
      </c>
      <c r="K23" s="3" t="n">
        <v>22881</v>
      </c>
      <c r="L23" s="4" t="n">
        <v>22017.71</v>
      </c>
      <c r="M23" s="4" t="n">
        <v>42369.83</v>
      </c>
      <c r="N23" s="4" t="n">
        <v>93104.71000000001</v>
      </c>
    </row>
    <row r="24">
      <c r="A24" s="2" t="inlineStr">
        <is>
          <t>2016-2017</t>
        </is>
      </c>
      <c r="B24" s="3" t="n">
        <v>1817</v>
      </c>
      <c r="C24" s="3" t="n">
        <v>4</v>
      </c>
      <c r="D24" s="3" t="n">
        <v>1696</v>
      </c>
      <c r="E24" s="3" t="n">
        <v>248</v>
      </c>
      <c r="F24" s="3" t="n">
        <v>2484</v>
      </c>
      <c r="G24" s="4" t="n">
        <v>197.6</v>
      </c>
      <c r="H24" s="4" t="n">
        <v>26245.34</v>
      </c>
      <c r="I24" s="4" t="n">
        <v>50559.13</v>
      </c>
      <c r="J24" s="4" t="n">
        <v>203.87</v>
      </c>
      <c r="K24" s="3" t="n">
        <v>25586</v>
      </c>
      <c r="L24" s="4" t="n">
        <v>26245.34</v>
      </c>
      <c r="M24" s="4" t="n">
        <v>50559.13</v>
      </c>
      <c r="N24" s="4" t="n">
        <v>119784.21</v>
      </c>
    </row>
    <row r="25">
      <c r="A25" s="2" t="inlineStr">
        <is>
          <t>2017-2018</t>
        </is>
      </c>
      <c r="B25" s="3" t="n">
        <v>1931</v>
      </c>
      <c r="C25" s="3" t="n">
        <v>4</v>
      </c>
      <c r="D25" s="3" t="n">
        <v>1817</v>
      </c>
      <c r="E25" s="3" t="n">
        <v>246</v>
      </c>
      <c r="F25" s="3" t="n">
        <v>2821</v>
      </c>
      <c r="G25" s="4" t="n">
        <v>249.14</v>
      </c>
      <c r="H25" s="4" t="n">
        <v>37718.36</v>
      </c>
      <c r="I25" s="4" t="n">
        <v>72348.25999999999</v>
      </c>
      <c r="J25" s="4" t="n">
        <v>294.1</v>
      </c>
      <c r="K25" s="3" t="n">
        <v>29039</v>
      </c>
      <c r="L25" s="4" t="n">
        <v>37718.36</v>
      </c>
      <c r="M25" s="4" t="n">
        <v>72348.25999999999</v>
      </c>
      <c r="N25" s="4" t="n">
        <v>140441.52</v>
      </c>
    </row>
    <row r="26">
      <c r="A26" s="2" t="inlineStr">
        <is>
          <t>2018-2019</t>
        </is>
      </c>
      <c r="B26" s="3" t="n">
        <v>1931</v>
      </c>
      <c r="C26" s="3" t="n">
        <v>4</v>
      </c>
      <c r="D26" s="3" t="n">
        <v>1884</v>
      </c>
      <c r="E26" s="3" t="n">
        <v>248</v>
      </c>
      <c r="F26" s="3" t="n">
        <v>2960</v>
      </c>
      <c r="G26" s="4" t="n">
        <v>285.32</v>
      </c>
      <c r="H26" s="4" t="n">
        <v>37499.76</v>
      </c>
      <c r="I26" s="4" t="n">
        <v>79490.03999999999</v>
      </c>
      <c r="J26" s="4" t="n">
        <v>320.52</v>
      </c>
      <c r="K26" s="3" t="n">
        <v>27860</v>
      </c>
      <c r="L26" s="4" t="n">
        <v>37499.76</v>
      </c>
      <c r="M26" s="4" t="n">
        <v>79490.03999999999</v>
      </c>
      <c r="N26" s="4" t="n">
        <v>149342.27</v>
      </c>
    </row>
    <row r="27">
      <c r="A27" s="2" t="inlineStr">
        <is>
          <t>2019-2020</t>
        </is>
      </c>
      <c r="B27" s="3" t="n">
        <v>1949</v>
      </c>
      <c r="C27" s="3" t="n">
        <v>18</v>
      </c>
      <c r="D27" s="3" t="n">
        <v>1882</v>
      </c>
      <c r="E27" s="3" t="n">
        <v>247</v>
      </c>
      <c r="F27" s="3" t="n">
        <v>3122</v>
      </c>
      <c r="G27" s="4" t="n">
        <v>314.6</v>
      </c>
      <c r="H27" s="4" t="n">
        <v>46740.57</v>
      </c>
      <c r="I27" s="4" t="n">
        <v>89988.11</v>
      </c>
      <c r="J27" s="4" t="n">
        <v>364.32</v>
      </c>
      <c r="K27" s="3" t="n">
        <v>28604</v>
      </c>
      <c r="L27" s="4" t="n">
        <v>46740.57</v>
      </c>
      <c r="M27" s="4" t="n">
        <v>89988.11</v>
      </c>
      <c r="N27" s="4" t="n">
        <v>112431.12</v>
      </c>
    </row>
    <row r="28">
      <c r="A28" s="2" t="inlineStr">
        <is>
          <t>2020-2021</t>
        </is>
      </c>
      <c r="B28" s="3" t="n">
        <v>1969</v>
      </c>
      <c r="C28" s="3" t="n">
        <v>24</v>
      </c>
      <c r="D28" s="3" t="n">
        <v>1910</v>
      </c>
      <c r="E28" s="3" t="n">
        <v>249</v>
      </c>
      <c r="F28" s="3" t="n">
        <v>3297</v>
      </c>
      <c r="G28" s="4" t="n">
        <v>463.28</v>
      </c>
      <c r="H28" s="4" t="n">
        <v>74295.78999999999</v>
      </c>
      <c r="I28" s="4" t="n">
        <v>153979.08</v>
      </c>
      <c r="J28" s="4" t="n">
        <v>618.39</v>
      </c>
      <c r="K28" s="3" t="n">
        <v>33237</v>
      </c>
      <c r="L28" s="4" t="n">
        <v>74295.78999999999</v>
      </c>
      <c r="M28" s="4" t="n">
        <v>153979.08</v>
      </c>
      <c r="N28" s="4" t="n">
        <v>202958.13</v>
      </c>
    </row>
    <row r="29">
      <c r="A29" s="2" t="inlineStr">
        <is>
          <t>2021-2022</t>
        </is>
      </c>
      <c r="B29" s="3" t="n">
        <v>2065</v>
      </c>
      <c r="C29" s="3" t="n">
        <v>27</v>
      </c>
      <c r="D29" s="3" t="n">
        <v>2011</v>
      </c>
      <c r="E29" s="3" t="n">
        <v>248</v>
      </c>
      <c r="F29" s="3" t="n">
        <v>3602</v>
      </c>
      <c r="G29" s="4" t="n">
        <v>557.09</v>
      </c>
      <c r="H29" s="4" t="n">
        <v>76102.38</v>
      </c>
      <c r="I29" s="4" t="n">
        <v>165662.37</v>
      </c>
      <c r="J29" s="4" t="n">
        <v>667.99</v>
      </c>
      <c r="K29" s="3" t="n">
        <v>29737</v>
      </c>
      <c r="L29" s="4" t="n">
        <v>76102.38</v>
      </c>
      <c r="M29" s="4" t="n">
        <v>165662.37</v>
      </c>
      <c r="N29" s="4" t="n">
        <v>261810.64</v>
      </c>
    </row>
    <row r="30">
      <c r="A30" s="2" t="inlineStr">
        <is>
          <t>2022-2023</t>
        </is>
      </c>
      <c r="B30" s="3" t="n">
        <v>2191</v>
      </c>
      <c r="C30" s="3" t="n">
        <v>28</v>
      </c>
      <c r="D30" s="3" t="n">
        <v>2138</v>
      </c>
      <c r="E30" s="3" t="n">
        <v>249</v>
      </c>
      <c r="F30" s="3" t="n">
        <v>3983</v>
      </c>
      <c r="G30" s="4" t="n">
        <v>473.31</v>
      </c>
      <c r="H30" s="4" t="n">
        <v>62768.48</v>
      </c>
      <c r="I30" s="4" t="n">
        <v>133050.73</v>
      </c>
      <c r="J30" s="4" t="n">
        <v>534.34</v>
      </c>
      <c r="K30" s="3" t="n">
        <v>28111</v>
      </c>
      <c r="L30" s="4" t="n">
        <v>62768.48</v>
      </c>
      <c r="M30" s="4" t="n">
        <v>133050.73</v>
      </c>
      <c r="N30" s="4" t="n">
        <v>256327.04</v>
      </c>
    </row>
    <row r="31">
      <c r="A31" s="2" t="inlineStr">
        <is>
          <t>2023-2024</t>
        </is>
      </c>
      <c r="B31" s="3" t="n">
        <v>2438</v>
      </c>
      <c r="C31" s="3" t="n">
        <v>3</v>
      </c>
      <c r="D31" s="3" t="n">
        <v>2365</v>
      </c>
      <c r="E31" s="3" t="n">
        <v>246</v>
      </c>
      <c r="F31" s="3" t="n">
        <v>5065</v>
      </c>
      <c r="G31" s="4" t="n">
        <v>681.25</v>
      </c>
      <c r="H31" s="4" t="n">
        <v>101798.61</v>
      </c>
      <c r="I31" s="4" t="n">
        <v>201034.39</v>
      </c>
      <c r="J31" s="4" t="n">
        <v>817.21</v>
      </c>
      <c r="K31" s="3" t="n">
        <v>29510</v>
      </c>
      <c r="L31" s="4" t="n">
        <v>101798.61</v>
      </c>
      <c r="M31" s="4" t="n">
        <v>201034.39</v>
      </c>
      <c r="N31" s="4" t="n">
        <v>384216.68</v>
      </c>
    </row>
    <row r="32">
      <c r="A32" s="2" t="inlineStr">
        <is>
          <t>2024-2025</t>
        </is>
      </c>
      <c r="B32" s="3" t="n">
        <v>2719</v>
      </c>
      <c r="C32" s="3" t="n">
        <v>3</v>
      </c>
      <c r="D32" s="3" t="n">
        <v>2645</v>
      </c>
      <c r="E32" s="3" t="n">
        <v>249</v>
      </c>
      <c r="F32" s="3" t="n">
        <v>6381</v>
      </c>
      <c r="G32" s="4" t="n">
        <v>968.38</v>
      </c>
      <c r="H32" s="4" t="n">
        <v>104279.95</v>
      </c>
      <c r="I32" s="4" t="n">
        <v>281278.48</v>
      </c>
      <c r="J32" s="4" t="n">
        <v>1129.63</v>
      </c>
      <c r="K32" s="3" t="n">
        <v>29046</v>
      </c>
      <c r="L32" s="4" t="n">
        <v>104279.95</v>
      </c>
      <c r="M32" s="4" t="n">
        <v>281278.48</v>
      </c>
      <c r="N32" s="4" t="n">
        <v>410869.29</v>
      </c>
    </row>
    <row r="33">
      <c r="A33" s="2" t="inlineStr">
        <is>
          <t>2025-2026</t>
        </is>
      </c>
      <c r="B33" s="3" t="n">
        <v>2978</v>
      </c>
      <c r="C33" s="3" t="n">
        <v>3</v>
      </c>
      <c r="D33" s="3" t="n">
        <v>2898</v>
      </c>
      <c r="E33" s="3" t="n">
        <v>247</v>
      </c>
      <c r="F33" s="3" t="n">
        <v>6418</v>
      </c>
      <c r="G33" s="4" t="n">
        <v>826.1900000000001</v>
      </c>
      <c r="H33" s="4" t="n">
        <v>111290.2</v>
      </c>
      <c r="I33" s="4" t="n">
        <v>260626.17</v>
      </c>
      <c r="J33" s="4" t="n">
        <v>1055.17</v>
      </c>
      <c r="K33" s="3" t="n">
        <v>31545</v>
      </c>
      <c r="L33" s="4" t="n">
        <v>111290.2</v>
      </c>
      <c r="M33" s="4" t="n">
        <v>260626.17</v>
      </c>
      <c r="N33" s="4" t="n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26" customWidth="1" min="6" max="6"/>
    <col width="16" customWidth="1" min="7" max="7"/>
    <col width="20" customWidth="1" min="8" max="8"/>
    <col width="18" customWidth="1" min="9" max="9"/>
    <col width="20" customWidth="1" min="10" max="10"/>
    <col width="18" customWidth="1" min="11" max="11"/>
    <col width="26" customWidth="1" min="12" max="12"/>
    <col width="20" customWidth="1" min="13" max="13"/>
    <col width="24" customWidth="1" min="14" max="14"/>
    <col width="20" customWidth="1" min="15" max="15"/>
    <col width="24" customWidth="1" min="16" max="1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Cos. Listed</t>
        </is>
      </c>
      <c r="E1" s="1" t="inlineStr">
        <is>
          <t>No. of Cos. Permitted</t>
        </is>
      </c>
      <c r="F1" s="1" t="inlineStr">
        <is>
          <t>No. of Cos. Available for Trading</t>
        </is>
      </c>
      <c r="G1" s="1" t="inlineStr">
        <is>
          <t>No. of Trading Days</t>
        </is>
      </c>
      <c r="H1" s="1" t="inlineStr">
        <is>
          <t>No. of Securities Traded</t>
        </is>
      </c>
      <c r="I1" s="1" t="inlineStr">
        <is>
          <t>No. of Trades (Crs)</t>
        </is>
      </c>
      <c r="J1" s="1" t="inlineStr">
        <is>
          <t>Traded Quantity (Crs)</t>
        </is>
      </c>
      <c r="K1" s="1" t="inlineStr">
        <is>
          <t>Turnover (INR Bn)</t>
        </is>
      </c>
      <c r="L1" s="1" t="inlineStr">
        <is>
          <t>Average Daily Turnover (INR Bn)</t>
        </is>
      </c>
      <c r="M1" s="1" t="inlineStr">
        <is>
          <t>Average Trade Size (INR)</t>
        </is>
      </c>
      <c r="N1" s="1" t="inlineStr">
        <is>
          <t>Demat Securities Traded (Crs)</t>
        </is>
      </c>
      <c r="O1" s="1" t="inlineStr">
        <is>
          <t>Demat Turnover (INR Bn)</t>
        </is>
      </c>
      <c r="P1" s="1" t="inlineStr">
        <is>
          <t>Market Capitalisation (INR Bn)</t>
        </is>
      </c>
    </row>
    <row r="2">
      <c r="A2" s="5" t="n">
        <v>36251</v>
      </c>
      <c r="B2" s="2" t="inlineStr">
        <is>
          <t>1999-2000</t>
        </is>
      </c>
      <c r="C2" s="2" t="inlineStr">
        <is>
          <t>Q1FY00</t>
        </is>
      </c>
      <c r="D2" s="3" t="n">
        <v>662</v>
      </c>
      <c r="E2" s="3" t="n">
        <v>600</v>
      </c>
      <c r="F2" s="3" t="n">
        <v>1251</v>
      </c>
      <c r="G2" s="3" t="n">
        <v>20</v>
      </c>
      <c r="H2" s="3" t="n">
        <v>1173</v>
      </c>
      <c r="I2" s="4" t="n">
        <v>0.49</v>
      </c>
      <c r="J2" s="4" t="n">
        <v>117.58</v>
      </c>
      <c r="K2" s="4" t="n">
        <v>359.33</v>
      </c>
      <c r="L2" s="4" t="n">
        <v>17.97</v>
      </c>
      <c r="M2" s="3" t="n">
        <v>72790</v>
      </c>
      <c r="N2" s="4" t="n">
        <v>56.33</v>
      </c>
      <c r="O2" s="4" t="n">
        <v>267.99</v>
      </c>
      <c r="P2" s="4" t="n">
        <v>4453.8</v>
      </c>
    </row>
    <row r="3">
      <c r="A3" s="5" t="n">
        <v>36281</v>
      </c>
      <c r="B3" s="2" t="inlineStr">
        <is>
          <t>1999-2000</t>
        </is>
      </c>
      <c r="C3" s="2" t="inlineStr">
        <is>
          <t>Q1FY00</t>
        </is>
      </c>
      <c r="D3" s="3" t="n">
        <v>660</v>
      </c>
      <c r="E3" s="3" t="n">
        <v>597</v>
      </c>
      <c r="F3" s="3" t="n">
        <v>1246</v>
      </c>
      <c r="G3" s="3" t="n">
        <v>21</v>
      </c>
      <c r="H3" s="3" t="n">
        <v>1168</v>
      </c>
      <c r="I3" s="4" t="n">
        <v>0.67</v>
      </c>
      <c r="J3" s="4" t="n">
        <v>188.31</v>
      </c>
      <c r="K3" s="4" t="n">
        <v>502.63</v>
      </c>
      <c r="L3" s="4" t="n">
        <v>23.93</v>
      </c>
      <c r="M3" s="3" t="n">
        <v>75090</v>
      </c>
      <c r="N3" s="4" t="n">
        <v>121.87</v>
      </c>
      <c r="O3" s="4" t="n">
        <v>421.87</v>
      </c>
      <c r="P3" s="4" t="n">
        <v>5039.11</v>
      </c>
    </row>
    <row r="4">
      <c r="A4" s="5" t="n">
        <v>36312</v>
      </c>
      <c r="B4" s="2" t="inlineStr">
        <is>
          <t>1999-2000</t>
        </is>
      </c>
      <c r="C4" s="2" t="inlineStr">
        <is>
          <t>Q1FY00</t>
        </is>
      </c>
      <c r="D4" s="3" t="n">
        <v>667</v>
      </c>
      <c r="E4" s="3" t="n">
        <v>591</v>
      </c>
      <c r="F4" s="3" t="n">
        <v>1247</v>
      </c>
      <c r="G4" s="3" t="n">
        <v>22</v>
      </c>
      <c r="H4" s="3" t="n">
        <v>1158</v>
      </c>
      <c r="I4" s="4" t="n">
        <v>0.6</v>
      </c>
      <c r="J4" s="4" t="n">
        <v>192.07</v>
      </c>
      <c r="K4" s="4" t="n">
        <v>404.73</v>
      </c>
      <c r="L4" s="4" t="n">
        <v>18.4</v>
      </c>
      <c r="M4" s="3" t="n">
        <v>67441</v>
      </c>
      <c r="N4" s="4" t="n">
        <v>127.7</v>
      </c>
      <c r="O4" s="4" t="n">
        <v>356.74</v>
      </c>
      <c r="P4" s="4" t="n">
        <v>5294.68</v>
      </c>
    </row>
    <row r="5">
      <c r="A5" s="5" t="n">
        <v>36342</v>
      </c>
      <c r="B5" s="2" t="inlineStr">
        <is>
          <t>1999-2000</t>
        </is>
      </c>
      <c r="C5" s="2" t="inlineStr">
        <is>
          <t>Q2FY00</t>
        </is>
      </c>
      <c r="D5" s="3" t="n">
        <v>669</v>
      </c>
      <c r="E5" s="3" t="n">
        <v>580</v>
      </c>
      <c r="F5" s="3" t="n">
        <v>1238</v>
      </c>
      <c r="G5" s="3" t="n">
        <v>22</v>
      </c>
      <c r="H5" s="3" t="n">
        <v>1181</v>
      </c>
      <c r="I5" s="4" t="n">
        <v>0.77</v>
      </c>
      <c r="J5" s="4" t="n">
        <v>233.49</v>
      </c>
      <c r="K5" s="4" t="n">
        <v>554.55</v>
      </c>
      <c r="L5" s="4" t="n">
        <v>25.21</v>
      </c>
      <c r="M5" s="3" t="n">
        <v>72429</v>
      </c>
      <c r="N5" s="4" t="n">
        <v>150.49</v>
      </c>
      <c r="O5" s="4" t="n">
        <v>483.33</v>
      </c>
      <c r="P5" s="4" t="n">
        <v>5936.51</v>
      </c>
    </row>
    <row r="6">
      <c r="A6" s="5" t="n">
        <v>36373</v>
      </c>
      <c r="B6" s="2" t="inlineStr">
        <is>
          <t>1999-2000</t>
        </is>
      </c>
      <c r="C6" s="2" t="inlineStr">
        <is>
          <t>Q2FY00</t>
        </is>
      </c>
      <c r="D6" s="3" t="n">
        <v>671</v>
      </c>
      <c r="E6" s="3" t="n">
        <v>579</v>
      </c>
      <c r="F6" s="3" t="n">
        <v>1239</v>
      </c>
      <c r="G6" s="3" t="n">
        <v>22</v>
      </c>
      <c r="H6" s="3" t="n">
        <v>1179</v>
      </c>
      <c r="I6" s="4" t="n">
        <v>0.8100000000000001</v>
      </c>
      <c r="J6" s="4" t="n">
        <v>228.69</v>
      </c>
      <c r="K6" s="4" t="n">
        <v>536.99</v>
      </c>
      <c r="L6" s="4" t="n">
        <v>24.41</v>
      </c>
      <c r="M6" s="3" t="n">
        <v>65956</v>
      </c>
      <c r="N6" s="4" t="n">
        <v>119.63</v>
      </c>
      <c r="O6" s="4" t="n">
        <v>421.47</v>
      </c>
      <c r="P6" s="4" t="n">
        <v>6681.87</v>
      </c>
    </row>
    <row r="7">
      <c r="A7" s="5" t="n">
        <v>36404</v>
      </c>
      <c r="B7" s="2" t="inlineStr">
        <is>
          <t>1999-2000</t>
        </is>
      </c>
      <c r="C7" s="2" t="inlineStr">
        <is>
          <t>Q2FY00</t>
        </is>
      </c>
      <c r="D7" s="3" t="n">
        <v>679</v>
      </c>
      <c r="E7" s="3" t="n">
        <v>577</v>
      </c>
      <c r="F7" s="3" t="n">
        <v>1245</v>
      </c>
      <c r="G7" s="3" t="n">
        <v>21</v>
      </c>
      <c r="H7" s="3" t="n">
        <v>1181</v>
      </c>
      <c r="I7" s="4" t="n">
        <v>0.8</v>
      </c>
      <c r="J7" s="4" t="n">
        <v>218.57</v>
      </c>
      <c r="K7" s="4" t="n">
        <v>558.78</v>
      </c>
      <c r="L7" s="4" t="n">
        <v>26.61</v>
      </c>
      <c r="M7" s="3" t="n">
        <v>69777</v>
      </c>
      <c r="N7" s="4" t="n">
        <v>116.53</v>
      </c>
      <c r="O7" s="4" t="n">
        <v>420.23</v>
      </c>
      <c r="P7" s="4" t="n">
        <v>6867.4</v>
      </c>
    </row>
    <row r="8">
      <c r="A8" s="5" t="n">
        <v>36434</v>
      </c>
      <c r="B8" s="2" t="inlineStr">
        <is>
          <t>1999-2000</t>
        </is>
      </c>
      <c r="C8" s="2" t="inlineStr">
        <is>
          <t>Q3FY00</t>
        </is>
      </c>
      <c r="D8" s="3" t="n">
        <v>685</v>
      </c>
      <c r="E8" s="3" t="n">
        <v>572</v>
      </c>
      <c r="F8" s="3" t="n">
        <v>1233</v>
      </c>
      <c r="G8" s="3" t="n">
        <v>21</v>
      </c>
      <c r="H8" s="3" t="n">
        <v>1188</v>
      </c>
      <c r="I8" s="4" t="n">
        <v>0.92</v>
      </c>
      <c r="J8" s="4" t="n">
        <v>261</v>
      </c>
      <c r="K8" s="4" t="n">
        <v>722.16</v>
      </c>
      <c r="L8" s="4" t="n">
        <v>34.39</v>
      </c>
      <c r="M8" s="3" t="n">
        <v>78803</v>
      </c>
      <c r="N8" s="4" t="n">
        <v>141.6</v>
      </c>
      <c r="O8" s="4" t="n">
        <v>524.45</v>
      </c>
      <c r="P8" s="4" t="n">
        <v>6700.62</v>
      </c>
    </row>
    <row r="9">
      <c r="A9" s="5" t="n">
        <v>36465</v>
      </c>
      <c r="B9" s="2" t="inlineStr">
        <is>
          <t>1999-2000</t>
        </is>
      </c>
      <c r="C9" s="2" t="inlineStr">
        <is>
          <t>Q3FY00</t>
        </is>
      </c>
      <c r="D9" s="3" t="n">
        <v>691</v>
      </c>
      <c r="E9" s="3" t="n">
        <v>546</v>
      </c>
      <c r="F9" s="3" t="n">
        <v>1237</v>
      </c>
      <c r="G9" s="3" t="n">
        <v>21</v>
      </c>
      <c r="H9" s="3" t="n">
        <v>1180</v>
      </c>
      <c r="I9" s="4" t="n">
        <v>0.77</v>
      </c>
      <c r="J9" s="4" t="n">
        <v>188.47</v>
      </c>
      <c r="K9" s="4" t="n">
        <v>663.3099999999999</v>
      </c>
      <c r="L9" s="4" t="n">
        <v>31.59</v>
      </c>
      <c r="M9" s="3" t="n">
        <v>85942</v>
      </c>
      <c r="N9" s="4" t="n">
        <v>113.87</v>
      </c>
      <c r="O9" s="4" t="n">
        <v>500.04</v>
      </c>
      <c r="P9" s="4" t="n">
        <v>7264.19</v>
      </c>
    </row>
    <row r="10">
      <c r="A10" s="5" t="n">
        <v>36495</v>
      </c>
      <c r="B10" s="2" t="inlineStr">
        <is>
          <t>1999-2000</t>
        </is>
      </c>
      <c r="C10" s="2" t="inlineStr">
        <is>
          <t>Q3FY00</t>
        </is>
      </c>
      <c r="D10" s="3" t="n">
        <v>700</v>
      </c>
      <c r="E10" s="3" t="n">
        <v>543</v>
      </c>
      <c r="F10" s="3" t="n">
        <v>1211</v>
      </c>
      <c r="G10" s="3" t="n">
        <v>22</v>
      </c>
      <c r="H10" s="3" t="n">
        <v>1162</v>
      </c>
      <c r="I10" s="4" t="n">
        <v>1.03</v>
      </c>
      <c r="J10" s="4" t="n">
        <v>240.34</v>
      </c>
      <c r="K10" s="4" t="n">
        <v>985.85</v>
      </c>
      <c r="L10" s="4" t="n">
        <v>44.81</v>
      </c>
      <c r="M10" s="3" t="n">
        <v>95895</v>
      </c>
      <c r="N10" s="4" t="n">
        <v>163.33</v>
      </c>
      <c r="O10" s="4" t="n">
        <v>871.7</v>
      </c>
      <c r="P10" s="4" t="n">
        <v>8529.85</v>
      </c>
    </row>
    <row r="11">
      <c r="A11" s="5" t="n">
        <v>36526</v>
      </c>
      <c r="B11" s="2" t="inlineStr">
        <is>
          <t>1999-2000</t>
        </is>
      </c>
      <c r="C11" s="2" t="inlineStr">
        <is>
          <t>Q4FY00</t>
        </is>
      </c>
      <c r="D11" s="3" t="n">
        <v>706</v>
      </c>
      <c r="E11" s="3" t="n">
        <v>534</v>
      </c>
      <c r="F11" s="3" t="n">
        <v>1203</v>
      </c>
      <c r="G11" s="3" t="n">
        <v>20</v>
      </c>
      <c r="H11" s="3" t="n">
        <v>1164</v>
      </c>
      <c r="I11" s="4" t="n">
        <v>0.89</v>
      </c>
      <c r="J11" s="4" t="n">
        <v>194.17</v>
      </c>
      <c r="K11" s="4" t="n">
        <v>859.39</v>
      </c>
      <c r="L11" s="4" t="n">
        <v>42.97</v>
      </c>
      <c r="M11" s="3" t="n">
        <v>96408</v>
      </c>
      <c r="N11" s="4" t="n">
        <v>145.92</v>
      </c>
      <c r="O11" s="4" t="n">
        <v>771.6</v>
      </c>
      <c r="P11" s="4" t="n">
        <v>9517.120000000001</v>
      </c>
    </row>
    <row r="12">
      <c r="A12" s="5" t="n">
        <v>36557</v>
      </c>
      <c r="B12" s="2" t="inlineStr">
        <is>
          <t>1999-2000</t>
        </is>
      </c>
      <c r="C12" s="2" t="inlineStr">
        <is>
          <t>Q4FY00</t>
        </is>
      </c>
      <c r="D12" s="3" t="n">
        <v>716</v>
      </c>
      <c r="E12" s="3" t="n">
        <v>531</v>
      </c>
      <c r="F12" s="3" t="n">
        <v>1204</v>
      </c>
      <c r="G12" s="3" t="n">
        <v>21</v>
      </c>
      <c r="H12" s="3" t="n">
        <v>1155</v>
      </c>
      <c r="I12" s="4" t="n">
        <v>1.09</v>
      </c>
      <c r="J12" s="4" t="n">
        <v>202.49</v>
      </c>
      <c r="K12" s="4" t="n">
        <v>1186.94</v>
      </c>
      <c r="L12" s="4" t="n">
        <v>56.52</v>
      </c>
      <c r="M12" s="3" t="n">
        <v>108672</v>
      </c>
      <c r="N12" s="4" t="n">
        <v>151.17</v>
      </c>
      <c r="O12" s="4" t="n">
        <v>1087.04</v>
      </c>
      <c r="P12" s="4" t="n">
        <v>10697.7</v>
      </c>
    </row>
    <row r="13">
      <c r="A13" s="5" t="n">
        <v>36586</v>
      </c>
      <c r="B13" s="2" t="inlineStr">
        <is>
          <t>1999-2000</t>
        </is>
      </c>
      <c r="C13" s="2" t="inlineStr">
        <is>
          <t>Q4FY00</t>
        </is>
      </c>
      <c r="D13" s="3" t="n">
        <v>720</v>
      </c>
      <c r="E13" s="3" t="n">
        <v>479</v>
      </c>
      <c r="F13" s="3" t="n">
        <v>1152</v>
      </c>
      <c r="G13" s="3" t="n">
        <v>21</v>
      </c>
      <c r="H13" s="3" t="n">
        <v>1099</v>
      </c>
      <c r="I13" s="4" t="n">
        <v>1</v>
      </c>
      <c r="J13" s="4" t="n">
        <v>161.87</v>
      </c>
      <c r="K13" s="4" t="n">
        <v>1055.84</v>
      </c>
      <c r="L13" s="4" t="n">
        <v>50.28</v>
      </c>
      <c r="M13" s="3" t="n">
        <v>105667</v>
      </c>
      <c r="N13" s="4" t="n">
        <v>129.27</v>
      </c>
      <c r="O13" s="4" t="n">
        <v>990.6</v>
      </c>
      <c r="P13" s="4" t="n">
        <v>10204.26</v>
      </c>
    </row>
    <row r="14">
      <c r="A14" s="5" t="n">
        <v>36617</v>
      </c>
      <c r="B14" s="2" t="inlineStr">
        <is>
          <t>2000-2001</t>
        </is>
      </c>
      <c r="C14" s="2" t="inlineStr">
        <is>
          <t>Q1FY01</t>
        </is>
      </c>
      <c r="D14" s="3" t="n">
        <v>725</v>
      </c>
      <c r="E14" s="3" t="n">
        <v>473</v>
      </c>
      <c r="F14" s="3" t="n">
        <v>1145</v>
      </c>
      <c r="G14" s="3" t="n">
        <v>18</v>
      </c>
      <c r="H14" s="3" t="n">
        <v>1059</v>
      </c>
      <c r="I14" s="4" t="n">
        <v>0.74</v>
      </c>
      <c r="J14" s="4" t="n">
        <v>133.9</v>
      </c>
      <c r="K14" s="4" t="n">
        <v>572.29</v>
      </c>
      <c r="L14" s="4" t="n">
        <v>31.79</v>
      </c>
      <c r="M14" s="3" t="n">
        <v>77649</v>
      </c>
      <c r="N14" s="4" t="n">
        <v>116.79</v>
      </c>
      <c r="O14" s="4" t="n">
        <v>520.21</v>
      </c>
      <c r="P14" s="4" t="n">
        <v>8463.91</v>
      </c>
    </row>
    <row r="15">
      <c r="A15" s="5" t="n">
        <v>36647</v>
      </c>
      <c r="B15" s="2" t="inlineStr">
        <is>
          <t>2000-2001</t>
        </is>
      </c>
      <c r="C15" s="2" t="inlineStr">
        <is>
          <t>Q1FY01</t>
        </is>
      </c>
      <c r="D15" s="3" t="n">
        <v>733</v>
      </c>
      <c r="E15" s="3" t="n">
        <v>431</v>
      </c>
      <c r="F15" s="3" t="n">
        <v>1109</v>
      </c>
      <c r="G15" s="3" t="n">
        <v>22</v>
      </c>
      <c r="H15" s="3" t="n">
        <v>1050</v>
      </c>
      <c r="I15" s="4" t="n">
        <v>1.11</v>
      </c>
      <c r="J15" s="4" t="n">
        <v>164.77</v>
      </c>
      <c r="K15" s="4" t="n">
        <v>790.37</v>
      </c>
      <c r="L15" s="4" t="n">
        <v>35.93</v>
      </c>
      <c r="M15" s="3" t="n">
        <v>71501</v>
      </c>
      <c r="N15" s="4" t="n">
        <v>145.38</v>
      </c>
      <c r="O15" s="4" t="n">
        <v>729.95</v>
      </c>
      <c r="P15" s="4" t="n">
        <v>7904.78</v>
      </c>
    </row>
    <row r="16">
      <c r="A16" s="5" t="n">
        <v>36678</v>
      </c>
      <c r="B16" s="2" t="inlineStr">
        <is>
          <t>2000-2001</t>
        </is>
      </c>
      <c r="C16" s="2" t="inlineStr">
        <is>
          <t>Q1FY01</t>
        </is>
      </c>
      <c r="D16" s="3" t="n">
        <v>741</v>
      </c>
      <c r="E16" s="3" t="n">
        <v>423</v>
      </c>
      <c r="F16" s="3" t="n">
        <v>1109</v>
      </c>
      <c r="G16" s="3" t="n">
        <v>22</v>
      </c>
      <c r="H16" s="3" t="n">
        <v>1058</v>
      </c>
      <c r="I16" s="4" t="n">
        <v>1.32</v>
      </c>
      <c r="J16" s="4" t="n">
        <v>196.07</v>
      </c>
      <c r="K16" s="4" t="n">
        <v>1193.73</v>
      </c>
      <c r="L16" s="4" t="n">
        <v>54.26</v>
      </c>
      <c r="M16" s="3" t="n">
        <v>90694</v>
      </c>
      <c r="N16" s="4" t="n">
        <v>173.92</v>
      </c>
      <c r="O16" s="4" t="n">
        <v>1119.26</v>
      </c>
      <c r="P16" s="4" t="n">
        <v>8525.540000000001</v>
      </c>
    </row>
    <row r="17">
      <c r="A17" s="5" t="n">
        <v>36708</v>
      </c>
      <c r="B17" s="2" t="inlineStr">
        <is>
          <t>2000-2001</t>
        </is>
      </c>
      <c r="C17" s="2" t="inlineStr">
        <is>
          <t>Q2FY01</t>
        </is>
      </c>
      <c r="D17" s="3" t="n">
        <v>747</v>
      </c>
      <c r="E17" s="3" t="n">
        <v>410</v>
      </c>
      <c r="F17" s="3" t="n">
        <v>1094</v>
      </c>
      <c r="G17" s="3" t="n">
        <v>21</v>
      </c>
      <c r="H17" s="3" t="n">
        <v>1050</v>
      </c>
      <c r="I17" s="4" t="n">
        <v>1.22</v>
      </c>
      <c r="J17" s="4" t="n">
        <v>191.14</v>
      </c>
      <c r="K17" s="4" t="n">
        <v>1100.56</v>
      </c>
      <c r="L17" s="4" t="n">
        <v>52.41</v>
      </c>
      <c r="M17" s="3" t="n">
        <v>89881</v>
      </c>
      <c r="N17" s="4" t="n">
        <v>171.14</v>
      </c>
      <c r="O17" s="4" t="n">
        <v>1018.47</v>
      </c>
      <c r="P17" s="4" t="n">
        <v>7464.02</v>
      </c>
    </row>
    <row r="18">
      <c r="A18" s="5" t="n">
        <v>36739</v>
      </c>
      <c r="B18" s="2" t="inlineStr">
        <is>
          <t>2000-2001</t>
        </is>
      </c>
      <c r="C18" s="2" t="inlineStr">
        <is>
          <t>Q2FY01</t>
        </is>
      </c>
      <c r="D18" s="3" t="n">
        <v>751</v>
      </c>
      <c r="E18" s="3" t="n">
        <v>410</v>
      </c>
      <c r="F18" s="3" t="n">
        <v>1089</v>
      </c>
      <c r="G18" s="3" t="n">
        <v>22</v>
      </c>
      <c r="H18" s="3" t="n">
        <v>1038</v>
      </c>
      <c r="I18" s="4" t="n">
        <v>1.38</v>
      </c>
      <c r="J18" s="4" t="n">
        <v>234.56</v>
      </c>
      <c r="K18" s="4" t="n">
        <v>1253.47</v>
      </c>
      <c r="L18" s="4" t="n">
        <v>56.98</v>
      </c>
      <c r="M18" s="3" t="n">
        <v>91004</v>
      </c>
      <c r="N18" s="4" t="n">
        <v>211.77</v>
      </c>
      <c r="O18" s="4" t="n">
        <v>1161.86</v>
      </c>
      <c r="P18" s="4" t="n">
        <v>7945.16</v>
      </c>
    </row>
    <row r="19">
      <c r="A19" s="5" t="n">
        <v>36770</v>
      </c>
      <c r="B19" s="2" t="inlineStr">
        <is>
          <t>2000-2001</t>
        </is>
      </c>
      <c r="C19" s="2" t="inlineStr">
        <is>
          <t>Q2FY01</t>
        </is>
      </c>
      <c r="D19" s="3" t="n">
        <v>758</v>
      </c>
      <c r="E19" s="3" t="n">
        <v>379</v>
      </c>
      <c r="F19" s="3" t="n">
        <v>1070</v>
      </c>
      <c r="G19" s="3" t="n">
        <v>20</v>
      </c>
      <c r="H19" s="3" t="n">
        <v>1035</v>
      </c>
      <c r="I19" s="4" t="n">
        <v>1.42</v>
      </c>
      <c r="J19" s="4" t="n">
        <v>259.46</v>
      </c>
      <c r="K19" s="4" t="n">
        <v>1424.8</v>
      </c>
      <c r="L19" s="4" t="n">
        <v>71.23999999999999</v>
      </c>
      <c r="M19" s="3" t="n">
        <v>100428</v>
      </c>
      <c r="N19" s="4" t="n">
        <v>241.67</v>
      </c>
      <c r="O19" s="4" t="n">
        <v>1357.14</v>
      </c>
      <c r="P19" s="4" t="n">
        <v>7303.5</v>
      </c>
    </row>
    <row r="20">
      <c r="A20" s="5" t="n">
        <v>36800</v>
      </c>
      <c r="B20" s="2" t="inlineStr">
        <is>
          <t>2000-2001</t>
        </is>
      </c>
      <c r="C20" s="2" t="inlineStr">
        <is>
          <t>Q3FY01</t>
        </is>
      </c>
      <c r="D20" s="3" t="n">
        <v>764</v>
      </c>
      <c r="E20" s="3" t="n">
        <v>377</v>
      </c>
      <c r="F20" s="3" t="n">
        <v>1067</v>
      </c>
      <c r="G20" s="3" t="n">
        <v>21</v>
      </c>
      <c r="H20" s="3" t="n">
        <v>993</v>
      </c>
      <c r="I20" s="4" t="n">
        <v>1.31</v>
      </c>
      <c r="J20" s="4" t="n">
        <v>241.54</v>
      </c>
      <c r="K20" s="4" t="n">
        <v>1068.54</v>
      </c>
      <c r="L20" s="4" t="n">
        <v>50.88</v>
      </c>
      <c r="M20" s="3" t="n">
        <v>81553</v>
      </c>
      <c r="N20" s="4" t="n">
        <v>218.6</v>
      </c>
      <c r="O20" s="4" t="n">
        <v>995.67</v>
      </c>
      <c r="P20" s="4" t="n">
        <v>7071.21</v>
      </c>
    </row>
    <row r="21">
      <c r="A21" s="5" t="n">
        <v>36831</v>
      </c>
      <c r="B21" s="2" t="inlineStr">
        <is>
          <t>2000-2001</t>
        </is>
      </c>
      <c r="C21" s="2" t="inlineStr">
        <is>
          <t>Q3FY01</t>
        </is>
      </c>
      <c r="D21" s="3" t="n">
        <v>767</v>
      </c>
      <c r="E21" s="3" t="n">
        <v>376</v>
      </c>
      <c r="F21" s="3" t="n">
        <v>1070</v>
      </c>
      <c r="G21" s="3" t="n">
        <v>22</v>
      </c>
      <c r="H21" s="3" t="n">
        <v>1006</v>
      </c>
      <c r="I21" s="4" t="n">
        <v>1.51</v>
      </c>
      <c r="J21" s="4" t="n">
        <v>319.05</v>
      </c>
      <c r="K21" s="4" t="n">
        <v>1227.31</v>
      </c>
      <c r="L21" s="4" t="n">
        <v>55.79</v>
      </c>
      <c r="M21" s="3" t="n">
        <v>81196</v>
      </c>
      <c r="N21" s="4" t="n">
        <v>288.57</v>
      </c>
      <c r="O21" s="4" t="n">
        <v>1133.35</v>
      </c>
      <c r="P21" s="4" t="n">
        <v>7641.77</v>
      </c>
    </row>
    <row r="22">
      <c r="A22" s="5" t="n">
        <v>36861</v>
      </c>
      <c r="B22" s="2" t="inlineStr">
        <is>
          <t>2000-2001</t>
        </is>
      </c>
      <c r="C22" s="2" t="inlineStr">
        <is>
          <t>Q3FY01</t>
        </is>
      </c>
      <c r="D22" s="3" t="n">
        <v>775</v>
      </c>
      <c r="E22" s="3" t="n">
        <v>350</v>
      </c>
      <c r="F22" s="3" t="n">
        <v>1050</v>
      </c>
      <c r="G22" s="3" t="n">
        <v>20</v>
      </c>
      <c r="H22" s="3" t="n">
        <v>1008</v>
      </c>
      <c r="I22" s="4" t="n">
        <v>1.63</v>
      </c>
      <c r="J22" s="4" t="n">
        <v>357.9</v>
      </c>
      <c r="K22" s="4" t="n">
        <v>1314.15</v>
      </c>
      <c r="L22" s="4" t="n">
        <v>65.70999999999999</v>
      </c>
      <c r="M22" s="3" t="n">
        <v>80764</v>
      </c>
      <c r="N22" s="4" t="n">
        <v>321.59</v>
      </c>
      <c r="O22" s="4" t="n">
        <v>1207.74</v>
      </c>
      <c r="P22" s="4" t="n">
        <v>7603.91</v>
      </c>
    </row>
    <row r="23">
      <c r="A23" s="5" t="n">
        <v>36892</v>
      </c>
      <c r="B23" s="2" t="inlineStr">
        <is>
          <t>2000-2001</t>
        </is>
      </c>
      <c r="C23" s="2" t="inlineStr">
        <is>
          <t>Q4FY01</t>
        </is>
      </c>
      <c r="D23" s="3" t="n">
        <v>778</v>
      </c>
      <c r="E23" s="3" t="n">
        <v>348</v>
      </c>
      <c r="F23" s="3" t="n">
        <v>1050</v>
      </c>
      <c r="G23" s="3" t="n">
        <v>22</v>
      </c>
      <c r="H23" s="3" t="n">
        <v>978</v>
      </c>
      <c r="I23" s="4" t="n">
        <v>1.86</v>
      </c>
      <c r="J23" s="4" t="n">
        <v>421.52</v>
      </c>
      <c r="K23" s="4" t="n">
        <v>1488.3</v>
      </c>
      <c r="L23" s="4" t="n">
        <v>67.65000000000001</v>
      </c>
      <c r="M23" s="3" t="n">
        <v>80212</v>
      </c>
      <c r="N23" s="4" t="n">
        <v>407.89</v>
      </c>
      <c r="O23" s="4" t="n">
        <v>1439.12</v>
      </c>
      <c r="P23" s="4" t="n">
        <v>8076.41</v>
      </c>
    </row>
    <row r="24">
      <c r="A24" s="5" t="n">
        <v>36923</v>
      </c>
      <c r="B24" s="2" t="inlineStr">
        <is>
          <t>2000-2001</t>
        </is>
      </c>
      <c r="C24" s="2" t="inlineStr">
        <is>
          <t>Q4FY01</t>
        </is>
      </c>
      <c r="D24" s="3" t="n">
        <v>782</v>
      </c>
      <c r="E24" s="3" t="n">
        <v>320</v>
      </c>
      <c r="F24" s="3" t="n">
        <v>1026</v>
      </c>
      <c r="G24" s="3" t="n">
        <v>20</v>
      </c>
      <c r="H24" s="3" t="n">
        <v>984</v>
      </c>
      <c r="I24" s="4" t="n">
        <v>1.92</v>
      </c>
      <c r="J24" s="4" t="n">
        <v>482.68</v>
      </c>
      <c r="K24" s="4" t="n">
        <v>1359.32</v>
      </c>
      <c r="L24" s="4" t="n">
        <v>67.97</v>
      </c>
      <c r="M24" s="3" t="n">
        <v>70923</v>
      </c>
      <c r="N24" s="4" t="n">
        <v>482.22</v>
      </c>
      <c r="O24" s="4" t="n">
        <v>1358.5</v>
      </c>
      <c r="P24" s="4" t="n">
        <v>7896</v>
      </c>
    </row>
    <row r="25">
      <c r="A25" s="5" t="n">
        <v>36951</v>
      </c>
      <c r="B25" s="2" t="inlineStr">
        <is>
          <t>2000-2001</t>
        </is>
      </c>
      <c r="C25" s="2" t="inlineStr">
        <is>
          <t>Q4FY01</t>
        </is>
      </c>
      <c r="D25" s="3" t="n">
        <v>785</v>
      </c>
      <c r="E25" s="3" t="n">
        <v>320</v>
      </c>
      <c r="F25" s="3" t="n">
        <v>1029</v>
      </c>
      <c r="G25" s="3" t="n">
        <v>21</v>
      </c>
      <c r="H25" s="3" t="n">
        <v>964</v>
      </c>
      <c r="I25" s="4" t="n">
        <v>1.35</v>
      </c>
      <c r="J25" s="4" t="n">
        <v>292.77</v>
      </c>
      <c r="K25" s="4" t="n">
        <v>602.26</v>
      </c>
      <c r="L25" s="4" t="n">
        <v>28.68</v>
      </c>
      <c r="M25" s="3" t="n">
        <v>44723</v>
      </c>
      <c r="N25" s="4" t="n">
        <v>292.68</v>
      </c>
      <c r="O25" s="4" t="n">
        <v>602.11</v>
      </c>
      <c r="P25" s="4" t="n">
        <v>6578.47</v>
      </c>
    </row>
    <row r="26">
      <c r="A26" s="5" t="n">
        <v>36982</v>
      </c>
      <c r="B26" s="2" t="inlineStr">
        <is>
          <t>2001-2002</t>
        </is>
      </c>
      <c r="C26" s="2" t="inlineStr">
        <is>
          <t>Q1FY02</t>
        </is>
      </c>
      <c r="D26" s="3" t="n">
        <v>790</v>
      </c>
      <c r="E26" s="3" t="n">
        <v>319</v>
      </c>
      <c r="F26" s="3" t="n">
        <v>1031</v>
      </c>
      <c r="G26" s="3" t="n">
        <v>19</v>
      </c>
      <c r="H26" s="3" t="n">
        <v>951</v>
      </c>
      <c r="I26" s="4" t="n">
        <v>1.14</v>
      </c>
      <c r="J26" s="4" t="n">
        <v>207.82</v>
      </c>
      <c r="K26" s="4" t="n">
        <v>356.16</v>
      </c>
      <c r="L26" s="4" t="n">
        <v>18.75</v>
      </c>
      <c r="M26" s="3" t="n">
        <v>31133</v>
      </c>
      <c r="N26" s="4" t="n">
        <v>207.35</v>
      </c>
      <c r="O26" s="4" t="n">
        <v>356.05</v>
      </c>
      <c r="P26" s="4" t="n">
        <v>6537.2</v>
      </c>
    </row>
    <row r="27">
      <c r="A27" s="5" t="n">
        <v>37012</v>
      </c>
      <c r="B27" s="2" t="inlineStr">
        <is>
          <t>2001-2002</t>
        </is>
      </c>
      <c r="C27" s="2" t="inlineStr">
        <is>
          <t>Q1FY02</t>
        </is>
      </c>
      <c r="D27" s="3" t="n">
        <v>789</v>
      </c>
      <c r="E27" s="3" t="n">
        <v>318</v>
      </c>
      <c r="F27" s="3" t="n">
        <v>1030</v>
      </c>
      <c r="G27" s="3" t="n">
        <v>22</v>
      </c>
      <c r="H27" s="3" t="n">
        <v>954</v>
      </c>
      <c r="I27" s="4" t="n">
        <v>1.41</v>
      </c>
      <c r="J27" s="4" t="n">
        <v>257.15</v>
      </c>
      <c r="K27" s="4" t="n">
        <v>483.29</v>
      </c>
      <c r="L27" s="4" t="n">
        <v>21.97</v>
      </c>
      <c r="M27" s="3" t="n">
        <v>34276</v>
      </c>
      <c r="N27" s="4" t="n">
        <v>257.14</v>
      </c>
      <c r="O27" s="4" t="n">
        <v>483.29</v>
      </c>
      <c r="P27" s="4" t="n">
        <v>5924.37</v>
      </c>
    </row>
    <row r="28">
      <c r="A28" s="5" t="n">
        <v>37043</v>
      </c>
      <c r="B28" s="2" t="inlineStr">
        <is>
          <t>2001-2002</t>
        </is>
      </c>
      <c r="C28" s="2" t="inlineStr">
        <is>
          <t>Q1FY02</t>
        </is>
      </c>
      <c r="D28" s="3" t="n">
        <v>790</v>
      </c>
      <c r="E28" s="3" t="n">
        <v>292</v>
      </c>
      <c r="F28" s="3" t="n">
        <v>1001</v>
      </c>
      <c r="G28" s="3" t="n">
        <v>21</v>
      </c>
      <c r="H28" s="3" t="n">
        <v>963</v>
      </c>
      <c r="I28" s="4" t="n">
        <v>1.33</v>
      </c>
      <c r="J28" s="4" t="n">
        <v>223.36</v>
      </c>
      <c r="K28" s="4" t="n">
        <v>427.83</v>
      </c>
      <c r="L28" s="4" t="n">
        <v>20.37</v>
      </c>
      <c r="M28" s="3" t="n">
        <v>32151</v>
      </c>
      <c r="N28" s="4" t="n">
        <v>219.35</v>
      </c>
      <c r="O28" s="4" t="n">
        <v>426.25</v>
      </c>
      <c r="P28" s="4" t="n">
        <v>5697.97</v>
      </c>
    </row>
    <row r="29">
      <c r="A29" s="5" t="n">
        <v>37073</v>
      </c>
      <c r="B29" s="2" t="inlineStr">
        <is>
          <t>2001-2002</t>
        </is>
      </c>
      <c r="C29" s="2" t="inlineStr">
        <is>
          <t>Q2FY02</t>
        </is>
      </c>
      <c r="D29" s="3" t="n">
        <v>785</v>
      </c>
      <c r="E29" s="3" t="n">
        <v>294</v>
      </c>
      <c r="F29" s="3" t="n">
        <v>994</v>
      </c>
      <c r="G29" s="3" t="n">
        <v>22</v>
      </c>
      <c r="H29" s="3" t="n">
        <v>924</v>
      </c>
      <c r="I29" s="4" t="n">
        <v>0.99</v>
      </c>
      <c r="J29" s="4" t="n">
        <v>131.42</v>
      </c>
      <c r="K29" s="4" t="n">
        <v>272.28</v>
      </c>
      <c r="L29" s="4" t="n">
        <v>12.38</v>
      </c>
      <c r="M29" s="3" t="n">
        <v>27476</v>
      </c>
      <c r="N29" s="4" t="n">
        <v>131.37</v>
      </c>
      <c r="O29" s="4" t="n">
        <v>272.27</v>
      </c>
      <c r="P29" s="4" t="n">
        <v>5742.6</v>
      </c>
    </row>
    <row r="30">
      <c r="A30" s="5" t="n">
        <v>37104</v>
      </c>
      <c r="B30" s="2" t="inlineStr">
        <is>
          <t>2001-2002</t>
        </is>
      </c>
      <c r="C30" s="2" t="inlineStr">
        <is>
          <t>Q2FY02</t>
        </is>
      </c>
      <c r="D30" s="3" t="n">
        <v>786</v>
      </c>
      <c r="E30" s="3" t="n">
        <v>293</v>
      </c>
      <c r="F30" s="3" t="n">
        <v>994</v>
      </c>
      <c r="G30" s="3" t="n">
        <v>21</v>
      </c>
      <c r="H30" s="3" t="n">
        <v>931</v>
      </c>
      <c r="I30" s="4" t="n">
        <v>1.12</v>
      </c>
      <c r="J30" s="4" t="n">
        <v>159.37</v>
      </c>
      <c r="K30" s="4" t="n">
        <v>294.17</v>
      </c>
      <c r="L30" s="4" t="n">
        <v>14.01</v>
      </c>
      <c r="M30" s="3" t="n">
        <v>26350</v>
      </c>
      <c r="N30" s="4" t="n">
        <v>159.31</v>
      </c>
      <c r="O30" s="4" t="n">
        <v>294.15</v>
      </c>
      <c r="P30" s="4" t="n">
        <v>5752.42</v>
      </c>
    </row>
    <row r="31">
      <c r="A31" s="5" t="n">
        <v>37135</v>
      </c>
      <c r="B31" s="2" t="inlineStr">
        <is>
          <t>2001-2002</t>
        </is>
      </c>
      <c r="C31" s="2" t="inlineStr">
        <is>
          <t>Q2FY02</t>
        </is>
      </c>
      <c r="D31" s="3" t="n">
        <v>788</v>
      </c>
      <c r="E31" s="3" t="n">
        <v>293</v>
      </c>
      <c r="F31" s="3" t="n">
        <v>987</v>
      </c>
      <c r="G31" s="3" t="n">
        <v>20</v>
      </c>
      <c r="H31" s="3" t="n">
        <v>917</v>
      </c>
      <c r="I31" s="4" t="n">
        <v>1.35</v>
      </c>
      <c r="J31" s="4" t="n">
        <v>173.42</v>
      </c>
      <c r="K31" s="4" t="n">
        <v>353.23</v>
      </c>
      <c r="L31" s="4" t="n">
        <v>17.66</v>
      </c>
      <c r="M31" s="3" t="n">
        <v>26095</v>
      </c>
      <c r="N31" s="4" t="n">
        <v>173.42</v>
      </c>
      <c r="O31" s="4" t="n">
        <v>353.23</v>
      </c>
      <c r="P31" s="4" t="n">
        <v>5091.05</v>
      </c>
    </row>
    <row r="32">
      <c r="A32" s="5" t="n">
        <v>37165</v>
      </c>
      <c r="B32" s="2" t="inlineStr">
        <is>
          <t>2001-2002</t>
        </is>
      </c>
      <c r="C32" s="2" t="inlineStr">
        <is>
          <t>Q3FY02</t>
        </is>
      </c>
      <c r="D32" s="3" t="n">
        <v>789</v>
      </c>
      <c r="E32" s="3" t="n">
        <v>292</v>
      </c>
      <c r="F32" s="3" t="n">
        <v>986</v>
      </c>
      <c r="G32" s="3" t="n">
        <v>21</v>
      </c>
      <c r="H32" s="3" t="n">
        <v>917</v>
      </c>
      <c r="I32" s="4" t="n">
        <v>1.41</v>
      </c>
      <c r="J32" s="4" t="n">
        <v>197.99</v>
      </c>
      <c r="K32" s="4" t="n">
        <v>353.26</v>
      </c>
      <c r="L32" s="4" t="n">
        <v>16.82</v>
      </c>
      <c r="M32" s="3" t="n">
        <v>25088</v>
      </c>
      <c r="N32" s="4" t="n">
        <v>197.96</v>
      </c>
      <c r="O32" s="4" t="n">
        <v>353.24</v>
      </c>
      <c r="P32" s="4" t="n">
        <v>5358.46</v>
      </c>
    </row>
    <row r="33">
      <c r="A33" s="5" t="n">
        <v>37196</v>
      </c>
      <c r="B33" s="2" t="inlineStr">
        <is>
          <t>2001-2002</t>
        </is>
      </c>
      <c r="C33" s="2" t="inlineStr">
        <is>
          <t>Q3FY02</t>
        </is>
      </c>
      <c r="D33" s="3" t="n">
        <v>788</v>
      </c>
      <c r="E33" s="3" t="n">
        <v>268</v>
      </c>
      <c r="F33" s="3" t="n">
        <v>956</v>
      </c>
      <c r="G33" s="3" t="n">
        <v>20</v>
      </c>
      <c r="H33" s="3" t="n">
        <v>920</v>
      </c>
      <c r="I33" s="4" t="n">
        <v>1.53</v>
      </c>
      <c r="J33" s="4" t="n">
        <v>253.49</v>
      </c>
      <c r="K33" s="4" t="n">
        <v>421.32</v>
      </c>
      <c r="L33" s="4" t="n">
        <v>21.07</v>
      </c>
      <c r="M33" s="3" t="n">
        <v>27572</v>
      </c>
      <c r="N33" s="4" t="n">
        <v>252.95</v>
      </c>
      <c r="O33" s="4" t="n">
        <v>421.21</v>
      </c>
      <c r="P33" s="4" t="n">
        <v>5813.86</v>
      </c>
    </row>
    <row r="34">
      <c r="A34" s="5" t="n">
        <v>37226</v>
      </c>
      <c r="B34" s="2" t="inlineStr">
        <is>
          <t>2001-2002</t>
        </is>
      </c>
      <c r="C34" s="2" t="inlineStr">
        <is>
          <t>Q3FY02</t>
        </is>
      </c>
      <c r="D34" s="3" t="n">
        <v>788</v>
      </c>
      <c r="E34" s="3" t="n">
        <v>268</v>
      </c>
      <c r="F34" s="3" t="n">
        <v>956</v>
      </c>
      <c r="G34" s="3" t="n">
        <v>19</v>
      </c>
      <c r="H34" s="3" t="n">
        <v>895</v>
      </c>
      <c r="I34" s="4" t="n">
        <v>1.77</v>
      </c>
      <c r="J34" s="4" t="n">
        <v>317.77</v>
      </c>
      <c r="K34" s="4" t="n">
        <v>544.6799999999999</v>
      </c>
      <c r="L34" s="4" t="n">
        <v>28.67</v>
      </c>
      <c r="M34" s="3" t="n">
        <v>30834</v>
      </c>
      <c r="N34" s="4" t="n">
        <v>317.75</v>
      </c>
      <c r="O34" s="4" t="n">
        <v>544.65</v>
      </c>
      <c r="P34" s="4" t="n">
        <v>5529.08</v>
      </c>
    </row>
    <row r="35">
      <c r="A35" s="5" t="n">
        <v>37257</v>
      </c>
      <c r="B35" s="2" t="inlineStr">
        <is>
          <t>2001-2002</t>
        </is>
      </c>
      <c r="C35" s="2" t="inlineStr">
        <is>
          <t>Q4FY02</t>
        </is>
      </c>
      <c r="D35" s="3" t="n">
        <v>794</v>
      </c>
      <c r="E35" s="3" t="n">
        <v>199</v>
      </c>
      <c r="F35" s="3" t="n">
        <v>893</v>
      </c>
      <c r="G35" s="3" t="n">
        <v>23</v>
      </c>
      <c r="H35" s="3" t="n">
        <v>896</v>
      </c>
      <c r="I35" s="4" t="n">
        <v>2.13</v>
      </c>
      <c r="J35" s="4" t="n">
        <v>343.84</v>
      </c>
      <c r="K35" s="4" t="n">
        <v>687.1900000000001</v>
      </c>
      <c r="L35" s="4" t="n">
        <v>29.88</v>
      </c>
      <c r="M35" s="3" t="n">
        <v>32244</v>
      </c>
      <c r="N35" s="4" t="n">
        <v>342.19</v>
      </c>
      <c r="O35" s="4" t="n">
        <v>686.0599999999999</v>
      </c>
      <c r="P35" s="4" t="n">
        <v>5636.83</v>
      </c>
    </row>
    <row r="36">
      <c r="A36" s="5" t="n">
        <v>37288</v>
      </c>
      <c r="B36" s="2" t="inlineStr">
        <is>
          <t>2001-2002</t>
        </is>
      </c>
      <c r="C36" s="2" t="inlineStr">
        <is>
          <t>Q4FY02</t>
        </is>
      </c>
      <c r="D36" s="3" t="n">
        <v>791</v>
      </c>
      <c r="E36" s="3" t="n">
        <v>198</v>
      </c>
      <c r="F36" s="3" t="n">
        <v>889</v>
      </c>
      <c r="G36" s="3" t="n">
        <v>20</v>
      </c>
      <c r="H36" s="3" t="n">
        <v>840</v>
      </c>
      <c r="I36" s="4" t="n">
        <v>1.77</v>
      </c>
      <c r="J36" s="4" t="n">
        <v>285.52</v>
      </c>
      <c r="K36" s="4" t="n">
        <v>495.64</v>
      </c>
      <c r="L36" s="4" t="n">
        <v>24.78</v>
      </c>
      <c r="M36" s="3" t="n">
        <v>27944</v>
      </c>
      <c r="N36" s="4" t="n">
        <v>285.47</v>
      </c>
      <c r="O36" s="4" t="n">
        <v>495.64</v>
      </c>
      <c r="P36" s="4" t="n">
        <v>6215.23</v>
      </c>
    </row>
    <row r="37">
      <c r="A37" s="5" t="n">
        <v>37316</v>
      </c>
      <c r="B37" s="2" t="inlineStr">
        <is>
          <t>2001-2002</t>
        </is>
      </c>
      <c r="C37" s="2" t="inlineStr">
        <is>
          <t>Q4FY02</t>
        </is>
      </c>
      <c r="D37" s="3" t="n">
        <v>793</v>
      </c>
      <c r="E37" s="3" t="n">
        <v>197</v>
      </c>
      <c r="F37" s="3" t="n">
        <v>890</v>
      </c>
      <c r="G37" s="3" t="n">
        <v>19</v>
      </c>
      <c r="H37" s="3" t="n">
        <v>840</v>
      </c>
      <c r="I37" s="4" t="n">
        <v>1.57</v>
      </c>
      <c r="J37" s="4" t="n">
        <v>232.94</v>
      </c>
      <c r="K37" s="4" t="n">
        <v>442.62</v>
      </c>
      <c r="L37" s="4" t="n">
        <v>23.3</v>
      </c>
      <c r="M37" s="3" t="n">
        <v>28111</v>
      </c>
      <c r="N37" s="4" t="n">
        <v>232.91</v>
      </c>
      <c r="O37" s="4" t="n">
        <v>442.62</v>
      </c>
      <c r="P37" s="4" t="n">
        <v>6368.61</v>
      </c>
    </row>
    <row r="38">
      <c r="A38" s="5" t="n">
        <v>37347</v>
      </c>
      <c r="B38" s="2" t="inlineStr">
        <is>
          <t>2002-2003</t>
        </is>
      </c>
      <c r="C38" s="2" t="inlineStr">
        <is>
          <t>Q1FY03</t>
        </is>
      </c>
      <c r="D38" s="3" t="n">
        <v>800</v>
      </c>
      <c r="E38" s="3" t="n">
        <v>173</v>
      </c>
      <c r="F38" s="3" t="n">
        <v>865</v>
      </c>
      <c r="G38" s="3" t="n">
        <v>22</v>
      </c>
      <c r="H38" s="3" t="n">
        <v>843</v>
      </c>
      <c r="I38" s="4" t="n">
        <v>2.01</v>
      </c>
      <c r="J38" s="4" t="n">
        <v>287.98</v>
      </c>
      <c r="K38" s="4" t="n">
        <v>533.2</v>
      </c>
      <c r="L38" s="4" t="n">
        <v>24.24</v>
      </c>
      <c r="M38" s="3" t="n">
        <v>26512</v>
      </c>
      <c r="N38" s="4" t="n">
        <v>287.82</v>
      </c>
      <c r="O38" s="4" t="n">
        <v>533.16</v>
      </c>
      <c r="P38" s="4" t="n">
        <v>6495.51</v>
      </c>
    </row>
    <row r="39">
      <c r="A39" s="5" t="n">
        <v>37377</v>
      </c>
      <c r="B39" s="2" t="inlineStr">
        <is>
          <t>2002-2003</t>
        </is>
      </c>
      <c r="C39" s="2" t="inlineStr">
        <is>
          <t>Q1FY03</t>
        </is>
      </c>
      <c r="D39" s="3" t="n">
        <v>798</v>
      </c>
      <c r="E39" s="3" t="n">
        <v>172</v>
      </c>
      <c r="F39" s="3" t="n">
        <v>863</v>
      </c>
      <c r="G39" s="3" t="n">
        <v>22</v>
      </c>
      <c r="H39" s="3" t="n">
        <v>821</v>
      </c>
      <c r="I39" s="4" t="n">
        <v>2.17</v>
      </c>
      <c r="J39" s="4" t="n">
        <v>353.03</v>
      </c>
      <c r="K39" s="4" t="n">
        <v>549.79</v>
      </c>
      <c r="L39" s="4" t="n">
        <v>24.99</v>
      </c>
      <c r="M39" s="3" t="n">
        <v>25384</v>
      </c>
      <c r="N39" s="4" t="n">
        <v>353.03</v>
      </c>
      <c r="O39" s="4" t="n">
        <v>549.78</v>
      </c>
      <c r="P39" s="4" t="n">
        <v>6316.09</v>
      </c>
    </row>
    <row r="40">
      <c r="A40" s="5" t="n">
        <v>37408</v>
      </c>
      <c r="B40" s="2" t="inlineStr">
        <is>
          <t>2002-2003</t>
        </is>
      </c>
      <c r="C40" s="2" t="inlineStr">
        <is>
          <t>Q1FY03</t>
        </is>
      </c>
      <c r="D40" s="3" t="n">
        <v>799</v>
      </c>
      <c r="E40" s="3" t="n">
        <v>170</v>
      </c>
      <c r="F40" s="3" t="n">
        <v>848</v>
      </c>
      <c r="G40" s="3" t="n">
        <v>20</v>
      </c>
      <c r="H40" s="3" t="n">
        <v>825</v>
      </c>
      <c r="I40" s="4" t="n">
        <v>1.89</v>
      </c>
      <c r="J40" s="4" t="n">
        <v>385.19</v>
      </c>
      <c r="K40" s="4" t="n">
        <v>442.41</v>
      </c>
      <c r="L40" s="4" t="n">
        <v>22.12</v>
      </c>
      <c r="M40" s="3" t="n">
        <v>23378</v>
      </c>
      <c r="N40" s="4" t="n">
        <v>385.18</v>
      </c>
      <c r="O40" s="4" t="n">
        <v>442.41</v>
      </c>
      <c r="P40" s="4" t="n">
        <v>6599.91</v>
      </c>
    </row>
    <row r="41">
      <c r="A41" s="5" t="n">
        <v>37438</v>
      </c>
      <c r="B41" s="2" t="inlineStr">
        <is>
          <t>2002-2003</t>
        </is>
      </c>
      <c r="C41" s="2" t="inlineStr">
        <is>
          <t>Q2FY03</t>
        </is>
      </c>
      <c r="D41" s="3" t="n">
        <v>799</v>
      </c>
      <c r="E41" s="3" t="n">
        <v>163</v>
      </c>
      <c r="F41" s="3" t="n">
        <v>841</v>
      </c>
      <c r="G41" s="3" t="n">
        <v>23</v>
      </c>
      <c r="H41" s="3" t="n">
        <v>820</v>
      </c>
      <c r="I41" s="4" t="n">
        <v>2.11</v>
      </c>
      <c r="J41" s="4" t="n">
        <v>368.21</v>
      </c>
      <c r="K41" s="4" t="n">
        <v>513.98</v>
      </c>
      <c r="L41" s="4" t="n">
        <v>22.35</v>
      </c>
      <c r="M41" s="3" t="n">
        <v>24311</v>
      </c>
      <c r="N41" s="4" t="n">
        <v>368.2</v>
      </c>
      <c r="O41" s="4" t="n">
        <v>513.98</v>
      </c>
      <c r="P41" s="4" t="n">
        <v>6086.43</v>
      </c>
    </row>
    <row r="42">
      <c r="A42" s="5" t="n">
        <v>37469</v>
      </c>
      <c r="B42" s="2" t="inlineStr">
        <is>
          <t>2002-2003</t>
        </is>
      </c>
      <c r="C42" s="2" t="inlineStr">
        <is>
          <t>Q2FY03</t>
        </is>
      </c>
      <c r="D42" s="3" t="n">
        <v>799</v>
      </c>
      <c r="E42" s="3" t="n">
        <v>161</v>
      </c>
      <c r="F42" s="3" t="n">
        <v>839</v>
      </c>
      <c r="G42" s="3" t="n">
        <v>21</v>
      </c>
      <c r="H42" s="3" t="n">
        <v>806</v>
      </c>
      <c r="I42" s="4" t="n">
        <v>1.91</v>
      </c>
      <c r="J42" s="4" t="n">
        <v>260</v>
      </c>
      <c r="K42" s="4" t="n">
        <v>461.13</v>
      </c>
      <c r="L42" s="4" t="n">
        <v>21.96</v>
      </c>
      <c r="M42" s="3" t="n">
        <v>24090</v>
      </c>
      <c r="N42" s="4" t="n">
        <v>260</v>
      </c>
      <c r="O42" s="4" t="n">
        <v>461.13</v>
      </c>
      <c r="P42" s="4" t="n">
        <v>6326.18</v>
      </c>
    </row>
    <row r="43">
      <c r="A43" s="5" t="n">
        <v>37500</v>
      </c>
      <c r="B43" s="2" t="inlineStr">
        <is>
          <t>2002-2003</t>
        </is>
      </c>
      <c r="C43" s="2" t="inlineStr">
        <is>
          <t>Q2FY03</t>
        </is>
      </c>
      <c r="D43" s="3" t="n">
        <v>801</v>
      </c>
      <c r="E43" s="3" t="n">
        <v>161</v>
      </c>
      <c r="F43" s="3" t="n">
        <v>840</v>
      </c>
      <c r="G43" s="3" t="n">
        <v>20</v>
      </c>
      <c r="H43" s="3" t="n">
        <v>806</v>
      </c>
      <c r="I43" s="4" t="n">
        <v>1.85</v>
      </c>
      <c r="J43" s="4" t="n">
        <v>255.81</v>
      </c>
      <c r="K43" s="4" t="n">
        <v>464.99</v>
      </c>
      <c r="L43" s="4" t="n">
        <v>23.25</v>
      </c>
      <c r="M43" s="3" t="n">
        <v>25117</v>
      </c>
      <c r="N43" s="4" t="n">
        <v>255.81</v>
      </c>
      <c r="O43" s="4" t="n">
        <v>464.99</v>
      </c>
      <c r="P43" s="4" t="n">
        <v>5996.03</v>
      </c>
    </row>
    <row r="44">
      <c r="A44" s="5" t="n">
        <v>37530</v>
      </c>
      <c r="B44" s="2" t="inlineStr">
        <is>
          <t>2002-2003</t>
        </is>
      </c>
      <c r="C44" s="2" t="inlineStr">
        <is>
          <t>Q3FY03</t>
        </is>
      </c>
      <c r="D44" s="3" t="n">
        <v>803</v>
      </c>
      <c r="E44" s="3" t="n">
        <v>119</v>
      </c>
      <c r="F44" s="3" t="n">
        <v>803</v>
      </c>
      <c r="G44" s="3" t="n">
        <v>21</v>
      </c>
      <c r="H44" s="3" t="n">
        <v>770</v>
      </c>
      <c r="I44" s="4" t="n">
        <v>2.01</v>
      </c>
      <c r="J44" s="4" t="n">
        <v>264.58</v>
      </c>
      <c r="K44" s="4" t="n">
        <v>519.02</v>
      </c>
      <c r="L44" s="4" t="n">
        <v>24.72</v>
      </c>
      <c r="M44" s="3" t="n">
        <v>25806</v>
      </c>
      <c r="N44" s="4" t="n">
        <v>264.58</v>
      </c>
      <c r="O44" s="4" t="n">
        <v>519.02</v>
      </c>
      <c r="P44" s="4" t="n">
        <v>6067.88</v>
      </c>
    </row>
    <row r="45">
      <c r="A45" s="5" t="n">
        <v>37561</v>
      </c>
      <c r="B45" s="2" t="inlineStr">
        <is>
          <t>2002-2003</t>
        </is>
      </c>
      <c r="C45" s="2" t="inlineStr">
        <is>
          <t>Q3FY03</t>
        </is>
      </c>
      <c r="D45" s="3" t="n">
        <v>805</v>
      </c>
      <c r="E45" s="3" t="n">
        <v>118</v>
      </c>
      <c r="F45" s="3" t="n">
        <v>788</v>
      </c>
      <c r="G45" s="3" t="n">
        <v>19</v>
      </c>
      <c r="H45" s="3" t="n">
        <v>767</v>
      </c>
      <c r="I45" s="4" t="n">
        <v>1.75</v>
      </c>
      <c r="J45" s="4" t="n">
        <v>236.31</v>
      </c>
      <c r="K45" s="4" t="n">
        <v>513.52</v>
      </c>
      <c r="L45" s="4" t="n">
        <v>27.03</v>
      </c>
      <c r="M45" s="3" t="n">
        <v>29354</v>
      </c>
      <c r="N45" s="4" t="n">
        <v>236.31</v>
      </c>
      <c r="O45" s="4" t="n">
        <v>513.52</v>
      </c>
      <c r="P45" s="4" t="n">
        <v>6453.88</v>
      </c>
    </row>
    <row r="46">
      <c r="A46" s="5" t="n">
        <v>37591</v>
      </c>
      <c r="B46" s="2" t="inlineStr">
        <is>
          <t>2002-2003</t>
        </is>
      </c>
      <c r="C46" s="2" t="inlineStr">
        <is>
          <t>Q3FY03</t>
        </is>
      </c>
      <c r="D46" s="3" t="n">
        <v>809</v>
      </c>
      <c r="E46" s="3" t="n">
        <v>116</v>
      </c>
      <c r="F46" s="3" t="n">
        <v>788</v>
      </c>
      <c r="G46" s="3" t="n">
        <v>21</v>
      </c>
      <c r="H46" s="3" t="n">
        <v>762</v>
      </c>
      <c r="I46" s="4" t="n">
        <v>2.19</v>
      </c>
      <c r="J46" s="4" t="n">
        <v>330.22</v>
      </c>
      <c r="K46" s="4" t="n">
        <v>619.73</v>
      </c>
      <c r="L46" s="4" t="n">
        <v>29.51</v>
      </c>
      <c r="M46" s="3" t="n">
        <v>28236</v>
      </c>
      <c r="N46" s="4" t="n">
        <v>330.22</v>
      </c>
      <c r="O46" s="4" t="n">
        <v>619.73</v>
      </c>
      <c r="P46" s="4" t="n">
        <v>6728.62</v>
      </c>
    </row>
    <row r="47">
      <c r="A47" s="5" t="n">
        <v>37622</v>
      </c>
      <c r="B47" s="2" t="inlineStr">
        <is>
          <t>2002-2003</t>
        </is>
      </c>
      <c r="C47" s="2" t="inlineStr">
        <is>
          <t>Q4FY03</t>
        </is>
      </c>
      <c r="D47" s="3" t="n">
        <v>814</v>
      </c>
      <c r="E47" s="3" t="n">
        <v>112</v>
      </c>
      <c r="F47" s="3" t="n">
        <v>789</v>
      </c>
      <c r="G47" s="3" t="n">
        <v>23</v>
      </c>
      <c r="H47" s="3" t="n">
        <v>763</v>
      </c>
      <c r="I47" s="4" t="n">
        <v>2.39</v>
      </c>
      <c r="J47" s="4" t="n">
        <v>363.36</v>
      </c>
      <c r="K47" s="4" t="n">
        <v>647.62</v>
      </c>
      <c r="L47" s="4" t="n">
        <v>28.16</v>
      </c>
      <c r="M47" s="3" t="n">
        <v>27054</v>
      </c>
      <c r="N47" s="4" t="n">
        <v>363.36</v>
      </c>
      <c r="O47" s="4" t="n">
        <v>647.62</v>
      </c>
      <c r="P47" s="4" t="n">
        <v>5722.77</v>
      </c>
    </row>
    <row r="48">
      <c r="A48" s="5" t="n">
        <v>37653</v>
      </c>
      <c r="B48" s="2" t="inlineStr">
        <is>
          <t>2002-2003</t>
        </is>
      </c>
      <c r="C48" s="2" t="inlineStr">
        <is>
          <t>Q4FY03</t>
        </is>
      </c>
      <c r="D48" s="3" t="n">
        <v>818</v>
      </c>
      <c r="E48" s="3" t="n">
        <v>107</v>
      </c>
      <c r="F48" s="3" t="n">
        <v>788</v>
      </c>
      <c r="G48" s="3" t="n">
        <v>19</v>
      </c>
      <c r="H48" s="3" t="n">
        <v>760</v>
      </c>
      <c r="I48" s="4" t="n">
        <v>1.91</v>
      </c>
      <c r="J48" s="4" t="n">
        <v>286.81</v>
      </c>
      <c r="K48" s="4" t="n">
        <v>482.89</v>
      </c>
      <c r="L48" s="4" t="n">
        <v>25.42</v>
      </c>
      <c r="M48" s="3" t="n">
        <v>25273</v>
      </c>
      <c r="N48" s="4" t="n">
        <v>286.81</v>
      </c>
      <c r="O48" s="4" t="n">
        <v>482.89</v>
      </c>
      <c r="P48" s="4" t="n">
        <v>5819.85</v>
      </c>
    </row>
    <row r="49">
      <c r="A49" s="5" t="n">
        <v>37681</v>
      </c>
      <c r="B49" s="2" t="inlineStr">
        <is>
          <t>2002-2003</t>
        </is>
      </c>
      <c r="C49" s="2" t="inlineStr">
        <is>
          <t>Q4FY03</t>
        </is>
      </c>
      <c r="D49" s="3" t="n">
        <v>818</v>
      </c>
      <c r="E49" s="3" t="n">
        <v>107</v>
      </c>
      <c r="F49" s="3" t="n">
        <v>788</v>
      </c>
      <c r="G49" s="3" t="n">
        <v>20</v>
      </c>
      <c r="H49" s="3" t="n">
        <v>762</v>
      </c>
      <c r="I49" s="4" t="n">
        <v>1.77</v>
      </c>
      <c r="J49" s="4" t="n">
        <v>249.17</v>
      </c>
      <c r="K49" s="4" t="n">
        <v>431.6</v>
      </c>
      <c r="L49" s="4" t="n">
        <v>21.58</v>
      </c>
      <c r="M49" s="3" t="n">
        <v>24378</v>
      </c>
      <c r="N49" s="4" t="n">
        <v>249.17</v>
      </c>
      <c r="O49" s="4" t="n">
        <v>431.6</v>
      </c>
      <c r="P49" s="4" t="n">
        <v>5371.33</v>
      </c>
    </row>
    <row r="50">
      <c r="A50" s="5" t="n">
        <v>37712</v>
      </c>
      <c r="B50" s="2" t="inlineStr">
        <is>
          <t>2003-2004</t>
        </is>
      </c>
      <c r="C50" s="2" t="inlineStr">
        <is>
          <t>Q1FY04</t>
        </is>
      </c>
      <c r="D50" s="3" t="n">
        <v>830</v>
      </c>
      <c r="E50" s="3" t="n">
        <v>78</v>
      </c>
      <c r="F50" s="3" t="n">
        <v>771</v>
      </c>
      <c r="G50" s="3" t="n">
        <v>20</v>
      </c>
      <c r="H50" s="3" t="n">
        <v>738</v>
      </c>
      <c r="I50" s="4" t="n">
        <v>2.07</v>
      </c>
      <c r="J50" s="4" t="n">
        <v>314.48</v>
      </c>
      <c r="K50" s="4" t="n">
        <v>489.71</v>
      </c>
      <c r="L50" s="4" t="n">
        <v>24.49</v>
      </c>
      <c r="M50" s="3" t="n">
        <v>23657</v>
      </c>
      <c r="N50" s="4" t="n">
        <v>314.48</v>
      </c>
      <c r="O50" s="4" t="n">
        <v>489.71</v>
      </c>
      <c r="P50" s="4" t="n">
        <v>5306.3</v>
      </c>
    </row>
    <row r="51">
      <c r="A51" s="5" t="n">
        <v>37742</v>
      </c>
      <c r="B51" s="2" t="inlineStr">
        <is>
          <t>2003-2004</t>
        </is>
      </c>
      <c r="C51" s="2" t="inlineStr">
        <is>
          <t>Q1FY04</t>
        </is>
      </c>
      <c r="D51" s="3" t="n">
        <v>847</v>
      </c>
      <c r="E51" s="3" t="n">
        <v>61</v>
      </c>
      <c r="F51" s="3" t="n">
        <v>769</v>
      </c>
      <c r="G51" s="3" t="n">
        <v>21</v>
      </c>
      <c r="H51" s="3" t="n">
        <v>743</v>
      </c>
      <c r="I51" s="4" t="n">
        <v>2.5</v>
      </c>
      <c r="J51" s="4" t="n">
        <v>440.01</v>
      </c>
      <c r="K51" s="4" t="n">
        <v>546.9</v>
      </c>
      <c r="L51" s="4" t="n">
        <v>26.04</v>
      </c>
      <c r="M51" s="3" t="n">
        <v>21876</v>
      </c>
      <c r="N51" s="4" t="n">
        <v>440.01</v>
      </c>
      <c r="O51" s="4" t="n">
        <v>546.9</v>
      </c>
      <c r="P51" s="4" t="n">
        <v>6120.3</v>
      </c>
    </row>
    <row r="52">
      <c r="A52" s="5" t="n">
        <v>37773</v>
      </c>
      <c r="B52" s="2" t="inlineStr">
        <is>
          <t>2003-2004</t>
        </is>
      </c>
      <c r="C52" s="2" t="inlineStr">
        <is>
          <t>Q1FY04</t>
        </is>
      </c>
      <c r="D52" s="3" t="n">
        <v>853</v>
      </c>
      <c r="E52" s="3" t="n">
        <v>52</v>
      </c>
      <c r="F52" s="3" t="n">
        <v>769</v>
      </c>
      <c r="G52" s="3" t="n">
        <v>21</v>
      </c>
      <c r="H52" s="3" t="n">
        <v>744</v>
      </c>
      <c r="I52" s="4" t="n">
        <v>2.67</v>
      </c>
      <c r="J52" s="4" t="n">
        <v>518.96</v>
      </c>
      <c r="K52" s="4" t="n">
        <v>615.86</v>
      </c>
      <c r="L52" s="4" t="n">
        <v>29.33</v>
      </c>
      <c r="M52" s="3" t="n">
        <v>23066</v>
      </c>
      <c r="N52" s="4" t="n">
        <v>518.96</v>
      </c>
      <c r="O52" s="4" t="n">
        <v>615.86</v>
      </c>
      <c r="P52" s="4" t="n">
        <v>6785.5</v>
      </c>
    </row>
    <row r="53">
      <c r="A53" s="5" t="n">
        <v>37803</v>
      </c>
      <c r="B53" s="2" t="inlineStr">
        <is>
          <t>2003-2004</t>
        </is>
      </c>
      <c r="C53" s="2" t="inlineStr">
        <is>
          <t>Q2FY04</t>
        </is>
      </c>
      <c r="D53" s="3" t="n">
        <v>865</v>
      </c>
      <c r="E53" s="3" t="n">
        <v>44</v>
      </c>
      <c r="F53" s="3" t="n">
        <v>774</v>
      </c>
      <c r="G53" s="3" t="n">
        <v>23</v>
      </c>
      <c r="H53" s="3" t="n">
        <v>755</v>
      </c>
      <c r="I53" s="4" t="n">
        <v>3.2</v>
      </c>
      <c r="J53" s="4" t="n">
        <v>649.0599999999999</v>
      </c>
      <c r="K53" s="4" t="n">
        <v>788.78</v>
      </c>
      <c r="L53" s="4" t="n">
        <v>34.29</v>
      </c>
      <c r="M53" s="3" t="n">
        <v>24649</v>
      </c>
      <c r="N53" s="4" t="n">
        <v>649.0599999999999</v>
      </c>
      <c r="O53" s="4" t="n">
        <v>788.78</v>
      </c>
      <c r="P53" s="4" t="n">
        <v>7191.45</v>
      </c>
    </row>
    <row r="54">
      <c r="A54" s="5" t="n">
        <v>37834</v>
      </c>
      <c r="B54" s="2" t="inlineStr">
        <is>
          <t>2003-2004</t>
        </is>
      </c>
      <c r="C54" s="2" t="inlineStr">
        <is>
          <t>Q2FY04</t>
        </is>
      </c>
      <c r="D54" s="3" t="n">
        <v>873</v>
      </c>
      <c r="E54" s="3" t="n">
        <v>35</v>
      </c>
      <c r="F54" s="3" t="n">
        <v>775</v>
      </c>
      <c r="G54" s="3" t="n">
        <v>20</v>
      </c>
      <c r="H54" s="3" t="n">
        <v>752</v>
      </c>
      <c r="I54" s="4" t="n">
        <v>3.22</v>
      </c>
      <c r="J54" s="4" t="n">
        <v>845.54</v>
      </c>
      <c r="K54" s="4" t="n">
        <v>853.47</v>
      </c>
      <c r="L54" s="4" t="n">
        <v>42.67</v>
      </c>
      <c r="M54" s="3" t="n">
        <v>26505</v>
      </c>
      <c r="N54" s="4" t="n">
        <v>845.54</v>
      </c>
      <c r="O54" s="4" t="n">
        <v>853.47</v>
      </c>
      <c r="P54" s="4" t="n">
        <v>8366.51</v>
      </c>
    </row>
    <row r="55">
      <c r="A55" s="5" t="n">
        <v>37865</v>
      </c>
      <c r="B55" s="2" t="inlineStr">
        <is>
          <t>2003-2004</t>
        </is>
      </c>
      <c r="C55" s="2" t="inlineStr">
        <is>
          <t>Q2FY04</t>
        </is>
      </c>
      <c r="D55" s="3" t="n">
        <v>883</v>
      </c>
      <c r="E55" s="3" t="n">
        <v>27</v>
      </c>
      <c r="F55" s="3" t="n">
        <v>774</v>
      </c>
      <c r="G55" s="3" t="n">
        <v>22</v>
      </c>
      <c r="H55" s="3" t="n">
        <v>761</v>
      </c>
      <c r="I55" s="4" t="n">
        <v>3.46</v>
      </c>
      <c r="J55" s="4" t="n">
        <v>718.48</v>
      </c>
      <c r="K55" s="4" t="n">
        <v>1033.45</v>
      </c>
      <c r="L55" s="4" t="n">
        <v>46.98</v>
      </c>
      <c r="M55" s="3" t="n">
        <v>29852</v>
      </c>
      <c r="N55" s="4" t="n">
        <v>718.48</v>
      </c>
      <c r="O55" s="4" t="n">
        <v>1033.45</v>
      </c>
      <c r="P55" s="4" t="n">
        <v>8634.809999999999</v>
      </c>
    </row>
    <row r="56">
      <c r="A56" s="5" t="n">
        <v>37895</v>
      </c>
      <c r="B56" s="2" t="inlineStr">
        <is>
          <t>2003-2004</t>
        </is>
      </c>
      <c r="C56" s="2" t="inlineStr">
        <is>
          <t>Q3FY04</t>
        </is>
      </c>
      <c r="D56" s="3" t="n">
        <v>887</v>
      </c>
      <c r="E56" s="3" t="n">
        <v>26</v>
      </c>
      <c r="F56" s="3" t="n">
        <v>776</v>
      </c>
      <c r="G56" s="3" t="n">
        <v>23</v>
      </c>
      <c r="H56" s="3" t="n">
        <v>728</v>
      </c>
      <c r="I56" s="4" t="n">
        <v>3.58</v>
      </c>
      <c r="J56" s="4" t="n">
        <v>717.6799999999999</v>
      </c>
      <c r="K56" s="4" t="n">
        <v>1155.95</v>
      </c>
      <c r="L56" s="4" t="n">
        <v>50.26</v>
      </c>
      <c r="M56" s="3" t="n">
        <v>32315</v>
      </c>
      <c r="N56" s="4" t="n">
        <v>717.6799999999999</v>
      </c>
      <c r="O56" s="4" t="n">
        <v>1155.95</v>
      </c>
      <c r="P56" s="4" t="n">
        <v>9267.48</v>
      </c>
    </row>
    <row r="57">
      <c r="A57" s="5" t="n">
        <v>37926</v>
      </c>
      <c r="B57" s="2" t="inlineStr">
        <is>
          <t>2003-2004</t>
        </is>
      </c>
      <c r="C57" s="2" t="inlineStr">
        <is>
          <t>Q3FY04</t>
        </is>
      </c>
      <c r="D57" s="3" t="n">
        <v>891</v>
      </c>
      <c r="E57" s="3" t="n">
        <v>23</v>
      </c>
      <c r="F57" s="3" t="n">
        <v>777</v>
      </c>
      <c r="G57" s="3" t="n">
        <v>20</v>
      </c>
      <c r="H57" s="3" t="n">
        <v>738</v>
      </c>
      <c r="I57" s="4" t="n">
        <v>3.07</v>
      </c>
      <c r="J57" s="4" t="n">
        <v>567.16</v>
      </c>
      <c r="K57" s="4" t="n">
        <v>928.86</v>
      </c>
      <c r="L57" s="4" t="n">
        <v>46.44</v>
      </c>
      <c r="M57" s="3" t="n">
        <v>30304</v>
      </c>
      <c r="N57" s="4" t="n">
        <v>567.16</v>
      </c>
      <c r="O57" s="4" t="n">
        <v>928.86</v>
      </c>
      <c r="P57" s="4" t="n">
        <v>9795.41</v>
      </c>
    </row>
    <row r="58">
      <c r="A58" s="5" t="n">
        <v>37956</v>
      </c>
      <c r="B58" s="2" t="inlineStr">
        <is>
          <t>2003-2004</t>
        </is>
      </c>
      <c r="C58" s="2" t="inlineStr">
        <is>
          <t>Q3FY04</t>
        </is>
      </c>
      <c r="D58" s="3" t="n">
        <v>897</v>
      </c>
      <c r="E58" s="3" t="n">
        <v>23</v>
      </c>
      <c r="F58" s="3" t="n">
        <v>779</v>
      </c>
      <c r="G58" s="3" t="n">
        <v>22</v>
      </c>
      <c r="H58" s="3" t="n">
        <v>754</v>
      </c>
      <c r="I58" s="4" t="n">
        <v>3.79</v>
      </c>
      <c r="J58" s="4" t="n">
        <v>717.54</v>
      </c>
      <c r="K58" s="4" t="n">
        <v>1103.73</v>
      </c>
      <c r="L58" s="4" t="n">
        <v>50.17</v>
      </c>
      <c r="M58" s="3" t="n">
        <v>29112</v>
      </c>
      <c r="N58" s="4" t="n">
        <v>717.54</v>
      </c>
      <c r="O58" s="4" t="n">
        <v>1103.73</v>
      </c>
      <c r="P58" s="4" t="n">
        <v>11670.29</v>
      </c>
    </row>
    <row r="59">
      <c r="A59" s="5" t="n">
        <v>37987</v>
      </c>
      <c r="B59" s="2" t="inlineStr">
        <is>
          <t>2003-2004</t>
        </is>
      </c>
      <c r="C59" s="2" t="inlineStr">
        <is>
          <t>Q4FY04</t>
        </is>
      </c>
      <c r="D59" s="3" t="n">
        <v>904</v>
      </c>
      <c r="E59" s="3" t="n">
        <v>22</v>
      </c>
      <c r="F59" s="3" t="n">
        <v>786</v>
      </c>
      <c r="G59" s="3" t="n">
        <v>21</v>
      </c>
      <c r="H59" s="3" t="n">
        <v>761</v>
      </c>
      <c r="I59" s="4" t="n">
        <v>3.98</v>
      </c>
      <c r="J59" s="4" t="n">
        <v>733.4</v>
      </c>
      <c r="K59" s="4" t="n">
        <v>1342.69</v>
      </c>
      <c r="L59" s="4" t="n">
        <v>63.94</v>
      </c>
      <c r="M59" s="3" t="n">
        <v>33740</v>
      </c>
      <c r="N59" s="4" t="n">
        <v>733.4</v>
      </c>
      <c r="O59" s="4" t="n">
        <v>1342.69</v>
      </c>
      <c r="P59" s="4" t="n">
        <v>11161.5</v>
      </c>
    </row>
    <row r="60">
      <c r="A60" s="5" t="n">
        <v>38018</v>
      </c>
      <c r="B60" s="2" t="inlineStr">
        <is>
          <t>2003-2004</t>
        </is>
      </c>
      <c r="C60" s="2" t="inlineStr">
        <is>
          <t>Q4FY04</t>
        </is>
      </c>
      <c r="D60" s="3" t="n">
        <v>907</v>
      </c>
      <c r="E60" s="3" t="n">
        <v>21</v>
      </c>
      <c r="F60" s="3" t="n">
        <v>788</v>
      </c>
      <c r="G60" s="3" t="n">
        <v>19</v>
      </c>
      <c r="H60" s="3" t="n">
        <v>763</v>
      </c>
      <c r="I60" s="4" t="n">
        <v>3.08</v>
      </c>
      <c r="J60" s="4" t="n">
        <v>464.84</v>
      </c>
      <c r="K60" s="4" t="n">
        <v>1087.18</v>
      </c>
      <c r="L60" s="4" t="n">
        <v>57.22</v>
      </c>
      <c r="M60" s="3" t="n">
        <v>35275</v>
      </c>
      <c r="N60" s="4" t="n">
        <v>464.84</v>
      </c>
      <c r="O60" s="4" t="n">
        <v>1087.18</v>
      </c>
      <c r="P60" s="4" t="n">
        <v>11109.54</v>
      </c>
    </row>
    <row r="61">
      <c r="A61" s="5" t="n">
        <v>38047</v>
      </c>
      <c r="B61" s="2" t="inlineStr">
        <is>
          <t>2003-2004</t>
        </is>
      </c>
      <c r="C61" s="2" t="inlineStr">
        <is>
          <t>Q4FY04</t>
        </is>
      </c>
      <c r="D61" s="3" t="n">
        <v>909</v>
      </c>
      <c r="E61" s="3" t="n">
        <v>18</v>
      </c>
      <c r="F61" s="3" t="n">
        <v>787</v>
      </c>
      <c r="G61" s="3" t="n">
        <v>22</v>
      </c>
      <c r="H61" s="3" t="n">
        <v>769</v>
      </c>
      <c r="I61" s="4" t="n">
        <v>3.18</v>
      </c>
      <c r="J61" s="4" t="n">
        <v>445.86</v>
      </c>
      <c r="K61" s="4" t="n">
        <v>1048.77</v>
      </c>
      <c r="L61" s="4" t="n">
        <v>47.67</v>
      </c>
      <c r="M61" s="3" t="n">
        <v>32981</v>
      </c>
      <c r="N61" s="4" t="n">
        <v>445.86</v>
      </c>
      <c r="O61" s="4" t="n">
        <v>1048.77</v>
      </c>
      <c r="P61" s="4" t="n">
        <v>11209.76</v>
      </c>
    </row>
    <row r="62">
      <c r="A62" s="5" t="n">
        <v>38078</v>
      </c>
      <c r="B62" s="2" t="inlineStr">
        <is>
          <t>2004-2005</t>
        </is>
      </c>
      <c r="C62" s="2" t="inlineStr">
        <is>
          <t>Q1FY05</t>
        </is>
      </c>
      <c r="D62" s="3" t="n">
        <v>918</v>
      </c>
      <c r="E62" s="3" t="n">
        <v>18</v>
      </c>
      <c r="F62" s="3" t="n">
        <v>795</v>
      </c>
      <c r="G62" s="3" t="n">
        <v>20</v>
      </c>
      <c r="H62" s="3" t="n">
        <v>771</v>
      </c>
      <c r="I62" s="4" t="n">
        <v>3.19</v>
      </c>
      <c r="J62" s="4" t="n">
        <v>536.86</v>
      </c>
      <c r="K62" s="4" t="n">
        <v>1009.51</v>
      </c>
      <c r="L62" s="4" t="n">
        <v>50.48</v>
      </c>
      <c r="M62" s="3" t="n">
        <v>31646</v>
      </c>
      <c r="N62" s="4" t="n">
        <v>536.86</v>
      </c>
      <c r="O62" s="4" t="n">
        <v>1009.51</v>
      </c>
      <c r="P62" s="4" t="n">
        <v>11718.28</v>
      </c>
    </row>
    <row r="63">
      <c r="A63" s="5" t="n">
        <v>38108</v>
      </c>
      <c r="B63" s="2" t="inlineStr">
        <is>
          <t>2004-2005</t>
        </is>
      </c>
      <c r="C63" s="2" t="inlineStr">
        <is>
          <t>Q1FY05</t>
        </is>
      </c>
      <c r="D63" s="3" t="n">
        <v>928</v>
      </c>
      <c r="E63" s="3" t="n">
        <v>16</v>
      </c>
      <c r="F63" s="3" t="n">
        <v>804</v>
      </c>
      <c r="G63" s="3" t="n">
        <v>21</v>
      </c>
      <c r="H63" s="3" t="n">
        <v>776</v>
      </c>
      <c r="I63" s="4" t="n">
        <v>3.57</v>
      </c>
      <c r="J63" s="4" t="n">
        <v>546.51</v>
      </c>
      <c r="K63" s="4" t="n">
        <v>989.2</v>
      </c>
      <c r="L63" s="4" t="n">
        <v>47.1</v>
      </c>
      <c r="M63" s="3" t="n">
        <v>27708</v>
      </c>
      <c r="N63" s="4" t="n">
        <v>546.51</v>
      </c>
      <c r="O63" s="4" t="n">
        <v>989.2</v>
      </c>
      <c r="P63" s="4" t="n">
        <v>9504.940000000001</v>
      </c>
    </row>
    <row r="64">
      <c r="A64" s="5" t="n">
        <v>38139</v>
      </c>
      <c r="B64" s="2" t="inlineStr">
        <is>
          <t>2004-2005</t>
        </is>
      </c>
      <c r="C64" s="2" t="inlineStr">
        <is>
          <t>Q1FY05</t>
        </is>
      </c>
      <c r="D64" s="3" t="n">
        <v>940</v>
      </c>
      <c r="E64" s="3" t="n">
        <v>12</v>
      </c>
      <c r="F64" s="3" t="n">
        <v>813</v>
      </c>
      <c r="G64" s="3" t="n">
        <v>22</v>
      </c>
      <c r="H64" s="3" t="n">
        <v>787</v>
      </c>
      <c r="I64" s="4" t="n">
        <v>3.36</v>
      </c>
      <c r="J64" s="4" t="n">
        <v>419.87</v>
      </c>
      <c r="K64" s="4" t="n">
        <v>848.98</v>
      </c>
      <c r="L64" s="4" t="n">
        <v>38.59</v>
      </c>
      <c r="M64" s="3" t="n">
        <v>25343</v>
      </c>
      <c r="N64" s="4" t="n">
        <v>419.87</v>
      </c>
      <c r="O64" s="4" t="n">
        <v>848.98</v>
      </c>
      <c r="P64" s="4" t="n">
        <v>9797</v>
      </c>
    </row>
    <row r="65">
      <c r="A65" s="5" t="n">
        <v>38169</v>
      </c>
      <c r="B65" s="2" t="inlineStr">
        <is>
          <t>2004-2005</t>
        </is>
      </c>
      <c r="C65" s="2" t="inlineStr">
        <is>
          <t>Q2FY05</t>
        </is>
      </c>
      <c r="D65" s="3" t="n">
        <v>929</v>
      </c>
      <c r="E65" s="3" t="n">
        <v>12</v>
      </c>
      <c r="F65" s="3" t="n">
        <v>815</v>
      </c>
      <c r="G65" s="3" t="n">
        <v>22</v>
      </c>
      <c r="H65" s="3" t="n">
        <v>793</v>
      </c>
      <c r="I65" s="4" t="n">
        <v>3.77</v>
      </c>
      <c r="J65" s="4" t="n">
        <v>630.58</v>
      </c>
      <c r="K65" s="4" t="n">
        <v>938.36</v>
      </c>
      <c r="L65" s="4" t="n">
        <v>42.65</v>
      </c>
      <c r="M65" s="3" t="n">
        <v>24956</v>
      </c>
      <c r="N65" s="4" t="n">
        <v>630.58</v>
      </c>
      <c r="O65" s="4" t="n">
        <v>938.36</v>
      </c>
      <c r="P65" s="4" t="n">
        <v>10660.87</v>
      </c>
    </row>
    <row r="66">
      <c r="A66" s="5" t="n">
        <v>38200</v>
      </c>
      <c r="B66" s="2" t="inlineStr">
        <is>
          <t>2004-2005</t>
        </is>
      </c>
      <c r="C66" s="2" t="inlineStr">
        <is>
          <t>Q2FY05</t>
        </is>
      </c>
      <c r="D66" s="3" t="n">
        <v>936</v>
      </c>
      <c r="E66" s="3" t="n">
        <v>9</v>
      </c>
      <c r="F66" s="3" t="n">
        <v>820</v>
      </c>
      <c r="G66" s="3" t="n">
        <v>22</v>
      </c>
      <c r="H66" s="3" t="n">
        <v>799</v>
      </c>
      <c r="I66" s="4" t="n">
        <v>3.58</v>
      </c>
      <c r="J66" s="4" t="n">
        <v>575.4299999999999</v>
      </c>
      <c r="K66" s="4" t="n">
        <v>868.5599999999999</v>
      </c>
      <c r="L66" s="4" t="n">
        <v>39.48</v>
      </c>
      <c r="M66" s="3" t="n">
        <v>24260</v>
      </c>
      <c r="N66" s="4" t="n">
        <v>575.4299999999999</v>
      </c>
      <c r="O66" s="4" t="n">
        <v>868.5599999999999</v>
      </c>
      <c r="P66" s="4" t="n">
        <v>11430.75</v>
      </c>
    </row>
    <row r="67">
      <c r="A67" s="5" t="n">
        <v>38231</v>
      </c>
      <c r="B67" s="2" t="inlineStr">
        <is>
          <t>2004-2005</t>
        </is>
      </c>
      <c r="C67" s="2" t="inlineStr">
        <is>
          <t>Q2FY05</t>
        </is>
      </c>
      <c r="D67" s="3" t="n">
        <v>945</v>
      </c>
      <c r="E67" s="3" t="n">
        <v>7</v>
      </c>
      <c r="F67" s="3" t="n">
        <v>824</v>
      </c>
      <c r="G67" s="3" t="n">
        <v>22</v>
      </c>
      <c r="H67" s="3" t="n">
        <v>809</v>
      </c>
      <c r="I67" s="4" t="n">
        <v>3.67</v>
      </c>
      <c r="J67" s="4" t="n">
        <v>626.66</v>
      </c>
      <c r="K67" s="4" t="n">
        <v>885.08</v>
      </c>
      <c r="L67" s="4" t="n">
        <v>40.23</v>
      </c>
      <c r="M67" s="3" t="n">
        <v>24124</v>
      </c>
      <c r="N67" s="4" t="n">
        <v>626.66</v>
      </c>
      <c r="O67" s="4" t="n">
        <v>885.08</v>
      </c>
      <c r="P67" s="4" t="n">
        <v>12275.5</v>
      </c>
    </row>
    <row r="68">
      <c r="A68" s="5" t="n">
        <v>38261</v>
      </c>
      <c r="B68" s="2" t="inlineStr">
        <is>
          <t>2004-2005</t>
        </is>
      </c>
      <c r="C68" s="2" t="inlineStr">
        <is>
          <t>Q3FY05</t>
        </is>
      </c>
      <c r="D68" s="3" t="n">
        <v>950</v>
      </c>
      <c r="E68" s="3" t="n">
        <v>6</v>
      </c>
      <c r="F68" s="3" t="n">
        <v>828</v>
      </c>
      <c r="G68" s="3" t="n">
        <v>20</v>
      </c>
      <c r="H68" s="3" t="n">
        <v>814</v>
      </c>
      <c r="I68" s="4" t="n">
        <v>2.99</v>
      </c>
      <c r="J68" s="4" t="n">
        <v>472.74</v>
      </c>
      <c r="K68" s="4" t="n">
        <v>756.98</v>
      </c>
      <c r="L68" s="4" t="n">
        <v>37.85</v>
      </c>
      <c r="M68" s="3" t="n">
        <v>25291</v>
      </c>
      <c r="N68" s="4" t="n">
        <v>472.74</v>
      </c>
      <c r="O68" s="4" t="n">
        <v>756.98</v>
      </c>
      <c r="P68" s="4" t="n">
        <v>12538.25</v>
      </c>
    </row>
    <row r="69">
      <c r="A69" s="5" t="n">
        <v>38292</v>
      </c>
      <c r="B69" s="2" t="inlineStr">
        <is>
          <t>2004-2005</t>
        </is>
      </c>
      <c r="C69" s="2" t="inlineStr">
        <is>
          <t>Q3FY05</t>
        </is>
      </c>
      <c r="D69" s="3" t="n">
        <v>954</v>
      </c>
      <c r="E69" s="3" t="n">
        <v>6</v>
      </c>
      <c r="F69" s="3" t="n">
        <v>831</v>
      </c>
      <c r="G69" s="3" t="n">
        <v>20</v>
      </c>
      <c r="H69" s="3" t="n">
        <v>816</v>
      </c>
      <c r="I69" s="4" t="n">
        <v>3.28</v>
      </c>
      <c r="J69" s="4" t="n">
        <v>625.48</v>
      </c>
      <c r="K69" s="4" t="n">
        <v>820.35</v>
      </c>
      <c r="L69" s="4" t="n">
        <v>41.02</v>
      </c>
      <c r="M69" s="3" t="n">
        <v>25013</v>
      </c>
      <c r="N69" s="4" t="n">
        <v>625.48</v>
      </c>
      <c r="O69" s="4" t="n">
        <v>820.35</v>
      </c>
      <c r="P69" s="4" t="n">
        <v>14462.92</v>
      </c>
    </row>
    <row r="70">
      <c r="A70" s="5" t="n">
        <v>38322</v>
      </c>
      <c r="B70" s="2" t="inlineStr">
        <is>
          <t>2004-2005</t>
        </is>
      </c>
      <c r="C70" s="2" t="inlineStr">
        <is>
          <t>Q3FY05</t>
        </is>
      </c>
      <c r="D70" s="3" t="n">
        <v>957</v>
      </c>
      <c r="E70" s="3" t="n">
        <v>6</v>
      </c>
      <c r="F70" s="3" t="n">
        <v>832</v>
      </c>
      <c r="G70" s="3" t="n">
        <v>23</v>
      </c>
      <c r="H70" s="3" t="n">
        <v>821</v>
      </c>
      <c r="I70" s="4" t="n">
        <v>4.75</v>
      </c>
      <c r="J70" s="4" t="n">
        <v>993.26</v>
      </c>
      <c r="K70" s="4" t="n">
        <v>1155.93</v>
      </c>
      <c r="L70" s="4" t="n">
        <v>50.26</v>
      </c>
      <c r="M70" s="3" t="n">
        <v>24339</v>
      </c>
      <c r="N70" s="4" t="n">
        <v>993.26</v>
      </c>
      <c r="O70" s="4" t="n">
        <v>1155.93</v>
      </c>
      <c r="P70" s="4" t="n">
        <v>15791.61</v>
      </c>
    </row>
    <row r="71">
      <c r="A71" s="5" t="n">
        <v>38353</v>
      </c>
      <c r="B71" s="2" t="inlineStr">
        <is>
          <t>2004-2005</t>
        </is>
      </c>
      <c r="C71" s="2" t="inlineStr">
        <is>
          <t>Q4FY05</t>
        </is>
      </c>
      <c r="D71" s="3" t="n">
        <v>958</v>
      </c>
      <c r="E71" s="3" t="n">
        <v>5</v>
      </c>
      <c r="F71" s="3" t="n">
        <v>833</v>
      </c>
      <c r="G71" s="3" t="n">
        <v>19</v>
      </c>
      <c r="H71" s="3" t="n">
        <v>823</v>
      </c>
      <c r="I71" s="4" t="n">
        <v>4.1</v>
      </c>
      <c r="J71" s="4" t="n">
        <v>815.75</v>
      </c>
      <c r="K71" s="4" t="n">
        <v>997.3200000000001</v>
      </c>
      <c r="L71" s="4" t="n">
        <v>52.49</v>
      </c>
      <c r="M71" s="3" t="n">
        <v>24343</v>
      </c>
      <c r="N71" s="4" t="n">
        <v>815.75</v>
      </c>
      <c r="O71" s="4" t="n">
        <v>997.3200000000001</v>
      </c>
      <c r="P71" s="4" t="n">
        <v>15574.44</v>
      </c>
    </row>
    <row r="72">
      <c r="A72" s="5" t="n">
        <v>38384</v>
      </c>
      <c r="B72" s="2" t="inlineStr">
        <is>
          <t>2004-2005</t>
        </is>
      </c>
      <c r="C72" s="2" t="inlineStr">
        <is>
          <t>Q4FY05</t>
        </is>
      </c>
      <c r="D72" s="3" t="n">
        <v>964</v>
      </c>
      <c r="E72" s="3" t="n">
        <v>4</v>
      </c>
      <c r="F72" s="3" t="n">
        <v>837</v>
      </c>
      <c r="G72" s="3" t="n">
        <v>20</v>
      </c>
      <c r="H72" s="3" t="n">
        <v>835</v>
      </c>
      <c r="I72" s="4" t="n">
        <v>4.25</v>
      </c>
      <c r="J72" s="4" t="n">
        <v>896.65</v>
      </c>
      <c r="K72" s="4" t="n">
        <v>999.89</v>
      </c>
      <c r="L72" s="4" t="n">
        <v>49.99</v>
      </c>
      <c r="M72" s="3" t="n">
        <v>23551</v>
      </c>
      <c r="N72" s="4" t="n">
        <v>896.65</v>
      </c>
      <c r="O72" s="4" t="n">
        <v>999.89</v>
      </c>
      <c r="P72" s="4" t="n">
        <v>16145.97</v>
      </c>
    </row>
    <row r="73">
      <c r="A73" s="5" t="n">
        <v>38412</v>
      </c>
      <c r="B73" s="2" t="inlineStr">
        <is>
          <t>2004-2005</t>
        </is>
      </c>
      <c r="C73" s="2" t="inlineStr">
        <is>
          <t>Q4FY05</t>
        </is>
      </c>
      <c r="D73" s="3" t="n">
        <v>970</v>
      </c>
      <c r="E73" s="3" t="n">
        <v>1</v>
      </c>
      <c r="F73" s="3" t="n">
        <v>839</v>
      </c>
      <c r="G73" s="3" t="n">
        <v>22</v>
      </c>
      <c r="H73" s="3" t="n">
        <v>870</v>
      </c>
      <c r="I73" s="4" t="n">
        <v>4.59</v>
      </c>
      <c r="J73" s="4" t="n">
        <v>837.05</v>
      </c>
      <c r="K73" s="4" t="n">
        <v>1130.55</v>
      </c>
      <c r="L73" s="4" t="n">
        <v>51.39</v>
      </c>
      <c r="M73" s="3" t="n">
        <v>24626</v>
      </c>
      <c r="N73" s="4" t="n">
        <v>837.05</v>
      </c>
      <c r="O73" s="4" t="n">
        <v>1130.55</v>
      </c>
      <c r="P73" s="4" t="n">
        <v>15855.85</v>
      </c>
    </row>
    <row r="74">
      <c r="A74" s="5" t="n">
        <v>38443</v>
      </c>
      <c r="B74" s="2" t="inlineStr">
        <is>
          <t>2005-2006</t>
        </is>
      </c>
      <c r="C74" s="2" t="inlineStr">
        <is>
          <t>Q1FY06</t>
        </is>
      </c>
      <c r="D74" s="3" t="n">
        <v>973</v>
      </c>
      <c r="E74" s="3" t="n">
        <v>1</v>
      </c>
      <c r="F74" s="3" t="n">
        <v>836</v>
      </c>
      <c r="G74" s="3" t="n">
        <v>20</v>
      </c>
      <c r="H74" s="3" t="n">
        <v>952</v>
      </c>
      <c r="I74" s="4" t="n">
        <v>3.67</v>
      </c>
      <c r="J74" s="4" t="n">
        <v>512.65</v>
      </c>
      <c r="K74" s="4" t="n">
        <v>827.1799999999999</v>
      </c>
      <c r="L74" s="4" t="n">
        <v>41.36</v>
      </c>
      <c r="M74" s="3" t="n">
        <v>22527</v>
      </c>
      <c r="N74" s="4" t="n">
        <v>512.65</v>
      </c>
      <c r="O74" s="4" t="n">
        <v>827.1799999999999</v>
      </c>
      <c r="P74" s="4" t="n">
        <v>15179.08</v>
      </c>
    </row>
    <row r="75">
      <c r="A75" s="5" t="n">
        <v>38473</v>
      </c>
      <c r="B75" s="2" t="inlineStr">
        <is>
          <t>2005-2006</t>
        </is>
      </c>
      <c r="C75" s="2" t="inlineStr">
        <is>
          <t>Q1FY06</t>
        </is>
      </c>
      <c r="D75" s="3" t="n">
        <v>977</v>
      </c>
      <c r="E75" s="3" t="n">
        <v>1</v>
      </c>
      <c r="F75" s="3" t="n">
        <v>842</v>
      </c>
      <c r="G75" s="3" t="n">
        <v>22</v>
      </c>
      <c r="H75" s="3" t="n">
        <v>875</v>
      </c>
      <c r="I75" s="4" t="n">
        <v>4.12</v>
      </c>
      <c r="J75" s="4" t="n">
        <v>565.16</v>
      </c>
      <c r="K75" s="4" t="n">
        <v>868.02</v>
      </c>
      <c r="L75" s="4" t="n">
        <v>39.46</v>
      </c>
      <c r="M75" s="3" t="n">
        <v>21020</v>
      </c>
      <c r="N75" s="4" t="n">
        <v>565.16</v>
      </c>
      <c r="O75" s="4" t="n">
        <v>868.02</v>
      </c>
      <c r="P75" s="4" t="n">
        <v>16549.95</v>
      </c>
    </row>
    <row r="76">
      <c r="A76" s="5" t="n">
        <v>38504</v>
      </c>
      <c r="B76" s="2" t="inlineStr">
        <is>
          <t>2005-2006</t>
        </is>
      </c>
      <c r="C76" s="2" t="inlineStr">
        <is>
          <t>Q1FY06</t>
        </is>
      </c>
      <c r="D76" s="3" t="n">
        <v>987</v>
      </c>
      <c r="E76" s="3" t="n">
        <v>1</v>
      </c>
      <c r="F76" s="3" t="n">
        <v>854</v>
      </c>
      <c r="G76" s="3" t="n">
        <v>23</v>
      </c>
      <c r="H76" s="3" t="n">
        <v>861</v>
      </c>
      <c r="I76" s="4" t="n">
        <v>4.77</v>
      </c>
      <c r="J76" s="4" t="n">
        <v>704.85</v>
      </c>
      <c r="K76" s="4" t="n">
        <v>1113.97</v>
      </c>
      <c r="L76" s="4" t="n">
        <v>48.43</v>
      </c>
      <c r="M76" s="3" t="n">
        <v>23374</v>
      </c>
      <c r="N76" s="4" t="n">
        <v>704.85</v>
      </c>
      <c r="O76" s="4" t="n">
        <v>1113.97</v>
      </c>
      <c r="P76" s="4" t="n">
        <v>17275.02</v>
      </c>
    </row>
    <row r="77">
      <c r="A77" s="5" t="n">
        <v>38534</v>
      </c>
      <c r="B77" s="2" t="inlineStr">
        <is>
          <t>2005-2006</t>
        </is>
      </c>
      <c r="C77" s="2" t="inlineStr">
        <is>
          <t>Q2FY06</t>
        </is>
      </c>
      <c r="D77" s="3" t="n">
        <v>999</v>
      </c>
      <c r="E77" s="3" t="n">
        <v>1</v>
      </c>
      <c r="F77" s="3" t="n">
        <v>868</v>
      </c>
      <c r="G77" s="3" t="n">
        <v>20</v>
      </c>
      <c r="H77" s="3" t="n">
        <v>995</v>
      </c>
      <c r="I77" s="4" t="n">
        <v>5.03</v>
      </c>
      <c r="J77" s="4" t="n">
        <v>841.34</v>
      </c>
      <c r="K77" s="4" t="n">
        <v>1230.08</v>
      </c>
      <c r="L77" s="4" t="n">
        <v>61.5</v>
      </c>
      <c r="M77" s="3" t="n">
        <v>24449</v>
      </c>
      <c r="N77" s="4" t="n">
        <v>841.34</v>
      </c>
      <c r="O77" s="4" t="n">
        <v>1230.08</v>
      </c>
      <c r="P77" s="4" t="n">
        <v>18487.4</v>
      </c>
    </row>
    <row r="78">
      <c r="A78" s="5" t="n">
        <v>38565</v>
      </c>
      <c r="B78" s="2" t="inlineStr">
        <is>
          <t>2005-2006</t>
        </is>
      </c>
      <c r="C78" s="2" t="inlineStr">
        <is>
          <t>Q2FY06</t>
        </is>
      </c>
      <c r="D78" s="3" t="n">
        <v>1006</v>
      </c>
      <c r="E78" s="3" t="n">
        <v>1</v>
      </c>
      <c r="F78" s="3" t="n">
        <v>875</v>
      </c>
      <c r="G78" s="3" t="n">
        <v>22</v>
      </c>
      <c r="H78" s="3" t="n">
        <v>887</v>
      </c>
      <c r="I78" s="4" t="n">
        <v>5.7</v>
      </c>
      <c r="J78" s="4" t="n">
        <v>1007.17</v>
      </c>
      <c r="K78" s="4" t="n">
        <v>1457.31</v>
      </c>
      <c r="L78" s="4" t="n">
        <v>66.23999999999999</v>
      </c>
      <c r="M78" s="3" t="n">
        <v>25548</v>
      </c>
      <c r="N78" s="4" t="n">
        <v>1007.17</v>
      </c>
      <c r="O78" s="4" t="n">
        <v>1457.31</v>
      </c>
      <c r="P78" s="4" t="n">
        <v>19574.91</v>
      </c>
    </row>
    <row r="79">
      <c r="A79" s="5" t="n">
        <v>38596</v>
      </c>
      <c r="B79" s="2" t="inlineStr">
        <is>
          <t>2005-2006</t>
        </is>
      </c>
      <c r="C79" s="2" t="inlineStr">
        <is>
          <t>Q2FY06</t>
        </is>
      </c>
      <c r="D79" s="3" t="n">
        <v>1016</v>
      </c>
      <c r="E79" s="3" t="n">
        <v>1</v>
      </c>
      <c r="F79" s="3" t="n">
        <v>883</v>
      </c>
      <c r="G79" s="3" t="n">
        <v>21</v>
      </c>
      <c r="H79" s="3" t="n">
        <v>899</v>
      </c>
      <c r="I79" s="4" t="n">
        <v>5.76</v>
      </c>
      <c r="J79" s="4" t="n">
        <v>919.96</v>
      </c>
      <c r="K79" s="4" t="n">
        <v>1453.93</v>
      </c>
      <c r="L79" s="4" t="n">
        <v>69.23</v>
      </c>
      <c r="M79" s="3" t="n">
        <v>25229</v>
      </c>
      <c r="N79" s="4" t="n">
        <v>919.96</v>
      </c>
      <c r="O79" s="4" t="n">
        <v>1453.93</v>
      </c>
      <c r="P79" s="4" t="n">
        <v>20982.63</v>
      </c>
    </row>
    <row r="80">
      <c r="A80" s="5" t="n">
        <v>38626</v>
      </c>
      <c r="B80" s="2" t="inlineStr">
        <is>
          <t>2005-2006</t>
        </is>
      </c>
      <c r="C80" s="2" t="inlineStr">
        <is>
          <t>Q3FY06</t>
        </is>
      </c>
      <c r="D80" s="3" t="n">
        <v>1019</v>
      </c>
      <c r="E80" s="3" t="n">
        <v>1</v>
      </c>
      <c r="F80" s="3" t="n">
        <v>881</v>
      </c>
      <c r="G80" s="3" t="n">
        <v>20</v>
      </c>
      <c r="H80" s="3" t="n">
        <v>885</v>
      </c>
      <c r="I80" s="4" t="n">
        <v>4.63</v>
      </c>
      <c r="J80" s="4" t="n">
        <v>576.7</v>
      </c>
      <c r="K80" s="4" t="n">
        <v>1208.1</v>
      </c>
      <c r="L80" s="4" t="n">
        <v>60.4</v>
      </c>
      <c r="M80" s="3" t="n">
        <v>26077</v>
      </c>
      <c r="N80" s="4" t="n">
        <v>576.7</v>
      </c>
      <c r="O80" s="4" t="n">
        <v>1208.1</v>
      </c>
      <c r="P80" s="4" t="n">
        <v>19276.45</v>
      </c>
    </row>
    <row r="81">
      <c r="A81" s="5" t="n">
        <v>38657</v>
      </c>
      <c r="B81" s="2" t="inlineStr">
        <is>
          <t>2005-2006</t>
        </is>
      </c>
      <c r="C81" s="2" t="inlineStr">
        <is>
          <t>Q3FY06</t>
        </is>
      </c>
      <c r="D81" s="3" t="n">
        <v>1025</v>
      </c>
      <c r="E81" s="3" t="n"/>
      <c r="F81" s="3" t="n">
        <v>886</v>
      </c>
      <c r="G81" s="3" t="n">
        <v>20</v>
      </c>
      <c r="H81" s="3" t="n">
        <v>922</v>
      </c>
      <c r="I81" s="4" t="n">
        <v>4.34</v>
      </c>
      <c r="J81" s="4" t="n">
        <v>538.7</v>
      </c>
      <c r="K81" s="4" t="n">
        <v>1095.78</v>
      </c>
      <c r="L81" s="4" t="n">
        <v>54.79</v>
      </c>
      <c r="M81" s="3" t="n">
        <v>25258</v>
      </c>
      <c r="N81" s="4" t="n">
        <v>538.7</v>
      </c>
      <c r="O81" s="4" t="n">
        <v>1095.78</v>
      </c>
      <c r="P81" s="4" t="n">
        <v>21668.23</v>
      </c>
    </row>
    <row r="82">
      <c r="A82" s="5" t="n">
        <v>38687</v>
      </c>
      <c r="B82" s="2" t="inlineStr">
        <is>
          <t>2005-2006</t>
        </is>
      </c>
      <c r="C82" s="2" t="inlineStr">
        <is>
          <t>Q3FY06</t>
        </is>
      </c>
      <c r="D82" s="3" t="n">
        <v>1036</v>
      </c>
      <c r="E82" s="3" t="n"/>
      <c r="F82" s="3" t="n">
        <v>896</v>
      </c>
      <c r="G82" s="3" t="n">
        <v>22</v>
      </c>
      <c r="H82" s="3" t="n">
        <v>907</v>
      </c>
      <c r="I82" s="4" t="n">
        <v>5.53</v>
      </c>
      <c r="J82" s="4" t="n">
        <v>636.99</v>
      </c>
      <c r="K82" s="4" t="n">
        <v>1499.08</v>
      </c>
      <c r="L82" s="4" t="n">
        <v>68.14</v>
      </c>
      <c r="M82" s="3" t="n">
        <v>27120</v>
      </c>
      <c r="N82" s="4" t="n">
        <v>636.99</v>
      </c>
      <c r="O82" s="4" t="n">
        <v>1499.08</v>
      </c>
      <c r="P82" s="4" t="n">
        <v>23223.92</v>
      </c>
    </row>
    <row r="83">
      <c r="A83" s="5" t="n">
        <v>38718</v>
      </c>
      <c r="B83" s="2" t="inlineStr">
        <is>
          <t>2005-2006</t>
        </is>
      </c>
      <c r="C83" s="2" t="inlineStr">
        <is>
          <t>Q4FY06</t>
        </is>
      </c>
      <c r="D83" s="3" t="n">
        <v>1043</v>
      </c>
      <c r="E83" s="3" t="n"/>
      <c r="F83" s="3" t="n">
        <v>903</v>
      </c>
      <c r="G83" s="3" t="n">
        <v>20</v>
      </c>
      <c r="H83" s="3" t="n">
        <v>910</v>
      </c>
      <c r="I83" s="4" t="n">
        <v>5.54</v>
      </c>
      <c r="J83" s="4" t="n">
        <v>667.17</v>
      </c>
      <c r="K83" s="4" t="n">
        <v>1494.42</v>
      </c>
      <c r="L83" s="4" t="n">
        <v>74.72</v>
      </c>
      <c r="M83" s="3" t="n">
        <v>26997</v>
      </c>
      <c r="N83" s="4" t="n">
        <v>667.17</v>
      </c>
      <c r="O83" s="4" t="n">
        <v>1494.42</v>
      </c>
      <c r="P83" s="4" t="n">
        <v>24343.95</v>
      </c>
    </row>
    <row r="84">
      <c r="A84" s="5" t="n">
        <v>38749</v>
      </c>
      <c r="B84" s="2" t="inlineStr">
        <is>
          <t>2005-2006</t>
        </is>
      </c>
      <c r="C84" s="2" t="inlineStr">
        <is>
          <t>Q4FY06</t>
        </is>
      </c>
      <c r="D84" s="3" t="n">
        <v>1051</v>
      </c>
      <c r="E84" s="3" t="n"/>
      <c r="F84" s="3" t="n">
        <v>911</v>
      </c>
      <c r="G84" s="3" t="n">
        <v>19</v>
      </c>
      <c r="H84" s="3" t="n">
        <v>946</v>
      </c>
      <c r="I84" s="4" t="n">
        <v>5.21</v>
      </c>
      <c r="J84" s="4" t="n">
        <v>616.29</v>
      </c>
      <c r="K84" s="4" t="n">
        <v>1353.74</v>
      </c>
      <c r="L84" s="4" t="n">
        <v>71.25</v>
      </c>
      <c r="M84" s="3" t="n">
        <v>25976</v>
      </c>
      <c r="N84" s="4" t="n">
        <v>616.29</v>
      </c>
      <c r="O84" s="4" t="n">
        <v>1353.74</v>
      </c>
      <c r="P84" s="4" t="n">
        <v>25120.83</v>
      </c>
    </row>
    <row r="85">
      <c r="A85" s="5" t="n">
        <v>38777</v>
      </c>
      <c r="B85" s="2" t="inlineStr">
        <is>
          <t>2005-2006</t>
        </is>
      </c>
      <c r="C85" s="2" t="inlineStr">
        <is>
          <t>Q4FY06</t>
        </is>
      </c>
      <c r="D85" s="3" t="n">
        <v>1069</v>
      </c>
      <c r="E85" s="3" t="n"/>
      <c r="F85" s="3" t="n">
        <v>929</v>
      </c>
      <c r="G85" s="3" t="n">
        <v>22</v>
      </c>
      <c r="H85" s="3" t="n">
        <v>956</v>
      </c>
      <c r="I85" s="4" t="n">
        <v>6.58</v>
      </c>
      <c r="J85" s="4" t="n">
        <v>857.88</v>
      </c>
      <c r="K85" s="4" t="n">
        <v>2093.95</v>
      </c>
      <c r="L85" s="4" t="n">
        <v>95.18000000000001</v>
      </c>
      <c r="M85" s="3" t="n">
        <v>31832</v>
      </c>
      <c r="N85" s="4" t="n">
        <v>857.88</v>
      </c>
      <c r="O85" s="4" t="n">
        <v>2093.95</v>
      </c>
      <c r="P85" s="4" t="n">
        <v>28132.01</v>
      </c>
    </row>
    <row r="86">
      <c r="A86" s="5" t="n">
        <v>38808</v>
      </c>
      <c r="B86" s="2" t="inlineStr">
        <is>
          <t>2006-2007</t>
        </is>
      </c>
      <c r="C86" s="2" t="inlineStr">
        <is>
          <t>Q1FY07</t>
        </is>
      </c>
      <c r="D86" s="3" t="n">
        <v>1084</v>
      </c>
      <c r="E86" s="3" t="n"/>
      <c r="F86" s="3" t="n">
        <v>944</v>
      </c>
      <c r="G86" s="3" t="n">
        <v>18</v>
      </c>
      <c r="H86" s="3" t="n">
        <v>967</v>
      </c>
      <c r="I86" s="4" t="n">
        <v>5.67</v>
      </c>
      <c r="J86" s="4" t="n">
        <v>728.92</v>
      </c>
      <c r="K86" s="4" t="n">
        <v>1773.72</v>
      </c>
      <c r="L86" s="4" t="n">
        <v>98.54000000000001</v>
      </c>
      <c r="M86" s="3" t="n">
        <v>31256</v>
      </c>
      <c r="N86" s="4" t="n">
        <v>728.92</v>
      </c>
      <c r="O86" s="4" t="n">
        <v>1773.72</v>
      </c>
      <c r="P86" s="4" t="n">
        <v>29902</v>
      </c>
    </row>
    <row r="87">
      <c r="A87" s="5" t="n">
        <v>38838</v>
      </c>
      <c r="B87" s="2" t="inlineStr">
        <is>
          <t>2006-2007</t>
        </is>
      </c>
      <c r="C87" s="2" t="inlineStr">
        <is>
          <t>Q1FY07</t>
        </is>
      </c>
      <c r="D87" s="3" t="n">
        <v>1093</v>
      </c>
      <c r="E87" s="3" t="n"/>
      <c r="F87" s="3" t="n">
        <v>952</v>
      </c>
      <c r="G87" s="3" t="n">
        <v>22</v>
      </c>
      <c r="H87" s="3" t="n">
        <v>972</v>
      </c>
      <c r="I87" s="4" t="n">
        <v>6.93</v>
      </c>
      <c r="J87" s="4" t="n">
        <v>953.71</v>
      </c>
      <c r="K87" s="4" t="n">
        <v>2014.09</v>
      </c>
      <c r="L87" s="4" t="n">
        <v>91.55</v>
      </c>
      <c r="M87" s="3" t="n">
        <v>29022</v>
      </c>
      <c r="N87" s="4" t="n">
        <v>953.71</v>
      </c>
      <c r="O87" s="4" t="n">
        <v>2014.09</v>
      </c>
      <c r="P87" s="4" t="n">
        <v>26126.39</v>
      </c>
    </row>
    <row r="88">
      <c r="A88" s="5" t="n">
        <v>38869</v>
      </c>
      <c r="B88" s="2" t="inlineStr">
        <is>
          <t>2006-2007</t>
        </is>
      </c>
      <c r="C88" s="2" t="inlineStr">
        <is>
          <t>Q1FY07</t>
        </is>
      </c>
      <c r="D88" s="3" t="n">
        <v>1099</v>
      </c>
      <c r="E88" s="3" t="n"/>
      <c r="F88" s="3" t="n">
        <v>962</v>
      </c>
      <c r="G88" s="3" t="n">
        <v>23</v>
      </c>
      <c r="H88" s="3" t="n">
        <v>1119</v>
      </c>
      <c r="I88" s="4" t="n">
        <v>6.67</v>
      </c>
      <c r="J88" s="4" t="n">
        <v>667.48</v>
      </c>
      <c r="K88" s="4" t="n">
        <v>1510.5</v>
      </c>
      <c r="L88" s="4" t="n">
        <v>65.67</v>
      </c>
      <c r="M88" s="3" t="n">
        <v>22651</v>
      </c>
      <c r="N88" s="4" t="n">
        <v>667.48</v>
      </c>
      <c r="O88" s="4" t="n">
        <v>1510.5</v>
      </c>
      <c r="P88" s="4" t="n">
        <v>25246.59</v>
      </c>
    </row>
    <row r="89">
      <c r="A89" s="5" t="n">
        <v>38899</v>
      </c>
      <c r="B89" s="2" t="inlineStr">
        <is>
          <t>2006-2007</t>
        </is>
      </c>
      <c r="C89" s="2" t="inlineStr">
        <is>
          <t>Q2FY07</t>
        </is>
      </c>
      <c r="D89" s="3" t="n">
        <v>1095</v>
      </c>
      <c r="E89" s="3" t="n"/>
      <c r="F89" s="3" t="n">
        <v>956</v>
      </c>
      <c r="G89" s="3" t="n">
        <v>21</v>
      </c>
      <c r="H89" s="3" t="n">
        <v>964</v>
      </c>
      <c r="I89" s="4" t="n">
        <v>5.37</v>
      </c>
      <c r="J89" s="4" t="n">
        <v>461.46</v>
      </c>
      <c r="K89" s="4" t="n">
        <v>1186.98</v>
      </c>
      <c r="L89" s="4" t="n">
        <v>56.52</v>
      </c>
      <c r="M89" s="3" t="n">
        <v>22105</v>
      </c>
      <c r="N89" s="4" t="n">
        <v>461.46</v>
      </c>
      <c r="O89" s="4" t="n">
        <v>1186.98</v>
      </c>
      <c r="P89" s="4" t="n">
        <v>25142.61</v>
      </c>
    </row>
    <row r="90">
      <c r="A90" s="5" t="n">
        <v>38930</v>
      </c>
      <c r="B90" s="2" t="inlineStr">
        <is>
          <t>2006-2007</t>
        </is>
      </c>
      <c r="C90" s="2" t="inlineStr">
        <is>
          <t>Q2FY07</t>
        </is>
      </c>
      <c r="D90" s="3" t="n">
        <v>1099</v>
      </c>
      <c r="E90" s="3" t="n"/>
      <c r="F90" s="3" t="n">
        <v>958</v>
      </c>
      <c r="G90" s="3" t="n">
        <v>22</v>
      </c>
      <c r="H90" s="3" t="n">
        <v>1069</v>
      </c>
      <c r="I90" s="4" t="n">
        <v>6.31</v>
      </c>
      <c r="J90" s="4" t="n">
        <v>564.42</v>
      </c>
      <c r="K90" s="4" t="n">
        <v>1307.96</v>
      </c>
      <c r="L90" s="4" t="n">
        <v>59.45</v>
      </c>
      <c r="M90" s="3" t="n">
        <v>20735</v>
      </c>
      <c r="N90" s="4" t="n">
        <v>564.42</v>
      </c>
      <c r="O90" s="4" t="n">
        <v>1307.96</v>
      </c>
      <c r="P90" s="4" t="n">
        <v>27774.01</v>
      </c>
    </row>
    <row r="91">
      <c r="A91" s="5" t="n">
        <v>38961</v>
      </c>
      <c r="B91" s="2" t="inlineStr">
        <is>
          <t>2006-2007</t>
        </is>
      </c>
      <c r="C91" s="2" t="inlineStr">
        <is>
          <t>Q2FY07</t>
        </is>
      </c>
      <c r="D91" s="3" t="n">
        <v>1116</v>
      </c>
      <c r="E91" s="3" t="n"/>
      <c r="F91" s="3" t="n">
        <v>969</v>
      </c>
      <c r="G91" s="3" t="n">
        <v>21</v>
      </c>
      <c r="H91" s="3" t="n">
        <v>998</v>
      </c>
      <c r="I91" s="4" t="n">
        <v>6.48</v>
      </c>
      <c r="J91" s="4" t="n">
        <v>643.85</v>
      </c>
      <c r="K91" s="4" t="n">
        <v>1443.39</v>
      </c>
      <c r="L91" s="4" t="n">
        <v>68.73</v>
      </c>
      <c r="M91" s="3" t="n">
        <v>22278</v>
      </c>
      <c r="N91" s="4" t="n">
        <v>643.85</v>
      </c>
      <c r="O91" s="4" t="n">
        <v>1443.39</v>
      </c>
      <c r="P91" s="4" t="n">
        <v>29941.32</v>
      </c>
    </row>
    <row r="92">
      <c r="A92" s="5" t="n">
        <v>38991</v>
      </c>
      <c r="B92" s="2" t="inlineStr">
        <is>
          <t>2006-2007</t>
        </is>
      </c>
      <c r="C92" s="2" t="inlineStr">
        <is>
          <t>Q3FY07</t>
        </is>
      </c>
      <c r="D92" s="3" t="n">
        <v>1127</v>
      </c>
      <c r="E92" s="3" t="n"/>
      <c r="F92" s="3" t="n">
        <v>981</v>
      </c>
      <c r="G92" s="3" t="n">
        <v>20</v>
      </c>
      <c r="H92" s="3" t="n">
        <v>1006</v>
      </c>
      <c r="I92" s="4" t="n">
        <v>5.79</v>
      </c>
      <c r="J92" s="4" t="n">
        <v>608.23</v>
      </c>
      <c r="K92" s="4" t="n">
        <v>1383.82</v>
      </c>
      <c r="L92" s="4" t="n">
        <v>69.19</v>
      </c>
      <c r="M92" s="3" t="n">
        <v>23892</v>
      </c>
      <c r="N92" s="4" t="n">
        <v>608.23</v>
      </c>
      <c r="O92" s="4" t="n">
        <v>1383.82</v>
      </c>
      <c r="P92" s="4" t="n">
        <v>31383.19</v>
      </c>
    </row>
    <row r="93">
      <c r="A93" s="5" t="n">
        <v>39022</v>
      </c>
      <c r="B93" s="2" t="inlineStr">
        <is>
          <t>2006-2007</t>
        </is>
      </c>
      <c r="C93" s="2" t="inlineStr">
        <is>
          <t>Q3FY07</t>
        </is>
      </c>
      <c r="D93" s="3" t="n">
        <v>1137</v>
      </c>
      <c r="E93" s="3" t="n"/>
      <c r="F93" s="3" t="n">
        <v>991</v>
      </c>
      <c r="G93" s="3" t="n">
        <v>22</v>
      </c>
      <c r="H93" s="3" t="n">
        <v>1056</v>
      </c>
      <c r="I93" s="4" t="n">
        <v>7.47</v>
      </c>
      <c r="J93" s="4" t="n">
        <v>730.71</v>
      </c>
      <c r="K93" s="4" t="n">
        <v>1898.63</v>
      </c>
      <c r="L93" s="4" t="n">
        <v>86.3</v>
      </c>
      <c r="M93" s="3" t="n">
        <v>25419</v>
      </c>
      <c r="N93" s="4" t="n">
        <v>730.71</v>
      </c>
      <c r="O93" s="4" t="n">
        <v>1898.63</v>
      </c>
      <c r="P93" s="4" t="n">
        <v>33736.52</v>
      </c>
    </row>
    <row r="94">
      <c r="A94" s="5" t="n">
        <v>39052</v>
      </c>
      <c r="B94" s="2" t="inlineStr">
        <is>
          <t>2006-2007</t>
        </is>
      </c>
      <c r="C94" s="2" t="inlineStr">
        <is>
          <t>Q3FY07</t>
        </is>
      </c>
      <c r="D94" s="3" t="n">
        <v>1158</v>
      </c>
      <c r="E94" s="3" t="n"/>
      <c r="F94" s="3" t="n">
        <v>1016</v>
      </c>
      <c r="G94" s="3" t="n">
        <v>20</v>
      </c>
      <c r="H94" s="3" t="n">
        <v>1044</v>
      </c>
      <c r="I94" s="4" t="n">
        <v>6.66</v>
      </c>
      <c r="J94" s="4" t="n">
        <v>585.8099999999999</v>
      </c>
      <c r="K94" s="4" t="n">
        <v>1701.05</v>
      </c>
      <c r="L94" s="4" t="n">
        <v>85.05</v>
      </c>
      <c r="M94" s="3" t="n">
        <v>25545</v>
      </c>
      <c r="N94" s="4" t="n">
        <v>585.8099999999999</v>
      </c>
      <c r="O94" s="4" t="n">
        <v>1701.05</v>
      </c>
      <c r="P94" s="4" t="n">
        <v>34262.36</v>
      </c>
    </row>
    <row r="95">
      <c r="A95" s="5" t="n">
        <v>39083</v>
      </c>
      <c r="B95" s="2" t="inlineStr">
        <is>
          <t>2006-2007</t>
        </is>
      </c>
      <c r="C95" s="2" t="inlineStr">
        <is>
          <t>Q4FY07</t>
        </is>
      </c>
      <c r="D95" s="3" t="n">
        <v>1185</v>
      </c>
      <c r="E95" s="3" t="n"/>
      <c r="F95" s="3" t="n">
        <v>1040</v>
      </c>
      <c r="G95" s="3" t="n">
        <v>20</v>
      </c>
      <c r="H95" s="3" t="n">
        <v>1084</v>
      </c>
      <c r="I95" s="4" t="n">
        <v>6.99</v>
      </c>
      <c r="J95" s="4" t="n">
        <v>883.54</v>
      </c>
      <c r="K95" s="4" t="n">
        <v>1751.47</v>
      </c>
      <c r="L95" s="4" t="n">
        <v>87.56999999999999</v>
      </c>
      <c r="M95" s="3" t="n">
        <v>25066</v>
      </c>
      <c r="N95" s="4" t="n">
        <v>883.54</v>
      </c>
      <c r="O95" s="4" t="n">
        <v>1751.47</v>
      </c>
      <c r="P95" s="4" t="n">
        <v>35714.87</v>
      </c>
    </row>
    <row r="96">
      <c r="A96" s="5" t="n">
        <v>39114</v>
      </c>
      <c r="B96" s="2" t="inlineStr">
        <is>
          <t>2006-2007</t>
        </is>
      </c>
      <c r="C96" s="2" t="inlineStr">
        <is>
          <t>Q4FY07</t>
        </is>
      </c>
      <c r="D96" s="3" t="n">
        <v>1208</v>
      </c>
      <c r="E96" s="3" t="n"/>
      <c r="F96" s="3" t="n">
        <v>1063</v>
      </c>
      <c r="G96" s="3" t="n">
        <v>19</v>
      </c>
      <c r="H96" s="3" t="n">
        <v>1086</v>
      </c>
      <c r="I96" s="4" t="n">
        <v>7.02</v>
      </c>
      <c r="J96" s="4" t="n">
        <v>898.0700000000001</v>
      </c>
      <c r="K96" s="4" t="n">
        <v>1801.7</v>
      </c>
      <c r="L96" s="4" t="n">
        <v>94.83</v>
      </c>
      <c r="M96" s="3" t="n">
        <v>25665</v>
      </c>
      <c r="N96" s="4" t="n">
        <v>898.0700000000001</v>
      </c>
      <c r="O96" s="4" t="n">
        <v>1801.7</v>
      </c>
      <c r="P96" s="4" t="n">
        <v>32969.31</v>
      </c>
    </row>
    <row r="97">
      <c r="A97" s="5" t="n">
        <v>39142</v>
      </c>
      <c r="B97" s="2" t="inlineStr">
        <is>
          <t>2006-2007</t>
        </is>
      </c>
      <c r="C97" s="2" t="inlineStr">
        <is>
          <t>Q4FY07</t>
        </is>
      </c>
      <c r="D97" s="3" t="n">
        <v>1228</v>
      </c>
      <c r="E97" s="3" t="n"/>
      <c r="F97" s="3" t="n">
        <v>1084</v>
      </c>
      <c r="G97" s="3" t="n">
        <v>21</v>
      </c>
      <c r="H97" s="3" t="n">
        <v>1191</v>
      </c>
      <c r="I97" s="4" t="n">
        <v>7.1</v>
      </c>
      <c r="J97" s="4" t="n">
        <v>828.36</v>
      </c>
      <c r="K97" s="4" t="n">
        <v>1679.54</v>
      </c>
      <c r="L97" s="4" t="n">
        <v>79.98</v>
      </c>
      <c r="M97" s="3" t="n">
        <v>23655</v>
      </c>
      <c r="N97" s="4" t="n">
        <v>828.36</v>
      </c>
      <c r="O97" s="4" t="n">
        <v>1679.54</v>
      </c>
      <c r="P97" s="4" t="n">
        <v>33673.5</v>
      </c>
    </row>
    <row r="98">
      <c r="A98" s="5" t="n">
        <v>39173</v>
      </c>
      <c r="B98" s="2" t="inlineStr">
        <is>
          <t>2007-2008</t>
        </is>
      </c>
      <c r="C98" s="2" t="inlineStr">
        <is>
          <t>Q1FY08</t>
        </is>
      </c>
      <c r="D98" s="3" t="n">
        <v>1246</v>
      </c>
      <c r="E98" s="3" t="n"/>
      <c r="F98" s="3" t="n">
        <v>1104</v>
      </c>
      <c r="G98" s="3" t="n">
        <v>20</v>
      </c>
      <c r="H98" s="3" t="n">
        <v>1134</v>
      </c>
      <c r="I98" s="4" t="n">
        <v>6.78</v>
      </c>
      <c r="J98" s="4" t="n">
        <v>770.8099999999999</v>
      </c>
      <c r="K98" s="4" t="n">
        <v>1685.67</v>
      </c>
      <c r="L98" s="4" t="n">
        <v>84.28</v>
      </c>
      <c r="M98" s="3" t="n">
        <v>24862</v>
      </c>
      <c r="N98" s="4" t="n">
        <v>770.8099999999999</v>
      </c>
      <c r="O98" s="4" t="n">
        <v>1685.67</v>
      </c>
      <c r="P98" s="4" t="n">
        <v>36503.68</v>
      </c>
    </row>
    <row r="99">
      <c r="A99" s="5" t="n">
        <v>39203</v>
      </c>
      <c r="B99" s="2" t="inlineStr">
        <is>
          <t>2007-2008</t>
        </is>
      </c>
      <c r="C99" s="2" t="inlineStr">
        <is>
          <t>Q1FY08</t>
        </is>
      </c>
      <c r="D99" s="3" t="n">
        <v>1267</v>
      </c>
      <c r="E99" s="3" t="n"/>
      <c r="F99" s="3" t="n">
        <v>1126</v>
      </c>
      <c r="G99" s="3" t="n">
        <v>21</v>
      </c>
      <c r="H99" s="3" t="n">
        <v>1149</v>
      </c>
      <c r="I99" s="4" t="n">
        <v>8.02</v>
      </c>
      <c r="J99" s="4" t="n">
        <v>979.11</v>
      </c>
      <c r="K99" s="4" t="n">
        <v>2075.85</v>
      </c>
      <c r="L99" s="4" t="n">
        <v>98.84999999999999</v>
      </c>
      <c r="M99" s="3" t="n">
        <v>25883</v>
      </c>
      <c r="N99" s="4" t="n">
        <v>979.11</v>
      </c>
      <c r="O99" s="4" t="n">
        <v>2075.85</v>
      </c>
      <c r="P99" s="4" t="n">
        <v>38980.78</v>
      </c>
    </row>
    <row r="100">
      <c r="A100" s="5" t="n">
        <v>39234</v>
      </c>
      <c r="B100" s="2" t="inlineStr">
        <is>
          <t>2007-2008</t>
        </is>
      </c>
      <c r="C100" s="2" t="inlineStr">
        <is>
          <t>Q1FY08</t>
        </is>
      </c>
      <c r="D100" s="3" t="n">
        <v>1283</v>
      </c>
      <c r="E100" s="3" t="n"/>
      <c r="F100" s="3" t="n">
        <v>1143</v>
      </c>
      <c r="G100" s="3" t="n">
        <v>21</v>
      </c>
      <c r="H100" s="3" t="n">
        <v>1219</v>
      </c>
      <c r="I100" s="4" t="n">
        <v>7.51</v>
      </c>
      <c r="J100" s="4" t="n">
        <v>796.36</v>
      </c>
      <c r="K100" s="4" t="n">
        <v>1936.48</v>
      </c>
      <c r="L100" s="4" t="n">
        <v>92.20999999999999</v>
      </c>
      <c r="M100" s="3" t="n">
        <v>25785</v>
      </c>
      <c r="N100" s="4" t="n">
        <v>796.36</v>
      </c>
      <c r="O100" s="4" t="n">
        <v>1936.48</v>
      </c>
      <c r="P100" s="4" t="n">
        <v>39783.81</v>
      </c>
    </row>
    <row r="101">
      <c r="A101" s="5" t="n">
        <v>39264</v>
      </c>
      <c r="B101" s="2" t="inlineStr">
        <is>
          <t>2007-2008</t>
        </is>
      </c>
      <c r="C101" s="2" t="inlineStr">
        <is>
          <t>Q2FY08</t>
        </is>
      </c>
      <c r="D101" s="3" t="n">
        <v>1293</v>
      </c>
      <c r="E101" s="3" t="n"/>
      <c r="F101" s="3" t="n">
        <v>1150</v>
      </c>
      <c r="G101" s="3" t="n">
        <v>22</v>
      </c>
      <c r="H101" s="3" t="n">
        <v>1175</v>
      </c>
      <c r="I101" s="4" t="n">
        <v>8.970000000000001</v>
      </c>
      <c r="J101" s="4" t="n">
        <v>1053.15</v>
      </c>
      <c r="K101" s="4" t="n">
        <v>2672.27</v>
      </c>
      <c r="L101" s="4" t="n">
        <v>121.47</v>
      </c>
      <c r="M101" s="3" t="n">
        <v>29791</v>
      </c>
      <c r="N101" s="4" t="n">
        <v>1053.15</v>
      </c>
      <c r="O101" s="4" t="n">
        <v>2672.27</v>
      </c>
      <c r="P101" s="4" t="n">
        <v>43175.71</v>
      </c>
    </row>
    <row r="102">
      <c r="A102" s="5" t="n">
        <v>39295</v>
      </c>
      <c r="B102" s="2" t="inlineStr">
        <is>
          <t>2007-2008</t>
        </is>
      </c>
      <c r="C102" s="2" t="inlineStr">
        <is>
          <t>Q2FY08</t>
        </is>
      </c>
      <c r="D102" s="3" t="n">
        <v>1316</v>
      </c>
      <c r="E102" s="3" t="n"/>
      <c r="F102" s="3" t="n">
        <v>1170</v>
      </c>
      <c r="G102" s="3" t="n">
        <v>22</v>
      </c>
      <c r="H102" s="3" t="n">
        <v>1267</v>
      </c>
      <c r="I102" s="4" t="n">
        <v>8.74</v>
      </c>
      <c r="J102" s="4" t="n">
        <v>1062.18</v>
      </c>
      <c r="K102" s="4" t="n">
        <v>2312.41</v>
      </c>
      <c r="L102" s="4" t="n">
        <v>105.11</v>
      </c>
      <c r="M102" s="3" t="n">
        <v>26458</v>
      </c>
      <c r="N102" s="4" t="n">
        <v>1062.18</v>
      </c>
      <c r="O102" s="4" t="n">
        <v>2312.41</v>
      </c>
      <c r="P102" s="4" t="n">
        <v>42969.94</v>
      </c>
    </row>
    <row r="103">
      <c r="A103" s="5" t="n">
        <v>39326</v>
      </c>
      <c r="B103" s="2" t="inlineStr">
        <is>
          <t>2007-2008</t>
        </is>
      </c>
      <c r="C103" s="2" t="inlineStr">
        <is>
          <t>Q2FY08</t>
        </is>
      </c>
      <c r="D103" s="3" t="n">
        <v>1319</v>
      </c>
      <c r="E103" s="3" t="n"/>
      <c r="F103" s="3" t="n">
        <v>1173</v>
      </c>
      <c r="G103" s="3" t="n">
        <v>20</v>
      </c>
      <c r="H103" s="3" t="n">
        <v>1213</v>
      </c>
      <c r="I103" s="4" t="n">
        <v>9.19</v>
      </c>
      <c r="J103" s="4" t="n">
        <v>1437.97</v>
      </c>
      <c r="K103" s="4" t="n">
        <v>2660.5</v>
      </c>
      <c r="L103" s="4" t="n">
        <v>133.02</v>
      </c>
      <c r="M103" s="3" t="n">
        <v>28950</v>
      </c>
      <c r="N103" s="4" t="n">
        <v>1437.97</v>
      </c>
      <c r="O103" s="4" t="n">
        <v>2660.5</v>
      </c>
      <c r="P103" s="4" t="n">
        <v>48865.61</v>
      </c>
    </row>
    <row r="104">
      <c r="A104" s="5" t="n">
        <v>39356</v>
      </c>
      <c r="B104" s="2" t="inlineStr">
        <is>
          <t>2007-2008</t>
        </is>
      </c>
      <c r="C104" s="2" t="inlineStr">
        <is>
          <t>Q3FY08</t>
        </is>
      </c>
      <c r="D104" s="3" t="n">
        <v>1327</v>
      </c>
      <c r="E104" s="3" t="n"/>
      <c r="F104" s="3" t="n">
        <v>1180</v>
      </c>
      <c r="G104" s="3" t="n">
        <v>22</v>
      </c>
      <c r="H104" s="3" t="n">
        <v>1206</v>
      </c>
      <c r="I104" s="4" t="n">
        <v>12.27</v>
      </c>
      <c r="J104" s="4" t="n">
        <v>1709.45</v>
      </c>
      <c r="K104" s="4" t="n">
        <v>4555.89</v>
      </c>
      <c r="L104" s="4" t="n">
        <v>207.09</v>
      </c>
      <c r="M104" s="3" t="n">
        <v>37130</v>
      </c>
      <c r="N104" s="4" t="n">
        <v>1709.45</v>
      </c>
      <c r="O104" s="4" t="n">
        <v>4555.89</v>
      </c>
      <c r="P104" s="4" t="n">
        <v>57222.27</v>
      </c>
    </row>
    <row r="105">
      <c r="A105" s="5" t="n">
        <v>39387</v>
      </c>
      <c r="B105" s="2" t="inlineStr">
        <is>
          <t>2007-2008</t>
        </is>
      </c>
      <c r="C105" s="2" t="inlineStr">
        <is>
          <t>Q3FY08</t>
        </is>
      </c>
      <c r="D105" s="3" t="n">
        <v>1343</v>
      </c>
      <c r="E105" s="3" t="n"/>
      <c r="F105" s="3" t="n">
        <v>1197</v>
      </c>
      <c r="G105" s="3" t="n">
        <v>22</v>
      </c>
      <c r="H105" s="3" t="n">
        <v>1240</v>
      </c>
      <c r="I105" s="4" t="n">
        <v>11.8</v>
      </c>
      <c r="J105" s="4" t="n">
        <v>1705.88</v>
      </c>
      <c r="K105" s="4" t="n">
        <v>4144.2</v>
      </c>
      <c r="L105" s="4" t="n">
        <v>188.37</v>
      </c>
      <c r="M105" s="3" t="n">
        <v>35120</v>
      </c>
      <c r="N105" s="4" t="n">
        <v>1705.88</v>
      </c>
      <c r="O105" s="4" t="n">
        <v>4144.2</v>
      </c>
      <c r="P105" s="4" t="n">
        <v>58767.42</v>
      </c>
    </row>
    <row r="106">
      <c r="A106" s="5" t="n">
        <v>39417</v>
      </c>
      <c r="B106" s="2" t="inlineStr">
        <is>
          <t>2007-2008</t>
        </is>
      </c>
      <c r="C106" s="2" t="inlineStr">
        <is>
          <t>Q3FY08</t>
        </is>
      </c>
      <c r="D106" s="3" t="n">
        <v>1353</v>
      </c>
      <c r="E106" s="3" t="n"/>
      <c r="F106" s="3" t="n">
        <v>1207</v>
      </c>
      <c r="G106" s="3" t="n">
        <v>19</v>
      </c>
      <c r="H106" s="3" t="n">
        <v>1311</v>
      </c>
      <c r="I106" s="4" t="n">
        <v>10.88</v>
      </c>
      <c r="J106" s="4" t="n">
        <v>1639.65</v>
      </c>
      <c r="K106" s="4" t="n">
        <v>3663.85</v>
      </c>
      <c r="L106" s="4" t="n">
        <v>192.83</v>
      </c>
      <c r="M106" s="3" t="n">
        <v>33675</v>
      </c>
      <c r="N106" s="4" t="n">
        <v>1639.65</v>
      </c>
      <c r="O106" s="4" t="n">
        <v>3663.85</v>
      </c>
      <c r="P106" s="4" t="n">
        <v>65432.72</v>
      </c>
    </row>
    <row r="107">
      <c r="A107" s="5" t="n">
        <v>39448</v>
      </c>
      <c r="B107" s="2" t="inlineStr">
        <is>
          <t>2007-2008</t>
        </is>
      </c>
      <c r="C107" s="2" t="inlineStr">
        <is>
          <t>Q4FY08</t>
        </is>
      </c>
      <c r="D107" s="3" t="n">
        <v>1362</v>
      </c>
      <c r="E107" s="3" t="n"/>
      <c r="F107" s="3" t="n">
        <v>1216</v>
      </c>
      <c r="G107" s="3" t="n">
        <v>23</v>
      </c>
      <c r="H107" s="3" t="n">
        <v>1269</v>
      </c>
      <c r="I107" s="4" t="n">
        <v>12.52</v>
      </c>
      <c r="J107" s="4" t="n">
        <v>1668.21</v>
      </c>
      <c r="K107" s="4" t="n">
        <v>4471.38</v>
      </c>
      <c r="L107" s="4" t="n">
        <v>194.41</v>
      </c>
      <c r="M107" s="3" t="n">
        <v>35714</v>
      </c>
      <c r="N107" s="4" t="n">
        <v>1668.21</v>
      </c>
      <c r="O107" s="4" t="n">
        <v>4471.38</v>
      </c>
      <c r="P107" s="4" t="n">
        <v>52953.87</v>
      </c>
    </row>
    <row r="108">
      <c r="A108" s="5" t="n">
        <v>39479</v>
      </c>
      <c r="B108" s="2" t="inlineStr">
        <is>
          <t>2007-2008</t>
        </is>
      </c>
      <c r="C108" s="2" t="inlineStr">
        <is>
          <t>Q4FY08</t>
        </is>
      </c>
      <c r="D108" s="3" t="n">
        <v>1372</v>
      </c>
      <c r="E108" s="3" t="n"/>
      <c r="F108" s="3" t="n">
        <v>1227</v>
      </c>
      <c r="G108" s="3" t="n">
        <v>21</v>
      </c>
      <c r="H108" s="3" t="n">
        <v>1427</v>
      </c>
      <c r="I108" s="4" t="n">
        <v>10.72</v>
      </c>
      <c r="J108" s="4" t="n">
        <v>1135.88</v>
      </c>
      <c r="K108" s="4" t="n">
        <v>2801.76</v>
      </c>
      <c r="L108" s="4" t="n">
        <v>133.42</v>
      </c>
      <c r="M108" s="3" t="n">
        <v>26136</v>
      </c>
      <c r="N108" s="4" t="n">
        <v>1135.88</v>
      </c>
      <c r="O108" s="4" t="n">
        <v>2801.76</v>
      </c>
      <c r="P108" s="4" t="n">
        <v>54199.42</v>
      </c>
    </row>
    <row r="109">
      <c r="A109" s="5" t="n">
        <v>39508</v>
      </c>
      <c r="B109" s="2" t="inlineStr">
        <is>
          <t>2007-2008</t>
        </is>
      </c>
      <c r="C109" s="2" t="inlineStr">
        <is>
          <t>Q4FY08</t>
        </is>
      </c>
      <c r="D109" s="3" t="n">
        <v>1381</v>
      </c>
      <c r="E109" s="3" t="n"/>
      <c r="F109" s="3" t="n">
        <v>1236</v>
      </c>
      <c r="G109" s="3" t="n">
        <v>18</v>
      </c>
      <c r="H109" s="3" t="n">
        <v>1264</v>
      </c>
      <c r="I109" s="4" t="n">
        <v>9.869999999999999</v>
      </c>
      <c r="J109" s="4" t="n">
        <v>1026.04</v>
      </c>
      <c r="K109" s="4" t="n">
        <v>2530.12</v>
      </c>
      <c r="L109" s="4" t="n">
        <v>140.56</v>
      </c>
      <c r="M109" s="3" t="n">
        <v>25634</v>
      </c>
      <c r="N109" s="4" t="n">
        <v>1026.04</v>
      </c>
      <c r="O109" s="4" t="n">
        <v>2530.12</v>
      </c>
      <c r="P109" s="4" t="n">
        <v>48581.22</v>
      </c>
    </row>
    <row r="110">
      <c r="A110" s="5" t="n">
        <v>39539</v>
      </c>
      <c r="B110" s="2" t="inlineStr">
        <is>
          <t>2008-2009</t>
        </is>
      </c>
      <c r="C110" s="2" t="inlineStr">
        <is>
          <t>Q1FY09</t>
        </is>
      </c>
      <c r="D110" s="3" t="n">
        <v>1390</v>
      </c>
      <c r="E110" s="3" t="n"/>
      <c r="F110" s="3" t="n">
        <v>1244</v>
      </c>
      <c r="G110" s="3" t="n">
        <v>20</v>
      </c>
      <c r="H110" s="3" t="n">
        <v>1293</v>
      </c>
      <c r="I110" s="4" t="n">
        <v>10.79</v>
      </c>
      <c r="J110" s="4" t="n">
        <v>1142.8</v>
      </c>
      <c r="K110" s="4" t="n">
        <v>2712.27</v>
      </c>
      <c r="L110" s="4" t="n">
        <v>135.61</v>
      </c>
      <c r="M110" s="3" t="n">
        <v>25137</v>
      </c>
      <c r="N110" s="4" t="n">
        <v>1142.8</v>
      </c>
      <c r="O110" s="4" t="n">
        <v>2712.27</v>
      </c>
      <c r="P110" s="4" t="n">
        <v>54427.8</v>
      </c>
    </row>
    <row r="111">
      <c r="A111" s="5" t="n">
        <v>39569</v>
      </c>
      <c r="B111" s="2" t="inlineStr">
        <is>
          <t>2008-2009</t>
        </is>
      </c>
      <c r="C111" s="2" t="inlineStr">
        <is>
          <t>Q1FY09</t>
        </is>
      </c>
      <c r="D111" s="3" t="n">
        <v>1398</v>
      </c>
      <c r="E111" s="3" t="n"/>
      <c r="F111" s="3" t="n">
        <v>1252</v>
      </c>
      <c r="G111" s="3" t="n">
        <v>20</v>
      </c>
      <c r="H111" s="3" t="n">
        <v>1300</v>
      </c>
      <c r="I111" s="4" t="n">
        <v>10.71</v>
      </c>
      <c r="J111" s="4" t="n">
        <v>1150.14</v>
      </c>
      <c r="K111" s="4" t="n">
        <v>2779.23</v>
      </c>
      <c r="L111" s="4" t="n">
        <v>138.96</v>
      </c>
      <c r="M111" s="3" t="n">
        <v>25950</v>
      </c>
      <c r="N111" s="4" t="n">
        <v>1150.14</v>
      </c>
      <c r="O111" s="4" t="n">
        <v>2779.23</v>
      </c>
      <c r="P111" s="4" t="n">
        <v>50988.73</v>
      </c>
    </row>
    <row r="112">
      <c r="A112" s="5" t="n">
        <v>39600</v>
      </c>
      <c r="B112" s="2" t="inlineStr">
        <is>
          <t>2008-2009</t>
        </is>
      </c>
      <c r="C112" s="2" t="inlineStr">
        <is>
          <t>Q1FY09</t>
        </is>
      </c>
      <c r="D112" s="3" t="n">
        <v>1407</v>
      </c>
      <c r="E112" s="3" t="n"/>
      <c r="F112" s="3" t="n">
        <v>1262</v>
      </c>
      <c r="G112" s="3" t="n">
        <v>21</v>
      </c>
      <c r="H112" s="3" t="n">
        <v>1356</v>
      </c>
      <c r="I112" s="4" t="n">
        <v>11.15</v>
      </c>
      <c r="J112" s="4" t="n">
        <v>1085.48</v>
      </c>
      <c r="K112" s="4" t="n">
        <v>2644.28</v>
      </c>
      <c r="L112" s="4" t="n">
        <v>125.92</v>
      </c>
      <c r="M112" s="3" t="n">
        <v>23716</v>
      </c>
      <c r="N112" s="4" t="n">
        <v>1085.48</v>
      </c>
      <c r="O112" s="4" t="n">
        <v>2644.28</v>
      </c>
      <c r="P112" s="4" t="n">
        <v>41036.51</v>
      </c>
    </row>
    <row r="113">
      <c r="A113" s="5" t="n">
        <v>39630</v>
      </c>
      <c r="B113" s="2" t="inlineStr">
        <is>
          <t>2008-2009</t>
        </is>
      </c>
      <c r="C113" s="2" t="inlineStr">
        <is>
          <t>Q2FY09</t>
        </is>
      </c>
      <c r="D113" s="3" t="n">
        <v>1417</v>
      </c>
      <c r="E113" s="3" t="n"/>
      <c r="F113" s="3" t="n">
        <v>1272</v>
      </c>
      <c r="G113" s="3" t="n">
        <v>23</v>
      </c>
      <c r="H113" s="3" t="n">
        <v>1301</v>
      </c>
      <c r="I113" s="4" t="n">
        <v>13.37</v>
      </c>
      <c r="J113" s="4" t="n">
        <v>1342.85</v>
      </c>
      <c r="K113" s="4" t="n">
        <v>2958.16</v>
      </c>
      <c r="L113" s="4" t="n">
        <v>128.62</v>
      </c>
      <c r="M113" s="3" t="n">
        <v>22125</v>
      </c>
      <c r="N113" s="4" t="n">
        <v>1342.85</v>
      </c>
      <c r="O113" s="4" t="n">
        <v>2958.16</v>
      </c>
      <c r="P113" s="4" t="n">
        <v>44324.27</v>
      </c>
    </row>
    <row r="114">
      <c r="A114" s="5" t="n">
        <v>39661</v>
      </c>
      <c r="B114" s="2" t="inlineStr">
        <is>
          <t>2008-2009</t>
        </is>
      </c>
      <c r="C114" s="2" t="inlineStr">
        <is>
          <t>Q2FY09</t>
        </is>
      </c>
      <c r="D114" s="3" t="n">
        <v>1422</v>
      </c>
      <c r="E114" s="3" t="n"/>
      <c r="F114" s="3" t="n">
        <v>1278</v>
      </c>
      <c r="G114" s="3" t="n">
        <v>20</v>
      </c>
      <c r="H114" s="3" t="n">
        <v>1371</v>
      </c>
      <c r="I114" s="4" t="n">
        <v>10.67</v>
      </c>
      <c r="J114" s="4" t="n">
        <v>1043.52</v>
      </c>
      <c r="K114" s="4" t="n">
        <v>2342.51</v>
      </c>
      <c r="L114" s="4" t="n">
        <v>117.13</v>
      </c>
      <c r="M114" s="3" t="n">
        <v>21954</v>
      </c>
      <c r="N114" s="4" t="n">
        <v>1043.52</v>
      </c>
      <c r="O114" s="4" t="n">
        <v>2342.51</v>
      </c>
      <c r="P114" s="4" t="n">
        <v>44724.61</v>
      </c>
    </row>
    <row r="115">
      <c r="A115" s="5" t="n">
        <v>39692</v>
      </c>
      <c r="B115" s="2" t="inlineStr">
        <is>
          <t>2008-2009</t>
        </is>
      </c>
      <c r="C115" s="2" t="inlineStr">
        <is>
          <t>Q2FY09</t>
        </is>
      </c>
      <c r="D115" s="3" t="n">
        <v>1424</v>
      </c>
      <c r="E115" s="3" t="n"/>
      <c r="F115" s="3" t="n">
        <v>1278</v>
      </c>
      <c r="G115" s="3" t="n">
        <v>21</v>
      </c>
      <c r="H115" s="3" t="n">
        <v>1307</v>
      </c>
      <c r="I115" s="4" t="n">
        <v>11.32</v>
      </c>
      <c r="J115" s="4" t="n">
        <v>1022.02</v>
      </c>
      <c r="K115" s="4" t="n">
        <v>2622.61</v>
      </c>
      <c r="L115" s="4" t="n">
        <v>124.89</v>
      </c>
      <c r="M115" s="3" t="n">
        <v>23168</v>
      </c>
      <c r="N115" s="4" t="n">
        <v>1022.02</v>
      </c>
      <c r="O115" s="4" t="n">
        <v>2622.61</v>
      </c>
      <c r="P115" s="4" t="n">
        <v>39001.85</v>
      </c>
    </row>
    <row r="116">
      <c r="A116" s="5" t="n">
        <v>39722</v>
      </c>
      <c r="B116" s="2" t="inlineStr">
        <is>
          <t>2008-2009</t>
        </is>
      </c>
      <c r="C116" s="2" t="inlineStr">
        <is>
          <t>Q3FY09</t>
        </is>
      </c>
      <c r="D116" s="3" t="n">
        <v>1407</v>
      </c>
      <c r="E116" s="3" t="n"/>
      <c r="F116" s="3" t="n">
        <v>1262</v>
      </c>
      <c r="G116" s="3" t="n">
        <v>20</v>
      </c>
      <c r="H116" s="3" t="n">
        <v>1306</v>
      </c>
      <c r="I116" s="4" t="n">
        <v>11.77</v>
      </c>
      <c r="J116" s="4" t="n">
        <v>1092.99</v>
      </c>
      <c r="K116" s="4" t="n">
        <v>2161.98</v>
      </c>
      <c r="L116" s="4" t="n">
        <v>108.1</v>
      </c>
      <c r="M116" s="3" t="n">
        <v>18369</v>
      </c>
      <c r="N116" s="4" t="n">
        <v>1092.99</v>
      </c>
      <c r="O116" s="4" t="n">
        <v>2161.98</v>
      </c>
      <c r="P116" s="4" t="n">
        <v>28203.88</v>
      </c>
    </row>
    <row r="117">
      <c r="A117" s="5" t="n">
        <v>39753</v>
      </c>
      <c r="B117" s="2" t="inlineStr">
        <is>
          <t>2008-2009</t>
        </is>
      </c>
      <c r="C117" s="2" t="inlineStr">
        <is>
          <t>Q3FY09</t>
        </is>
      </c>
      <c r="D117" s="3" t="n">
        <v>1430</v>
      </c>
      <c r="E117" s="3" t="n"/>
      <c r="F117" s="3" t="n">
        <v>1286</v>
      </c>
      <c r="G117" s="3" t="n">
        <v>18</v>
      </c>
      <c r="H117" s="3" t="n">
        <v>1312</v>
      </c>
      <c r="I117" s="4" t="n">
        <v>10.99</v>
      </c>
      <c r="J117" s="4" t="n">
        <v>1068.48</v>
      </c>
      <c r="K117" s="4" t="n">
        <v>1731.23</v>
      </c>
      <c r="L117" s="4" t="n">
        <v>96.18000000000001</v>
      </c>
      <c r="M117" s="3" t="n">
        <v>15753</v>
      </c>
      <c r="N117" s="4" t="n">
        <v>1068.48</v>
      </c>
      <c r="O117" s="4" t="n">
        <v>1731.23</v>
      </c>
      <c r="P117" s="4" t="n">
        <v>26532.81</v>
      </c>
    </row>
    <row r="118">
      <c r="A118" s="5" t="n">
        <v>39783</v>
      </c>
      <c r="B118" s="2" t="inlineStr">
        <is>
          <t>2008-2009</t>
        </is>
      </c>
      <c r="C118" s="2" t="inlineStr">
        <is>
          <t>Q3FY09</t>
        </is>
      </c>
      <c r="D118" s="3" t="n">
        <v>1428</v>
      </c>
      <c r="E118" s="3" t="n"/>
      <c r="F118" s="3" t="n">
        <v>1283</v>
      </c>
      <c r="G118" s="3" t="n">
        <v>21</v>
      </c>
      <c r="H118" s="3" t="n">
        <v>1324</v>
      </c>
      <c r="I118" s="4" t="n">
        <v>13.02</v>
      </c>
      <c r="J118" s="4" t="n">
        <v>1447.93</v>
      </c>
      <c r="K118" s="4" t="n">
        <v>2129.56</v>
      </c>
      <c r="L118" s="4" t="n">
        <v>101.41</v>
      </c>
      <c r="M118" s="3" t="n">
        <v>16359</v>
      </c>
      <c r="N118" s="4" t="n">
        <v>1447.93</v>
      </c>
      <c r="O118" s="4" t="n">
        <v>2129.56</v>
      </c>
      <c r="P118" s="4" t="n">
        <v>29167.68</v>
      </c>
    </row>
    <row r="119">
      <c r="A119" s="5" t="n">
        <v>39814</v>
      </c>
      <c r="B119" s="2" t="inlineStr">
        <is>
          <t>2008-2009</t>
        </is>
      </c>
      <c r="C119" s="2" t="inlineStr">
        <is>
          <t>Q4FY09</t>
        </is>
      </c>
      <c r="D119" s="3" t="n">
        <v>1427</v>
      </c>
      <c r="E119" s="3" t="n"/>
      <c r="F119" s="3" t="n">
        <v>1286</v>
      </c>
      <c r="G119" s="3" t="n">
        <v>20</v>
      </c>
      <c r="H119" s="3" t="n">
        <v>1319</v>
      </c>
      <c r="I119" s="4" t="n">
        <v>12.22</v>
      </c>
      <c r="J119" s="4" t="n">
        <v>1452.54</v>
      </c>
      <c r="K119" s="4" t="n">
        <v>1911.84</v>
      </c>
      <c r="L119" s="4" t="n">
        <v>95.59</v>
      </c>
      <c r="M119" s="3" t="n">
        <v>15642</v>
      </c>
      <c r="N119" s="4" t="n">
        <v>1452.54</v>
      </c>
      <c r="O119" s="4" t="n">
        <v>1911.84</v>
      </c>
      <c r="P119" s="4" t="n">
        <v>27987.07</v>
      </c>
    </row>
    <row r="120">
      <c r="A120" s="5" t="n">
        <v>39845</v>
      </c>
      <c r="B120" s="2" t="inlineStr">
        <is>
          <t>2008-2009</t>
        </is>
      </c>
      <c r="C120" s="2" t="inlineStr">
        <is>
          <t>Q4FY09</t>
        </is>
      </c>
      <c r="D120" s="3" t="n">
        <v>1425</v>
      </c>
      <c r="E120" s="3" t="n"/>
      <c r="F120" s="3" t="n">
        <v>1284</v>
      </c>
      <c r="G120" s="3" t="n">
        <v>19</v>
      </c>
      <c r="H120" s="3" t="n">
        <v>1313</v>
      </c>
      <c r="I120" s="4" t="n">
        <v>9.69</v>
      </c>
      <c r="J120" s="4" t="n">
        <v>1118.65</v>
      </c>
      <c r="K120" s="4" t="n">
        <v>1498.57</v>
      </c>
      <c r="L120" s="4" t="n">
        <v>78.87</v>
      </c>
      <c r="M120" s="3" t="n">
        <v>15465</v>
      </c>
      <c r="N120" s="4" t="n">
        <v>1118.65</v>
      </c>
      <c r="O120" s="4" t="n">
        <v>1498.57</v>
      </c>
      <c r="P120" s="4" t="n">
        <v>26756.22</v>
      </c>
    </row>
    <row r="121">
      <c r="A121" s="5" t="n">
        <v>39873</v>
      </c>
      <c r="B121" s="2" t="inlineStr">
        <is>
          <t>2008-2009</t>
        </is>
      </c>
      <c r="C121" s="2" t="inlineStr">
        <is>
          <t>Q4FY09</t>
        </is>
      </c>
      <c r="D121" s="3" t="n">
        <v>1432</v>
      </c>
      <c r="E121" s="3" t="n"/>
      <c r="F121" s="3" t="n">
        <v>1291</v>
      </c>
      <c r="G121" s="3" t="n">
        <v>20</v>
      </c>
      <c r="H121" s="3" t="n">
        <v>1327</v>
      </c>
      <c r="I121" s="4" t="n">
        <v>10.81</v>
      </c>
      <c r="J121" s="4" t="n">
        <v>1296.14</v>
      </c>
      <c r="K121" s="4" t="n">
        <v>2027.99</v>
      </c>
      <c r="L121" s="4" t="n">
        <v>101.4</v>
      </c>
      <c r="M121" s="3" t="n">
        <v>18762</v>
      </c>
      <c r="N121" s="4" t="n">
        <v>1296.14</v>
      </c>
      <c r="O121" s="4" t="n">
        <v>2027.99</v>
      </c>
      <c r="P121" s="4" t="n">
        <v>28961.94</v>
      </c>
    </row>
    <row r="122">
      <c r="A122" s="5" t="n">
        <v>39904</v>
      </c>
      <c r="B122" s="2" t="inlineStr">
        <is>
          <t>2009-2010</t>
        </is>
      </c>
      <c r="C122" s="2" t="inlineStr">
        <is>
          <t>Q1FY10</t>
        </is>
      </c>
      <c r="D122" s="3" t="n">
        <v>1420</v>
      </c>
      <c r="E122" s="3" t="n"/>
      <c r="F122" s="3" t="n">
        <v>1279</v>
      </c>
      <c r="G122" s="3" t="n">
        <v>17</v>
      </c>
      <c r="H122" s="3" t="n">
        <v>1372</v>
      </c>
      <c r="I122" s="4" t="n">
        <v>12.71</v>
      </c>
      <c r="J122" s="4" t="n">
        <v>1831.56</v>
      </c>
      <c r="K122" s="4" t="n">
        <v>2666.96</v>
      </c>
      <c r="L122" s="4" t="n">
        <v>156.88</v>
      </c>
      <c r="M122" s="3" t="n">
        <v>20980</v>
      </c>
      <c r="N122" s="4" t="n">
        <v>1831.56</v>
      </c>
      <c r="O122" s="4" t="n">
        <v>2666.96</v>
      </c>
      <c r="P122" s="4" t="n">
        <v>33750.25</v>
      </c>
    </row>
    <row r="123">
      <c r="A123" s="5" t="n">
        <v>39934</v>
      </c>
      <c r="B123" s="2" t="inlineStr">
        <is>
          <t>2009-2010</t>
        </is>
      </c>
      <c r="C123" s="2" t="inlineStr">
        <is>
          <t>Q1FY10</t>
        </is>
      </c>
      <c r="D123" s="3" t="n">
        <v>1425</v>
      </c>
      <c r="E123" s="3" t="n"/>
      <c r="F123" s="3" t="n">
        <v>1280</v>
      </c>
      <c r="G123" s="3" t="n">
        <v>20</v>
      </c>
      <c r="H123" s="3" t="n">
        <v>1390</v>
      </c>
      <c r="I123" s="4" t="n">
        <v>14.83</v>
      </c>
      <c r="J123" s="4" t="n">
        <v>2290.28</v>
      </c>
      <c r="K123" s="4" t="n">
        <v>3825.61</v>
      </c>
      <c r="L123" s="4" t="n">
        <v>191.28</v>
      </c>
      <c r="M123" s="3" t="n">
        <v>25791</v>
      </c>
      <c r="N123" s="4" t="n">
        <v>2290.28</v>
      </c>
      <c r="O123" s="4" t="n">
        <v>3825.61</v>
      </c>
      <c r="P123" s="4" t="n">
        <v>45645.72</v>
      </c>
    </row>
    <row r="124">
      <c r="A124" s="5" t="n">
        <v>39965</v>
      </c>
      <c r="B124" s="2" t="inlineStr">
        <is>
          <t>2009-2010</t>
        </is>
      </c>
      <c r="C124" s="2" t="inlineStr">
        <is>
          <t>Q1FY10</t>
        </is>
      </c>
      <c r="D124" s="3" t="n">
        <v>1426</v>
      </c>
      <c r="E124" s="3" t="n"/>
      <c r="F124" s="3" t="n">
        <v>1282</v>
      </c>
      <c r="G124" s="3" t="n">
        <v>22</v>
      </c>
      <c r="H124" s="3" t="n">
        <v>1535</v>
      </c>
      <c r="I124" s="4" t="n">
        <v>18</v>
      </c>
      <c r="J124" s="4" t="n">
        <v>2748.51</v>
      </c>
      <c r="K124" s="4" t="n">
        <v>4824.14</v>
      </c>
      <c r="L124" s="4" t="n">
        <v>219.28</v>
      </c>
      <c r="M124" s="3" t="n">
        <v>26807</v>
      </c>
      <c r="N124" s="4" t="n">
        <v>2748.51</v>
      </c>
      <c r="O124" s="4" t="n">
        <v>4824.14</v>
      </c>
      <c r="P124" s="4" t="n">
        <v>44325.96</v>
      </c>
    </row>
    <row r="125">
      <c r="A125" s="5" t="n">
        <v>39995</v>
      </c>
      <c r="B125" s="2" t="inlineStr">
        <is>
          <t>2009-2010</t>
        </is>
      </c>
      <c r="C125" s="2" t="inlineStr">
        <is>
          <t>Q2FY10</t>
        </is>
      </c>
      <c r="D125" s="3" t="n">
        <v>1426</v>
      </c>
      <c r="E125" s="3" t="n"/>
      <c r="F125" s="3" t="n">
        <v>1282</v>
      </c>
      <c r="G125" s="3" t="n">
        <v>23</v>
      </c>
      <c r="H125" s="3" t="n">
        <v>1326</v>
      </c>
      <c r="I125" s="4" t="n">
        <v>17.09</v>
      </c>
      <c r="J125" s="4" t="n">
        <v>2193.56</v>
      </c>
      <c r="K125" s="4" t="n">
        <v>4261.43</v>
      </c>
      <c r="L125" s="4" t="n">
        <v>185.28</v>
      </c>
      <c r="M125" s="3" t="n">
        <v>24929</v>
      </c>
      <c r="N125" s="4" t="n">
        <v>2193.56</v>
      </c>
      <c r="O125" s="4" t="n">
        <v>4261.43</v>
      </c>
      <c r="P125" s="4" t="n">
        <v>48164.59</v>
      </c>
    </row>
    <row r="126">
      <c r="A126" s="5" t="n">
        <v>40026</v>
      </c>
      <c r="B126" s="2" t="inlineStr">
        <is>
          <t>2009-2010</t>
        </is>
      </c>
      <c r="C126" s="2" t="inlineStr">
        <is>
          <t>Q2FY10</t>
        </is>
      </c>
      <c r="D126" s="3" t="n">
        <v>1431</v>
      </c>
      <c r="E126" s="3" t="n"/>
      <c r="F126" s="3" t="n">
        <v>1288</v>
      </c>
      <c r="G126" s="3" t="n">
        <v>21</v>
      </c>
      <c r="H126" s="3" t="n">
        <v>1608</v>
      </c>
      <c r="I126" s="4" t="n">
        <v>14.75</v>
      </c>
      <c r="J126" s="4" t="n">
        <v>1944.27</v>
      </c>
      <c r="K126" s="4" t="n">
        <v>3649.69</v>
      </c>
      <c r="L126" s="4" t="n">
        <v>173.79</v>
      </c>
      <c r="M126" s="3" t="n">
        <v>24741</v>
      </c>
      <c r="N126" s="4" t="n">
        <v>1944.27</v>
      </c>
      <c r="O126" s="4" t="n">
        <v>3649.69</v>
      </c>
      <c r="P126" s="4" t="n">
        <v>49758</v>
      </c>
    </row>
    <row r="127">
      <c r="A127" s="5" t="n">
        <v>40057</v>
      </c>
      <c r="B127" s="2" t="inlineStr">
        <is>
          <t>2009-2010</t>
        </is>
      </c>
      <c r="C127" s="2" t="inlineStr">
        <is>
          <t>Q2FY10</t>
        </is>
      </c>
      <c r="D127" s="3" t="n">
        <v>1434</v>
      </c>
      <c r="E127" s="3" t="n"/>
      <c r="F127" s="3" t="n">
        <v>1287</v>
      </c>
      <c r="G127" s="3" t="n">
        <v>20</v>
      </c>
      <c r="H127" s="3" t="n">
        <v>1376</v>
      </c>
      <c r="I127" s="4" t="n">
        <v>13.87</v>
      </c>
      <c r="J127" s="4" t="n">
        <v>1965.12</v>
      </c>
      <c r="K127" s="4" t="n">
        <v>3650.63</v>
      </c>
      <c r="L127" s="4" t="n">
        <v>182.53</v>
      </c>
      <c r="M127" s="3" t="n">
        <v>26320</v>
      </c>
      <c r="N127" s="4" t="n">
        <v>1965.12</v>
      </c>
      <c r="O127" s="4" t="n">
        <v>3650.63</v>
      </c>
      <c r="P127" s="4" t="n">
        <v>53538.8</v>
      </c>
    </row>
    <row r="128">
      <c r="A128" s="5" t="n">
        <v>40087</v>
      </c>
      <c r="B128" s="2" t="inlineStr">
        <is>
          <t>2009-2010</t>
        </is>
      </c>
      <c r="C128" s="2" t="inlineStr">
        <is>
          <t>Q3FY10</t>
        </is>
      </c>
      <c r="D128" s="3" t="n">
        <v>1439</v>
      </c>
      <c r="E128" s="3" t="n"/>
      <c r="F128" s="3" t="n">
        <v>1291</v>
      </c>
      <c r="G128" s="3" t="n">
        <v>20</v>
      </c>
      <c r="H128" s="3" t="n">
        <v>1365</v>
      </c>
      <c r="I128" s="4" t="n">
        <v>13.47</v>
      </c>
      <c r="J128" s="4" t="n">
        <v>1684.79</v>
      </c>
      <c r="K128" s="4" t="n">
        <v>3629.69</v>
      </c>
      <c r="L128" s="4" t="n">
        <v>181.48</v>
      </c>
      <c r="M128" s="3" t="n">
        <v>26953</v>
      </c>
      <c r="N128" s="4" t="n">
        <v>1684.79</v>
      </c>
      <c r="O128" s="4" t="n">
        <v>3629.69</v>
      </c>
      <c r="P128" s="4" t="n">
        <v>50248.3</v>
      </c>
    </row>
    <row r="129">
      <c r="A129" s="5" t="n">
        <v>40118</v>
      </c>
      <c r="B129" s="2" t="inlineStr">
        <is>
          <t>2009-2010</t>
        </is>
      </c>
      <c r="C129" s="2" t="inlineStr">
        <is>
          <t>Q3FY10</t>
        </is>
      </c>
      <c r="D129" s="3" t="n">
        <v>1443</v>
      </c>
      <c r="E129" s="3" t="n">
        <v>10</v>
      </c>
      <c r="F129" s="3" t="n">
        <v>1292</v>
      </c>
      <c r="G129" s="3" t="n">
        <v>20</v>
      </c>
      <c r="H129" s="3" t="n">
        <v>1528</v>
      </c>
      <c r="I129" s="4" t="n">
        <v>13.17</v>
      </c>
      <c r="J129" s="4" t="n">
        <v>1574.01</v>
      </c>
      <c r="K129" s="4" t="n">
        <v>3244.77</v>
      </c>
      <c r="L129" s="4" t="n">
        <v>162.24</v>
      </c>
      <c r="M129" s="3" t="n">
        <v>24630</v>
      </c>
      <c r="N129" s="4" t="n">
        <v>1574.01</v>
      </c>
      <c r="O129" s="4" t="n">
        <v>3244.77</v>
      </c>
      <c r="P129" s="4" t="n">
        <v>54300.88</v>
      </c>
    </row>
    <row r="130">
      <c r="A130" s="5" t="n">
        <v>40148</v>
      </c>
      <c r="B130" s="2" t="inlineStr">
        <is>
          <t>2009-2010</t>
        </is>
      </c>
      <c r="C130" s="2" t="inlineStr">
        <is>
          <t>Q3FY10</t>
        </is>
      </c>
      <c r="D130" s="3" t="n">
        <v>1453</v>
      </c>
      <c r="E130" s="3" t="n">
        <v>10</v>
      </c>
      <c r="F130" s="3" t="n">
        <v>1303</v>
      </c>
      <c r="G130" s="3" t="n">
        <v>21</v>
      </c>
      <c r="H130" s="3" t="n">
        <v>1408</v>
      </c>
      <c r="I130" s="4" t="n">
        <v>12.56</v>
      </c>
      <c r="J130" s="4" t="n">
        <v>1503.84</v>
      </c>
      <c r="K130" s="4" t="n">
        <v>2929</v>
      </c>
      <c r="L130" s="4" t="n">
        <v>139.48</v>
      </c>
      <c r="M130" s="3" t="n">
        <v>23324</v>
      </c>
      <c r="N130" s="4" t="n">
        <v>1503.84</v>
      </c>
      <c r="O130" s="4" t="n">
        <v>2929</v>
      </c>
      <c r="P130" s="4" t="n">
        <v>56996.37</v>
      </c>
    </row>
    <row r="131">
      <c r="A131" s="5" t="n">
        <v>40179</v>
      </c>
      <c r="B131" s="2" t="inlineStr">
        <is>
          <t>2009-2010</t>
        </is>
      </c>
      <c r="C131" s="2" t="inlineStr">
        <is>
          <t>Q4FY10</t>
        </is>
      </c>
      <c r="D131" s="3" t="n">
        <v>1457</v>
      </c>
      <c r="E131" s="3" t="n">
        <v>31</v>
      </c>
      <c r="F131" s="3" t="n">
        <v>1338</v>
      </c>
      <c r="G131" s="3" t="n">
        <v>19</v>
      </c>
      <c r="H131" s="3" t="n">
        <v>1480</v>
      </c>
      <c r="I131" s="4" t="n">
        <v>14.03</v>
      </c>
      <c r="J131" s="4" t="n">
        <v>1804.24</v>
      </c>
      <c r="K131" s="4" t="n">
        <v>3384.43</v>
      </c>
      <c r="L131" s="4" t="n">
        <v>178.13</v>
      </c>
      <c r="M131" s="3" t="n">
        <v>24124</v>
      </c>
      <c r="N131" s="4" t="n">
        <v>1804.24</v>
      </c>
      <c r="O131" s="4" t="n">
        <v>3384.43</v>
      </c>
      <c r="P131" s="4" t="n">
        <v>57829.65</v>
      </c>
    </row>
    <row r="132">
      <c r="A132" s="5" t="n">
        <v>40210</v>
      </c>
      <c r="B132" s="2" t="inlineStr">
        <is>
          <t>2009-2010</t>
        </is>
      </c>
      <c r="C132" s="2" t="inlineStr">
        <is>
          <t>Q4FY10</t>
        </is>
      </c>
      <c r="D132" s="3" t="n">
        <v>1461</v>
      </c>
      <c r="E132" s="3" t="n">
        <v>31</v>
      </c>
      <c r="F132" s="3" t="n">
        <v>1342</v>
      </c>
      <c r="G132" s="3" t="n">
        <v>20</v>
      </c>
      <c r="H132" s="3" t="n">
        <v>1585</v>
      </c>
      <c r="I132" s="4" t="n">
        <v>11.33</v>
      </c>
      <c r="J132" s="4" t="n">
        <v>1235.41</v>
      </c>
      <c r="K132" s="4" t="n">
        <v>2451.43</v>
      </c>
      <c r="L132" s="4" t="n">
        <v>122.57</v>
      </c>
      <c r="M132" s="3" t="n">
        <v>21645</v>
      </c>
      <c r="N132" s="4" t="n">
        <v>1235.41</v>
      </c>
      <c r="O132" s="4" t="n">
        <v>2451.43</v>
      </c>
      <c r="P132" s="4" t="n">
        <v>57553.05</v>
      </c>
    </row>
    <row r="133">
      <c r="A133" s="5" t="n">
        <v>40238</v>
      </c>
      <c r="B133" s="2" t="inlineStr">
        <is>
          <t>2009-2010</t>
        </is>
      </c>
      <c r="C133" s="2" t="inlineStr">
        <is>
          <t>Q4FY10</t>
        </is>
      </c>
      <c r="D133" s="3" t="n">
        <v>1470</v>
      </c>
      <c r="E133" s="3" t="n">
        <v>37</v>
      </c>
      <c r="F133" s="3" t="n">
        <v>1359</v>
      </c>
      <c r="G133" s="3" t="n">
        <v>21</v>
      </c>
      <c r="H133" s="3" t="n">
        <v>1418</v>
      </c>
      <c r="I133" s="4" t="n">
        <v>12.35</v>
      </c>
      <c r="J133" s="4" t="n">
        <v>1379.71</v>
      </c>
      <c r="K133" s="4" t="n">
        <v>2862.46</v>
      </c>
      <c r="L133" s="4" t="n">
        <v>136.31</v>
      </c>
      <c r="M133" s="3" t="n">
        <v>23184</v>
      </c>
      <c r="N133" s="4" t="n">
        <v>1379.71</v>
      </c>
      <c r="O133" s="4" t="n">
        <v>2862.46</v>
      </c>
      <c r="P133" s="4" t="n">
        <v>60091.73</v>
      </c>
    </row>
    <row r="134">
      <c r="A134" s="5" t="n">
        <v>40269</v>
      </c>
      <c r="B134" s="2" t="inlineStr">
        <is>
          <t>2010-2011</t>
        </is>
      </c>
      <c r="C134" s="2" t="inlineStr">
        <is>
          <t>Q1FY11</t>
        </is>
      </c>
      <c r="D134" s="3" t="n">
        <v>1478</v>
      </c>
      <c r="E134" s="3" t="n">
        <v>36</v>
      </c>
      <c r="F134" s="3" t="n">
        <v>1367</v>
      </c>
      <c r="G134" s="3" t="n">
        <v>20</v>
      </c>
      <c r="H134" s="3" t="n">
        <v>1464</v>
      </c>
      <c r="I134" s="4" t="n">
        <v>12.05</v>
      </c>
      <c r="J134" s="4" t="n">
        <v>1440.6</v>
      </c>
      <c r="K134" s="4" t="n">
        <v>2765.66</v>
      </c>
      <c r="L134" s="4" t="n">
        <v>138.28</v>
      </c>
      <c r="M134" s="3" t="n">
        <v>22947</v>
      </c>
      <c r="N134" s="4" t="n">
        <v>1440.6</v>
      </c>
      <c r="O134" s="4" t="n">
        <v>2765.66</v>
      </c>
      <c r="P134" s="4" t="n">
        <v>61178.58</v>
      </c>
    </row>
    <row r="135">
      <c r="A135" s="5" t="n">
        <v>40299</v>
      </c>
      <c r="B135" s="2" t="inlineStr">
        <is>
          <t>2010-2011</t>
        </is>
      </c>
      <c r="C135" s="2" t="inlineStr">
        <is>
          <t>Q1FY11</t>
        </is>
      </c>
      <c r="D135" s="3" t="n">
        <v>1484</v>
      </c>
      <c r="E135" s="3" t="n">
        <v>36</v>
      </c>
      <c r="F135" s="3" t="n">
        <v>1374</v>
      </c>
      <c r="G135" s="3" t="n">
        <v>22</v>
      </c>
      <c r="H135" s="3" t="n">
        <v>1422</v>
      </c>
      <c r="I135" s="4" t="n">
        <v>12.49</v>
      </c>
      <c r="J135" s="4" t="n">
        <v>1398.12</v>
      </c>
      <c r="K135" s="4" t="n">
        <v>2846.25</v>
      </c>
      <c r="L135" s="4" t="n">
        <v>129.37</v>
      </c>
      <c r="M135" s="3" t="n">
        <v>22788</v>
      </c>
      <c r="N135" s="4" t="n">
        <v>1398.12</v>
      </c>
      <c r="O135" s="4" t="n">
        <v>2846.25</v>
      </c>
      <c r="P135" s="4" t="n">
        <v>59325.78</v>
      </c>
    </row>
    <row r="136">
      <c r="A136" s="5" t="n">
        <v>40330</v>
      </c>
      <c r="B136" s="2" t="inlineStr">
        <is>
          <t>2010-2011</t>
        </is>
      </c>
      <c r="C136" s="2" t="inlineStr">
        <is>
          <t>Q1FY11</t>
        </is>
      </c>
      <c r="D136" s="3" t="n">
        <v>1490</v>
      </c>
      <c r="E136" s="3" t="n">
        <v>45</v>
      </c>
      <c r="F136" s="3" t="n">
        <v>1388</v>
      </c>
      <c r="G136" s="3" t="n">
        <v>22</v>
      </c>
      <c r="H136" s="3" t="n">
        <v>1547</v>
      </c>
      <c r="I136" s="4" t="n">
        <v>12.48</v>
      </c>
      <c r="J136" s="4" t="n">
        <v>1436.16</v>
      </c>
      <c r="K136" s="4" t="n">
        <v>2861.09</v>
      </c>
      <c r="L136" s="4" t="n">
        <v>130.05</v>
      </c>
      <c r="M136" s="3" t="n">
        <v>22931</v>
      </c>
      <c r="N136" s="4" t="n">
        <v>1436.16</v>
      </c>
      <c r="O136" s="4" t="n">
        <v>2861.09</v>
      </c>
      <c r="P136" s="4" t="n">
        <v>62291.36</v>
      </c>
    </row>
    <row r="137">
      <c r="A137" s="5" t="n">
        <v>40360</v>
      </c>
      <c r="B137" s="2" t="inlineStr">
        <is>
          <t>2010-2011</t>
        </is>
      </c>
      <c r="C137" s="2" t="inlineStr">
        <is>
          <t>Q2FY11</t>
        </is>
      </c>
      <c r="D137" s="3" t="n">
        <v>1497</v>
      </c>
      <c r="E137" s="3" t="n">
        <v>45</v>
      </c>
      <c r="F137" s="3" t="n">
        <v>1392</v>
      </c>
      <c r="G137" s="3" t="n">
        <v>22</v>
      </c>
      <c r="H137" s="3" t="n">
        <v>1470</v>
      </c>
      <c r="I137" s="4" t="n">
        <v>12.19</v>
      </c>
      <c r="J137" s="4" t="n">
        <v>1394.17</v>
      </c>
      <c r="K137" s="4" t="n">
        <v>2785.51</v>
      </c>
      <c r="L137" s="4" t="n">
        <v>126.61</v>
      </c>
      <c r="M137" s="3" t="n">
        <v>22850</v>
      </c>
      <c r="N137" s="4" t="n">
        <v>1394.17</v>
      </c>
      <c r="O137" s="4" t="n">
        <v>2785.51</v>
      </c>
      <c r="P137" s="4" t="n">
        <v>63401.2</v>
      </c>
    </row>
    <row r="138">
      <c r="A138" s="5" t="n">
        <v>40391</v>
      </c>
      <c r="B138" s="2" t="inlineStr">
        <is>
          <t>2010-2011</t>
        </is>
      </c>
      <c r="C138" s="2" t="inlineStr">
        <is>
          <t>Q2FY11</t>
        </is>
      </c>
      <c r="D138" s="3" t="n">
        <v>1504</v>
      </c>
      <c r="E138" s="3" t="n">
        <v>54</v>
      </c>
      <c r="F138" s="3" t="n">
        <v>1408</v>
      </c>
      <c r="G138" s="3" t="n">
        <v>22</v>
      </c>
      <c r="H138" s="3" t="n">
        <v>1553</v>
      </c>
      <c r="I138" s="4" t="n">
        <v>13.61</v>
      </c>
      <c r="J138" s="4" t="n">
        <v>1524.67</v>
      </c>
      <c r="K138" s="4" t="n">
        <v>3119.94</v>
      </c>
      <c r="L138" s="4" t="n">
        <v>141.82</v>
      </c>
      <c r="M138" s="3" t="n">
        <v>22925</v>
      </c>
      <c r="N138" s="4" t="n">
        <v>1524.67</v>
      </c>
      <c r="O138" s="4" t="n">
        <v>3119.94</v>
      </c>
      <c r="P138" s="4" t="n">
        <v>63934.18</v>
      </c>
    </row>
    <row r="139">
      <c r="A139" s="5" t="n">
        <v>40422</v>
      </c>
      <c r="B139" s="2" t="inlineStr">
        <is>
          <t>2010-2011</t>
        </is>
      </c>
      <c r="C139" s="2" t="inlineStr">
        <is>
          <t>Q2FY11</t>
        </is>
      </c>
      <c r="D139" s="3" t="n">
        <v>1484</v>
      </c>
      <c r="E139" s="3" t="n">
        <v>36</v>
      </c>
      <c r="F139" s="3" t="n">
        <v>1374</v>
      </c>
      <c r="G139" s="3" t="n">
        <v>21</v>
      </c>
      <c r="H139" s="3" t="n">
        <v>1505</v>
      </c>
      <c r="I139" s="4" t="n">
        <v>13.69</v>
      </c>
      <c r="J139" s="4" t="n">
        <v>1732.85</v>
      </c>
      <c r="K139" s="4" t="n">
        <v>3298.69</v>
      </c>
      <c r="L139" s="4" t="n">
        <v>157.08</v>
      </c>
      <c r="M139" s="3" t="n">
        <v>24095</v>
      </c>
      <c r="N139" s="4" t="n">
        <v>1732.85</v>
      </c>
      <c r="O139" s="4" t="n">
        <v>3298.69</v>
      </c>
      <c r="P139" s="4" t="n">
        <v>69585.34</v>
      </c>
    </row>
    <row r="140">
      <c r="A140" s="5" t="n">
        <v>40452</v>
      </c>
      <c r="B140" s="2" t="inlineStr">
        <is>
          <t>2010-2011</t>
        </is>
      </c>
      <c r="C140" s="2" t="inlineStr">
        <is>
          <t>Q3FY11</t>
        </is>
      </c>
      <c r="D140" s="3" t="n">
        <v>1530</v>
      </c>
      <c r="E140" s="3" t="n">
        <v>60</v>
      </c>
      <c r="F140" s="3" t="n">
        <v>1435</v>
      </c>
      <c r="G140" s="3" t="n">
        <v>21</v>
      </c>
      <c r="H140" s="3" t="n">
        <v>1522</v>
      </c>
      <c r="I140" s="4" t="n">
        <v>14.47</v>
      </c>
      <c r="J140" s="4" t="n">
        <v>1932.48</v>
      </c>
      <c r="K140" s="4" t="n">
        <v>3604.72</v>
      </c>
      <c r="L140" s="4" t="n">
        <v>171.65</v>
      </c>
      <c r="M140" s="3" t="n">
        <v>24920</v>
      </c>
      <c r="N140" s="4" t="n">
        <v>1932.48</v>
      </c>
      <c r="O140" s="4" t="n">
        <v>3604.72</v>
      </c>
      <c r="P140" s="4" t="n">
        <v>70550.94</v>
      </c>
    </row>
    <row r="141">
      <c r="A141" s="5" t="n">
        <v>40483</v>
      </c>
      <c r="B141" s="2" t="inlineStr">
        <is>
          <t>2010-2011</t>
        </is>
      </c>
      <c r="C141" s="2" t="inlineStr">
        <is>
          <t>Q3FY11</t>
        </is>
      </c>
      <c r="D141" s="3" t="n">
        <v>1536</v>
      </c>
      <c r="E141" s="3" t="n">
        <v>59</v>
      </c>
      <c r="F141" s="3" t="n">
        <v>1440</v>
      </c>
      <c r="G141" s="3" t="n">
        <v>21</v>
      </c>
      <c r="H141" s="3" t="n">
        <v>1538</v>
      </c>
      <c r="I141" s="4" t="n">
        <v>14.13</v>
      </c>
      <c r="J141" s="4" t="n">
        <v>1882.17</v>
      </c>
      <c r="K141" s="4" t="n">
        <v>3639.93</v>
      </c>
      <c r="L141" s="4" t="n">
        <v>173.33</v>
      </c>
      <c r="M141" s="3" t="n">
        <v>25751</v>
      </c>
      <c r="N141" s="4" t="n">
        <v>1882.17</v>
      </c>
      <c r="O141" s="4" t="n">
        <v>3639.93</v>
      </c>
      <c r="P141" s="4" t="n">
        <v>68949.12</v>
      </c>
    </row>
    <row r="142">
      <c r="A142" s="5" t="n">
        <v>40513</v>
      </c>
      <c r="B142" s="2" t="inlineStr">
        <is>
          <t>2010-2011</t>
        </is>
      </c>
      <c r="C142" s="2" t="inlineStr">
        <is>
          <t>Q3FY11</t>
        </is>
      </c>
      <c r="D142" s="3" t="n">
        <v>1552</v>
      </c>
      <c r="E142" s="3" t="n">
        <v>59</v>
      </c>
      <c r="F142" s="3" t="n">
        <v>1456</v>
      </c>
      <c r="G142" s="3" t="n">
        <v>22</v>
      </c>
      <c r="H142" s="3" t="n">
        <v>1623</v>
      </c>
      <c r="I142" s="4" t="n">
        <v>13.07</v>
      </c>
      <c r="J142" s="4" t="n">
        <v>1511.08</v>
      </c>
      <c r="K142" s="4" t="n">
        <v>2956.85</v>
      </c>
      <c r="L142" s="4" t="n">
        <v>134.4</v>
      </c>
      <c r="M142" s="3" t="n">
        <v>22631</v>
      </c>
      <c r="N142" s="4" t="n">
        <v>1511.08</v>
      </c>
      <c r="O142" s="4" t="n">
        <v>2956.85</v>
      </c>
      <c r="P142" s="4" t="n">
        <v>71393.10000000001</v>
      </c>
    </row>
    <row r="143">
      <c r="A143" s="5" t="n">
        <v>40544</v>
      </c>
      <c r="B143" s="2" t="inlineStr">
        <is>
          <t>2010-2011</t>
        </is>
      </c>
      <c r="C143" s="2" t="inlineStr">
        <is>
          <t>Q4FY11</t>
        </is>
      </c>
      <c r="D143" s="3" t="n">
        <v>1558</v>
      </c>
      <c r="E143" s="3" t="n">
        <v>59</v>
      </c>
      <c r="F143" s="3" t="n">
        <v>1462</v>
      </c>
      <c r="G143" s="3" t="n">
        <v>20</v>
      </c>
      <c r="H143" s="3" t="n">
        <v>1549</v>
      </c>
      <c r="I143" s="4" t="n">
        <v>11.84</v>
      </c>
      <c r="J143" s="4" t="n">
        <v>1302.17</v>
      </c>
      <c r="K143" s="4" t="n">
        <v>2673.32</v>
      </c>
      <c r="L143" s="4" t="n">
        <v>133.67</v>
      </c>
      <c r="M143" s="3" t="n">
        <v>22578</v>
      </c>
      <c r="N143" s="4" t="n">
        <v>1302.17</v>
      </c>
      <c r="O143" s="4" t="n">
        <v>2673.32</v>
      </c>
      <c r="P143" s="4" t="n">
        <v>64414.91</v>
      </c>
    </row>
    <row r="144">
      <c r="A144" s="5" t="n">
        <v>40575</v>
      </c>
      <c r="B144" s="2" t="inlineStr">
        <is>
          <t>2010-2011</t>
        </is>
      </c>
      <c r="C144" s="2" t="inlineStr">
        <is>
          <t>Q4FY11</t>
        </is>
      </c>
      <c r="D144" s="3" t="n">
        <v>1563</v>
      </c>
      <c r="E144" s="3" t="n">
        <v>61</v>
      </c>
      <c r="F144" s="3" t="n">
        <v>1470</v>
      </c>
      <c r="G144" s="3" t="n">
        <v>20</v>
      </c>
      <c r="H144" s="3" t="n">
        <v>1543</v>
      </c>
      <c r="I144" s="4" t="n">
        <v>12.78</v>
      </c>
      <c r="J144" s="4" t="n">
        <v>1411.68</v>
      </c>
      <c r="K144" s="4" t="n">
        <v>2665.04</v>
      </c>
      <c r="L144" s="4" t="n">
        <v>133.25</v>
      </c>
      <c r="M144" s="3" t="n">
        <v>20851</v>
      </c>
      <c r="N144" s="4" t="n">
        <v>1411.68</v>
      </c>
      <c r="O144" s="4" t="n">
        <v>2665.04</v>
      </c>
      <c r="P144" s="4" t="n">
        <v>61959.67</v>
      </c>
    </row>
    <row r="145">
      <c r="A145" s="5" t="n">
        <v>40603</v>
      </c>
      <c r="B145" s="2" t="inlineStr">
        <is>
          <t>2010-2011</t>
        </is>
      </c>
      <c r="C145" s="2" t="inlineStr">
        <is>
          <t>Q4FY11</t>
        </is>
      </c>
      <c r="D145" s="3" t="n">
        <v>1574</v>
      </c>
      <c r="E145" s="3" t="n">
        <v>61</v>
      </c>
      <c r="F145" s="3" t="n">
        <v>1484</v>
      </c>
      <c r="G145" s="3" t="n">
        <v>22</v>
      </c>
      <c r="H145" s="3" t="n">
        <v>1607</v>
      </c>
      <c r="I145" s="4" t="n">
        <v>12.27</v>
      </c>
      <c r="J145" s="4" t="n">
        <v>1279</v>
      </c>
      <c r="K145" s="4" t="n">
        <v>2557.12</v>
      </c>
      <c r="L145" s="4" t="n">
        <v>116.23</v>
      </c>
      <c r="M145" s="3" t="n">
        <v>20839</v>
      </c>
      <c r="N145" s="4" t="n">
        <v>1279</v>
      </c>
      <c r="O145" s="4" t="n">
        <v>2557.12</v>
      </c>
      <c r="P145" s="4" t="n">
        <v>67026.16</v>
      </c>
    </row>
    <row r="146">
      <c r="A146" s="5" t="n">
        <v>40634</v>
      </c>
      <c r="B146" s="2" t="inlineStr">
        <is>
          <t>2011-2012</t>
        </is>
      </c>
      <c r="C146" s="2" t="inlineStr">
        <is>
          <t>Q1FY12</t>
        </is>
      </c>
      <c r="D146" s="3" t="n">
        <v>1578</v>
      </c>
      <c r="E146" s="3" t="n">
        <v>61</v>
      </c>
      <c r="F146" s="3" t="n">
        <v>1488</v>
      </c>
      <c r="G146" s="3" t="n">
        <v>18</v>
      </c>
      <c r="H146" s="3" t="n">
        <v>1589</v>
      </c>
      <c r="I146" s="4" t="n">
        <v>10.73</v>
      </c>
      <c r="J146" s="4" t="n">
        <v>1294.29</v>
      </c>
      <c r="K146" s="4" t="n">
        <v>2283.48</v>
      </c>
      <c r="L146" s="4" t="n">
        <v>126.86</v>
      </c>
      <c r="M146" s="3" t="n">
        <v>21281</v>
      </c>
      <c r="N146" s="4" t="n">
        <v>1294.29</v>
      </c>
      <c r="O146" s="4" t="n">
        <v>2283.48</v>
      </c>
      <c r="P146" s="4" t="n">
        <v>67536.14</v>
      </c>
    </row>
    <row r="147">
      <c r="A147" s="5" t="n">
        <v>40664</v>
      </c>
      <c r="B147" s="2" t="inlineStr">
        <is>
          <t>2011-2012</t>
        </is>
      </c>
      <c r="C147" s="2" t="inlineStr">
        <is>
          <t>Q1FY12</t>
        </is>
      </c>
      <c r="D147" s="3" t="n">
        <v>1585</v>
      </c>
      <c r="E147" s="3" t="n">
        <v>61</v>
      </c>
      <c r="F147" s="3" t="n">
        <v>1495</v>
      </c>
      <c r="G147" s="3" t="n">
        <v>22</v>
      </c>
      <c r="H147" s="3" t="n">
        <v>1560</v>
      </c>
      <c r="I147" s="4" t="n">
        <v>11.51</v>
      </c>
      <c r="J147" s="4" t="n">
        <v>1158.57</v>
      </c>
      <c r="K147" s="4" t="n">
        <v>2338.76</v>
      </c>
      <c r="L147" s="4" t="n">
        <v>106.31</v>
      </c>
      <c r="M147" s="3" t="n">
        <v>21281</v>
      </c>
      <c r="N147" s="4" t="n">
        <v>1158.57</v>
      </c>
      <c r="O147" s="4" t="n">
        <v>2338.76</v>
      </c>
      <c r="P147" s="4" t="n">
        <v>65697.42999999999</v>
      </c>
    </row>
    <row r="148">
      <c r="A148" s="5" t="n">
        <v>40695</v>
      </c>
      <c r="B148" s="2" t="inlineStr">
        <is>
          <t>2011-2012</t>
        </is>
      </c>
      <c r="C148" s="2" t="inlineStr">
        <is>
          <t>Q1FY12</t>
        </is>
      </c>
      <c r="D148" s="3" t="n">
        <v>1599</v>
      </c>
      <c r="E148" s="3" t="n">
        <v>61</v>
      </c>
      <c r="F148" s="3" t="n">
        <v>1509</v>
      </c>
      <c r="G148" s="3" t="n">
        <v>22</v>
      </c>
      <c r="H148" s="3" t="n">
        <v>1663</v>
      </c>
      <c r="I148" s="4" t="n">
        <v>11.59</v>
      </c>
      <c r="J148" s="4" t="n">
        <v>1222.99</v>
      </c>
      <c r="K148" s="4" t="n">
        <v>2224.57</v>
      </c>
      <c r="L148" s="4" t="n">
        <v>101.12</v>
      </c>
      <c r="M148" s="3" t="n">
        <v>19188</v>
      </c>
      <c r="N148" s="4" t="n">
        <v>1222.99</v>
      </c>
      <c r="O148" s="4" t="n">
        <v>2224.57</v>
      </c>
      <c r="P148" s="4" t="n">
        <v>65747.42999999999</v>
      </c>
    </row>
    <row r="149">
      <c r="A149" s="5" t="n">
        <v>40725</v>
      </c>
      <c r="B149" s="2" t="inlineStr">
        <is>
          <t>2011-2012</t>
        </is>
      </c>
      <c r="C149" s="2" t="inlineStr">
        <is>
          <t>Q2FY12</t>
        </is>
      </c>
      <c r="D149" s="3" t="n">
        <v>1606</v>
      </c>
      <c r="E149" s="3" t="n">
        <v>60</v>
      </c>
      <c r="F149" s="3" t="n">
        <v>1514</v>
      </c>
      <c r="G149" s="3" t="n">
        <v>21</v>
      </c>
      <c r="H149" s="3" t="n">
        <v>1600</v>
      </c>
      <c r="I149" s="4" t="n">
        <v>11.58</v>
      </c>
      <c r="J149" s="4" t="n">
        <v>1225.9</v>
      </c>
      <c r="K149" s="4" t="n">
        <v>2300.03</v>
      </c>
      <c r="L149" s="4" t="n">
        <v>109.53</v>
      </c>
      <c r="M149" s="3" t="n">
        <v>19862</v>
      </c>
      <c r="N149" s="4" t="n">
        <v>1225.9</v>
      </c>
      <c r="O149" s="4" t="n">
        <v>2300.03</v>
      </c>
      <c r="P149" s="4" t="n">
        <v>64622.38</v>
      </c>
    </row>
    <row r="150">
      <c r="A150" s="5" t="n">
        <v>40756</v>
      </c>
      <c r="B150" s="2" t="inlineStr">
        <is>
          <t>2011-2012</t>
        </is>
      </c>
      <c r="C150" s="2" t="inlineStr">
        <is>
          <t>Q2FY12</t>
        </is>
      </c>
      <c r="D150" s="3" t="n">
        <v>1615</v>
      </c>
      <c r="E150" s="3" t="n">
        <v>60</v>
      </c>
      <c r="F150" s="3" t="n">
        <v>1523</v>
      </c>
      <c r="G150" s="3" t="n">
        <v>21</v>
      </c>
      <c r="H150" s="3" t="n">
        <v>1611</v>
      </c>
      <c r="I150" s="4" t="n">
        <v>12.36</v>
      </c>
      <c r="J150" s="4" t="n">
        <v>1331.1</v>
      </c>
      <c r="K150" s="4" t="n">
        <v>2352.53</v>
      </c>
      <c r="L150" s="4" t="n">
        <v>112.03</v>
      </c>
      <c r="M150" s="3" t="n">
        <v>19036</v>
      </c>
      <c r="N150" s="4" t="n">
        <v>1331.1</v>
      </c>
      <c r="O150" s="4" t="n">
        <v>2352.53</v>
      </c>
      <c r="P150" s="4" t="n">
        <v>59216.84</v>
      </c>
    </row>
    <row r="151">
      <c r="A151" s="5" t="n">
        <v>40787</v>
      </c>
      <c r="B151" s="2" t="inlineStr">
        <is>
          <t>2011-2012</t>
        </is>
      </c>
      <c r="C151" s="2" t="inlineStr">
        <is>
          <t>Q2FY12</t>
        </is>
      </c>
      <c r="D151" s="3" t="n">
        <v>1622</v>
      </c>
      <c r="E151" s="3" t="n">
        <v>60</v>
      </c>
      <c r="F151" s="3" t="n">
        <v>1530</v>
      </c>
      <c r="G151" s="3" t="n">
        <v>21</v>
      </c>
      <c r="H151" s="3" t="n">
        <v>1698</v>
      </c>
      <c r="I151" s="4" t="n">
        <v>12.26</v>
      </c>
      <c r="J151" s="4" t="n">
        <v>1322.98</v>
      </c>
      <c r="K151" s="4" t="n">
        <v>2352.7</v>
      </c>
      <c r="L151" s="4" t="n">
        <v>112.03</v>
      </c>
      <c r="M151" s="3" t="n">
        <v>19191</v>
      </c>
      <c r="N151" s="4" t="n">
        <v>1322.98</v>
      </c>
      <c r="O151" s="4" t="n">
        <v>2352.7</v>
      </c>
      <c r="P151" s="4" t="n">
        <v>58203.34</v>
      </c>
    </row>
    <row r="152">
      <c r="A152" s="5" t="n">
        <v>40817</v>
      </c>
      <c r="B152" s="2" t="inlineStr">
        <is>
          <t>2011-2012</t>
        </is>
      </c>
      <c r="C152" s="2" t="inlineStr">
        <is>
          <t>Q3FY12</t>
        </is>
      </c>
      <c r="D152" s="3" t="n">
        <v>1631</v>
      </c>
      <c r="E152" s="3" t="n">
        <v>66</v>
      </c>
      <c r="F152" s="3" t="n">
        <v>1543</v>
      </c>
      <c r="G152" s="3" t="n">
        <v>19</v>
      </c>
      <c r="H152" s="3" t="n">
        <v>1614</v>
      </c>
      <c r="I152" s="4" t="n">
        <v>10.08</v>
      </c>
      <c r="J152" s="4" t="n">
        <v>1012.05</v>
      </c>
      <c r="K152" s="4" t="n">
        <v>1932.93</v>
      </c>
      <c r="L152" s="4" t="n">
        <v>101.73</v>
      </c>
      <c r="M152" s="3" t="n">
        <v>19185</v>
      </c>
      <c r="N152" s="4" t="n">
        <v>1012.05</v>
      </c>
      <c r="O152" s="4" t="n">
        <v>1932.93</v>
      </c>
      <c r="P152" s="4" t="n">
        <v>61018.91</v>
      </c>
    </row>
    <row r="153">
      <c r="A153" s="5" t="n">
        <v>40848</v>
      </c>
      <c r="B153" s="2" t="inlineStr">
        <is>
          <t>2011-2012</t>
        </is>
      </c>
      <c r="C153" s="2" t="inlineStr">
        <is>
          <t>Q3FY12</t>
        </is>
      </c>
      <c r="D153" s="3" t="n">
        <v>1633</v>
      </c>
      <c r="E153" s="3" t="n">
        <v>66</v>
      </c>
      <c r="F153" s="3" t="n">
        <v>1545</v>
      </c>
      <c r="G153" s="3" t="n">
        <v>20</v>
      </c>
      <c r="H153" s="3" t="n">
        <v>1640</v>
      </c>
      <c r="I153" s="4" t="n">
        <v>11.14</v>
      </c>
      <c r="J153" s="4" t="n">
        <v>1238.04</v>
      </c>
      <c r="K153" s="4" t="n">
        <v>2063.44</v>
      </c>
      <c r="L153" s="4" t="n">
        <v>103.17</v>
      </c>
      <c r="M153" s="3" t="n">
        <v>18522</v>
      </c>
      <c r="N153" s="4" t="n">
        <v>1238.04</v>
      </c>
      <c r="O153" s="4" t="n">
        <v>2063.44</v>
      </c>
      <c r="P153" s="4" t="n">
        <v>55477.23</v>
      </c>
    </row>
    <row r="154">
      <c r="A154" s="5" t="n">
        <v>40878</v>
      </c>
      <c r="B154" s="2" t="inlineStr">
        <is>
          <t>2011-2012</t>
        </is>
      </c>
      <c r="C154" s="2" t="inlineStr">
        <is>
          <t>Q3FY12</t>
        </is>
      </c>
      <c r="D154" s="3" t="n">
        <v>1640</v>
      </c>
      <c r="E154" s="3" t="n">
        <v>71</v>
      </c>
      <c r="F154" s="3" t="n">
        <v>1556</v>
      </c>
      <c r="G154" s="3" t="n">
        <v>21</v>
      </c>
      <c r="H154" s="3" t="n">
        <v>1675</v>
      </c>
      <c r="I154" s="4" t="n">
        <v>10.76</v>
      </c>
      <c r="J154" s="4" t="n">
        <v>1151.15</v>
      </c>
      <c r="K154" s="4" t="n">
        <v>1888.86</v>
      </c>
      <c r="L154" s="4" t="n">
        <v>89.95</v>
      </c>
      <c r="M154" s="3" t="n">
        <v>17562</v>
      </c>
      <c r="N154" s="4" t="n">
        <v>1151.15</v>
      </c>
      <c r="O154" s="4" t="n">
        <v>1888.86</v>
      </c>
      <c r="P154" s="4" t="n">
        <v>52322.73</v>
      </c>
    </row>
    <row r="155">
      <c r="A155" s="5" t="n">
        <v>40909</v>
      </c>
      <c r="B155" s="2" t="inlineStr">
        <is>
          <t>2011-2012</t>
        </is>
      </c>
      <c r="C155" s="2" t="inlineStr">
        <is>
          <t>Q4FY12</t>
        </is>
      </c>
      <c r="D155" s="3" t="n">
        <v>1641</v>
      </c>
      <c r="E155" s="3" t="n">
        <v>71</v>
      </c>
      <c r="F155" s="3" t="n">
        <v>1557</v>
      </c>
      <c r="G155" s="3" t="n">
        <v>22</v>
      </c>
      <c r="H155" s="3" t="n">
        <v>1721</v>
      </c>
      <c r="I155" s="4" t="n">
        <v>13.12</v>
      </c>
      <c r="J155" s="4" t="n">
        <v>1483.03</v>
      </c>
      <c r="K155" s="4" t="n">
        <v>2368.72</v>
      </c>
      <c r="L155" s="4" t="n">
        <v>107.67</v>
      </c>
      <c r="M155" s="3" t="n">
        <v>18050</v>
      </c>
      <c r="N155" s="4" t="n">
        <v>1483.03</v>
      </c>
      <c r="O155" s="4" t="n">
        <v>2368.72</v>
      </c>
      <c r="P155" s="4" t="n">
        <v>59370.39</v>
      </c>
    </row>
    <row r="156">
      <c r="A156" s="5" t="n">
        <v>40940</v>
      </c>
      <c r="B156" s="2" t="inlineStr">
        <is>
          <t>2011-2012</t>
        </is>
      </c>
      <c r="C156" s="2" t="inlineStr">
        <is>
          <t>Q4FY12</t>
        </is>
      </c>
      <c r="D156" s="3" t="n">
        <v>1644</v>
      </c>
      <c r="E156" s="3" t="n">
        <v>71</v>
      </c>
      <c r="F156" s="3" t="n">
        <v>1560</v>
      </c>
      <c r="G156" s="3" t="n">
        <v>20</v>
      </c>
      <c r="H156" s="3" t="n">
        <v>1649</v>
      </c>
      <c r="I156" s="4" t="n">
        <v>15.35</v>
      </c>
      <c r="J156" s="4" t="n">
        <v>2079.91</v>
      </c>
      <c r="K156" s="4" t="n">
        <v>3278.08</v>
      </c>
      <c r="L156" s="4" t="n">
        <v>163.9</v>
      </c>
      <c r="M156" s="3" t="n">
        <v>21353</v>
      </c>
      <c r="N156" s="4" t="n">
        <v>2079.91</v>
      </c>
      <c r="O156" s="4" t="n">
        <v>3278.08</v>
      </c>
      <c r="P156" s="4" t="n">
        <v>62332.5</v>
      </c>
    </row>
    <row r="157">
      <c r="A157" s="5" t="n">
        <v>40969</v>
      </c>
      <c r="B157" s="2" t="inlineStr">
        <is>
          <t>2011-2012</t>
        </is>
      </c>
      <c r="C157" s="2" t="inlineStr">
        <is>
          <t>Q4FY12</t>
        </is>
      </c>
      <c r="D157" s="3" t="n">
        <v>1646</v>
      </c>
      <c r="E157" s="3" t="n">
        <v>73</v>
      </c>
      <c r="F157" s="3" t="n">
        <v>1563</v>
      </c>
      <c r="G157" s="3" t="n">
        <v>22</v>
      </c>
      <c r="H157" s="3" t="n">
        <v>1807</v>
      </c>
      <c r="I157" s="4" t="n">
        <v>13.29</v>
      </c>
      <c r="J157" s="4" t="n">
        <v>1649.78</v>
      </c>
      <c r="K157" s="4" t="n">
        <v>2724.82</v>
      </c>
      <c r="L157" s="4" t="n">
        <v>123.86</v>
      </c>
      <c r="M157" s="3" t="n">
        <v>20503</v>
      </c>
      <c r="N157" s="4" t="n">
        <v>1649.78</v>
      </c>
      <c r="O157" s="4" t="n">
        <v>2724.82</v>
      </c>
      <c r="P157" s="4" t="n">
        <v>60965.18</v>
      </c>
    </row>
    <row r="158">
      <c r="A158" s="5" t="n">
        <v>41000</v>
      </c>
      <c r="B158" s="2" t="inlineStr">
        <is>
          <t>2012-2013</t>
        </is>
      </c>
      <c r="C158" s="2" t="inlineStr">
        <is>
          <t>Q1FY13</t>
        </is>
      </c>
      <c r="D158" s="3" t="n">
        <v>1649</v>
      </c>
      <c r="E158" s="3" t="n">
        <v>72</v>
      </c>
      <c r="F158" s="3" t="n">
        <v>1564</v>
      </c>
      <c r="G158" s="3" t="n">
        <v>20</v>
      </c>
      <c r="H158" s="3" t="n">
        <v>1650</v>
      </c>
      <c r="I158" s="4" t="n">
        <v>9.99</v>
      </c>
      <c r="J158" s="4" t="n">
        <v>1167.55</v>
      </c>
      <c r="K158" s="4" t="n">
        <v>1983.24</v>
      </c>
      <c r="L158" s="4" t="n">
        <v>99.16</v>
      </c>
      <c r="M158" s="3" t="n">
        <v>19847</v>
      </c>
      <c r="N158" s="4" t="n">
        <v>1167.55</v>
      </c>
      <c r="O158" s="4" t="n">
        <v>1983.24</v>
      </c>
      <c r="P158" s="4" t="n">
        <v>60592.58</v>
      </c>
    </row>
    <row r="159">
      <c r="A159" s="5" t="n">
        <v>41030</v>
      </c>
      <c r="B159" s="2" t="inlineStr">
        <is>
          <t>2012-2013</t>
        </is>
      </c>
      <c r="C159" s="2" t="inlineStr">
        <is>
          <t>Q1FY13</t>
        </is>
      </c>
      <c r="D159" s="3" t="n">
        <v>1651</v>
      </c>
      <c r="E159" s="3" t="n">
        <v>73</v>
      </c>
      <c r="F159" s="3" t="n">
        <v>1564</v>
      </c>
      <c r="G159" s="3" t="n">
        <v>22</v>
      </c>
      <c r="H159" s="3" t="n">
        <v>1644</v>
      </c>
      <c r="I159" s="4" t="n">
        <v>11.43</v>
      </c>
      <c r="J159" s="4" t="n">
        <v>1299.97</v>
      </c>
      <c r="K159" s="4" t="n">
        <v>2167.55</v>
      </c>
      <c r="L159" s="4" t="n">
        <v>98.52</v>
      </c>
      <c r="M159" s="3" t="n">
        <v>18958</v>
      </c>
      <c r="N159" s="4" t="n">
        <v>1299.97</v>
      </c>
      <c r="O159" s="4" t="n">
        <v>2167.55</v>
      </c>
      <c r="P159" s="4" t="n">
        <v>56955.47</v>
      </c>
    </row>
    <row r="160">
      <c r="A160" s="5" t="n">
        <v>41061</v>
      </c>
      <c r="B160" s="2" t="inlineStr">
        <is>
          <t>2012-2013</t>
        </is>
      </c>
      <c r="C160" s="2" t="inlineStr">
        <is>
          <t>Q1FY13</t>
        </is>
      </c>
      <c r="D160" s="3" t="n">
        <v>1648</v>
      </c>
      <c r="E160" s="3" t="n">
        <v>73</v>
      </c>
      <c r="F160" s="3" t="n">
        <v>1564</v>
      </c>
      <c r="G160" s="3" t="n">
        <v>21</v>
      </c>
      <c r="H160" s="3" t="n">
        <v>1747</v>
      </c>
      <c r="I160" s="4" t="n">
        <v>10.58</v>
      </c>
      <c r="J160" s="4" t="n">
        <v>1250.22</v>
      </c>
      <c r="K160" s="4" t="n">
        <v>2021.04</v>
      </c>
      <c r="L160" s="4" t="n">
        <v>96.23999999999999</v>
      </c>
      <c r="M160" s="3" t="n">
        <v>19094</v>
      </c>
      <c r="N160" s="4" t="n">
        <v>1250.22</v>
      </c>
      <c r="O160" s="4" t="n">
        <v>2021.04</v>
      </c>
      <c r="P160" s="4" t="n">
        <v>60267.66</v>
      </c>
    </row>
    <row r="161">
      <c r="A161" s="5" t="n">
        <v>41091</v>
      </c>
      <c r="B161" s="2" t="inlineStr">
        <is>
          <t>2012-2013</t>
        </is>
      </c>
      <c r="C161" s="2" t="inlineStr">
        <is>
          <t>Q2FY13</t>
        </is>
      </c>
      <c r="D161" s="3" t="n">
        <v>1652</v>
      </c>
      <c r="E161" s="3" t="n">
        <v>73</v>
      </c>
      <c r="F161" s="3" t="n">
        <v>1566</v>
      </c>
      <c r="G161" s="3" t="n">
        <v>22</v>
      </c>
      <c r="H161" s="3" t="n">
        <v>1690</v>
      </c>
      <c r="I161" s="4" t="n">
        <v>10.99</v>
      </c>
      <c r="J161" s="4" t="n">
        <v>1381.97</v>
      </c>
      <c r="K161" s="4" t="n">
        <v>2103.25</v>
      </c>
      <c r="L161" s="4" t="n">
        <v>95.59999999999999</v>
      </c>
      <c r="M161" s="3" t="n">
        <v>19140</v>
      </c>
      <c r="N161" s="4" t="n">
        <v>1381.97</v>
      </c>
      <c r="O161" s="4" t="n">
        <v>2103.25</v>
      </c>
      <c r="P161" s="4" t="n">
        <v>59515.4</v>
      </c>
    </row>
    <row r="162">
      <c r="A162" s="5" t="n">
        <v>41122</v>
      </c>
      <c r="B162" s="2" t="inlineStr">
        <is>
          <t>2012-2013</t>
        </is>
      </c>
      <c r="C162" s="2" t="inlineStr">
        <is>
          <t>Q2FY13</t>
        </is>
      </c>
      <c r="D162" s="3" t="n">
        <v>1652</v>
      </c>
      <c r="E162" s="3" t="n">
        <v>76</v>
      </c>
      <c r="F162" s="3" t="n">
        <v>1568</v>
      </c>
      <c r="G162" s="3" t="n">
        <v>21</v>
      </c>
      <c r="H162" s="3" t="n">
        <v>1769</v>
      </c>
      <c r="I162" s="4" t="n">
        <v>10.56</v>
      </c>
      <c r="J162" s="4" t="n">
        <v>1218.47</v>
      </c>
      <c r="K162" s="4" t="n">
        <v>2048.74</v>
      </c>
      <c r="L162" s="4" t="n">
        <v>97.56</v>
      </c>
      <c r="M162" s="3" t="n">
        <v>19399</v>
      </c>
      <c r="N162" s="4" t="n">
        <v>1218.47</v>
      </c>
      <c r="O162" s="4" t="n">
        <v>2048.74</v>
      </c>
      <c r="P162" s="4" t="n">
        <v>59425.1</v>
      </c>
    </row>
    <row r="163">
      <c r="A163" s="5" t="n">
        <v>41153</v>
      </c>
      <c r="B163" s="2" t="inlineStr">
        <is>
          <t>2012-2013</t>
        </is>
      </c>
      <c r="C163" s="2" t="inlineStr">
        <is>
          <t>Q2FY13</t>
        </is>
      </c>
      <c r="D163" s="3" t="n">
        <v>1657</v>
      </c>
      <c r="E163" s="3" t="n">
        <v>76</v>
      </c>
      <c r="F163" s="3" t="n">
        <v>1573</v>
      </c>
      <c r="G163" s="3" t="n">
        <v>20</v>
      </c>
      <c r="H163" s="3" t="n">
        <v>1665</v>
      </c>
      <c r="I163" s="4" t="n">
        <v>11.68</v>
      </c>
      <c r="J163" s="4" t="n">
        <v>1437.98</v>
      </c>
      <c r="K163" s="4" t="n">
        <v>2401.89</v>
      </c>
      <c r="L163" s="4" t="n">
        <v>120.09</v>
      </c>
      <c r="M163" s="3" t="n">
        <v>20557</v>
      </c>
      <c r="N163" s="4" t="n">
        <v>1437.98</v>
      </c>
      <c r="O163" s="4" t="n">
        <v>2401.89</v>
      </c>
      <c r="P163" s="4" t="n">
        <v>64316.55</v>
      </c>
    </row>
    <row r="164">
      <c r="A164" s="5" t="n">
        <v>41183</v>
      </c>
      <c r="B164" s="2" t="inlineStr">
        <is>
          <t>2012-2013</t>
        </is>
      </c>
      <c r="C164" s="2" t="inlineStr">
        <is>
          <t>Q3FY13</t>
        </is>
      </c>
      <c r="D164" s="3" t="n">
        <v>1660</v>
      </c>
      <c r="E164" s="3" t="n">
        <v>76</v>
      </c>
      <c r="F164" s="3" t="n">
        <v>1575</v>
      </c>
      <c r="G164" s="3" t="n">
        <v>21</v>
      </c>
      <c r="H164" s="3" t="n">
        <v>1694</v>
      </c>
      <c r="I164" s="4" t="n">
        <v>11.66</v>
      </c>
      <c r="J164" s="4" t="n">
        <v>1472.47</v>
      </c>
      <c r="K164" s="4" t="n">
        <v>2397.95</v>
      </c>
      <c r="L164" s="4" t="n">
        <v>114.19</v>
      </c>
      <c r="M164" s="3" t="n">
        <v>20563</v>
      </c>
      <c r="N164" s="4" t="n">
        <v>1472.47</v>
      </c>
      <c r="O164" s="4" t="n">
        <v>2397.95</v>
      </c>
      <c r="P164" s="4" t="n">
        <v>63376.76</v>
      </c>
    </row>
    <row r="165">
      <c r="A165" s="5" t="n">
        <v>41214</v>
      </c>
      <c r="B165" s="2" t="inlineStr">
        <is>
          <t>2012-2013</t>
        </is>
      </c>
      <c r="C165" s="2" t="inlineStr">
        <is>
          <t>Q3FY13</t>
        </is>
      </c>
      <c r="D165" s="3" t="n">
        <v>1661</v>
      </c>
      <c r="E165" s="3" t="n">
        <v>76</v>
      </c>
      <c r="F165" s="3" t="n">
        <v>1576</v>
      </c>
      <c r="G165" s="3" t="n">
        <v>21</v>
      </c>
      <c r="H165" s="3" t="n">
        <v>1687</v>
      </c>
      <c r="I165" s="4" t="n">
        <v>10.77</v>
      </c>
      <c r="J165" s="4" t="n">
        <v>1347.88</v>
      </c>
      <c r="K165" s="4" t="n">
        <v>2209.33</v>
      </c>
      <c r="L165" s="4" t="n">
        <v>105.21</v>
      </c>
      <c r="M165" s="3" t="n">
        <v>20515</v>
      </c>
      <c r="N165" s="4" t="n">
        <v>1347.88</v>
      </c>
      <c r="O165" s="4" t="n">
        <v>2209.33</v>
      </c>
      <c r="P165" s="4" t="n">
        <v>66030.05</v>
      </c>
    </row>
    <row r="166">
      <c r="A166" s="5" t="n">
        <v>41244</v>
      </c>
      <c r="B166" s="2" t="inlineStr">
        <is>
          <t>2012-2013</t>
        </is>
      </c>
      <c r="C166" s="2" t="inlineStr">
        <is>
          <t>Q3FY13</t>
        </is>
      </c>
      <c r="D166" s="3" t="n">
        <v>1665</v>
      </c>
      <c r="E166" s="3" t="n">
        <v>76</v>
      </c>
      <c r="F166" s="3" t="n">
        <v>1580</v>
      </c>
      <c r="G166" s="3" t="n">
        <v>20</v>
      </c>
      <c r="H166" s="3" t="n">
        <v>1716</v>
      </c>
      <c r="I166" s="4" t="n">
        <v>11.66</v>
      </c>
      <c r="J166" s="4" t="n">
        <v>1534.42</v>
      </c>
      <c r="K166" s="4" t="n">
        <v>2403.25</v>
      </c>
      <c r="L166" s="4" t="n">
        <v>120.16</v>
      </c>
      <c r="M166" s="3" t="n">
        <v>20608</v>
      </c>
      <c r="N166" s="4" t="n">
        <v>1534.42</v>
      </c>
      <c r="O166" s="4" t="n">
        <v>2403.25</v>
      </c>
      <c r="P166" s="4" t="n">
        <v>67637.81</v>
      </c>
    </row>
    <row r="167">
      <c r="A167" s="5" t="n">
        <v>41275</v>
      </c>
      <c r="B167" s="2" t="inlineStr">
        <is>
          <t>2012-2013</t>
        </is>
      </c>
      <c r="C167" s="2" t="inlineStr">
        <is>
          <t>Q4FY13</t>
        </is>
      </c>
      <c r="D167" s="3" t="n">
        <v>1664</v>
      </c>
      <c r="E167" s="3" t="n">
        <v>76</v>
      </c>
      <c r="F167" s="3" t="n">
        <v>1579</v>
      </c>
      <c r="G167" s="3" t="n">
        <v>23</v>
      </c>
      <c r="H167" s="3" t="n">
        <v>1692</v>
      </c>
      <c r="I167" s="4" t="n">
        <v>13.89</v>
      </c>
      <c r="J167" s="4" t="n">
        <v>1794.04</v>
      </c>
      <c r="K167" s="4" t="n">
        <v>2954.15</v>
      </c>
      <c r="L167" s="4" t="n">
        <v>128.44</v>
      </c>
      <c r="M167" s="3" t="n">
        <v>21266</v>
      </c>
      <c r="N167" s="4" t="n">
        <v>1794.04</v>
      </c>
      <c r="O167" s="4" t="n">
        <v>2954.15</v>
      </c>
      <c r="P167" s="4" t="n">
        <v>68586.53</v>
      </c>
    </row>
    <row r="168">
      <c r="A168" s="5" t="n">
        <v>41306</v>
      </c>
      <c r="B168" s="2" t="inlineStr">
        <is>
          <t>2012-2013</t>
        </is>
      </c>
      <c r="C168" s="2" t="inlineStr">
        <is>
          <t>Q4FY13</t>
        </is>
      </c>
      <c r="D168" s="3" t="n">
        <v>1665</v>
      </c>
      <c r="E168" s="3" t="n">
        <v>76</v>
      </c>
      <c r="F168" s="3" t="n">
        <v>1579</v>
      </c>
      <c r="G168" s="3" t="n">
        <v>20</v>
      </c>
      <c r="H168" s="3" t="n">
        <v>1673</v>
      </c>
      <c r="I168" s="4" t="n">
        <v>11.67</v>
      </c>
      <c r="J168" s="4" t="n">
        <v>1392.73</v>
      </c>
      <c r="K168" s="4" t="n">
        <v>2266.42</v>
      </c>
      <c r="L168" s="4" t="n">
        <v>113.32</v>
      </c>
      <c r="M168" s="3" t="n">
        <v>19413</v>
      </c>
      <c r="N168" s="4" t="n">
        <v>1392.73</v>
      </c>
      <c r="O168" s="4" t="n">
        <v>2266.42</v>
      </c>
      <c r="P168" s="4" t="n">
        <v>63852.91</v>
      </c>
    </row>
    <row r="169">
      <c r="A169" s="5" t="n">
        <v>41334</v>
      </c>
      <c r="B169" s="2" t="inlineStr">
        <is>
          <t>2012-2013</t>
        </is>
      </c>
      <c r="C169" s="2" t="inlineStr">
        <is>
          <t>Q4FY13</t>
        </is>
      </c>
      <c r="D169" s="3" t="n">
        <v>1666</v>
      </c>
      <c r="E169" s="3" t="n">
        <v>76</v>
      </c>
      <c r="F169" s="3" t="n">
        <v>1582</v>
      </c>
      <c r="G169" s="3" t="n">
        <v>19</v>
      </c>
      <c r="H169" s="3" t="n">
        <v>1683</v>
      </c>
      <c r="I169" s="4" t="n">
        <v>11.14</v>
      </c>
      <c r="J169" s="4" t="n">
        <v>1293.88</v>
      </c>
      <c r="K169" s="4" t="n">
        <v>2125.98</v>
      </c>
      <c r="L169" s="4" t="n">
        <v>111.89</v>
      </c>
      <c r="M169" s="3" t="n">
        <v>19076</v>
      </c>
      <c r="N169" s="4" t="n">
        <v>1293.88</v>
      </c>
      <c r="O169" s="4" t="n">
        <v>2125.98</v>
      </c>
      <c r="P169" s="4" t="n">
        <v>62390.35</v>
      </c>
    </row>
    <row r="170">
      <c r="A170" s="5" t="n">
        <v>41365</v>
      </c>
      <c r="B170" s="2" t="inlineStr">
        <is>
          <t>2013-2014</t>
        </is>
      </c>
      <c r="C170" s="2" t="inlineStr">
        <is>
          <t>Q1FY14</t>
        </is>
      </c>
      <c r="D170" s="3" t="n">
        <v>1671</v>
      </c>
      <c r="E170" s="3" t="n">
        <v>75</v>
      </c>
      <c r="F170" s="3" t="n">
        <v>1587</v>
      </c>
      <c r="G170" s="3" t="n">
        <v>20</v>
      </c>
      <c r="H170" s="3" t="n">
        <v>1719</v>
      </c>
      <c r="I170" s="4" t="n">
        <v>11.02</v>
      </c>
      <c r="J170" s="4" t="n">
        <v>1180.48</v>
      </c>
      <c r="K170" s="4" t="n">
        <v>2107.99</v>
      </c>
      <c r="L170" s="4" t="n">
        <v>105.4</v>
      </c>
      <c r="M170" s="3" t="n">
        <v>19122</v>
      </c>
      <c r="N170" s="4" t="n">
        <v>1180.48</v>
      </c>
      <c r="O170" s="4" t="n">
        <v>2107.99</v>
      </c>
      <c r="P170" s="4" t="n">
        <v>64903.73</v>
      </c>
    </row>
    <row r="171">
      <c r="A171" s="5" t="n">
        <v>41395</v>
      </c>
      <c r="B171" s="2" t="inlineStr">
        <is>
          <t>2013-2014</t>
        </is>
      </c>
      <c r="C171" s="2" t="inlineStr">
        <is>
          <t>Q1FY14</t>
        </is>
      </c>
      <c r="D171" s="3" t="n">
        <v>1673</v>
      </c>
      <c r="E171" s="3" t="n">
        <v>75</v>
      </c>
      <c r="F171" s="3" t="n">
        <v>1589</v>
      </c>
      <c r="G171" s="3" t="n">
        <v>23</v>
      </c>
      <c r="H171" s="3" t="n">
        <v>1670</v>
      </c>
      <c r="I171" s="4" t="n">
        <v>12.45</v>
      </c>
      <c r="J171" s="4" t="n">
        <v>1287.85</v>
      </c>
      <c r="K171" s="4" t="n">
        <v>2443.92</v>
      </c>
      <c r="L171" s="4" t="n">
        <v>106.26</v>
      </c>
      <c r="M171" s="3" t="n">
        <v>19625</v>
      </c>
      <c r="N171" s="4" t="n">
        <v>1287.85</v>
      </c>
      <c r="O171" s="4" t="n">
        <v>2443.92</v>
      </c>
      <c r="P171" s="4" t="n">
        <v>65182.27</v>
      </c>
    </row>
    <row r="172">
      <c r="A172" s="5" t="n">
        <v>41426</v>
      </c>
      <c r="B172" s="2" t="inlineStr">
        <is>
          <t>2013-2014</t>
        </is>
      </c>
      <c r="C172" s="2" t="inlineStr">
        <is>
          <t>Q1FY14</t>
        </is>
      </c>
      <c r="D172" s="3" t="n">
        <v>1633</v>
      </c>
      <c r="E172" s="3" t="n">
        <v>76</v>
      </c>
      <c r="F172" s="3" t="n">
        <v>1589</v>
      </c>
      <c r="G172" s="3" t="n">
        <v>20</v>
      </c>
      <c r="H172" s="3" t="n">
        <v>1743</v>
      </c>
      <c r="I172" s="4" t="n">
        <v>11.24</v>
      </c>
      <c r="J172" s="4" t="n">
        <v>1156.33</v>
      </c>
      <c r="K172" s="4" t="n">
        <v>2079.44</v>
      </c>
      <c r="L172" s="4" t="n">
        <v>103.97</v>
      </c>
      <c r="M172" s="3" t="n">
        <v>18500</v>
      </c>
      <c r="N172" s="4" t="n">
        <v>1156.33</v>
      </c>
      <c r="O172" s="4" t="n">
        <v>2079.44</v>
      </c>
      <c r="P172" s="4" t="n">
        <v>62484.42</v>
      </c>
    </row>
    <row r="173">
      <c r="A173" s="5" t="n">
        <v>41456</v>
      </c>
      <c r="B173" s="2" t="inlineStr">
        <is>
          <t>2013-2014</t>
        </is>
      </c>
      <c r="C173" s="2" t="inlineStr">
        <is>
          <t>Q2FY14</t>
        </is>
      </c>
      <c r="D173" s="3" t="n">
        <v>1672</v>
      </c>
      <c r="E173" s="3" t="n">
        <v>76</v>
      </c>
      <c r="F173" s="3" t="n">
        <v>1590</v>
      </c>
      <c r="G173" s="3" t="n">
        <v>23</v>
      </c>
      <c r="H173" s="3" t="n">
        <v>1684</v>
      </c>
      <c r="I173" s="4" t="n">
        <v>12.85</v>
      </c>
      <c r="J173" s="4" t="n">
        <v>1327.5</v>
      </c>
      <c r="K173" s="4" t="n">
        <v>2433.9</v>
      </c>
      <c r="L173" s="4" t="n">
        <v>105.82</v>
      </c>
      <c r="M173" s="3" t="n">
        <v>18946</v>
      </c>
      <c r="N173" s="4" t="n">
        <v>1327.5</v>
      </c>
      <c r="O173" s="4" t="n">
        <v>2433.9</v>
      </c>
      <c r="P173" s="4" t="n">
        <v>60987.79</v>
      </c>
    </row>
    <row r="174">
      <c r="A174" s="5" t="n">
        <v>41487</v>
      </c>
      <c r="B174" s="2" t="inlineStr">
        <is>
          <t>2013-2014</t>
        </is>
      </c>
      <c r="C174" s="2" t="inlineStr">
        <is>
          <t>Q2FY14</t>
        </is>
      </c>
      <c r="D174" s="3" t="n">
        <v>1672</v>
      </c>
      <c r="E174" s="3" t="n">
        <v>76</v>
      </c>
      <c r="F174" s="3" t="n">
        <v>1588</v>
      </c>
      <c r="G174" s="3" t="n">
        <v>20</v>
      </c>
      <c r="H174" s="3" t="n">
        <v>1741</v>
      </c>
      <c r="I174" s="4" t="n">
        <v>13.8</v>
      </c>
      <c r="J174" s="4" t="n">
        <v>1384.55</v>
      </c>
      <c r="K174" s="4" t="n">
        <v>2507.58</v>
      </c>
      <c r="L174" s="4" t="n">
        <v>125.38</v>
      </c>
      <c r="M174" s="3" t="n">
        <v>18168</v>
      </c>
      <c r="N174" s="4" t="n">
        <v>1384.55</v>
      </c>
      <c r="O174" s="4" t="n">
        <v>2507.58</v>
      </c>
      <c r="P174" s="4" t="n">
        <v>58466.27</v>
      </c>
    </row>
    <row r="175">
      <c r="A175" s="5" t="n">
        <v>41518</v>
      </c>
      <c r="B175" s="2" t="inlineStr">
        <is>
          <t>2013-2014</t>
        </is>
      </c>
      <c r="C175" s="2" t="inlineStr">
        <is>
          <t>Q2FY14</t>
        </is>
      </c>
      <c r="D175" s="3" t="n">
        <v>1672</v>
      </c>
      <c r="E175" s="3" t="n">
        <v>76</v>
      </c>
      <c r="F175" s="3" t="n">
        <v>1581</v>
      </c>
      <c r="G175" s="3" t="n">
        <v>20</v>
      </c>
      <c r="H175" s="3" t="n">
        <v>1687</v>
      </c>
      <c r="I175" s="4" t="n">
        <v>12.56</v>
      </c>
      <c r="J175" s="4" t="n">
        <v>1306.49</v>
      </c>
      <c r="K175" s="4" t="n">
        <v>2435.76</v>
      </c>
      <c r="L175" s="4" t="n">
        <v>121.79</v>
      </c>
      <c r="M175" s="3" t="n">
        <v>19386</v>
      </c>
      <c r="N175" s="4" t="n">
        <v>1306.49</v>
      </c>
      <c r="O175" s="4" t="n">
        <v>2435.76</v>
      </c>
      <c r="P175" s="4" t="n">
        <v>61916.26</v>
      </c>
    </row>
    <row r="176">
      <c r="A176" s="5" t="n">
        <v>41548</v>
      </c>
      <c r="B176" s="2" t="inlineStr">
        <is>
          <t>2013-2014</t>
        </is>
      </c>
      <c r="C176" s="2" t="inlineStr">
        <is>
          <t>Q3FY14</t>
        </is>
      </c>
      <c r="D176" s="3" t="n">
        <v>1674</v>
      </c>
      <c r="E176" s="3" t="n">
        <v>76</v>
      </c>
      <c r="F176" s="3" t="n">
        <v>1583</v>
      </c>
      <c r="G176" s="3" t="n">
        <v>21</v>
      </c>
      <c r="H176" s="3" t="n">
        <v>1694</v>
      </c>
      <c r="I176" s="4" t="n">
        <v>11.86</v>
      </c>
      <c r="J176" s="4" t="n">
        <v>1313.48</v>
      </c>
      <c r="K176" s="4" t="n">
        <v>2379.08</v>
      </c>
      <c r="L176" s="4" t="n">
        <v>113.29</v>
      </c>
      <c r="M176" s="3" t="n">
        <v>20061</v>
      </c>
      <c r="N176" s="4" t="n">
        <v>1313.48</v>
      </c>
      <c r="O176" s="4" t="n">
        <v>2379.08</v>
      </c>
      <c r="P176" s="4" t="n">
        <v>66915.31</v>
      </c>
    </row>
    <row r="177">
      <c r="A177" s="5" t="n">
        <v>41579</v>
      </c>
      <c r="B177" s="2" t="inlineStr">
        <is>
          <t>2013-2014</t>
        </is>
      </c>
      <c r="C177" s="2" t="inlineStr">
        <is>
          <t>Q3FY14</t>
        </is>
      </c>
      <c r="D177" s="3" t="n">
        <v>1679</v>
      </c>
      <c r="E177" s="3" t="n">
        <v>75</v>
      </c>
      <c r="F177" s="3" t="n">
        <v>1588</v>
      </c>
      <c r="G177" s="3" t="n">
        <v>20</v>
      </c>
      <c r="H177" s="3" t="n">
        <v>1824</v>
      </c>
      <c r="I177" s="4" t="n">
        <v>11.24</v>
      </c>
      <c r="J177" s="4" t="n">
        <v>1223.32</v>
      </c>
      <c r="K177" s="4" t="n">
        <v>2177.82</v>
      </c>
      <c r="L177" s="4" t="n">
        <v>108.89</v>
      </c>
      <c r="M177" s="3" t="n">
        <v>19376</v>
      </c>
      <c r="N177" s="4" t="n">
        <v>1223.32</v>
      </c>
      <c r="O177" s="4" t="n">
        <v>2177.82</v>
      </c>
      <c r="P177" s="4" t="n">
        <v>66448.44</v>
      </c>
    </row>
    <row r="178">
      <c r="A178" s="5" t="n">
        <v>41609</v>
      </c>
      <c r="B178" s="2" t="inlineStr">
        <is>
          <t>2013-2014</t>
        </is>
      </c>
      <c r="C178" s="2" t="inlineStr">
        <is>
          <t>Q3FY14</t>
        </is>
      </c>
      <c r="D178" s="3" t="n">
        <v>1679</v>
      </c>
      <c r="E178" s="3" t="n">
        <v>75</v>
      </c>
      <c r="F178" s="3" t="n">
        <v>1577</v>
      </c>
      <c r="G178" s="3" t="n">
        <v>21</v>
      </c>
      <c r="H178" s="3" t="n">
        <v>1724</v>
      </c>
      <c r="I178" s="4" t="n">
        <v>11.61</v>
      </c>
      <c r="J178" s="4" t="n">
        <v>1339.61</v>
      </c>
      <c r="K178" s="4" t="n">
        <v>2308.17</v>
      </c>
      <c r="L178" s="4" t="n">
        <v>109.91</v>
      </c>
      <c r="M178" s="3" t="n">
        <v>19880</v>
      </c>
      <c r="N178" s="4" t="n">
        <v>1339.61</v>
      </c>
      <c r="O178" s="4" t="n">
        <v>2308.17</v>
      </c>
      <c r="P178" s="4" t="n">
        <v>68841.67</v>
      </c>
    </row>
    <row r="179">
      <c r="A179" s="5" t="n">
        <v>41640</v>
      </c>
      <c r="B179" s="2" t="inlineStr">
        <is>
          <t>2013-2014</t>
        </is>
      </c>
      <c r="C179" s="2" t="inlineStr">
        <is>
          <t>Q4FY14</t>
        </is>
      </c>
      <c r="D179" s="3" t="n">
        <v>1683</v>
      </c>
      <c r="E179" s="3" t="n">
        <v>74</v>
      </c>
      <c r="F179" s="3" t="n">
        <v>1581</v>
      </c>
      <c r="G179" s="3" t="n">
        <v>23</v>
      </c>
      <c r="H179" s="3" t="n">
        <v>1788</v>
      </c>
      <c r="I179" s="4" t="n">
        <v>12.86</v>
      </c>
      <c r="J179" s="4" t="n">
        <v>1407.08</v>
      </c>
      <c r="K179" s="4" t="n">
        <v>2556.3</v>
      </c>
      <c r="L179" s="4" t="n">
        <v>111.14</v>
      </c>
      <c r="M179" s="3" t="n">
        <v>19883</v>
      </c>
      <c r="N179" s="4" t="n">
        <v>1407.08</v>
      </c>
      <c r="O179" s="4" t="n">
        <v>2556.3</v>
      </c>
      <c r="P179" s="4" t="n">
        <v>65907.85000000001</v>
      </c>
    </row>
    <row r="180">
      <c r="A180" s="5" t="n">
        <v>41671</v>
      </c>
      <c r="B180" s="2" t="inlineStr">
        <is>
          <t>2013-2014</t>
        </is>
      </c>
      <c r="C180" s="2" t="inlineStr">
        <is>
          <t>Q4FY14</t>
        </is>
      </c>
      <c r="D180" s="3" t="n">
        <v>1684</v>
      </c>
      <c r="E180" s="3" t="n">
        <v>74</v>
      </c>
      <c r="F180" s="3" t="n">
        <v>1581</v>
      </c>
      <c r="G180" s="3" t="n">
        <v>19</v>
      </c>
      <c r="H180" s="3" t="n">
        <v>1702</v>
      </c>
      <c r="I180" s="4" t="n">
        <v>9.76</v>
      </c>
      <c r="J180" s="4" t="n">
        <v>963.6900000000001</v>
      </c>
      <c r="K180" s="4" t="n">
        <v>1887.51</v>
      </c>
      <c r="L180" s="4" t="n">
        <v>99.34</v>
      </c>
      <c r="M180" s="3" t="n">
        <v>19334</v>
      </c>
      <c r="N180" s="4" t="n">
        <v>963.6900000000001</v>
      </c>
      <c r="O180" s="4" t="n">
        <v>1887.51</v>
      </c>
      <c r="P180" s="4" t="n">
        <v>67259.34</v>
      </c>
    </row>
    <row r="181">
      <c r="A181" s="5" t="n">
        <v>41699</v>
      </c>
      <c r="B181" s="2" t="inlineStr">
        <is>
          <t>2013-2014</t>
        </is>
      </c>
      <c r="C181" s="2" t="inlineStr">
        <is>
          <t>Q4FY14</t>
        </is>
      </c>
      <c r="D181" s="3" t="n">
        <v>1688</v>
      </c>
      <c r="E181" s="3" t="n">
        <v>75</v>
      </c>
      <c r="F181" s="3" t="n">
        <v>1586</v>
      </c>
      <c r="G181" s="3" t="n">
        <v>21</v>
      </c>
      <c r="H181" s="3" t="n">
        <v>1768</v>
      </c>
      <c r="I181" s="4" t="n">
        <v>13.06</v>
      </c>
      <c r="J181" s="4" t="n">
        <v>1446.78</v>
      </c>
      <c r="K181" s="4" t="n">
        <v>2767.41</v>
      </c>
      <c r="L181" s="4" t="n">
        <v>131.78</v>
      </c>
      <c r="M181" s="3" t="n">
        <v>21187</v>
      </c>
      <c r="N181" s="4" t="n">
        <v>1446.78</v>
      </c>
      <c r="O181" s="4" t="n">
        <v>2767.41</v>
      </c>
      <c r="P181" s="4" t="n">
        <v>72777.2</v>
      </c>
    </row>
    <row r="182">
      <c r="A182" s="5" t="n">
        <v>41730</v>
      </c>
      <c r="B182" s="2" t="inlineStr">
        <is>
          <t>2014-2015</t>
        </is>
      </c>
      <c r="C182" s="2" t="inlineStr">
        <is>
          <t>Q1FY15</t>
        </is>
      </c>
      <c r="D182" s="3" t="n">
        <v>1690</v>
      </c>
      <c r="E182" s="3" t="n">
        <v>75</v>
      </c>
      <c r="F182" s="3" t="n">
        <v>1587</v>
      </c>
      <c r="G182" s="3" t="n">
        <v>18</v>
      </c>
      <c r="H182" s="3" t="n">
        <v>1822</v>
      </c>
      <c r="I182" s="4" t="n">
        <v>12.45</v>
      </c>
      <c r="J182" s="4" t="n">
        <v>1627.62</v>
      </c>
      <c r="K182" s="4" t="n">
        <v>2727.03</v>
      </c>
      <c r="L182" s="4" t="n">
        <v>151.5</v>
      </c>
      <c r="M182" s="3" t="n">
        <v>21904</v>
      </c>
      <c r="N182" s="4" t="n">
        <v>1627.62</v>
      </c>
      <c r="O182" s="4" t="n">
        <v>2727.03</v>
      </c>
      <c r="P182" s="4" t="n">
        <v>73467.37</v>
      </c>
    </row>
    <row r="183">
      <c r="A183" s="5" t="n">
        <v>41760</v>
      </c>
      <c r="B183" s="2" t="inlineStr">
        <is>
          <t>2014-2015</t>
        </is>
      </c>
      <c r="C183" s="2" t="inlineStr">
        <is>
          <t>Q1FY15</t>
        </is>
      </c>
      <c r="D183" s="3" t="n">
        <v>1692</v>
      </c>
      <c r="E183" s="3" t="n">
        <v>75</v>
      </c>
      <c r="F183" s="3" t="n">
        <v>1588</v>
      </c>
      <c r="G183" s="3" t="n">
        <v>21</v>
      </c>
      <c r="H183" s="3" t="n">
        <v>1792</v>
      </c>
      <c r="I183" s="4" t="n">
        <v>18.12</v>
      </c>
      <c r="J183" s="4" t="n">
        <v>2678.96</v>
      </c>
      <c r="K183" s="4" t="n">
        <v>4360.22</v>
      </c>
      <c r="L183" s="4" t="n">
        <v>207.63</v>
      </c>
      <c r="M183" s="3" t="n">
        <v>24062</v>
      </c>
      <c r="N183" s="4" t="n">
        <v>2678.96</v>
      </c>
      <c r="O183" s="4" t="n">
        <v>4360.22</v>
      </c>
      <c r="P183" s="4" t="n">
        <v>82513.46000000001</v>
      </c>
    </row>
    <row r="184">
      <c r="A184" s="5" t="n">
        <v>41791</v>
      </c>
      <c r="B184" s="2" t="inlineStr">
        <is>
          <t>2014-2015</t>
        </is>
      </c>
      <c r="C184" s="2" t="inlineStr">
        <is>
          <t>Q1FY15</t>
        </is>
      </c>
      <c r="D184" s="3" t="n">
        <v>1695</v>
      </c>
      <c r="E184" s="3" t="n">
        <v>75</v>
      </c>
      <c r="F184" s="3" t="n">
        <v>1588</v>
      </c>
      <c r="G184" s="3" t="n">
        <v>21</v>
      </c>
      <c r="H184" s="3" t="n">
        <v>2187</v>
      </c>
      <c r="I184" s="4" t="n">
        <v>17.9</v>
      </c>
      <c r="J184" s="4" t="n">
        <v>2656.07</v>
      </c>
      <c r="K184" s="4" t="n">
        <v>4216.88</v>
      </c>
      <c r="L184" s="4" t="n">
        <v>200.8</v>
      </c>
      <c r="M184" s="3" t="n">
        <v>23563</v>
      </c>
      <c r="N184" s="4" t="n">
        <v>2656.07</v>
      </c>
      <c r="O184" s="4" t="n">
        <v>4216.88</v>
      </c>
      <c r="P184" s="4" t="n">
        <v>88547.02</v>
      </c>
    </row>
    <row r="185">
      <c r="A185" s="5" t="n">
        <v>41821</v>
      </c>
      <c r="B185" s="2" t="inlineStr">
        <is>
          <t>2014-2015</t>
        </is>
      </c>
      <c r="C185" s="2" t="inlineStr">
        <is>
          <t>Q2FY15</t>
        </is>
      </c>
      <c r="D185" s="3" t="n">
        <v>1696</v>
      </c>
      <c r="E185" s="3" t="n">
        <v>75</v>
      </c>
      <c r="F185" s="3" t="n">
        <v>1594</v>
      </c>
      <c r="G185" s="3" t="n">
        <v>22</v>
      </c>
      <c r="H185" s="3" t="n">
        <v>1773</v>
      </c>
      <c r="I185" s="4" t="n">
        <v>16.43</v>
      </c>
      <c r="J185" s="4" t="n">
        <v>2155.8</v>
      </c>
      <c r="K185" s="4" t="n">
        <v>3914.28</v>
      </c>
      <c r="L185" s="4" t="n">
        <v>177.92</v>
      </c>
      <c r="M185" s="3" t="n">
        <v>23826</v>
      </c>
      <c r="N185" s="4" t="n">
        <v>2155.8</v>
      </c>
      <c r="O185" s="4" t="n">
        <v>3914.28</v>
      </c>
      <c r="P185" s="4" t="n">
        <v>88311.39</v>
      </c>
    </row>
    <row r="186">
      <c r="A186" s="5" t="n">
        <v>41852</v>
      </c>
      <c r="B186" s="2" t="inlineStr">
        <is>
          <t>2014-2015</t>
        </is>
      </c>
      <c r="C186" s="2" t="inlineStr">
        <is>
          <t>Q2FY15</t>
        </is>
      </c>
      <c r="D186" s="3" t="n">
        <v>1696</v>
      </c>
      <c r="E186" s="3" t="n">
        <v>74</v>
      </c>
      <c r="F186" s="3" t="n">
        <v>1589</v>
      </c>
      <c r="G186" s="3" t="n">
        <v>19</v>
      </c>
      <c r="H186" s="3" t="n">
        <v>2047</v>
      </c>
      <c r="I186" s="4" t="n">
        <v>12.73</v>
      </c>
      <c r="J186" s="4" t="n">
        <v>1546.47</v>
      </c>
      <c r="K186" s="4" t="n">
        <v>2947.58</v>
      </c>
      <c r="L186" s="4" t="n">
        <v>155.14</v>
      </c>
      <c r="M186" s="3" t="n">
        <v>23156</v>
      </c>
      <c r="N186" s="4" t="n">
        <v>1546.47</v>
      </c>
      <c r="O186" s="4" t="n">
        <v>2947.58</v>
      </c>
      <c r="P186" s="4" t="n">
        <v>90609.60000000001</v>
      </c>
    </row>
    <row r="187">
      <c r="A187" s="5" t="n">
        <v>41883</v>
      </c>
      <c r="B187" s="2" t="inlineStr">
        <is>
          <t>2014-2015</t>
        </is>
      </c>
      <c r="C187" s="2" t="inlineStr">
        <is>
          <t>Q2FY15</t>
        </is>
      </c>
      <c r="D187" s="3" t="n">
        <v>1699</v>
      </c>
      <c r="E187" s="3" t="n">
        <v>73</v>
      </c>
      <c r="F187" s="3" t="n">
        <v>1587</v>
      </c>
      <c r="G187" s="3" t="n">
        <v>22</v>
      </c>
      <c r="H187" s="3" t="n">
        <v>1821</v>
      </c>
      <c r="I187" s="4" t="n">
        <v>16.73</v>
      </c>
      <c r="J187" s="4" t="n">
        <v>2265.12</v>
      </c>
      <c r="K187" s="4" t="n">
        <v>3832.61</v>
      </c>
      <c r="L187" s="4" t="n">
        <v>174.21</v>
      </c>
      <c r="M187" s="3" t="n">
        <v>22903</v>
      </c>
      <c r="N187" s="4" t="n">
        <v>2265.12</v>
      </c>
      <c r="O187" s="4" t="n">
        <v>3832.61</v>
      </c>
      <c r="P187" s="4" t="n">
        <v>91728.38</v>
      </c>
    </row>
    <row r="188">
      <c r="A188" s="5" t="n">
        <v>41913</v>
      </c>
      <c r="B188" s="2" t="inlineStr">
        <is>
          <t>2014-2015</t>
        </is>
      </c>
      <c r="C188" s="2" t="inlineStr">
        <is>
          <t>Q3FY15</t>
        </is>
      </c>
      <c r="D188" s="3" t="n">
        <v>1706</v>
      </c>
      <c r="E188" s="3" t="n">
        <v>70</v>
      </c>
      <c r="F188" s="3" t="n">
        <v>1595</v>
      </c>
      <c r="G188" s="3" t="n">
        <v>18</v>
      </c>
      <c r="H188" s="3" t="n">
        <v>1799</v>
      </c>
      <c r="I188" s="4" t="n">
        <v>11.94</v>
      </c>
      <c r="J188" s="4" t="n">
        <v>1357.71</v>
      </c>
      <c r="K188" s="4" t="n">
        <v>2711.91</v>
      </c>
      <c r="L188" s="4" t="n">
        <v>150.66</v>
      </c>
      <c r="M188" s="3" t="n">
        <v>22720</v>
      </c>
      <c r="N188" s="4" t="n">
        <v>1357.71</v>
      </c>
      <c r="O188" s="4" t="n">
        <v>2711.91</v>
      </c>
      <c r="P188" s="4" t="n">
        <v>94905.2</v>
      </c>
    </row>
    <row r="189">
      <c r="A189" s="5" t="n">
        <v>41944</v>
      </c>
      <c r="B189" s="2" t="inlineStr">
        <is>
          <t>2014-2015</t>
        </is>
      </c>
      <c r="C189" s="2" t="inlineStr">
        <is>
          <t>Q3FY15</t>
        </is>
      </c>
      <c r="D189" s="3" t="n">
        <v>1707</v>
      </c>
      <c r="E189" s="3" t="n">
        <v>69</v>
      </c>
      <c r="F189" s="3" t="n">
        <v>1590</v>
      </c>
      <c r="G189" s="3" t="n">
        <v>18</v>
      </c>
      <c r="H189" s="3" t="n">
        <v>1792</v>
      </c>
      <c r="I189" s="4" t="n">
        <v>13.67</v>
      </c>
      <c r="J189" s="4" t="n">
        <v>1712.79</v>
      </c>
      <c r="K189" s="4" t="n">
        <v>3296.38</v>
      </c>
      <c r="L189" s="4" t="n">
        <v>183.13</v>
      </c>
      <c r="M189" s="3" t="n">
        <v>24108</v>
      </c>
      <c r="N189" s="4" t="n">
        <v>1712.79</v>
      </c>
      <c r="O189" s="4" t="n">
        <v>3296.38</v>
      </c>
      <c r="P189" s="4" t="n">
        <v>97395.7</v>
      </c>
    </row>
    <row r="190">
      <c r="A190" s="5" t="n">
        <v>41974</v>
      </c>
      <c r="B190" s="2" t="inlineStr">
        <is>
          <t>2014-2015</t>
        </is>
      </c>
      <c r="C190" s="2" t="inlineStr">
        <is>
          <t>Q3FY15</t>
        </is>
      </c>
      <c r="D190" s="3" t="n">
        <v>1708</v>
      </c>
      <c r="E190" s="3" t="n">
        <v>63</v>
      </c>
      <c r="F190" s="3" t="n">
        <v>1583</v>
      </c>
      <c r="G190" s="3" t="n">
        <v>22</v>
      </c>
      <c r="H190" s="3" t="n">
        <v>1780</v>
      </c>
      <c r="I190" s="4" t="n">
        <v>15.25</v>
      </c>
      <c r="J190" s="4" t="n">
        <v>1775.22</v>
      </c>
      <c r="K190" s="4" t="n">
        <v>3544.73</v>
      </c>
      <c r="L190" s="4" t="n">
        <v>161.12</v>
      </c>
      <c r="M190" s="3" t="n">
        <v>23238</v>
      </c>
      <c r="N190" s="4" t="n">
        <v>1775.22</v>
      </c>
      <c r="O190" s="4" t="n">
        <v>3544.73</v>
      </c>
      <c r="P190" s="4" t="n">
        <v>96004.59</v>
      </c>
    </row>
    <row r="191">
      <c r="A191" s="5" t="n">
        <v>42005</v>
      </c>
      <c r="B191" s="2" t="inlineStr">
        <is>
          <t>2014-2015</t>
        </is>
      </c>
      <c r="C191" s="2" t="inlineStr">
        <is>
          <t>Q4FY15</t>
        </is>
      </c>
      <c r="D191" s="3" t="n">
        <v>1718</v>
      </c>
      <c r="E191" s="3" t="n">
        <v>4</v>
      </c>
      <c r="F191" s="3" t="n">
        <v>1546</v>
      </c>
      <c r="G191" s="3" t="n">
        <v>21</v>
      </c>
      <c r="H191" s="3" t="n">
        <v>1774</v>
      </c>
      <c r="I191" s="4" t="n">
        <v>16.1</v>
      </c>
      <c r="J191" s="4" t="n">
        <v>1901.36</v>
      </c>
      <c r="K191" s="4" t="n">
        <v>3838.72</v>
      </c>
      <c r="L191" s="4" t="n">
        <v>182.8</v>
      </c>
      <c r="M191" s="3" t="n">
        <v>23847</v>
      </c>
      <c r="N191" s="4" t="n">
        <v>1901.36</v>
      </c>
      <c r="O191" s="4" t="n">
        <v>3838.72</v>
      </c>
      <c r="P191" s="4" t="n">
        <v>101002.18</v>
      </c>
    </row>
    <row r="192">
      <c r="A192" s="5" t="n">
        <v>42036</v>
      </c>
      <c r="B192" s="2" t="inlineStr">
        <is>
          <t>2014-2015</t>
        </is>
      </c>
      <c r="C192" s="2" t="inlineStr">
        <is>
          <t>Q4FY15</t>
        </is>
      </c>
      <c r="D192" s="3" t="n">
        <v>1719</v>
      </c>
      <c r="E192" s="3" t="n">
        <v>4</v>
      </c>
      <c r="F192" s="3" t="n">
        <v>1530</v>
      </c>
      <c r="G192" s="3" t="n">
        <v>20</v>
      </c>
      <c r="H192" s="3" t="n">
        <v>1755</v>
      </c>
      <c r="I192" s="4" t="n">
        <v>15.84</v>
      </c>
      <c r="J192" s="4" t="n">
        <v>2040.18</v>
      </c>
      <c r="K192" s="4" t="n">
        <v>3927.18</v>
      </c>
      <c r="L192" s="4" t="n">
        <v>196.36</v>
      </c>
      <c r="M192" s="3" t="n">
        <v>24795</v>
      </c>
      <c r="N192" s="4" t="n">
        <v>2040.18</v>
      </c>
      <c r="O192" s="4" t="n">
        <v>3927.18</v>
      </c>
      <c r="P192" s="4" t="n">
        <v>102126.14</v>
      </c>
    </row>
    <row r="193">
      <c r="A193" s="5" t="n">
        <v>42064</v>
      </c>
      <c r="B193" s="2" t="inlineStr">
        <is>
          <t>2014-2015</t>
        </is>
      </c>
      <c r="C193" s="2" t="inlineStr">
        <is>
          <t>Q4FY15</t>
        </is>
      </c>
      <c r="D193" s="3" t="n">
        <v>1733</v>
      </c>
      <c r="E193" s="3" t="n">
        <v>4</v>
      </c>
      <c r="F193" s="3" t="n">
        <v>1544</v>
      </c>
      <c r="G193" s="3" t="n">
        <v>21</v>
      </c>
      <c r="H193" s="3" t="n">
        <v>1776</v>
      </c>
      <c r="I193" s="4" t="n">
        <v>16.12</v>
      </c>
      <c r="J193" s="4" t="n">
        <v>1900.47</v>
      </c>
      <c r="K193" s="4" t="n">
        <v>3979.03</v>
      </c>
      <c r="L193" s="4" t="n">
        <v>189.48</v>
      </c>
      <c r="M193" s="3" t="n">
        <v>24678</v>
      </c>
      <c r="N193" s="4" t="n">
        <v>1900.47</v>
      </c>
      <c r="O193" s="4" t="n">
        <v>3979.03</v>
      </c>
      <c r="P193" s="4" t="n">
        <v>99301.22</v>
      </c>
    </row>
    <row r="194">
      <c r="A194" s="5" t="n">
        <v>42095</v>
      </c>
      <c r="B194" s="2" t="inlineStr">
        <is>
          <t>2015-2016</t>
        </is>
      </c>
      <c r="C194" s="2" t="inlineStr">
        <is>
          <t>Q1FY16</t>
        </is>
      </c>
      <c r="D194" s="3" t="n">
        <v>1740</v>
      </c>
      <c r="E194" s="3" t="n">
        <v>4</v>
      </c>
      <c r="F194" s="3" t="n">
        <v>1550</v>
      </c>
      <c r="G194" s="3" t="n">
        <v>19</v>
      </c>
      <c r="H194" s="3" t="n">
        <v>1763</v>
      </c>
      <c r="I194" s="4" t="n">
        <v>15.06</v>
      </c>
      <c r="J194" s="4" t="n">
        <v>1626.63</v>
      </c>
      <c r="K194" s="4" t="n">
        <v>3793.49</v>
      </c>
      <c r="L194" s="4" t="n">
        <v>199.66</v>
      </c>
      <c r="M194" s="3" t="n">
        <v>25190</v>
      </c>
      <c r="N194" s="4" t="n">
        <v>1626.63</v>
      </c>
      <c r="O194" s="4" t="n">
        <v>3793.49</v>
      </c>
      <c r="P194" s="4" t="n">
        <v>96863.24000000001</v>
      </c>
    </row>
    <row r="195">
      <c r="A195" s="5" t="n">
        <v>42125</v>
      </c>
      <c r="B195" s="2" t="inlineStr">
        <is>
          <t>2015-2016</t>
        </is>
      </c>
      <c r="C195" s="2" t="inlineStr">
        <is>
          <t>Q1FY16</t>
        </is>
      </c>
      <c r="D195" s="3" t="n">
        <v>1750</v>
      </c>
      <c r="E195" s="3" t="n">
        <v>4</v>
      </c>
      <c r="F195" s="3" t="n">
        <v>1555</v>
      </c>
      <c r="G195" s="3" t="n">
        <v>20</v>
      </c>
      <c r="H195" s="3" t="n">
        <v>1767</v>
      </c>
      <c r="I195" s="4" t="n">
        <v>14.53</v>
      </c>
      <c r="J195" s="4" t="n">
        <v>1529.36</v>
      </c>
      <c r="K195" s="4" t="n">
        <v>3619.35</v>
      </c>
      <c r="L195" s="4" t="n">
        <v>180.97</v>
      </c>
      <c r="M195" s="3" t="n">
        <v>24918</v>
      </c>
      <c r="N195" s="4" t="n">
        <v>1529.36</v>
      </c>
      <c r="O195" s="4" t="n">
        <v>3619.35</v>
      </c>
      <c r="P195" s="4" t="n">
        <v>100206.65</v>
      </c>
    </row>
    <row r="196">
      <c r="A196" s="5" t="n">
        <v>42156</v>
      </c>
      <c r="B196" s="2" t="inlineStr">
        <is>
          <t>2015-2016</t>
        </is>
      </c>
      <c r="C196" s="2" t="inlineStr">
        <is>
          <t>Q1FY16</t>
        </is>
      </c>
      <c r="D196" s="3" t="n">
        <v>1751</v>
      </c>
      <c r="E196" s="3" t="n">
        <v>4</v>
      </c>
      <c r="F196" s="3" t="n">
        <v>1553</v>
      </c>
      <c r="G196" s="3" t="n">
        <v>22</v>
      </c>
      <c r="H196" s="3" t="n">
        <v>1756</v>
      </c>
      <c r="I196" s="4" t="n">
        <v>15.25</v>
      </c>
      <c r="J196" s="4" t="n">
        <v>1777.74</v>
      </c>
      <c r="K196" s="4" t="n">
        <v>3332.89</v>
      </c>
      <c r="L196" s="4" t="n">
        <v>151.5</v>
      </c>
      <c r="M196" s="3" t="n">
        <v>21851</v>
      </c>
      <c r="N196" s="4" t="n">
        <v>1777.74</v>
      </c>
      <c r="O196" s="4" t="n">
        <v>3332.89</v>
      </c>
      <c r="P196" s="4" t="n">
        <v>98490.75999999999</v>
      </c>
    </row>
    <row r="197">
      <c r="A197" s="5" t="n">
        <v>42186</v>
      </c>
      <c r="B197" s="2" t="inlineStr">
        <is>
          <t>2015-2016</t>
        </is>
      </c>
      <c r="C197" s="2" t="inlineStr">
        <is>
          <t>Q2FY16</t>
        </is>
      </c>
      <c r="D197" s="3" t="n">
        <v>1756</v>
      </c>
      <c r="E197" s="3" t="n">
        <v>4</v>
      </c>
      <c r="F197" s="3" t="n">
        <v>1559</v>
      </c>
      <c r="G197" s="3" t="n">
        <v>23</v>
      </c>
      <c r="H197" s="3" t="n">
        <v>1763</v>
      </c>
      <c r="I197" s="4" t="n">
        <v>17.43</v>
      </c>
      <c r="J197" s="4" t="n">
        <v>1967.77</v>
      </c>
      <c r="K197" s="4" t="n">
        <v>3834.84</v>
      </c>
      <c r="L197" s="4" t="n">
        <v>166.73</v>
      </c>
      <c r="M197" s="3" t="n">
        <v>22007</v>
      </c>
      <c r="N197" s="4" t="n">
        <v>1967.77</v>
      </c>
      <c r="O197" s="4" t="n">
        <v>3834.84</v>
      </c>
      <c r="P197" s="4" t="n">
        <v>101685.61</v>
      </c>
    </row>
    <row r="198">
      <c r="A198" s="5" t="n">
        <v>42217</v>
      </c>
      <c r="B198" s="2" t="inlineStr">
        <is>
          <t>2015-2016</t>
        </is>
      </c>
      <c r="C198" s="2" t="inlineStr">
        <is>
          <t>Q2FY16</t>
        </is>
      </c>
      <c r="D198" s="3" t="n">
        <v>1772</v>
      </c>
      <c r="E198" s="3" t="n">
        <v>4</v>
      </c>
      <c r="F198" s="3" t="n">
        <v>1574</v>
      </c>
      <c r="G198" s="3" t="n">
        <v>21</v>
      </c>
      <c r="H198" s="3" t="n">
        <v>1785</v>
      </c>
      <c r="I198" s="4" t="n">
        <v>18.62</v>
      </c>
      <c r="J198" s="4" t="n">
        <v>2158.21</v>
      </c>
      <c r="K198" s="4" t="n">
        <v>4199.32</v>
      </c>
      <c r="L198" s="4" t="n">
        <v>199.97</v>
      </c>
      <c r="M198" s="3" t="n">
        <v>22553</v>
      </c>
      <c r="N198" s="4" t="n">
        <v>2158.21</v>
      </c>
      <c r="O198" s="4" t="n">
        <v>4199.32</v>
      </c>
      <c r="P198" s="4" t="n">
        <v>95290.7</v>
      </c>
    </row>
    <row r="199">
      <c r="A199" s="5" t="n">
        <v>42248</v>
      </c>
      <c r="B199" s="2" t="inlineStr">
        <is>
          <t>2015-2016</t>
        </is>
      </c>
      <c r="C199" s="2" t="inlineStr">
        <is>
          <t>Q2FY16</t>
        </is>
      </c>
      <c r="D199" s="3" t="n">
        <v>1779</v>
      </c>
      <c r="E199" s="3" t="n">
        <v>4</v>
      </c>
      <c r="F199" s="3" t="n">
        <v>1581</v>
      </c>
      <c r="G199" s="3" t="n">
        <v>20</v>
      </c>
      <c r="H199" s="3" t="n">
        <v>1807</v>
      </c>
      <c r="I199" s="4" t="n">
        <v>14.97</v>
      </c>
      <c r="J199" s="4" t="n">
        <v>1641.07</v>
      </c>
      <c r="K199" s="4" t="n">
        <v>3284.12</v>
      </c>
      <c r="L199" s="4" t="n">
        <v>164.21</v>
      </c>
      <c r="M199" s="3" t="n">
        <v>21943</v>
      </c>
      <c r="N199" s="4" t="n">
        <v>1641.07</v>
      </c>
      <c r="O199" s="4" t="n">
        <v>3284.12</v>
      </c>
      <c r="P199" s="4" t="n">
        <v>94916.09</v>
      </c>
    </row>
    <row r="200">
      <c r="A200" s="5" t="n">
        <v>42278</v>
      </c>
      <c r="B200" s="2" t="inlineStr">
        <is>
          <t>2015-2016</t>
        </is>
      </c>
      <c r="C200" s="2" t="inlineStr">
        <is>
          <t>Q3FY16</t>
        </is>
      </c>
      <c r="D200" s="3" t="n">
        <v>1781</v>
      </c>
      <c r="E200" s="3" t="n">
        <v>4</v>
      </c>
      <c r="F200" s="3" t="n">
        <v>1582</v>
      </c>
      <c r="G200" s="3" t="n">
        <v>20</v>
      </c>
      <c r="H200" s="3" t="n">
        <v>1777</v>
      </c>
      <c r="I200" s="4" t="n">
        <v>14.63</v>
      </c>
      <c r="J200" s="4" t="n">
        <v>1790.6</v>
      </c>
      <c r="K200" s="4" t="n">
        <v>3338.01</v>
      </c>
      <c r="L200" s="4" t="n">
        <v>166.9</v>
      </c>
      <c r="M200" s="3" t="n">
        <v>22816</v>
      </c>
      <c r="N200" s="4" t="n">
        <v>1790.6</v>
      </c>
      <c r="O200" s="4" t="n">
        <v>3338.01</v>
      </c>
      <c r="P200" s="4" t="n">
        <v>96541.14</v>
      </c>
    </row>
    <row r="201">
      <c r="A201" s="5" t="n">
        <v>42309</v>
      </c>
      <c r="B201" s="2" t="inlineStr">
        <is>
          <t>2015-2016</t>
        </is>
      </c>
      <c r="C201" s="2" t="inlineStr">
        <is>
          <t>Q3FY16</t>
        </is>
      </c>
      <c r="D201" s="3" t="n">
        <v>1786</v>
      </c>
      <c r="E201" s="3" t="n">
        <v>4</v>
      </c>
      <c r="F201" s="3" t="n">
        <v>1587</v>
      </c>
      <c r="G201" s="3" t="n">
        <v>19</v>
      </c>
      <c r="H201" s="3" t="n">
        <v>1782</v>
      </c>
      <c r="I201" s="4" t="n">
        <v>13.16</v>
      </c>
      <c r="J201" s="4" t="n">
        <v>1637.08</v>
      </c>
      <c r="K201" s="4" t="n">
        <v>3071.5</v>
      </c>
      <c r="L201" s="4" t="n">
        <v>161.66</v>
      </c>
      <c r="M201" s="3" t="n">
        <v>23336</v>
      </c>
      <c r="N201" s="4" t="n">
        <v>1637.08</v>
      </c>
      <c r="O201" s="4" t="n">
        <v>3071.5</v>
      </c>
      <c r="P201" s="4" t="n">
        <v>96756.69</v>
      </c>
    </row>
    <row r="202">
      <c r="A202" s="5" t="n">
        <v>42339</v>
      </c>
      <c r="B202" s="2" t="inlineStr">
        <is>
          <t>2015-2016</t>
        </is>
      </c>
      <c r="C202" s="2" t="inlineStr">
        <is>
          <t>Q3FY16</t>
        </is>
      </c>
      <c r="D202" s="3" t="n">
        <v>1794</v>
      </c>
      <c r="E202" s="3" t="n">
        <v>4</v>
      </c>
      <c r="F202" s="3" t="n">
        <v>1599</v>
      </c>
      <c r="G202" s="3" t="n">
        <v>22</v>
      </c>
      <c r="H202" s="3" t="n">
        <v>1815</v>
      </c>
      <c r="I202" s="4" t="n">
        <v>14.8</v>
      </c>
      <c r="J202" s="4" t="n">
        <v>1984.67</v>
      </c>
      <c r="K202" s="4" t="n">
        <v>3349.54</v>
      </c>
      <c r="L202" s="4" t="n">
        <v>152.25</v>
      </c>
      <c r="M202" s="3" t="n">
        <v>22631</v>
      </c>
      <c r="N202" s="4" t="n">
        <v>1984.67</v>
      </c>
      <c r="O202" s="4" t="n">
        <v>3349.54</v>
      </c>
      <c r="P202" s="4" t="n">
        <v>98316.58</v>
      </c>
    </row>
    <row r="203">
      <c r="A203" s="5" t="n">
        <v>42370</v>
      </c>
      <c r="B203" s="2" t="inlineStr">
        <is>
          <t>2015-2016</t>
        </is>
      </c>
      <c r="C203" s="2" t="inlineStr">
        <is>
          <t>Q4FY16</t>
        </is>
      </c>
      <c r="D203" s="3" t="n">
        <v>1797</v>
      </c>
      <c r="E203" s="3" t="n">
        <v>4</v>
      </c>
      <c r="F203" s="3" t="n">
        <v>1603</v>
      </c>
      <c r="G203" s="3" t="n">
        <v>20</v>
      </c>
      <c r="H203" s="3" t="n">
        <v>1828</v>
      </c>
      <c r="I203" s="4" t="n">
        <v>15.52</v>
      </c>
      <c r="J203" s="4" t="n">
        <v>2093.39</v>
      </c>
      <c r="K203" s="4" t="n">
        <v>3520.84</v>
      </c>
      <c r="L203" s="4" t="n">
        <v>176.04</v>
      </c>
      <c r="M203" s="3" t="n">
        <v>22684</v>
      </c>
      <c r="N203" s="4" t="n">
        <v>2093.39</v>
      </c>
      <c r="O203" s="4" t="n">
        <v>3520.84</v>
      </c>
      <c r="P203" s="4" t="n">
        <v>92093.86</v>
      </c>
    </row>
    <row r="204">
      <c r="A204" s="5" t="n">
        <v>42401</v>
      </c>
      <c r="B204" s="2" t="inlineStr">
        <is>
          <t>2015-2016</t>
        </is>
      </c>
      <c r="C204" s="2" t="inlineStr">
        <is>
          <t>Q4FY16</t>
        </is>
      </c>
      <c r="D204" s="3" t="n">
        <v>1800</v>
      </c>
      <c r="E204" s="3" t="n">
        <v>4</v>
      </c>
      <c r="F204" s="3" t="n">
        <v>1606</v>
      </c>
      <c r="G204" s="3" t="n">
        <v>21</v>
      </c>
      <c r="H204" s="3" t="n">
        <v>1839</v>
      </c>
      <c r="I204" s="4" t="n">
        <v>16.01</v>
      </c>
      <c r="J204" s="4" t="n">
        <v>1951.72</v>
      </c>
      <c r="K204" s="4" t="n">
        <v>3456.46</v>
      </c>
      <c r="L204" s="4" t="n">
        <v>164.59</v>
      </c>
      <c r="M204" s="3" t="n">
        <v>21590</v>
      </c>
      <c r="N204" s="4" t="n">
        <v>1951.72</v>
      </c>
      <c r="O204" s="4" t="n">
        <v>3456.46</v>
      </c>
      <c r="P204" s="4" t="n">
        <v>84228.57000000001</v>
      </c>
    </row>
    <row r="205">
      <c r="A205" s="5" t="n">
        <v>42430</v>
      </c>
      <c r="B205" s="2" t="inlineStr">
        <is>
          <t>2015-2016</t>
        </is>
      </c>
      <c r="C205" s="2" t="inlineStr">
        <is>
          <t>Q4FY16</t>
        </is>
      </c>
      <c r="D205" s="3" t="n">
        <v>1808</v>
      </c>
      <c r="E205" s="3" t="n">
        <v>4</v>
      </c>
      <c r="F205" s="3" t="n">
        <v>1613</v>
      </c>
      <c r="G205" s="3" t="n">
        <v>20</v>
      </c>
      <c r="H205" s="3" t="n">
        <v>1855</v>
      </c>
      <c r="I205" s="4" t="n">
        <v>15.2</v>
      </c>
      <c r="J205" s="4" t="n">
        <v>1859.47</v>
      </c>
      <c r="K205" s="4" t="n">
        <v>3569.47</v>
      </c>
      <c r="L205" s="4" t="n">
        <v>178.47</v>
      </c>
      <c r="M205" s="3" t="n">
        <v>23483</v>
      </c>
      <c r="N205" s="4" t="n">
        <v>1859.47</v>
      </c>
      <c r="O205" s="4" t="n">
        <v>3569.47</v>
      </c>
      <c r="P205" s="4" t="n">
        <v>93104.71000000001</v>
      </c>
    </row>
    <row r="206">
      <c r="A206" s="5" t="n">
        <v>42461</v>
      </c>
      <c r="B206" s="2" t="inlineStr">
        <is>
          <t>2016-2017</t>
        </is>
      </c>
      <c r="C206" s="2" t="inlineStr">
        <is>
          <t>Q1FY17</t>
        </is>
      </c>
      <c r="D206" s="3" t="n">
        <v>1806</v>
      </c>
      <c r="E206" s="3" t="n">
        <v>4</v>
      </c>
      <c r="F206" s="3" t="n">
        <v>1608</v>
      </c>
      <c r="G206" s="3" t="n">
        <v>18</v>
      </c>
      <c r="H206" s="3" t="n">
        <v>1846</v>
      </c>
      <c r="I206" s="4" t="n">
        <v>13.29</v>
      </c>
      <c r="J206" s="4" t="n">
        <v>1628.28</v>
      </c>
      <c r="K206" s="4" t="n">
        <v>3094.8</v>
      </c>
      <c r="L206" s="4" t="n">
        <v>171.93</v>
      </c>
      <c r="M206" s="3" t="n">
        <v>23293</v>
      </c>
      <c r="N206" s="4" t="n">
        <v>1628.28</v>
      </c>
      <c r="O206" s="4" t="n">
        <v>3094.8</v>
      </c>
      <c r="P206" s="4" t="n">
        <v>95225.89</v>
      </c>
    </row>
    <row r="207">
      <c r="A207" s="5" t="n">
        <v>42491</v>
      </c>
      <c r="B207" s="2" t="inlineStr">
        <is>
          <t>2016-2017</t>
        </is>
      </c>
      <c r="C207" s="2" t="inlineStr">
        <is>
          <t>Q1FY17</t>
        </is>
      </c>
      <c r="D207" s="3" t="n">
        <v>1811</v>
      </c>
      <c r="E207" s="3" t="n">
        <v>4</v>
      </c>
      <c r="F207" s="3" t="n">
        <v>1612</v>
      </c>
      <c r="G207" s="3" t="n">
        <v>22</v>
      </c>
      <c r="H207" s="3" t="n">
        <v>1852</v>
      </c>
      <c r="I207" s="4" t="n">
        <v>16.25</v>
      </c>
      <c r="J207" s="4" t="n">
        <v>1938</v>
      </c>
      <c r="K207" s="4" t="n">
        <v>3876.48</v>
      </c>
      <c r="L207" s="4" t="n">
        <v>176.2</v>
      </c>
      <c r="M207" s="3" t="n">
        <v>23856</v>
      </c>
      <c r="N207" s="4" t="n">
        <v>1938</v>
      </c>
      <c r="O207" s="4" t="n">
        <v>3876.48</v>
      </c>
      <c r="P207" s="4" t="n">
        <v>97405.50999999999</v>
      </c>
    </row>
    <row r="208">
      <c r="A208" s="5" t="n">
        <v>42522</v>
      </c>
      <c r="B208" s="2" t="inlineStr">
        <is>
          <t>2016-2017</t>
        </is>
      </c>
      <c r="C208" s="2" t="inlineStr">
        <is>
          <t>Q1FY17</t>
        </is>
      </c>
      <c r="D208" s="3" t="n">
        <v>1822</v>
      </c>
      <c r="E208" s="3" t="n">
        <v>4</v>
      </c>
      <c r="F208" s="3" t="n">
        <v>1618</v>
      </c>
      <c r="G208" s="3" t="n">
        <v>22</v>
      </c>
      <c r="H208" s="3" t="n">
        <v>1848</v>
      </c>
      <c r="I208" s="4" t="n">
        <v>16.53</v>
      </c>
      <c r="J208" s="4" t="n">
        <v>2334.7</v>
      </c>
      <c r="K208" s="4" t="n">
        <v>3834.84</v>
      </c>
      <c r="L208" s="4" t="n">
        <v>174.31</v>
      </c>
      <c r="M208" s="3" t="n">
        <v>23199</v>
      </c>
      <c r="N208" s="4" t="n">
        <v>2334.7</v>
      </c>
      <c r="O208" s="4" t="n">
        <v>3834.84</v>
      </c>
      <c r="P208" s="4" t="n">
        <v>101003.36</v>
      </c>
    </row>
    <row r="209">
      <c r="A209" s="5" t="n">
        <v>42552</v>
      </c>
      <c r="B209" s="2" t="inlineStr">
        <is>
          <t>2016-2017</t>
        </is>
      </c>
      <c r="C209" s="2" t="inlineStr">
        <is>
          <t>Q2FY17</t>
        </is>
      </c>
      <c r="D209" s="3" t="n">
        <v>1839</v>
      </c>
      <c r="E209" s="3" t="n">
        <v>4</v>
      </c>
      <c r="F209" s="3" t="n">
        <v>1634</v>
      </c>
      <c r="G209" s="3" t="n">
        <v>20</v>
      </c>
      <c r="H209" s="3" t="n">
        <v>1885</v>
      </c>
      <c r="I209" s="4" t="n">
        <v>15.82</v>
      </c>
      <c r="J209" s="4" t="n">
        <v>2506.54</v>
      </c>
      <c r="K209" s="4" t="n">
        <v>4073.32</v>
      </c>
      <c r="L209" s="4" t="n">
        <v>203.67</v>
      </c>
      <c r="M209" s="3" t="n">
        <v>25743</v>
      </c>
      <c r="N209" s="4" t="n">
        <v>2506.54</v>
      </c>
      <c r="O209" s="4" t="n">
        <v>4073.32</v>
      </c>
      <c r="P209" s="4" t="n">
        <v>106752.11</v>
      </c>
    </row>
    <row r="210">
      <c r="A210" s="5" t="n">
        <v>42583</v>
      </c>
      <c r="B210" s="2" t="inlineStr">
        <is>
          <t>2016-2017</t>
        </is>
      </c>
      <c r="C210" s="2" t="inlineStr">
        <is>
          <t>Q2FY17</t>
        </is>
      </c>
      <c r="D210" s="3" t="n">
        <v>1831</v>
      </c>
      <c r="E210" s="3" t="n">
        <v>4</v>
      </c>
      <c r="F210" s="3" t="n">
        <v>1640</v>
      </c>
      <c r="G210" s="3" t="n">
        <v>22</v>
      </c>
      <c r="H210" s="3" t="n">
        <v>1895</v>
      </c>
      <c r="I210" s="4" t="n">
        <v>17.98</v>
      </c>
      <c r="J210" s="4" t="n">
        <v>2276.72</v>
      </c>
      <c r="K210" s="4" t="n">
        <v>4706.26</v>
      </c>
      <c r="L210" s="4" t="n">
        <v>213.92</v>
      </c>
      <c r="M210" s="3" t="n">
        <v>26175</v>
      </c>
      <c r="N210" s="4" t="n">
        <v>2276.72</v>
      </c>
      <c r="O210" s="4" t="n">
        <v>4706.26</v>
      </c>
      <c r="P210" s="4" t="n">
        <v>109106.96</v>
      </c>
    </row>
    <row r="211">
      <c r="A211" s="5" t="n">
        <v>42614</v>
      </c>
      <c r="B211" s="2" t="inlineStr">
        <is>
          <t>2016-2017</t>
        </is>
      </c>
      <c r="C211" s="2" t="inlineStr">
        <is>
          <t>Q2FY17</t>
        </is>
      </c>
      <c r="D211" s="3" t="n">
        <v>1822</v>
      </c>
      <c r="E211" s="3" t="n">
        <v>4</v>
      </c>
      <c r="F211" s="3" t="n">
        <v>1650</v>
      </c>
      <c r="G211" s="3" t="n">
        <v>20</v>
      </c>
      <c r="H211" s="3" t="n">
        <v>1894</v>
      </c>
      <c r="I211" s="4" t="n">
        <v>17</v>
      </c>
      <c r="J211" s="4" t="n">
        <v>2320.57</v>
      </c>
      <c r="K211" s="4" t="n">
        <v>4589.2</v>
      </c>
      <c r="L211" s="4" t="n">
        <v>229.46</v>
      </c>
      <c r="M211" s="3" t="n">
        <v>27000</v>
      </c>
      <c r="N211" s="4" t="n">
        <v>2320.57</v>
      </c>
      <c r="O211" s="4" t="n">
        <v>4589.2</v>
      </c>
      <c r="P211" s="4" t="n">
        <v>108660.63</v>
      </c>
    </row>
    <row r="212">
      <c r="A212" s="5" t="n">
        <v>42644</v>
      </c>
      <c r="B212" s="2" t="inlineStr">
        <is>
          <t>2016-2017</t>
        </is>
      </c>
      <c r="C212" s="2" t="inlineStr">
        <is>
          <t>Q3FY17</t>
        </is>
      </c>
      <c r="D212" s="3" t="n">
        <v>1836</v>
      </c>
      <c r="E212" s="3" t="n">
        <v>4</v>
      </c>
      <c r="F212" s="3" t="n">
        <v>1658</v>
      </c>
      <c r="G212" s="3" t="n">
        <v>19</v>
      </c>
      <c r="H212" s="3" t="n">
        <v>1921</v>
      </c>
      <c r="I212" s="4" t="n">
        <v>15</v>
      </c>
      <c r="J212" s="4" t="n">
        <v>1989.64</v>
      </c>
      <c r="K212" s="4" t="n">
        <v>3851.63</v>
      </c>
      <c r="L212" s="4" t="n">
        <v>202.72</v>
      </c>
      <c r="M212" s="3" t="n">
        <v>25671</v>
      </c>
      <c r="N212" s="4" t="n">
        <v>1989.64</v>
      </c>
      <c r="O212" s="4" t="n">
        <v>3851.63</v>
      </c>
      <c r="P212" s="4" t="n">
        <v>111610.49</v>
      </c>
    </row>
    <row r="213">
      <c r="A213" s="5" t="n">
        <v>42675</v>
      </c>
      <c r="B213" s="2" t="inlineStr">
        <is>
          <t>2016-2017</t>
        </is>
      </c>
      <c r="C213" s="2" t="inlineStr">
        <is>
          <t>Q3FY17</t>
        </is>
      </c>
      <c r="D213" s="3" t="n">
        <v>1833</v>
      </c>
      <c r="E213" s="3" t="n">
        <v>4</v>
      </c>
      <c r="F213" s="3" t="n">
        <v>1671</v>
      </c>
      <c r="G213" s="3" t="n">
        <v>21</v>
      </c>
      <c r="H213" s="3" t="n">
        <v>1926</v>
      </c>
      <c r="I213" s="4" t="n">
        <v>18.88</v>
      </c>
      <c r="J213" s="4" t="n">
        <v>2159.04</v>
      </c>
      <c r="K213" s="4" t="n">
        <v>4728.56</v>
      </c>
      <c r="L213" s="4" t="n">
        <v>225.17</v>
      </c>
      <c r="M213" s="3" t="n">
        <v>25043</v>
      </c>
      <c r="N213" s="4" t="n">
        <v>2159.04</v>
      </c>
      <c r="O213" s="4" t="n">
        <v>4728.56</v>
      </c>
      <c r="P213" s="4" t="n">
        <v>106180.12</v>
      </c>
    </row>
    <row r="214">
      <c r="A214" s="5" t="n">
        <v>42705</v>
      </c>
      <c r="B214" s="2" t="inlineStr">
        <is>
          <t>2016-2017</t>
        </is>
      </c>
      <c r="C214" s="2" t="inlineStr">
        <is>
          <t>Q3FY17</t>
        </is>
      </c>
      <c r="D214" s="3" t="n">
        <v>1840</v>
      </c>
      <c r="E214" s="3" t="n">
        <v>4</v>
      </c>
      <c r="F214" s="3" t="n">
        <v>1680</v>
      </c>
      <c r="G214" s="3" t="n">
        <v>22</v>
      </c>
      <c r="H214" s="3" t="n">
        <v>1939</v>
      </c>
      <c r="I214" s="4" t="n">
        <v>15.31</v>
      </c>
      <c r="J214" s="4" t="n">
        <v>1692.03</v>
      </c>
      <c r="K214" s="4" t="n">
        <v>3427.47</v>
      </c>
      <c r="L214" s="4" t="n">
        <v>155.79</v>
      </c>
      <c r="M214" s="3" t="n">
        <v>22385</v>
      </c>
      <c r="N214" s="4" t="n">
        <v>1692.03</v>
      </c>
      <c r="O214" s="4" t="n">
        <v>3427.47</v>
      </c>
      <c r="P214" s="4" t="n">
        <v>104396.21</v>
      </c>
    </row>
    <row r="215">
      <c r="A215" s="5" t="n">
        <v>42736</v>
      </c>
      <c r="B215" s="2" t="inlineStr">
        <is>
          <t>2016-2017</t>
        </is>
      </c>
      <c r="C215" s="2" t="inlineStr">
        <is>
          <t>Q4FY17</t>
        </is>
      </c>
      <c r="D215" s="3" t="n">
        <v>1847</v>
      </c>
      <c r="E215" s="3" t="n">
        <v>4</v>
      </c>
      <c r="F215" s="3" t="n">
        <v>1687</v>
      </c>
      <c r="G215" s="3" t="n">
        <v>21</v>
      </c>
      <c r="H215" s="3" t="n">
        <v>1948</v>
      </c>
      <c r="I215" s="4" t="n">
        <v>16.12</v>
      </c>
      <c r="J215" s="4" t="n">
        <v>2158.17</v>
      </c>
      <c r="K215" s="4" t="n">
        <v>4051.19</v>
      </c>
      <c r="L215" s="4" t="n">
        <v>192.91</v>
      </c>
      <c r="M215" s="3" t="n">
        <v>25139</v>
      </c>
      <c r="N215" s="4" t="n">
        <v>2158.17</v>
      </c>
      <c r="O215" s="4" t="n">
        <v>4051.19</v>
      </c>
      <c r="P215" s="4" t="n">
        <v>110473.15</v>
      </c>
    </row>
    <row r="216">
      <c r="A216" s="5" t="n">
        <v>42767</v>
      </c>
      <c r="B216" s="2" t="inlineStr">
        <is>
          <t>2016-2017</t>
        </is>
      </c>
      <c r="C216" s="2" t="inlineStr">
        <is>
          <t>Q4FY17</t>
        </is>
      </c>
      <c r="D216" s="3" t="n">
        <v>1850</v>
      </c>
      <c r="E216" s="3" t="n">
        <v>4</v>
      </c>
      <c r="F216" s="3" t="n">
        <v>1691</v>
      </c>
      <c r="G216" s="3" t="n">
        <v>19</v>
      </c>
      <c r="H216" s="3" t="n">
        <v>1963</v>
      </c>
      <c r="I216" s="4" t="n">
        <v>16.84</v>
      </c>
      <c r="J216" s="4" t="n">
        <v>2545.53</v>
      </c>
      <c r="K216" s="4" t="n">
        <v>4763</v>
      </c>
      <c r="L216" s="4" t="n">
        <v>250.68</v>
      </c>
      <c r="M216" s="3" t="n">
        <v>28276</v>
      </c>
      <c r="N216" s="4" t="n">
        <v>2545.53</v>
      </c>
      <c r="O216" s="4" t="n">
        <v>4763</v>
      </c>
      <c r="P216" s="4" t="n">
        <v>115622.1</v>
      </c>
    </row>
    <row r="217">
      <c r="A217" s="5" t="n">
        <v>42795</v>
      </c>
      <c r="B217" s="2" t="inlineStr">
        <is>
          <t>2016-2017</t>
        </is>
      </c>
      <c r="C217" s="2" t="inlineStr">
        <is>
          <t>Q4FY17</t>
        </is>
      </c>
      <c r="D217" s="3" t="n">
        <v>1817</v>
      </c>
      <c r="E217" s="3" t="n">
        <v>4</v>
      </c>
      <c r="F217" s="3" t="n">
        <v>1696</v>
      </c>
      <c r="G217" s="3" t="n">
        <v>22</v>
      </c>
      <c r="H217" s="3" t="n">
        <v>2113</v>
      </c>
      <c r="I217" s="4" t="n">
        <v>18.58</v>
      </c>
      <c r="J217" s="4" t="n">
        <v>2696.1</v>
      </c>
      <c r="K217" s="4" t="n">
        <v>5562.4</v>
      </c>
      <c r="L217" s="4" t="n">
        <v>252.84</v>
      </c>
      <c r="M217" s="3" t="n">
        <v>29938</v>
      </c>
      <c r="N217" s="4" t="n">
        <v>2696.1</v>
      </c>
      <c r="O217" s="4" t="n">
        <v>5562.4</v>
      </c>
      <c r="P217" s="4" t="n">
        <v>119784.21</v>
      </c>
    </row>
    <row r="218">
      <c r="A218" s="5" t="n">
        <v>42826</v>
      </c>
      <c r="B218" s="2" t="inlineStr">
        <is>
          <t>2017-2018</t>
        </is>
      </c>
      <c r="C218" s="2" t="inlineStr">
        <is>
          <t>Q1FY18</t>
        </is>
      </c>
      <c r="D218" s="3" t="n">
        <v>1831</v>
      </c>
      <c r="E218" s="3" t="n">
        <v>4</v>
      </c>
      <c r="F218" s="3" t="n">
        <v>1706</v>
      </c>
      <c r="G218" s="3" t="n">
        <v>18</v>
      </c>
      <c r="H218" s="3" t="n">
        <v>2020</v>
      </c>
      <c r="I218" s="4" t="n">
        <v>16.73</v>
      </c>
      <c r="J218" s="4" t="n">
        <v>2492.6</v>
      </c>
      <c r="K218" s="4" t="n">
        <v>4721.1</v>
      </c>
      <c r="L218" s="4" t="n">
        <v>214.6</v>
      </c>
      <c r="M218" s="3" t="n">
        <v>28219</v>
      </c>
      <c r="N218" s="4" t="n">
        <v>2492.6</v>
      </c>
      <c r="O218" s="4" t="n">
        <v>4721.1</v>
      </c>
      <c r="P218" s="4" t="n">
        <v>123038.75</v>
      </c>
    </row>
    <row r="219">
      <c r="A219" s="5" t="n">
        <v>42856</v>
      </c>
      <c r="B219" s="2" t="inlineStr">
        <is>
          <t>2017-2018</t>
        </is>
      </c>
      <c r="C219" s="2" t="inlineStr">
        <is>
          <t>Q1FY18</t>
        </is>
      </c>
      <c r="D219" s="3" t="n">
        <v>1814</v>
      </c>
      <c r="E219" s="3" t="n">
        <v>4</v>
      </c>
      <c r="F219" s="3" t="n">
        <v>1707</v>
      </c>
      <c r="G219" s="3" t="n">
        <v>22</v>
      </c>
      <c r="H219" s="3" t="n">
        <v>2085</v>
      </c>
      <c r="I219" s="4" t="n">
        <v>20.93</v>
      </c>
      <c r="J219" s="4" t="n">
        <v>2951.82</v>
      </c>
      <c r="K219" s="4" t="n">
        <v>5885.02</v>
      </c>
      <c r="L219" s="4" t="n">
        <v>267.5</v>
      </c>
      <c r="M219" s="3" t="n">
        <v>28119</v>
      </c>
      <c r="N219" s="4" t="n">
        <v>2951.82</v>
      </c>
      <c r="O219" s="4" t="n">
        <v>5885.02</v>
      </c>
      <c r="P219" s="4" t="n">
        <v>124167.89</v>
      </c>
    </row>
    <row r="220">
      <c r="A220" s="5" t="n">
        <v>42887</v>
      </c>
      <c r="B220" s="2" t="inlineStr">
        <is>
          <t>2017-2018</t>
        </is>
      </c>
      <c r="C220" s="2" t="inlineStr">
        <is>
          <t>Q1FY18</t>
        </is>
      </c>
      <c r="D220" s="3" t="n">
        <v>1820</v>
      </c>
      <c r="E220" s="3" t="n">
        <v>4</v>
      </c>
      <c r="F220" s="3" t="n">
        <v>1710</v>
      </c>
      <c r="G220" s="3" t="n">
        <v>21</v>
      </c>
      <c r="H220" s="3" t="n">
        <v>2007</v>
      </c>
      <c r="I220" s="4" t="n">
        <v>18.02</v>
      </c>
      <c r="J220" s="4" t="n">
        <v>2541.39</v>
      </c>
      <c r="K220" s="4" t="n">
        <v>4863.05</v>
      </c>
      <c r="L220" s="4" t="n">
        <v>221.05</v>
      </c>
      <c r="M220" s="3" t="n">
        <v>26991</v>
      </c>
      <c r="N220" s="4" t="n">
        <v>2541.39</v>
      </c>
      <c r="O220" s="4" t="n">
        <v>4863.05</v>
      </c>
      <c r="P220" s="4" t="n">
        <v>124301.29</v>
      </c>
    </row>
    <row r="221">
      <c r="A221" s="5" t="n">
        <v>42917</v>
      </c>
      <c r="B221" s="2" t="inlineStr">
        <is>
          <t>2017-2018</t>
        </is>
      </c>
      <c r="C221" s="2" t="inlineStr">
        <is>
          <t>Q2FY18</t>
        </is>
      </c>
      <c r="D221" s="3" t="n">
        <v>1837</v>
      </c>
      <c r="E221" s="3" t="n">
        <v>4</v>
      </c>
      <c r="F221" s="3" t="n">
        <v>1721</v>
      </c>
      <c r="G221" s="3" t="n">
        <v>21</v>
      </c>
      <c r="H221" s="3" t="n">
        <v>2043</v>
      </c>
      <c r="I221" s="4" t="n">
        <v>18.38</v>
      </c>
      <c r="J221" s="4" t="n">
        <v>3179.88</v>
      </c>
      <c r="K221" s="4" t="n">
        <v>5439.44</v>
      </c>
      <c r="L221" s="4" t="n">
        <v>259.02</v>
      </c>
      <c r="M221" s="3" t="n">
        <v>29587</v>
      </c>
      <c r="N221" s="4" t="n">
        <v>3179.88</v>
      </c>
      <c r="O221" s="4" t="n">
        <v>5439.44</v>
      </c>
      <c r="P221" s="4" t="n">
        <v>131214.41</v>
      </c>
    </row>
    <row r="222">
      <c r="A222" s="5" t="n">
        <v>42948</v>
      </c>
      <c r="B222" s="2" t="inlineStr">
        <is>
          <t>2017-2018</t>
        </is>
      </c>
      <c r="C222" s="2" t="inlineStr">
        <is>
          <t>Q2FY18</t>
        </is>
      </c>
      <c r="D222" s="3" t="n">
        <v>1848</v>
      </c>
      <c r="E222" s="3" t="n">
        <v>4</v>
      </c>
      <c r="F222" s="3" t="n">
        <v>1732</v>
      </c>
      <c r="G222" s="3" t="n">
        <v>21</v>
      </c>
      <c r="H222" s="3" t="n">
        <v>2105</v>
      </c>
      <c r="I222" s="4" t="n">
        <v>19.14</v>
      </c>
      <c r="J222" s="4" t="n">
        <v>2803.9</v>
      </c>
      <c r="K222" s="4" t="n">
        <v>5538.29</v>
      </c>
      <c r="L222" s="4" t="n">
        <v>263.73</v>
      </c>
      <c r="M222" s="3" t="n">
        <v>28934</v>
      </c>
      <c r="N222" s="4" t="n">
        <v>2803.9</v>
      </c>
      <c r="O222" s="4" t="n">
        <v>5538.29</v>
      </c>
      <c r="P222" s="4" t="n">
        <v>130552.08</v>
      </c>
    </row>
    <row r="223">
      <c r="A223" s="5" t="n">
        <v>42979</v>
      </c>
      <c r="B223" s="2" t="inlineStr">
        <is>
          <t>2017-2018</t>
        </is>
      </c>
      <c r="C223" s="2" t="inlineStr">
        <is>
          <t>Q2FY18</t>
        </is>
      </c>
      <c r="D223" s="3" t="n">
        <v>1851</v>
      </c>
      <c r="E223" s="3" t="n">
        <v>4</v>
      </c>
      <c r="F223" s="3" t="n">
        <v>1745</v>
      </c>
      <c r="G223" s="3" t="n">
        <v>21</v>
      </c>
      <c r="H223" s="3" t="n">
        <v>2054</v>
      </c>
      <c r="I223" s="4" t="n">
        <v>20.68</v>
      </c>
      <c r="J223" s="4" t="n">
        <v>2966.03</v>
      </c>
      <c r="K223" s="4" t="n">
        <v>6000.92</v>
      </c>
      <c r="L223" s="4" t="n">
        <v>285.76</v>
      </c>
      <c r="M223" s="3" t="n">
        <v>29014</v>
      </c>
      <c r="N223" s="4" t="n">
        <v>2966.03</v>
      </c>
      <c r="O223" s="4" t="n">
        <v>6000.92</v>
      </c>
      <c r="P223" s="4" t="n">
        <v>130457.16</v>
      </c>
    </row>
    <row r="224">
      <c r="A224" s="5" t="n">
        <v>43009</v>
      </c>
      <c r="B224" s="2" t="inlineStr">
        <is>
          <t>2017-2018</t>
        </is>
      </c>
      <c r="C224" s="2" t="inlineStr">
        <is>
          <t>Q3FY18</t>
        </is>
      </c>
      <c r="D224" s="3" t="n">
        <v>1873</v>
      </c>
      <c r="E224" s="3" t="n">
        <v>4</v>
      </c>
      <c r="F224" s="3" t="n">
        <v>1761</v>
      </c>
      <c r="G224" s="3" t="n">
        <v>20</v>
      </c>
      <c r="H224" s="3" t="n">
        <v>2074</v>
      </c>
      <c r="I224" s="4" t="n">
        <v>20.07</v>
      </c>
      <c r="J224" s="4" t="n">
        <v>2901.9</v>
      </c>
      <c r="K224" s="4" t="n">
        <v>6074.52</v>
      </c>
      <c r="L224" s="4" t="n">
        <v>303.73</v>
      </c>
      <c r="M224" s="3" t="n">
        <v>30272</v>
      </c>
      <c r="N224" s="4" t="n">
        <v>2901.9</v>
      </c>
      <c r="O224" s="4" t="n">
        <v>6074.52</v>
      </c>
      <c r="P224" s="4" t="n">
        <v>142086.17</v>
      </c>
    </row>
    <row r="225">
      <c r="A225" s="5" t="n">
        <v>43040</v>
      </c>
      <c r="B225" s="2" t="inlineStr">
        <is>
          <t>2017-2018</t>
        </is>
      </c>
      <c r="C225" s="2" t="inlineStr">
        <is>
          <t>Q3FY18</t>
        </is>
      </c>
      <c r="D225" s="3" t="n">
        <v>1885</v>
      </c>
      <c r="E225" s="3" t="n">
        <v>4</v>
      </c>
      <c r="F225" s="3" t="n">
        <v>1785</v>
      </c>
      <c r="G225" s="3" t="n">
        <v>22</v>
      </c>
      <c r="H225" s="3" t="n">
        <v>2194</v>
      </c>
      <c r="I225" s="4" t="n">
        <v>25.04</v>
      </c>
      <c r="J225" s="4" t="n">
        <v>3638.46</v>
      </c>
      <c r="K225" s="4" t="n">
        <v>7351.87</v>
      </c>
      <c r="L225" s="4" t="n">
        <v>334.18</v>
      </c>
      <c r="M225" s="3" t="n">
        <v>29355</v>
      </c>
      <c r="N225" s="4" t="n">
        <v>3638.46</v>
      </c>
      <c r="O225" s="4" t="n">
        <v>7351.87</v>
      </c>
      <c r="P225" s="4" t="n">
        <v>143925.01</v>
      </c>
    </row>
    <row r="226">
      <c r="A226" s="5" t="n">
        <v>43070</v>
      </c>
      <c r="B226" s="2" t="inlineStr">
        <is>
          <t>2017-2018</t>
        </is>
      </c>
      <c r="C226" s="2" t="inlineStr">
        <is>
          <t>Q3FY18</t>
        </is>
      </c>
      <c r="D226" s="3" t="n">
        <v>1897</v>
      </c>
      <c r="E226" s="3" t="n">
        <v>4</v>
      </c>
      <c r="F226" s="3" t="n">
        <v>1786</v>
      </c>
      <c r="G226" s="3" t="n">
        <v>20</v>
      </c>
      <c r="H226" s="3" t="n">
        <v>2118</v>
      </c>
      <c r="I226" s="4" t="n">
        <v>21.04</v>
      </c>
      <c r="J226" s="4" t="n">
        <v>3485.26</v>
      </c>
      <c r="K226" s="4" t="n">
        <v>5980.32</v>
      </c>
      <c r="L226" s="4" t="n">
        <v>299.02</v>
      </c>
      <c r="M226" s="3" t="n">
        <v>28420</v>
      </c>
      <c r="N226" s="4" t="n">
        <v>3485.26</v>
      </c>
      <c r="O226" s="4" t="n">
        <v>5980.32</v>
      </c>
      <c r="P226" s="4" t="n">
        <v>149822.96</v>
      </c>
    </row>
    <row r="227">
      <c r="A227" s="5" t="n">
        <v>43101</v>
      </c>
      <c r="B227" s="2" t="inlineStr">
        <is>
          <t>2017-2018</t>
        </is>
      </c>
      <c r="C227" s="2" t="inlineStr">
        <is>
          <t>Q4FY18</t>
        </is>
      </c>
      <c r="D227" s="3" t="n">
        <v>1906</v>
      </c>
      <c r="E227" s="3" t="n">
        <v>4</v>
      </c>
      <c r="F227" s="3" t="n">
        <v>1796</v>
      </c>
      <c r="G227" s="3" t="n">
        <v>22</v>
      </c>
      <c r="H227" s="3" t="n">
        <v>2165</v>
      </c>
      <c r="I227" s="4" t="n">
        <v>26.9</v>
      </c>
      <c r="J227" s="4" t="n">
        <v>4669.55</v>
      </c>
      <c r="K227" s="4" t="n">
        <v>8148.39</v>
      </c>
      <c r="L227" s="4" t="n">
        <v>370.38</v>
      </c>
      <c r="M227" s="3" t="n">
        <v>30287</v>
      </c>
      <c r="N227" s="4" t="n">
        <v>4669.55</v>
      </c>
      <c r="O227" s="4" t="n">
        <v>8148.39</v>
      </c>
      <c r="P227" s="4" t="n">
        <v>151404.53</v>
      </c>
    </row>
    <row r="228">
      <c r="A228" s="5" t="n">
        <v>43132</v>
      </c>
      <c r="B228" s="2" t="inlineStr">
        <is>
          <t>2017-2018</t>
        </is>
      </c>
      <c r="C228" s="2" t="inlineStr">
        <is>
          <t>Q4FY18</t>
        </is>
      </c>
      <c r="D228" s="3" t="n">
        <v>1916</v>
      </c>
      <c r="E228" s="3" t="n">
        <v>4</v>
      </c>
      <c r="F228" s="3" t="n">
        <v>1806</v>
      </c>
      <c r="G228" s="3" t="n">
        <v>19</v>
      </c>
      <c r="H228" s="3" t="n">
        <v>2300</v>
      </c>
      <c r="I228" s="4" t="n">
        <v>22.03</v>
      </c>
      <c r="J228" s="4" t="n">
        <v>3034.53</v>
      </c>
      <c r="K228" s="4" t="n">
        <v>6396.83</v>
      </c>
      <c r="L228" s="4" t="n">
        <v>336.68</v>
      </c>
      <c r="M228" s="3" t="n">
        <v>29032</v>
      </c>
      <c r="N228" s="4" t="n">
        <v>3034.53</v>
      </c>
      <c r="O228" s="4" t="n">
        <v>6396.83</v>
      </c>
      <c r="P228" s="4" t="n">
        <v>145640.91</v>
      </c>
    </row>
    <row r="229">
      <c r="A229" s="5" t="n">
        <v>43160</v>
      </c>
      <c r="B229" s="2" t="inlineStr">
        <is>
          <t>2017-2018</t>
        </is>
      </c>
      <c r="C229" s="2" t="inlineStr">
        <is>
          <t>Q4FY18</t>
        </is>
      </c>
      <c r="D229" s="3" t="n">
        <v>1931</v>
      </c>
      <c r="E229" s="3" t="n">
        <v>4</v>
      </c>
      <c r="F229" s="3" t="n">
        <v>1817</v>
      </c>
      <c r="G229" s="3" t="n">
        <v>19</v>
      </c>
      <c r="H229" s="3" t="n">
        <v>2145</v>
      </c>
      <c r="I229" s="4" t="n">
        <v>20.16</v>
      </c>
      <c r="J229" s="4" t="n">
        <v>3053.04</v>
      </c>
      <c r="K229" s="4" t="n">
        <v>5948.52</v>
      </c>
      <c r="L229" s="4" t="n">
        <v>313.08</v>
      </c>
      <c r="M229" s="3" t="n">
        <v>29505</v>
      </c>
      <c r="N229" s="4" t="n">
        <v>3053.04</v>
      </c>
      <c r="O229" s="4" t="n">
        <v>5948.52</v>
      </c>
      <c r="P229" s="4" t="n">
        <v>140441.52</v>
      </c>
    </row>
    <row r="230">
      <c r="A230" s="5" t="n">
        <v>43191</v>
      </c>
      <c r="B230" s="2" t="inlineStr">
        <is>
          <t>2018-2019</t>
        </is>
      </c>
      <c r="C230" s="2" t="inlineStr">
        <is>
          <t>Q1FY19</t>
        </is>
      </c>
      <c r="D230" s="3" t="n">
        <v>1952</v>
      </c>
      <c r="E230" s="3" t="n">
        <v>4</v>
      </c>
      <c r="F230" s="3" t="n">
        <v>1843</v>
      </c>
      <c r="G230" s="3" t="n">
        <v>21</v>
      </c>
      <c r="H230" s="3" t="n">
        <v>2176</v>
      </c>
      <c r="I230" s="4" t="n">
        <v>21.77</v>
      </c>
      <c r="J230" s="4" t="n">
        <v>2984.53</v>
      </c>
      <c r="K230" s="4" t="n">
        <v>6414.4</v>
      </c>
      <c r="L230" s="4" t="n">
        <v>305.45</v>
      </c>
      <c r="M230" s="3" t="n">
        <v>29467</v>
      </c>
      <c r="N230" s="4" t="n">
        <v>2984.53</v>
      </c>
      <c r="O230" s="4" t="n">
        <v>6414.4</v>
      </c>
      <c r="P230" s="4" t="n">
        <v>150920.02</v>
      </c>
    </row>
    <row r="231">
      <c r="A231" s="5" t="n">
        <v>43221</v>
      </c>
      <c r="B231" s="2" t="inlineStr">
        <is>
          <t>2018-2019</t>
        </is>
      </c>
      <c r="C231" s="2" t="inlineStr">
        <is>
          <t>Q1FY19</t>
        </is>
      </c>
      <c r="D231" s="3" t="n">
        <v>1941</v>
      </c>
      <c r="E231" s="3" t="n">
        <v>4</v>
      </c>
      <c r="F231" s="3" t="n">
        <v>1843</v>
      </c>
      <c r="G231" s="3" t="n">
        <v>22</v>
      </c>
      <c r="H231" s="3" t="n">
        <v>2174</v>
      </c>
      <c r="I231" s="4" t="n">
        <v>24.68</v>
      </c>
      <c r="J231" s="4" t="n">
        <v>3421.55</v>
      </c>
      <c r="K231" s="4" t="n">
        <v>7000.13</v>
      </c>
      <c r="L231" s="4" t="n">
        <v>318.19</v>
      </c>
      <c r="M231" s="3" t="n">
        <v>28368</v>
      </c>
      <c r="N231" s="4" t="n">
        <v>3421.55</v>
      </c>
      <c r="O231" s="4" t="n">
        <v>7000.13</v>
      </c>
      <c r="P231" s="4" t="n">
        <v>146932.6</v>
      </c>
    </row>
    <row r="232">
      <c r="A232" s="5" t="n">
        <v>43252</v>
      </c>
      <c r="B232" s="2" t="inlineStr">
        <is>
          <t>2018-2019</t>
        </is>
      </c>
      <c r="C232" s="2" t="inlineStr">
        <is>
          <t>Q1FY19</t>
        </is>
      </c>
      <c r="D232" s="3" t="n">
        <v>1951</v>
      </c>
      <c r="E232" s="3" t="n">
        <v>4</v>
      </c>
      <c r="F232" s="3" t="n">
        <v>1860</v>
      </c>
      <c r="G232" s="3" t="n">
        <v>21</v>
      </c>
      <c r="H232" s="3" t="n">
        <v>2200</v>
      </c>
      <c r="I232" s="4" t="n">
        <v>22.25</v>
      </c>
      <c r="J232" s="4" t="n">
        <v>2802.06</v>
      </c>
      <c r="K232" s="4" t="n">
        <v>5916.96</v>
      </c>
      <c r="L232" s="4" t="n">
        <v>281.76</v>
      </c>
      <c r="M232" s="3" t="n">
        <v>26592</v>
      </c>
      <c r="N232" s="4" t="n">
        <v>2802.06</v>
      </c>
      <c r="O232" s="4" t="n">
        <v>5916.96</v>
      </c>
      <c r="P232" s="4" t="n">
        <v>143290.72</v>
      </c>
    </row>
    <row r="233">
      <c r="A233" s="5" t="n">
        <v>43282</v>
      </c>
      <c r="B233" s="2" t="inlineStr">
        <is>
          <t>2018-2019</t>
        </is>
      </c>
      <c r="C233" s="2" t="inlineStr">
        <is>
          <t>Q2FY19</t>
        </is>
      </c>
      <c r="D233" s="3" t="n">
        <v>1938</v>
      </c>
      <c r="E233" s="3" t="n">
        <v>4</v>
      </c>
      <c r="F233" s="3" t="n">
        <v>1865</v>
      </c>
      <c r="G233" s="3" t="n">
        <v>22</v>
      </c>
      <c r="H233" s="3" t="n">
        <v>2264</v>
      </c>
      <c r="I233" s="4" t="n">
        <v>23.52</v>
      </c>
      <c r="J233" s="4" t="n">
        <v>3133.96</v>
      </c>
      <c r="K233" s="4" t="n">
        <v>6628.67</v>
      </c>
      <c r="L233" s="4" t="n">
        <v>301.3</v>
      </c>
      <c r="M233" s="3" t="n">
        <v>28185</v>
      </c>
      <c r="N233" s="4" t="n">
        <v>3133.96</v>
      </c>
      <c r="O233" s="4" t="n">
        <v>6628.67</v>
      </c>
      <c r="P233" s="4" t="n">
        <v>151284.49</v>
      </c>
    </row>
    <row r="234">
      <c r="A234" s="5" t="n">
        <v>43313</v>
      </c>
      <c r="B234" s="2" t="inlineStr">
        <is>
          <t>2018-2019</t>
        </is>
      </c>
      <c r="C234" s="2" t="inlineStr">
        <is>
          <t>Q2FY19</t>
        </is>
      </c>
      <c r="D234" s="3" t="n">
        <v>1916</v>
      </c>
      <c r="E234" s="3" t="n">
        <v>4</v>
      </c>
      <c r="F234" s="3" t="n">
        <v>1867</v>
      </c>
      <c r="G234" s="3" t="n">
        <v>21</v>
      </c>
      <c r="H234" s="3" t="n">
        <v>2258</v>
      </c>
      <c r="I234" s="4" t="n">
        <v>24.08</v>
      </c>
      <c r="J234" s="4" t="n">
        <v>3298.45</v>
      </c>
      <c r="K234" s="4" t="n">
        <v>7058.69</v>
      </c>
      <c r="L234" s="4" t="n">
        <v>336.13</v>
      </c>
      <c r="M234" s="3" t="n">
        <v>29312</v>
      </c>
      <c r="N234" s="4" t="n">
        <v>3298.45</v>
      </c>
      <c r="O234" s="4" t="n">
        <v>7058.69</v>
      </c>
      <c r="P234" s="4" t="n">
        <v>157309.18</v>
      </c>
    </row>
    <row r="235">
      <c r="A235" s="5" t="n">
        <v>43344</v>
      </c>
      <c r="B235" s="2" t="inlineStr">
        <is>
          <t>2018-2019</t>
        </is>
      </c>
      <c r="C235" s="2" t="inlineStr">
        <is>
          <t>Q2FY19</t>
        </is>
      </c>
      <c r="D235" s="3" t="n">
        <v>1912</v>
      </c>
      <c r="E235" s="3" t="n">
        <v>4</v>
      </c>
      <c r="F235" s="3" t="n">
        <v>1873</v>
      </c>
      <c r="G235" s="3" t="n">
        <v>18</v>
      </c>
      <c r="H235" s="3" t="n">
        <v>2253</v>
      </c>
      <c r="I235" s="4" t="n">
        <v>24.05</v>
      </c>
      <c r="J235" s="4" t="n">
        <v>3038.04</v>
      </c>
      <c r="K235" s="4" t="n">
        <v>6883.19</v>
      </c>
      <c r="L235" s="4" t="n">
        <v>382.4</v>
      </c>
      <c r="M235" s="3" t="n">
        <v>28616</v>
      </c>
      <c r="N235" s="4" t="n">
        <v>3038.04</v>
      </c>
      <c r="O235" s="4" t="n">
        <v>6883.19</v>
      </c>
      <c r="P235" s="4" t="n">
        <v>142923.02</v>
      </c>
    </row>
    <row r="236">
      <c r="A236" s="5" t="n">
        <v>43374</v>
      </c>
      <c r="B236" s="2" t="inlineStr">
        <is>
          <t>2018-2019</t>
        </is>
      </c>
      <c r="C236" s="2" t="inlineStr">
        <is>
          <t>Q3FY19</t>
        </is>
      </c>
      <c r="D236" s="3" t="n">
        <v>1921</v>
      </c>
      <c r="E236" s="3" t="n">
        <v>4</v>
      </c>
      <c r="F236" s="3" t="n">
        <v>1881</v>
      </c>
      <c r="G236" s="3" t="n">
        <v>21</v>
      </c>
      <c r="H236" s="3" t="n">
        <v>2325</v>
      </c>
      <c r="I236" s="4" t="n">
        <v>28.89</v>
      </c>
      <c r="J236" s="4" t="n">
        <v>3307.16</v>
      </c>
      <c r="K236" s="4" t="n">
        <v>7455.84</v>
      </c>
      <c r="L236" s="4" t="n">
        <v>355.04</v>
      </c>
      <c r="M236" s="3" t="n">
        <v>25809</v>
      </c>
      <c r="N236" s="4" t="n">
        <v>3307.16</v>
      </c>
      <c r="O236" s="4" t="n">
        <v>7455.84</v>
      </c>
      <c r="P236" s="4" t="n">
        <v>136938.25</v>
      </c>
    </row>
    <row r="237">
      <c r="A237" s="5" t="n">
        <v>43405</v>
      </c>
      <c r="B237" s="2" t="inlineStr">
        <is>
          <t>2018-2019</t>
        </is>
      </c>
      <c r="C237" s="2" t="inlineStr">
        <is>
          <t>Q3FY19</t>
        </is>
      </c>
      <c r="D237" s="3" t="n">
        <v>1922</v>
      </c>
      <c r="E237" s="3" t="n">
        <v>4</v>
      </c>
      <c r="F237" s="3" t="n">
        <v>1876</v>
      </c>
      <c r="G237" s="3" t="n">
        <v>20</v>
      </c>
      <c r="H237" s="3" t="n">
        <v>2227</v>
      </c>
      <c r="I237" s="4" t="n">
        <v>23.04</v>
      </c>
      <c r="J237" s="4" t="n">
        <v>2821.82</v>
      </c>
      <c r="K237" s="4" t="n">
        <v>6109.14</v>
      </c>
      <c r="L237" s="4" t="n">
        <v>305.46</v>
      </c>
      <c r="M237" s="3" t="n">
        <v>26510</v>
      </c>
      <c r="N237" s="4" t="n">
        <v>2821.82</v>
      </c>
      <c r="O237" s="4" t="n">
        <v>6109.14</v>
      </c>
      <c r="P237" s="4" t="n">
        <v>141225.35</v>
      </c>
    </row>
    <row r="238">
      <c r="A238" s="5" t="n">
        <v>43435</v>
      </c>
      <c r="B238" s="2" t="inlineStr">
        <is>
          <t>2018-2019</t>
        </is>
      </c>
      <c r="C238" s="2" t="inlineStr">
        <is>
          <t>Q3FY19</t>
        </is>
      </c>
      <c r="D238" s="3" t="n">
        <v>1923</v>
      </c>
      <c r="E238" s="3" t="n">
        <v>4</v>
      </c>
      <c r="F238" s="3" t="n">
        <v>1879</v>
      </c>
      <c r="G238" s="3" t="n">
        <v>20</v>
      </c>
      <c r="H238" s="3" t="n">
        <v>2238</v>
      </c>
      <c r="I238" s="4" t="n">
        <v>21.99</v>
      </c>
      <c r="J238" s="4" t="n">
        <v>2877.97</v>
      </c>
      <c r="K238" s="4" t="n">
        <v>5999.17</v>
      </c>
      <c r="L238" s="4" t="n">
        <v>299.96</v>
      </c>
      <c r="M238" s="3" t="n">
        <v>27283</v>
      </c>
      <c r="N238" s="4" t="n">
        <v>2877.97</v>
      </c>
      <c r="O238" s="4" t="n">
        <v>5999.17</v>
      </c>
      <c r="P238" s="4" t="n">
        <v>142790.83</v>
      </c>
    </row>
    <row r="239">
      <c r="A239" s="5" t="n">
        <v>43466</v>
      </c>
      <c r="B239" s="2" t="inlineStr">
        <is>
          <t>2018-2019</t>
        </is>
      </c>
      <c r="C239" s="2" t="inlineStr">
        <is>
          <t>Q4FY19</t>
        </is>
      </c>
      <c r="D239" s="3" t="n">
        <v>1926</v>
      </c>
      <c r="E239" s="3" t="n">
        <v>4</v>
      </c>
      <c r="F239" s="3" t="n">
        <v>1877</v>
      </c>
      <c r="G239" s="3" t="n">
        <v>23</v>
      </c>
      <c r="H239" s="3" t="n">
        <v>2312</v>
      </c>
      <c r="I239" s="4" t="n">
        <v>23.87</v>
      </c>
      <c r="J239" s="4" t="n">
        <v>2813.5</v>
      </c>
      <c r="K239" s="4" t="n">
        <v>6658.89</v>
      </c>
      <c r="L239" s="4" t="n">
        <v>289.52</v>
      </c>
      <c r="M239" s="3" t="n">
        <v>27902</v>
      </c>
      <c r="N239" s="4" t="n">
        <v>2813.5</v>
      </c>
      <c r="O239" s="4" t="n">
        <v>6658.89</v>
      </c>
      <c r="P239" s="4" t="n">
        <v>139166.43</v>
      </c>
    </row>
    <row r="240">
      <c r="A240" s="5" t="n">
        <v>43497</v>
      </c>
      <c r="B240" s="2" t="inlineStr">
        <is>
          <t>2018-2019</t>
        </is>
      </c>
      <c r="C240" s="2" t="inlineStr">
        <is>
          <t>Q4FY19</t>
        </is>
      </c>
      <c r="D240" s="3" t="n">
        <v>1929</v>
      </c>
      <c r="E240" s="3" t="n">
        <v>4</v>
      </c>
      <c r="F240" s="3" t="n">
        <v>1884</v>
      </c>
      <c r="G240" s="3" t="n">
        <v>20</v>
      </c>
      <c r="H240" s="3" t="n">
        <v>2275</v>
      </c>
      <c r="I240" s="4" t="n">
        <v>23.77</v>
      </c>
      <c r="J240" s="4" t="n">
        <v>3470.11</v>
      </c>
      <c r="K240" s="4" t="n">
        <v>6392.7</v>
      </c>
      <c r="L240" s="4" t="n">
        <v>319.64</v>
      </c>
      <c r="M240" s="3" t="n">
        <v>26897</v>
      </c>
      <c r="N240" s="4" t="n">
        <v>3470.11</v>
      </c>
      <c r="O240" s="4" t="n">
        <v>6392.7</v>
      </c>
      <c r="P240" s="4" t="n">
        <v>138714.49</v>
      </c>
    </row>
    <row r="241">
      <c r="A241" s="5" t="n">
        <v>43525</v>
      </c>
      <c r="B241" s="2" t="inlineStr">
        <is>
          <t>2018-2019</t>
        </is>
      </c>
      <c r="C241" s="2" t="inlineStr">
        <is>
          <t>Q4FY19</t>
        </is>
      </c>
      <c r="D241" s="3" t="n">
        <v>1931</v>
      </c>
      <c r="E241" s="3" t="n">
        <v>4</v>
      </c>
      <c r="F241" s="3" t="n">
        <v>1884</v>
      </c>
      <c r="G241" s="3" t="n">
        <v>19</v>
      </c>
      <c r="H241" s="3" t="n">
        <v>2331</v>
      </c>
      <c r="I241" s="4" t="n">
        <v>23.41</v>
      </c>
      <c r="J241" s="4" t="n">
        <v>3530.62</v>
      </c>
      <c r="K241" s="4" t="n">
        <v>6972.24</v>
      </c>
      <c r="L241" s="4" t="n">
        <v>366.96</v>
      </c>
      <c r="M241" s="3" t="n">
        <v>29778</v>
      </c>
      <c r="N241" s="4" t="n">
        <v>3530.62</v>
      </c>
      <c r="O241" s="4" t="n">
        <v>6972.24</v>
      </c>
      <c r="P241" s="4" t="n">
        <v>149342.27</v>
      </c>
    </row>
    <row r="242">
      <c r="A242" s="5" t="n">
        <v>43556</v>
      </c>
      <c r="B242" s="2" t="inlineStr">
        <is>
          <t>2019-2020</t>
        </is>
      </c>
      <c r="C242" s="2" t="inlineStr">
        <is>
          <t>Q1FY20</t>
        </is>
      </c>
      <c r="D242" s="3" t="n">
        <v>1938</v>
      </c>
      <c r="E242" s="3" t="n">
        <v>4</v>
      </c>
      <c r="F242" s="3" t="n">
        <v>1892</v>
      </c>
      <c r="G242" s="3" t="n">
        <v>19</v>
      </c>
      <c r="H242" s="3" t="n">
        <v>2338</v>
      </c>
      <c r="I242" s="4" t="n">
        <v>21.47</v>
      </c>
      <c r="J242" s="4" t="n">
        <v>3086.36</v>
      </c>
      <c r="K242" s="4" t="n">
        <v>6401.15</v>
      </c>
      <c r="L242" s="4" t="n">
        <v>336.9</v>
      </c>
      <c r="M242" s="3" t="n">
        <v>29811</v>
      </c>
      <c r="N242" s="4" t="n">
        <v>3086.36</v>
      </c>
      <c r="O242" s="4" t="n">
        <v>6401.15</v>
      </c>
      <c r="P242" s="4" t="n">
        <v>150432.75</v>
      </c>
    </row>
    <row r="243">
      <c r="A243" s="5" t="n">
        <v>43586</v>
      </c>
      <c r="B243" s="2" t="inlineStr">
        <is>
          <t>2019-2020</t>
        </is>
      </c>
      <c r="C243" s="2" t="inlineStr">
        <is>
          <t>Q1FY20</t>
        </is>
      </c>
      <c r="D243" s="3" t="n">
        <v>1942</v>
      </c>
      <c r="E243" s="3" t="n">
        <v>4</v>
      </c>
      <c r="F243" s="3" t="n">
        <v>1892</v>
      </c>
      <c r="G243" s="3" t="n">
        <v>22</v>
      </c>
      <c r="H243" s="3" t="n">
        <v>2283</v>
      </c>
      <c r="I243" s="4" t="n">
        <v>27.35</v>
      </c>
      <c r="J243" s="4" t="n">
        <v>3727.12</v>
      </c>
      <c r="K243" s="4" t="n">
        <v>7881.84</v>
      </c>
      <c r="L243" s="4" t="n">
        <v>358.27</v>
      </c>
      <c r="M243" s="3" t="n">
        <v>28822</v>
      </c>
      <c r="N243" s="4" t="n">
        <v>3727.12</v>
      </c>
      <c r="O243" s="4" t="n">
        <v>7881.84</v>
      </c>
      <c r="P243" s="4" t="n">
        <v>152543.61</v>
      </c>
    </row>
    <row r="244">
      <c r="A244" s="5" t="n">
        <v>43617</v>
      </c>
      <c r="B244" s="2" t="inlineStr">
        <is>
          <t>2019-2020</t>
        </is>
      </c>
      <c r="C244" s="2" t="inlineStr">
        <is>
          <t>Q1FY20</t>
        </is>
      </c>
      <c r="D244" s="3" t="n">
        <v>1945</v>
      </c>
      <c r="E244" s="3" t="n">
        <v>4</v>
      </c>
      <c r="F244" s="3" t="n">
        <v>1888</v>
      </c>
      <c r="G244" s="3" t="n">
        <v>19</v>
      </c>
      <c r="H244" s="3" t="n">
        <v>2358</v>
      </c>
      <c r="I244" s="4" t="n">
        <v>21.46</v>
      </c>
      <c r="J244" s="4" t="n">
        <v>3025.72</v>
      </c>
      <c r="K244" s="4" t="n">
        <v>5960.3</v>
      </c>
      <c r="L244" s="4" t="n">
        <v>313.7</v>
      </c>
      <c r="M244" s="3" t="n">
        <v>27779</v>
      </c>
      <c r="N244" s="4" t="n">
        <v>3025.72</v>
      </c>
      <c r="O244" s="4" t="n">
        <v>5960.3</v>
      </c>
      <c r="P244" s="4" t="n">
        <v>150314.15</v>
      </c>
    </row>
    <row r="245">
      <c r="A245" s="5" t="n">
        <v>43647</v>
      </c>
      <c r="B245" s="2" t="inlineStr">
        <is>
          <t>2019-2020</t>
        </is>
      </c>
      <c r="C245" s="2" t="inlineStr">
        <is>
          <t>Q2FY20</t>
        </is>
      </c>
      <c r="D245" s="3" t="n">
        <v>1950</v>
      </c>
      <c r="E245" s="3" t="n">
        <v>4</v>
      </c>
      <c r="F245" s="3" t="n">
        <v>1887</v>
      </c>
      <c r="G245" s="3" t="n">
        <v>23</v>
      </c>
      <c r="H245" s="3" t="n">
        <v>2301</v>
      </c>
      <c r="I245" s="4" t="n">
        <v>25.57</v>
      </c>
      <c r="J245" s="4" t="n">
        <v>3350.53</v>
      </c>
      <c r="K245" s="4" t="n">
        <v>7128.21</v>
      </c>
      <c r="L245" s="4" t="n">
        <v>309.92</v>
      </c>
      <c r="M245" s="3" t="n">
        <v>27879</v>
      </c>
      <c r="N245" s="4" t="n">
        <v>3350.53</v>
      </c>
      <c r="O245" s="4" t="n">
        <v>7128.21</v>
      </c>
      <c r="P245" s="4" t="n">
        <v>140054.17</v>
      </c>
    </row>
    <row r="246">
      <c r="A246" s="5" t="n">
        <v>43678</v>
      </c>
      <c r="B246" s="2" t="inlineStr">
        <is>
          <t>2019-2020</t>
        </is>
      </c>
      <c r="C246" s="2" t="inlineStr">
        <is>
          <t>Q2FY20</t>
        </is>
      </c>
      <c r="D246" s="3" t="n">
        <v>1952</v>
      </c>
      <c r="E246" s="3" t="n">
        <v>18</v>
      </c>
      <c r="F246" s="3" t="n">
        <v>1905</v>
      </c>
      <c r="G246" s="3" t="n">
        <v>20</v>
      </c>
      <c r="H246" s="3" t="n">
        <v>2312</v>
      </c>
      <c r="I246" s="4" t="n">
        <v>25.26</v>
      </c>
      <c r="J246" s="4" t="n">
        <v>3340.19</v>
      </c>
      <c r="K246" s="4" t="n">
        <v>6736.33</v>
      </c>
      <c r="L246" s="4" t="n">
        <v>336.82</v>
      </c>
      <c r="M246" s="3" t="n">
        <v>26670</v>
      </c>
      <c r="N246" s="4" t="n">
        <v>3340.19</v>
      </c>
      <c r="O246" s="4" t="n">
        <v>6736.33</v>
      </c>
      <c r="P246" s="4" t="n">
        <v>139761.68</v>
      </c>
    </row>
    <row r="247">
      <c r="A247" s="5" t="n">
        <v>43709</v>
      </c>
      <c r="B247" s="2" t="inlineStr">
        <is>
          <t>2019-2020</t>
        </is>
      </c>
      <c r="C247" s="2" t="inlineStr">
        <is>
          <t>Q2FY20</t>
        </is>
      </c>
      <c r="D247" s="3" t="n">
        <v>1955</v>
      </c>
      <c r="E247" s="3" t="n">
        <v>18</v>
      </c>
      <c r="F247" s="3" t="n">
        <v>1902</v>
      </c>
      <c r="G247" s="3" t="n">
        <v>19</v>
      </c>
      <c r="H247" s="3" t="n">
        <v>2452</v>
      </c>
      <c r="I247" s="4" t="n">
        <v>25.04</v>
      </c>
      <c r="J247" s="4" t="n">
        <v>3469.63</v>
      </c>
      <c r="K247" s="4" t="n">
        <v>7104.98</v>
      </c>
      <c r="L247" s="4" t="n">
        <v>373.95</v>
      </c>
      <c r="M247" s="3" t="n">
        <v>28376</v>
      </c>
      <c r="N247" s="4" t="n">
        <v>3469.63</v>
      </c>
      <c r="O247" s="4" t="n">
        <v>7104.98</v>
      </c>
      <c r="P247" s="4" t="n">
        <v>145730.03</v>
      </c>
    </row>
    <row r="248">
      <c r="A248" s="5" t="n">
        <v>43739</v>
      </c>
      <c r="B248" s="2" t="inlineStr">
        <is>
          <t>2019-2020</t>
        </is>
      </c>
      <c r="C248" s="2" t="inlineStr">
        <is>
          <t>Q3FY20</t>
        </is>
      </c>
      <c r="D248" s="3" t="n">
        <v>1949</v>
      </c>
      <c r="E248" s="3" t="n">
        <v>18</v>
      </c>
      <c r="F248" s="3" t="n">
        <v>1905</v>
      </c>
      <c r="G248" s="3" t="n">
        <v>20</v>
      </c>
      <c r="H248" s="3" t="n">
        <v>2319</v>
      </c>
      <c r="I248" s="4" t="n">
        <v>25.87</v>
      </c>
      <c r="J248" s="4" t="n">
        <v>4080.51</v>
      </c>
      <c r="K248" s="4" t="n">
        <v>7529.31</v>
      </c>
      <c r="L248" s="4" t="n">
        <v>376.47</v>
      </c>
      <c r="M248" s="3" t="n">
        <v>29102</v>
      </c>
      <c r="N248" s="4" t="n">
        <v>4080.51</v>
      </c>
      <c r="O248" s="4" t="n">
        <v>7529.31</v>
      </c>
      <c r="P248" s="4" t="n">
        <v>152477.3</v>
      </c>
    </row>
    <row r="249">
      <c r="A249" s="5" t="n">
        <v>43770</v>
      </c>
      <c r="B249" s="2" t="inlineStr">
        <is>
          <t>2019-2020</t>
        </is>
      </c>
      <c r="C249" s="2" t="inlineStr">
        <is>
          <t>Q3FY20</t>
        </is>
      </c>
      <c r="D249" s="3" t="n">
        <v>1951</v>
      </c>
      <c r="E249" s="3" t="n">
        <v>19</v>
      </c>
      <c r="F249" s="3" t="n">
        <v>1901</v>
      </c>
      <c r="G249" s="3" t="n">
        <v>20</v>
      </c>
      <c r="H249" s="3" t="n">
        <v>2336</v>
      </c>
      <c r="I249" s="4" t="n">
        <v>25.98</v>
      </c>
      <c r="J249" s="4" t="n">
        <v>4833.53</v>
      </c>
      <c r="K249" s="4" t="n">
        <v>8342.52</v>
      </c>
      <c r="L249" s="4" t="n">
        <v>417.13</v>
      </c>
      <c r="M249" s="3" t="n">
        <v>32114</v>
      </c>
      <c r="N249" s="4" t="n">
        <v>4833.53</v>
      </c>
      <c r="O249" s="4" t="n">
        <v>8342.52</v>
      </c>
      <c r="P249" s="4" t="n">
        <v>153154.78</v>
      </c>
    </row>
    <row r="250">
      <c r="A250" s="5" t="n">
        <v>43800</v>
      </c>
      <c r="B250" s="2" t="inlineStr">
        <is>
          <t>2019-2020</t>
        </is>
      </c>
      <c r="C250" s="2" t="inlineStr">
        <is>
          <t>Q3FY20</t>
        </is>
      </c>
      <c r="D250" s="3" t="n">
        <v>1955</v>
      </c>
      <c r="E250" s="3" t="n">
        <v>19</v>
      </c>
      <c r="F250" s="3" t="n">
        <v>1902</v>
      </c>
      <c r="G250" s="3" t="n">
        <v>21</v>
      </c>
      <c r="H250" s="3" t="n">
        <v>2438</v>
      </c>
      <c r="I250" s="4" t="n">
        <v>22.37</v>
      </c>
      <c r="J250" s="4" t="n">
        <v>3911.15</v>
      </c>
      <c r="K250" s="4" t="n">
        <v>6819.83</v>
      </c>
      <c r="L250" s="4" t="n">
        <v>324.75</v>
      </c>
      <c r="M250" s="3" t="n">
        <v>30483</v>
      </c>
      <c r="N250" s="4" t="n">
        <v>3911.15</v>
      </c>
      <c r="O250" s="4" t="n">
        <v>6819.83</v>
      </c>
      <c r="P250" s="4" t="n">
        <v>154319.67</v>
      </c>
    </row>
    <row r="251">
      <c r="A251" s="5" t="n">
        <v>43831</v>
      </c>
      <c r="B251" s="2" t="inlineStr">
        <is>
          <t>2019-2020</t>
        </is>
      </c>
      <c r="C251" s="2" t="inlineStr">
        <is>
          <t>Q4FY20</t>
        </is>
      </c>
      <c r="D251" s="3" t="n">
        <v>1959</v>
      </c>
      <c r="E251" s="3" t="n">
        <v>18</v>
      </c>
      <c r="F251" s="3" t="n">
        <v>1901</v>
      </c>
      <c r="G251" s="3" t="n">
        <v>23</v>
      </c>
      <c r="H251" s="3" t="n">
        <v>2354</v>
      </c>
      <c r="I251" s="4" t="n">
        <v>26.05</v>
      </c>
      <c r="J251" s="4" t="n">
        <v>4076.94</v>
      </c>
      <c r="K251" s="4" t="n">
        <v>8053.47</v>
      </c>
      <c r="L251" s="4" t="n">
        <v>350.15</v>
      </c>
      <c r="M251" s="3" t="n">
        <v>30910</v>
      </c>
      <c r="N251" s="4" t="n">
        <v>4076.94</v>
      </c>
      <c r="O251" s="4" t="n">
        <v>8053.47</v>
      </c>
      <c r="P251" s="4" t="n">
        <v>155171.07</v>
      </c>
    </row>
    <row r="252">
      <c r="A252" s="5" t="n">
        <v>43862</v>
      </c>
      <c r="B252" s="2" t="inlineStr">
        <is>
          <t>2019-2020</t>
        </is>
      </c>
      <c r="C252" s="2" t="inlineStr">
        <is>
          <t>Q4FY20</t>
        </is>
      </c>
      <c r="D252" s="3" t="n">
        <v>1961</v>
      </c>
      <c r="E252" s="3" t="n">
        <v>18</v>
      </c>
      <c r="F252" s="3" t="n">
        <v>1901</v>
      </c>
      <c r="G252" s="3" t="n">
        <v>20</v>
      </c>
      <c r="H252" s="3" t="n">
        <v>2326</v>
      </c>
      <c r="I252" s="4" t="n">
        <v>26.37</v>
      </c>
      <c r="J252" s="4" t="n">
        <v>3954.75</v>
      </c>
      <c r="K252" s="4" t="n">
        <v>7967.68</v>
      </c>
      <c r="L252" s="4" t="n">
        <v>398.38</v>
      </c>
      <c r="M252" s="3" t="n">
        <v>30220</v>
      </c>
      <c r="N252" s="4" t="n">
        <v>3954.75</v>
      </c>
      <c r="O252" s="4" t="n">
        <v>7967.68</v>
      </c>
      <c r="P252" s="4" t="n">
        <v>145520.74</v>
      </c>
    </row>
    <row r="253">
      <c r="A253" s="5" t="n">
        <v>43891</v>
      </c>
      <c r="B253" s="2" t="inlineStr">
        <is>
          <t>2019-2020</t>
        </is>
      </c>
      <c r="C253" s="2" t="inlineStr">
        <is>
          <t>Q4FY20</t>
        </is>
      </c>
      <c r="D253" s="3" t="n">
        <v>1949</v>
      </c>
      <c r="E253" s="3" t="n">
        <v>18</v>
      </c>
      <c r="F253" s="3" t="n">
        <v>1882</v>
      </c>
      <c r="G253" s="3" t="n">
        <v>21</v>
      </c>
      <c r="H253" s="3" t="n">
        <v>2493</v>
      </c>
      <c r="I253" s="4" t="n">
        <v>41.81</v>
      </c>
      <c r="J253" s="4" t="n">
        <v>5884.14</v>
      </c>
      <c r="K253" s="4" t="n">
        <v>10062.49</v>
      </c>
      <c r="L253" s="4" t="n">
        <v>479.17</v>
      </c>
      <c r="M253" s="3" t="n">
        <v>24065</v>
      </c>
      <c r="N253" s="4" t="n">
        <v>5884.14</v>
      </c>
      <c r="O253" s="4" t="n">
        <v>10062.49</v>
      </c>
      <c r="P253" s="4" t="n">
        <v>112431.12</v>
      </c>
    </row>
    <row r="254">
      <c r="A254" s="5" t="n">
        <v>43922</v>
      </c>
      <c r="B254" s="2" t="inlineStr">
        <is>
          <t>2020-2021</t>
        </is>
      </c>
      <c r="C254" s="2" t="inlineStr">
        <is>
          <t>Q1FY21</t>
        </is>
      </c>
      <c r="D254" s="3" t="n">
        <v>1949</v>
      </c>
      <c r="E254" s="3" t="n">
        <v>18</v>
      </c>
      <c r="F254" s="3" t="n">
        <v>1878</v>
      </c>
      <c r="G254" s="3" t="n">
        <v>18</v>
      </c>
      <c r="H254" s="3" t="n">
        <v>2405</v>
      </c>
      <c r="I254" s="4" t="n">
        <v>36.06</v>
      </c>
      <c r="J254" s="4" t="n">
        <v>4273.08</v>
      </c>
      <c r="K254" s="4" t="n">
        <v>9058.02</v>
      </c>
      <c r="L254" s="4" t="n">
        <v>503.22</v>
      </c>
      <c r="M254" s="3" t="n">
        <v>25118</v>
      </c>
      <c r="N254" s="4" t="n">
        <v>4273.08</v>
      </c>
      <c r="O254" s="4" t="n">
        <v>9058.02</v>
      </c>
      <c r="P254" s="4" t="n">
        <v>127386.26</v>
      </c>
    </row>
    <row r="255">
      <c r="A255" s="5" t="n">
        <v>43952</v>
      </c>
      <c r="B255" s="2" t="inlineStr">
        <is>
          <t>2020-2021</t>
        </is>
      </c>
      <c r="C255" s="2" t="inlineStr">
        <is>
          <t>Q1FY21</t>
        </is>
      </c>
      <c r="D255" s="3" t="n">
        <v>1947</v>
      </c>
      <c r="E255" s="3" t="n">
        <v>18</v>
      </c>
      <c r="F255" s="3" t="n">
        <v>1876</v>
      </c>
      <c r="G255" s="3" t="n">
        <v>19</v>
      </c>
      <c r="H255" s="3" t="n">
        <v>2435</v>
      </c>
      <c r="I255" s="4" t="n">
        <v>34.18</v>
      </c>
      <c r="J255" s="4" t="n">
        <v>4933.59</v>
      </c>
      <c r="K255" s="4" t="n">
        <v>10004.56</v>
      </c>
      <c r="L255" s="4" t="n">
        <v>526.5599999999999</v>
      </c>
      <c r="M255" s="3" t="n">
        <v>29271</v>
      </c>
      <c r="N255" s="4" t="n">
        <v>4933.59</v>
      </c>
      <c r="O255" s="4" t="n">
        <v>10004.56</v>
      </c>
      <c r="P255" s="4" t="n">
        <v>125169.6</v>
      </c>
    </row>
    <row r="256">
      <c r="A256" s="5" t="n">
        <v>43983</v>
      </c>
      <c r="B256" s="2" t="inlineStr">
        <is>
          <t>2020-2021</t>
        </is>
      </c>
      <c r="C256" s="2" t="inlineStr">
        <is>
          <t>Q1FY21</t>
        </is>
      </c>
      <c r="D256" s="3" t="n">
        <v>1944</v>
      </c>
      <c r="E256" s="3" t="n">
        <v>18</v>
      </c>
      <c r="F256" s="3" t="n">
        <v>1869</v>
      </c>
      <c r="G256" s="3" t="n">
        <v>22</v>
      </c>
      <c r="H256" s="3" t="n">
        <v>2426</v>
      </c>
      <c r="I256" s="4" t="n">
        <v>43.04</v>
      </c>
      <c r="J256" s="4" t="n">
        <v>8457.6</v>
      </c>
      <c r="K256" s="4" t="n">
        <v>13506.81</v>
      </c>
      <c r="L256" s="4" t="n">
        <v>613.95</v>
      </c>
      <c r="M256" s="3" t="n">
        <v>31382</v>
      </c>
      <c r="N256" s="4" t="n">
        <v>8457.6</v>
      </c>
      <c r="O256" s="4" t="n">
        <v>13506.81</v>
      </c>
      <c r="P256" s="4" t="n">
        <v>138046.01</v>
      </c>
    </row>
    <row r="257">
      <c r="A257" s="5" t="n">
        <v>44013</v>
      </c>
      <c r="B257" s="2" t="inlineStr">
        <is>
          <t>2020-2021</t>
        </is>
      </c>
      <c r="C257" s="2" t="inlineStr">
        <is>
          <t>Q2FY21</t>
        </is>
      </c>
      <c r="D257" s="3" t="n">
        <v>1941</v>
      </c>
      <c r="E257" s="3" t="n">
        <v>18</v>
      </c>
      <c r="F257" s="3" t="n">
        <v>1872</v>
      </c>
      <c r="G257" s="3" t="n">
        <v>23</v>
      </c>
      <c r="H257" s="3" t="n">
        <v>2403</v>
      </c>
      <c r="I257" s="4" t="n">
        <v>39.5</v>
      </c>
      <c r="J257" s="4" t="n">
        <v>6677.58</v>
      </c>
      <c r="K257" s="4" t="n">
        <v>13485.21</v>
      </c>
      <c r="L257" s="4" t="n">
        <v>586.3099999999999</v>
      </c>
      <c r="M257" s="3" t="n">
        <v>34136</v>
      </c>
      <c r="N257" s="4" t="n">
        <v>6677.58</v>
      </c>
      <c r="O257" s="4" t="n">
        <v>13485.21</v>
      </c>
      <c r="P257" s="4" t="n">
        <v>146296.59</v>
      </c>
    </row>
    <row r="258">
      <c r="A258" s="5" t="n">
        <v>44044</v>
      </c>
      <c r="B258" s="2" t="inlineStr">
        <is>
          <t>2020-2021</t>
        </is>
      </c>
      <c r="C258" s="2" t="inlineStr">
        <is>
          <t>Q2FY21</t>
        </is>
      </c>
      <c r="D258" s="3" t="n">
        <v>1943</v>
      </c>
      <c r="E258" s="3" t="n">
        <v>18</v>
      </c>
      <c r="F258" s="3" t="n">
        <v>1872</v>
      </c>
      <c r="G258" s="3" t="n">
        <v>21</v>
      </c>
      <c r="H258" s="3" t="n">
        <v>2557</v>
      </c>
      <c r="I258" s="4" t="n">
        <v>37.84</v>
      </c>
      <c r="J258" s="4" t="n">
        <v>6594.5</v>
      </c>
      <c r="K258" s="4" t="n">
        <v>12825.57</v>
      </c>
      <c r="L258" s="4" t="n">
        <v>610.74</v>
      </c>
      <c r="M258" s="3" t="n">
        <v>33897</v>
      </c>
      <c r="N258" s="4" t="n">
        <v>6594.5</v>
      </c>
      <c r="O258" s="4" t="n">
        <v>12825.57</v>
      </c>
      <c r="P258" s="4" t="n">
        <v>152342.07</v>
      </c>
    </row>
    <row r="259">
      <c r="A259" s="5" t="n">
        <v>44075</v>
      </c>
      <c r="B259" s="2" t="inlineStr">
        <is>
          <t>2020-2021</t>
        </is>
      </c>
      <c r="C259" s="2" t="inlineStr">
        <is>
          <t>Q2FY21</t>
        </is>
      </c>
      <c r="D259" s="3" t="n">
        <v>1946</v>
      </c>
      <c r="E259" s="3" t="n">
        <v>18</v>
      </c>
      <c r="F259" s="3" t="n">
        <v>1873</v>
      </c>
      <c r="G259" s="3" t="n">
        <v>22</v>
      </c>
      <c r="H259" s="3" t="n">
        <v>2356</v>
      </c>
      <c r="I259" s="4" t="n">
        <v>35.96</v>
      </c>
      <c r="J259" s="4" t="n">
        <v>5747.86</v>
      </c>
      <c r="K259" s="4" t="n">
        <v>12233.29</v>
      </c>
      <c r="L259" s="4" t="n">
        <v>556.0599999999999</v>
      </c>
      <c r="M259" s="3" t="n">
        <v>34015</v>
      </c>
      <c r="N259" s="4" t="n">
        <v>5747.86</v>
      </c>
      <c r="O259" s="4" t="n">
        <v>12233.29</v>
      </c>
      <c r="P259" s="4" t="n">
        <v>153047.22</v>
      </c>
    </row>
    <row r="260">
      <c r="A260" s="5" t="n">
        <v>44105</v>
      </c>
      <c r="B260" s="2" t="inlineStr">
        <is>
          <t>2020-2021</t>
        </is>
      </c>
      <c r="C260" s="2" t="inlineStr">
        <is>
          <t>Q3FY21</t>
        </is>
      </c>
      <c r="D260" s="3" t="n">
        <v>1959</v>
      </c>
      <c r="E260" s="3" t="n">
        <v>22</v>
      </c>
      <c r="F260" s="3" t="n">
        <v>1883</v>
      </c>
      <c r="G260" s="3" t="n">
        <v>21</v>
      </c>
      <c r="H260" s="3" t="n">
        <v>2378</v>
      </c>
      <c r="I260" s="4" t="n">
        <v>31.82</v>
      </c>
      <c r="J260" s="4" t="n">
        <v>4187.98</v>
      </c>
      <c r="K260" s="4" t="n">
        <v>10988.84</v>
      </c>
      <c r="L260" s="4" t="n">
        <v>523.28</v>
      </c>
      <c r="M260" s="3" t="n">
        <v>34535</v>
      </c>
      <c r="N260" s="4" t="n">
        <v>4187.98</v>
      </c>
      <c r="O260" s="4" t="n">
        <v>10988.84</v>
      </c>
      <c r="P260" s="4" t="n">
        <v>155879.03</v>
      </c>
    </row>
    <row r="261">
      <c r="A261" s="5" t="n">
        <v>44136</v>
      </c>
      <c r="B261" s="2" t="inlineStr">
        <is>
          <t>2020-2021</t>
        </is>
      </c>
      <c r="C261" s="2" t="inlineStr">
        <is>
          <t>Q3FY21</t>
        </is>
      </c>
      <c r="D261" s="3" t="n">
        <v>1959</v>
      </c>
      <c r="E261" s="3" t="n">
        <v>22</v>
      </c>
      <c r="F261" s="3" t="n">
        <v>1882</v>
      </c>
      <c r="G261" s="3" t="n">
        <v>20</v>
      </c>
      <c r="H261" s="3" t="n">
        <v>2438</v>
      </c>
      <c r="I261" s="4" t="n">
        <v>34.38</v>
      </c>
      <c r="J261" s="4" t="n">
        <v>5305.2</v>
      </c>
      <c r="K261" s="4" t="n">
        <v>13372.72</v>
      </c>
      <c r="L261" s="4" t="n">
        <v>668.64</v>
      </c>
      <c r="M261" s="3" t="n">
        <v>38895</v>
      </c>
      <c r="N261" s="4" t="n">
        <v>5305.2</v>
      </c>
      <c r="O261" s="4" t="n">
        <v>13372.72</v>
      </c>
      <c r="P261" s="4" t="n">
        <v>172713.14</v>
      </c>
    </row>
    <row r="262">
      <c r="A262" s="5" t="n">
        <v>44166</v>
      </c>
      <c r="B262" s="2" t="inlineStr">
        <is>
          <t>2020-2021</t>
        </is>
      </c>
      <c r="C262" s="2" t="inlineStr">
        <is>
          <t>Q3FY21</t>
        </is>
      </c>
      <c r="D262" s="3" t="n">
        <v>1962</v>
      </c>
      <c r="E262" s="3" t="n">
        <v>22</v>
      </c>
      <c r="F262" s="3" t="n">
        <v>1888</v>
      </c>
      <c r="G262" s="3" t="n">
        <v>22</v>
      </c>
      <c r="H262" s="3" t="n">
        <v>2490</v>
      </c>
      <c r="I262" s="4" t="n">
        <v>40.88</v>
      </c>
      <c r="J262" s="4" t="n">
        <v>7391.7</v>
      </c>
      <c r="K262" s="4" t="n">
        <v>13745.52</v>
      </c>
      <c r="L262" s="4" t="n">
        <v>624.8</v>
      </c>
      <c r="M262" s="3" t="n">
        <v>33627</v>
      </c>
      <c r="N262" s="4" t="n">
        <v>7391.7</v>
      </c>
      <c r="O262" s="4" t="n">
        <v>13745.52</v>
      </c>
      <c r="P262" s="4" t="n">
        <v>186467.69</v>
      </c>
    </row>
    <row r="263">
      <c r="A263" s="5" t="n">
        <v>44197</v>
      </c>
      <c r="B263" s="2" t="inlineStr">
        <is>
          <t>2020-2021</t>
        </is>
      </c>
      <c r="C263" s="2" t="inlineStr">
        <is>
          <t>Q4FY21</t>
        </is>
      </c>
      <c r="D263" s="3" t="n">
        <v>1965</v>
      </c>
      <c r="E263" s="3" t="n">
        <v>22</v>
      </c>
      <c r="F263" s="3" t="n">
        <v>1885</v>
      </c>
      <c r="G263" s="3" t="n">
        <v>20</v>
      </c>
      <c r="H263" s="3" t="n">
        <v>2412</v>
      </c>
      <c r="I263" s="4" t="n">
        <v>40.78</v>
      </c>
      <c r="J263" s="4" t="n">
        <v>7105.74</v>
      </c>
      <c r="K263" s="4" t="n">
        <v>14494.45</v>
      </c>
      <c r="L263" s="4" t="n">
        <v>724.72</v>
      </c>
      <c r="M263" s="3" t="n">
        <v>35543</v>
      </c>
      <c r="N263" s="4" t="n">
        <v>7105.74</v>
      </c>
      <c r="O263" s="4" t="n">
        <v>14494.45</v>
      </c>
      <c r="P263" s="4" t="n">
        <v>184744.5</v>
      </c>
    </row>
    <row r="264">
      <c r="A264" s="5" t="n">
        <v>44228</v>
      </c>
      <c r="B264" s="2" t="inlineStr">
        <is>
          <t>2020-2021</t>
        </is>
      </c>
      <c r="C264" s="2" t="inlineStr">
        <is>
          <t>Q4FY21</t>
        </is>
      </c>
      <c r="D264" s="3" t="n">
        <v>1957</v>
      </c>
      <c r="E264" s="3" t="n">
        <v>24</v>
      </c>
      <c r="F264" s="3" t="n">
        <v>1895</v>
      </c>
      <c r="G264" s="3" t="n">
        <v>20</v>
      </c>
      <c r="H264" s="3" t="n">
        <v>2533</v>
      </c>
      <c r="I264" s="4" t="n">
        <v>45.58</v>
      </c>
      <c r="J264" s="4" t="n">
        <v>7166.14</v>
      </c>
      <c r="K264" s="4" t="n">
        <v>16274.64</v>
      </c>
      <c r="L264" s="4" t="n">
        <v>813.73</v>
      </c>
      <c r="M264" s="3" t="n">
        <v>35707</v>
      </c>
      <c r="N264" s="4" t="n">
        <v>7166.14</v>
      </c>
      <c r="O264" s="4" t="n">
        <v>16274.64</v>
      </c>
      <c r="P264" s="4" t="n">
        <v>199638.26</v>
      </c>
    </row>
    <row r="265">
      <c r="A265" s="5" t="n">
        <v>44256</v>
      </c>
      <c r="B265" s="2" t="inlineStr">
        <is>
          <t>2020-2021</t>
        </is>
      </c>
      <c r="C265" s="2" t="inlineStr">
        <is>
          <t>Q4FY21</t>
        </is>
      </c>
      <c r="D265" s="3" t="n">
        <v>1968</v>
      </c>
      <c r="E265" s="3" t="n">
        <v>24</v>
      </c>
      <c r="F265" s="3" t="n">
        <v>1910</v>
      </c>
      <c r="G265" s="3" t="n">
        <v>21</v>
      </c>
      <c r="H265" s="3" t="n">
        <v>2424</v>
      </c>
      <c r="I265" s="4" t="n">
        <v>43.26</v>
      </c>
      <c r="J265" s="4" t="n">
        <v>6454.82</v>
      </c>
      <c r="K265" s="4" t="n">
        <v>13989.47</v>
      </c>
      <c r="L265" s="4" t="n">
        <v>666.17</v>
      </c>
      <c r="M265" s="3" t="n">
        <v>32341</v>
      </c>
      <c r="N265" s="4" t="n">
        <v>6454.82</v>
      </c>
      <c r="O265" s="4" t="n">
        <v>13989.47</v>
      </c>
      <c r="P265" s="4" t="n">
        <v>202958.13</v>
      </c>
    </row>
    <row r="266">
      <c r="A266" s="5" t="n">
        <v>44287</v>
      </c>
      <c r="B266" s="2" t="inlineStr">
        <is>
          <t>2021-2022</t>
        </is>
      </c>
      <c r="C266" s="2" t="inlineStr">
        <is>
          <t>Q1FY22</t>
        </is>
      </c>
      <c r="D266" s="3" t="n">
        <v>1968</v>
      </c>
      <c r="E266" s="3" t="n">
        <v>24</v>
      </c>
      <c r="F266" s="3" t="n">
        <v>1912</v>
      </c>
      <c r="G266" s="3" t="n">
        <v>19</v>
      </c>
      <c r="H266" s="3" t="n">
        <v>2544</v>
      </c>
      <c r="I266" s="4" t="n">
        <v>38.5</v>
      </c>
      <c r="J266" s="4" t="n">
        <v>5008.47</v>
      </c>
      <c r="K266" s="4" t="n">
        <v>13306.87</v>
      </c>
      <c r="L266" s="4" t="n">
        <v>700.36</v>
      </c>
      <c r="M266" s="3" t="n">
        <v>34560</v>
      </c>
      <c r="N266" s="4" t="n">
        <v>5008.47</v>
      </c>
      <c r="O266" s="4" t="n">
        <v>13306.87</v>
      </c>
      <c r="P266" s="4" t="n">
        <v>205569.71</v>
      </c>
    </row>
    <row r="267">
      <c r="A267" s="5" t="n">
        <v>44317</v>
      </c>
      <c r="B267" s="2" t="inlineStr">
        <is>
          <t>2021-2022</t>
        </is>
      </c>
      <c r="C267" s="2" t="inlineStr">
        <is>
          <t>Q1FY22</t>
        </is>
      </c>
      <c r="D267" s="3" t="n">
        <v>1973</v>
      </c>
      <c r="E267" s="3" t="n">
        <v>23</v>
      </c>
      <c r="F267" s="3" t="n">
        <v>1908</v>
      </c>
      <c r="G267" s="3" t="n">
        <v>20</v>
      </c>
      <c r="H267" s="3" t="n">
        <v>2441</v>
      </c>
      <c r="I267" s="4" t="n">
        <v>46.66</v>
      </c>
      <c r="J267" s="4" t="n">
        <v>7543.38</v>
      </c>
      <c r="K267" s="4" t="n">
        <v>15679.15</v>
      </c>
      <c r="L267" s="4" t="n">
        <v>783.96</v>
      </c>
      <c r="M267" s="3" t="n">
        <v>33604</v>
      </c>
      <c r="N267" s="4" t="n">
        <v>7543.38</v>
      </c>
      <c r="O267" s="4" t="n">
        <v>15679.15</v>
      </c>
      <c r="P267" s="4" t="n">
        <v>221519.45</v>
      </c>
    </row>
    <row r="268">
      <c r="A268" s="5" t="n">
        <v>44348</v>
      </c>
      <c r="B268" s="2" t="inlineStr">
        <is>
          <t>2021-2022</t>
        </is>
      </c>
      <c r="C268" s="2" t="inlineStr">
        <is>
          <t>Q1FY22</t>
        </is>
      </c>
      <c r="D268" s="3" t="n">
        <v>1981</v>
      </c>
      <c r="E268" s="3" t="n">
        <v>23</v>
      </c>
      <c r="F268" s="3" t="n">
        <v>1916</v>
      </c>
      <c r="G268" s="3" t="n">
        <v>22</v>
      </c>
      <c r="H268" s="3" t="n">
        <v>2549</v>
      </c>
      <c r="I268" s="4" t="n">
        <v>50.73</v>
      </c>
      <c r="J268" s="4" t="n">
        <v>8641.75</v>
      </c>
      <c r="K268" s="4" t="n">
        <v>15546.94</v>
      </c>
      <c r="L268" s="4" t="n">
        <v>706.6799999999999</v>
      </c>
      <c r="M268" s="3" t="n">
        <v>30647</v>
      </c>
      <c r="N268" s="4" t="n">
        <v>8641.75</v>
      </c>
      <c r="O268" s="4" t="n">
        <v>15546.94</v>
      </c>
      <c r="P268" s="4" t="n">
        <v>228147.61</v>
      </c>
    </row>
    <row r="269">
      <c r="A269" s="5" t="n">
        <v>44378</v>
      </c>
      <c r="B269" s="2" t="inlineStr">
        <is>
          <t>2021-2022</t>
        </is>
      </c>
      <c r="C269" s="2" t="inlineStr">
        <is>
          <t>Q2FY22</t>
        </is>
      </c>
      <c r="D269" s="3" t="n">
        <v>1988</v>
      </c>
      <c r="E269" s="3" t="n">
        <v>22</v>
      </c>
      <c r="F269" s="3" t="n">
        <v>1922</v>
      </c>
      <c r="G269" s="3" t="n">
        <v>21</v>
      </c>
      <c r="H269" s="3" t="n">
        <v>2619</v>
      </c>
      <c r="I269" s="4" t="n">
        <v>45.89</v>
      </c>
      <c r="J269" s="4" t="n">
        <v>6315.9</v>
      </c>
      <c r="K269" s="4" t="n">
        <v>13157.16</v>
      </c>
      <c r="L269" s="4" t="n">
        <v>626.53</v>
      </c>
      <c r="M269" s="3" t="n">
        <v>28669</v>
      </c>
      <c r="N269" s="4" t="n">
        <v>6315.9</v>
      </c>
      <c r="O269" s="4" t="n">
        <v>13157.16</v>
      </c>
      <c r="P269" s="4" t="n">
        <v>233557.19</v>
      </c>
    </row>
    <row r="270">
      <c r="A270" s="5" t="n">
        <v>44409</v>
      </c>
      <c r="B270" s="2" t="inlineStr">
        <is>
          <t>2021-2022</t>
        </is>
      </c>
      <c r="C270" s="2" t="inlineStr">
        <is>
          <t>Q2FY22</t>
        </is>
      </c>
      <c r="D270" s="3" t="n">
        <v>2002</v>
      </c>
      <c r="E270" s="3" t="n">
        <v>25</v>
      </c>
      <c r="F270" s="3" t="n">
        <v>1940</v>
      </c>
      <c r="G270" s="3" t="n">
        <v>21</v>
      </c>
      <c r="H270" s="3" t="n">
        <v>2442</v>
      </c>
      <c r="I270" s="4" t="n">
        <v>44.4</v>
      </c>
      <c r="J270" s="4" t="n">
        <v>5619.18</v>
      </c>
      <c r="K270" s="4" t="n">
        <v>13213.91</v>
      </c>
      <c r="L270" s="4" t="n">
        <v>629.23</v>
      </c>
      <c r="M270" s="3" t="n">
        <v>29760</v>
      </c>
      <c r="N270" s="4" t="n">
        <v>5619.18</v>
      </c>
      <c r="O270" s="4" t="n">
        <v>13213.91</v>
      </c>
      <c r="P270" s="4" t="n">
        <v>248281.78</v>
      </c>
    </row>
    <row r="271">
      <c r="A271" s="5" t="n">
        <v>44440</v>
      </c>
      <c r="B271" s="2" t="inlineStr">
        <is>
          <t>2021-2022</t>
        </is>
      </c>
      <c r="C271" s="2" t="inlineStr">
        <is>
          <t>Q2FY22</t>
        </is>
      </c>
      <c r="D271" s="3" t="n">
        <v>2005</v>
      </c>
      <c r="E271" s="3" t="n">
        <v>25</v>
      </c>
      <c r="F271" s="3" t="n">
        <v>1942</v>
      </c>
      <c r="G271" s="3" t="n">
        <v>21</v>
      </c>
      <c r="H271" s="3" t="n">
        <v>2481</v>
      </c>
      <c r="I271" s="4" t="n">
        <v>46.54</v>
      </c>
      <c r="J271" s="4" t="n">
        <v>6721.36</v>
      </c>
      <c r="K271" s="4" t="n">
        <v>14390.17</v>
      </c>
      <c r="L271" s="4" t="n">
        <v>685.25</v>
      </c>
      <c r="M271" s="3" t="n">
        <v>30923</v>
      </c>
      <c r="N271" s="4" t="n">
        <v>6721.36</v>
      </c>
      <c r="O271" s="4" t="n">
        <v>14390.17</v>
      </c>
      <c r="P271" s="4" t="n">
        <v>258065.65</v>
      </c>
    </row>
    <row r="272">
      <c r="A272" s="5" t="n">
        <v>44470</v>
      </c>
      <c r="B272" s="2" t="inlineStr">
        <is>
          <t>2021-2022</t>
        </is>
      </c>
      <c r="C272" s="2" t="inlineStr">
        <is>
          <t>Q3FY22</t>
        </is>
      </c>
      <c r="D272" s="3" t="n">
        <v>2016</v>
      </c>
      <c r="E272" s="3" t="n">
        <v>25</v>
      </c>
      <c r="F272" s="3" t="n">
        <v>1951</v>
      </c>
      <c r="G272" s="3" t="n">
        <v>20</v>
      </c>
      <c r="H272" s="3" t="n">
        <v>2773</v>
      </c>
      <c r="I272" s="4" t="n">
        <v>52.81</v>
      </c>
      <c r="J272" s="4" t="n">
        <v>6642.62</v>
      </c>
      <c r="K272" s="4" t="n">
        <v>16272.17</v>
      </c>
      <c r="L272" s="4" t="n">
        <v>813.61</v>
      </c>
      <c r="M272" s="3" t="n">
        <v>30811</v>
      </c>
      <c r="N272" s="4" t="n">
        <v>6642.62</v>
      </c>
      <c r="O272" s="4" t="n">
        <v>16272.17</v>
      </c>
      <c r="P272" s="4" t="n">
        <v>257377.83</v>
      </c>
    </row>
    <row r="273">
      <c r="A273" s="5" t="n">
        <v>44501</v>
      </c>
      <c r="B273" s="2" t="inlineStr">
        <is>
          <t>2021-2022</t>
        </is>
      </c>
      <c r="C273" s="2" t="inlineStr">
        <is>
          <t>Q3FY22</t>
        </is>
      </c>
      <c r="D273" s="3" t="n">
        <v>2035</v>
      </c>
      <c r="E273" s="3" t="n">
        <v>25</v>
      </c>
      <c r="F273" s="3" t="n">
        <v>1969</v>
      </c>
      <c r="G273" s="3" t="n">
        <v>20</v>
      </c>
      <c r="H273" s="3" t="n">
        <v>2515</v>
      </c>
      <c r="I273" s="4" t="n">
        <v>45.76</v>
      </c>
      <c r="J273" s="4" t="n">
        <v>4882.38</v>
      </c>
      <c r="K273" s="4" t="n">
        <v>13396.3</v>
      </c>
      <c r="L273" s="4" t="n">
        <v>669.8200000000001</v>
      </c>
      <c r="M273" s="3" t="n">
        <v>29278</v>
      </c>
      <c r="N273" s="4" t="n">
        <v>4882.38</v>
      </c>
      <c r="O273" s="4" t="n">
        <v>13396.3</v>
      </c>
      <c r="P273" s="4" t="n">
        <v>255370.38</v>
      </c>
    </row>
    <row r="274">
      <c r="A274" s="5" t="n">
        <v>44531</v>
      </c>
      <c r="B274" s="2" t="inlineStr">
        <is>
          <t>2021-2022</t>
        </is>
      </c>
      <c r="C274" s="2" t="inlineStr">
        <is>
          <t>Q3FY22</t>
        </is>
      </c>
      <c r="D274" s="3" t="n">
        <v>2053</v>
      </c>
      <c r="E274" s="3" t="n">
        <v>27</v>
      </c>
      <c r="F274" s="3" t="n">
        <v>1987</v>
      </c>
      <c r="G274" s="3" t="n">
        <v>23</v>
      </c>
      <c r="H274" s="3" t="n">
        <v>2550</v>
      </c>
      <c r="I274" s="4" t="n">
        <v>44.96</v>
      </c>
      <c r="J274" s="4" t="n">
        <v>6688.74</v>
      </c>
      <c r="K274" s="4" t="n">
        <v>12327.35</v>
      </c>
      <c r="L274" s="4" t="n">
        <v>535.97</v>
      </c>
      <c r="M274" s="3" t="n">
        <v>27416</v>
      </c>
      <c r="N274" s="4" t="n">
        <v>6688.74</v>
      </c>
      <c r="O274" s="4" t="n">
        <v>12327.35</v>
      </c>
      <c r="P274" s="4" t="n">
        <v>264025.79</v>
      </c>
    </row>
    <row r="275">
      <c r="A275" s="5" t="n">
        <v>44562</v>
      </c>
      <c r="B275" s="2" t="inlineStr">
        <is>
          <t>2021-2022</t>
        </is>
      </c>
      <c r="C275" s="2" t="inlineStr">
        <is>
          <t>Q4FY22</t>
        </is>
      </c>
      <c r="D275" s="3" t="n">
        <v>2051</v>
      </c>
      <c r="E275" s="3" t="n">
        <v>27</v>
      </c>
      <c r="F275" s="3" t="n">
        <v>1985</v>
      </c>
      <c r="G275" s="3" t="n">
        <v>20</v>
      </c>
      <c r="H275" s="3" t="n">
        <v>2706</v>
      </c>
      <c r="I275" s="4" t="n">
        <v>49.04</v>
      </c>
      <c r="J275" s="4" t="n">
        <v>7111.68</v>
      </c>
      <c r="K275" s="4" t="n">
        <v>12835.51</v>
      </c>
      <c r="L275" s="4" t="n">
        <v>641.78</v>
      </c>
      <c r="M275" s="3" t="n">
        <v>26175</v>
      </c>
      <c r="N275" s="4" t="n">
        <v>7111.68</v>
      </c>
      <c r="O275" s="4" t="n">
        <v>12835.51</v>
      </c>
      <c r="P275" s="4" t="n">
        <v>262191.59</v>
      </c>
    </row>
    <row r="276">
      <c r="A276" s="5" t="n">
        <v>44593</v>
      </c>
      <c r="B276" s="2" t="inlineStr">
        <is>
          <t>2021-2022</t>
        </is>
      </c>
      <c r="C276" s="2" t="inlineStr">
        <is>
          <t>Q4FY22</t>
        </is>
      </c>
      <c r="D276" s="3" t="n">
        <v>2060</v>
      </c>
      <c r="E276" s="3" t="n">
        <v>27</v>
      </c>
      <c r="F276" s="3" t="n">
        <v>2001</v>
      </c>
      <c r="G276" s="3" t="n">
        <v>20</v>
      </c>
      <c r="H276" s="3" t="n">
        <v>2534</v>
      </c>
      <c r="I276" s="4" t="n">
        <v>44.63</v>
      </c>
      <c r="J276" s="4" t="n">
        <v>5403.3</v>
      </c>
      <c r="K276" s="4" t="n">
        <v>11688.43</v>
      </c>
      <c r="L276" s="4" t="n">
        <v>584.42</v>
      </c>
      <c r="M276" s="3" t="n">
        <v>26190</v>
      </c>
      <c r="N276" s="4" t="n">
        <v>5403.3</v>
      </c>
      <c r="O276" s="4" t="n">
        <v>11688.43</v>
      </c>
      <c r="P276" s="4" t="n">
        <v>250535.81</v>
      </c>
    </row>
    <row r="277">
      <c r="A277" s="5" t="n">
        <v>44621</v>
      </c>
      <c r="B277" s="2" t="inlineStr">
        <is>
          <t>2021-2022</t>
        </is>
      </c>
      <c r="C277" s="2" t="inlineStr">
        <is>
          <t>Q4FY22</t>
        </is>
      </c>
      <c r="D277" s="3" t="n">
        <v>2065</v>
      </c>
      <c r="E277" s="3" t="n">
        <v>27</v>
      </c>
      <c r="F277" s="3" t="n">
        <v>2011</v>
      </c>
      <c r="G277" s="3" t="n">
        <v>21</v>
      </c>
      <c r="H277" s="3" t="n">
        <v>2715</v>
      </c>
      <c r="I277" s="4" t="n">
        <v>47.18</v>
      </c>
      <c r="J277" s="4" t="n">
        <v>5523.76</v>
      </c>
      <c r="K277" s="4" t="n">
        <v>13848.61</v>
      </c>
      <c r="L277" s="4" t="n">
        <v>659.46</v>
      </c>
      <c r="M277" s="3" t="n">
        <v>29355</v>
      </c>
      <c r="N277" s="4" t="n">
        <v>5523.76</v>
      </c>
      <c r="O277" s="4" t="n">
        <v>13848.61</v>
      </c>
      <c r="P277" s="4" t="n">
        <v>261810.64</v>
      </c>
    </row>
    <row r="278">
      <c r="A278" s="5" t="n">
        <v>44652</v>
      </c>
      <c r="B278" s="2" t="inlineStr">
        <is>
          <t>2022-2023</t>
        </is>
      </c>
      <c r="C278" s="2" t="inlineStr">
        <is>
          <t>Q1FY23</t>
        </is>
      </c>
      <c r="D278" s="3" t="n">
        <v>2079</v>
      </c>
      <c r="E278" s="3" t="n">
        <v>27</v>
      </c>
      <c r="F278" s="3" t="n">
        <v>2028</v>
      </c>
      <c r="G278" s="3" t="n">
        <v>19</v>
      </c>
      <c r="H278" s="3" t="n">
        <v>2599</v>
      </c>
      <c r="I278" s="4" t="n">
        <v>43.77</v>
      </c>
      <c r="J278" s="4" t="n">
        <v>5527.62</v>
      </c>
      <c r="K278" s="4" t="n">
        <v>12922.43</v>
      </c>
      <c r="L278" s="4" t="n">
        <v>680.13</v>
      </c>
      <c r="M278" s="3" t="n">
        <v>29526</v>
      </c>
      <c r="N278" s="4" t="n">
        <v>5527.62</v>
      </c>
      <c r="O278" s="4" t="n">
        <v>12922.43</v>
      </c>
      <c r="P278" s="4" t="n">
        <v>264592.85</v>
      </c>
    </row>
    <row r="279">
      <c r="A279" s="5" t="n">
        <v>44682</v>
      </c>
      <c r="B279" s="2" t="inlineStr">
        <is>
          <t>2022-2023</t>
        </is>
      </c>
      <c r="C279" s="2" t="inlineStr">
        <is>
          <t>Q1FY23</t>
        </is>
      </c>
      <c r="D279" s="3" t="n">
        <v>2092</v>
      </c>
      <c r="E279" s="3" t="n">
        <v>29</v>
      </c>
      <c r="F279" s="3" t="n">
        <v>2041</v>
      </c>
      <c r="G279" s="3" t="n">
        <v>21</v>
      </c>
      <c r="H279" s="3" t="n">
        <v>2618</v>
      </c>
      <c r="I279" s="4" t="n">
        <v>44.45</v>
      </c>
      <c r="J279" s="4" t="n">
        <v>4658.64</v>
      </c>
      <c r="K279" s="4" t="n">
        <v>12112.2</v>
      </c>
      <c r="L279" s="4" t="n">
        <v>576.77</v>
      </c>
      <c r="M279" s="3" t="n">
        <v>27249</v>
      </c>
      <c r="N279" s="4" t="n">
        <v>4658.64</v>
      </c>
      <c r="O279" s="4" t="n">
        <v>12112.2</v>
      </c>
      <c r="P279" s="4" t="n">
        <v>255688.63</v>
      </c>
    </row>
    <row r="280">
      <c r="A280" s="5" t="n">
        <v>44713</v>
      </c>
      <c r="B280" s="2" t="inlineStr">
        <is>
          <t>2022-2023</t>
        </is>
      </c>
      <c r="C280" s="2" t="inlineStr">
        <is>
          <t>Q1FY23</t>
        </is>
      </c>
      <c r="D280" s="3" t="n">
        <v>2096</v>
      </c>
      <c r="E280" s="3" t="n">
        <v>29</v>
      </c>
      <c r="F280" s="3" t="n">
        <v>2048</v>
      </c>
      <c r="G280" s="3" t="n">
        <v>22</v>
      </c>
      <c r="H280" s="3" t="n">
        <v>2655</v>
      </c>
      <c r="I280" s="4" t="n">
        <v>37.25</v>
      </c>
      <c r="J280" s="4" t="n">
        <v>3970.15</v>
      </c>
      <c r="K280" s="4" t="n">
        <v>9813.67</v>
      </c>
      <c r="L280" s="4" t="n">
        <v>446.08</v>
      </c>
      <c r="M280" s="3" t="n">
        <v>26347</v>
      </c>
      <c r="N280" s="4" t="n">
        <v>3970.15</v>
      </c>
      <c r="O280" s="4" t="n">
        <v>9813.67</v>
      </c>
      <c r="P280" s="4" t="n">
        <v>242033.24</v>
      </c>
    </row>
    <row r="281">
      <c r="A281" s="5" t="n">
        <v>44743</v>
      </c>
      <c r="B281" s="2" t="inlineStr">
        <is>
          <t>2022-2023</t>
        </is>
      </c>
      <c r="C281" s="2" t="inlineStr">
        <is>
          <t>Q2FY23</t>
        </is>
      </c>
      <c r="D281" s="3" t="n">
        <v>2104</v>
      </c>
      <c r="E281" s="3" t="n">
        <v>29</v>
      </c>
      <c r="F281" s="3" t="n">
        <v>2054</v>
      </c>
      <c r="G281" s="3" t="n">
        <v>21</v>
      </c>
      <c r="H281" s="3" t="n">
        <v>2681</v>
      </c>
      <c r="I281" s="4" t="n">
        <v>34.32</v>
      </c>
      <c r="J281" s="4" t="n">
        <v>3774.3</v>
      </c>
      <c r="K281" s="4" t="n">
        <v>9786.42</v>
      </c>
      <c r="L281" s="4" t="n">
        <v>466.02</v>
      </c>
      <c r="M281" s="3" t="n">
        <v>28516</v>
      </c>
      <c r="N281" s="4" t="n">
        <v>3774.3</v>
      </c>
      <c r="O281" s="4" t="n">
        <v>9786.42</v>
      </c>
      <c r="P281" s="4" t="n">
        <v>264700.31</v>
      </c>
    </row>
    <row r="282">
      <c r="A282" s="5" t="n">
        <v>44774</v>
      </c>
      <c r="B282" s="2" t="inlineStr">
        <is>
          <t>2022-2023</t>
        </is>
      </c>
      <c r="C282" s="2" t="inlineStr">
        <is>
          <t>Q2FY23</t>
        </is>
      </c>
      <c r="D282" s="3" t="n">
        <v>2111</v>
      </c>
      <c r="E282" s="3" t="n">
        <v>29</v>
      </c>
      <c r="F282" s="3" t="n">
        <v>2062</v>
      </c>
      <c r="G282" s="3" t="n">
        <v>20</v>
      </c>
      <c r="H282" s="3" t="n">
        <v>2718</v>
      </c>
      <c r="I282" s="4" t="n">
        <v>39.31</v>
      </c>
      <c r="J282" s="4" t="n">
        <v>5458.46</v>
      </c>
      <c r="K282" s="4" t="n">
        <v>11590.65</v>
      </c>
      <c r="L282" s="4" t="n">
        <v>579.53</v>
      </c>
      <c r="M282" s="3" t="n">
        <v>29483</v>
      </c>
      <c r="N282" s="4" t="n">
        <v>5458.46</v>
      </c>
      <c r="O282" s="4" t="n">
        <v>11590.65</v>
      </c>
      <c r="P282" s="4" t="n">
        <v>278172.42</v>
      </c>
    </row>
    <row r="283">
      <c r="A283" s="5" t="n">
        <v>44805</v>
      </c>
      <c r="B283" s="2" t="inlineStr">
        <is>
          <t>2022-2023</t>
        </is>
      </c>
      <c r="C283" s="2" t="inlineStr">
        <is>
          <t>Q2FY23</t>
        </is>
      </c>
      <c r="D283" s="3" t="n">
        <v>2126</v>
      </c>
      <c r="E283" s="3" t="n">
        <v>29</v>
      </c>
      <c r="F283" s="3" t="n">
        <v>2076</v>
      </c>
      <c r="G283" s="3" t="n">
        <v>22</v>
      </c>
      <c r="H283" s="3" t="n">
        <v>2778</v>
      </c>
      <c r="I283" s="4" t="n">
        <v>45.48</v>
      </c>
      <c r="J283" s="4" t="n">
        <v>6260.58</v>
      </c>
      <c r="K283" s="4" t="n">
        <v>13539.67</v>
      </c>
      <c r="L283" s="4" t="n">
        <v>615.4400000000001</v>
      </c>
      <c r="M283" s="3" t="n">
        <v>29770</v>
      </c>
      <c r="N283" s="4" t="n">
        <v>6260.58</v>
      </c>
      <c r="O283" s="4" t="n">
        <v>13539.67</v>
      </c>
      <c r="P283" s="4" t="n">
        <v>269771.53</v>
      </c>
    </row>
    <row r="284">
      <c r="A284" s="5" t="n">
        <v>44835</v>
      </c>
      <c r="B284" s="2" t="inlineStr">
        <is>
          <t>2022-2023</t>
        </is>
      </c>
      <c r="C284" s="2" t="inlineStr">
        <is>
          <t>Q3FY23</t>
        </is>
      </c>
      <c r="D284" s="3" t="n">
        <v>2137</v>
      </c>
      <c r="E284" s="3" t="n">
        <v>29</v>
      </c>
      <c r="F284" s="3" t="n">
        <v>2071</v>
      </c>
      <c r="G284" s="3" t="n">
        <v>19</v>
      </c>
      <c r="H284" s="3" t="n">
        <v>3009</v>
      </c>
      <c r="I284" s="4" t="n">
        <v>32.52</v>
      </c>
      <c r="J284" s="4" t="n">
        <v>4194.37</v>
      </c>
      <c r="K284" s="4" t="n">
        <v>9124.110000000001</v>
      </c>
      <c r="L284" s="4" t="n">
        <v>480.22</v>
      </c>
      <c r="M284" s="3" t="n">
        <v>28059</v>
      </c>
      <c r="N284" s="4" t="n">
        <v>4194.37</v>
      </c>
      <c r="O284" s="4" t="n">
        <v>9124.110000000001</v>
      </c>
      <c r="P284" s="4" t="n">
        <v>277771.8</v>
      </c>
    </row>
    <row r="285">
      <c r="A285" s="5" t="n">
        <v>44866</v>
      </c>
      <c r="B285" s="2" t="inlineStr">
        <is>
          <t>2022-2023</t>
        </is>
      </c>
      <c r="C285" s="2" t="inlineStr">
        <is>
          <t>Q3FY23</t>
        </is>
      </c>
      <c r="D285" s="3" t="n">
        <v>2155</v>
      </c>
      <c r="E285" s="3" t="n">
        <v>29</v>
      </c>
      <c r="F285" s="3" t="n">
        <v>2087</v>
      </c>
      <c r="G285" s="3" t="n">
        <v>21</v>
      </c>
      <c r="H285" s="3" t="n">
        <v>2870</v>
      </c>
      <c r="I285" s="4" t="n">
        <v>39.61</v>
      </c>
      <c r="J285" s="4" t="n">
        <v>5947.05</v>
      </c>
      <c r="K285" s="4" t="n">
        <v>12011.08</v>
      </c>
      <c r="L285" s="4" t="n">
        <v>571.96</v>
      </c>
      <c r="M285" s="3" t="n">
        <v>30321</v>
      </c>
      <c r="N285" s="4" t="n">
        <v>5947.05</v>
      </c>
      <c r="O285" s="4" t="n">
        <v>12011.08</v>
      </c>
      <c r="P285" s="4" t="n">
        <v>286429.85</v>
      </c>
    </row>
    <row r="286">
      <c r="A286" s="5" t="n">
        <v>44896</v>
      </c>
      <c r="B286" s="2" t="inlineStr">
        <is>
          <t>2022-2023</t>
        </is>
      </c>
      <c r="C286" s="2" t="inlineStr">
        <is>
          <t>Q3FY23</t>
        </is>
      </c>
      <c r="D286" s="3" t="n">
        <v>2168</v>
      </c>
      <c r="E286" s="3" t="n">
        <v>29</v>
      </c>
      <c r="F286" s="3" t="n">
        <v>2099</v>
      </c>
      <c r="G286" s="3" t="n">
        <v>22</v>
      </c>
      <c r="H286" s="3" t="n">
        <v>2897</v>
      </c>
      <c r="I286" s="4" t="n">
        <v>42.5</v>
      </c>
      <c r="J286" s="4" t="n">
        <v>8704.49</v>
      </c>
      <c r="K286" s="4" t="n">
        <v>11608.46</v>
      </c>
      <c r="L286" s="4" t="n">
        <v>527.66</v>
      </c>
      <c r="M286" s="3" t="n">
        <v>27317</v>
      </c>
      <c r="N286" s="4" t="n">
        <v>8704.49</v>
      </c>
      <c r="O286" s="4" t="n">
        <v>11608.46</v>
      </c>
      <c r="P286" s="4" t="n">
        <v>280192.81</v>
      </c>
    </row>
    <row r="287">
      <c r="A287" s="5" t="n">
        <v>44927</v>
      </c>
      <c r="B287" s="2" t="inlineStr">
        <is>
          <t>2022-2023</t>
        </is>
      </c>
      <c r="C287" s="2" t="inlineStr">
        <is>
          <t>Q4FY23</t>
        </is>
      </c>
      <c r="D287" s="3" t="n">
        <v>2179</v>
      </c>
      <c r="E287" s="3" t="n">
        <v>29</v>
      </c>
      <c r="F287" s="3" t="n">
        <v>2131</v>
      </c>
      <c r="G287" s="3" t="n">
        <v>21</v>
      </c>
      <c r="H287" s="3" t="n">
        <v>2803</v>
      </c>
      <c r="I287" s="4" t="n">
        <v>37.87</v>
      </c>
      <c r="J287" s="4" t="n">
        <v>5168.47</v>
      </c>
      <c r="K287" s="4" t="n">
        <v>10206.26</v>
      </c>
      <c r="L287" s="4" t="n">
        <v>486.01</v>
      </c>
      <c r="M287" s="3" t="n">
        <v>26954</v>
      </c>
      <c r="N287" s="4" t="n">
        <v>5168.47</v>
      </c>
      <c r="O287" s="4" t="n">
        <v>10206.26</v>
      </c>
      <c r="P287" s="4" t="n">
        <v>268023.51</v>
      </c>
    </row>
    <row r="288">
      <c r="A288" s="5" t="n">
        <v>44958</v>
      </c>
      <c r="B288" s="2" t="inlineStr">
        <is>
          <t>2022-2023</t>
        </is>
      </c>
      <c r="C288" s="2" t="inlineStr">
        <is>
          <t>Q4FY23</t>
        </is>
      </c>
      <c r="D288" s="3" t="n">
        <v>2186</v>
      </c>
      <c r="E288" s="3" t="n">
        <v>28</v>
      </c>
      <c r="F288" s="3" t="n">
        <v>2135</v>
      </c>
      <c r="G288" s="3" t="n">
        <v>20</v>
      </c>
      <c r="H288" s="3" t="n">
        <v>2841</v>
      </c>
      <c r="I288" s="4" t="n">
        <v>38.54</v>
      </c>
      <c r="J288" s="4" t="n">
        <v>4356.48</v>
      </c>
      <c r="K288" s="4" t="n">
        <v>10049.97</v>
      </c>
      <c r="L288" s="4" t="n">
        <v>502.5</v>
      </c>
      <c r="M288" s="3" t="n">
        <v>26075</v>
      </c>
      <c r="N288" s="4" t="n">
        <v>4356.48</v>
      </c>
      <c r="O288" s="4" t="n">
        <v>10049.97</v>
      </c>
      <c r="P288" s="4" t="n">
        <v>255832.22</v>
      </c>
    </row>
    <row r="289">
      <c r="A289" s="5" t="n">
        <v>44986</v>
      </c>
      <c r="B289" s="2" t="inlineStr">
        <is>
          <t>2022-2023</t>
        </is>
      </c>
      <c r="C289" s="2" t="inlineStr">
        <is>
          <t>Q4FY23</t>
        </is>
      </c>
      <c r="D289" s="3" t="n">
        <v>2191</v>
      </c>
      <c r="E289" s="3" t="n">
        <v>28</v>
      </c>
      <c r="F289" s="3" t="n">
        <v>2138</v>
      </c>
      <c r="G289" s="3" t="n">
        <v>21</v>
      </c>
      <c r="H289" s="3" t="n">
        <v>2833</v>
      </c>
      <c r="I289" s="4" t="n">
        <v>37.7</v>
      </c>
      <c r="J289" s="4" t="n">
        <v>4747.85</v>
      </c>
      <c r="K289" s="4" t="n">
        <v>10285.83</v>
      </c>
      <c r="L289" s="4" t="n">
        <v>489.8</v>
      </c>
      <c r="M289" s="3" t="n">
        <v>27280</v>
      </c>
      <c r="N289" s="4" t="n">
        <v>4747.85</v>
      </c>
      <c r="O289" s="4" t="n">
        <v>10285.83</v>
      </c>
      <c r="P289" s="4" t="n">
        <v>256327.04</v>
      </c>
    </row>
    <row r="290">
      <c r="A290" s="5" t="n">
        <v>45017</v>
      </c>
      <c r="B290" s="2" t="inlineStr">
        <is>
          <t>2023-2024</t>
        </is>
      </c>
      <c r="C290" s="2" t="inlineStr">
        <is>
          <t>Q1FY24</t>
        </is>
      </c>
      <c r="D290" s="3" t="n">
        <v>2202</v>
      </c>
      <c r="E290" s="3" t="n">
        <v>28</v>
      </c>
      <c r="F290" s="3" t="n">
        <v>2139</v>
      </c>
      <c r="G290" s="3" t="n">
        <v>17</v>
      </c>
      <c r="H290" s="3" t="n">
        <v>2829</v>
      </c>
      <c r="I290" s="4" t="n">
        <v>29</v>
      </c>
      <c r="J290" s="4" t="n">
        <v>3795.9</v>
      </c>
      <c r="K290" s="4" t="n">
        <v>8793.389999999999</v>
      </c>
      <c r="L290" s="4" t="n">
        <v>517.26</v>
      </c>
      <c r="M290" s="3" t="n">
        <v>30324</v>
      </c>
      <c r="N290" s="4" t="n">
        <v>3795.9</v>
      </c>
      <c r="O290" s="4" t="n">
        <v>8793.389999999999</v>
      </c>
      <c r="P290" s="4" t="n">
        <v>270184.9</v>
      </c>
    </row>
    <row r="291">
      <c r="A291" s="5" t="n">
        <v>45047</v>
      </c>
      <c r="B291" s="2" t="inlineStr">
        <is>
          <t>2023-2024</t>
        </is>
      </c>
      <c r="C291" s="2" t="inlineStr">
        <is>
          <t>Q1FY24</t>
        </is>
      </c>
      <c r="D291" s="3" t="n">
        <v>2213</v>
      </c>
      <c r="E291" s="3" t="n">
        <v>28</v>
      </c>
      <c r="F291" s="3" t="n">
        <v>2151</v>
      </c>
      <c r="G291" s="3" t="n">
        <v>22</v>
      </c>
      <c r="H291" s="3" t="n">
        <v>2921</v>
      </c>
      <c r="I291" s="4" t="n">
        <v>41.95</v>
      </c>
      <c r="J291" s="4" t="n">
        <v>5732.18</v>
      </c>
      <c r="K291" s="4" t="n">
        <v>13214.42</v>
      </c>
      <c r="L291" s="4" t="n">
        <v>600.66</v>
      </c>
      <c r="M291" s="3" t="n">
        <v>31497</v>
      </c>
      <c r="N291" s="4" t="n">
        <v>5732.18</v>
      </c>
      <c r="O291" s="4" t="n">
        <v>13214.42</v>
      </c>
      <c r="P291" s="4" t="n">
        <v>281813.95</v>
      </c>
    </row>
    <row r="292">
      <c r="A292" s="5" t="n">
        <v>45078</v>
      </c>
      <c r="B292" s="2" t="inlineStr">
        <is>
          <t>2023-2024</t>
        </is>
      </c>
      <c r="C292" s="2" t="inlineStr">
        <is>
          <t>Q1FY24</t>
        </is>
      </c>
      <c r="D292" s="3" t="n">
        <v>2232</v>
      </c>
      <c r="E292" s="3" t="n">
        <v>17</v>
      </c>
      <c r="F292" s="3" t="n">
        <v>2158</v>
      </c>
      <c r="G292" s="3" t="n">
        <v>21</v>
      </c>
      <c r="H292" s="3" t="n">
        <v>3057</v>
      </c>
      <c r="I292" s="4" t="n">
        <v>43.16</v>
      </c>
      <c r="J292" s="4" t="n">
        <v>6339.49</v>
      </c>
      <c r="K292" s="4" t="n">
        <v>13090.16</v>
      </c>
      <c r="L292" s="4" t="n">
        <v>623.34</v>
      </c>
      <c r="M292" s="3" t="n">
        <v>30326</v>
      </c>
      <c r="N292" s="4" t="n">
        <v>6339.49</v>
      </c>
      <c r="O292" s="4" t="n">
        <v>13090.16</v>
      </c>
      <c r="P292" s="4" t="n">
        <v>294599.4</v>
      </c>
    </row>
    <row r="293">
      <c r="A293" s="5" t="n">
        <v>45108</v>
      </c>
      <c r="B293" s="2" t="inlineStr">
        <is>
          <t>2023-2024</t>
        </is>
      </c>
      <c r="C293" s="2" t="inlineStr">
        <is>
          <t>Q2FY24</t>
        </is>
      </c>
      <c r="D293" s="3" t="n">
        <v>2250</v>
      </c>
      <c r="E293" s="3" t="n">
        <v>16</v>
      </c>
      <c r="F293" s="3" t="n">
        <v>2174</v>
      </c>
      <c r="G293" s="3" t="n">
        <v>21</v>
      </c>
      <c r="H293" s="3" t="n">
        <v>3010</v>
      </c>
      <c r="I293" s="4" t="n">
        <v>49.41</v>
      </c>
      <c r="J293" s="4" t="n">
        <v>7091.16</v>
      </c>
      <c r="K293" s="4" t="n">
        <v>15264.32</v>
      </c>
      <c r="L293" s="4" t="n">
        <v>726.87</v>
      </c>
      <c r="M293" s="3" t="n">
        <v>30891</v>
      </c>
      <c r="N293" s="4" t="n">
        <v>7091.16</v>
      </c>
      <c r="O293" s="4" t="n">
        <v>15264.32</v>
      </c>
      <c r="P293" s="4" t="n">
        <v>304829.52</v>
      </c>
    </row>
    <row r="294">
      <c r="A294" s="5" t="n">
        <v>45139</v>
      </c>
      <c r="B294" s="2" t="inlineStr">
        <is>
          <t>2023-2024</t>
        </is>
      </c>
      <c r="C294" s="2" t="inlineStr">
        <is>
          <t>Q2FY24</t>
        </is>
      </c>
      <c r="D294" s="3" t="n">
        <v>2270</v>
      </c>
      <c r="E294" s="3" t="n">
        <v>15</v>
      </c>
      <c r="F294" s="3" t="n">
        <v>2190</v>
      </c>
      <c r="G294" s="3" t="n">
        <v>22</v>
      </c>
      <c r="H294" s="3" t="n">
        <v>3151</v>
      </c>
      <c r="I294" s="4" t="n">
        <v>55.97</v>
      </c>
      <c r="J294" s="4" t="n">
        <v>8785.85</v>
      </c>
      <c r="K294" s="4" t="n">
        <v>16844.93</v>
      </c>
      <c r="L294" s="4" t="n">
        <v>765.6799999999999</v>
      </c>
      <c r="M294" s="3" t="n">
        <v>30096</v>
      </c>
      <c r="N294" s="4" t="n">
        <v>8785.85</v>
      </c>
      <c r="O294" s="4" t="n">
        <v>16844.93</v>
      </c>
      <c r="P294" s="4" t="n">
        <v>307248.82</v>
      </c>
    </row>
    <row r="295">
      <c r="A295" s="5" t="n">
        <v>45170</v>
      </c>
      <c r="B295" s="2" t="inlineStr">
        <is>
          <t>2023-2024</t>
        </is>
      </c>
      <c r="C295" s="2" t="inlineStr">
        <is>
          <t>Q2FY24</t>
        </is>
      </c>
      <c r="D295" s="3" t="n">
        <v>2299</v>
      </c>
      <c r="E295" s="3" t="n">
        <v>15</v>
      </c>
      <c r="F295" s="3" t="n">
        <v>2223</v>
      </c>
      <c r="G295" s="3" t="n">
        <v>20</v>
      </c>
      <c r="H295" s="3" t="n">
        <v>3162</v>
      </c>
      <c r="I295" s="4" t="n">
        <v>54.46</v>
      </c>
      <c r="J295" s="4" t="n">
        <v>10291.97</v>
      </c>
      <c r="K295" s="4" t="n">
        <v>16708.07</v>
      </c>
      <c r="L295" s="4" t="n">
        <v>835.4</v>
      </c>
      <c r="M295" s="3" t="n">
        <v>30679</v>
      </c>
      <c r="N295" s="4" t="n">
        <v>10291.97</v>
      </c>
      <c r="O295" s="4" t="n">
        <v>16708.07</v>
      </c>
      <c r="P295" s="4" t="n">
        <v>316808.51</v>
      </c>
    </row>
    <row r="296">
      <c r="A296" s="5" t="n">
        <v>45200</v>
      </c>
      <c r="B296" s="2" t="inlineStr">
        <is>
          <t>2023-2024</t>
        </is>
      </c>
      <c r="C296" s="2" t="inlineStr">
        <is>
          <t>Q3FY24</t>
        </is>
      </c>
      <c r="D296" s="3" t="n">
        <v>2328</v>
      </c>
      <c r="E296" s="3" t="n">
        <v>15</v>
      </c>
      <c r="F296" s="3" t="n">
        <v>2253</v>
      </c>
      <c r="G296" s="3" t="n">
        <v>20</v>
      </c>
      <c r="H296" s="3" t="n">
        <v>3265</v>
      </c>
      <c r="I296" s="4" t="n">
        <v>50.51</v>
      </c>
      <c r="J296" s="4" t="n">
        <v>7391.82</v>
      </c>
      <c r="K296" s="4" t="n">
        <v>13435.19</v>
      </c>
      <c r="L296" s="4" t="n">
        <v>671.76</v>
      </c>
      <c r="M296" s="3" t="n">
        <v>26600</v>
      </c>
      <c r="N296" s="4" t="n">
        <v>7391.82</v>
      </c>
      <c r="O296" s="4" t="n">
        <v>13435.19</v>
      </c>
      <c r="P296" s="4" t="n">
        <v>308761.88</v>
      </c>
    </row>
    <row r="297">
      <c r="A297" s="5" t="n">
        <v>45231</v>
      </c>
      <c r="B297" s="2" t="inlineStr">
        <is>
          <t>2023-2024</t>
        </is>
      </c>
      <c r="C297" s="2" t="inlineStr">
        <is>
          <t>Q3FY24</t>
        </is>
      </c>
      <c r="D297" s="3" t="n">
        <v>2347</v>
      </c>
      <c r="E297" s="3" t="n">
        <v>5</v>
      </c>
      <c r="F297" s="3" t="n">
        <v>2259</v>
      </c>
      <c r="G297" s="3" t="n">
        <v>21</v>
      </c>
      <c r="H297" s="3" t="n">
        <v>3270</v>
      </c>
      <c r="I297" s="4" t="n">
        <v>51.87</v>
      </c>
      <c r="J297" s="4" t="n">
        <v>8354.639999999999</v>
      </c>
      <c r="K297" s="4" t="n">
        <v>14829.06</v>
      </c>
      <c r="L297" s="4" t="n">
        <v>706.15</v>
      </c>
      <c r="M297" s="3" t="n">
        <v>28586</v>
      </c>
      <c r="N297" s="4" t="n">
        <v>8354.639999999999</v>
      </c>
      <c r="O297" s="4" t="n">
        <v>14829.06</v>
      </c>
      <c r="P297" s="4" t="n">
        <v>332641.04</v>
      </c>
    </row>
    <row r="298">
      <c r="A298" s="5" t="n">
        <v>45261</v>
      </c>
      <c r="B298" s="2" t="inlineStr">
        <is>
          <t>2023-2024</t>
        </is>
      </c>
      <c r="C298" s="2" t="inlineStr">
        <is>
          <t>Q3FY24</t>
        </is>
      </c>
      <c r="D298" s="3" t="n">
        <v>2370</v>
      </c>
      <c r="E298" s="3" t="n">
        <v>5</v>
      </c>
      <c r="F298" s="3" t="n">
        <v>2298</v>
      </c>
      <c r="G298" s="3" t="n">
        <v>20</v>
      </c>
      <c r="H298" s="3" t="n">
        <v>3331</v>
      </c>
      <c r="I298" s="4" t="n">
        <v>68.22</v>
      </c>
      <c r="J298" s="4" t="n">
        <v>10358.36</v>
      </c>
      <c r="K298" s="4" t="n">
        <v>20795.94</v>
      </c>
      <c r="L298" s="4" t="n">
        <v>1039.8</v>
      </c>
      <c r="M298" s="3" t="n">
        <v>30484</v>
      </c>
      <c r="N298" s="4" t="n">
        <v>10358.36</v>
      </c>
      <c r="O298" s="4" t="n">
        <v>20795.94</v>
      </c>
      <c r="P298" s="4" t="n">
        <v>361055.48</v>
      </c>
    </row>
    <row r="299">
      <c r="A299" s="5" t="n">
        <v>45292</v>
      </c>
      <c r="B299" s="2" t="inlineStr">
        <is>
          <t>2023-2024</t>
        </is>
      </c>
      <c r="C299" s="2" t="inlineStr">
        <is>
          <t>Q4FY24</t>
        </is>
      </c>
      <c r="D299" s="3" t="n">
        <v>2389</v>
      </c>
      <c r="E299" s="3" t="n">
        <v>3</v>
      </c>
      <c r="F299" s="3" t="n">
        <v>2315</v>
      </c>
      <c r="G299" s="3" t="n">
        <v>22</v>
      </c>
      <c r="H299" s="3" t="n">
        <v>3490</v>
      </c>
      <c r="I299" s="4" t="n">
        <v>84.65000000000001</v>
      </c>
      <c r="J299" s="4" t="n">
        <v>13639.16</v>
      </c>
      <c r="K299" s="4" t="n">
        <v>24911.81</v>
      </c>
      <c r="L299" s="4" t="n">
        <v>1132.35</v>
      </c>
      <c r="M299" s="3" t="n">
        <v>29429</v>
      </c>
      <c r="N299" s="4" t="n">
        <v>13639.16</v>
      </c>
      <c r="O299" s="4" t="n">
        <v>24911.81</v>
      </c>
      <c r="P299" s="4" t="n">
        <v>376380.48</v>
      </c>
    </row>
    <row r="300">
      <c r="A300" s="5" t="n">
        <v>45323</v>
      </c>
      <c r="B300" s="2" t="inlineStr">
        <is>
          <t>2023-2024</t>
        </is>
      </c>
      <c r="C300" s="2" t="inlineStr">
        <is>
          <t>Q4FY24</t>
        </is>
      </c>
      <c r="D300" s="3" t="n">
        <v>2417</v>
      </c>
      <c r="E300" s="3" t="n">
        <v>3</v>
      </c>
      <c r="F300" s="3" t="n">
        <v>2344</v>
      </c>
      <c r="G300" s="3" t="n">
        <v>21</v>
      </c>
      <c r="H300" s="3" t="n">
        <v>3370</v>
      </c>
      <c r="I300" s="4" t="n">
        <v>87.20999999999999</v>
      </c>
      <c r="J300" s="4" t="n">
        <v>12645.81</v>
      </c>
      <c r="K300" s="4" t="n">
        <v>24576.71</v>
      </c>
      <c r="L300" s="4" t="n">
        <v>1170.32</v>
      </c>
      <c r="M300" s="3" t="n">
        <v>28180</v>
      </c>
      <c r="N300" s="4" t="n">
        <v>12645.81</v>
      </c>
      <c r="O300" s="4" t="n">
        <v>24576.71</v>
      </c>
      <c r="P300" s="4" t="n">
        <v>384568.06</v>
      </c>
    </row>
    <row r="301">
      <c r="A301" s="5" t="n">
        <v>45352</v>
      </c>
      <c r="B301" s="2" t="inlineStr">
        <is>
          <t>2023-2024</t>
        </is>
      </c>
      <c r="C301" s="2" t="inlineStr">
        <is>
          <t>Q4FY24</t>
        </is>
      </c>
      <c r="D301" s="3" t="n">
        <v>2438</v>
      </c>
      <c r="E301" s="3" t="n">
        <v>3</v>
      </c>
      <c r="F301" s="3" t="n">
        <v>2365</v>
      </c>
      <c r="G301" s="3" t="n">
        <v>19</v>
      </c>
      <c r="H301" s="3" t="n">
        <v>3400</v>
      </c>
      <c r="I301" s="4" t="n">
        <v>64.81999999999999</v>
      </c>
      <c r="J301" s="4" t="n">
        <v>7372.26</v>
      </c>
      <c r="K301" s="4" t="n">
        <v>18570.39</v>
      </c>
      <c r="L301" s="4" t="n">
        <v>977.39</v>
      </c>
      <c r="M301" s="3" t="n">
        <v>28649</v>
      </c>
      <c r="N301" s="4" t="n">
        <v>7372.26</v>
      </c>
      <c r="O301" s="4" t="n">
        <v>18570.39</v>
      </c>
      <c r="P301" s="4" t="n">
        <v>384216.68</v>
      </c>
    </row>
    <row r="302">
      <c r="A302" s="5" t="n">
        <v>45383</v>
      </c>
      <c r="B302" s="2" t="inlineStr">
        <is>
          <t>2024-2025</t>
        </is>
      </c>
      <c r="C302" s="2" t="inlineStr">
        <is>
          <t>Q1FY25</t>
        </is>
      </c>
      <c r="D302" s="3" t="n">
        <v>2464</v>
      </c>
      <c r="E302" s="3" t="n">
        <v>3</v>
      </c>
      <c r="F302" s="3" t="n">
        <v>2389</v>
      </c>
      <c r="G302" s="3" t="n">
        <v>20</v>
      </c>
      <c r="H302" s="3" t="n">
        <v>3532</v>
      </c>
      <c r="I302" s="4" t="n">
        <v>68.09999999999999</v>
      </c>
      <c r="J302" s="4" t="n">
        <v>9905.84</v>
      </c>
      <c r="K302" s="4" t="n">
        <v>21201.96</v>
      </c>
      <c r="L302" s="4" t="n">
        <v>1060.1</v>
      </c>
      <c r="M302" s="3" t="n">
        <v>31133</v>
      </c>
      <c r="N302" s="4" t="n">
        <v>9905.84</v>
      </c>
      <c r="O302" s="4" t="n">
        <v>21201.96</v>
      </c>
      <c r="P302" s="4" t="n">
        <v>403044.06</v>
      </c>
    </row>
    <row r="303">
      <c r="A303" s="5" t="n">
        <v>45413</v>
      </c>
      <c r="B303" s="2" t="inlineStr">
        <is>
          <t>2024-2025</t>
        </is>
      </c>
      <c r="C303" s="2" t="inlineStr">
        <is>
          <t>Q1FY25</t>
        </is>
      </c>
      <c r="D303" s="3" t="n">
        <v>2482</v>
      </c>
      <c r="E303" s="3" t="n">
        <v>3</v>
      </c>
      <c r="F303" s="3" t="n">
        <v>2405</v>
      </c>
      <c r="G303" s="3" t="n">
        <v>22</v>
      </c>
      <c r="H303" s="3" t="n">
        <v>3640</v>
      </c>
      <c r="I303" s="4" t="n">
        <v>76.8</v>
      </c>
      <c r="J303" s="4" t="n">
        <v>9248.879999999999</v>
      </c>
      <c r="K303" s="4" t="n">
        <v>24679.41</v>
      </c>
      <c r="L303" s="4" t="n">
        <v>1121.79</v>
      </c>
      <c r="M303" s="3" t="n">
        <v>32133</v>
      </c>
      <c r="N303" s="4" t="n">
        <v>9248.879999999999</v>
      </c>
      <c r="O303" s="4" t="n">
        <v>24679.41</v>
      </c>
      <c r="P303" s="4" t="n">
        <v>408805.3</v>
      </c>
    </row>
    <row r="304">
      <c r="A304" s="5" t="n">
        <v>45444</v>
      </c>
      <c r="B304" s="2" t="inlineStr">
        <is>
          <t>2024-2025</t>
        </is>
      </c>
      <c r="C304" s="2" t="inlineStr">
        <is>
          <t>Q1FY25</t>
        </is>
      </c>
      <c r="D304" s="3" t="n">
        <v>2499</v>
      </c>
      <c r="E304" s="3" t="n">
        <v>3</v>
      </c>
      <c r="F304" s="3" t="n">
        <v>2426</v>
      </c>
      <c r="G304" s="3" t="n">
        <v>19</v>
      </c>
      <c r="H304" s="3" t="n">
        <v>3387</v>
      </c>
      <c r="I304" s="4" t="n">
        <v>87.09999999999999</v>
      </c>
      <c r="J304" s="4" t="n">
        <v>11576.08</v>
      </c>
      <c r="K304" s="4" t="n">
        <v>29052.26</v>
      </c>
      <c r="L304" s="4" t="n">
        <v>1529.07</v>
      </c>
      <c r="M304" s="3" t="n">
        <v>33356</v>
      </c>
      <c r="N304" s="4" t="n">
        <v>11576.08</v>
      </c>
      <c r="O304" s="4" t="n">
        <v>29052.26</v>
      </c>
      <c r="P304" s="4" t="n">
        <v>435739.19</v>
      </c>
    </row>
    <row r="305">
      <c r="A305" s="5" t="n">
        <v>45474</v>
      </c>
      <c r="B305" s="2" t="inlineStr">
        <is>
          <t>2024-2025</t>
        </is>
      </c>
      <c r="C305" s="2" t="inlineStr">
        <is>
          <t>Q2FY25</t>
        </is>
      </c>
      <c r="D305" s="3" t="n">
        <v>2529</v>
      </c>
      <c r="E305" s="3" t="n">
        <v>3</v>
      </c>
      <c r="F305" s="3" t="n">
        <v>2459</v>
      </c>
      <c r="G305" s="3" t="n">
        <v>22</v>
      </c>
      <c r="H305" s="3" t="n">
        <v>3665</v>
      </c>
      <c r="I305" s="4" t="n">
        <v>98.5</v>
      </c>
      <c r="J305" s="4" t="n">
        <v>11851.07</v>
      </c>
      <c r="K305" s="4" t="n">
        <v>30615.77</v>
      </c>
      <c r="L305" s="4" t="n">
        <v>1391.63</v>
      </c>
      <c r="M305" s="3" t="n">
        <v>31081</v>
      </c>
      <c r="N305" s="4" t="n">
        <v>11851.07</v>
      </c>
      <c r="O305" s="4" t="n">
        <v>30615.77</v>
      </c>
      <c r="P305" s="4" t="n">
        <v>458658.78</v>
      </c>
    </row>
    <row r="306">
      <c r="A306" s="5" t="n">
        <v>45505</v>
      </c>
      <c r="B306" s="2" t="inlineStr">
        <is>
          <t>2024-2025</t>
        </is>
      </c>
      <c r="C306" s="2" t="inlineStr">
        <is>
          <t>Q2FY25</t>
        </is>
      </c>
      <c r="D306" s="3" t="n">
        <v>2559</v>
      </c>
      <c r="E306" s="3" t="n">
        <v>3</v>
      </c>
      <c r="F306" s="3" t="n">
        <v>2487</v>
      </c>
      <c r="G306" s="3" t="n">
        <v>21</v>
      </c>
      <c r="H306" s="3" t="n">
        <v>3567</v>
      </c>
      <c r="I306" s="4" t="n">
        <v>88.84</v>
      </c>
      <c r="J306" s="4" t="n">
        <v>10050.99</v>
      </c>
      <c r="K306" s="4" t="n">
        <v>26381.57</v>
      </c>
      <c r="L306" s="4" t="n">
        <v>1256.2652</v>
      </c>
      <c r="M306" s="3" t="n">
        <v>29695</v>
      </c>
      <c r="N306" s="4" t="n">
        <v>10050.99</v>
      </c>
      <c r="O306" s="4" t="n">
        <v>26381.57</v>
      </c>
      <c r="P306" s="4" t="n">
        <v>461096.16</v>
      </c>
    </row>
    <row r="307">
      <c r="A307" s="5" t="n">
        <v>45536</v>
      </c>
      <c r="B307" s="2" t="inlineStr">
        <is>
          <t>2024-2025</t>
        </is>
      </c>
      <c r="C307" s="2" t="inlineStr">
        <is>
          <t>Q2FY25</t>
        </is>
      </c>
      <c r="D307" s="3" t="n">
        <v>2604</v>
      </c>
      <c r="E307" s="3" t="n">
        <v>3</v>
      </c>
      <c r="F307" s="3" t="n">
        <v>2533</v>
      </c>
      <c r="G307" s="3" t="n">
        <v>21</v>
      </c>
      <c r="H307" s="3" t="n">
        <v>3627</v>
      </c>
      <c r="I307" s="4" t="n">
        <v>84.87</v>
      </c>
      <c r="J307" s="4" t="n">
        <v>9697.440000000001</v>
      </c>
      <c r="K307" s="4" t="n">
        <v>25593.76</v>
      </c>
      <c r="L307" s="4" t="n">
        <v>1218.7505</v>
      </c>
      <c r="M307" s="3" t="n">
        <v>30156</v>
      </c>
      <c r="N307" s="4" t="n">
        <v>9697.440000000001</v>
      </c>
      <c r="O307" s="4" t="n">
        <v>25593.76</v>
      </c>
      <c r="P307" s="4" t="n">
        <v>470647.25</v>
      </c>
    </row>
    <row r="308">
      <c r="A308" s="5" t="n">
        <v>45566</v>
      </c>
      <c r="B308" s="2" t="inlineStr">
        <is>
          <t>2024-2025</t>
        </is>
      </c>
      <c r="C308" s="2" t="inlineStr">
        <is>
          <t>Q3FY25</t>
        </is>
      </c>
      <c r="D308" s="3" t="n">
        <v>2629</v>
      </c>
      <c r="E308" s="3" t="n">
        <v>3</v>
      </c>
      <c r="F308" s="3" t="n">
        <v>2561</v>
      </c>
      <c r="G308" s="3" t="n">
        <v>22</v>
      </c>
      <c r="H308" s="3" t="n">
        <v>3826</v>
      </c>
      <c r="I308" s="4" t="n">
        <v>84.73999999999999</v>
      </c>
      <c r="J308" s="4" t="n">
        <v>7843.89</v>
      </c>
      <c r="K308" s="4" t="n">
        <v>23530.98</v>
      </c>
      <c r="L308" s="4" t="n">
        <v>1069.5902</v>
      </c>
      <c r="M308" s="3" t="n">
        <v>27768</v>
      </c>
      <c r="N308" s="4" t="n">
        <v>7843.89</v>
      </c>
      <c r="O308" s="4" t="n">
        <v>23530.98</v>
      </c>
      <c r="P308" s="4" t="n">
        <v>441379.7423</v>
      </c>
    </row>
    <row r="309">
      <c r="A309" s="5" t="n">
        <v>45597</v>
      </c>
      <c r="B309" s="2" t="inlineStr">
        <is>
          <t>2024-2025</t>
        </is>
      </c>
      <c r="C309" s="2" t="inlineStr">
        <is>
          <t>Q3FY25</t>
        </is>
      </c>
      <c r="D309" s="3" t="n">
        <v>2643</v>
      </c>
      <c r="E309" s="3" t="n">
        <v>3</v>
      </c>
      <c r="F309" s="3" t="n">
        <v>2574</v>
      </c>
      <c r="G309" s="3" t="n">
        <v>19</v>
      </c>
      <c r="H309" s="3" t="n">
        <v>3621</v>
      </c>
      <c r="I309" s="4" t="n">
        <v>68.66</v>
      </c>
      <c r="J309" s="4" t="n">
        <v>6369.74</v>
      </c>
      <c r="K309" s="4" t="n">
        <v>19162.1</v>
      </c>
      <c r="L309" s="4" t="n">
        <v>1008.5314</v>
      </c>
      <c r="M309" s="3" t="n">
        <v>27908</v>
      </c>
      <c r="N309" s="4" t="n">
        <v>6369.74</v>
      </c>
      <c r="O309" s="4" t="n">
        <v>19162.1</v>
      </c>
      <c r="P309" s="4" t="n">
        <v>443200.5988</v>
      </c>
    </row>
    <row r="310">
      <c r="A310" s="5" t="n">
        <v>45627</v>
      </c>
      <c r="B310" s="2" t="inlineStr">
        <is>
          <t>2024-2025</t>
        </is>
      </c>
      <c r="C310" s="2" t="inlineStr">
        <is>
          <t>Q3FY25</t>
        </is>
      </c>
      <c r="D310" s="3" t="n">
        <v>2673</v>
      </c>
      <c r="E310" s="3" t="n">
        <v>3</v>
      </c>
      <c r="F310" s="3" t="n">
        <v>2603</v>
      </c>
      <c r="G310" s="3" t="n">
        <v>21</v>
      </c>
      <c r="H310" s="3" t="n">
        <v>3813</v>
      </c>
      <c r="I310" s="4" t="n">
        <v>74.84</v>
      </c>
      <c r="J310" s="4" t="n">
        <v>7125.46</v>
      </c>
      <c r="K310" s="4" t="n">
        <v>21858.3</v>
      </c>
      <c r="L310" s="4" t="n">
        <v>1040.87</v>
      </c>
      <c r="M310" s="3" t="n">
        <v>29206</v>
      </c>
      <c r="N310" s="4" t="n">
        <v>7125.46</v>
      </c>
      <c r="O310" s="4" t="n">
        <v>21858.3</v>
      </c>
      <c r="P310" s="4" t="n">
        <v>438939.74</v>
      </c>
    </row>
    <row r="311">
      <c r="A311" s="5" t="n">
        <v>45658</v>
      </c>
      <c r="B311" s="2" t="inlineStr">
        <is>
          <t>2024-2025</t>
        </is>
      </c>
      <c r="C311" s="2" t="inlineStr">
        <is>
          <t>Q4FY25</t>
        </is>
      </c>
      <c r="D311" s="3" t="n">
        <v>2690</v>
      </c>
      <c r="E311" s="3" t="n">
        <v>3</v>
      </c>
      <c r="F311" s="3" t="n">
        <v>2619</v>
      </c>
      <c r="G311" s="3" t="n">
        <v>23</v>
      </c>
      <c r="H311" s="3" t="n">
        <v>3773</v>
      </c>
      <c r="I311" s="4" t="n">
        <v>87.47</v>
      </c>
      <c r="J311" s="4" t="n">
        <v>7580.31</v>
      </c>
      <c r="K311" s="4" t="n">
        <v>22118.51</v>
      </c>
      <c r="L311" s="4" t="n">
        <v>961.67</v>
      </c>
      <c r="M311" s="3" t="n">
        <v>25286</v>
      </c>
      <c r="N311" s="4" t="n">
        <v>87.47</v>
      </c>
      <c r="O311" s="4" t="n">
        <v>22118.51</v>
      </c>
      <c r="P311" s="4" t="n">
        <v>421227.96</v>
      </c>
    </row>
    <row r="312">
      <c r="A312" s="5" t="n">
        <v>45689</v>
      </c>
      <c r="B312" s="2" t="inlineStr">
        <is>
          <t>2024-2025</t>
        </is>
      </c>
      <c r="C312" s="2" t="inlineStr">
        <is>
          <t>Q4FY25</t>
        </is>
      </c>
      <c r="D312" s="3" t="n">
        <v>2712</v>
      </c>
      <c r="E312" s="3" t="n">
        <v>3</v>
      </c>
      <c r="F312" s="3" t="n">
        <v>2641</v>
      </c>
      <c r="G312" s="3" t="n">
        <v>20</v>
      </c>
      <c r="H312" s="3" t="n">
        <v>3637</v>
      </c>
      <c r="I312" s="4" t="n">
        <v>77.40000000000001</v>
      </c>
      <c r="J312" s="4" t="n">
        <v>5995.44</v>
      </c>
      <c r="K312" s="4" t="n">
        <v>18332.26</v>
      </c>
      <c r="L312" s="4" t="n">
        <v>916.61</v>
      </c>
      <c r="M312" s="3" t="n">
        <v>23684</v>
      </c>
      <c r="N312" s="4" t="n">
        <v>77.40000000000001</v>
      </c>
      <c r="O312" s="4" t="n">
        <v>18332.26</v>
      </c>
      <c r="P312" s="4" t="n">
        <v>381674.14</v>
      </c>
    </row>
    <row r="313">
      <c r="A313" s="5" t="n">
        <v>45717</v>
      </c>
      <c r="B313" s="2" t="inlineStr">
        <is>
          <t>2024-2025</t>
        </is>
      </c>
      <c r="C313" s="2" t="inlineStr">
        <is>
          <t>Q4FY25</t>
        </is>
      </c>
      <c r="D313" s="3" t="n">
        <v>2719</v>
      </c>
      <c r="E313" s="3" t="n">
        <v>3</v>
      </c>
      <c r="F313" s="3" t="n">
        <v>2645</v>
      </c>
      <c r="G313" s="3" t="n">
        <v>19</v>
      </c>
      <c r="H313" s="3" t="n">
        <v>3819</v>
      </c>
      <c r="I313" s="4" t="n">
        <v>71.04000000000001</v>
      </c>
      <c r="J313" s="4" t="n">
        <v>7034.8</v>
      </c>
      <c r="K313" s="4" t="n">
        <v>18751.6</v>
      </c>
      <c r="L313" s="4" t="n">
        <v>986.9299999999999</v>
      </c>
      <c r="M313" s="3" t="n">
        <v>26396</v>
      </c>
      <c r="N313" s="4" t="n">
        <v>71.04000000000001</v>
      </c>
      <c r="O313" s="4" t="n">
        <v>18751.6</v>
      </c>
      <c r="P313" s="4" t="n">
        <v>410869.29</v>
      </c>
    </row>
    <row r="314">
      <c r="A314" s="5" t="n">
        <v>45748</v>
      </c>
      <c r="B314" s="2" t="inlineStr">
        <is>
          <t>2025-2026</t>
        </is>
      </c>
      <c r="C314" s="2" t="inlineStr">
        <is>
          <t>Q1FY26</t>
        </is>
      </c>
      <c r="D314" s="3" t="n">
        <v>2726</v>
      </c>
      <c r="E314" s="3" t="n">
        <v>3</v>
      </c>
      <c r="F314" s="3" t="n">
        <v>2651</v>
      </c>
      <c r="G314" s="3" t="n">
        <v>19</v>
      </c>
      <c r="H314" s="3" t="n">
        <v>3786</v>
      </c>
      <c r="I314" s="4" t="n">
        <v>68.36</v>
      </c>
      <c r="J314" s="4" t="n">
        <v>7138.33</v>
      </c>
      <c r="K314" s="4" t="n">
        <v>19062.57</v>
      </c>
      <c r="L314" s="4" t="n">
        <v>1003.29</v>
      </c>
      <c r="M314" s="3" t="n">
        <v>27886</v>
      </c>
      <c r="N314" s="4" t="n">
        <v>7138.33</v>
      </c>
      <c r="O314" s="4" t="n">
        <v>19062.57</v>
      </c>
      <c r="P314" s="4" t="n">
        <v>421381.13</v>
      </c>
    </row>
    <row r="315">
      <c r="A315" s="5" t="n">
        <v>45778</v>
      </c>
      <c r="B315" s="2" t="inlineStr">
        <is>
          <t>2025-2026</t>
        </is>
      </c>
      <c r="C315" s="2" t="inlineStr">
        <is>
          <t>Q1FY26</t>
        </is>
      </c>
      <c r="D315" s="3" t="n">
        <v>2735</v>
      </c>
      <c r="E315" s="3" t="n">
        <v>3</v>
      </c>
      <c r="F315" s="3" t="n">
        <v>2666</v>
      </c>
      <c r="G315" s="3" t="n">
        <v>21</v>
      </c>
      <c r="H315" s="3" t="n">
        <v>3815</v>
      </c>
      <c r="I315" s="4" t="n">
        <v>72.79000000000001</v>
      </c>
      <c r="J315" s="4" t="n">
        <v>8401.440000000001</v>
      </c>
      <c r="K315" s="4" t="n">
        <v>23325.68</v>
      </c>
      <c r="L315" s="4" t="n">
        <v>1110.75</v>
      </c>
      <c r="M315" s="3" t="n">
        <v>32047</v>
      </c>
      <c r="N315" s="4" t="n">
        <v>8401.440000000001</v>
      </c>
      <c r="O315" s="4" t="n">
        <v>23325.68</v>
      </c>
      <c r="P315" s="4" t="n">
        <v>442015.39</v>
      </c>
    </row>
    <row r="316">
      <c r="A316" s="5" t="n">
        <v>45809</v>
      </c>
      <c r="B316" s="2" t="inlineStr">
        <is>
          <t>2025-2026</t>
        </is>
      </c>
      <c r="C316" s="2" t="inlineStr">
        <is>
          <t>Q1FY26</t>
        </is>
      </c>
      <c r="D316" s="3" t="n">
        <v>2758</v>
      </c>
      <c r="E316" s="3" t="n">
        <v>3</v>
      </c>
      <c r="F316" s="3" t="n">
        <v>2676</v>
      </c>
      <c r="G316" s="3" t="n">
        <v>21</v>
      </c>
      <c r="H316" s="3" t="n">
        <v>3965</v>
      </c>
      <c r="I316" s="4" t="n">
        <v>72.68000000000001</v>
      </c>
      <c r="J316" s="4" t="n">
        <v>9937.9</v>
      </c>
      <c r="K316" s="4" t="n">
        <v>23822.48</v>
      </c>
      <c r="L316" s="4" t="n">
        <v>1134.4</v>
      </c>
      <c r="M316" s="3" t="n">
        <v>32778</v>
      </c>
      <c r="N316" s="4" t="n">
        <v>9937.9</v>
      </c>
      <c r="O316" s="4" t="n">
        <v>23822.48</v>
      </c>
      <c r="P316" s="4" t="n">
        <v>459169.42</v>
      </c>
    </row>
    <row r="317">
      <c r="A317" s="5" t="n">
        <v>45839</v>
      </c>
      <c r="B317" s="2" t="inlineStr">
        <is>
          <t>2025-2026</t>
        </is>
      </c>
      <c r="C317" s="2" t="inlineStr">
        <is>
          <t>Q2FY26</t>
        </is>
      </c>
      <c r="D317" s="3" t="n">
        <v>2788</v>
      </c>
      <c r="E317" s="3" t="n">
        <v>3</v>
      </c>
      <c r="F317" s="3" t="n">
        <v>2709</v>
      </c>
      <c r="G317" s="3" t="n">
        <v>23</v>
      </c>
      <c r="H317" s="3" t="n">
        <v>4088</v>
      </c>
      <c r="I317" s="4" t="n">
        <v>73.06999999999999</v>
      </c>
      <c r="J317" s="4" t="n">
        <v>9026.299999999999</v>
      </c>
      <c r="K317" s="4" t="n">
        <v>21848.95</v>
      </c>
      <c r="L317" s="4" t="n">
        <v>949.95</v>
      </c>
      <c r="M317" s="3" t="n">
        <v>29900</v>
      </c>
      <c r="N317" s="4" t="n">
        <v>9026.299999999999</v>
      </c>
      <c r="O317" s="4" t="n">
        <v>21848.95</v>
      </c>
      <c r="P317" s="4" t="n">
        <v>446974.68</v>
      </c>
    </row>
    <row r="318">
      <c r="A318" s="5" t="n">
        <v>45870</v>
      </c>
      <c r="B318" s="2" t="inlineStr">
        <is>
          <t>2025-2026</t>
        </is>
      </c>
      <c r="C318" s="2" t="inlineStr">
        <is>
          <t>Q2FY26</t>
        </is>
      </c>
      <c r="D318" s="3" t="n">
        <v>2819</v>
      </c>
      <c r="E318" s="3" t="n">
        <v>3</v>
      </c>
      <c r="F318" s="3" t="n">
        <v>2743</v>
      </c>
      <c r="G318" s="3" t="n">
        <v>19</v>
      </c>
      <c r="H318" s="3" t="n">
        <v>3947</v>
      </c>
      <c r="I318" s="4" t="n">
        <v>59.76</v>
      </c>
      <c r="J318" s="4" t="n">
        <v>6772.81</v>
      </c>
      <c r="K318" s="4" t="n">
        <v>17773.62</v>
      </c>
      <c r="L318" s="4" t="n">
        <v>935.45</v>
      </c>
      <c r="M318" s="3" t="n">
        <v>29742</v>
      </c>
      <c r="N318" s="4" t="n">
        <v>6772.81</v>
      </c>
      <c r="O318" s="4" t="n">
        <v>17773.62</v>
      </c>
      <c r="P318" s="4" t="n">
        <v>440275.17</v>
      </c>
    </row>
    <row r="319">
      <c r="A319" s="5" t="n">
        <v>45901</v>
      </c>
      <c r="B319" s="2" t="inlineStr">
        <is>
          <t>2025-2026</t>
        </is>
      </c>
      <c r="C319" s="2" t="inlineStr">
        <is>
          <t>Q2FY26</t>
        </is>
      </c>
      <c r="D319" s="3" t="n">
        <v>2856</v>
      </c>
      <c r="E319" s="3" t="n">
        <v>3</v>
      </c>
      <c r="F319" s="3" t="n">
        <v>2781</v>
      </c>
      <c r="G319" s="3" t="n">
        <v>22</v>
      </c>
      <c r="H319" s="3" t="n">
        <v>4109</v>
      </c>
      <c r="I319" s="4" t="n">
        <v>69.93000000000001</v>
      </c>
      <c r="J319" s="4" t="n">
        <v>9506</v>
      </c>
      <c r="K319" s="4" t="n">
        <v>21628.75</v>
      </c>
      <c r="L319" s="4" t="n">
        <v>983.12</v>
      </c>
      <c r="M319" s="3" t="n">
        <v>30927</v>
      </c>
      <c r="N319" s="4" t="n">
        <v>9506</v>
      </c>
      <c r="O319" s="4" t="n">
        <v>21628.75</v>
      </c>
      <c r="P319" s="4" t="n">
        <v>448779.77</v>
      </c>
    </row>
    <row r="320">
      <c r="A320" s="5" t="n">
        <v>45931</v>
      </c>
      <c r="B320" s="2" t="inlineStr">
        <is>
          <t>2025-2026</t>
        </is>
      </c>
      <c r="C320" s="2" t="inlineStr">
        <is>
          <t>Q3FY26</t>
        </is>
      </c>
      <c r="D320" s="3" t="n">
        <v>2883</v>
      </c>
      <c r="E320" s="3" t="n">
        <v>3</v>
      </c>
      <c r="F320" s="3" t="n">
        <v>2807</v>
      </c>
      <c r="G320" s="3" t="n">
        <v>21</v>
      </c>
      <c r="H320" s="3" t="n">
        <v>4040</v>
      </c>
      <c r="I320" s="4" t="n">
        <v>65.34999999999999</v>
      </c>
      <c r="J320" s="4" t="n">
        <v>9260.879999999999</v>
      </c>
      <c r="K320" s="4" t="n">
        <v>20735.39</v>
      </c>
      <c r="L320" s="4" t="n">
        <v>987.4</v>
      </c>
      <c r="M320" s="3" t="n">
        <v>31731</v>
      </c>
      <c r="N320" s="4" t="n">
        <v>9260.879999999999</v>
      </c>
      <c r="O320" s="4" t="n">
        <v>20735.39</v>
      </c>
      <c r="P320" s="4" t="n">
        <v>467669.09</v>
      </c>
    </row>
    <row r="321">
      <c r="A321" s="5" t="n">
        <v>45962</v>
      </c>
      <c r="B321" s="2" t="inlineStr">
        <is>
          <t>2025-2026</t>
        </is>
      </c>
      <c r="C321" s="2" t="inlineStr">
        <is>
          <t>Q3FY26</t>
        </is>
      </c>
      <c r="D321" s="3" t="n">
        <v>2904</v>
      </c>
      <c r="E321" s="3" t="n">
        <v>3</v>
      </c>
      <c r="F321" s="3" t="n">
        <v>2828</v>
      </c>
      <c r="G321" s="3" t="n">
        <v>19</v>
      </c>
      <c r="H321" s="3" t="n">
        <v>3894</v>
      </c>
      <c r="I321" s="4" t="n">
        <v>59.38</v>
      </c>
      <c r="J321" s="4" t="n">
        <v>8429.17</v>
      </c>
      <c r="K321" s="4" t="n">
        <v>19869.53</v>
      </c>
      <c r="L321" s="4" t="n">
        <v>1045.76</v>
      </c>
      <c r="M321" s="3" t="n">
        <v>33464</v>
      </c>
      <c r="N321" s="4" t="n">
        <v>8429.17</v>
      </c>
      <c r="O321" s="4" t="n">
        <v>19869.53</v>
      </c>
      <c r="P321" s="4" t="n">
        <v>472092.53</v>
      </c>
    </row>
    <row r="322">
      <c r="A322" s="5" t="n">
        <v>45992</v>
      </c>
      <c r="B322" s="2" t="inlineStr">
        <is>
          <t>2025-2026</t>
        </is>
      </c>
      <c r="C322" s="2" t="inlineStr">
        <is>
          <t>Q3FY26</t>
        </is>
      </c>
      <c r="D322" s="3" t="n">
        <v>2933</v>
      </c>
      <c r="E322" s="3" t="n">
        <v>3</v>
      </c>
      <c r="F322" s="3" t="n">
        <v>2855</v>
      </c>
      <c r="G322" s="3" t="n">
        <v>22</v>
      </c>
      <c r="H322" s="3" t="n">
        <v>4020</v>
      </c>
      <c r="I322" s="4" t="n">
        <v>66.83</v>
      </c>
      <c r="J322" s="4" t="n">
        <v>10300.3</v>
      </c>
      <c r="K322" s="4" t="n">
        <v>20789.23</v>
      </c>
      <c r="L322" s="4" t="n">
        <v>944.96</v>
      </c>
      <c r="M322" s="3" t="n">
        <v>31110</v>
      </c>
      <c r="N322" s="4" t="n">
        <v>10300.3</v>
      </c>
      <c r="O322" s="4" t="n">
        <v>20789.23</v>
      </c>
      <c r="P322" s="4" t="n">
        <v>473637.02</v>
      </c>
    </row>
    <row r="323">
      <c r="A323" s="5" t="n">
        <v>46023</v>
      </c>
      <c r="B323" s="2" t="inlineStr">
        <is>
          <t>2025-2026</t>
        </is>
      </c>
      <c r="C323" s="2" t="inlineStr">
        <is>
          <t>Q4FY26</t>
        </is>
      </c>
      <c r="D323" s="3" t="n">
        <v>2942</v>
      </c>
      <c r="E323" s="3" t="n">
        <v>3</v>
      </c>
      <c r="F323" s="3" t="n">
        <v>2865</v>
      </c>
      <c r="G323" s="3" t="n">
        <v>20</v>
      </c>
      <c r="H323" s="3" t="n">
        <v>3911</v>
      </c>
      <c r="I323" s="4" t="n">
        <v>71.25</v>
      </c>
      <c r="J323" s="4" t="n">
        <v>11969.63</v>
      </c>
      <c r="K323" s="4" t="n">
        <v>23911.97</v>
      </c>
      <c r="L323" s="4" t="n">
        <v>1195.6</v>
      </c>
      <c r="M323" s="3" t="n">
        <v>33559</v>
      </c>
      <c r="N323" s="4" t="n">
        <v>11969.63</v>
      </c>
      <c r="O323" s="4" t="n">
        <v>23911.97</v>
      </c>
      <c r="P323" s="4" t="n">
        <v>458144.3</v>
      </c>
    </row>
    <row r="324">
      <c r="A324" s="5" t="n">
        <v>46054</v>
      </c>
      <c r="B324" s="2" t="inlineStr">
        <is>
          <t>2025-2026</t>
        </is>
      </c>
      <c r="C324" s="2" t="inlineStr">
        <is>
          <t>Q4FY26</t>
        </is>
      </c>
      <c r="D324" s="3" t="n">
        <v>2959</v>
      </c>
      <c r="E324" s="3" t="n">
        <v>3</v>
      </c>
      <c r="F324" s="3" t="n">
        <v>2877</v>
      </c>
      <c r="G324" s="3" t="n">
        <v>21</v>
      </c>
      <c r="H324" s="3" t="n">
        <v>4006</v>
      </c>
      <c r="I324" s="4" t="n">
        <v>70.95</v>
      </c>
      <c r="J324" s="4" t="n">
        <v>10330.46</v>
      </c>
      <c r="K324" s="4" t="n">
        <v>24075.96</v>
      </c>
      <c r="L324" s="4" t="n">
        <v>1146.47</v>
      </c>
      <c r="M324" s="3" t="n">
        <v>33933</v>
      </c>
      <c r="N324" s="4" t="n">
        <v>10330.46</v>
      </c>
      <c r="O324" s="4" t="n">
        <v>24075.96</v>
      </c>
      <c r="P324" s="4" t="n">
        <v>461752.07</v>
      </c>
    </row>
    <row r="325">
      <c r="A325" s="5" t="n">
        <v>46082</v>
      </c>
      <c r="B325" s="2" t="inlineStr">
        <is>
          <t>2025-2026</t>
        </is>
      </c>
      <c r="C325" s="2" t="inlineStr">
        <is>
          <t>Q4FY26</t>
        </is>
      </c>
      <c r="D325" s="3" t="n">
        <v>2978</v>
      </c>
      <c r="E325" s="3" t="n">
        <v>3</v>
      </c>
      <c r="F325" s="3" t="n">
        <v>2898</v>
      </c>
      <c r="G325" s="3" t="n">
        <v>19</v>
      </c>
      <c r="H325" s="3" t="n">
        <v>4011</v>
      </c>
      <c r="I325" s="4" t="n">
        <v>75.84999999999999</v>
      </c>
      <c r="J325" s="4" t="n">
        <v>10217</v>
      </c>
      <c r="K325" s="4" t="n">
        <v>23782.06</v>
      </c>
      <c r="L325" s="4" t="n">
        <v>1251.69</v>
      </c>
      <c r="M325" s="3" t="n">
        <v>31352</v>
      </c>
      <c r="N325" s="4" t="n">
        <v>10217</v>
      </c>
      <c r="O325" s="4" t="n">
        <v>23782.06</v>
      </c>
      <c r="P325" s="4" t="n">
        <v>411252.15</v>
      </c>
    </row>
    <row r="326">
      <c r="A326" s="5" t="n">
        <v>46113</v>
      </c>
      <c r="B326" s="2" t="inlineStr">
        <is>
          <t>2026-2027</t>
        </is>
      </c>
      <c r="C326" s="2" t="inlineStr">
        <is>
          <t>Q1FY27</t>
        </is>
      </c>
      <c r="D326" s="3" t="n">
        <v>2986</v>
      </c>
      <c r="E326" s="3" t="n">
        <v>109</v>
      </c>
      <c r="F326" s="3" t="n">
        <v>3015</v>
      </c>
      <c r="G326" s="3" t="n">
        <v>20</v>
      </c>
      <c r="H326" s="3" t="n">
        <v>4223</v>
      </c>
      <c r="I326" s="4" t="n">
        <v>74.72</v>
      </c>
      <c r="J326" s="4" t="n">
        <v>10653.12</v>
      </c>
      <c r="K326" s="4" t="n">
        <v>26941.82</v>
      </c>
      <c r="L326" s="4" t="n">
        <v>1347.09</v>
      </c>
      <c r="M326" s="3" t="n">
        <v>36057</v>
      </c>
      <c r="N326" s="4" t="n">
        <v>10653.12</v>
      </c>
      <c r="O326" s="4" t="n">
        <v>26941.82</v>
      </c>
      <c r="P326" s="4" t="n">
        <v>463472.19</v>
      </c>
    </row>
    <row r="327">
      <c r="A327" s="5" t="n">
        <v>46143</v>
      </c>
      <c r="B327" s="2" t="inlineStr">
        <is>
          <t>2026-2027</t>
        </is>
      </c>
      <c r="C327" s="2" t="inlineStr">
        <is>
          <t>Q1FY27</t>
        </is>
      </c>
      <c r="D327" s="3" t="n">
        <v>2993</v>
      </c>
      <c r="E327" s="3" t="n">
        <v>109</v>
      </c>
      <c r="F327" s="3" t="n">
        <v>3022</v>
      </c>
      <c r="G327" s="3" t="n">
        <v>19</v>
      </c>
      <c r="H327" s="3" t="n">
        <v>4111</v>
      </c>
      <c r="I327" s="4" t="n">
        <v>75.16</v>
      </c>
      <c r="J327" s="4" t="n">
        <v>11012.56</v>
      </c>
      <c r="K327" s="4" t="n">
        <v>26911.06</v>
      </c>
      <c r="L327" s="4" t="n">
        <v>1416.37</v>
      </c>
      <c r="M327" s="3" t="n">
        <v>35803</v>
      </c>
      <c r="N327" s="4" t="n">
        <v>11012.56</v>
      </c>
      <c r="O327" s="4" t="n">
        <v>26911.06</v>
      </c>
      <c r="P327" s="4" t="n">
        <v>465347.94</v>
      </c>
    </row>
    <row r="328">
      <c r="A328" s="5" t="n">
        <v>46174</v>
      </c>
      <c r="B328" s="2" t="inlineStr">
        <is>
          <t>2026-2027</t>
        </is>
      </c>
      <c r="C328" s="2" t="inlineStr">
        <is>
          <t>Q1FY27</t>
        </is>
      </c>
      <c r="D328" s="3" t="n">
        <v>3005</v>
      </c>
      <c r="E328" s="3" t="n">
        <v>107</v>
      </c>
      <c r="F328" s="3" t="n">
        <v>3031</v>
      </c>
      <c r="G328" s="3" t="n">
        <v>21</v>
      </c>
      <c r="H328" s="3" t="n">
        <v>4235</v>
      </c>
      <c r="I328" s="4" t="n">
        <v>80.40000000000001</v>
      </c>
      <c r="J328" s="4" t="n">
        <v>11983.82</v>
      </c>
      <c r="K328" s="4" t="n">
        <v>27716.36</v>
      </c>
      <c r="L328" s="4" t="n">
        <v>1319.83</v>
      </c>
      <c r="M328" s="3" t="n">
        <v>34472</v>
      </c>
      <c r="N328" s="4" t="n">
        <v>11983.82</v>
      </c>
      <c r="O328" s="4" t="n">
        <v>27716.36</v>
      </c>
      <c r="P328" s="4" t="n">
        <v>474082.75</v>
      </c>
    </row>
    <row r="329">
      <c r="A329" s="5" t="n">
        <v>46204</v>
      </c>
      <c r="B329" s="2" t="inlineStr">
        <is>
          <t>2026-2027</t>
        </is>
      </c>
      <c r="C329" s="2" t="inlineStr">
        <is>
          <t>Q2FY27</t>
        </is>
      </c>
      <c r="D329" s="3" t="n">
        <v>3028</v>
      </c>
      <c r="E329" s="3" t="n">
        <v>107</v>
      </c>
      <c r="F329" s="3" t="n">
        <v>3055</v>
      </c>
      <c r="G329" s="3" t="n">
        <v>23</v>
      </c>
      <c r="H329" s="3" t="n">
        <v>4268</v>
      </c>
      <c r="I329" s="4" t="n">
        <v>84.77</v>
      </c>
      <c r="J329" s="4" t="n">
        <v>10687.74</v>
      </c>
      <c r="K329" s="4" t="n">
        <v>27695.62</v>
      </c>
      <c r="L329" s="4" t="n">
        <v>1204.16</v>
      </c>
      <c r="M329" s="3" t="n">
        <v>32670</v>
      </c>
      <c r="N329" s="4" t="n">
        <v>10687.74</v>
      </c>
      <c r="O329" s="4" t="n">
        <v>27695.62</v>
      </c>
      <c r="P329" s="4" t="n">
        <v>485336.65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6" customWidth="1" min="6" max="6"/>
    <col width="20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Securities Traded</t>
        </is>
      </c>
      <c r="F1" s="1" t="inlineStr">
        <is>
          <t>No. of Trades (Crs)</t>
        </is>
      </c>
      <c r="G1" s="1" t="inlineStr">
        <is>
          <t>Traded Quantity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1906</v>
      </c>
      <c r="F2" s="8" t="n">
        <v>1.6427</v>
      </c>
      <c r="G2" s="4" t="n">
        <v>158.0383</v>
      </c>
      <c r="H2" s="4" t="n">
        <v>318.6954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1941</v>
      </c>
      <c r="F3" s="8" t="n">
        <v>1.9547</v>
      </c>
      <c r="G3" s="4" t="n">
        <v>184.2352</v>
      </c>
      <c r="H3" s="4" t="n">
        <v>396.4776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1998</v>
      </c>
      <c r="F4" s="8" t="n">
        <v>2.1523</v>
      </c>
      <c r="G4" s="4" t="n">
        <v>217.7417</v>
      </c>
      <c r="H4" s="4" t="n">
        <v>524.3858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1964</v>
      </c>
      <c r="F5" s="8" t="n">
        <v>2.3815</v>
      </c>
      <c r="G5" s="4" t="n">
        <v>245.0449</v>
      </c>
      <c r="H5" s="4" t="n">
        <v>575.9347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1950</v>
      </c>
      <c r="F6" s="8" t="n">
        <v>2.0733</v>
      </c>
      <c r="G6" s="4" t="n">
        <v>218.0603</v>
      </c>
      <c r="H6" s="4" t="n">
        <v>515.4367999999999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1957</v>
      </c>
      <c r="F7" s="8" t="n">
        <v>1.9716</v>
      </c>
      <c r="G7" s="4" t="n">
        <v>271.3632</v>
      </c>
      <c r="H7" s="4" t="n">
        <v>458.1918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1968</v>
      </c>
      <c r="F8" s="8" t="n">
        <v>2.5257</v>
      </c>
      <c r="G8" s="4" t="n">
        <v>313.5957</v>
      </c>
      <c r="H8" s="4" t="n">
        <v>646.63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1953</v>
      </c>
      <c r="F9" s="8" t="n">
        <v>2.0472</v>
      </c>
      <c r="G9" s="4" t="n">
        <v>236.2226</v>
      </c>
      <c r="H9" s="4" t="n">
        <v>499.1627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1964</v>
      </c>
      <c r="F10" s="8" t="n">
        <v>2.2272</v>
      </c>
      <c r="G10" s="4" t="n">
        <v>278.5566</v>
      </c>
      <c r="H10" s="4" t="n">
        <v>553.9348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1986</v>
      </c>
      <c r="F11" s="8" t="n">
        <v>1.976</v>
      </c>
      <c r="G11" s="4" t="n">
        <v>264.5335</v>
      </c>
      <c r="H11" s="4" t="n">
        <v>482.2189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1941</v>
      </c>
      <c r="F12" s="8" t="n">
        <v>1.9067</v>
      </c>
      <c r="G12" s="4" t="n">
        <v>222.853</v>
      </c>
      <c r="H12" s="4" t="n">
        <v>469.7752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1944</v>
      </c>
      <c r="F13" s="8" t="n">
        <v>1.9006</v>
      </c>
      <c r="G13" s="4" t="n">
        <v>246.2741</v>
      </c>
      <c r="H13" s="4" t="n">
        <v>524.6994999999999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1950</v>
      </c>
      <c r="F14" s="8" t="n">
        <v>1.819</v>
      </c>
      <c r="G14" s="4" t="n">
        <v>256.4225</v>
      </c>
      <c r="H14" s="4" t="n">
        <v>486.3097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1962</v>
      </c>
      <c r="F15" s="8" t="n">
        <v>1.8709</v>
      </c>
      <c r="G15" s="4" t="n">
        <v>223.4078</v>
      </c>
      <c r="H15" s="4" t="n">
        <v>530.0834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1979</v>
      </c>
      <c r="F16" s="8" t="n">
        <v>1.751</v>
      </c>
      <c r="G16" s="4" t="n">
        <v>191.1404</v>
      </c>
      <c r="H16" s="4" t="n">
        <v>457.408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1945</v>
      </c>
      <c r="F17" s="8" t="n">
        <v>1.7205</v>
      </c>
      <c r="G17" s="4" t="n">
        <v>202.7153</v>
      </c>
      <c r="H17" s="4" t="n">
        <v>485.3761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1963</v>
      </c>
      <c r="F18" s="8" t="n">
        <v>1.8633</v>
      </c>
      <c r="G18" s="4" t="n">
        <v>236.9262</v>
      </c>
      <c r="H18" s="4" t="n">
        <v>503.9665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1949</v>
      </c>
      <c r="F19" s="8" t="n">
        <v>2.2777</v>
      </c>
      <c r="G19" s="4" t="n">
        <v>305.9478</v>
      </c>
      <c r="H19" s="4" t="n">
        <v>629.3353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1979</v>
      </c>
      <c r="F20" s="8" t="n">
        <v>2.0292</v>
      </c>
      <c r="G20" s="4" t="n">
        <v>243.8553</v>
      </c>
      <c r="H20" s="4" t="n">
        <v>484.3347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1939</v>
      </c>
      <c r="F21" s="8" t="n">
        <v>1.759</v>
      </c>
      <c r="G21" s="4" t="n">
        <v>214.9333</v>
      </c>
      <c r="H21" s="4" t="n">
        <v>472.7529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1933</v>
      </c>
      <c r="F22" s="8" t="n">
        <v>1.9137</v>
      </c>
      <c r="G22" s="4" t="n">
        <v>239.0716</v>
      </c>
      <c r="H22" s="4" t="n">
        <v>495.6296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1919</v>
      </c>
      <c r="F23" s="8" t="n">
        <v>1.6713</v>
      </c>
      <c r="G23" s="4" t="n">
        <v>194.4788</v>
      </c>
      <c r="H23" s="4" t="n">
        <v>750.3028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1934</v>
      </c>
      <c r="F24" s="8" t="n">
        <v>1.6557</v>
      </c>
      <c r="G24" s="4" t="n">
        <v>201.4855</v>
      </c>
      <c r="H24" s="4" t="n">
        <v>473.6697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1970</v>
      </c>
      <c r="F25" s="8" t="n">
        <v>1.7652</v>
      </c>
      <c r="G25" s="4" t="n">
        <v>289.1878</v>
      </c>
      <c r="H25" s="4" t="n">
        <v>466.1372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1911</v>
      </c>
      <c r="F26" s="8" t="n">
        <v>1.8341</v>
      </c>
      <c r="G26" s="4" t="n">
        <v>252.5983</v>
      </c>
      <c r="H26" s="4" t="n">
        <v>530.6165999999999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1923</v>
      </c>
      <c r="F27" s="8" t="n">
        <v>2.0242</v>
      </c>
      <c r="G27" s="4" t="n">
        <v>317.9862</v>
      </c>
      <c r="H27" s="4" t="n">
        <v>575.329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1912</v>
      </c>
      <c r="F28" s="8" t="n">
        <v>1.7763</v>
      </c>
      <c r="G28" s="4" t="n">
        <v>235.7927</v>
      </c>
      <c r="H28" s="4" t="n">
        <v>486.9451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1912</v>
      </c>
      <c r="F29" s="8" t="n">
        <v>1.6079</v>
      </c>
      <c r="G29" s="4" t="n">
        <v>209.7374</v>
      </c>
      <c r="H29" s="4" t="n">
        <v>436.6014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1956</v>
      </c>
      <c r="F30" s="8" t="n">
        <v>1.9957</v>
      </c>
      <c r="G30" s="4" t="n">
        <v>260.143</v>
      </c>
      <c r="H30" s="4" t="n">
        <v>520.6331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1913</v>
      </c>
      <c r="F31" s="8" t="n">
        <v>1.7309</v>
      </c>
      <c r="G31" s="4" t="n">
        <v>290.766</v>
      </c>
      <c r="H31" s="4" t="n">
        <v>490.6511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1910</v>
      </c>
      <c r="F32" s="8" t="n">
        <v>1.588</v>
      </c>
      <c r="G32" s="4" t="n">
        <v>234.4092</v>
      </c>
      <c r="H32" s="4" t="n">
        <v>463.6562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1898</v>
      </c>
      <c r="F33" s="8" t="n">
        <v>1.6276</v>
      </c>
      <c r="G33" s="4" t="n">
        <v>223.2801</v>
      </c>
      <c r="H33" s="4" t="n">
        <v>465.9672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1894</v>
      </c>
      <c r="F34" s="8" t="n">
        <v>1.7352</v>
      </c>
      <c r="G34" s="4" t="n">
        <v>226.6392</v>
      </c>
      <c r="H34" s="4" t="n">
        <v>489.2526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1963</v>
      </c>
      <c r="F35" s="8" t="n">
        <v>1.6636</v>
      </c>
      <c r="G35" s="4" t="n">
        <v>207.2357</v>
      </c>
      <c r="H35" s="4" t="n">
        <v>474.1282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1916</v>
      </c>
      <c r="F36" s="8" t="n">
        <v>1.7272</v>
      </c>
      <c r="G36" s="4" t="n">
        <v>230.6955</v>
      </c>
      <c r="H36" s="4" t="n">
        <v>524.4911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1936</v>
      </c>
      <c r="F37" s="8" t="n">
        <v>1.8219</v>
      </c>
      <c r="G37" s="4" t="n">
        <v>287.761</v>
      </c>
      <c r="H37" s="4" t="n">
        <v>568.4979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1927</v>
      </c>
      <c r="F38" s="8" t="n">
        <v>2.2528</v>
      </c>
      <c r="G38" s="4" t="n">
        <v>548.36</v>
      </c>
      <c r="H38" s="4" t="n">
        <v>834.9684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1981</v>
      </c>
      <c r="F39" s="8" t="n">
        <v>2.0638</v>
      </c>
      <c r="G39" s="4" t="n">
        <v>333.9777</v>
      </c>
      <c r="H39" s="4" t="n">
        <v>632.5223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1943</v>
      </c>
      <c r="F40" s="8" t="n">
        <v>1.9313</v>
      </c>
      <c r="G40" s="4" t="n">
        <v>354.4563</v>
      </c>
      <c r="H40" s="4" t="n">
        <v>605.5538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1961</v>
      </c>
      <c r="F41" s="8" t="n">
        <v>2.078</v>
      </c>
      <c r="G41" s="4" t="n">
        <v>394.6941</v>
      </c>
      <c r="H41" s="4" t="n">
        <v>658.7194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1929</v>
      </c>
      <c r="F42" s="8" t="n">
        <v>1.979</v>
      </c>
      <c r="G42" s="4" t="n">
        <v>365.7693</v>
      </c>
      <c r="H42" s="4" t="n">
        <v>610.7491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1972</v>
      </c>
      <c r="F43" s="8" t="n">
        <v>2.0709</v>
      </c>
      <c r="G43" s="4" t="n">
        <v>501.4839</v>
      </c>
      <c r="H43" s="4" t="n">
        <v>643.3324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1995</v>
      </c>
      <c r="F44" s="8" t="n">
        <v>2.3178</v>
      </c>
      <c r="G44" s="4" t="n">
        <v>528.1886</v>
      </c>
      <c r="H44" s="4" t="n">
        <v>679.9262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1992</v>
      </c>
      <c r="F45" s="8" t="n">
        <v>2.0628</v>
      </c>
      <c r="G45" s="4" t="n">
        <v>452.6885</v>
      </c>
      <c r="H45" s="4" t="n">
        <v>637.8647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1982</v>
      </c>
      <c r="F46" s="8" t="n">
        <v>1.8277</v>
      </c>
      <c r="G46" s="4" t="n">
        <v>367.6774</v>
      </c>
      <c r="H46" s="4" t="n">
        <v>529.5414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1945</v>
      </c>
      <c r="F47" s="8" t="n">
        <v>2.0031</v>
      </c>
      <c r="G47" s="4" t="n">
        <v>498.4358</v>
      </c>
      <c r="H47" s="4" t="n">
        <v>577.0176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1941</v>
      </c>
      <c r="F48" s="8" t="n">
        <v>1.9302</v>
      </c>
      <c r="G48" s="4" t="n">
        <v>430.81</v>
      </c>
      <c r="H48" s="4" t="n">
        <v>608.103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1973</v>
      </c>
      <c r="F49" s="8" t="n">
        <v>1.7405</v>
      </c>
      <c r="G49" s="4" t="n">
        <v>328.7295</v>
      </c>
      <c r="H49" s="4" t="n">
        <v>542.0179000000001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1955</v>
      </c>
      <c r="F50" s="8" t="n">
        <v>1.9008</v>
      </c>
      <c r="G50" s="4" t="n">
        <v>360.8686</v>
      </c>
      <c r="H50" s="4" t="n">
        <v>603.0448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1950</v>
      </c>
      <c r="F51" s="8" t="n">
        <v>1.69</v>
      </c>
      <c r="G51" s="4" t="n">
        <v>276.0432</v>
      </c>
      <c r="H51" s="4" t="n">
        <v>522.0518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1943</v>
      </c>
      <c r="F52" s="8" t="n">
        <v>1.7384</v>
      </c>
      <c r="G52" s="4" t="n">
        <v>349.6253</v>
      </c>
      <c r="H52" s="4" t="n">
        <v>511.5555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1942</v>
      </c>
      <c r="F53" s="8" t="n">
        <v>2.1457</v>
      </c>
      <c r="G53" s="4" t="n">
        <v>372.7861</v>
      </c>
      <c r="H53" s="4" t="n">
        <v>823.437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2020</v>
      </c>
      <c r="F54" s="8" t="n">
        <v>2.2116</v>
      </c>
      <c r="G54" s="4" t="n">
        <v>434.0643</v>
      </c>
      <c r="H54" s="4" t="n">
        <v>700.5368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1971</v>
      </c>
      <c r="F55" s="8" t="n">
        <v>2.033</v>
      </c>
      <c r="G55" s="4" t="n">
        <v>323.8499</v>
      </c>
      <c r="H55" s="4" t="n">
        <v>647.1802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1975</v>
      </c>
      <c r="F56" s="8" t="n">
        <v>2.2872</v>
      </c>
      <c r="G56" s="4" t="n">
        <v>421.7445</v>
      </c>
      <c r="H56" s="4" t="n">
        <v>744.7037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1956</v>
      </c>
      <c r="F57" s="8" t="n">
        <v>1.9957</v>
      </c>
      <c r="G57" s="4" t="n">
        <v>374.008</v>
      </c>
      <c r="H57" s="4" t="n">
        <v>685.6712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1962</v>
      </c>
      <c r="F58" s="8" t="n">
        <v>1.7785</v>
      </c>
      <c r="G58" s="4" t="n">
        <v>356.9382</v>
      </c>
      <c r="H58" s="4" t="n">
        <v>560.0735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1985</v>
      </c>
      <c r="F59" s="8" t="n">
        <v>1.6507</v>
      </c>
      <c r="G59" s="4" t="n">
        <v>324.5162</v>
      </c>
      <c r="H59" s="4" t="n">
        <v>491.3941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1953</v>
      </c>
      <c r="F60" s="8" t="n">
        <v>1.6036</v>
      </c>
      <c r="G60" s="4" t="n">
        <v>296.8214</v>
      </c>
      <c r="H60" s="4" t="n">
        <v>491.8106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1982</v>
      </c>
      <c r="F61" s="8" t="n">
        <v>1.5696</v>
      </c>
      <c r="G61" s="4" t="n">
        <v>268.4419</v>
      </c>
      <c r="H61" s="4" t="n">
        <v>496.4545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1965</v>
      </c>
      <c r="F62" s="8" t="n">
        <v>1.6145</v>
      </c>
      <c r="G62" s="4" t="n">
        <v>300.9726</v>
      </c>
      <c r="H62" s="4" t="n">
        <v>531.4888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1980</v>
      </c>
      <c r="F63" s="8" t="n">
        <v>1.5453</v>
      </c>
      <c r="G63" s="4" t="n">
        <v>292.7787</v>
      </c>
      <c r="H63" s="4" t="n">
        <v>487.2103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2026</v>
      </c>
      <c r="F64" s="8" t="n">
        <v>1.6751</v>
      </c>
      <c r="G64" s="4" t="n">
        <v>285.8073</v>
      </c>
      <c r="H64" s="4" t="n">
        <v>541.4357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1996</v>
      </c>
      <c r="F65" s="8" t="n">
        <v>2.0079</v>
      </c>
      <c r="G65" s="4" t="n">
        <v>291.9979</v>
      </c>
      <c r="H65" s="4" t="n">
        <v>653.5012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1985</v>
      </c>
      <c r="F66" s="8" t="n">
        <v>1.9842</v>
      </c>
      <c r="G66" s="4" t="n">
        <v>358.5055</v>
      </c>
      <c r="H66" s="4" t="n">
        <v>660.7652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1967</v>
      </c>
      <c r="F67" s="8" t="n">
        <v>1.6017</v>
      </c>
      <c r="G67" s="4" t="n">
        <v>300.8659</v>
      </c>
      <c r="H67" s="4" t="n">
        <v>527.2376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1962</v>
      </c>
      <c r="F68" s="8" t="n">
        <v>1.6854</v>
      </c>
      <c r="G68" s="4" t="n">
        <v>355.2997</v>
      </c>
      <c r="H68" s="4" t="n">
        <v>541.6022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2001</v>
      </c>
      <c r="F69" s="8" t="n">
        <v>1.579</v>
      </c>
      <c r="G69" s="4" t="n">
        <v>260.7498</v>
      </c>
      <c r="H69" s="4" t="n">
        <v>523.5462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1968</v>
      </c>
      <c r="F70" s="8" t="n">
        <v>1.6977</v>
      </c>
      <c r="G70" s="4" t="n">
        <v>238.588</v>
      </c>
      <c r="H70" s="4" t="n">
        <v>541.0888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1962</v>
      </c>
      <c r="F71" s="8" t="n">
        <v>1.7416</v>
      </c>
      <c r="G71" s="4" t="n">
        <v>289.7194</v>
      </c>
      <c r="H71" s="4" t="n">
        <v>640.3686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1963</v>
      </c>
      <c r="F72" s="8" t="n">
        <v>1.7274</v>
      </c>
      <c r="G72" s="4" t="n">
        <v>297.733</v>
      </c>
      <c r="H72" s="4" t="n">
        <v>612.4978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1955</v>
      </c>
      <c r="F73" s="8" t="n">
        <v>1.7395</v>
      </c>
      <c r="G73" s="4" t="n">
        <v>311.4281</v>
      </c>
      <c r="H73" s="4" t="n">
        <v>586.6688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2023</v>
      </c>
      <c r="F74" s="8" t="n">
        <v>1.6786</v>
      </c>
      <c r="G74" s="4" t="n">
        <v>309.9189</v>
      </c>
      <c r="H74" s="4" t="n">
        <v>563.3316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1981</v>
      </c>
      <c r="F75" s="8" t="n">
        <v>1.9092</v>
      </c>
      <c r="G75" s="4" t="n">
        <v>297.1575</v>
      </c>
      <c r="H75" s="4" t="n">
        <v>669.3042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1976</v>
      </c>
      <c r="F76" s="8" t="n">
        <v>1.8405</v>
      </c>
      <c r="G76" s="4" t="n">
        <v>297.6211</v>
      </c>
      <c r="H76" s="4" t="n">
        <v>656.6821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1967</v>
      </c>
      <c r="F77" s="8" t="n">
        <v>1.6521</v>
      </c>
      <c r="G77" s="4" t="n">
        <v>259.2341</v>
      </c>
      <c r="H77" s="4" t="n">
        <v>563.8914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1973</v>
      </c>
      <c r="F78" s="8" t="n">
        <v>1.6986</v>
      </c>
      <c r="G78" s="4" t="n">
        <v>289.026</v>
      </c>
      <c r="H78" s="4" t="n">
        <v>632.8605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1984</v>
      </c>
      <c r="F79" s="8" t="n">
        <v>1.6616</v>
      </c>
      <c r="G79" s="4" t="n">
        <v>227.7059</v>
      </c>
      <c r="H79" s="4" t="n">
        <v>563.3872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1981</v>
      </c>
      <c r="F80" s="8" t="n">
        <v>1.6725</v>
      </c>
      <c r="G80" s="4" t="n">
        <v>326.2589</v>
      </c>
      <c r="H80" s="4" t="n">
        <v>602.912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1976</v>
      </c>
      <c r="F81" s="8" t="n">
        <v>1.7381</v>
      </c>
      <c r="G81" s="4" t="n">
        <v>309.1669</v>
      </c>
      <c r="H81" s="4" t="n">
        <v>625.4086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1984</v>
      </c>
      <c r="F82" s="8" t="n">
        <v>1.7408</v>
      </c>
      <c r="G82" s="4" t="n">
        <v>258.7942</v>
      </c>
      <c r="H82" s="4" t="n">
        <v>642.6749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1932</v>
      </c>
      <c r="F83" s="8" t="n">
        <v>1.7436</v>
      </c>
      <c r="G83" s="4" t="n">
        <v>249.8101</v>
      </c>
      <c r="H83" s="4" t="n">
        <v>620.8919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1972</v>
      </c>
      <c r="F84" s="8" t="n">
        <v>1.6779</v>
      </c>
      <c r="G84" s="4" t="n">
        <v>259.0682</v>
      </c>
      <c r="H84" s="4" t="n">
        <v>584.2695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1961</v>
      </c>
      <c r="F85" s="8" t="n">
        <v>1.6629</v>
      </c>
      <c r="G85" s="4" t="n">
        <v>242.5248</v>
      </c>
      <c r="H85" s="4" t="n">
        <v>586.2771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1980</v>
      </c>
      <c r="F86" s="8" t="n">
        <v>1.6711</v>
      </c>
      <c r="G86" s="4" t="n">
        <v>288.0949</v>
      </c>
      <c r="H86" s="4" t="n">
        <v>609.0148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1967</v>
      </c>
      <c r="F87" s="8" t="n">
        <v>1.6373</v>
      </c>
      <c r="G87" s="4" t="n">
        <v>278.5201</v>
      </c>
      <c r="H87" s="4" t="n">
        <v>580.5033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1976</v>
      </c>
      <c r="F88" s="8" t="n">
        <v>1.7145</v>
      </c>
      <c r="G88" s="4" t="n">
        <v>357.3495</v>
      </c>
      <c r="H88" s="4" t="n">
        <v>592.081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2011</v>
      </c>
      <c r="F89" s="8" t="n">
        <v>1.8035</v>
      </c>
      <c r="G89" s="4" t="n">
        <v>275.4282</v>
      </c>
      <c r="H89" s="4" t="n">
        <v>607.2793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1989</v>
      </c>
      <c r="F90" s="8" t="n">
        <v>1.7239</v>
      </c>
      <c r="G90" s="4" t="n">
        <v>258.4595</v>
      </c>
      <c r="H90" s="4" t="n">
        <v>581.1935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1992</v>
      </c>
      <c r="F91" s="8" t="n">
        <v>1.7252</v>
      </c>
      <c r="G91" s="4" t="n">
        <v>271.729</v>
      </c>
      <c r="H91" s="4" t="n">
        <v>550.0873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1985</v>
      </c>
      <c r="F92" s="8" t="n">
        <v>1.8247</v>
      </c>
      <c r="G92" s="4" t="n">
        <v>350.4235</v>
      </c>
      <c r="H92" s="4" t="n">
        <v>582.6569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1991</v>
      </c>
      <c r="F93" s="8" t="n">
        <v>1.946</v>
      </c>
      <c r="G93" s="4" t="n">
        <v>337.3305</v>
      </c>
      <c r="H93" s="4" t="n">
        <v>651.5887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1991</v>
      </c>
      <c r="F94" s="8" t="n">
        <v>1.5973</v>
      </c>
      <c r="G94" s="4" t="n">
        <v>249.2433</v>
      </c>
      <c r="H94" s="4" t="n">
        <v>509.2643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1981</v>
      </c>
      <c r="F95" s="8" t="n">
        <v>1.6634</v>
      </c>
      <c r="G95" s="4" t="n">
        <v>284.2425</v>
      </c>
      <c r="H95" s="4" t="n">
        <v>535.0313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1986</v>
      </c>
      <c r="F96" s="8" t="n">
        <v>1.701</v>
      </c>
      <c r="G96" s="4" t="n">
        <v>321.6375</v>
      </c>
      <c r="H96" s="4" t="n">
        <v>566.1237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1985</v>
      </c>
      <c r="F97" s="8" t="n">
        <v>1.8259</v>
      </c>
      <c r="G97" s="4" t="n">
        <v>347.5804</v>
      </c>
      <c r="H97" s="4" t="n">
        <v>563.9319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1986</v>
      </c>
      <c r="F98" s="8" t="n">
        <v>1.7654</v>
      </c>
      <c r="G98" s="4" t="n">
        <v>317.7795</v>
      </c>
      <c r="H98" s="4" t="n">
        <v>561.2382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2028</v>
      </c>
      <c r="F99" s="8" t="n">
        <v>1.7884</v>
      </c>
      <c r="G99" s="4" t="n">
        <v>316.2932</v>
      </c>
      <c r="H99" s="4" t="n">
        <v>569.0249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2001</v>
      </c>
      <c r="F100" s="8" t="n">
        <v>1.8499</v>
      </c>
      <c r="G100" s="4" t="n">
        <v>287.2762</v>
      </c>
      <c r="H100" s="4" t="n">
        <v>609.6367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2004</v>
      </c>
      <c r="F101" s="8" t="n">
        <v>1.8425</v>
      </c>
      <c r="G101" s="4" t="n">
        <v>281.5281</v>
      </c>
      <c r="H101" s="4" t="n">
        <v>638.8022999999999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1990</v>
      </c>
      <c r="F102" s="8" t="n">
        <v>1.8379</v>
      </c>
      <c r="G102" s="4" t="n">
        <v>303.5839</v>
      </c>
      <c r="H102" s="4" t="n">
        <v>628.9524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2001</v>
      </c>
      <c r="F103" s="8" t="n">
        <v>2.0232</v>
      </c>
      <c r="G103" s="4" t="n">
        <v>491.3072</v>
      </c>
      <c r="H103" s="4" t="n">
        <v>729.2521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2024</v>
      </c>
      <c r="F104" s="8" t="n">
        <v>2.5546</v>
      </c>
      <c r="G104" s="4" t="n">
        <v>475.1022</v>
      </c>
      <c r="H104" s="4" t="n">
        <v>989.3561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1957</v>
      </c>
      <c r="F105" s="8" t="n">
        <v>1.7298</v>
      </c>
      <c r="G105" s="4" t="n">
        <v>433.89</v>
      </c>
      <c r="H105" s="4" t="n">
        <v>617.8765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1980</v>
      </c>
      <c r="F106" s="8" t="n">
        <v>1.4775</v>
      </c>
      <c r="G106" s="4" t="n">
        <v>241.38</v>
      </c>
      <c r="H106" s="4" t="n">
        <v>495.6492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1959</v>
      </c>
      <c r="F107" s="8" t="n">
        <v>1.5093</v>
      </c>
      <c r="G107" s="4" t="n">
        <v>341.4327</v>
      </c>
      <c r="H107" s="4" t="n">
        <v>493.0724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1981</v>
      </c>
      <c r="F108" s="8" t="n">
        <v>1.6479</v>
      </c>
      <c r="G108" s="4" t="n">
        <v>377.4177</v>
      </c>
      <c r="H108" s="4" t="n">
        <v>556.4017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1977</v>
      </c>
      <c r="F109" s="8" t="n">
        <v>1.4283</v>
      </c>
      <c r="G109" s="4" t="n">
        <v>308.6781</v>
      </c>
      <c r="H109" s="4" t="n">
        <v>464.6605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1964</v>
      </c>
      <c r="F110" s="8" t="n">
        <v>1.4724</v>
      </c>
      <c r="G110" s="4" t="n">
        <v>231.8368</v>
      </c>
      <c r="H110" s="4" t="n">
        <v>495.7114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1969</v>
      </c>
      <c r="F111" s="8" t="n">
        <v>1.6207</v>
      </c>
      <c r="G111" s="4" t="n">
        <v>250.5053</v>
      </c>
      <c r="H111" s="4" t="n">
        <v>541.9763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1958</v>
      </c>
      <c r="F112" s="8" t="n">
        <v>1.5675</v>
      </c>
      <c r="G112" s="4" t="n">
        <v>233.6449</v>
      </c>
      <c r="H112" s="4" t="n">
        <v>595.3539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1953</v>
      </c>
      <c r="F113" s="8" t="n">
        <v>1.4711</v>
      </c>
      <c r="G113" s="4" t="n">
        <v>200.8872</v>
      </c>
      <c r="H113" s="4" t="n">
        <v>513.3018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1992</v>
      </c>
      <c r="F114" s="8" t="n">
        <v>2.0223</v>
      </c>
      <c r="G114" s="4" t="n">
        <v>284.3939</v>
      </c>
      <c r="H114" s="4" t="n">
        <v>636.6179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1972</v>
      </c>
      <c r="F115" s="8" t="n">
        <v>1.6253</v>
      </c>
      <c r="G115" s="4" t="n">
        <v>264.4048</v>
      </c>
      <c r="H115" s="4" t="n">
        <v>538.1511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1963</v>
      </c>
      <c r="F116" s="8" t="n">
        <v>1.5709</v>
      </c>
      <c r="G116" s="4" t="n">
        <v>197.1701</v>
      </c>
      <c r="H116" s="4" t="n">
        <v>509.8018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1962</v>
      </c>
      <c r="F117" s="8" t="n">
        <v>1.5923</v>
      </c>
      <c r="G117" s="4" t="n">
        <v>192.3304</v>
      </c>
      <c r="H117" s="4" t="n">
        <v>510.0059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1964</v>
      </c>
      <c r="F118" s="8" t="n">
        <v>1.9539</v>
      </c>
      <c r="G118" s="4" t="n">
        <v>262.0413</v>
      </c>
      <c r="H118" s="4" t="n">
        <v>838.6887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2012</v>
      </c>
      <c r="F119" s="8" t="n">
        <v>1.9438</v>
      </c>
      <c r="G119" s="4" t="n">
        <v>236.8426</v>
      </c>
      <c r="H119" s="4" t="n">
        <v>641.6939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1976</v>
      </c>
      <c r="F120" s="8" t="n">
        <v>1.9025</v>
      </c>
      <c r="G120" s="4" t="n">
        <v>261.5506</v>
      </c>
      <c r="H120" s="4" t="n">
        <v>608.6742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1981</v>
      </c>
      <c r="F121" s="8" t="n">
        <v>1.6521</v>
      </c>
      <c r="G121" s="4" t="n">
        <v>264.0016</v>
      </c>
      <c r="H121" s="4" t="n">
        <v>573.4969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1967</v>
      </c>
      <c r="F122" s="8" t="n">
        <v>1.7958</v>
      </c>
      <c r="G122" s="4" t="n">
        <v>250.5716</v>
      </c>
      <c r="H122" s="4" t="n">
        <v>587.4745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1975</v>
      </c>
      <c r="F123" s="8" t="n">
        <v>1.6702</v>
      </c>
      <c r="G123" s="4" t="n">
        <v>267.8113</v>
      </c>
      <c r="H123" s="4" t="n">
        <v>551.9873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2003</v>
      </c>
      <c r="F124" s="8" t="n">
        <v>1.4402</v>
      </c>
      <c r="G124" s="4" t="n">
        <v>221.1276</v>
      </c>
      <c r="H124" s="4" t="n">
        <v>470.9371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1970</v>
      </c>
      <c r="F125" s="8" t="n">
        <v>1.4643</v>
      </c>
      <c r="G125" s="4" t="n">
        <v>228.5313</v>
      </c>
      <c r="H125" s="4" t="n">
        <v>506.6559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1957</v>
      </c>
      <c r="F126" s="8" t="n">
        <v>1.4069</v>
      </c>
      <c r="G126" s="4" t="n">
        <v>197.4085</v>
      </c>
      <c r="H126" s="4" t="n">
        <v>485.0984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1971</v>
      </c>
      <c r="F127" s="8" t="n">
        <v>1.3787</v>
      </c>
      <c r="G127" s="4" t="n">
        <v>190.7822</v>
      </c>
      <c r="H127" s="4" t="n">
        <v>465.5527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2019</v>
      </c>
      <c r="F128" s="8" t="n">
        <v>1.5233</v>
      </c>
      <c r="G128" s="4" t="n">
        <v>210.8468</v>
      </c>
      <c r="H128" s="4" t="n">
        <v>515.996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2009</v>
      </c>
      <c r="F129" s="8" t="n">
        <v>1.4603</v>
      </c>
      <c r="G129" s="4" t="n">
        <v>187.4471</v>
      </c>
      <c r="H129" s="4" t="n">
        <v>497.0512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2018</v>
      </c>
      <c r="F130" s="8" t="n">
        <v>1.4879</v>
      </c>
      <c r="G130" s="4" t="n">
        <v>194.031</v>
      </c>
      <c r="H130" s="4" t="n">
        <v>536.2077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2001</v>
      </c>
      <c r="F131" s="8" t="n">
        <v>1.6904</v>
      </c>
      <c r="G131" s="4" t="n">
        <v>218.188</v>
      </c>
      <c r="H131" s="4" t="n">
        <v>615.3202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1992</v>
      </c>
      <c r="F132" s="8" t="n">
        <v>1.5302</v>
      </c>
      <c r="G132" s="4" t="n">
        <v>204.7878</v>
      </c>
      <c r="H132" s="4" t="n">
        <v>568.191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1997</v>
      </c>
      <c r="F133" s="8" t="n">
        <v>1.4556</v>
      </c>
      <c r="G133" s="4" t="n">
        <v>186.2149</v>
      </c>
      <c r="H133" s="4" t="n">
        <v>472.0227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1994</v>
      </c>
      <c r="F134" s="8" t="n">
        <v>1.4315</v>
      </c>
      <c r="G134" s="4" t="n">
        <v>167.7786</v>
      </c>
      <c r="H134" s="4" t="n">
        <v>501.055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1984</v>
      </c>
      <c r="F135" s="8" t="n">
        <v>1.4351</v>
      </c>
      <c r="G135" s="4" t="n">
        <v>191.3028</v>
      </c>
      <c r="H135" s="4" t="n">
        <v>508.4946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2009</v>
      </c>
      <c r="F136" s="8" t="n">
        <v>1.5453</v>
      </c>
      <c r="G136" s="4" t="n">
        <v>199.5364</v>
      </c>
      <c r="H136" s="4" t="n">
        <v>548.4041999999999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2003</v>
      </c>
      <c r="F137" s="8" t="n">
        <v>1.4505</v>
      </c>
      <c r="G137" s="4" t="n">
        <v>170.2358</v>
      </c>
      <c r="H137" s="4" t="n">
        <v>494.4151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1989</v>
      </c>
      <c r="F138" s="8" t="n">
        <v>1.4653</v>
      </c>
      <c r="G138" s="4" t="n">
        <v>188.6404</v>
      </c>
      <c r="H138" s="4" t="n">
        <v>484.3799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1991</v>
      </c>
      <c r="F139" s="8" t="n">
        <v>1.4175</v>
      </c>
      <c r="G139" s="4" t="n">
        <v>184.6704</v>
      </c>
      <c r="H139" s="4" t="n">
        <v>475.7576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1996</v>
      </c>
      <c r="F140" s="8" t="n">
        <v>1.6737</v>
      </c>
      <c r="G140" s="4" t="n">
        <v>213.9361</v>
      </c>
      <c r="H140" s="4" t="n">
        <v>614.4439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1977</v>
      </c>
      <c r="F141" s="8" t="n">
        <v>1.5778</v>
      </c>
      <c r="G141" s="4" t="n">
        <v>206.2604</v>
      </c>
      <c r="H141" s="4" t="n">
        <v>544.5393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1998</v>
      </c>
      <c r="F142" s="8" t="n">
        <v>1.4465</v>
      </c>
      <c r="G142" s="4" t="n">
        <v>238.8545</v>
      </c>
      <c r="H142" s="4" t="n">
        <v>494.6792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2022</v>
      </c>
      <c r="F143" s="8" t="n">
        <v>1.4786</v>
      </c>
      <c r="G143" s="4" t="n">
        <v>210.2914</v>
      </c>
      <c r="H143" s="4" t="n">
        <v>496.3755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1978</v>
      </c>
      <c r="F144" s="8" t="n">
        <v>1.7403</v>
      </c>
      <c r="G144" s="4" t="n">
        <v>195.9816</v>
      </c>
      <c r="H144" s="4" t="n">
        <v>597.8915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1979</v>
      </c>
      <c r="F145" s="8" t="n">
        <v>1.6118</v>
      </c>
      <c r="G145" s="4" t="n">
        <v>202.2581</v>
      </c>
      <c r="H145" s="4" t="n">
        <v>559.0765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1996</v>
      </c>
      <c r="F146" s="8" t="n">
        <v>1.5111</v>
      </c>
      <c r="G146" s="4" t="n">
        <v>192.4166</v>
      </c>
      <c r="H146" s="4" t="n">
        <v>492.9991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1978</v>
      </c>
      <c r="F147" s="8" t="n">
        <v>1.508</v>
      </c>
      <c r="G147" s="4" t="n">
        <v>233.516</v>
      </c>
      <c r="H147" s="4" t="n">
        <v>505.9845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1984</v>
      </c>
      <c r="F148" s="8" t="n">
        <v>1.6052</v>
      </c>
      <c r="G148" s="4" t="n">
        <v>201.5993</v>
      </c>
      <c r="H148" s="4" t="n">
        <v>553.4101000000001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1971</v>
      </c>
      <c r="F149" s="8" t="n">
        <v>1.6101</v>
      </c>
      <c r="G149" s="4" t="n">
        <v>198.2993</v>
      </c>
      <c r="H149" s="4" t="n">
        <v>580.9068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1980</v>
      </c>
      <c r="F150" s="8" t="n">
        <v>1.4645</v>
      </c>
      <c r="G150" s="4" t="n">
        <v>192.2253</v>
      </c>
      <c r="H150" s="4" t="n">
        <v>568.4576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1995</v>
      </c>
      <c r="F151" s="8" t="n">
        <v>1.5361</v>
      </c>
      <c r="G151" s="4" t="n">
        <v>207.6593</v>
      </c>
      <c r="H151" s="4" t="n">
        <v>558.4171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1995</v>
      </c>
      <c r="F152" s="8" t="n">
        <v>1.565</v>
      </c>
      <c r="G152" s="4" t="n">
        <v>220.8376</v>
      </c>
      <c r="H152" s="4" t="n">
        <v>593.1233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2016</v>
      </c>
      <c r="F153" s="8" t="n">
        <v>1.5172</v>
      </c>
      <c r="G153" s="4" t="n">
        <v>207.5316</v>
      </c>
      <c r="H153" s="4" t="n">
        <v>569.024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2018</v>
      </c>
      <c r="F154" s="8" t="n">
        <v>2.1406</v>
      </c>
      <c r="G154" s="4" t="n">
        <v>281.1135</v>
      </c>
      <c r="H154" s="4" t="n">
        <v>826.2568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1989</v>
      </c>
      <c r="F155" s="8" t="n">
        <v>1.9632</v>
      </c>
      <c r="G155" s="4" t="n">
        <v>256.7358</v>
      </c>
      <c r="H155" s="4" t="n">
        <v>817.4331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2009</v>
      </c>
      <c r="F156" s="8" t="n">
        <v>1.6588</v>
      </c>
      <c r="G156" s="4" t="n">
        <v>262.3026</v>
      </c>
      <c r="H156" s="4" t="n">
        <v>635.7657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1994</v>
      </c>
      <c r="F157" s="8" t="n">
        <v>1.4973</v>
      </c>
      <c r="G157" s="4" t="n">
        <v>222.6735</v>
      </c>
      <c r="H157" s="4" t="n">
        <v>582.2648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1878</v>
      </c>
      <c r="F158" s="8" t="n">
        <v>0.3935</v>
      </c>
      <c r="G158" s="4" t="n">
        <v>79.15089999999999</v>
      </c>
      <c r="H158" s="4" t="n">
        <v>95.2283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2027</v>
      </c>
      <c r="F159" s="8" t="n">
        <v>1.8424</v>
      </c>
      <c r="G159" s="4" t="n">
        <v>296.4074</v>
      </c>
      <c r="H159" s="4" t="n">
        <v>672.3592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2017</v>
      </c>
      <c r="F160" s="8" t="n">
        <v>1.8726</v>
      </c>
      <c r="G160" s="4" t="n">
        <v>310.97</v>
      </c>
      <c r="H160" s="4" t="n">
        <v>684.7069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2012</v>
      </c>
      <c r="F161" s="8" t="n">
        <v>2.0182</v>
      </c>
      <c r="G161" s="4" t="n">
        <v>337.6916</v>
      </c>
      <c r="H161" s="4" t="n">
        <v>768.3323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2000</v>
      </c>
      <c r="F162" s="8" t="n">
        <v>1.9477</v>
      </c>
      <c r="G162" s="4" t="n">
        <v>331.7612</v>
      </c>
      <c r="H162" s="4" t="n">
        <v>730.8856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2043</v>
      </c>
      <c r="F163" s="8" t="n">
        <v>1.919</v>
      </c>
      <c r="G163" s="4" t="n">
        <v>315.2204</v>
      </c>
      <c r="H163" s="4" t="n">
        <v>710.7322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2025</v>
      </c>
      <c r="F164" s="8" t="n">
        <v>1.8513</v>
      </c>
      <c r="G164" s="4" t="n">
        <v>286.3294</v>
      </c>
      <c r="H164" s="4" t="n">
        <v>663.9952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2018</v>
      </c>
      <c r="F165" s="8" t="n">
        <v>1.894</v>
      </c>
      <c r="G165" s="4" t="n">
        <v>343.0419</v>
      </c>
      <c r="H165" s="4" t="n">
        <v>674.154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2018</v>
      </c>
      <c r="F166" s="8" t="n">
        <v>1.638</v>
      </c>
      <c r="G166" s="4" t="n">
        <v>256.6663</v>
      </c>
      <c r="H166" s="4" t="n">
        <v>612.6663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2031</v>
      </c>
      <c r="F167" s="8" t="n">
        <v>2.447</v>
      </c>
      <c r="G167" s="4" t="n">
        <v>496.9837</v>
      </c>
      <c r="H167" s="4" t="n">
        <v>1474.5999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2051</v>
      </c>
      <c r="F168" s="8" t="n">
        <v>1.8876</v>
      </c>
      <c r="G168" s="4" t="n">
        <v>329.2449</v>
      </c>
      <c r="H168" s="4" t="n">
        <v>631.5855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2020</v>
      </c>
      <c r="F169" s="8" t="n">
        <v>1.8637</v>
      </c>
      <c r="G169" s="4" t="n">
        <v>342.4381</v>
      </c>
      <c r="H169" s="4" t="n">
        <v>670.6975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2049</v>
      </c>
      <c r="F170" s="8" t="n">
        <v>1.9689</v>
      </c>
      <c r="G170" s="4" t="n">
        <v>343.4747</v>
      </c>
      <c r="H170" s="4" t="n">
        <v>715.7272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2035</v>
      </c>
      <c r="F171" s="8" t="n">
        <v>2.0014</v>
      </c>
      <c r="G171" s="4" t="n">
        <v>349.4359</v>
      </c>
      <c r="H171" s="4" t="n">
        <v>720.2034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2034</v>
      </c>
      <c r="F172" s="8" t="n">
        <v>2.0234</v>
      </c>
      <c r="G172" s="4" t="n">
        <v>333.4606</v>
      </c>
      <c r="H172" s="4" t="n">
        <v>681.121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2036</v>
      </c>
      <c r="F173" s="8" t="n">
        <v>2.0874</v>
      </c>
      <c r="G173" s="4" t="n">
        <v>412.7535</v>
      </c>
      <c r="H173" s="4" t="n">
        <v>693.761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2043</v>
      </c>
      <c r="F174" s="8" t="n">
        <v>1.903</v>
      </c>
      <c r="G174" s="4" t="n">
        <v>417.9517</v>
      </c>
      <c r="H174" s="4" t="n">
        <v>626.2525000000001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2035</v>
      </c>
      <c r="F175" s="8" t="n">
        <v>1.8087</v>
      </c>
      <c r="G175" s="4" t="n">
        <v>358.5364</v>
      </c>
      <c r="H175" s="4" t="n">
        <v>610.0353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2016</v>
      </c>
      <c r="F176" s="8" t="n">
        <v>1.8537</v>
      </c>
      <c r="G176" s="4" t="n">
        <v>406.7193</v>
      </c>
      <c r="H176" s="4" t="n">
        <v>643.0136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2033</v>
      </c>
      <c r="F177" s="8" t="n">
        <v>1.8006</v>
      </c>
      <c r="G177" s="4" t="n">
        <v>332.9288</v>
      </c>
      <c r="H177" s="4" t="n">
        <v>565.8625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2030</v>
      </c>
      <c r="F178" s="8" t="n">
        <v>1.8249</v>
      </c>
      <c r="G178" s="4" t="n">
        <v>345.6576</v>
      </c>
      <c r="H178" s="4" t="n">
        <v>616.2327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2035</v>
      </c>
      <c r="F179" s="8" t="n">
        <v>1.8269</v>
      </c>
      <c r="G179" s="4" t="n">
        <v>337.614</v>
      </c>
      <c r="H179" s="4" t="n">
        <v>624.7885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2035</v>
      </c>
      <c r="F180" s="8" t="n">
        <v>1.745</v>
      </c>
      <c r="G180" s="4" t="n">
        <v>280.7956</v>
      </c>
      <c r="H180" s="4" t="n">
        <v>589.2560999999999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2034</v>
      </c>
      <c r="F181" s="8" t="n">
        <v>1.7596</v>
      </c>
      <c r="G181" s="4" t="n">
        <v>297.6263</v>
      </c>
      <c r="H181" s="4" t="n">
        <v>687.8278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2048</v>
      </c>
      <c r="F182" s="8" t="n">
        <v>2.3668</v>
      </c>
      <c r="G182" s="4" t="n">
        <v>377.615</v>
      </c>
      <c r="H182" s="4" t="n">
        <v>762.0809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2016</v>
      </c>
      <c r="F183" s="8" t="n">
        <v>2.2283</v>
      </c>
      <c r="G183" s="4" t="n">
        <v>355.9638</v>
      </c>
      <c r="H183" s="4" t="n">
        <v>696.5097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2012</v>
      </c>
      <c r="F184" s="8" t="n">
        <v>1.8255</v>
      </c>
      <c r="G184" s="4" t="n">
        <v>338.5019</v>
      </c>
      <c r="H184" s="4" t="n">
        <v>574.6763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2028</v>
      </c>
      <c r="F185" s="8" t="n">
        <v>1.7494</v>
      </c>
      <c r="G185" s="4" t="n">
        <v>313.5853</v>
      </c>
      <c r="H185" s="4" t="n">
        <v>578.8193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2051</v>
      </c>
      <c r="F186" s="8" t="n">
        <v>1.5307</v>
      </c>
      <c r="G186" s="4" t="n">
        <v>270.2659</v>
      </c>
      <c r="H186" s="4" t="n">
        <v>478.7069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2046</v>
      </c>
      <c r="F187" s="8" t="n">
        <v>1.6609</v>
      </c>
      <c r="G187" s="4" t="n">
        <v>276.2921</v>
      </c>
      <c r="H187" s="4" t="n">
        <v>516.1025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2016</v>
      </c>
      <c r="F188" s="8" t="n">
        <v>1.554</v>
      </c>
      <c r="G188" s="4" t="n">
        <v>245.0434</v>
      </c>
      <c r="H188" s="4" t="n">
        <v>511.9902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2017</v>
      </c>
      <c r="F189" s="8" t="n">
        <v>1.6061</v>
      </c>
      <c r="G189" s="4" t="n">
        <v>325.8001</v>
      </c>
      <c r="H189" s="4" t="n">
        <v>550.265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2008</v>
      </c>
      <c r="F190" s="8" t="n">
        <v>1.3428</v>
      </c>
      <c r="G190" s="4" t="n">
        <v>271.0301</v>
      </c>
      <c r="H190" s="4" t="n">
        <v>416.7677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2074</v>
      </c>
      <c r="F191" s="8" t="n">
        <v>1.8621</v>
      </c>
      <c r="G191" s="4" t="n">
        <v>426.006</v>
      </c>
      <c r="H191" s="4" t="n">
        <v>635.3197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2069</v>
      </c>
      <c r="F192" s="8" t="n">
        <v>1.9734</v>
      </c>
      <c r="G192" s="4" t="n">
        <v>378.7934</v>
      </c>
      <c r="H192" s="4" t="n">
        <v>674.2800999999999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2057</v>
      </c>
      <c r="F193" s="8" t="n">
        <v>2.2016</v>
      </c>
      <c r="G193" s="4" t="n">
        <v>428.0178</v>
      </c>
      <c r="H193" s="4" t="n">
        <v>778.3492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2034</v>
      </c>
      <c r="F194" s="8" t="n">
        <v>2.0733</v>
      </c>
      <c r="G194" s="4" t="n">
        <v>396.7661</v>
      </c>
      <c r="H194" s="4" t="n">
        <v>730.7073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2059</v>
      </c>
      <c r="F195" s="8" t="n">
        <v>2.1229</v>
      </c>
      <c r="G195" s="4" t="n">
        <v>381.3287</v>
      </c>
      <c r="H195" s="4" t="n">
        <v>758.7655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2066</v>
      </c>
      <c r="F196" s="8" t="n">
        <v>2.0768</v>
      </c>
      <c r="G196" s="4" t="n">
        <v>329.7958</v>
      </c>
      <c r="H196" s="4" t="n">
        <v>721.4296000000001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2028</v>
      </c>
      <c r="F197" s="8" t="n">
        <v>2.1859</v>
      </c>
      <c r="G197" s="4" t="n">
        <v>424.3136</v>
      </c>
      <c r="H197" s="4" t="n">
        <v>817.7347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2056</v>
      </c>
      <c r="F198" s="8" t="n">
        <v>2.3204</v>
      </c>
      <c r="G198" s="4" t="n">
        <v>452.2333</v>
      </c>
      <c r="H198" s="4" t="n">
        <v>853.3407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2025</v>
      </c>
      <c r="F199" s="8" t="n">
        <v>1.9097</v>
      </c>
      <c r="G199" s="4" t="n">
        <v>294.2675</v>
      </c>
      <c r="H199" s="4" t="n">
        <v>701.9589999999999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2041</v>
      </c>
      <c r="F200" s="8" t="n">
        <v>2.0639</v>
      </c>
      <c r="G200" s="4" t="n">
        <v>463.2287</v>
      </c>
      <c r="H200" s="4" t="n">
        <v>752.2919000000001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2077</v>
      </c>
      <c r="F201" s="8" t="n">
        <v>2.0426</v>
      </c>
      <c r="G201" s="4" t="n">
        <v>344.376</v>
      </c>
      <c r="H201" s="4" t="n">
        <v>727.5839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2035</v>
      </c>
      <c r="F202" s="8" t="n">
        <v>1.6814</v>
      </c>
      <c r="G202" s="4" t="n">
        <v>264.8949</v>
      </c>
      <c r="H202" s="4" t="n">
        <v>617.8723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2030</v>
      </c>
      <c r="F203" s="8" t="n">
        <v>1.8319</v>
      </c>
      <c r="G203" s="4" t="n">
        <v>287.6016</v>
      </c>
      <c r="H203" s="4" t="n">
        <v>655.4702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2040</v>
      </c>
      <c r="F204" s="8" t="n">
        <v>2.1622</v>
      </c>
      <c r="G204" s="4" t="n">
        <v>323.7091</v>
      </c>
      <c r="H204" s="4" t="n">
        <v>809.6242999999999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2034</v>
      </c>
      <c r="F205" s="8" t="n">
        <v>2.3153</v>
      </c>
      <c r="G205" s="4" t="n">
        <v>354.8659</v>
      </c>
      <c r="H205" s="4" t="n">
        <v>835.0590999999999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2034</v>
      </c>
      <c r="F206" s="8" t="n">
        <v>2.1285</v>
      </c>
      <c r="G206" s="4" t="n">
        <v>308.3605</v>
      </c>
      <c r="H206" s="4" t="n">
        <v>740.6265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2012</v>
      </c>
      <c r="F207" s="8" t="n">
        <v>2.1975</v>
      </c>
      <c r="G207" s="4" t="n">
        <v>292.0105</v>
      </c>
      <c r="H207" s="4" t="n">
        <v>709.8635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1999</v>
      </c>
      <c r="F208" s="8" t="n">
        <v>2.0592</v>
      </c>
      <c r="G208" s="4" t="n">
        <v>335.2964</v>
      </c>
      <c r="H208" s="4" t="n">
        <v>712.4161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1996</v>
      </c>
      <c r="F209" s="8" t="n">
        <v>2.2284</v>
      </c>
      <c r="G209" s="4" t="n">
        <v>348.8421</v>
      </c>
      <c r="H209" s="4" t="n">
        <v>844.9874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2034</v>
      </c>
      <c r="F210" s="8" t="n">
        <v>2.4895</v>
      </c>
      <c r="G210" s="4" t="n">
        <v>381.3456</v>
      </c>
      <c r="H210" s="4" t="n">
        <v>875.997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2031</v>
      </c>
      <c r="F211" s="8" t="n">
        <v>2.5319</v>
      </c>
      <c r="G211" s="4" t="n">
        <v>362.4912</v>
      </c>
      <c r="H211" s="4" t="n">
        <v>1004.7044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2018</v>
      </c>
      <c r="F212" s="8" t="n">
        <v>2.4616</v>
      </c>
      <c r="G212" s="4" t="n">
        <v>364.855</v>
      </c>
      <c r="H212" s="4" t="n">
        <v>913.1695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2010</v>
      </c>
      <c r="F213" s="8" t="n">
        <v>2.447</v>
      </c>
      <c r="G213" s="4" t="n">
        <v>400.8555</v>
      </c>
      <c r="H213" s="4" t="n">
        <v>902.876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2010</v>
      </c>
      <c r="F214" s="8" t="n">
        <v>2.4776</v>
      </c>
      <c r="G214" s="4" t="n">
        <v>413.8883</v>
      </c>
      <c r="H214" s="4" t="n">
        <v>953.0963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2066</v>
      </c>
      <c r="F215" s="8" t="n">
        <v>2.3104</v>
      </c>
      <c r="G215" s="4" t="n">
        <v>314.6689</v>
      </c>
      <c r="H215" s="4" t="n">
        <v>770.7885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2045</v>
      </c>
      <c r="F216" s="8" t="n">
        <v>2.2816</v>
      </c>
      <c r="G216" s="4" t="n">
        <v>343.359</v>
      </c>
      <c r="H216" s="4" t="n">
        <v>820.3758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2024</v>
      </c>
      <c r="F217" s="8" t="n">
        <v>2.1289</v>
      </c>
      <c r="G217" s="4" t="n">
        <v>287.6277</v>
      </c>
      <c r="H217" s="4" t="n">
        <v>788.5808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2044</v>
      </c>
      <c r="F218" s="8" t="n">
        <v>1.9765</v>
      </c>
      <c r="G218" s="4" t="n">
        <v>292.6754</v>
      </c>
      <c r="H218" s="4" t="n">
        <v>667.9783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2011</v>
      </c>
      <c r="F219" s="8" t="n">
        <v>2.0789</v>
      </c>
      <c r="G219" s="4" t="n">
        <v>300.7416</v>
      </c>
      <c r="H219" s="4" t="n">
        <v>728.62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2055</v>
      </c>
      <c r="F220" s="8" t="n">
        <v>2.0228</v>
      </c>
      <c r="G220" s="4" t="n">
        <v>273.1291</v>
      </c>
      <c r="H220" s="4" t="n">
        <v>687.7915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2026</v>
      </c>
      <c r="F221" s="8" t="n">
        <v>2.1374</v>
      </c>
      <c r="G221" s="4" t="n">
        <v>334.5101</v>
      </c>
      <c r="H221" s="4" t="n">
        <v>769.6481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2022</v>
      </c>
      <c r="F222" s="8" t="n">
        <v>2.1518</v>
      </c>
      <c r="G222" s="4" t="n">
        <v>398.9134</v>
      </c>
      <c r="H222" s="4" t="n">
        <v>770.3997000000001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2022</v>
      </c>
      <c r="F223" s="8" t="n">
        <v>2.3854</v>
      </c>
      <c r="G223" s="4" t="n">
        <v>446.3054</v>
      </c>
      <c r="H223" s="4" t="n">
        <v>818.2465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2014</v>
      </c>
      <c r="F224" s="8" t="n">
        <v>2.4917</v>
      </c>
      <c r="G224" s="4" t="n">
        <v>473.9443</v>
      </c>
      <c r="H224" s="4" t="n">
        <v>840.0248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2038</v>
      </c>
      <c r="F225" s="8" t="n">
        <v>2.3137</v>
      </c>
      <c r="G225" s="4" t="n">
        <v>329.7111</v>
      </c>
      <c r="H225" s="4" t="n">
        <v>744.7334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2011</v>
      </c>
      <c r="F226" s="8" t="n">
        <v>2.2047</v>
      </c>
      <c r="G226" s="4" t="n">
        <v>336.115</v>
      </c>
      <c r="H226" s="4" t="n">
        <v>758.9883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1922</v>
      </c>
      <c r="F227" s="8" t="n">
        <v>1.3717</v>
      </c>
      <c r="G227" s="4" t="n">
        <v>222.6334</v>
      </c>
      <c r="H227" s="4" t="n">
        <v>457.9716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2026</v>
      </c>
      <c r="F228" s="8" t="n">
        <v>2.3614</v>
      </c>
      <c r="G228" s="4" t="n">
        <v>388.1351</v>
      </c>
      <c r="H228" s="4" t="n">
        <v>843.0428000000001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2039</v>
      </c>
      <c r="F229" s="8" t="n">
        <v>2.9542</v>
      </c>
      <c r="G229" s="4" t="n">
        <v>500.2324</v>
      </c>
      <c r="H229" s="4" t="n">
        <v>1157.603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2077</v>
      </c>
      <c r="F230" s="8" t="n">
        <v>2.1611</v>
      </c>
      <c r="G230" s="4" t="n">
        <v>358.3765</v>
      </c>
      <c r="H230" s="4" t="n">
        <v>669.2992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2011</v>
      </c>
      <c r="F231" s="8" t="n">
        <v>2.3572</v>
      </c>
      <c r="G231" s="4" t="n">
        <v>385.8794</v>
      </c>
      <c r="H231" s="4" t="n">
        <v>746.4633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2033</v>
      </c>
      <c r="F232" s="8" t="n">
        <v>2.3718</v>
      </c>
      <c r="G232" s="4" t="n">
        <v>386.5755</v>
      </c>
      <c r="H232" s="4" t="n">
        <v>794.9363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2033</v>
      </c>
      <c r="F233" s="8" t="n">
        <v>2.3451</v>
      </c>
      <c r="G233" s="4" t="n">
        <v>406.6192</v>
      </c>
      <c r="H233" s="4" t="n">
        <v>809.1364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2038</v>
      </c>
      <c r="F234" s="8" t="n">
        <v>2.3657</v>
      </c>
      <c r="G234" s="4" t="n">
        <v>361.8318</v>
      </c>
      <c r="H234" s="4" t="n">
        <v>771.7199000000001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2079</v>
      </c>
      <c r="F235" s="8" t="n">
        <v>1.9639</v>
      </c>
      <c r="G235" s="4" t="n">
        <v>287.9925</v>
      </c>
      <c r="H235" s="4" t="n">
        <v>604.4589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2032</v>
      </c>
      <c r="F236" s="8" t="n">
        <v>2.0781</v>
      </c>
      <c r="G236" s="4" t="n">
        <v>332.0076</v>
      </c>
      <c r="H236" s="4" t="n">
        <v>707.8175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2038</v>
      </c>
      <c r="F237" s="8" t="n">
        <v>1.7561</v>
      </c>
      <c r="G237" s="4" t="n">
        <v>254.5107</v>
      </c>
      <c r="H237" s="4" t="n">
        <v>543.9169000000001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2045</v>
      </c>
      <c r="F238" s="8" t="n">
        <v>2.1813</v>
      </c>
      <c r="G238" s="4" t="n">
        <v>327.6</v>
      </c>
      <c r="H238" s="4" t="n">
        <v>672.5696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2084</v>
      </c>
      <c r="F239" s="8" t="n">
        <v>2.0213</v>
      </c>
      <c r="G239" s="4" t="n">
        <v>282.2678</v>
      </c>
      <c r="H239" s="4" t="n">
        <v>600.043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2038</v>
      </c>
      <c r="F240" s="8" t="n">
        <v>1.8853</v>
      </c>
      <c r="G240" s="4" t="n">
        <v>257.2535</v>
      </c>
      <c r="H240" s="4" t="n">
        <v>589.972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2030</v>
      </c>
      <c r="F241" s="8" t="n">
        <v>1.8879</v>
      </c>
      <c r="G241" s="4" t="n">
        <v>257.5664</v>
      </c>
      <c r="H241" s="4" t="n">
        <v>594.7213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2053</v>
      </c>
      <c r="F242" s="8" t="n">
        <v>2.0502</v>
      </c>
      <c r="G242" s="4" t="n">
        <v>292.6835</v>
      </c>
      <c r="H242" s="4" t="n">
        <v>634.5914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2021</v>
      </c>
      <c r="F243" s="8" t="n">
        <v>2.4251</v>
      </c>
      <c r="G243" s="4" t="n">
        <v>386.5063</v>
      </c>
      <c r="H243" s="4" t="n">
        <v>939.1683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2075</v>
      </c>
      <c r="F244" s="8" t="n">
        <v>1.8375</v>
      </c>
      <c r="G244" s="4" t="n">
        <v>236.1037</v>
      </c>
      <c r="H244" s="4" t="n">
        <v>578.6034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2033</v>
      </c>
      <c r="F245" s="8" t="n">
        <v>1.8605</v>
      </c>
      <c r="G245" s="4" t="n">
        <v>237.9711</v>
      </c>
      <c r="H245" s="4" t="n">
        <v>617.3324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2014</v>
      </c>
      <c r="F246" s="8" t="n">
        <v>1.8877</v>
      </c>
      <c r="G246" s="4" t="n">
        <v>252.6407</v>
      </c>
      <c r="H246" s="4" t="n">
        <v>581.9623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2040</v>
      </c>
      <c r="F247" s="8" t="n">
        <v>2.2303</v>
      </c>
      <c r="G247" s="4" t="n">
        <v>340.0273</v>
      </c>
      <c r="H247" s="4" t="n">
        <v>697.7795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2025</v>
      </c>
      <c r="F248" s="8" t="n">
        <v>1.8532</v>
      </c>
      <c r="G248" s="4" t="n">
        <v>281.9646</v>
      </c>
      <c r="H248" s="4" t="n">
        <v>582.4482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2067</v>
      </c>
      <c r="F249" s="8" t="n">
        <v>1.9846</v>
      </c>
      <c r="G249" s="4" t="n">
        <v>283.6368</v>
      </c>
      <c r="H249" s="4" t="n">
        <v>684.7443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2019</v>
      </c>
      <c r="F250" s="8" t="n">
        <v>1.7525</v>
      </c>
      <c r="G250" s="4" t="n">
        <v>244.802</v>
      </c>
      <c r="H250" s="4" t="n">
        <v>567.784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2012</v>
      </c>
      <c r="F251" s="8" t="n">
        <v>1.727</v>
      </c>
      <c r="G251" s="4" t="n">
        <v>254.6855</v>
      </c>
      <c r="H251" s="4" t="n">
        <v>587.6550999999999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2085</v>
      </c>
      <c r="F252" s="8" t="n">
        <v>1.9928</v>
      </c>
      <c r="G252" s="4" t="n">
        <v>262.875</v>
      </c>
      <c r="H252" s="4" t="n">
        <v>651.6913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2014</v>
      </c>
      <c r="F253" s="8" t="n">
        <v>1.8771</v>
      </c>
      <c r="G253" s="4" t="n">
        <v>246.6121</v>
      </c>
      <c r="H253" s="4" t="n">
        <v>647.2332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2034</v>
      </c>
      <c r="F254" s="8" t="n">
        <v>2.026</v>
      </c>
      <c r="G254" s="4" t="n">
        <v>243.4472</v>
      </c>
      <c r="H254" s="4" t="n">
        <v>723.5005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2052</v>
      </c>
      <c r="F255" s="8" t="n">
        <v>2.072</v>
      </c>
      <c r="G255" s="4" t="n">
        <v>277.663</v>
      </c>
      <c r="H255" s="4" t="n">
        <v>716.6535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2023</v>
      </c>
      <c r="F256" s="8" t="n">
        <v>2.0306</v>
      </c>
      <c r="G256" s="4" t="n">
        <v>265.7065</v>
      </c>
      <c r="H256" s="4" t="n">
        <v>706.164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2077</v>
      </c>
      <c r="F257" s="8" t="n">
        <v>2.7136</v>
      </c>
      <c r="G257" s="4" t="n">
        <v>348.8681</v>
      </c>
      <c r="H257" s="4" t="n">
        <v>840.2872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2005</v>
      </c>
      <c r="F258" s="8" t="n">
        <v>2.0807</v>
      </c>
      <c r="G258" s="4" t="n">
        <v>277.2498</v>
      </c>
      <c r="H258" s="4" t="n">
        <v>726.7581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2015</v>
      </c>
      <c r="F259" s="8" t="n">
        <v>2.0354</v>
      </c>
      <c r="G259" s="4" t="n">
        <v>254.8489</v>
      </c>
      <c r="H259" s="4" t="n">
        <v>705.3302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2008</v>
      </c>
      <c r="F260" s="8" t="n">
        <v>1.8586</v>
      </c>
      <c r="G260" s="4" t="n">
        <v>226.3984</v>
      </c>
      <c r="H260" s="4" t="n">
        <v>660.9179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2054</v>
      </c>
      <c r="F261" s="8" t="n">
        <v>2.1671</v>
      </c>
      <c r="G261" s="4" t="n">
        <v>245.9331</v>
      </c>
      <c r="H261" s="4" t="n">
        <v>681.0317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2023</v>
      </c>
      <c r="F262" s="8" t="n">
        <v>1.965</v>
      </c>
      <c r="G262" s="4" t="n">
        <v>237.7658</v>
      </c>
      <c r="H262" s="4" t="n">
        <v>699.3932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2021</v>
      </c>
      <c r="F263" s="8" t="n">
        <v>2.0926</v>
      </c>
      <c r="G263" s="4" t="n">
        <v>252.0814</v>
      </c>
      <c r="H263" s="4" t="n">
        <v>707.5149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2010</v>
      </c>
      <c r="F264" s="8" t="n">
        <v>1.9551</v>
      </c>
      <c r="G264" s="4" t="n">
        <v>252.4968</v>
      </c>
      <c r="H264" s="4" t="n">
        <v>655.4515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2052</v>
      </c>
      <c r="F265" s="8" t="n">
        <v>1.7948</v>
      </c>
      <c r="G265" s="4" t="n">
        <v>228.1212</v>
      </c>
      <c r="H265" s="4" t="n">
        <v>641.6893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2011</v>
      </c>
      <c r="F266" s="8" t="n">
        <v>1.8911</v>
      </c>
      <c r="G266" s="4" t="n">
        <v>247.6835</v>
      </c>
      <c r="H266" s="4" t="n">
        <v>652.2544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2025</v>
      </c>
      <c r="F267" s="8" t="n">
        <v>2.028</v>
      </c>
      <c r="G267" s="4" t="n">
        <v>258.1918</v>
      </c>
      <c r="H267" s="4" t="n">
        <v>741.5925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2019</v>
      </c>
      <c r="F268" s="8" t="n">
        <v>2.0049</v>
      </c>
      <c r="G268" s="4" t="n">
        <v>292.6829</v>
      </c>
      <c r="H268" s="4" t="n">
        <v>758.0728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2000</v>
      </c>
      <c r="F269" s="8" t="n">
        <v>2.1914</v>
      </c>
      <c r="G269" s="4" t="n">
        <v>335.1538</v>
      </c>
      <c r="H269" s="4" t="n">
        <v>803.6763999999999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2069</v>
      </c>
      <c r="F270" s="8" t="n">
        <v>2.1099</v>
      </c>
      <c r="G270" s="4" t="n">
        <v>326.3414</v>
      </c>
      <c r="H270" s="4" t="n">
        <v>707.8243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2022</v>
      </c>
      <c r="F271" s="8" t="n">
        <v>2.3098</v>
      </c>
      <c r="G271" s="4" t="n">
        <v>410.0966</v>
      </c>
      <c r="H271" s="4" t="n">
        <v>788.8909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2003</v>
      </c>
      <c r="F272" s="8" t="n">
        <v>1.9788</v>
      </c>
      <c r="G272" s="4" t="n">
        <v>282.8637</v>
      </c>
      <c r="H272" s="4" t="n">
        <v>696.7243999999999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2001</v>
      </c>
      <c r="F273" s="8" t="n">
        <v>2.0975</v>
      </c>
      <c r="G273" s="4" t="n">
        <v>304.326</v>
      </c>
      <c r="H273" s="4" t="n">
        <v>728.4101000000001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2034</v>
      </c>
      <c r="F274" s="8" t="n">
        <v>2.1561</v>
      </c>
      <c r="G274" s="4" t="n">
        <v>352.24</v>
      </c>
      <c r="H274" s="4" t="n">
        <v>761.7913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2095</v>
      </c>
      <c r="F275" s="8" t="n">
        <v>2.4303</v>
      </c>
      <c r="G275" s="4" t="n">
        <v>408.1109</v>
      </c>
      <c r="H275" s="4" t="n">
        <v>793.937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2039</v>
      </c>
      <c r="F276" s="8" t="n">
        <v>2.5558</v>
      </c>
      <c r="G276" s="4" t="n">
        <v>498.5222</v>
      </c>
      <c r="H276" s="4" t="n">
        <v>821.0208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2048</v>
      </c>
      <c r="F277" s="8" t="n">
        <v>2.6869</v>
      </c>
      <c r="G277" s="4" t="n">
        <v>562.0363</v>
      </c>
      <c r="H277" s="4" t="n">
        <v>851.9768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2067</v>
      </c>
      <c r="F278" s="8" t="n">
        <v>2.6231</v>
      </c>
      <c r="G278" s="4" t="n">
        <v>413.364</v>
      </c>
      <c r="H278" s="4" t="n">
        <v>852.5419000000001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2095</v>
      </c>
      <c r="F279" s="8" t="n">
        <v>2.3301</v>
      </c>
      <c r="G279" s="4" t="n">
        <v>329.263</v>
      </c>
      <c r="H279" s="4" t="n">
        <v>760.4471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2043</v>
      </c>
      <c r="F280" s="8" t="n">
        <v>2.3773</v>
      </c>
      <c r="G280" s="4" t="n">
        <v>336.7245</v>
      </c>
      <c r="H280" s="4" t="n">
        <v>803.0563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2038</v>
      </c>
      <c r="F281" s="8" t="n">
        <v>2.2676</v>
      </c>
      <c r="G281" s="4" t="n">
        <v>341.7412</v>
      </c>
      <c r="H281" s="4" t="n">
        <v>747.1051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2035</v>
      </c>
      <c r="F282" s="8" t="n">
        <v>2.2558</v>
      </c>
      <c r="G282" s="4" t="n">
        <v>348.9051</v>
      </c>
      <c r="H282" s="4" t="n">
        <v>726.8803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2050</v>
      </c>
      <c r="F283" s="8" t="n">
        <v>2.2929</v>
      </c>
      <c r="G283" s="4" t="n">
        <v>349.7144</v>
      </c>
      <c r="H283" s="4" t="n">
        <v>759.6263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2093</v>
      </c>
      <c r="F284" s="8" t="n">
        <v>2.4072</v>
      </c>
      <c r="G284" s="4" t="n">
        <v>382.2296</v>
      </c>
      <c r="H284" s="4" t="n">
        <v>781.1231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2057</v>
      </c>
      <c r="F285" s="8" t="n">
        <v>2.3681</v>
      </c>
      <c r="G285" s="4" t="n">
        <v>356.5212</v>
      </c>
      <c r="H285" s="4" t="n">
        <v>735.0001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2056</v>
      </c>
      <c r="F286" s="8" t="n">
        <v>2.2452</v>
      </c>
      <c r="G286" s="4" t="n">
        <v>354.7497</v>
      </c>
      <c r="H286" s="4" t="n">
        <v>690.5538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2040</v>
      </c>
      <c r="F287" s="8" t="n">
        <v>2.6182</v>
      </c>
      <c r="G287" s="4" t="n">
        <v>464.6869</v>
      </c>
      <c r="H287" s="4" t="n">
        <v>1207.6322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2052</v>
      </c>
      <c r="F288" s="8" t="n">
        <v>2.2869</v>
      </c>
      <c r="G288" s="4" t="n">
        <v>385.6248</v>
      </c>
      <c r="H288" s="4" t="n">
        <v>741.2486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2097</v>
      </c>
      <c r="F289" s="8" t="n">
        <v>2.2611</v>
      </c>
      <c r="G289" s="4" t="n">
        <v>335.3156</v>
      </c>
      <c r="H289" s="4" t="n">
        <v>723.3630000000001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2043</v>
      </c>
      <c r="F290" s="8" t="n">
        <v>2.144</v>
      </c>
      <c r="G290" s="4" t="n">
        <v>305.5161</v>
      </c>
      <c r="H290" s="4" t="n">
        <v>641.764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2033</v>
      </c>
      <c r="F291" s="8" t="n">
        <v>2.2219</v>
      </c>
      <c r="G291" s="4" t="n">
        <v>364.9218</v>
      </c>
      <c r="H291" s="4" t="n">
        <v>743.533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2056</v>
      </c>
      <c r="F292" s="8" t="n">
        <v>2.3317</v>
      </c>
      <c r="G292" s="4" t="n">
        <v>375.4605</v>
      </c>
      <c r="H292" s="4" t="n">
        <v>747.0468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2070</v>
      </c>
      <c r="F293" s="8" t="n">
        <v>2.3483</v>
      </c>
      <c r="G293" s="4" t="n">
        <v>420.9647</v>
      </c>
      <c r="H293" s="4" t="n">
        <v>754.116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2131</v>
      </c>
      <c r="F294" s="8" t="n">
        <v>2.5559</v>
      </c>
      <c r="G294" s="4" t="n">
        <v>478.5629</v>
      </c>
      <c r="H294" s="4" t="n">
        <v>800.6641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2044</v>
      </c>
      <c r="F295" s="8" t="n">
        <v>2.5562</v>
      </c>
      <c r="G295" s="4" t="n">
        <v>425.2077</v>
      </c>
      <c r="H295" s="4" t="n">
        <v>780.4921000000001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2053</v>
      </c>
      <c r="F296" s="8" t="n">
        <v>2.8686</v>
      </c>
      <c r="G296" s="4" t="n">
        <v>521.5907999999999</v>
      </c>
      <c r="H296" s="4" t="n">
        <v>887.3971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2074</v>
      </c>
      <c r="F297" s="8" t="n">
        <v>2.2181</v>
      </c>
      <c r="G297" s="4" t="n">
        <v>383.386</v>
      </c>
      <c r="H297" s="4" t="n">
        <v>698.9233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2064</v>
      </c>
      <c r="F298" s="8" t="n">
        <v>2.3255</v>
      </c>
      <c r="G298" s="4" t="n">
        <v>468.0285</v>
      </c>
      <c r="H298" s="4" t="n">
        <v>717.5153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2108</v>
      </c>
      <c r="F299" s="8" t="n">
        <v>2.5328</v>
      </c>
      <c r="G299" s="4" t="n">
        <v>457.6596</v>
      </c>
      <c r="H299" s="4" t="n">
        <v>779.8766000000001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2072</v>
      </c>
      <c r="F300" s="8" t="n">
        <v>2.2699</v>
      </c>
      <c r="G300" s="4" t="n">
        <v>344.1791</v>
      </c>
      <c r="H300" s="4" t="n">
        <v>671.2352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2075</v>
      </c>
      <c r="F301" s="8" t="n">
        <v>2.2828</v>
      </c>
      <c r="G301" s="4" t="n">
        <v>370.6163</v>
      </c>
      <c r="H301" s="4" t="n">
        <v>671.3261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2068</v>
      </c>
      <c r="F302" s="8" t="n">
        <v>2.4365</v>
      </c>
      <c r="G302" s="4" t="n">
        <v>328.9511</v>
      </c>
      <c r="H302" s="4" t="n">
        <v>714.5587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2070</v>
      </c>
      <c r="F303" s="8" t="n">
        <v>2.8557</v>
      </c>
      <c r="G303" s="4" t="n">
        <v>567.0921</v>
      </c>
      <c r="H303" s="4" t="n">
        <v>971.5585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2096</v>
      </c>
      <c r="F304" s="8" t="n">
        <v>2.1704</v>
      </c>
      <c r="G304" s="4" t="n">
        <v>379.1239</v>
      </c>
      <c r="H304" s="4" t="n">
        <v>608.128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2068</v>
      </c>
      <c r="F305" s="8" t="n">
        <v>2.224</v>
      </c>
      <c r="G305" s="4" t="n">
        <v>388.4201</v>
      </c>
      <c r="H305" s="4" t="n">
        <v>649.5632000000001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2052</v>
      </c>
      <c r="F306" s="8" t="n">
        <v>2.1591</v>
      </c>
      <c r="G306" s="4" t="n">
        <v>392.8633</v>
      </c>
      <c r="H306" s="4" t="n">
        <v>640.391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2035</v>
      </c>
      <c r="F307" s="8" t="n">
        <v>2.0257</v>
      </c>
      <c r="G307" s="4" t="n">
        <v>309.9345</v>
      </c>
      <c r="H307" s="4" t="n">
        <v>635.4348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2045</v>
      </c>
      <c r="F308" s="8" t="n">
        <v>2.0117</v>
      </c>
      <c r="G308" s="4" t="n">
        <v>329.2473</v>
      </c>
      <c r="H308" s="4" t="n">
        <v>635.8153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2089</v>
      </c>
      <c r="F309" s="8" t="n">
        <v>2.0447</v>
      </c>
      <c r="G309" s="4" t="n">
        <v>348.5951</v>
      </c>
      <c r="H309" s="4" t="n">
        <v>581.4964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2057</v>
      </c>
      <c r="F310" s="8" t="n">
        <v>2.0581</v>
      </c>
      <c r="G310" s="4" t="n">
        <v>353.9212</v>
      </c>
      <c r="H310" s="4" t="n">
        <v>631.1433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2055</v>
      </c>
      <c r="F311" s="8" t="n">
        <v>2.0869</v>
      </c>
      <c r="G311" s="4" t="n">
        <v>327.514</v>
      </c>
      <c r="H311" s="4" t="n">
        <v>584.9585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2053</v>
      </c>
      <c r="F312" s="8" t="n">
        <v>1.8728</v>
      </c>
      <c r="G312" s="4" t="n">
        <v>292.523</v>
      </c>
      <c r="H312" s="4" t="n">
        <v>531.0632000000001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2034</v>
      </c>
      <c r="F313" s="8" t="n">
        <v>2.0739</v>
      </c>
      <c r="G313" s="4" t="n">
        <v>302.105</v>
      </c>
      <c r="H313" s="4" t="n">
        <v>599.6421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2112</v>
      </c>
      <c r="F314" s="8" t="n">
        <v>2.1053</v>
      </c>
      <c r="G314" s="4" t="n">
        <v>312.0606</v>
      </c>
      <c r="H314" s="4" t="n">
        <v>580.399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2050</v>
      </c>
      <c r="F315" s="8" t="n">
        <v>2.327</v>
      </c>
      <c r="G315" s="4" t="n">
        <v>356.4392</v>
      </c>
      <c r="H315" s="4" t="n">
        <v>677.4959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2051</v>
      </c>
      <c r="F316" s="8" t="n">
        <v>2.0639</v>
      </c>
      <c r="G316" s="4" t="n">
        <v>292.6105</v>
      </c>
      <c r="H316" s="4" t="n">
        <v>589.415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2048</v>
      </c>
      <c r="F317" s="8" t="n">
        <v>2.0286</v>
      </c>
      <c r="G317" s="4" t="n">
        <v>289.3332</v>
      </c>
      <c r="H317" s="4" t="n">
        <v>560.3999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2033</v>
      </c>
      <c r="F318" s="8" t="n">
        <v>1.8551</v>
      </c>
      <c r="G318" s="4" t="n">
        <v>263.8011</v>
      </c>
      <c r="H318" s="4" t="n">
        <v>523.1255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2103</v>
      </c>
      <c r="F319" s="8" t="n">
        <v>2.0272</v>
      </c>
      <c r="G319" s="4" t="n">
        <v>300.4702</v>
      </c>
      <c r="H319" s="4" t="n">
        <v>557.5273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2056</v>
      </c>
      <c r="F320" s="8" t="n">
        <v>2.0853</v>
      </c>
      <c r="G320" s="4" t="n">
        <v>266.1353</v>
      </c>
      <c r="H320" s="4" t="n">
        <v>558.4614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2058</v>
      </c>
      <c r="F321" s="8" t="n">
        <v>2.0439</v>
      </c>
      <c r="G321" s="4" t="n">
        <v>231.8773</v>
      </c>
      <c r="H321" s="4" t="n">
        <v>579.7025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2069</v>
      </c>
      <c r="F322" s="8" t="n">
        <v>2.1793</v>
      </c>
      <c r="G322" s="4" t="n">
        <v>252.2363</v>
      </c>
      <c r="H322" s="4" t="n">
        <v>620.1372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2054</v>
      </c>
      <c r="F323" s="8" t="n">
        <v>2.1599</v>
      </c>
      <c r="G323" s="4" t="n">
        <v>291.8272</v>
      </c>
      <c r="H323" s="4" t="n">
        <v>631.7756000000001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2109</v>
      </c>
      <c r="F324" s="8" t="n">
        <v>2.3569</v>
      </c>
      <c r="G324" s="4" t="n">
        <v>342.6494</v>
      </c>
      <c r="H324" s="4" t="n">
        <v>659.2166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2065</v>
      </c>
      <c r="F325" s="8" t="n">
        <v>2.3792</v>
      </c>
      <c r="G325" s="4" t="n">
        <v>273.7542</v>
      </c>
      <c r="H325" s="4" t="n">
        <v>639.4035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2064</v>
      </c>
      <c r="F326" s="8" t="n">
        <v>2.2549</v>
      </c>
      <c r="G326" s="4" t="n">
        <v>300.9811</v>
      </c>
      <c r="H326" s="4" t="n">
        <v>659.2954999999999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2074</v>
      </c>
      <c r="F327" s="8" t="n">
        <v>2.3081</v>
      </c>
      <c r="G327" s="4" t="n">
        <v>409.852</v>
      </c>
      <c r="H327" s="4" t="n">
        <v>680.2982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2112</v>
      </c>
      <c r="F328" s="8" t="n">
        <v>2.2351</v>
      </c>
      <c r="G328" s="4" t="n">
        <v>300.8804</v>
      </c>
      <c r="H328" s="4" t="n">
        <v>615.2848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2084</v>
      </c>
      <c r="F329" s="8" t="n">
        <v>2.3575</v>
      </c>
      <c r="G329" s="4" t="n">
        <v>304.4153</v>
      </c>
      <c r="H329" s="4" t="n">
        <v>707.1132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2045</v>
      </c>
      <c r="F330" s="8" t="n">
        <v>2.3752</v>
      </c>
      <c r="G330" s="4" t="n">
        <v>311.5704</v>
      </c>
      <c r="H330" s="4" t="n">
        <v>676.2551999999999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2057</v>
      </c>
      <c r="F331" s="8" t="n">
        <v>2.402</v>
      </c>
      <c r="G331" s="4" t="n">
        <v>309.228</v>
      </c>
      <c r="H331" s="4" t="n">
        <v>743.5647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2039</v>
      </c>
      <c r="F332" s="8" t="n">
        <v>2.4018</v>
      </c>
      <c r="G332" s="4" t="n">
        <v>311.1503</v>
      </c>
      <c r="H332" s="4" t="n">
        <v>767.583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2114</v>
      </c>
      <c r="F333" s="8" t="n">
        <v>2.306</v>
      </c>
      <c r="G333" s="4" t="n">
        <v>299.4459</v>
      </c>
      <c r="H333" s="4" t="n">
        <v>668.4895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2081</v>
      </c>
      <c r="F334" s="8" t="n">
        <v>2.2973</v>
      </c>
      <c r="G334" s="4" t="n">
        <v>330.0551</v>
      </c>
      <c r="H334" s="4" t="n">
        <v>690.3068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2057</v>
      </c>
      <c r="F335" s="8" t="n">
        <v>2.3346</v>
      </c>
      <c r="G335" s="4" t="n">
        <v>406.7662</v>
      </c>
      <c r="H335" s="4" t="n">
        <v>766.9369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2072</v>
      </c>
      <c r="F336" s="8" t="n">
        <v>2.1881</v>
      </c>
      <c r="G336" s="4" t="n">
        <v>466.3833</v>
      </c>
      <c r="H336" s="4" t="n">
        <v>678.9252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2052</v>
      </c>
      <c r="F337" s="8" t="n">
        <v>1.9825</v>
      </c>
      <c r="G337" s="4" t="n">
        <v>357.5256</v>
      </c>
      <c r="H337" s="4" t="n">
        <v>636.044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2113</v>
      </c>
      <c r="F338" s="8" t="n">
        <v>2.0235</v>
      </c>
      <c r="G338" s="4" t="n">
        <v>315.7814</v>
      </c>
      <c r="H338" s="4" t="n">
        <v>572.4358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2069</v>
      </c>
      <c r="F339" s="8" t="n">
        <v>2.2685</v>
      </c>
      <c r="G339" s="4" t="n">
        <v>267.9963</v>
      </c>
      <c r="H339" s="4" t="n">
        <v>630.684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2065</v>
      </c>
      <c r="F340" s="8" t="n">
        <v>2.4127</v>
      </c>
      <c r="G340" s="4" t="n">
        <v>281.1871</v>
      </c>
      <c r="H340" s="4" t="n">
        <v>638.5753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2062</v>
      </c>
      <c r="F341" s="8" t="n">
        <v>1.9907</v>
      </c>
      <c r="G341" s="4" t="n">
        <v>230.3409</v>
      </c>
      <c r="H341" s="4" t="n">
        <v>559.8922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2053</v>
      </c>
      <c r="F342" s="8" t="n">
        <v>2.103</v>
      </c>
      <c r="G342" s="4" t="n">
        <v>218.6046</v>
      </c>
      <c r="H342" s="4" t="n">
        <v>615.4287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2091</v>
      </c>
      <c r="F343" s="8" t="n">
        <v>1.986</v>
      </c>
      <c r="G343" s="4" t="n">
        <v>219.1914</v>
      </c>
      <c r="H343" s="4" t="n">
        <v>543.064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2054</v>
      </c>
      <c r="F344" s="8" t="n">
        <v>2.1522</v>
      </c>
      <c r="G344" s="4" t="n">
        <v>214.5929</v>
      </c>
      <c r="H344" s="4" t="n">
        <v>644.4985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2068</v>
      </c>
      <c r="F345" s="8" t="n">
        <v>1.9998</v>
      </c>
      <c r="G345" s="4" t="n">
        <v>234.363</v>
      </c>
      <c r="H345" s="4" t="n">
        <v>587.1515000000001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2076</v>
      </c>
      <c r="F346" s="8" t="n">
        <v>2.456</v>
      </c>
      <c r="G346" s="4" t="n">
        <v>246.481</v>
      </c>
      <c r="H346" s="4" t="n">
        <v>693.2465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2129</v>
      </c>
      <c r="F347" s="8" t="n">
        <v>2.3324</v>
      </c>
      <c r="G347" s="4" t="n">
        <v>281.5973</v>
      </c>
      <c r="H347" s="4" t="n">
        <v>633.9228000000001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2059</v>
      </c>
      <c r="F348" s="8" t="n">
        <v>2.1446</v>
      </c>
      <c r="G348" s="4" t="n">
        <v>228.0631</v>
      </c>
      <c r="H348" s="4" t="n">
        <v>610.9842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2061</v>
      </c>
      <c r="F349" s="8" t="n">
        <v>1.8359</v>
      </c>
      <c r="G349" s="4" t="n">
        <v>192.3097</v>
      </c>
      <c r="H349" s="4" t="n">
        <v>539.2224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2074</v>
      </c>
      <c r="F350" s="8" t="n">
        <v>1.774</v>
      </c>
      <c r="G350" s="4" t="n">
        <v>196.9532</v>
      </c>
      <c r="H350" s="4" t="n">
        <v>537.4687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2078</v>
      </c>
      <c r="F351" s="8" t="n">
        <v>1.7463</v>
      </c>
      <c r="G351" s="4" t="n">
        <v>188.5713</v>
      </c>
      <c r="H351" s="4" t="n">
        <v>533.4706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2128</v>
      </c>
      <c r="F352" s="8" t="n">
        <v>1.9662</v>
      </c>
      <c r="G352" s="4" t="n">
        <v>198.6047</v>
      </c>
      <c r="H352" s="4" t="n">
        <v>604.5478000000001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2083</v>
      </c>
      <c r="F353" s="8" t="n">
        <v>2.1015</v>
      </c>
      <c r="G353" s="4" t="n">
        <v>244.3612</v>
      </c>
      <c r="H353" s="4" t="n">
        <v>828.6149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2068</v>
      </c>
      <c r="F354" s="8" t="n">
        <v>2.0723</v>
      </c>
      <c r="G354" s="4" t="n">
        <v>232.7807</v>
      </c>
      <c r="H354" s="4" t="n">
        <v>642.2835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2076</v>
      </c>
      <c r="F355" s="8" t="n">
        <v>2.084</v>
      </c>
      <c r="G355" s="4" t="n">
        <v>270.5524</v>
      </c>
      <c r="H355" s="4" t="n">
        <v>615.8184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2067</v>
      </c>
      <c r="F356" s="8" t="n">
        <v>2.1393</v>
      </c>
      <c r="G356" s="4" t="n">
        <v>306.5778</v>
      </c>
      <c r="H356" s="4" t="n">
        <v>636.8865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2130</v>
      </c>
      <c r="F357" s="8" t="n">
        <v>1.9131</v>
      </c>
      <c r="G357" s="4" t="n">
        <v>220.3611</v>
      </c>
      <c r="H357" s="4" t="n">
        <v>562.722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2076</v>
      </c>
      <c r="F358" s="8" t="n">
        <v>1.9484</v>
      </c>
      <c r="G358" s="4" t="n">
        <v>286.2001</v>
      </c>
      <c r="H358" s="4" t="n">
        <v>576.2521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2083</v>
      </c>
      <c r="F359" s="8" t="n">
        <v>1.9438</v>
      </c>
      <c r="G359" s="4" t="n">
        <v>319.326</v>
      </c>
      <c r="H359" s="4" t="n">
        <v>596.9114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2082</v>
      </c>
      <c r="F360" s="8" t="n">
        <v>1.7435</v>
      </c>
      <c r="G360" s="4" t="n">
        <v>236.8185</v>
      </c>
      <c r="H360" s="4" t="n">
        <v>498.0353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2129</v>
      </c>
      <c r="F361" s="8" t="n">
        <v>1.9399</v>
      </c>
      <c r="G361" s="4" t="n">
        <v>220.1209</v>
      </c>
      <c r="H361" s="4" t="n">
        <v>525.1126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2098</v>
      </c>
      <c r="F362" s="8" t="n">
        <v>2.2078</v>
      </c>
      <c r="G362" s="4" t="n">
        <v>376.7596</v>
      </c>
      <c r="H362" s="4" t="n">
        <v>673.8392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2101</v>
      </c>
      <c r="F363" s="8" t="n">
        <v>2.3477</v>
      </c>
      <c r="G363" s="4" t="n">
        <v>390.9825</v>
      </c>
      <c r="H363" s="4" t="n">
        <v>742.3791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2093</v>
      </c>
      <c r="F364" s="8" t="n">
        <v>2.4314</v>
      </c>
      <c r="G364" s="4" t="n">
        <v>609.2396</v>
      </c>
      <c r="H364" s="4" t="n">
        <v>758.7735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2090</v>
      </c>
      <c r="F365" s="8" t="n">
        <v>2.7145</v>
      </c>
      <c r="G365" s="4" t="n">
        <v>516.0561</v>
      </c>
      <c r="H365" s="4" t="n">
        <v>1053.8846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2139</v>
      </c>
      <c r="F366" s="8" t="n">
        <v>2.2708</v>
      </c>
      <c r="G366" s="4" t="n">
        <v>307.669</v>
      </c>
      <c r="H366" s="4" t="n">
        <v>645.5503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2096</v>
      </c>
      <c r="F367" s="8" t="n">
        <v>2.1983</v>
      </c>
      <c r="G367" s="4" t="n">
        <v>276.9293</v>
      </c>
      <c r="H367" s="4" t="n">
        <v>687.0619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2090</v>
      </c>
      <c r="F368" s="8" t="n">
        <v>2.2017</v>
      </c>
      <c r="G368" s="4" t="n">
        <v>260.6612</v>
      </c>
      <c r="H368" s="4" t="n">
        <v>687.3386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2114</v>
      </c>
      <c r="F369" s="8" t="n">
        <v>2.4073</v>
      </c>
      <c r="G369" s="4" t="n">
        <v>264.5055</v>
      </c>
      <c r="H369" s="4" t="n">
        <v>741.8973999999999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2115</v>
      </c>
      <c r="F370" s="8" t="n">
        <v>2.4795</v>
      </c>
      <c r="G370" s="4" t="n">
        <v>330.2054</v>
      </c>
      <c r="H370" s="4" t="n">
        <v>790.0454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2140</v>
      </c>
      <c r="F371" s="8" t="n">
        <v>2.3363</v>
      </c>
      <c r="G371" s="4" t="n">
        <v>252.3829</v>
      </c>
      <c r="H371" s="4" t="n">
        <v>687.1009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2118</v>
      </c>
      <c r="F372" s="8" t="n">
        <v>2.3625</v>
      </c>
      <c r="G372" s="4" t="n">
        <v>284.7239</v>
      </c>
      <c r="H372" s="4" t="n">
        <v>706.5444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2116</v>
      </c>
      <c r="F373" s="8" t="n">
        <v>2.4636</v>
      </c>
      <c r="G373" s="4" t="n">
        <v>374.3804</v>
      </c>
      <c r="H373" s="4" t="n">
        <v>831.9982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2120</v>
      </c>
      <c r="F374" s="8" t="n">
        <v>2.3294</v>
      </c>
      <c r="G374" s="4" t="n">
        <v>384.123</v>
      </c>
      <c r="H374" s="4" t="n">
        <v>729.7352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2115</v>
      </c>
      <c r="F375" s="8" t="n">
        <v>2.2207</v>
      </c>
      <c r="G375" s="4" t="n">
        <v>309.3541</v>
      </c>
      <c r="H375" s="4" t="n">
        <v>645.1435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2245</v>
      </c>
      <c r="F376" s="8" t="n">
        <v>2.3238</v>
      </c>
      <c r="G376" s="4" t="n">
        <v>296.116</v>
      </c>
      <c r="H376" s="4" t="n">
        <v>744.223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2138</v>
      </c>
      <c r="F377" s="8" t="n">
        <v>2.3927</v>
      </c>
      <c r="G377" s="4" t="n">
        <v>337.8545</v>
      </c>
      <c r="H377" s="4" t="n">
        <v>711.4113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2126</v>
      </c>
      <c r="F378" s="8" t="n">
        <v>2.5386</v>
      </c>
      <c r="G378" s="4" t="n">
        <v>339.2246</v>
      </c>
      <c r="H378" s="4" t="n">
        <v>760.1895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2114</v>
      </c>
      <c r="F379" s="8" t="n">
        <v>2.3632</v>
      </c>
      <c r="G379" s="4" t="n">
        <v>300.3515</v>
      </c>
      <c r="H379" s="4" t="n">
        <v>738.4084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2134</v>
      </c>
      <c r="F380" s="8" t="n">
        <v>2.4329</v>
      </c>
      <c r="G380" s="4" t="n">
        <v>286.7137</v>
      </c>
      <c r="H380" s="4" t="n">
        <v>742.9595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2163</v>
      </c>
      <c r="F381" s="8" t="n">
        <v>2.5538</v>
      </c>
      <c r="G381" s="4" t="n">
        <v>338.2248</v>
      </c>
      <c r="H381" s="4" t="n">
        <v>786.5282999999999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2131</v>
      </c>
      <c r="F382" s="8" t="n">
        <v>2.5162</v>
      </c>
      <c r="G382" s="4" t="n">
        <v>377.9626</v>
      </c>
      <c r="H382" s="4" t="n">
        <v>759.6165999999999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2147</v>
      </c>
      <c r="F383" s="8" t="n">
        <v>2.8505</v>
      </c>
      <c r="G383" s="4" t="n">
        <v>417.3996</v>
      </c>
      <c r="H383" s="4" t="n">
        <v>924.8603000000001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2133</v>
      </c>
      <c r="F384" s="8" t="n">
        <v>2.8879</v>
      </c>
      <c r="G384" s="4" t="n">
        <v>346.2453</v>
      </c>
      <c r="H384" s="4" t="n">
        <v>984.2533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2172</v>
      </c>
      <c r="F385" s="8" t="n">
        <v>3.2015</v>
      </c>
      <c r="G385" s="4" t="n">
        <v>487.0089</v>
      </c>
      <c r="H385" s="4" t="n">
        <v>1036.8444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2138</v>
      </c>
      <c r="F386" s="8" t="n">
        <v>3.235</v>
      </c>
      <c r="G386" s="4" t="n">
        <v>403.5972</v>
      </c>
      <c r="H386" s="4" t="n">
        <v>1051.3661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2120</v>
      </c>
      <c r="F387" s="8" t="n">
        <v>3.0894</v>
      </c>
      <c r="G387" s="4" t="n">
        <v>332.2933</v>
      </c>
      <c r="H387" s="4" t="n">
        <v>941.8766000000001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2117</v>
      </c>
      <c r="F388" s="8" t="n">
        <v>2.7009</v>
      </c>
      <c r="G388" s="4" t="n">
        <v>313.8603</v>
      </c>
      <c r="H388" s="4" t="n">
        <v>854.2641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2113</v>
      </c>
      <c r="F389" s="8" t="n">
        <v>2.6834</v>
      </c>
      <c r="G389" s="4" t="n">
        <v>331.3841</v>
      </c>
      <c r="H389" s="4" t="n">
        <v>793.9538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2137</v>
      </c>
      <c r="F390" s="8" t="n">
        <v>2.7396</v>
      </c>
      <c r="G390" s="4" t="n">
        <v>304.3941</v>
      </c>
      <c r="H390" s="4" t="n">
        <v>806.5444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2118</v>
      </c>
      <c r="F391" s="8" t="n">
        <v>2.4275</v>
      </c>
      <c r="G391" s="4" t="n">
        <v>292.37</v>
      </c>
      <c r="H391" s="4" t="n">
        <v>738.2668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2112</v>
      </c>
      <c r="F392" s="8" t="n">
        <v>2.2759</v>
      </c>
      <c r="G392" s="4" t="n">
        <v>245.6692</v>
      </c>
      <c r="H392" s="4" t="n">
        <v>705.7931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2110</v>
      </c>
      <c r="F393" s="8" t="n">
        <v>2.6219</v>
      </c>
      <c r="G393" s="4" t="n">
        <v>293.2208</v>
      </c>
      <c r="H393" s="4" t="n">
        <v>763.6345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2096</v>
      </c>
      <c r="F394" s="8" t="n">
        <v>2.7565</v>
      </c>
      <c r="G394" s="4" t="n">
        <v>289.3734</v>
      </c>
      <c r="H394" s="4" t="n">
        <v>782.0309999999999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2127</v>
      </c>
      <c r="F395" s="8" t="n">
        <v>2.2553</v>
      </c>
      <c r="G395" s="4" t="n">
        <v>238.4426</v>
      </c>
      <c r="H395" s="4" t="n">
        <v>635.6724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2123</v>
      </c>
      <c r="F396" s="8" t="n">
        <v>2.2226</v>
      </c>
      <c r="G396" s="4" t="n">
        <v>227.1127</v>
      </c>
      <c r="H396" s="4" t="n">
        <v>629.9797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2105</v>
      </c>
      <c r="F397" s="8" t="n">
        <v>2.0466</v>
      </c>
      <c r="G397" s="4" t="n">
        <v>210.4162</v>
      </c>
      <c r="H397" s="4" t="n">
        <v>631.5954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2017</v>
      </c>
      <c r="F398" s="8" t="n">
        <v>0.6536</v>
      </c>
      <c r="G398" s="4" t="n">
        <v>57.0235</v>
      </c>
      <c r="H398" s="4" t="n">
        <v>115.5224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2175</v>
      </c>
      <c r="F399" s="8" t="n">
        <v>2.3725</v>
      </c>
      <c r="G399" s="4" t="n">
        <v>235.2923</v>
      </c>
      <c r="H399" s="4" t="n">
        <v>709.5552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2129</v>
      </c>
      <c r="F400" s="8" t="n">
        <v>2.2166</v>
      </c>
      <c r="G400" s="4" t="n">
        <v>265.8342</v>
      </c>
      <c r="H400" s="4" t="n">
        <v>687.6423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2103</v>
      </c>
      <c r="F401" s="8" t="n">
        <v>2.2642</v>
      </c>
      <c r="G401" s="4" t="n">
        <v>255.7434</v>
      </c>
      <c r="H401" s="4" t="n">
        <v>693.4385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2142</v>
      </c>
      <c r="F402" s="8" t="n">
        <v>2.084</v>
      </c>
      <c r="G402" s="4" t="n">
        <v>215.7917</v>
      </c>
      <c r="H402" s="4" t="n">
        <v>580.1420000000001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2121</v>
      </c>
      <c r="F403" s="8" t="n">
        <v>2.082</v>
      </c>
      <c r="G403" s="4" t="n">
        <v>229.9337</v>
      </c>
      <c r="H403" s="4" t="n">
        <v>627.4158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2168</v>
      </c>
      <c r="F404" s="8" t="n">
        <v>2.1597</v>
      </c>
      <c r="G404" s="4" t="n">
        <v>215.0627</v>
      </c>
      <c r="H404" s="4" t="n">
        <v>625.0017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2155</v>
      </c>
      <c r="F405" s="8" t="n">
        <v>2.2412</v>
      </c>
      <c r="G405" s="4" t="n">
        <v>217.6705</v>
      </c>
      <c r="H405" s="4" t="n">
        <v>664.1405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2123</v>
      </c>
      <c r="F406" s="8" t="n">
        <v>2.168</v>
      </c>
      <c r="G406" s="4" t="n">
        <v>194.2398</v>
      </c>
      <c r="H406" s="4" t="n">
        <v>628.3561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2130</v>
      </c>
      <c r="F407" s="8" t="n">
        <v>2.5095</v>
      </c>
      <c r="G407" s="4" t="n">
        <v>240.8854</v>
      </c>
      <c r="H407" s="4" t="n">
        <v>719.7329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44523</v>
      </c>
      <c r="B408" s="2" t="inlineStr">
        <is>
          <t>Tuesday</t>
        </is>
      </c>
      <c r="C408" s="5" t="n">
        <v>44501</v>
      </c>
      <c r="D408" s="2" t="inlineStr">
        <is>
          <t>Q3FY22</t>
        </is>
      </c>
      <c r="E408" s="3" t="n">
        <v>2122</v>
      </c>
      <c r="F408" s="8" t="n">
        <v>2.4164</v>
      </c>
      <c r="G408" s="4" t="n">
        <v>276.0021</v>
      </c>
      <c r="H408" s="4" t="n">
        <v>762.4945</v>
      </c>
      <c r="I408" s="4" t="n">
        <v>17.52</v>
      </c>
      <c r="J408" s="4" t="n">
        <v>20.025</v>
      </c>
      <c r="K408" s="4" t="n">
        <v>16.7925</v>
      </c>
      <c r="L408" s="4" t="n">
        <v>18.015</v>
      </c>
      <c r="M408" s="7" t="n">
        <v>0.0283</v>
      </c>
    </row>
    <row r="409">
      <c r="A409" s="6" t="n">
        <v>44524</v>
      </c>
      <c r="B409" s="2" t="inlineStr">
        <is>
          <t>Wednesday</t>
        </is>
      </c>
      <c r="C409" s="5" t="n">
        <v>44501</v>
      </c>
      <c r="D409" s="2" t="inlineStr">
        <is>
          <t>Q3FY22</t>
        </is>
      </c>
      <c r="E409" s="3" t="n">
        <v>2110</v>
      </c>
      <c r="F409" s="8" t="n">
        <v>2.2812</v>
      </c>
      <c r="G409" s="4" t="n">
        <v>269.9582</v>
      </c>
      <c r="H409" s="4" t="n">
        <v>647.0329</v>
      </c>
      <c r="I409" s="4" t="n">
        <v>18.015</v>
      </c>
      <c r="J409" s="4" t="n">
        <v>18.015</v>
      </c>
      <c r="K409" s="4" t="n">
        <v>15.5775</v>
      </c>
      <c r="L409" s="4" t="n">
        <v>17.095</v>
      </c>
      <c r="M409" s="7" t="n">
        <v>-0.0511</v>
      </c>
    </row>
    <row r="410">
      <c r="A410" s="6" t="n">
        <v>44525</v>
      </c>
      <c r="B410" s="2" t="inlineStr">
        <is>
          <t>Thursday</t>
        </is>
      </c>
      <c r="C410" s="5" t="n">
        <v>44501</v>
      </c>
      <c r="D410" s="2" t="inlineStr">
        <is>
          <t>Q3FY22</t>
        </is>
      </c>
      <c r="E410" s="3" t="n">
        <v>2115</v>
      </c>
      <c r="F410" s="8" t="n">
        <v>2.1109</v>
      </c>
      <c r="G410" s="4" t="n">
        <v>257.0874</v>
      </c>
      <c r="H410" s="4" t="n">
        <v>624.3156</v>
      </c>
      <c r="I410" s="4" t="n">
        <v>17.095</v>
      </c>
      <c r="J410" s="4" t="n">
        <v>18.0725</v>
      </c>
      <c r="K410" s="4" t="n">
        <v>16.0025</v>
      </c>
      <c r="L410" s="4" t="n">
        <v>16.6625</v>
      </c>
      <c r="M410" s="7" t="n">
        <v>-0.0253</v>
      </c>
    </row>
    <row r="411">
      <c r="A411" s="6" t="n">
        <v>44526</v>
      </c>
      <c r="B411" s="2" t="inlineStr">
        <is>
          <t>Friday</t>
        </is>
      </c>
      <c r="C411" s="5" t="n">
        <v>44501</v>
      </c>
      <c r="D411" s="2" t="inlineStr">
        <is>
          <t>Q3FY22</t>
        </is>
      </c>
      <c r="E411" s="3" t="n">
        <v>2140</v>
      </c>
      <c r="F411" s="8" t="n">
        <v>3.0917</v>
      </c>
      <c r="G411" s="4" t="n">
        <v>323.888</v>
      </c>
      <c r="H411" s="4" t="n">
        <v>805.1258</v>
      </c>
      <c r="I411" s="4" t="n">
        <v>16.6625</v>
      </c>
      <c r="J411" s="4" t="n">
        <v>21.3925</v>
      </c>
      <c r="K411" s="4" t="n">
        <v>16.05</v>
      </c>
      <c r="L411" s="4" t="n">
        <v>20.8025</v>
      </c>
      <c r="M411" s="7" t="n">
        <v>0.2485</v>
      </c>
    </row>
    <row r="412">
      <c r="A412" s="6" t="n">
        <v>44529</v>
      </c>
      <c r="B412" s="2" t="inlineStr">
        <is>
          <t>Monday</t>
        </is>
      </c>
      <c r="C412" s="5" t="n">
        <v>44501</v>
      </c>
      <c r="D412" s="2" t="inlineStr">
        <is>
          <t>Q3FY22</t>
        </is>
      </c>
      <c r="E412" s="3" t="n">
        <v>2169</v>
      </c>
      <c r="F412" s="8" t="n">
        <v>2.8742</v>
      </c>
      <c r="G412" s="4" t="n">
        <v>315.4612</v>
      </c>
      <c r="H412" s="4" t="n">
        <v>697.5579</v>
      </c>
      <c r="I412" s="4" t="n">
        <v>20.8025</v>
      </c>
      <c r="J412" s="4" t="n">
        <v>23.82</v>
      </c>
      <c r="K412" s="4" t="n">
        <v>18.8925</v>
      </c>
      <c r="L412" s="4" t="n">
        <v>20.83</v>
      </c>
      <c r="M412" s="7" t="n">
        <v>0.0013</v>
      </c>
    </row>
    <row r="413">
      <c r="A413" s="6" t="n">
        <v>44530</v>
      </c>
      <c r="B413" s="2" t="inlineStr">
        <is>
          <t>Tuesday</t>
        </is>
      </c>
      <c r="C413" s="5" t="n">
        <v>44501</v>
      </c>
      <c r="D413" s="2" t="inlineStr">
        <is>
          <t>Q3FY22</t>
        </is>
      </c>
      <c r="E413" s="3" t="n">
        <v>2140</v>
      </c>
      <c r="F413" s="8" t="n">
        <v>2.933</v>
      </c>
      <c r="G413" s="4" t="n">
        <v>356.6912</v>
      </c>
      <c r="H413" s="4" t="n">
        <v>1162.9831</v>
      </c>
      <c r="I413" s="4" t="n">
        <v>20.83</v>
      </c>
      <c r="J413" s="4" t="n">
        <v>21.965</v>
      </c>
      <c r="K413" s="4" t="n">
        <v>18.8075</v>
      </c>
      <c r="L413" s="4" t="n">
        <v>21.1675</v>
      </c>
      <c r="M413" s="7" t="n">
        <v>0.0162</v>
      </c>
    </row>
    <row r="414">
      <c r="A414" s="6" t="n">
        <v>44531</v>
      </c>
      <c r="B414" s="2" t="inlineStr">
        <is>
          <t>Wednesday</t>
        </is>
      </c>
      <c r="C414" s="5" t="n">
        <v>44531</v>
      </c>
      <c r="D414" s="2" t="inlineStr">
        <is>
          <t>Q3FY22</t>
        </is>
      </c>
      <c r="E414" s="3" t="n">
        <v>2136</v>
      </c>
      <c r="F414" s="8" t="n">
        <v>2.1511</v>
      </c>
      <c r="G414" s="4" t="n">
        <v>278.6078</v>
      </c>
      <c r="H414" s="4" t="n">
        <v>583.8501</v>
      </c>
      <c r="I414" s="4" t="n">
        <v>21.1675</v>
      </c>
      <c r="J414" s="4" t="n">
        <v>21.1675</v>
      </c>
      <c r="K414" s="4" t="n">
        <v>18.935</v>
      </c>
      <c r="L414" s="4" t="n">
        <v>19.4475</v>
      </c>
      <c r="M414" s="7" t="n">
        <v>-0.0813</v>
      </c>
    </row>
    <row r="415">
      <c r="A415" s="6" t="n">
        <v>44532</v>
      </c>
      <c r="B415" s="2" t="inlineStr">
        <is>
          <t>Thursday</t>
        </is>
      </c>
      <c r="C415" s="5" t="n">
        <v>44531</v>
      </c>
      <c r="D415" s="2" t="inlineStr">
        <is>
          <t>Q3FY22</t>
        </is>
      </c>
      <c r="E415" s="3" t="n">
        <v>2141</v>
      </c>
      <c r="F415" s="8" t="n">
        <v>2.0796</v>
      </c>
      <c r="G415" s="4" t="n">
        <v>265.5059</v>
      </c>
      <c r="H415" s="4" t="n">
        <v>574.4103</v>
      </c>
      <c r="I415" s="4" t="n">
        <v>19.4475</v>
      </c>
      <c r="J415" s="4" t="n">
        <v>22.965</v>
      </c>
      <c r="K415" s="4" t="n">
        <v>18.0025</v>
      </c>
      <c r="L415" s="4" t="n">
        <v>18.0875</v>
      </c>
      <c r="M415" s="7" t="n">
        <v>-0.0699</v>
      </c>
    </row>
    <row r="416">
      <c r="A416" s="6" t="n">
        <v>44533</v>
      </c>
      <c r="B416" s="2" t="inlineStr">
        <is>
          <t>Friday</t>
        </is>
      </c>
      <c r="C416" s="5" t="n">
        <v>44531</v>
      </c>
      <c r="D416" s="2" t="inlineStr">
        <is>
          <t>Q3FY22</t>
        </is>
      </c>
      <c r="E416" s="3" t="n">
        <v>2141</v>
      </c>
      <c r="F416" s="8" t="n">
        <v>2.131</v>
      </c>
      <c r="G416" s="4" t="n">
        <v>322.9754</v>
      </c>
      <c r="H416" s="4" t="n">
        <v>611.7692</v>
      </c>
      <c r="I416" s="4" t="n">
        <v>18.0875</v>
      </c>
      <c r="J416" s="4" t="n">
        <v>18.8325</v>
      </c>
      <c r="K416" s="4" t="n">
        <v>17.21</v>
      </c>
      <c r="L416" s="4" t="n">
        <v>18.455</v>
      </c>
      <c r="M416" s="7" t="n">
        <v>0.0203</v>
      </c>
    </row>
    <row r="417">
      <c r="A417" s="6" t="n">
        <v>44536</v>
      </c>
      <c r="B417" s="2" t="inlineStr">
        <is>
          <t>Monday</t>
        </is>
      </c>
      <c r="C417" s="5" t="n">
        <v>44531</v>
      </c>
      <c r="D417" s="2" t="inlineStr">
        <is>
          <t>Q3FY22</t>
        </is>
      </c>
      <c r="E417" s="3" t="n">
        <v>2184</v>
      </c>
      <c r="F417" s="8" t="n">
        <v>1.9666</v>
      </c>
      <c r="G417" s="4" t="n">
        <v>371.3089</v>
      </c>
      <c r="H417" s="4" t="n">
        <v>506.6402</v>
      </c>
      <c r="I417" s="4" t="n">
        <v>18.455</v>
      </c>
      <c r="J417" s="4" t="n">
        <v>20.4775</v>
      </c>
      <c r="K417" s="4" t="n">
        <v>18.3</v>
      </c>
      <c r="L417" s="4" t="n">
        <v>20.0775</v>
      </c>
      <c r="M417" s="7" t="n">
        <v>0.08790000000000001</v>
      </c>
    </row>
    <row r="418">
      <c r="A418" s="6" t="n">
        <v>44537</v>
      </c>
      <c r="B418" s="2" t="inlineStr">
        <is>
          <t>Tuesday</t>
        </is>
      </c>
      <c r="C418" s="5" t="n">
        <v>44531</v>
      </c>
      <c r="D418" s="2" t="inlineStr">
        <is>
          <t>Q3FY22</t>
        </is>
      </c>
      <c r="E418" s="3" t="n">
        <v>2138</v>
      </c>
      <c r="F418" s="8" t="n">
        <v>1.9107</v>
      </c>
      <c r="G418" s="4" t="n">
        <v>280.8563</v>
      </c>
      <c r="H418" s="4" t="n">
        <v>539.3271999999999</v>
      </c>
      <c r="I418" s="4" t="n">
        <v>20.0775</v>
      </c>
      <c r="J418" s="4" t="n">
        <v>20.0775</v>
      </c>
      <c r="K418" s="4" t="n">
        <v>18.2425</v>
      </c>
      <c r="L418" s="4" t="n">
        <v>18.46</v>
      </c>
      <c r="M418" s="7" t="n">
        <v>-0.0806</v>
      </c>
    </row>
    <row r="419">
      <c r="A419" s="6" t="n">
        <v>44538</v>
      </c>
      <c r="B419" s="2" t="inlineStr">
        <is>
          <t>Wednesday</t>
        </is>
      </c>
      <c r="C419" s="5" t="n">
        <v>44531</v>
      </c>
      <c r="D419" s="2" t="inlineStr">
        <is>
          <t>Q3FY22</t>
        </is>
      </c>
      <c r="E419" s="3" t="n">
        <v>2151</v>
      </c>
      <c r="F419" s="8" t="n">
        <v>2.0379</v>
      </c>
      <c r="G419" s="4" t="n">
        <v>273.5556</v>
      </c>
      <c r="H419" s="4" t="n">
        <v>590.0909</v>
      </c>
      <c r="I419" s="4" t="n">
        <v>18.46</v>
      </c>
      <c r="J419" s="4" t="n">
        <v>18.46</v>
      </c>
      <c r="K419" s="4" t="n">
        <v>16.565</v>
      </c>
      <c r="L419" s="4" t="n">
        <v>17.265</v>
      </c>
      <c r="M419" s="7" t="n">
        <v>-0.06469999999999999</v>
      </c>
    </row>
    <row r="420">
      <c r="A420" s="6" t="n">
        <v>44539</v>
      </c>
      <c r="B420" s="2" t="inlineStr">
        <is>
          <t>Thursday</t>
        </is>
      </c>
      <c r="C420" s="5" t="n">
        <v>44531</v>
      </c>
      <c r="D420" s="2" t="inlineStr">
        <is>
          <t>Q3FY22</t>
        </is>
      </c>
      <c r="E420" s="3" t="n">
        <v>2136</v>
      </c>
      <c r="F420" s="8" t="n">
        <v>1.9569</v>
      </c>
      <c r="G420" s="4" t="n">
        <v>445.5471</v>
      </c>
      <c r="H420" s="4" t="n">
        <v>562.3113</v>
      </c>
      <c r="I420" s="4" t="n">
        <v>17.265</v>
      </c>
      <c r="J420" s="4" t="n">
        <v>17.435</v>
      </c>
      <c r="K420" s="4" t="n">
        <v>15.54</v>
      </c>
      <c r="L420" s="4" t="n">
        <v>16.6025</v>
      </c>
      <c r="M420" s="7" t="n">
        <v>-0.0384</v>
      </c>
    </row>
    <row r="421">
      <c r="A421" s="6" t="n">
        <v>44540</v>
      </c>
      <c r="B421" s="2" t="inlineStr">
        <is>
          <t>Friday</t>
        </is>
      </c>
      <c r="C421" s="5" t="n">
        <v>44531</v>
      </c>
      <c r="D421" s="2" t="inlineStr">
        <is>
          <t>Q3FY22</t>
        </is>
      </c>
      <c r="E421" s="3" t="n">
        <v>2129</v>
      </c>
      <c r="F421" s="8" t="n">
        <v>1.9569</v>
      </c>
      <c r="G421" s="4" t="n">
        <v>376.5499</v>
      </c>
      <c r="H421" s="4" t="n">
        <v>555.6344</v>
      </c>
      <c r="I421" s="4" t="n">
        <v>16.6025</v>
      </c>
      <c r="J421" s="4" t="n">
        <v>16.9325</v>
      </c>
      <c r="K421" s="4" t="n">
        <v>15.21</v>
      </c>
      <c r="L421" s="4" t="n">
        <v>16.06</v>
      </c>
      <c r="M421" s="7" t="n">
        <v>-0.0327</v>
      </c>
    </row>
    <row r="422">
      <c r="A422" s="6" t="n">
        <v>44543</v>
      </c>
      <c r="B422" s="2" t="inlineStr">
        <is>
          <t>Monday</t>
        </is>
      </c>
      <c r="C422" s="5" t="n">
        <v>44531</v>
      </c>
      <c r="D422" s="2" t="inlineStr">
        <is>
          <t>Q3FY22</t>
        </is>
      </c>
      <c r="E422" s="3" t="n">
        <v>2190</v>
      </c>
      <c r="F422" s="8" t="n">
        <v>2.1555</v>
      </c>
      <c r="G422" s="4" t="n">
        <v>334.3367</v>
      </c>
      <c r="H422" s="4" t="n">
        <v>609.9003</v>
      </c>
      <c r="I422" s="4" t="n">
        <v>16.06</v>
      </c>
      <c r="J422" s="4" t="n">
        <v>16.86</v>
      </c>
      <c r="K422" s="4" t="n">
        <v>14.675</v>
      </c>
      <c r="L422" s="4" t="n">
        <v>16.57</v>
      </c>
      <c r="M422" s="7" t="n">
        <v>0.0318</v>
      </c>
    </row>
    <row r="423">
      <c r="A423" s="6" t="n">
        <v>44544</v>
      </c>
      <c r="B423" s="2" t="inlineStr">
        <is>
          <t>Tuesday</t>
        </is>
      </c>
      <c r="C423" s="5" t="n">
        <v>44531</v>
      </c>
      <c r="D423" s="2" t="inlineStr">
        <is>
          <t>Q3FY22</t>
        </is>
      </c>
      <c r="E423" s="3" t="n">
        <v>2148</v>
      </c>
      <c r="F423" s="8" t="n">
        <v>2.057</v>
      </c>
      <c r="G423" s="4" t="n">
        <v>275.4084</v>
      </c>
      <c r="H423" s="4" t="n">
        <v>578.1334000000001</v>
      </c>
      <c r="I423" s="4" t="n">
        <v>16.57</v>
      </c>
      <c r="J423" s="4" t="n">
        <v>17.33</v>
      </c>
      <c r="K423" s="4" t="n">
        <v>13.9375</v>
      </c>
      <c r="L423" s="4" t="n">
        <v>16.9525</v>
      </c>
      <c r="M423" s="7" t="n">
        <v>0.0231</v>
      </c>
    </row>
    <row r="424">
      <c r="A424" s="6" t="n">
        <v>44545</v>
      </c>
      <c r="B424" s="2" t="inlineStr">
        <is>
          <t>Wednesday</t>
        </is>
      </c>
      <c r="C424" s="5" t="n">
        <v>44531</v>
      </c>
      <c r="D424" s="2" t="inlineStr">
        <is>
          <t>Q3FY22</t>
        </is>
      </c>
      <c r="E424" s="3" t="n">
        <v>2149</v>
      </c>
      <c r="F424" s="8" t="n">
        <v>1.9651</v>
      </c>
      <c r="G424" s="4" t="n">
        <v>243.9694</v>
      </c>
      <c r="H424" s="4" t="n">
        <v>521.7041</v>
      </c>
      <c r="I424" s="4" t="n">
        <v>16.9525</v>
      </c>
      <c r="J424" s="4" t="n">
        <v>17.7125</v>
      </c>
      <c r="K424" s="4" t="n">
        <v>15.7675</v>
      </c>
      <c r="L424" s="4" t="n">
        <v>17.2175</v>
      </c>
      <c r="M424" s="7" t="n">
        <v>0.0156</v>
      </c>
    </row>
    <row r="425">
      <c r="A425" s="6" t="n">
        <v>44546</v>
      </c>
      <c r="B425" s="2" t="inlineStr">
        <is>
          <t>Thursday</t>
        </is>
      </c>
      <c r="C425" s="5" t="n">
        <v>44531</v>
      </c>
      <c r="D425" s="2" t="inlineStr">
        <is>
          <t>Q3FY22</t>
        </is>
      </c>
      <c r="E425" s="3" t="n">
        <v>2128</v>
      </c>
      <c r="F425" s="8" t="n">
        <v>1.9537</v>
      </c>
      <c r="G425" s="4" t="n">
        <v>282.9945</v>
      </c>
      <c r="H425" s="4" t="n">
        <v>587.835</v>
      </c>
      <c r="I425" s="4" t="n">
        <v>17.2175</v>
      </c>
      <c r="J425" s="4" t="n">
        <v>17.2175</v>
      </c>
      <c r="K425" s="4" t="n">
        <v>15.2625</v>
      </c>
      <c r="L425" s="4" t="n">
        <v>15.895</v>
      </c>
      <c r="M425" s="7" t="n">
        <v>-0.07679999999999999</v>
      </c>
    </row>
    <row r="426">
      <c r="A426" s="6" t="n">
        <v>44547</v>
      </c>
      <c r="B426" s="2" t="inlineStr">
        <is>
          <t>Friday</t>
        </is>
      </c>
      <c r="C426" s="5" t="n">
        <v>44531</v>
      </c>
      <c r="D426" s="2" t="inlineStr">
        <is>
          <t>Q3FY22</t>
        </is>
      </c>
      <c r="E426" s="3" t="n">
        <v>2157</v>
      </c>
      <c r="F426" s="8" t="n">
        <v>2.3524</v>
      </c>
      <c r="G426" s="4" t="n">
        <v>312.1767</v>
      </c>
      <c r="H426" s="4" t="n">
        <v>726.7229</v>
      </c>
      <c r="I426" s="4" t="n">
        <v>15.895</v>
      </c>
      <c r="J426" s="4" t="n">
        <v>16.9075</v>
      </c>
      <c r="K426" s="4" t="n">
        <v>13.76</v>
      </c>
      <c r="L426" s="4" t="n">
        <v>16.3375</v>
      </c>
      <c r="M426" s="7" t="n">
        <v>0.0278</v>
      </c>
    </row>
    <row r="427">
      <c r="A427" s="6" t="n">
        <v>44550</v>
      </c>
      <c r="B427" s="2" t="inlineStr">
        <is>
          <t>Monday</t>
        </is>
      </c>
      <c r="C427" s="5" t="n">
        <v>44531</v>
      </c>
      <c r="D427" s="2" t="inlineStr">
        <is>
          <t>Q3FY22</t>
        </is>
      </c>
      <c r="E427" s="3" t="n">
        <v>2200</v>
      </c>
      <c r="F427" s="8" t="n">
        <v>2.6667</v>
      </c>
      <c r="G427" s="4" t="n">
        <v>314.8306</v>
      </c>
      <c r="H427" s="4" t="n">
        <v>623.829</v>
      </c>
      <c r="I427" s="4" t="n">
        <v>16.3375</v>
      </c>
      <c r="J427" s="4" t="n">
        <v>20.135</v>
      </c>
      <c r="K427" s="4" t="n">
        <v>16.3375</v>
      </c>
      <c r="L427" s="4" t="n">
        <v>18.965</v>
      </c>
      <c r="M427" s="7" t="n">
        <v>0.1608</v>
      </c>
    </row>
    <row r="428">
      <c r="A428" s="6" t="n">
        <v>44551</v>
      </c>
      <c r="B428" s="2" t="inlineStr">
        <is>
          <t>Tuesday</t>
        </is>
      </c>
      <c r="C428" s="5" t="n">
        <v>44531</v>
      </c>
      <c r="D428" s="2" t="inlineStr">
        <is>
          <t>Q3FY22</t>
        </is>
      </c>
      <c r="E428" s="3" t="n">
        <v>2150</v>
      </c>
      <c r="F428" s="8" t="n">
        <v>1.9916</v>
      </c>
      <c r="G428" s="4" t="n">
        <v>262.3262</v>
      </c>
      <c r="H428" s="4" t="n">
        <v>545.4392</v>
      </c>
      <c r="I428" s="4" t="n">
        <v>18.965</v>
      </c>
      <c r="J428" s="4" t="n">
        <v>18.965</v>
      </c>
      <c r="K428" s="4" t="n">
        <v>16.6275</v>
      </c>
      <c r="L428" s="4" t="n">
        <v>17.5375</v>
      </c>
      <c r="M428" s="7" t="n">
        <v>-0.07530000000000001</v>
      </c>
    </row>
    <row r="429">
      <c r="A429" s="6" t="n">
        <v>44552</v>
      </c>
      <c r="B429" s="2" t="inlineStr">
        <is>
          <t>Wednesday</t>
        </is>
      </c>
      <c r="C429" s="5" t="n">
        <v>44531</v>
      </c>
      <c r="D429" s="2" t="inlineStr">
        <is>
          <t>Q3FY22</t>
        </is>
      </c>
      <c r="E429" s="3" t="n">
        <v>2140</v>
      </c>
      <c r="F429" s="8" t="n">
        <v>1.7465</v>
      </c>
      <c r="G429" s="4" t="n">
        <v>236.4139</v>
      </c>
      <c r="H429" s="4" t="n">
        <v>472.4</v>
      </c>
      <c r="I429" s="4" t="n">
        <v>17.5375</v>
      </c>
      <c r="J429" s="4" t="n">
        <v>17.5375</v>
      </c>
      <c r="K429" s="4" t="n">
        <v>15.69</v>
      </c>
      <c r="L429" s="4" t="n">
        <v>16.58</v>
      </c>
      <c r="M429" s="7" t="n">
        <v>-0.0546</v>
      </c>
    </row>
    <row r="430">
      <c r="A430" s="6" t="n">
        <v>44553</v>
      </c>
      <c r="B430" s="2" t="inlineStr">
        <is>
          <t>Thursday</t>
        </is>
      </c>
      <c r="C430" s="5" t="n">
        <v>44531</v>
      </c>
      <c r="D430" s="2" t="inlineStr">
        <is>
          <t>Q3FY22</t>
        </is>
      </c>
      <c r="E430" s="3" t="n">
        <v>2152</v>
      </c>
      <c r="F430" s="8" t="n">
        <v>1.723</v>
      </c>
      <c r="G430" s="4" t="n">
        <v>233.4857</v>
      </c>
      <c r="H430" s="4" t="n">
        <v>451.6111</v>
      </c>
      <c r="I430" s="4" t="n">
        <v>16.58</v>
      </c>
      <c r="J430" s="4" t="n">
        <v>16.58</v>
      </c>
      <c r="K430" s="4" t="n">
        <v>15.68</v>
      </c>
      <c r="L430" s="4" t="n">
        <v>15.825</v>
      </c>
      <c r="M430" s="7" t="n">
        <v>-0.0455</v>
      </c>
    </row>
    <row r="431">
      <c r="A431" s="6" t="n">
        <v>44554</v>
      </c>
      <c r="B431" s="2" t="inlineStr">
        <is>
          <t>Friday</t>
        </is>
      </c>
      <c r="C431" s="5" t="n">
        <v>44531</v>
      </c>
      <c r="D431" s="2" t="inlineStr">
        <is>
          <t>Q3FY22</t>
        </is>
      </c>
      <c r="E431" s="3" t="n">
        <v>2150</v>
      </c>
      <c r="F431" s="8" t="n">
        <v>1.5653</v>
      </c>
      <c r="G431" s="4" t="n">
        <v>233.6072</v>
      </c>
      <c r="H431" s="4" t="n">
        <v>430.9456</v>
      </c>
      <c r="I431" s="4" t="n">
        <v>15.825</v>
      </c>
      <c r="J431" s="4" t="n">
        <v>16.6525</v>
      </c>
      <c r="K431" s="4" t="n">
        <v>15.3325</v>
      </c>
      <c r="L431" s="4" t="n">
        <v>16.1475</v>
      </c>
      <c r="M431" s="7" t="n">
        <v>0.0204</v>
      </c>
    </row>
    <row r="432">
      <c r="A432" s="6" t="n">
        <v>44557</v>
      </c>
      <c r="B432" s="2" t="inlineStr">
        <is>
          <t>Monday</t>
        </is>
      </c>
      <c r="C432" s="5" t="n">
        <v>44531</v>
      </c>
      <c r="D432" s="2" t="inlineStr">
        <is>
          <t>Q3FY22</t>
        </is>
      </c>
      <c r="E432" s="3" t="n">
        <v>2188</v>
      </c>
      <c r="F432" s="8" t="n">
        <v>1.6105</v>
      </c>
      <c r="G432" s="4" t="n">
        <v>235.3926</v>
      </c>
      <c r="H432" s="4" t="n">
        <v>401.535</v>
      </c>
      <c r="I432" s="4" t="n">
        <v>16.1475</v>
      </c>
      <c r="J432" s="4" t="n">
        <v>17.2775</v>
      </c>
      <c r="K432" s="4" t="n">
        <v>15.2625</v>
      </c>
      <c r="L432" s="4" t="n">
        <v>17.1175</v>
      </c>
      <c r="M432" s="7" t="n">
        <v>0.0601</v>
      </c>
    </row>
    <row r="433">
      <c r="A433" s="6" t="n">
        <v>44558</v>
      </c>
      <c r="B433" s="2" t="inlineStr">
        <is>
          <t>Tuesday</t>
        </is>
      </c>
      <c r="C433" s="5" t="n">
        <v>44531</v>
      </c>
      <c r="D433" s="2" t="inlineStr">
        <is>
          <t>Q3FY22</t>
        </is>
      </c>
      <c r="E433" s="3" t="n">
        <v>2145</v>
      </c>
      <c r="F433" s="8" t="n">
        <v>1.6719</v>
      </c>
      <c r="G433" s="4" t="n">
        <v>240.3691</v>
      </c>
      <c r="H433" s="4" t="n">
        <v>434.7489</v>
      </c>
      <c r="I433" s="4" t="n">
        <v>17.1175</v>
      </c>
      <c r="J433" s="4" t="n">
        <v>17.1175</v>
      </c>
      <c r="K433" s="4" t="n">
        <v>15.2075</v>
      </c>
      <c r="L433" s="4" t="n">
        <v>16.475</v>
      </c>
      <c r="M433" s="7" t="n">
        <v>-0.0375</v>
      </c>
    </row>
    <row r="434">
      <c r="A434" s="6" t="n">
        <v>44559</v>
      </c>
      <c r="B434" s="2" t="inlineStr">
        <is>
          <t>Wednesday</t>
        </is>
      </c>
      <c r="C434" s="5" t="n">
        <v>44531</v>
      </c>
      <c r="D434" s="2" t="inlineStr">
        <is>
          <t>Q3FY22</t>
        </is>
      </c>
      <c r="E434" s="3" t="n">
        <v>2153</v>
      </c>
      <c r="F434" s="8" t="n">
        <v>1.6883</v>
      </c>
      <c r="G434" s="4" t="n">
        <v>294.8969</v>
      </c>
      <c r="H434" s="4" t="n">
        <v>437.0295</v>
      </c>
      <c r="I434" s="4" t="n">
        <v>16.475</v>
      </c>
      <c r="J434" s="4" t="n">
        <v>16.8625</v>
      </c>
      <c r="K434" s="4" t="n">
        <v>15.8</v>
      </c>
      <c r="L434" s="4" t="n">
        <v>16.2425</v>
      </c>
      <c r="M434" s="7" t="n">
        <v>-0.0141</v>
      </c>
    </row>
    <row r="435">
      <c r="A435" s="6" t="n">
        <v>44560</v>
      </c>
      <c r="B435" s="2" t="inlineStr">
        <is>
          <t>Thursday</t>
        </is>
      </c>
      <c r="C435" s="5" t="n">
        <v>44531</v>
      </c>
      <c r="D435" s="2" t="inlineStr">
        <is>
          <t>Q3FY22</t>
        </is>
      </c>
      <c r="E435" s="3" t="n">
        <v>2159</v>
      </c>
      <c r="F435" s="8" t="n">
        <v>1.8378</v>
      </c>
      <c r="G435" s="4" t="n">
        <v>281.3005</v>
      </c>
      <c r="H435" s="4" t="n">
        <v>536.331</v>
      </c>
      <c r="I435" s="4" t="n">
        <v>16.2425</v>
      </c>
      <c r="J435" s="4" t="n">
        <v>16.7875</v>
      </c>
      <c r="K435" s="4" t="n">
        <v>15.2925</v>
      </c>
      <c r="L435" s="4" t="n">
        <v>16.565</v>
      </c>
      <c r="M435" s="7" t="n">
        <v>0.0199</v>
      </c>
    </row>
    <row r="436">
      <c r="A436" s="6" t="n">
        <v>44561</v>
      </c>
      <c r="B436" s="2" t="inlineStr">
        <is>
          <t>Friday</t>
        </is>
      </c>
      <c r="C436" s="5" t="n">
        <v>44531</v>
      </c>
      <c r="D436" s="2" t="inlineStr">
        <is>
          <t>Q3FY22</t>
        </is>
      </c>
      <c r="E436" s="3" t="n">
        <v>2175</v>
      </c>
      <c r="F436" s="8" t="n">
        <v>1.7859</v>
      </c>
      <c r="G436" s="4" t="n">
        <v>292.2074</v>
      </c>
      <c r="H436" s="4" t="n">
        <v>444.946</v>
      </c>
      <c r="I436" s="4" t="n">
        <v>16.565</v>
      </c>
      <c r="J436" s="4" t="n">
        <v>16.7675</v>
      </c>
      <c r="K436" s="4" t="n">
        <v>15.4</v>
      </c>
      <c r="L436" s="4" t="n">
        <v>16.2225</v>
      </c>
      <c r="M436" s="7" t="n">
        <v>-0.0207</v>
      </c>
    </row>
    <row r="437">
      <c r="A437" s="6" t="n">
        <v>44564</v>
      </c>
      <c r="B437" s="2" t="inlineStr">
        <is>
          <t>Monday</t>
        </is>
      </c>
      <c r="C437" s="5" t="n">
        <v>44562</v>
      </c>
      <c r="D437" s="2" t="inlineStr">
        <is>
          <t>Q4FY22</t>
        </is>
      </c>
      <c r="E437" s="3" t="n">
        <v>2227</v>
      </c>
      <c r="F437" s="8" t="n">
        <v>1.9463</v>
      </c>
      <c r="G437" s="4" t="n">
        <v>374.4202</v>
      </c>
      <c r="H437" s="4" t="n">
        <v>471.1527</v>
      </c>
      <c r="I437" s="4" t="n">
        <v>16.2225</v>
      </c>
      <c r="J437" s="4" t="n">
        <v>16.81</v>
      </c>
      <c r="K437" s="4" t="n">
        <v>15.4525</v>
      </c>
      <c r="L437" s="4" t="n">
        <v>16.4525</v>
      </c>
      <c r="M437" s="7" t="n">
        <v>0.0142</v>
      </c>
    </row>
    <row r="438">
      <c r="A438" s="6" t="n">
        <v>44565</v>
      </c>
      <c r="B438" s="2" t="inlineStr">
        <is>
          <t>Tuesday</t>
        </is>
      </c>
      <c r="C438" s="5" t="n">
        <v>44562</v>
      </c>
      <c r="D438" s="2" t="inlineStr">
        <is>
          <t>Q4FY22</t>
        </is>
      </c>
      <c r="E438" s="3" t="n">
        <v>2183</v>
      </c>
      <c r="F438" s="8" t="n">
        <v>2.2302</v>
      </c>
      <c r="G438" s="4" t="n">
        <v>399.1962</v>
      </c>
      <c r="H438" s="4" t="n">
        <v>553.0995</v>
      </c>
      <c r="I438" s="4" t="n">
        <v>16.4525</v>
      </c>
      <c r="J438" s="4" t="n">
        <v>16.675</v>
      </c>
      <c r="K438" s="4" t="n">
        <v>15.71</v>
      </c>
      <c r="L438" s="4" t="n">
        <v>16.12</v>
      </c>
      <c r="M438" s="7" t="n">
        <v>-0.0202</v>
      </c>
    </row>
    <row r="439">
      <c r="A439" s="6" t="n">
        <v>44566</v>
      </c>
      <c r="B439" s="2" t="inlineStr">
        <is>
          <t>Wednesday</t>
        </is>
      </c>
      <c r="C439" s="5" t="n">
        <v>44562</v>
      </c>
      <c r="D439" s="2" t="inlineStr">
        <is>
          <t>Q4FY22</t>
        </is>
      </c>
      <c r="E439" s="3" t="n">
        <v>2187</v>
      </c>
      <c r="F439" s="8" t="n">
        <v>2.1876</v>
      </c>
      <c r="G439" s="4" t="n">
        <v>332.9489</v>
      </c>
      <c r="H439" s="4" t="n">
        <v>602.5942</v>
      </c>
      <c r="I439" s="4" t="n">
        <v>16.12</v>
      </c>
      <c r="J439" s="4" t="n">
        <v>17.38</v>
      </c>
      <c r="K439" s="4" t="n">
        <v>15.0875</v>
      </c>
      <c r="L439" s="4" t="n">
        <v>17.2275</v>
      </c>
      <c r="M439" s="7" t="n">
        <v>0.0687</v>
      </c>
    </row>
    <row r="440">
      <c r="A440" s="6" t="n">
        <v>44567</v>
      </c>
      <c r="B440" s="2" t="inlineStr">
        <is>
          <t>Thursday</t>
        </is>
      </c>
      <c r="C440" s="5" t="n">
        <v>44562</v>
      </c>
      <c r="D440" s="2" t="inlineStr">
        <is>
          <t>Q4FY22</t>
        </is>
      </c>
      <c r="E440" s="3" t="n">
        <v>2181</v>
      </c>
      <c r="F440" s="8" t="n">
        <v>2.0833</v>
      </c>
      <c r="G440" s="4" t="n">
        <v>361.8539</v>
      </c>
      <c r="H440" s="4" t="n">
        <v>578.616</v>
      </c>
      <c r="I440" s="4" t="n">
        <v>17.2275</v>
      </c>
      <c r="J440" s="4" t="n">
        <v>18.4175</v>
      </c>
      <c r="K440" s="4" t="n">
        <v>16.4</v>
      </c>
      <c r="L440" s="4" t="n">
        <v>17.9775</v>
      </c>
      <c r="M440" s="7" t="n">
        <v>0.0435</v>
      </c>
    </row>
    <row r="441">
      <c r="A441" s="6" t="n">
        <v>44568</v>
      </c>
      <c r="B441" s="2" t="inlineStr">
        <is>
          <t>Friday</t>
        </is>
      </c>
      <c r="C441" s="5" t="n">
        <v>44562</v>
      </c>
      <c r="D441" s="2" t="inlineStr">
        <is>
          <t>Q4FY22</t>
        </is>
      </c>
      <c r="E441" s="3" t="n">
        <v>2172</v>
      </c>
      <c r="F441" s="8" t="n">
        <v>2.2178</v>
      </c>
      <c r="G441" s="4" t="n">
        <v>385.6042</v>
      </c>
      <c r="H441" s="4" t="n">
        <v>605.9666</v>
      </c>
      <c r="I441" s="4" t="n">
        <v>17.9775</v>
      </c>
      <c r="J441" s="4" t="n">
        <v>18.09</v>
      </c>
      <c r="K441" s="4" t="n">
        <v>16.86</v>
      </c>
      <c r="L441" s="4" t="n">
        <v>17.6025</v>
      </c>
      <c r="M441" s="7" t="n">
        <v>-0.0209</v>
      </c>
    </row>
    <row r="442">
      <c r="A442" s="6" t="n">
        <v>44571</v>
      </c>
      <c r="B442" s="2" t="inlineStr">
        <is>
          <t>Monday</t>
        </is>
      </c>
      <c r="C442" s="5" t="n">
        <v>44562</v>
      </c>
      <c r="D442" s="2" t="inlineStr">
        <is>
          <t>Q4FY22</t>
        </is>
      </c>
      <c r="E442" s="3" t="n">
        <v>2225</v>
      </c>
      <c r="F442" s="8" t="n">
        <v>2.3359</v>
      </c>
      <c r="G442" s="4" t="n">
        <v>338.4926</v>
      </c>
      <c r="H442" s="4" t="n">
        <v>595.1357</v>
      </c>
      <c r="I442" s="4" t="n">
        <v>17.6025</v>
      </c>
      <c r="J442" s="4" t="n">
        <v>18.39</v>
      </c>
      <c r="K442" s="4" t="n">
        <v>15.8425</v>
      </c>
      <c r="L442" s="4" t="n">
        <v>17.6775</v>
      </c>
      <c r="M442" s="7" t="n">
        <v>0.0043</v>
      </c>
    </row>
    <row r="443">
      <c r="A443" s="6" t="n">
        <v>44572</v>
      </c>
      <c r="B443" s="2" t="inlineStr">
        <is>
          <t>Tuesday</t>
        </is>
      </c>
      <c r="C443" s="5" t="n">
        <v>44562</v>
      </c>
      <c r="D443" s="2" t="inlineStr">
        <is>
          <t>Q4FY22</t>
        </is>
      </c>
      <c r="E443" s="3" t="n">
        <v>2197</v>
      </c>
      <c r="F443" s="8" t="n">
        <v>2.5809</v>
      </c>
      <c r="G443" s="4" t="n">
        <v>560.6317</v>
      </c>
      <c r="H443" s="4" t="n">
        <v>651.1588</v>
      </c>
      <c r="I443" s="4" t="n">
        <v>17.6775</v>
      </c>
      <c r="J443" s="4" t="n">
        <v>18.2475</v>
      </c>
      <c r="K443" s="4" t="n">
        <v>16.4375</v>
      </c>
      <c r="L443" s="4" t="n">
        <v>17.7575</v>
      </c>
      <c r="M443" s="7" t="n">
        <v>0.0045</v>
      </c>
    </row>
    <row r="444">
      <c r="A444" s="6" t="n">
        <v>44573</v>
      </c>
      <c r="B444" s="2" t="inlineStr">
        <is>
          <t>Wednesday</t>
        </is>
      </c>
      <c r="C444" s="5" t="n">
        <v>44562</v>
      </c>
      <c r="D444" s="2" t="inlineStr">
        <is>
          <t>Q4FY22</t>
        </is>
      </c>
      <c r="E444" s="3" t="n">
        <v>2170</v>
      </c>
      <c r="F444" s="8" t="n">
        <v>2.5353</v>
      </c>
      <c r="G444" s="4" t="n">
        <v>466.4496</v>
      </c>
      <c r="H444" s="4" t="n">
        <v>637.5874</v>
      </c>
      <c r="I444" s="4" t="n">
        <v>17.7575</v>
      </c>
      <c r="J444" s="4" t="n">
        <v>17.925</v>
      </c>
      <c r="K444" s="4" t="n">
        <v>16.5475</v>
      </c>
      <c r="L444" s="4" t="n">
        <v>17.1825</v>
      </c>
      <c r="M444" s="7" t="n">
        <v>-0.0324</v>
      </c>
    </row>
    <row r="445">
      <c r="A445" s="6" t="n">
        <v>44574</v>
      </c>
      <c r="B445" s="2" t="inlineStr">
        <is>
          <t>Thursday</t>
        </is>
      </c>
      <c r="C445" s="5" t="n">
        <v>44562</v>
      </c>
      <c r="D445" s="2" t="inlineStr">
        <is>
          <t>Q4FY22</t>
        </is>
      </c>
      <c r="E445" s="3" t="n">
        <v>2168</v>
      </c>
      <c r="F445" s="8" t="n">
        <v>2.3874</v>
      </c>
      <c r="G445" s="4" t="n">
        <v>356.8725</v>
      </c>
      <c r="H445" s="4" t="n">
        <v>666.5161000000001</v>
      </c>
      <c r="I445" s="4" t="n">
        <v>17.1825</v>
      </c>
      <c r="J445" s="4" t="n">
        <v>17.525</v>
      </c>
      <c r="K445" s="4" t="n">
        <v>16.6075</v>
      </c>
      <c r="L445" s="4" t="n">
        <v>16.705</v>
      </c>
      <c r="M445" s="7" t="n">
        <v>-0.0278</v>
      </c>
    </row>
    <row r="446">
      <c r="A446" s="6" t="n">
        <v>44575</v>
      </c>
      <c r="B446" s="2" t="inlineStr">
        <is>
          <t>Friday</t>
        </is>
      </c>
      <c r="C446" s="5" t="n">
        <v>44562</v>
      </c>
      <c r="D446" s="2" t="inlineStr">
        <is>
          <t>Q4FY22</t>
        </is>
      </c>
      <c r="E446" s="3" t="n">
        <v>2146</v>
      </c>
      <c r="F446" s="8" t="n">
        <v>2.2565</v>
      </c>
      <c r="G446" s="4" t="n">
        <v>357.455</v>
      </c>
      <c r="H446" s="4" t="n">
        <v>619.5078</v>
      </c>
      <c r="I446" s="4" t="n">
        <v>16.705</v>
      </c>
      <c r="J446" s="4" t="n">
        <v>17.1</v>
      </c>
      <c r="K446" s="4" t="n">
        <v>15.3425</v>
      </c>
      <c r="L446" s="4" t="n">
        <v>16.555</v>
      </c>
      <c r="M446" s="7" t="n">
        <v>-0.008999999999999999</v>
      </c>
    </row>
    <row r="447">
      <c r="A447" s="6" t="n">
        <v>44578</v>
      </c>
      <c r="B447" s="2" t="inlineStr">
        <is>
          <t>Monday</t>
        </is>
      </c>
      <c r="C447" s="5" t="n">
        <v>44562</v>
      </c>
      <c r="D447" s="2" t="inlineStr">
        <is>
          <t>Q4FY22</t>
        </is>
      </c>
      <c r="E447" s="3" t="n">
        <v>2235</v>
      </c>
      <c r="F447" s="8" t="n">
        <v>2.4082</v>
      </c>
      <c r="G447" s="4" t="n">
        <v>316.7323</v>
      </c>
      <c r="H447" s="4" t="n">
        <v>632.917</v>
      </c>
      <c r="I447" s="4" t="n">
        <v>16.555</v>
      </c>
      <c r="J447" s="4" t="n">
        <v>17.5475</v>
      </c>
      <c r="K447" s="4" t="n">
        <v>16.2675</v>
      </c>
      <c r="L447" s="4" t="n">
        <v>16.765</v>
      </c>
      <c r="M447" s="7" t="n">
        <v>0.0127</v>
      </c>
    </row>
    <row r="448">
      <c r="A448" s="6" t="n">
        <v>44579</v>
      </c>
      <c r="B448" s="2" t="inlineStr">
        <is>
          <t>Tuesday</t>
        </is>
      </c>
      <c r="C448" s="5" t="n">
        <v>44562</v>
      </c>
      <c r="D448" s="2" t="inlineStr">
        <is>
          <t>Q4FY22</t>
        </is>
      </c>
      <c r="E448" s="3" t="n">
        <v>2191</v>
      </c>
      <c r="F448" s="8" t="n">
        <v>2.6377</v>
      </c>
      <c r="G448" s="4" t="n">
        <v>367.9459</v>
      </c>
      <c r="H448" s="4" t="n">
        <v>646.7264</v>
      </c>
      <c r="I448" s="4" t="n">
        <v>16.765</v>
      </c>
      <c r="J448" s="4" t="n">
        <v>17.875</v>
      </c>
      <c r="K448" s="4" t="n">
        <v>16.765</v>
      </c>
      <c r="L448" s="4" t="n">
        <v>17.78</v>
      </c>
      <c r="M448" s="7" t="n">
        <v>0.0605</v>
      </c>
    </row>
    <row r="449">
      <c r="A449" s="6" t="n">
        <v>44580</v>
      </c>
      <c r="B449" s="2" t="inlineStr">
        <is>
          <t>Wednesday</t>
        </is>
      </c>
      <c r="C449" s="5" t="n">
        <v>44562</v>
      </c>
      <c r="D449" s="2" t="inlineStr">
        <is>
          <t>Q4FY22</t>
        </is>
      </c>
      <c r="E449" s="3" t="n">
        <v>2174</v>
      </c>
      <c r="F449" s="8" t="n">
        <v>2.4536</v>
      </c>
      <c r="G449" s="4" t="n">
        <v>302.1252</v>
      </c>
      <c r="H449" s="4" t="n">
        <v>673.9858</v>
      </c>
      <c r="I449" s="4" t="n">
        <v>17.78</v>
      </c>
      <c r="J449" s="4" t="n">
        <v>18.4475</v>
      </c>
      <c r="K449" s="4" t="n">
        <v>15.94</v>
      </c>
      <c r="L449" s="4" t="n">
        <v>17.8175</v>
      </c>
      <c r="M449" s="7" t="n">
        <v>0.0021</v>
      </c>
    </row>
    <row r="450">
      <c r="A450" s="6" t="n">
        <v>44581</v>
      </c>
      <c r="B450" s="2" t="inlineStr">
        <is>
          <t>Thursday</t>
        </is>
      </c>
      <c r="C450" s="5" t="n">
        <v>44562</v>
      </c>
      <c r="D450" s="2" t="inlineStr">
        <is>
          <t>Q4FY22</t>
        </is>
      </c>
      <c r="E450" s="3" t="n">
        <v>2170</v>
      </c>
      <c r="F450" s="8" t="n">
        <v>2.3039</v>
      </c>
      <c r="G450" s="4" t="n">
        <v>278.899</v>
      </c>
      <c r="H450" s="4" t="n">
        <v>635.2091</v>
      </c>
      <c r="I450" s="4" t="n">
        <v>17.8175</v>
      </c>
      <c r="J450" s="4" t="n">
        <v>18.45</v>
      </c>
      <c r="K450" s="4" t="n">
        <v>17.32</v>
      </c>
      <c r="L450" s="4" t="n">
        <v>17.79</v>
      </c>
      <c r="M450" s="7" t="n">
        <v>-0.0015</v>
      </c>
    </row>
    <row r="451">
      <c r="A451" s="6" t="n">
        <v>44582</v>
      </c>
      <c r="B451" s="2" t="inlineStr">
        <is>
          <t>Friday</t>
        </is>
      </c>
      <c r="C451" s="5" t="n">
        <v>44562</v>
      </c>
      <c r="D451" s="2" t="inlineStr">
        <is>
          <t>Q4FY22</t>
        </is>
      </c>
      <c r="E451" s="3" t="n">
        <v>2184</v>
      </c>
      <c r="F451" s="8" t="n">
        <v>2.5999</v>
      </c>
      <c r="G451" s="4" t="n">
        <v>326.6187</v>
      </c>
      <c r="H451" s="4" t="n">
        <v>678.9233</v>
      </c>
      <c r="I451" s="4" t="n">
        <v>17.79</v>
      </c>
      <c r="J451" s="4" t="n">
        <v>19.605</v>
      </c>
      <c r="K451" s="4" t="n">
        <v>16.9825</v>
      </c>
      <c r="L451" s="4" t="n">
        <v>18.8875</v>
      </c>
      <c r="M451" s="7" t="n">
        <v>0.0617</v>
      </c>
    </row>
    <row r="452">
      <c r="A452" s="6" t="n">
        <v>44585</v>
      </c>
      <c r="B452" s="2" t="inlineStr">
        <is>
          <t>Monday</t>
        </is>
      </c>
      <c r="C452" s="5" t="n">
        <v>44562</v>
      </c>
      <c r="D452" s="2" t="inlineStr">
        <is>
          <t>Q4FY22</t>
        </is>
      </c>
      <c r="E452" s="3" t="n">
        <v>2239</v>
      </c>
      <c r="F452" s="8" t="n">
        <v>3.1247</v>
      </c>
      <c r="G452" s="4" t="n">
        <v>360.0717</v>
      </c>
      <c r="H452" s="4" t="n">
        <v>741.9019</v>
      </c>
      <c r="I452" s="4" t="n">
        <v>18.8875</v>
      </c>
      <c r="J452" s="4" t="n">
        <v>23.9</v>
      </c>
      <c r="K452" s="4" t="n">
        <v>18.8875</v>
      </c>
      <c r="L452" s="4" t="n">
        <v>22.825</v>
      </c>
      <c r="M452" s="7" t="n">
        <v>0.2085</v>
      </c>
    </row>
    <row r="453">
      <c r="A453" s="6" t="n">
        <v>44586</v>
      </c>
      <c r="B453" s="2" t="inlineStr">
        <is>
          <t>Tuesday</t>
        </is>
      </c>
      <c r="C453" s="5" t="n">
        <v>44562</v>
      </c>
      <c r="D453" s="2" t="inlineStr">
        <is>
          <t>Q4FY22</t>
        </is>
      </c>
      <c r="E453" s="3" t="n">
        <v>2177</v>
      </c>
      <c r="F453" s="8" t="n">
        <v>2.904</v>
      </c>
      <c r="G453" s="4" t="n">
        <v>327.2266</v>
      </c>
      <c r="H453" s="4" t="n">
        <v>733.7593000000001</v>
      </c>
      <c r="I453" s="4" t="n">
        <v>22.825</v>
      </c>
      <c r="J453" s="4" t="n">
        <v>24.1375</v>
      </c>
      <c r="K453" s="4" t="n">
        <v>21.18</v>
      </c>
      <c r="L453" s="4" t="n">
        <v>21.3575</v>
      </c>
      <c r="M453" s="7" t="n">
        <v>-0.0643</v>
      </c>
    </row>
    <row r="454">
      <c r="A454" s="6" t="n">
        <v>44588</v>
      </c>
      <c r="B454" s="2" t="inlineStr">
        <is>
          <t>Thursday</t>
        </is>
      </c>
      <c r="C454" s="5" t="n">
        <v>44562</v>
      </c>
      <c r="D454" s="2" t="inlineStr">
        <is>
          <t>Q4FY22</t>
        </is>
      </c>
      <c r="E454" s="3" t="n">
        <v>2184</v>
      </c>
      <c r="F454" s="8" t="n">
        <v>2.9444</v>
      </c>
      <c r="G454" s="4" t="n">
        <v>333.6982</v>
      </c>
      <c r="H454" s="4" t="n">
        <v>799.0068</v>
      </c>
      <c r="I454" s="4" t="n">
        <v>21.3575</v>
      </c>
      <c r="J454" s="4" t="n">
        <v>23.8675</v>
      </c>
      <c r="K454" s="4" t="n">
        <v>20.4425</v>
      </c>
      <c r="L454" s="4" t="n">
        <v>21.065</v>
      </c>
      <c r="M454" s="7" t="n">
        <v>-0.0137</v>
      </c>
    </row>
    <row r="455">
      <c r="A455" s="6" t="n">
        <v>44589</v>
      </c>
      <c r="B455" s="2" t="inlineStr">
        <is>
          <t>Friday</t>
        </is>
      </c>
      <c r="C455" s="5" t="n">
        <v>44562</v>
      </c>
      <c r="D455" s="2" t="inlineStr">
        <is>
          <t>Q4FY22</t>
        </is>
      </c>
      <c r="E455" s="3" t="n">
        <v>2181</v>
      </c>
      <c r="F455" s="8" t="n">
        <v>2.612</v>
      </c>
      <c r="G455" s="4" t="n">
        <v>311.5442</v>
      </c>
      <c r="H455" s="4" t="n">
        <v>707.1926999999999</v>
      </c>
      <c r="I455" s="4" t="n">
        <v>21.065</v>
      </c>
      <c r="J455" s="4" t="n">
        <v>21.32</v>
      </c>
      <c r="K455" s="4" t="n">
        <v>20.2825</v>
      </c>
      <c r="L455" s="4" t="n">
        <v>20.695</v>
      </c>
      <c r="M455" s="7" t="n">
        <v>-0.0176</v>
      </c>
    </row>
    <row r="456">
      <c r="A456" s="6" t="n">
        <v>44592</v>
      </c>
      <c r="B456" s="2" t="inlineStr">
        <is>
          <t>Monday</t>
        </is>
      </c>
      <c r="C456" s="5" t="n">
        <v>44562</v>
      </c>
      <c r="D456" s="2" t="inlineStr">
        <is>
          <t>Q4FY22</t>
        </is>
      </c>
      <c r="E456" s="3" t="n">
        <v>2227</v>
      </c>
      <c r="F456" s="8" t="n">
        <v>2.2881</v>
      </c>
      <c r="G456" s="4" t="n">
        <v>252.891</v>
      </c>
      <c r="H456" s="4" t="n">
        <v>604.5504</v>
      </c>
      <c r="I456" s="4" t="n">
        <v>20.695</v>
      </c>
      <c r="J456" s="4" t="n">
        <v>22.11</v>
      </c>
      <c r="K456" s="4" t="n">
        <v>20.695</v>
      </c>
      <c r="L456" s="4" t="n">
        <v>21.9525</v>
      </c>
      <c r="M456" s="7" t="n">
        <v>0.0608</v>
      </c>
    </row>
    <row r="457">
      <c r="A457" s="6" t="n">
        <v>44593</v>
      </c>
      <c r="B457" s="2" t="inlineStr">
        <is>
          <t>Tuesday</t>
        </is>
      </c>
      <c r="C457" s="5" t="n">
        <v>44593</v>
      </c>
      <c r="D457" s="2" t="inlineStr">
        <is>
          <t>Q4FY22</t>
        </is>
      </c>
      <c r="E457" s="3" t="n">
        <v>2171</v>
      </c>
      <c r="F457" s="8" t="n">
        <v>2.4733</v>
      </c>
      <c r="G457" s="4" t="n">
        <v>326.5785</v>
      </c>
      <c r="H457" s="4" t="n">
        <v>706.03</v>
      </c>
      <c r="I457" s="4" t="n">
        <v>21.9525</v>
      </c>
      <c r="J457" s="4" t="n">
        <v>22.07</v>
      </c>
      <c r="K457" s="4" t="n">
        <v>19.745</v>
      </c>
      <c r="L457" s="4" t="n">
        <v>19.9775</v>
      </c>
      <c r="M457" s="7" t="n">
        <v>-0.09</v>
      </c>
    </row>
    <row r="458">
      <c r="A458" s="6" t="n">
        <v>44594</v>
      </c>
      <c r="B458" s="2" t="inlineStr">
        <is>
          <t>Wednesday</t>
        </is>
      </c>
      <c r="C458" s="5" t="n">
        <v>44593</v>
      </c>
      <c r="D458" s="2" t="inlineStr">
        <is>
          <t>Q4FY22</t>
        </is>
      </c>
      <c r="E458" s="3" t="n">
        <v>2203</v>
      </c>
      <c r="F458" s="8" t="n">
        <v>2.1864</v>
      </c>
      <c r="G458" s="4" t="n">
        <v>293.3427</v>
      </c>
      <c r="H458" s="4" t="n">
        <v>600.4151000000001</v>
      </c>
      <c r="I458" s="4" t="n">
        <v>19.9775</v>
      </c>
      <c r="J458" s="4" t="n">
        <v>19.9775</v>
      </c>
      <c r="K458" s="4" t="n">
        <v>18.5475</v>
      </c>
      <c r="L458" s="4" t="n">
        <v>18.65</v>
      </c>
      <c r="M458" s="7" t="n">
        <v>-0.0664</v>
      </c>
    </row>
    <row r="459">
      <c r="A459" s="6" t="n">
        <v>44595</v>
      </c>
      <c r="B459" s="2" t="inlineStr">
        <is>
          <t>Thursday</t>
        </is>
      </c>
      <c r="C459" s="5" t="n">
        <v>44593</v>
      </c>
      <c r="D459" s="2" t="inlineStr">
        <is>
          <t>Q4FY22</t>
        </is>
      </c>
      <c r="E459" s="3" t="n">
        <v>2190</v>
      </c>
      <c r="F459" s="8" t="n">
        <v>2.1958</v>
      </c>
      <c r="G459" s="4" t="n">
        <v>288.05</v>
      </c>
      <c r="H459" s="4" t="n">
        <v>575.8164</v>
      </c>
      <c r="I459" s="4" t="n">
        <v>18.65</v>
      </c>
      <c r="J459" s="4" t="n">
        <v>19.595</v>
      </c>
      <c r="K459" s="4" t="n">
        <v>17.4075</v>
      </c>
      <c r="L459" s="4" t="n">
        <v>19.16</v>
      </c>
      <c r="M459" s="7" t="n">
        <v>0.0273</v>
      </c>
    </row>
    <row r="460">
      <c r="A460" s="6" t="n">
        <v>44596</v>
      </c>
      <c r="B460" s="2" t="inlineStr">
        <is>
          <t>Friday</t>
        </is>
      </c>
      <c r="C460" s="5" t="n">
        <v>44593</v>
      </c>
      <c r="D460" s="2" t="inlineStr">
        <is>
          <t>Q4FY22</t>
        </is>
      </c>
      <c r="E460" s="3" t="n">
        <v>2177</v>
      </c>
      <c r="F460" s="8" t="n">
        <v>2.0829</v>
      </c>
      <c r="G460" s="4" t="n">
        <v>255.0947</v>
      </c>
      <c r="H460" s="4" t="n">
        <v>556.2696999999999</v>
      </c>
      <c r="I460" s="4" t="n">
        <v>19.16</v>
      </c>
      <c r="J460" s="4" t="n">
        <v>19.7775</v>
      </c>
      <c r="K460" s="4" t="n">
        <v>18.595</v>
      </c>
      <c r="L460" s="4" t="n">
        <v>18.8975</v>
      </c>
      <c r="M460" s="7" t="n">
        <v>-0.0137</v>
      </c>
    </row>
    <row r="461">
      <c r="A461" s="6" t="n">
        <v>44599</v>
      </c>
      <c r="B461" s="2" t="inlineStr">
        <is>
          <t>Monday</t>
        </is>
      </c>
      <c r="C461" s="5" t="n">
        <v>44593</v>
      </c>
      <c r="D461" s="2" t="inlineStr">
        <is>
          <t>Q4FY22</t>
        </is>
      </c>
      <c r="E461" s="3" t="n">
        <v>2220</v>
      </c>
      <c r="F461" s="8" t="n">
        <v>2.2805</v>
      </c>
      <c r="G461" s="4" t="n">
        <v>294.1658</v>
      </c>
      <c r="H461" s="4" t="n">
        <v>584.6141</v>
      </c>
      <c r="I461" s="4" t="n">
        <v>18.8975</v>
      </c>
      <c r="J461" s="4" t="n">
        <v>21.0825</v>
      </c>
      <c r="K461" s="4" t="n">
        <v>18.1825</v>
      </c>
      <c r="L461" s="4" t="n">
        <v>20.4375</v>
      </c>
      <c r="M461" s="7" t="n">
        <v>0.0815</v>
      </c>
    </row>
    <row r="462">
      <c r="A462" s="6" t="n">
        <v>44600</v>
      </c>
      <c r="B462" s="2" t="inlineStr">
        <is>
          <t>Tuesday</t>
        </is>
      </c>
      <c r="C462" s="5" t="n">
        <v>44593</v>
      </c>
      <c r="D462" s="2" t="inlineStr">
        <is>
          <t>Q4FY22</t>
        </is>
      </c>
      <c r="E462" s="3" t="n">
        <v>2177</v>
      </c>
      <c r="F462" s="8" t="n">
        <v>2.3431</v>
      </c>
      <c r="G462" s="4" t="n">
        <v>306.7436</v>
      </c>
      <c r="H462" s="4" t="n">
        <v>625.9195999999999</v>
      </c>
      <c r="I462" s="4" t="n">
        <v>20.4375</v>
      </c>
      <c r="J462" s="4" t="n">
        <v>20.9375</v>
      </c>
      <c r="K462" s="4" t="n">
        <v>19.555</v>
      </c>
      <c r="L462" s="4" t="n">
        <v>19.685</v>
      </c>
      <c r="M462" s="7" t="n">
        <v>-0.0368</v>
      </c>
    </row>
    <row r="463">
      <c r="A463" s="6" t="n">
        <v>44601</v>
      </c>
      <c r="B463" s="2" t="inlineStr">
        <is>
          <t>Wednesday</t>
        </is>
      </c>
      <c r="C463" s="5" t="n">
        <v>44593</v>
      </c>
      <c r="D463" s="2" t="inlineStr">
        <is>
          <t>Q4FY22</t>
        </is>
      </c>
      <c r="E463" s="3" t="n">
        <v>2183</v>
      </c>
      <c r="F463" s="8" t="n">
        <v>2.0002</v>
      </c>
      <c r="G463" s="4" t="n">
        <v>229.8296</v>
      </c>
      <c r="H463" s="4" t="n">
        <v>526.5889</v>
      </c>
      <c r="I463" s="4" t="n">
        <v>19.685</v>
      </c>
      <c r="J463" s="4" t="n">
        <v>19.685</v>
      </c>
      <c r="K463" s="4" t="n">
        <v>17.885</v>
      </c>
      <c r="L463" s="4" t="n">
        <v>18.555</v>
      </c>
      <c r="M463" s="7" t="n">
        <v>-0.0574</v>
      </c>
    </row>
    <row r="464">
      <c r="A464" s="6" t="n">
        <v>44602</v>
      </c>
      <c r="B464" s="2" t="inlineStr">
        <is>
          <t>Thursday</t>
        </is>
      </c>
      <c r="C464" s="5" t="n">
        <v>44593</v>
      </c>
      <c r="D464" s="2" t="inlineStr">
        <is>
          <t>Q4FY22</t>
        </is>
      </c>
      <c r="E464" s="3" t="n">
        <v>2157</v>
      </c>
      <c r="F464" s="8" t="n">
        <v>2.2048</v>
      </c>
      <c r="G464" s="4" t="n">
        <v>266.37</v>
      </c>
      <c r="H464" s="4" t="n">
        <v>583.7857</v>
      </c>
      <c r="I464" s="4" t="n">
        <v>18.555</v>
      </c>
      <c r="J464" s="4" t="n">
        <v>18.925</v>
      </c>
      <c r="K464" s="4" t="n">
        <v>16.8</v>
      </c>
      <c r="L464" s="4" t="n">
        <v>17.71</v>
      </c>
      <c r="M464" s="7" t="n">
        <v>-0.0455</v>
      </c>
    </row>
    <row r="465">
      <c r="A465" s="6" t="n">
        <v>44603</v>
      </c>
      <c r="B465" s="2" t="inlineStr">
        <is>
          <t>Friday</t>
        </is>
      </c>
      <c r="C465" s="5" t="n">
        <v>44593</v>
      </c>
      <c r="D465" s="2" t="inlineStr">
        <is>
          <t>Q4FY22</t>
        </is>
      </c>
      <c r="E465" s="3" t="n">
        <v>2158</v>
      </c>
      <c r="F465" s="8" t="n">
        <v>2.2975</v>
      </c>
      <c r="G465" s="4" t="n">
        <v>243.0349</v>
      </c>
      <c r="H465" s="4" t="n">
        <v>597.7787</v>
      </c>
      <c r="I465" s="4" t="n">
        <v>17.71</v>
      </c>
      <c r="J465" s="4" t="n">
        <v>19.5325</v>
      </c>
      <c r="K465" s="4" t="n">
        <v>16.855</v>
      </c>
      <c r="L465" s="4" t="n">
        <v>18.68</v>
      </c>
      <c r="M465" s="7" t="n">
        <v>0.0548</v>
      </c>
    </row>
    <row r="466">
      <c r="A466" s="6" t="n">
        <v>44606</v>
      </c>
      <c r="B466" s="2" t="inlineStr">
        <is>
          <t>Monday</t>
        </is>
      </c>
      <c r="C466" s="5" t="n">
        <v>44593</v>
      </c>
      <c r="D466" s="2" t="inlineStr">
        <is>
          <t>Q4FY22</t>
        </is>
      </c>
      <c r="E466" s="3" t="n">
        <v>2211</v>
      </c>
      <c r="F466" s="8" t="n">
        <v>2.7567</v>
      </c>
      <c r="G466" s="4" t="n">
        <v>274.1035</v>
      </c>
      <c r="H466" s="4" t="n">
        <v>623.996</v>
      </c>
      <c r="I466" s="4" t="n">
        <v>18.68</v>
      </c>
      <c r="J466" s="4" t="n">
        <v>23.535</v>
      </c>
      <c r="K466" s="4" t="n">
        <v>18.68</v>
      </c>
      <c r="L466" s="4" t="n">
        <v>22.9775</v>
      </c>
      <c r="M466" s="7" t="n">
        <v>0.2301</v>
      </c>
    </row>
    <row r="467">
      <c r="A467" s="6" t="n">
        <v>44607</v>
      </c>
      <c r="B467" s="2" t="inlineStr">
        <is>
          <t>Tuesday</t>
        </is>
      </c>
      <c r="C467" s="5" t="n">
        <v>44593</v>
      </c>
      <c r="D467" s="2" t="inlineStr">
        <is>
          <t>Q4FY22</t>
        </is>
      </c>
      <c r="E467" s="3" t="n">
        <v>2189</v>
      </c>
      <c r="F467" s="8" t="n">
        <v>2.4886</v>
      </c>
      <c r="G467" s="4" t="n">
        <v>280.2171</v>
      </c>
      <c r="H467" s="4" t="n">
        <v>612.4426</v>
      </c>
      <c r="I467" s="4" t="n">
        <v>22.9775</v>
      </c>
      <c r="J467" s="4" t="n">
        <v>23.14</v>
      </c>
      <c r="K467" s="4" t="n">
        <v>20.435</v>
      </c>
      <c r="L467" s="4" t="n">
        <v>20.6125</v>
      </c>
      <c r="M467" s="7" t="n">
        <v>-0.1029</v>
      </c>
    </row>
    <row r="468">
      <c r="A468" s="6" t="n">
        <v>44608</v>
      </c>
      <c r="B468" s="2" t="inlineStr">
        <is>
          <t>Wednesday</t>
        </is>
      </c>
      <c r="C468" s="5" t="n">
        <v>44593</v>
      </c>
      <c r="D468" s="2" t="inlineStr">
        <is>
          <t>Q4FY22</t>
        </is>
      </c>
      <c r="E468" s="3" t="n">
        <v>2178</v>
      </c>
      <c r="F468" s="8" t="n">
        <v>2.0517</v>
      </c>
      <c r="G468" s="4" t="n">
        <v>263.6615</v>
      </c>
      <c r="H468" s="4" t="n">
        <v>553.3616</v>
      </c>
      <c r="I468" s="4" t="n">
        <v>20.6125</v>
      </c>
      <c r="J468" s="4" t="n">
        <v>21.02</v>
      </c>
      <c r="K468" s="4" t="n">
        <v>19.3525</v>
      </c>
      <c r="L468" s="4" t="n">
        <v>20.5925</v>
      </c>
      <c r="M468" s="7" t="n">
        <v>-0.001</v>
      </c>
    </row>
    <row r="469">
      <c r="A469" s="6" t="n">
        <v>44609</v>
      </c>
      <c r="B469" s="2" t="inlineStr">
        <is>
          <t>Thursday</t>
        </is>
      </c>
      <c r="C469" s="5" t="n">
        <v>44593</v>
      </c>
      <c r="D469" s="2" t="inlineStr">
        <is>
          <t>Q4FY22</t>
        </is>
      </c>
      <c r="E469" s="3" t="n">
        <v>2164</v>
      </c>
      <c r="F469" s="8" t="n">
        <v>1.7113</v>
      </c>
      <c r="G469" s="4" t="n">
        <v>203.5103</v>
      </c>
      <c r="H469" s="4" t="n">
        <v>468.178</v>
      </c>
      <c r="I469" s="4" t="n">
        <v>20.5925</v>
      </c>
      <c r="J469" s="4" t="n">
        <v>22.37</v>
      </c>
      <c r="K469" s="4" t="n">
        <v>19.4625</v>
      </c>
      <c r="L469" s="4" t="n">
        <v>22.005</v>
      </c>
      <c r="M469" s="7" t="n">
        <v>0.06859999999999999</v>
      </c>
    </row>
    <row r="470">
      <c r="A470" s="6" t="n">
        <v>44610</v>
      </c>
      <c r="B470" s="2" t="inlineStr">
        <is>
          <t>Friday</t>
        </is>
      </c>
      <c r="C470" s="5" t="n">
        <v>44593</v>
      </c>
      <c r="D470" s="2" t="inlineStr">
        <is>
          <t>Q4FY22</t>
        </is>
      </c>
      <c r="E470" s="3" t="n">
        <v>2179</v>
      </c>
      <c r="F470" s="8" t="n">
        <v>1.5925</v>
      </c>
      <c r="G470" s="4" t="n">
        <v>179.5686</v>
      </c>
      <c r="H470" s="4" t="n">
        <v>400.5547</v>
      </c>
      <c r="I470" s="4" t="n">
        <v>22.005</v>
      </c>
      <c r="J470" s="4" t="n">
        <v>23.21</v>
      </c>
      <c r="K470" s="4" t="n">
        <v>21.635</v>
      </c>
      <c r="L470" s="4" t="n">
        <v>22.165</v>
      </c>
      <c r="M470" s="7" t="n">
        <v>0.0073</v>
      </c>
    </row>
    <row r="471">
      <c r="A471" s="6" t="n">
        <v>44613</v>
      </c>
      <c r="B471" s="2" t="inlineStr">
        <is>
          <t>Monday</t>
        </is>
      </c>
      <c r="C471" s="5" t="n">
        <v>44593</v>
      </c>
      <c r="D471" s="2" t="inlineStr">
        <is>
          <t>Q4FY22</t>
        </is>
      </c>
      <c r="E471" s="3" t="n">
        <v>2230</v>
      </c>
      <c r="F471" s="8" t="n">
        <v>1.9554</v>
      </c>
      <c r="G471" s="4" t="n">
        <v>258.1476</v>
      </c>
      <c r="H471" s="4" t="n">
        <v>480.5174</v>
      </c>
      <c r="I471" s="4" t="n">
        <v>22.165</v>
      </c>
      <c r="J471" s="4" t="n">
        <v>23.755</v>
      </c>
      <c r="K471" s="4" t="n">
        <v>20.57</v>
      </c>
      <c r="L471" s="4" t="n">
        <v>22.9025</v>
      </c>
      <c r="M471" s="7" t="n">
        <v>0.0333</v>
      </c>
    </row>
    <row r="472">
      <c r="A472" s="6" t="n">
        <v>44614</v>
      </c>
      <c r="B472" s="2" t="inlineStr">
        <is>
          <t>Tuesday</t>
        </is>
      </c>
      <c r="C472" s="5" t="n">
        <v>44593</v>
      </c>
      <c r="D472" s="2" t="inlineStr">
        <is>
          <t>Q4FY22</t>
        </is>
      </c>
      <c r="E472" s="3" t="n">
        <v>2190</v>
      </c>
      <c r="F472" s="8" t="n">
        <v>2.2818</v>
      </c>
      <c r="G472" s="4" t="n">
        <v>252.6077</v>
      </c>
      <c r="H472" s="4" t="n">
        <v>572.8665999999999</v>
      </c>
      <c r="I472" s="4" t="n">
        <v>22.9025</v>
      </c>
      <c r="J472" s="4" t="n">
        <v>27.815</v>
      </c>
      <c r="K472" s="4" t="n">
        <v>22.9025</v>
      </c>
      <c r="L472" s="4" t="n">
        <v>26.6625</v>
      </c>
      <c r="M472" s="7" t="n">
        <v>0.1642</v>
      </c>
    </row>
    <row r="473">
      <c r="A473" s="6" t="n">
        <v>44615</v>
      </c>
      <c r="B473" s="2" t="inlineStr">
        <is>
          <t>Wednesday</t>
        </is>
      </c>
      <c r="C473" s="5" t="n">
        <v>44593</v>
      </c>
      <c r="D473" s="2" t="inlineStr">
        <is>
          <t>Q4FY22</t>
        </is>
      </c>
      <c r="E473" s="3" t="n">
        <v>2180</v>
      </c>
      <c r="F473" s="8" t="n">
        <v>1.8085</v>
      </c>
      <c r="G473" s="4" t="n">
        <v>215.5174</v>
      </c>
      <c r="H473" s="4" t="n">
        <v>449.5353</v>
      </c>
      <c r="I473" s="4" t="n">
        <v>26.6625</v>
      </c>
      <c r="J473" s="4" t="n">
        <v>26.6625</v>
      </c>
      <c r="K473" s="4" t="n">
        <v>23.9075</v>
      </c>
      <c r="L473" s="4" t="n">
        <v>24.5425</v>
      </c>
      <c r="M473" s="7" t="n">
        <v>-0.0795</v>
      </c>
    </row>
    <row r="474">
      <c r="A474" s="6" t="n">
        <v>44616</v>
      </c>
      <c r="B474" s="2" t="inlineStr">
        <is>
          <t>Thursday</t>
        </is>
      </c>
      <c r="C474" s="5" t="n">
        <v>44593</v>
      </c>
      <c r="D474" s="2" t="inlineStr">
        <is>
          <t>Q4FY22</t>
        </is>
      </c>
      <c r="E474" s="3" t="n">
        <v>2226</v>
      </c>
      <c r="F474" s="8" t="n">
        <v>3.3429</v>
      </c>
      <c r="G474" s="4" t="n">
        <v>385.9544</v>
      </c>
      <c r="H474" s="4" t="n">
        <v>851.1446</v>
      </c>
      <c r="I474" s="4" t="n">
        <v>24.5425</v>
      </c>
      <c r="J474" s="4" t="n">
        <v>33.9725</v>
      </c>
      <c r="K474" s="4" t="n">
        <v>24.5425</v>
      </c>
      <c r="L474" s="4" t="n">
        <v>31.9825</v>
      </c>
      <c r="M474" s="7" t="n">
        <v>0.3031</v>
      </c>
    </row>
    <row r="475">
      <c r="A475" s="6" t="n">
        <v>44617</v>
      </c>
      <c r="B475" s="2" t="inlineStr">
        <is>
          <t>Friday</t>
        </is>
      </c>
      <c r="C475" s="5" t="n">
        <v>44593</v>
      </c>
      <c r="D475" s="2" t="inlineStr">
        <is>
          <t>Q4FY22</t>
        </is>
      </c>
      <c r="E475" s="3" t="n">
        <v>2168</v>
      </c>
      <c r="F475" s="8" t="n">
        <v>2.3185</v>
      </c>
      <c r="G475" s="4" t="n">
        <v>295.7017</v>
      </c>
      <c r="H475" s="4" t="n">
        <v>624.8337</v>
      </c>
      <c r="I475" s="4" t="n">
        <v>31.9825</v>
      </c>
      <c r="J475" s="4" t="n">
        <v>31.9825</v>
      </c>
      <c r="K475" s="4" t="n">
        <v>26.15</v>
      </c>
      <c r="L475" s="4" t="n">
        <v>26.74</v>
      </c>
      <c r="M475" s="7" t="n">
        <v>-0.1639</v>
      </c>
    </row>
    <row r="476">
      <c r="A476" s="6" t="n">
        <v>44620</v>
      </c>
      <c r="B476" s="2" t="inlineStr">
        <is>
          <t>Monday</t>
        </is>
      </c>
      <c r="C476" s="5" t="n">
        <v>44593</v>
      </c>
      <c r="D476" s="2" t="inlineStr">
        <is>
          <t>Q4FY22</t>
        </is>
      </c>
      <c r="E476" s="3" t="n">
        <v>2192</v>
      </c>
      <c r="F476" s="8" t="n">
        <v>2.2562</v>
      </c>
      <c r="G476" s="4" t="n">
        <v>291.1028</v>
      </c>
      <c r="H476" s="4" t="n">
        <v>693.7848</v>
      </c>
      <c r="I476" s="4" t="n">
        <v>26.74</v>
      </c>
      <c r="J476" s="4" t="n">
        <v>29.785</v>
      </c>
      <c r="K476" s="4" t="n">
        <v>26.74</v>
      </c>
      <c r="L476" s="4" t="n">
        <v>28.57</v>
      </c>
      <c r="M476" s="7" t="n">
        <v>0.0684</v>
      </c>
    </row>
    <row r="477">
      <c r="A477" s="6" t="n">
        <v>44622</v>
      </c>
      <c r="B477" s="2" t="inlineStr">
        <is>
          <t>Wednesday</t>
        </is>
      </c>
      <c r="C477" s="5" t="n">
        <v>44621</v>
      </c>
      <c r="D477" s="2" t="inlineStr">
        <is>
          <t>Q4FY22</t>
        </is>
      </c>
      <c r="E477" s="3" t="n">
        <v>2198</v>
      </c>
      <c r="F477" s="8" t="n">
        <v>2.4854</v>
      </c>
      <c r="G477" s="4" t="n">
        <v>266.2907</v>
      </c>
      <c r="H477" s="4" t="n">
        <v>725.6342</v>
      </c>
      <c r="I477" s="4" t="n">
        <v>28.57</v>
      </c>
      <c r="J477" s="4" t="n">
        <v>30.8425</v>
      </c>
      <c r="K477" s="4" t="n">
        <v>28.57</v>
      </c>
      <c r="L477" s="4" t="n">
        <v>29.2325</v>
      </c>
      <c r="M477" s="7" t="n">
        <v>0.0232</v>
      </c>
    </row>
    <row r="478">
      <c r="A478" s="6" t="n">
        <v>44623</v>
      </c>
      <c r="B478" s="2" t="inlineStr">
        <is>
          <t>Thursday</t>
        </is>
      </c>
      <c r="C478" s="5" t="n">
        <v>44621</v>
      </c>
      <c r="D478" s="2" t="inlineStr">
        <is>
          <t>Q4FY22</t>
        </is>
      </c>
      <c r="E478" s="3" t="n">
        <v>2172</v>
      </c>
      <c r="F478" s="8" t="n">
        <v>2.2892</v>
      </c>
      <c r="G478" s="4" t="n">
        <v>275.645</v>
      </c>
      <c r="H478" s="4" t="n">
        <v>654.789</v>
      </c>
      <c r="I478" s="4" t="n">
        <v>29.2325</v>
      </c>
      <c r="J478" s="4" t="n">
        <v>29.2325</v>
      </c>
      <c r="K478" s="4" t="n">
        <v>27.2225</v>
      </c>
      <c r="L478" s="4" t="n">
        <v>28.155</v>
      </c>
      <c r="M478" s="7" t="n">
        <v>-0.0369</v>
      </c>
    </row>
    <row r="479">
      <c r="A479" s="6" t="n">
        <v>44624</v>
      </c>
      <c r="B479" s="2" t="inlineStr">
        <is>
          <t>Friday</t>
        </is>
      </c>
      <c r="C479" s="5" t="n">
        <v>44621</v>
      </c>
      <c r="D479" s="2" t="inlineStr">
        <is>
          <t>Q4FY22</t>
        </is>
      </c>
      <c r="E479" s="3" t="n">
        <v>2186</v>
      </c>
      <c r="F479" s="8" t="n">
        <v>2.5335</v>
      </c>
      <c r="G479" s="4" t="n">
        <v>288.8998</v>
      </c>
      <c r="H479" s="4" t="n">
        <v>692.605</v>
      </c>
      <c r="I479" s="4" t="n">
        <v>28.155</v>
      </c>
      <c r="J479" s="4" t="n">
        <v>29.925</v>
      </c>
      <c r="K479" s="4" t="n">
        <v>27.2225</v>
      </c>
      <c r="L479" s="4" t="n">
        <v>27.9575</v>
      </c>
      <c r="M479" s="7" t="n">
        <v>-0.007</v>
      </c>
    </row>
    <row r="480">
      <c r="A480" s="6" t="n">
        <v>44627</v>
      </c>
      <c r="B480" s="2" t="inlineStr">
        <is>
          <t>Monday</t>
        </is>
      </c>
      <c r="C480" s="5" t="n">
        <v>44621</v>
      </c>
      <c r="D480" s="2" t="inlineStr">
        <is>
          <t>Q4FY22</t>
        </is>
      </c>
      <c r="E480" s="3" t="n">
        <v>2243</v>
      </c>
      <c r="F480" s="8" t="n">
        <v>2.7472</v>
      </c>
      <c r="G480" s="4" t="n">
        <v>277.2356</v>
      </c>
      <c r="H480" s="4" t="n">
        <v>710.0703</v>
      </c>
      <c r="I480" s="4" t="n">
        <v>27.9575</v>
      </c>
      <c r="J480" s="4" t="n">
        <v>30.2775</v>
      </c>
      <c r="K480" s="4" t="n">
        <v>27.9575</v>
      </c>
      <c r="L480" s="4" t="n">
        <v>29.33</v>
      </c>
      <c r="M480" s="7" t="n">
        <v>0.0491</v>
      </c>
    </row>
    <row r="481">
      <c r="A481" s="6" t="n">
        <v>44628</v>
      </c>
      <c r="B481" s="2" t="inlineStr">
        <is>
          <t>Tuesday</t>
        </is>
      </c>
      <c r="C481" s="5" t="n">
        <v>44621</v>
      </c>
      <c r="D481" s="2" t="inlineStr">
        <is>
          <t>Q4FY22</t>
        </is>
      </c>
      <c r="E481" s="3" t="n">
        <v>2188</v>
      </c>
      <c r="F481" s="8" t="n">
        <v>2.5535</v>
      </c>
      <c r="G481" s="4" t="n">
        <v>265.9613</v>
      </c>
      <c r="H481" s="4" t="n">
        <v>726.2914</v>
      </c>
      <c r="I481" s="4" t="n">
        <v>29.33</v>
      </c>
      <c r="J481" s="4" t="n">
        <v>30.0575</v>
      </c>
      <c r="K481" s="4" t="n">
        <v>27.1125</v>
      </c>
      <c r="L481" s="4" t="n">
        <v>28.5875</v>
      </c>
      <c r="M481" s="7" t="n">
        <v>-0.0253</v>
      </c>
    </row>
    <row r="482">
      <c r="A482" s="6" t="n">
        <v>44629</v>
      </c>
      <c r="B482" s="2" t="inlineStr">
        <is>
          <t>Wednesday</t>
        </is>
      </c>
      <c r="C482" s="5" t="n">
        <v>44621</v>
      </c>
      <c r="D482" s="2" t="inlineStr">
        <is>
          <t>Q4FY22</t>
        </is>
      </c>
      <c r="E482" s="3" t="n">
        <v>2191</v>
      </c>
      <c r="F482" s="8" t="n">
        <v>2.3284</v>
      </c>
      <c r="G482" s="4" t="n">
        <v>264.7421</v>
      </c>
      <c r="H482" s="4" t="n">
        <v>692.1333</v>
      </c>
      <c r="I482" s="4" t="n">
        <v>28.5875</v>
      </c>
      <c r="J482" s="4" t="n">
        <v>28.5875</v>
      </c>
      <c r="K482" s="4" t="n">
        <v>27.305</v>
      </c>
      <c r="L482" s="4" t="n">
        <v>27.4675</v>
      </c>
      <c r="M482" s="7" t="n">
        <v>-0.0392</v>
      </c>
    </row>
    <row r="483">
      <c r="A483" s="6" t="n">
        <v>44630</v>
      </c>
      <c r="B483" s="2" t="inlineStr">
        <is>
          <t>Thursday</t>
        </is>
      </c>
      <c r="C483" s="5" t="n">
        <v>44621</v>
      </c>
      <c r="D483" s="2" t="inlineStr">
        <is>
          <t>Q4FY22</t>
        </is>
      </c>
      <c r="E483" s="3" t="n">
        <v>2194</v>
      </c>
      <c r="F483" s="8" t="n">
        <v>2.3826</v>
      </c>
      <c r="G483" s="4" t="n">
        <v>272.4756</v>
      </c>
      <c r="H483" s="4" t="n">
        <v>738.0414</v>
      </c>
      <c r="I483" s="4" t="n">
        <v>27.4675</v>
      </c>
      <c r="J483" s="4" t="n">
        <v>27.4675</v>
      </c>
      <c r="K483" s="4" t="n">
        <v>22.9625</v>
      </c>
      <c r="L483" s="4" t="n">
        <v>25.5825</v>
      </c>
      <c r="M483" s="7" t="n">
        <v>-0.06859999999999999</v>
      </c>
    </row>
    <row r="484">
      <c r="A484" s="6" t="n">
        <v>44631</v>
      </c>
      <c r="B484" s="2" t="inlineStr">
        <is>
          <t>Friday</t>
        </is>
      </c>
      <c r="C484" s="5" t="n">
        <v>44621</v>
      </c>
      <c r="D484" s="2" t="inlineStr">
        <is>
          <t>Q4FY22</t>
        </is>
      </c>
      <c r="E484" s="3" t="n">
        <v>2175</v>
      </c>
      <c r="F484" s="8" t="n">
        <v>2.0308</v>
      </c>
      <c r="G484" s="4" t="n">
        <v>226.662</v>
      </c>
      <c r="H484" s="4" t="n">
        <v>585.3887</v>
      </c>
      <c r="I484" s="4" t="n">
        <v>25.5825</v>
      </c>
      <c r="J484" s="4" t="n">
        <v>25.8725</v>
      </c>
      <c r="K484" s="4" t="n">
        <v>24.58</v>
      </c>
      <c r="L484" s="4" t="n">
        <v>25.345</v>
      </c>
      <c r="M484" s="7" t="n">
        <v>-0.009299999999999999</v>
      </c>
    </row>
    <row r="485">
      <c r="A485" s="6" t="n">
        <v>44634</v>
      </c>
      <c r="B485" s="2" t="inlineStr">
        <is>
          <t>Monday</t>
        </is>
      </c>
      <c r="C485" s="5" t="n">
        <v>44621</v>
      </c>
      <c r="D485" s="2" t="inlineStr">
        <is>
          <t>Q4FY22</t>
        </is>
      </c>
      <c r="E485" s="3" t="n">
        <v>2194</v>
      </c>
      <c r="F485" s="8" t="n">
        <v>2.1133</v>
      </c>
      <c r="G485" s="4" t="n">
        <v>226.9194</v>
      </c>
      <c r="H485" s="4" t="n">
        <v>605.7908</v>
      </c>
      <c r="I485" s="4" t="n">
        <v>25.345</v>
      </c>
      <c r="J485" s="4" t="n">
        <v>26.2125</v>
      </c>
      <c r="K485" s="4" t="n">
        <v>25.09</v>
      </c>
      <c r="L485" s="4" t="n">
        <v>25.6775</v>
      </c>
      <c r="M485" s="7" t="n">
        <v>0.0131</v>
      </c>
    </row>
    <row r="486">
      <c r="A486" s="6" t="n">
        <v>44635</v>
      </c>
      <c r="B486" s="2" t="inlineStr">
        <is>
          <t>Tuesday</t>
        </is>
      </c>
      <c r="C486" s="5" t="n">
        <v>44621</v>
      </c>
      <c r="D486" s="2" t="inlineStr">
        <is>
          <t>Q4FY22</t>
        </is>
      </c>
      <c r="E486" s="3" t="n">
        <v>2175</v>
      </c>
      <c r="F486" s="8" t="n">
        <v>2.4483</v>
      </c>
      <c r="G486" s="4" t="n">
        <v>254.3038</v>
      </c>
      <c r="H486" s="4" t="n">
        <v>682.2349</v>
      </c>
      <c r="I486" s="4" t="n">
        <v>25.6775</v>
      </c>
      <c r="J486" s="4" t="n">
        <v>27.5425</v>
      </c>
      <c r="K486" s="4" t="n">
        <v>23.6575</v>
      </c>
      <c r="L486" s="4" t="n">
        <v>26.73</v>
      </c>
      <c r="M486" s="7" t="n">
        <v>0.041</v>
      </c>
    </row>
    <row r="487">
      <c r="A487" s="6" t="n">
        <v>44636</v>
      </c>
      <c r="B487" s="2" t="inlineStr">
        <is>
          <t>Wednesday</t>
        </is>
      </c>
      <c r="C487" s="5" t="n">
        <v>44621</v>
      </c>
      <c r="D487" s="2" t="inlineStr">
        <is>
          <t>Q4FY22</t>
        </is>
      </c>
      <c r="E487" s="3" t="n">
        <v>2179</v>
      </c>
      <c r="F487" s="8" t="n">
        <v>1.9731</v>
      </c>
      <c r="G487" s="4" t="n">
        <v>208.8473</v>
      </c>
      <c r="H487" s="4" t="n">
        <v>547.3337</v>
      </c>
      <c r="I487" s="4" t="n">
        <v>26.73</v>
      </c>
      <c r="J487" s="4" t="n">
        <v>26.73</v>
      </c>
      <c r="K487" s="4" t="n">
        <v>24.0125</v>
      </c>
      <c r="L487" s="4" t="n">
        <v>24.1175</v>
      </c>
      <c r="M487" s="7" t="n">
        <v>-0.0977</v>
      </c>
    </row>
    <row r="488">
      <c r="A488" s="6" t="n">
        <v>44637</v>
      </c>
      <c r="B488" s="2" t="inlineStr">
        <is>
          <t>Thursday</t>
        </is>
      </c>
      <c r="C488" s="5" t="n">
        <v>44621</v>
      </c>
      <c r="D488" s="2" t="inlineStr">
        <is>
          <t>Q4FY22</t>
        </is>
      </c>
      <c r="E488" s="3" t="n">
        <v>2204</v>
      </c>
      <c r="F488" s="8" t="n">
        <v>2.3729</v>
      </c>
      <c r="G488" s="4" t="n">
        <v>356.2049</v>
      </c>
      <c r="H488" s="4" t="n">
        <v>860.076</v>
      </c>
      <c r="I488" s="4" t="n">
        <v>24.1175</v>
      </c>
      <c r="J488" s="4" t="n">
        <v>24.1175</v>
      </c>
      <c r="K488" s="4" t="n">
        <v>20.77</v>
      </c>
      <c r="L488" s="4" t="n">
        <v>22.61</v>
      </c>
      <c r="M488" s="7" t="n">
        <v>-0.0625</v>
      </c>
    </row>
    <row r="489">
      <c r="A489" s="6" t="n">
        <v>44641</v>
      </c>
      <c r="B489" s="2" t="inlineStr">
        <is>
          <t>Monday</t>
        </is>
      </c>
      <c r="C489" s="5" t="n">
        <v>44621</v>
      </c>
      <c r="D489" s="2" t="inlineStr">
        <is>
          <t>Q4FY22</t>
        </is>
      </c>
      <c r="E489" s="3" t="n">
        <v>2232</v>
      </c>
      <c r="F489" s="8" t="n">
        <v>2.1569</v>
      </c>
      <c r="G489" s="4" t="n">
        <v>226.1597</v>
      </c>
      <c r="H489" s="4" t="n">
        <v>589.1599</v>
      </c>
      <c r="I489" s="4" t="n">
        <v>22.61</v>
      </c>
      <c r="J489" s="4" t="n">
        <v>24.7125</v>
      </c>
      <c r="K489" s="4" t="n">
        <v>22.61</v>
      </c>
      <c r="L489" s="4" t="n">
        <v>24.6225</v>
      </c>
      <c r="M489" s="7" t="n">
        <v>0.089</v>
      </c>
    </row>
    <row r="490">
      <c r="A490" s="6" t="n">
        <v>44642</v>
      </c>
      <c r="B490" s="2" t="inlineStr">
        <is>
          <t>Tuesday</t>
        </is>
      </c>
      <c r="C490" s="5" t="n">
        <v>44621</v>
      </c>
      <c r="D490" s="2" t="inlineStr">
        <is>
          <t>Q4FY22</t>
        </is>
      </c>
      <c r="E490" s="3" t="n">
        <v>2190</v>
      </c>
      <c r="F490" s="8" t="n">
        <v>2.0934</v>
      </c>
      <c r="G490" s="4" t="n">
        <v>230.9576</v>
      </c>
      <c r="H490" s="4" t="n">
        <v>618.213</v>
      </c>
      <c r="I490" s="4" t="n">
        <v>24.6225</v>
      </c>
      <c r="J490" s="4" t="n">
        <v>25.1575</v>
      </c>
      <c r="K490" s="4" t="n">
        <v>23.76</v>
      </c>
      <c r="L490" s="4" t="n">
        <v>24.07</v>
      </c>
      <c r="M490" s="7" t="n">
        <v>-0.0224</v>
      </c>
    </row>
    <row r="491">
      <c r="A491" s="6" t="n">
        <v>44643</v>
      </c>
      <c r="B491" s="2" t="inlineStr">
        <is>
          <t>Wednesday</t>
        </is>
      </c>
      <c r="C491" s="5" t="n">
        <v>44621</v>
      </c>
      <c r="D491" s="2" t="inlineStr">
        <is>
          <t>Q4FY22</t>
        </is>
      </c>
      <c r="E491" s="3" t="n">
        <v>2174</v>
      </c>
      <c r="F491" s="8" t="n">
        <v>2.0569</v>
      </c>
      <c r="G491" s="4" t="n">
        <v>244.5907</v>
      </c>
      <c r="H491" s="4" t="n">
        <v>615.3632</v>
      </c>
      <c r="I491" s="4" t="n">
        <v>24.07</v>
      </c>
      <c r="J491" s="4" t="n">
        <v>24.975</v>
      </c>
      <c r="K491" s="4" t="n">
        <v>20.455</v>
      </c>
      <c r="L491" s="4" t="n">
        <v>24.7475</v>
      </c>
      <c r="M491" s="7" t="n">
        <v>0.0281</v>
      </c>
    </row>
    <row r="492">
      <c r="A492" s="6" t="n">
        <v>44644</v>
      </c>
      <c r="B492" s="2" t="inlineStr">
        <is>
          <t>Thursday</t>
        </is>
      </c>
      <c r="C492" s="5" t="n">
        <v>44621</v>
      </c>
      <c r="D492" s="2" t="inlineStr">
        <is>
          <t>Q4FY22</t>
        </is>
      </c>
      <c r="E492" s="3" t="n">
        <v>2192</v>
      </c>
      <c r="F492" s="8" t="n">
        <v>1.9849</v>
      </c>
      <c r="G492" s="4" t="n">
        <v>235.4835</v>
      </c>
      <c r="H492" s="4" t="n">
        <v>590.1078</v>
      </c>
      <c r="I492" s="4" t="n">
        <v>24.7475</v>
      </c>
      <c r="J492" s="4" t="n">
        <v>25.53</v>
      </c>
      <c r="K492" s="4" t="n">
        <v>23.8125</v>
      </c>
      <c r="L492" s="4" t="n">
        <v>23.93</v>
      </c>
      <c r="M492" s="7" t="n">
        <v>-0.033</v>
      </c>
    </row>
    <row r="493">
      <c r="A493" s="6" t="n">
        <v>44645</v>
      </c>
      <c r="B493" s="2" t="inlineStr">
        <is>
          <t>Friday</t>
        </is>
      </c>
      <c r="C493" s="5" t="n">
        <v>44621</v>
      </c>
      <c r="D493" s="2" t="inlineStr">
        <is>
          <t>Q4FY22</t>
        </is>
      </c>
      <c r="E493" s="3" t="n">
        <v>2192</v>
      </c>
      <c r="F493" s="8" t="n">
        <v>1.9433</v>
      </c>
      <c r="G493" s="4" t="n">
        <v>228.469</v>
      </c>
      <c r="H493" s="4" t="n">
        <v>584.6766</v>
      </c>
      <c r="I493" s="4" t="n">
        <v>23.93</v>
      </c>
      <c r="J493" s="4" t="n">
        <v>24.2725</v>
      </c>
      <c r="K493" s="4" t="n">
        <v>22.91</v>
      </c>
      <c r="L493" s="4" t="n">
        <v>23.43</v>
      </c>
      <c r="M493" s="7" t="n">
        <v>-0.0209</v>
      </c>
    </row>
    <row r="494">
      <c r="A494" s="6" t="n">
        <v>44648</v>
      </c>
      <c r="B494" s="2" t="inlineStr">
        <is>
          <t>Monday</t>
        </is>
      </c>
      <c r="C494" s="5" t="n">
        <v>44621</v>
      </c>
      <c r="D494" s="2" t="inlineStr">
        <is>
          <t>Q4FY22</t>
        </is>
      </c>
      <c r="E494" s="3" t="n">
        <v>2236</v>
      </c>
      <c r="F494" s="8" t="n">
        <v>2.1472</v>
      </c>
      <c r="G494" s="4" t="n">
        <v>251.0591</v>
      </c>
      <c r="H494" s="4" t="n">
        <v>590.0975</v>
      </c>
      <c r="I494" s="4" t="n">
        <v>23.43</v>
      </c>
      <c r="J494" s="4" t="n">
        <v>24.2125</v>
      </c>
      <c r="K494" s="4" t="n">
        <v>19.59</v>
      </c>
      <c r="L494" s="4" t="n">
        <v>22.61</v>
      </c>
      <c r="M494" s="7" t="n">
        <v>-0.035</v>
      </c>
    </row>
    <row r="495">
      <c r="A495" s="6" t="n">
        <v>44649</v>
      </c>
      <c r="B495" s="2" t="inlineStr">
        <is>
          <t>Tuesday</t>
        </is>
      </c>
      <c r="C495" s="5" t="n">
        <v>44621</v>
      </c>
      <c r="D495" s="2" t="inlineStr">
        <is>
          <t>Q4FY22</t>
        </is>
      </c>
      <c r="E495" s="3" t="n">
        <v>2226</v>
      </c>
      <c r="F495" s="8" t="n">
        <v>2.1781</v>
      </c>
      <c r="G495" s="4" t="n">
        <v>309.4415</v>
      </c>
      <c r="H495" s="4" t="n">
        <v>624.8308</v>
      </c>
      <c r="I495" s="4" t="n">
        <v>22.61</v>
      </c>
      <c r="J495" s="4" t="n">
        <v>22.61</v>
      </c>
      <c r="K495" s="4" t="n">
        <v>21.1025</v>
      </c>
      <c r="L495" s="4" t="n">
        <v>21.3025</v>
      </c>
      <c r="M495" s="7" t="n">
        <v>-0.0578</v>
      </c>
    </row>
    <row r="496">
      <c r="A496" s="6" t="n">
        <v>44650</v>
      </c>
      <c r="B496" s="2" t="inlineStr">
        <is>
          <t>Wednesday</t>
        </is>
      </c>
      <c r="C496" s="5" t="n">
        <v>44621</v>
      </c>
      <c r="D496" s="2" t="inlineStr">
        <is>
          <t>Q4FY22</t>
        </is>
      </c>
      <c r="E496" s="3" t="n">
        <v>2188</v>
      </c>
      <c r="F496" s="8" t="n">
        <v>2.2624</v>
      </c>
      <c r="G496" s="4" t="n">
        <v>328.7136</v>
      </c>
      <c r="H496" s="4" t="n">
        <v>747.0847</v>
      </c>
      <c r="I496" s="4" t="n">
        <v>21.3025</v>
      </c>
      <c r="J496" s="4" t="n">
        <v>21.3025</v>
      </c>
      <c r="K496" s="4" t="n">
        <v>19.73</v>
      </c>
      <c r="L496" s="4" t="n">
        <v>20.61</v>
      </c>
      <c r="M496" s="7" t="n">
        <v>-0.0325</v>
      </c>
    </row>
    <row r="497">
      <c r="A497" s="6" t="n">
        <v>44651</v>
      </c>
      <c r="B497" s="2" t="inlineStr">
        <is>
          <t>Thursday</t>
        </is>
      </c>
      <c r="C497" s="5" t="n">
        <v>44621</v>
      </c>
      <c r="D497" s="2" t="inlineStr">
        <is>
          <t>Q4FY22</t>
        </is>
      </c>
      <c r="E497" s="3" t="n">
        <v>2172</v>
      </c>
      <c r="F497" s="8" t="n">
        <v>2.0954</v>
      </c>
      <c r="G497" s="4" t="n">
        <v>284.6958</v>
      </c>
      <c r="H497" s="4" t="n">
        <v>668.6882000000001</v>
      </c>
      <c r="I497" s="4" t="n">
        <v>20.61</v>
      </c>
      <c r="J497" s="4" t="n">
        <v>20.9425</v>
      </c>
      <c r="K497" s="4" t="n">
        <v>20.2125</v>
      </c>
      <c r="L497" s="4" t="n">
        <v>20.56</v>
      </c>
      <c r="M497" s="7" t="n">
        <v>-0.0024</v>
      </c>
    </row>
    <row r="498">
      <c r="A498" s="6" t="n">
        <v>44652</v>
      </c>
      <c r="B498" s="2" t="inlineStr">
        <is>
          <t>Friday</t>
        </is>
      </c>
      <c r="C498" s="5" t="n">
        <v>44652</v>
      </c>
      <c r="D498" s="2" t="inlineStr">
        <is>
          <t>Q1FY23</t>
        </is>
      </c>
      <c r="E498" s="3" t="n">
        <v>2187</v>
      </c>
      <c r="F498" s="8" t="n">
        <v>2.0572</v>
      </c>
      <c r="G498" s="4" t="n">
        <v>293.7843</v>
      </c>
      <c r="H498" s="4" t="n">
        <v>614.5024</v>
      </c>
      <c r="I498" s="4" t="n">
        <v>20.56</v>
      </c>
      <c r="J498" s="4" t="n">
        <v>20.855</v>
      </c>
      <c r="K498" s="4" t="n">
        <v>18.12</v>
      </c>
      <c r="L498" s="4" t="n">
        <v>18.435</v>
      </c>
      <c r="M498" s="7" t="n">
        <v>-0.1034</v>
      </c>
    </row>
    <row r="499">
      <c r="A499" s="6" t="n">
        <v>44655</v>
      </c>
      <c r="B499" s="2" t="inlineStr">
        <is>
          <t>Monday</t>
        </is>
      </c>
      <c r="C499" s="5" t="n">
        <v>44652</v>
      </c>
      <c r="D499" s="2" t="inlineStr">
        <is>
          <t>Q1FY23</t>
        </is>
      </c>
      <c r="E499" s="3" t="n">
        <v>2224</v>
      </c>
      <c r="F499" s="8" t="n">
        <v>2.4244</v>
      </c>
      <c r="G499" s="4" t="n">
        <v>310.8326</v>
      </c>
      <c r="H499" s="4" t="n">
        <v>813.3492</v>
      </c>
      <c r="I499" s="4" t="n">
        <v>18.435</v>
      </c>
      <c r="J499" s="4" t="n">
        <v>18.825</v>
      </c>
      <c r="K499" s="4" t="n">
        <v>17.5925</v>
      </c>
      <c r="L499" s="4" t="n">
        <v>17.9075</v>
      </c>
      <c r="M499" s="7" t="n">
        <v>-0.0286</v>
      </c>
    </row>
    <row r="500">
      <c r="A500" s="6" t="n">
        <v>44656</v>
      </c>
      <c r="B500" s="2" t="inlineStr">
        <is>
          <t>Tuesday</t>
        </is>
      </c>
      <c r="C500" s="5" t="n">
        <v>44652</v>
      </c>
      <c r="D500" s="2" t="inlineStr">
        <is>
          <t>Q1FY23</t>
        </is>
      </c>
      <c r="E500" s="3" t="n">
        <v>2198</v>
      </c>
      <c r="F500" s="8" t="n">
        <v>2.4384</v>
      </c>
      <c r="G500" s="4" t="n">
        <v>318.7687</v>
      </c>
      <c r="H500" s="4" t="n">
        <v>758.9209</v>
      </c>
      <c r="I500" s="4" t="n">
        <v>17.9075</v>
      </c>
      <c r="J500" s="4" t="n">
        <v>18.63</v>
      </c>
      <c r="K500" s="4" t="n">
        <v>16.79</v>
      </c>
      <c r="L500" s="4" t="n">
        <v>18.4875</v>
      </c>
      <c r="M500" s="7" t="n">
        <v>0.0324</v>
      </c>
    </row>
    <row r="501">
      <c r="A501" s="6" t="n">
        <v>44657</v>
      </c>
      <c r="B501" s="2" t="inlineStr">
        <is>
          <t>Wednesday</t>
        </is>
      </c>
      <c r="C501" s="5" t="n">
        <v>44652</v>
      </c>
      <c r="D501" s="2" t="inlineStr">
        <is>
          <t>Q1FY23</t>
        </is>
      </c>
      <c r="E501" s="3" t="n">
        <v>2210</v>
      </c>
      <c r="F501" s="8" t="n">
        <v>2.4739</v>
      </c>
      <c r="G501" s="4" t="n">
        <v>413.5365</v>
      </c>
      <c r="H501" s="4" t="n">
        <v>765</v>
      </c>
      <c r="I501" s="4" t="n">
        <v>18.4875</v>
      </c>
      <c r="J501" s="4" t="n">
        <v>19.2825</v>
      </c>
      <c r="K501" s="4" t="n">
        <v>16.81</v>
      </c>
      <c r="L501" s="4" t="n">
        <v>19.0225</v>
      </c>
      <c r="M501" s="7" t="n">
        <v>0.0289</v>
      </c>
    </row>
    <row r="502">
      <c r="A502" s="6" t="n">
        <v>44658</v>
      </c>
      <c r="B502" s="2" t="inlineStr">
        <is>
          <t>Thursday</t>
        </is>
      </c>
      <c r="C502" s="5" t="n">
        <v>44652</v>
      </c>
      <c r="D502" s="2" t="inlineStr">
        <is>
          <t>Q1FY23</t>
        </is>
      </c>
      <c r="E502" s="3" t="n">
        <v>2206</v>
      </c>
      <c r="F502" s="8" t="n">
        <v>2.6739</v>
      </c>
      <c r="G502" s="4" t="n">
        <v>485.0365</v>
      </c>
      <c r="H502" s="4" t="n">
        <v>793.7331</v>
      </c>
      <c r="I502" s="4" t="n">
        <v>19.0225</v>
      </c>
      <c r="J502" s="4" t="n">
        <v>19.49</v>
      </c>
      <c r="K502" s="4" t="n">
        <v>17.7175</v>
      </c>
      <c r="L502" s="4" t="n">
        <v>18.9975</v>
      </c>
      <c r="M502" s="7" t="n">
        <v>-0.0013</v>
      </c>
    </row>
    <row r="503">
      <c r="A503" s="6" t="n">
        <v>44659</v>
      </c>
      <c r="B503" s="2" t="inlineStr">
        <is>
          <t>Friday</t>
        </is>
      </c>
      <c r="C503" s="5" t="n">
        <v>44652</v>
      </c>
      <c r="D503" s="2" t="inlineStr">
        <is>
          <t>Q1FY23</t>
        </is>
      </c>
      <c r="E503" s="3" t="n">
        <v>2212</v>
      </c>
      <c r="F503" s="8" t="n">
        <v>2.2357</v>
      </c>
      <c r="G503" s="4" t="n">
        <v>342.1931</v>
      </c>
      <c r="H503" s="4" t="n">
        <v>708.9314000000001</v>
      </c>
      <c r="I503" s="4" t="n">
        <v>18.9975</v>
      </c>
      <c r="J503" s="4" t="n">
        <v>20.0875</v>
      </c>
      <c r="K503" s="4" t="n">
        <v>17.53</v>
      </c>
      <c r="L503" s="4" t="n">
        <v>17.6875</v>
      </c>
      <c r="M503" s="7" t="n">
        <v>-0.06900000000000001</v>
      </c>
    </row>
    <row r="504">
      <c r="A504" s="6" t="n">
        <v>44662</v>
      </c>
      <c r="B504" s="2" t="inlineStr">
        <is>
          <t>Monday</t>
        </is>
      </c>
      <c r="C504" s="5" t="n">
        <v>44652</v>
      </c>
      <c r="D504" s="2" t="inlineStr">
        <is>
          <t>Q1FY23</t>
        </is>
      </c>
      <c r="E504" s="3" t="n">
        <v>2252</v>
      </c>
      <c r="F504" s="8" t="n">
        <v>2.3475</v>
      </c>
      <c r="G504" s="4" t="n">
        <v>285.7831</v>
      </c>
      <c r="H504" s="4" t="n">
        <v>637.5496000000001</v>
      </c>
      <c r="I504" s="4" t="n">
        <v>17.6875</v>
      </c>
      <c r="J504" s="4" t="n">
        <v>19.145</v>
      </c>
      <c r="K504" s="4" t="n">
        <v>16.6425</v>
      </c>
      <c r="L504" s="4" t="n">
        <v>18.27</v>
      </c>
      <c r="M504" s="7" t="n">
        <v>0.0329</v>
      </c>
    </row>
    <row r="505">
      <c r="A505" s="6" t="n">
        <v>44663</v>
      </c>
      <c r="B505" s="2" t="inlineStr">
        <is>
          <t>Tuesday</t>
        </is>
      </c>
      <c r="C505" s="5" t="n">
        <v>44652</v>
      </c>
      <c r="D505" s="2" t="inlineStr">
        <is>
          <t>Q1FY23</t>
        </is>
      </c>
      <c r="E505" s="3" t="n">
        <v>2216</v>
      </c>
      <c r="F505" s="8" t="n">
        <v>2.4454</v>
      </c>
      <c r="G505" s="4" t="n">
        <v>266.7854</v>
      </c>
      <c r="H505" s="4" t="n">
        <v>688.6902</v>
      </c>
      <c r="I505" s="4" t="n">
        <v>18.27</v>
      </c>
      <c r="J505" s="4" t="n">
        <v>18.6725</v>
      </c>
      <c r="K505" s="4" t="n">
        <v>15.085</v>
      </c>
      <c r="L505" s="4" t="n">
        <v>18.1575</v>
      </c>
      <c r="M505" s="7" t="n">
        <v>-0.0062</v>
      </c>
    </row>
    <row r="506">
      <c r="A506" s="6" t="n">
        <v>44664</v>
      </c>
      <c r="B506" s="2" t="inlineStr">
        <is>
          <t>Wednesday</t>
        </is>
      </c>
      <c r="C506" s="5" t="n">
        <v>44652</v>
      </c>
      <c r="D506" s="2" t="inlineStr">
        <is>
          <t>Q1FY23</t>
        </is>
      </c>
      <c r="E506" s="3" t="n">
        <v>2214</v>
      </c>
      <c r="F506" s="8" t="n">
        <v>2.0196</v>
      </c>
      <c r="G506" s="4" t="n">
        <v>226.428</v>
      </c>
      <c r="H506" s="4" t="n">
        <v>565.8043</v>
      </c>
      <c r="I506" s="4" t="n">
        <v>18.1575</v>
      </c>
      <c r="J506" s="4" t="n">
        <v>18.4025</v>
      </c>
      <c r="K506" s="4" t="n">
        <v>16.1925</v>
      </c>
      <c r="L506" s="4" t="n">
        <v>17.785</v>
      </c>
      <c r="M506" s="7" t="n">
        <v>-0.0205</v>
      </c>
    </row>
    <row r="507">
      <c r="A507" s="6" t="n">
        <v>44669</v>
      </c>
      <c r="B507" s="2" t="inlineStr">
        <is>
          <t>Monday</t>
        </is>
      </c>
      <c r="C507" s="5" t="n">
        <v>44652</v>
      </c>
      <c r="D507" s="2" t="inlineStr">
        <is>
          <t>Q1FY23</t>
        </is>
      </c>
      <c r="E507" s="3" t="n">
        <v>2279</v>
      </c>
      <c r="F507" s="8" t="n">
        <v>2.5886</v>
      </c>
      <c r="G507" s="4" t="n">
        <v>263.2294</v>
      </c>
      <c r="H507" s="4" t="n">
        <v>713.3394</v>
      </c>
      <c r="I507" s="4" t="n">
        <v>17.785</v>
      </c>
      <c r="J507" s="4" t="n">
        <v>20.4825</v>
      </c>
      <c r="K507" s="4" t="n">
        <v>17.785</v>
      </c>
      <c r="L507" s="4" t="n">
        <v>19.335</v>
      </c>
      <c r="M507" s="7" t="n">
        <v>0.0872</v>
      </c>
    </row>
    <row r="508">
      <c r="A508" s="6" t="n">
        <v>44670</v>
      </c>
      <c r="B508" s="2" t="inlineStr">
        <is>
          <t>Tuesday</t>
        </is>
      </c>
      <c r="C508" s="5" t="n">
        <v>44652</v>
      </c>
      <c r="D508" s="2" t="inlineStr">
        <is>
          <t>Q1FY23</t>
        </is>
      </c>
      <c r="E508" s="3" t="n">
        <v>2209</v>
      </c>
      <c r="F508" s="8" t="n">
        <v>2.6504</v>
      </c>
      <c r="G508" s="4" t="n">
        <v>298.1633</v>
      </c>
      <c r="H508" s="4" t="n">
        <v>796.0345</v>
      </c>
      <c r="I508" s="4" t="n">
        <v>19.335</v>
      </c>
      <c r="J508" s="4" t="n">
        <v>20.8075</v>
      </c>
      <c r="K508" s="4" t="n">
        <v>14.6275</v>
      </c>
      <c r="L508" s="4" t="n">
        <v>19.775</v>
      </c>
      <c r="M508" s="7" t="n">
        <v>0.0228</v>
      </c>
    </row>
    <row r="509">
      <c r="A509" s="6" t="n">
        <v>44671</v>
      </c>
      <c r="B509" s="2" t="inlineStr">
        <is>
          <t>Wednesday</t>
        </is>
      </c>
      <c r="C509" s="5" t="n">
        <v>44652</v>
      </c>
      <c r="D509" s="2" t="inlineStr">
        <is>
          <t>Q1FY23</t>
        </is>
      </c>
      <c r="E509" s="3" t="n">
        <v>2242</v>
      </c>
      <c r="F509" s="8" t="n">
        <v>2.2371</v>
      </c>
      <c r="G509" s="4" t="n">
        <v>234.4964</v>
      </c>
      <c r="H509" s="4" t="n">
        <v>623.9982</v>
      </c>
      <c r="I509" s="4" t="n">
        <v>19.775</v>
      </c>
      <c r="J509" s="4" t="n">
        <v>20.265</v>
      </c>
      <c r="K509" s="4" t="n">
        <v>17.835</v>
      </c>
      <c r="L509" s="4" t="n">
        <v>18.6725</v>
      </c>
      <c r="M509" s="7" t="n">
        <v>-0.0558</v>
      </c>
    </row>
    <row r="510">
      <c r="A510" s="6" t="n">
        <v>44672</v>
      </c>
      <c r="B510" s="2" t="inlineStr">
        <is>
          <t>Thursday</t>
        </is>
      </c>
      <c r="C510" s="5" t="n">
        <v>44652</v>
      </c>
      <c r="D510" s="2" t="inlineStr">
        <is>
          <t>Q1FY23</t>
        </is>
      </c>
      <c r="E510" s="3" t="n">
        <v>2194</v>
      </c>
      <c r="F510" s="8" t="n">
        <v>2.0147</v>
      </c>
      <c r="G510" s="4" t="n">
        <v>244.1478</v>
      </c>
      <c r="H510" s="4" t="n">
        <v>627.8894</v>
      </c>
      <c r="I510" s="4" t="n">
        <v>18.6725</v>
      </c>
      <c r="J510" s="4" t="n">
        <v>18.6725</v>
      </c>
      <c r="K510" s="4" t="n">
        <v>13.35</v>
      </c>
      <c r="L510" s="4" t="n">
        <v>17.8525</v>
      </c>
      <c r="M510" s="7" t="n">
        <v>-0.0439</v>
      </c>
    </row>
    <row r="511">
      <c r="A511" s="6" t="n">
        <v>44673</v>
      </c>
      <c r="B511" s="2" t="inlineStr">
        <is>
          <t>Friday</t>
        </is>
      </c>
      <c r="C511" s="5" t="n">
        <v>44652</v>
      </c>
      <c r="D511" s="2" t="inlineStr">
        <is>
          <t>Q1FY23</t>
        </is>
      </c>
      <c r="E511" s="3" t="n">
        <v>2208</v>
      </c>
      <c r="F511" s="8" t="n">
        <v>2.1681</v>
      </c>
      <c r="G511" s="4" t="n">
        <v>264.7587</v>
      </c>
      <c r="H511" s="4" t="n">
        <v>642.9564</v>
      </c>
      <c r="I511" s="4" t="n">
        <v>17.8525</v>
      </c>
      <c r="J511" s="4" t="n">
        <v>18.76</v>
      </c>
      <c r="K511" s="4" t="n">
        <v>17.8125</v>
      </c>
      <c r="L511" s="4" t="n">
        <v>18.3525</v>
      </c>
      <c r="M511" s="7" t="n">
        <v>0.028</v>
      </c>
    </row>
    <row r="512">
      <c r="A512" s="6" t="n">
        <v>44676</v>
      </c>
      <c r="B512" s="2" t="inlineStr">
        <is>
          <t>Monday</t>
        </is>
      </c>
      <c r="C512" s="5" t="n">
        <v>44652</v>
      </c>
      <c r="D512" s="2" t="inlineStr">
        <is>
          <t>Q1FY23</t>
        </is>
      </c>
      <c r="E512" s="3" t="n">
        <v>2230</v>
      </c>
      <c r="F512" s="8" t="n">
        <v>2.2046</v>
      </c>
      <c r="G512" s="4" t="n">
        <v>254.3579</v>
      </c>
      <c r="H512" s="4" t="n">
        <v>584.7202</v>
      </c>
      <c r="I512" s="4" t="n">
        <v>18.3525</v>
      </c>
      <c r="J512" s="4" t="n">
        <v>21.755</v>
      </c>
      <c r="K512" s="4" t="n">
        <v>18.3525</v>
      </c>
      <c r="L512" s="4" t="n">
        <v>21.2575</v>
      </c>
      <c r="M512" s="7" t="n">
        <v>0.1583</v>
      </c>
    </row>
    <row r="513">
      <c r="A513" s="6" t="n">
        <v>44677</v>
      </c>
      <c r="B513" s="2" t="inlineStr">
        <is>
          <t>Tuesday</t>
        </is>
      </c>
      <c r="C513" s="5" t="n">
        <v>44652</v>
      </c>
      <c r="D513" s="2" t="inlineStr">
        <is>
          <t>Q1FY23</t>
        </is>
      </c>
      <c r="E513" s="3" t="n">
        <v>2210</v>
      </c>
      <c r="F513" s="8" t="n">
        <v>2.0404</v>
      </c>
      <c r="G513" s="4" t="n">
        <v>229.053</v>
      </c>
      <c r="H513" s="4" t="n">
        <v>574.0397</v>
      </c>
      <c r="I513" s="4" t="n">
        <v>21.2575</v>
      </c>
      <c r="J513" s="4" t="n">
        <v>21.2575</v>
      </c>
      <c r="K513" s="4" t="n">
        <v>19.005</v>
      </c>
      <c r="L513" s="4" t="n">
        <v>19.1875</v>
      </c>
      <c r="M513" s="7" t="n">
        <v>-0.0974</v>
      </c>
    </row>
    <row r="514">
      <c r="A514" s="6" t="n">
        <v>44678</v>
      </c>
      <c r="B514" s="2" t="inlineStr">
        <is>
          <t>Wednesday</t>
        </is>
      </c>
      <c r="C514" s="5" t="n">
        <v>44652</v>
      </c>
      <c r="D514" s="2" t="inlineStr">
        <is>
          <t>Q1FY23</t>
        </is>
      </c>
      <c r="E514" s="3" t="n">
        <v>2202</v>
      </c>
      <c r="F514" s="8" t="n">
        <v>2.2351</v>
      </c>
      <c r="G514" s="4" t="n">
        <v>275.3094</v>
      </c>
      <c r="H514" s="4" t="n">
        <v>649.6292</v>
      </c>
      <c r="I514" s="4" t="n">
        <v>19.1875</v>
      </c>
      <c r="J514" s="4" t="n">
        <v>21.365</v>
      </c>
      <c r="K514" s="4" t="n">
        <v>19.1875</v>
      </c>
      <c r="L514" s="4" t="n">
        <v>20.605</v>
      </c>
      <c r="M514" s="7" t="n">
        <v>0.07389999999999999</v>
      </c>
    </row>
    <row r="515">
      <c r="A515" s="6" t="n">
        <v>44679</v>
      </c>
      <c r="B515" s="2" t="inlineStr">
        <is>
          <t>Thursday</t>
        </is>
      </c>
      <c r="C515" s="5" t="n">
        <v>44652</v>
      </c>
      <c r="D515" s="2" t="inlineStr">
        <is>
          <t>Q1FY23</t>
        </is>
      </c>
      <c r="E515" s="3" t="n">
        <v>2208</v>
      </c>
      <c r="F515" s="8" t="n">
        <v>2.1771</v>
      </c>
      <c r="G515" s="4" t="n">
        <v>259.4068</v>
      </c>
      <c r="H515" s="4" t="n">
        <v>670.2136</v>
      </c>
      <c r="I515" s="4" t="n">
        <v>20.605</v>
      </c>
      <c r="J515" s="4" t="n">
        <v>20.605</v>
      </c>
      <c r="K515" s="4" t="n">
        <v>19.0225</v>
      </c>
      <c r="L515" s="4" t="n">
        <v>19.3775</v>
      </c>
      <c r="M515" s="7" t="n">
        <v>-0.0596</v>
      </c>
    </row>
    <row r="516">
      <c r="A516" s="6" t="n">
        <v>44680</v>
      </c>
      <c r="B516" s="2" t="inlineStr">
        <is>
          <t>Friday</t>
        </is>
      </c>
      <c r="C516" s="5" t="n">
        <v>44652</v>
      </c>
      <c r="D516" s="2" t="inlineStr">
        <is>
          <t>Q1FY23</t>
        </is>
      </c>
      <c r="E516" s="3" t="n">
        <v>2186</v>
      </c>
      <c r="F516" s="8" t="n">
        <v>2.3338</v>
      </c>
      <c r="G516" s="4" t="n">
        <v>261.5499</v>
      </c>
      <c r="H516" s="4" t="n">
        <v>693.1255</v>
      </c>
      <c r="I516" s="4" t="n">
        <v>19.3775</v>
      </c>
      <c r="J516" s="4" t="n">
        <v>19.6475</v>
      </c>
      <c r="K516" s="4" t="n">
        <v>18.2075</v>
      </c>
      <c r="L516" s="4" t="n">
        <v>19.415</v>
      </c>
      <c r="M516" s="7" t="n">
        <v>0.0019</v>
      </c>
    </row>
    <row r="517">
      <c r="A517" s="6" t="n">
        <v>44683</v>
      </c>
      <c r="B517" s="2" t="inlineStr">
        <is>
          <t>Monday</t>
        </is>
      </c>
      <c r="C517" s="5" t="n">
        <v>44682</v>
      </c>
      <c r="D517" s="2" t="inlineStr">
        <is>
          <t>Q1FY23</t>
        </is>
      </c>
      <c r="E517" s="3" t="n">
        <v>2233</v>
      </c>
      <c r="F517" s="8" t="n">
        <v>2.0931</v>
      </c>
      <c r="G517" s="4" t="n">
        <v>220.2396</v>
      </c>
      <c r="H517" s="4" t="n">
        <v>527.2963</v>
      </c>
      <c r="I517" s="4" t="n">
        <v>19.415</v>
      </c>
      <c r="J517" s="4" t="n">
        <v>21.0625</v>
      </c>
      <c r="K517" s="4" t="n">
        <v>19.415</v>
      </c>
      <c r="L517" s="4" t="n">
        <v>20.2825</v>
      </c>
      <c r="M517" s="7" t="n">
        <v>0.0447</v>
      </c>
    </row>
    <row r="518">
      <c r="A518" s="6" t="n">
        <v>44685</v>
      </c>
      <c r="B518" s="2" t="inlineStr">
        <is>
          <t>Wednesday</t>
        </is>
      </c>
      <c r="C518" s="5" t="n">
        <v>44682</v>
      </c>
      <c r="D518" s="2" t="inlineStr">
        <is>
          <t>Q1FY23</t>
        </is>
      </c>
      <c r="E518" s="3" t="n">
        <v>2233</v>
      </c>
      <c r="F518" s="8" t="n">
        <v>2.3889</v>
      </c>
      <c r="G518" s="4" t="n">
        <v>237.9483</v>
      </c>
      <c r="H518" s="4" t="n">
        <v>616.6596</v>
      </c>
      <c r="I518" s="4" t="n">
        <v>20.2825</v>
      </c>
      <c r="J518" s="4" t="n">
        <v>22.3875</v>
      </c>
      <c r="K518" s="4" t="n">
        <v>18.4275</v>
      </c>
      <c r="L518" s="4" t="n">
        <v>21.8775</v>
      </c>
      <c r="M518" s="7" t="n">
        <v>0.0786</v>
      </c>
    </row>
    <row r="519">
      <c r="A519" s="6" t="n">
        <v>44686</v>
      </c>
      <c r="B519" s="2" t="inlineStr">
        <is>
          <t>Thursday</t>
        </is>
      </c>
      <c r="C519" s="5" t="n">
        <v>44682</v>
      </c>
      <c r="D519" s="2" t="inlineStr">
        <is>
          <t>Q1FY23</t>
        </is>
      </c>
      <c r="E519" s="3" t="n">
        <v>2218</v>
      </c>
      <c r="F519" s="8" t="n">
        <v>1.9438</v>
      </c>
      <c r="G519" s="4" t="n">
        <v>201.0146</v>
      </c>
      <c r="H519" s="4" t="n">
        <v>521.7192</v>
      </c>
      <c r="I519" s="4" t="n">
        <v>21.8775</v>
      </c>
      <c r="J519" s="4" t="n">
        <v>21.8775</v>
      </c>
      <c r="K519" s="4" t="n">
        <v>19.615</v>
      </c>
      <c r="L519" s="4" t="n">
        <v>20.2925</v>
      </c>
      <c r="M519" s="7" t="n">
        <v>-0.07240000000000001</v>
      </c>
    </row>
    <row r="520">
      <c r="A520" s="6" t="n">
        <v>44687</v>
      </c>
      <c r="B520" s="2" t="inlineStr">
        <is>
          <t>Friday</t>
        </is>
      </c>
      <c r="C520" s="5" t="n">
        <v>44682</v>
      </c>
      <c r="D520" s="2" t="inlineStr">
        <is>
          <t>Q1FY23</t>
        </is>
      </c>
      <c r="E520" s="3" t="n">
        <v>2203</v>
      </c>
      <c r="F520" s="8" t="n">
        <v>2.3112</v>
      </c>
      <c r="G520" s="4" t="n">
        <v>217.3685</v>
      </c>
      <c r="H520" s="4" t="n">
        <v>598.2017</v>
      </c>
      <c r="I520" s="4" t="n">
        <v>20.2925</v>
      </c>
      <c r="J520" s="4" t="n">
        <v>21.81</v>
      </c>
      <c r="K520" s="4" t="n">
        <v>19.3325</v>
      </c>
      <c r="L520" s="4" t="n">
        <v>21.25</v>
      </c>
      <c r="M520" s="7" t="n">
        <v>0.0472</v>
      </c>
    </row>
    <row r="521">
      <c r="A521" s="6" t="n">
        <v>44690</v>
      </c>
      <c r="B521" s="2" t="inlineStr">
        <is>
          <t>Monday</t>
        </is>
      </c>
      <c r="C521" s="5" t="n">
        <v>44682</v>
      </c>
      <c r="D521" s="2" t="inlineStr">
        <is>
          <t>Q1FY23</t>
        </is>
      </c>
      <c r="E521" s="3" t="n">
        <v>2231</v>
      </c>
      <c r="F521" s="8" t="n">
        <v>2.2029</v>
      </c>
      <c r="G521" s="4" t="n">
        <v>217.6451</v>
      </c>
      <c r="H521" s="4" t="n">
        <v>558.5373</v>
      </c>
      <c r="I521" s="4" t="n">
        <v>21.25</v>
      </c>
      <c r="J521" s="4" t="n">
        <v>22.52</v>
      </c>
      <c r="K521" s="4" t="n">
        <v>18.96</v>
      </c>
      <c r="L521" s="4" t="n">
        <v>22.0325</v>
      </c>
      <c r="M521" s="7" t="n">
        <v>0.0368</v>
      </c>
    </row>
    <row r="522">
      <c r="A522" s="6" t="n">
        <v>44691</v>
      </c>
      <c r="B522" s="2" t="inlineStr">
        <is>
          <t>Tuesday</t>
        </is>
      </c>
      <c r="C522" s="5" t="n">
        <v>44682</v>
      </c>
      <c r="D522" s="2" t="inlineStr">
        <is>
          <t>Q1FY23</t>
        </is>
      </c>
      <c r="E522" s="3" t="n">
        <v>2213</v>
      </c>
      <c r="F522" s="8" t="n">
        <v>2.1887</v>
      </c>
      <c r="G522" s="4" t="n">
        <v>196.2877</v>
      </c>
      <c r="H522" s="4" t="n">
        <v>536.0918</v>
      </c>
      <c r="I522" s="4" t="n">
        <v>22.0325</v>
      </c>
      <c r="J522" s="4" t="n">
        <v>22.515</v>
      </c>
      <c r="K522" s="4" t="n">
        <v>21.2175</v>
      </c>
      <c r="L522" s="4" t="n">
        <v>22.3025</v>
      </c>
      <c r="M522" s="7" t="n">
        <v>0.0123</v>
      </c>
    </row>
    <row r="523">
      <c r="A523" s="6" t="n">
        <v>44692</v>
      </c>
      <c r="B523" s="2" t="inlineStr">
        <is>
          <t>Wednesday</t>
        </is>
      </c>
      <c r="C523" s="5" t="n">
        <v>44682</v>
      </c>
      <c r="D523" s="2" t="inlineStr">
        <is>
          <t>Q1FY23</t>
        </is>
      </c>
      <c r="E523" s="3" t="n">
        <v>2215</v>
      </c>
      <c r="F523" s="8" t="n">
        <v>2.5503</v>
      </c>
      <c r="G523" s="4" t="n">
        <v>267.2742</v>
      </c>
      <c r="H523" s="4" t="n">
        <v>606.1548</v>
      </c>
      <c r="I523" s="4" t="n">
        <v>22.3025</v>
      </c>
      <c r="J523" s="4" t="n">
        <v>24.1875</v>
      </c>
      <c r="K523" s="4" t="n">
        <v>20.4825</v>
      </c>
      <c r="L523" s="4" t="n">
        <v>22.8025</v>
      </c>
      <c r="M523" s="7" t="n">
        <v>0.0224</v>
      </c>
    </row>
    <row r="524">
      <c r="A524" s="6" t="n">
        <v>44693</v>
      </c>
      <c r="B524" s="2" t="inlineStr">
        <is>
          <t>Thursday</t>
        </is>
      </c>
      <c r="C524" s="5" t="n">
        <v>44682</v>
      </c>
      <c r="D524" s="2" t="inlineStr">
        <is>
          <t>Q1FY23</t>
        </is>
      </c>
      <c r="E524" s="3" t="n">
        <v>2225</v>
      </c>
      <c r="F524" s="8" t="n">
        <v>2.4164</v>
      </c>
      <c r="G524" s="4" t="n">
        <v>241.3097</v>
      </c>
      <c r="H524" s="4" t="n">
        <v>566.6192</v>
      </c>
      <c r="I524" s="4" t="n">
        <v>22.8025</v>
      </c>
      <c r="J524" s="4" t="n">
        <v>25.315</v>
      </c>
      <c r="K524" s="4" t="n">
        <v>21.15</v>
      </c>
      <c r="L524" s="4" t="n">
        <v>24.265</v>
      </c>
      <c r="M524" s="7" t="n">
        <v>0.0641</v>
      </c>
    </row>
    <row r="525">
      <c r="A525" s="6" t="n">
        <v>44694</v>
      </c>
      <c r="B525" s="2" t="inlineStr">
        <is>
          <t>Friday</t>
        </is>
      </c>
      <c r="C525" s="5" t="n">
        <v>44682</v>
      </c>
      <c r="D525" s="2" t="inlineStr">
        <is>
          <t>Q1FY23</t>
        </is>
      </c>
      <c r="E525" s="3" t="n">
        <v>2193</v>
      </c>
      <c r="F525" s="8" t="n">
        <v>2.4716</v>
      </c>
      <c r="G525" s="4" t="n">
        <v>244.3215</v>
      </c>
      <c r="H525" s="4" t="n">
        <v>622.8641</v>
      </c>
      <c r="I525" s="4" t="n">
        <v>24.265</v>
      </c>
      <c r="J525" s="4" t="n">
        <v>24.265</v>
      </c>
      <c r="K525" s="4" t="n">
        <v>20.9675</v>
      </c>
      <c r="L525" s="4" t="n">
        <v>23.485</v>
      </c>
      <c r="M525" s="7" t="n">
        <v>-0.0321</v>
      </c>
    </row>
    <row r="526">
      <c r="A526" s="6" t="n">
        <v>44697</v>
      </c>
      <c r="B526" s="2" t="inlineStr">
        <is>
          <t>Monday</t>
        </is>
      </c>
      <c r="C526" s="5" t="n">
        <v>44682</v>
      </c>
      <c r="D526" s="2" t="inlineStr">
        <is>
          <t>Q1FY23</t>
        </is>
      </c>
      <c r="E526" s="3" t="n">
        <v>2224</v>
      </c>
      <c r="F526" s="8" t="n">
        <v>1.9035</v>
      </c>
      <c r="G526" s="4" t="n">
        <v>205.1209</v>
      </c>
      <c r="H526" s="4" t="n">
        <v>468.6304</v>
      </c>
      <c r="I526" s="4" t="n">
        <v>23.485</v>
      </c>
      <c r="J526" s="4" t="n">
        <v>24.7125</v>
      </c>
      <c r="K526" s="4" t="n">
        <v>21.275</v>
      </c>
      <c r="L526" s="4" t="n">
        <v>24.5275</v>
      </c>
      <c r="M526" s="7" t="n">
        <v>0.0444</v>
      </c>
    </row>
    <row r="527">
      <c r="A527" s="6" t="n">
        <v>44698</v>
      </c>
      <c r="B527" s="2" t="inlineStr">
        <is>
          <t>Tuesday</t>
        </is>
      </c>
      <c r="C527" s="5" t="n">
        <v>44682</v>
      </c>
      <c r="D527" s="2" t="inlineStr">
        <is>
          <t>Q1FY23</t>
        </is>
      </c>
      <c r="E527" s="3" t="n">
        <v>2207</v>
      </c>
      <c r="F527" s="8" t="n">
        <v>2.0879</v>
      </c>
      <c r="G527" s="4" t="n">
        <v>210.2817</v>
      </c>
      <c r="H527" s="4" t="n">
        <v>559.6723</v>
      </c>
      <c r="I527" s="4" t="n">
        <v>24.5275</v>
      </c>
      <c r="J527" s="4" t="n">
        <v>24.84</v>
      </c>
      <c r="K527" s="4" t="n">
        <v>17.095</v>
      </c>
      <c r="L527" s="4" t="n">
        <v>22.7425</v>
      </c>
      <c r="M527" s="7" t="n">
        <v>-0.0728</v>
      </c>
    </row>
    <row r="528">
      <c r="A528" s="6" t="n">
        <v>44699</v>
      </c>
      <c r="B528" s="2" t="inlineStr">
        <is>
          <t>Wednesday</t>
        </is>
      </c>
      <c r="C528" s="5" t="n">
        <v>44682</v>
      </c>
      <c r="D528" s="2" t="inlineStr">
        <is>
          <t>Q1FY23</t>
        </is>
      </c>
      <c r="E528" s="3" t="n">
        <v>2210</v>
      </c>
      <c r="F528" s="8" t="n">
        <v>2.1275</v>
      </c>
      <c r="G528" s="4" t="n">
        <v>226.3281</v>
      </c>
      <c r="H528" s="4" t="n">
        <v>599.3235</v>
      </c>
      <c r="I528" s="4" t="n">
        <v>22.7425</v>
      </c>
      <c r="J528" s="4" t="n">
        <v>23.06</v>
      </c>
      <c r="K528" s="4" t="n">
        <v>21.34</v>
      </c>
      <c r="L528" s="4" t="n">
        <v>22.295</v>
      </c>
      <c r="M528" s="7" t="n">
        <v>-0.0197</v>
      </c>
    </row>
    <row r="529">
      <c r="A529" s="6" t="n">
        <v>44700</v>
      </c>
      <c r="B529" s="2" t="inlineStr">
        <is>
          <t>Thursday</t>
        </is>
      </c>
      <c r="C529" s="5" t="n">
        <v>44682</v>
      </c>
      <c r="D529" s="2" t="inlineStr">
        <is>
          <t>Q1FY23</t>
        </is>
      </c>
      <c r="E529" s="3" t="n">
        <v>2214</v>
      </c>
      <c r="F529" s="8" t="n">
        <v>2.0957</v>
      </c>
      <c r="G529" s="4" t="n">
        <v>212.5623</v>
      </c>
      <c r="H529" s="4" t="n">
        <v>541.4764</v>
      </c>
      <c r="I529" s="4" t="n">
        <v>22.295</v>
      </c>
      <c r="J529" s="4" t="n">
        <v>25.1475</v>
      </c>
      <c r="K529" s="4" t="n">
        <v>22.295</v>
      </c>
      <c r="L529" s="4" t="n">
        <v>24.5575</v>
      </c>
      <c r="M529" s="7" t="n">
        <v>0.1015</v>
      </c>
    </row>
    <row r="530">
      <c r="A530" s="6" t="n">
        <v>44701</v>
      </c>
      <c r="B530" s="2" t="inlineStr">
        <is>
          <t>Friday</t>
        </is>
      </c>
      <c r="C530" s="5" t="n">
        <v>44682</v>
      </c>
      <c r="D530" s="2" t="inlineStr">
        <is>
          <t>Q1FY23</t>
        </is>
      </c>
      <c r="E530" s="3" t="n">
        <v>2201</v>
      </c>
      <c r="F530" s="8" t="n">
        <v>1.8642</v>
      </c>
      <c r="G530" s="4" t="n">
        <v>203.4603</v>
      </c>
      <c r="H530" s="4" t="n">
        <v>530.049</v>
      </c>
      <c r="I530" s="4" t="n">
        <v>24.5575</v>
      </c>
      <c r="J530" s="4" t="n">
        <v>24.5575</v>
      </c>
      <c r="K530" s="4" t="n">
        <v>22.4425</v>
      </c>
      <c r="L530" s="4" t="n">
        <v>23.1</v>
      </c>
      <c r="M530" s="7" t="n">
        <v>-0.0594</v>
      </c>
    </row>
    <row r="531">
      <c r="A531" s="6" t="n">
        <v>44704</v>
      </c>
      <c r="B531" s="2" t="inlineStr">
        <is>
          <t>Monday</t>
        </is>
      </c>
      <c r="C531" s="5" t="n">
        <v>44682</v>
      </c>
      <c r="D531" s="2" t="inlineStr">
        <is>
          <t>Q1FY23</t>
        </is>
      </c>
      <c r="E531" s="3" t="n">
        <v>2242</v>
      </c>
      <c r="F531" s="8" t="n">
        <v>1.9855</v>
      </c>
      <c r="G531" s="4" t="n">
        <v>209.5422</v>
      </c>
      <c r="H531" s="4" t="n">
        <v>550.192</v>
      </c>
      <c r="I531" s="4" t="n">
        <v>23.1</v>
      </c>
      <c r="J531" s="4" t="n">
        <v>23.975</v>
      </c>
      <c r="K531" s="4" t="n">
        <v>20.5</v>
      </c>
      <c r="L531" s="4" t="n">
        <v>23.3975</v>
      </c>
      <c r="M531" s="7" t="n">
        <v>0.0129</v>
      </c>
    </row>
    <row r="532">
      <c r="A532" s="6" t="n">
        <v>44705</v>
      </c>
      <c r="B532" s="2" t="inlineStr">
        <is>
          <t>Tuesday</t>
        </is>
      </c>
      <c r="C532" s="5" t="n">
        <v>44682</v>
      </c>
      <c r="D532" s="2" t="inlineStr">
        <is>
          <t>Q1FY23</t>
        </is>
      </c>
      <c r="E532" s="3" t="n">
        <v>2213</v>
      </c>
      <c r="F532" s="8" t="n">
        <v>1.8768</v>
      </c>
      <c r="G532" s="4" t="n">
        <v>229.2499</v>
      </c>
      <c r="H532" s="4" t="n">
        <v>516.4755</v>
      </c>
      <c r="I532" s="4" t="n">
        <v>23.3975</v>
      </c>
      <c r="J532" s="4" t="n">
        <v>25.99</v>
      </c>
      <c r="K532" s="4" t="n">
        <v>23.155</v>
      </c>
      <c r="L532" s="4" t="n">
        <v>25.635</v>
      </c>
      <c r="M532" s="7" t="n">
        <v>0.0956</v>
      </c>
    </row>
    <row r="533">
      <c r="A533" s="6" t="n">
        <v>44706</v>
      </c>
      <c r="B533" s="2" t="inlineStr">
        <is>
          <t>Wednesday</t>
        </is>
      </c>
      <c r="C533" s="5" t="n">
        <v>44682</v>
      </c>
      <c r="D533" s="2" t="inlineStr">
        <is>
          <t>Q1FY23</t>
        </is>
      </c>
      <c r="E533" s="3" t="n">
        <v>2209</v>
      </c>
      <c r="F533" s="8" t="n">
        <v>1.9394</v>
      </c>
      <c r="G533" s="4" t="n">
        <v>188.4042</v>
      </c>
      <c r="H533" s="4" t="n">
        <v>494.6152</v>
      </c>
      <c r="I533" s="4" t="n">
        <v>25.635</v>
      </c>
      <c r="J533" s="4" t="n">
        <v>25.635</v>
      </c>
      <c r="K533" s="4" t="n">
        <v>24.3625</v>
      </c>
      <c r="L533" s="4" t="n">
        <v>25.2825</v>
      </c>
      <c r="M533" s="7" t="n">
        <v>-0.0138</v>
      </c>
    </row>
    <row r="534">
      <c r="A534" s="6" t="n">
        <v>44707</v>
      </c>
      <c r="B534" s="2" t="inlineStr">
        <is>
          <t>Thursday</t>
        </is>
      </c>
      <c r="C534" s="5" t="n">
        <v>44682</v>
      </c>
      <c r="D534" s="2" t="inlineStr">
        <is>
          <t>Q1FY23</t>
        </is>
      </c>
      <c r="E534" s="3" t="n">
        <v>2207</v>
      </c>
      <c r="F534" s="8" t="n">
        <v>2.2139</v>
      </c>
      <c r="G534" s="4" t="n">
        <v>226.6886</v>
      </c>
      <c r="H534" s="4" t="n">
        <v>596.8288</v>
      </c>
      <c r="I534" s="4" t="n">
        <v>25.2825</v>
      </c>
      <c r="J534" s="4" t="n">
        <v>25.2825</v>
      </c>
      <c r="K534" s="4" t="n">
        <v>22.535</v>
      </c>
      <c r="L534" s="4" t="n">
        <v>22.7175</v>
      </c>
      <c r="M534" s="7" t="n">
        <v>-0.1015</v>
      </c>
    </row>
    <row r="535">
      <c r="A535" s="6" t="n">
        <v>44708</v>
      </c>
      <c r="B535" s="2" t="inlineStr">
        <is>
          <t>Friday</t>
        </is>
      </c>
      <c r="C535" s="5" t="n">
        <v>44682</v>
      </c>
      <c r="D535" s="2" t="inlineStr">
        <is>
          <t>Q1FY23</t>
        </is>
      </c>
      <c r="E535" s="3" t="n">
        <v>2218</v>
      </c>
      <c r="F535" s="8" t="n">
        <v>1.7697</v>
      </c>
      <c r="G535" s="4" t="n">
        <v>180.0306</v>
      </c>
      <c r="H535" s="4" t="n">
        <v>479.7018</v>
      </c>
      <c r="I535" s="4" t="n">
        <v>22.7175</v>
      </c>
      <c r="J535" s="4" t="n">
        <v>22.7175</v>
      </c>
      <c r="K535" s="4" t="n">
        <v>21.2</v>
      </c>
      <c r="L535" s="4" t="n">
        <v>21.48</v>
      </c>
      <c r="M535" s="7" t="n">
        <v>-0.0545</v>
      </c>
    </row>
    <row r="536">
      <c r="A536" s="6" t="n">
        <v>44711</v>
      </c>
      <c r="B536" s="2" t="inlineStr">
        <is>
          <t>Monday</t>
        </is>
      </c>
      <c r="C536" s="5" t="n">
        <v>44682</v>
      </c>
      <c r="D536" s="2" t="inlineStr">
        <is>
          <t>Q1FY23</t>
        </is>
      </c>
      <c r="E536" s="3" t="n">
        <v>2242</v>
      </c>
      <c r="F536" s="8" t="n">
        <v>1.8147</v>
      </c>
      <c r="G536" s="4" t="n">
        <v>196.318</v>
      </c>
      <c r="H536" s="4" t="n">
        <v>511.2595</v>
      </c>
      <c r="I536" s="4" t="n">
        <v>21.48</v>
      </c>
      <c r="J536" s="4" t="n">
        <v>21.48</v>
      </c>
      <c r="K536" s="4" t="n">
        <v>19.72</v>
      </c>
      <c r="L536" s="4" t="n">
        <v>19.98</v>
      </c>
      <c r="M536" s="7" t="n">
        <v>-0.0698</v>
      </c>
    </row>
    <row r="537">
      <c r="A537" s="6" t="n">
        <v>44712</v>
      </c>
      <c r="B537" s="2" t="inlineStr">
        <is>
          <t>Tuesday</t>
        </is>
      </c>
      <c r="C537" s="5" t="n">
        <v>44682</v>
      </c>
      <c r="D537" s="2" t="inlineStr">
        <is>
          <t>Q1FY23</t>
        </is>
      </c>
      <c r="E537" s="3" t="n">
        <v>2204</v>
      </c>
      <c r="F537" s="8" t="n">
        <v>2.2039</v>
      </c>
      <c r="G537" s="4" t="n">
        <v>327.245</v>
      </c>
      <c r="H537" s="4" t="n">
        <v>1109.8326</v>
      </c>
      <c r="I537" s="4" t="n">
        <v>19.98</v>
      </c>
      <c r="J537" s="4" t="n">
        <v>20.75</v>
      </c>
      <c r="K537" s="4" t="n">
        <v>19.68</v>
      </c>
      <c r="L537" s="4" t="n">
        <v>20.4775</v>
      </c>
      <c r="M537" s="7" t="n">
        <v>0.0249</v>
      </c>
    </row>
    <row r="538">
      <c r="A538" s="6" t="n">
        <v>44713</v>
      </c>
      <c r="B538" s="2" t="inlineStr">
        <is>
          <t>Wednesday</t>
        </is>
      </c>
      <c r="C538" s="5" t="n">
        <v>44713</v>
      </c>
      <c r="D538" s="2" t="inlineStr">
        <is>
          <t>Q1FY23</t>
        </is>
      </c>
      <c r="E538" s="3" t="n">
        <v>2209</v>
      </c>
      <c r="F538" s="8" t="n">
        <v>1.8604</v>
      </c>
      <c r="G538" s="4" t="n">
        <v>196.4259</v>
      </c>
      <c r="H538" s="4" t="n">
        <v>497.5096</v>
      </c>
      <c r="I538" s="4" t="n">
        <v>20.4775</v>
      </c>
      <c r="J538" s="4" t="n">
        <v>21.3375</v>
      </c>
      <c r="K538" s="4" t="n">
        <v>18.23</v>
      </c>
      <c r="L538" s="4" t="n">
        <v>20.845</v>
      </c>
      <c r="M538" s="7" t="n">
        <v>0.0179</v>
      </c>
    </row>
    <row r="539">
      <c r="A539" s="6" t="n">
        <v>44714</v>
      </c>
      <c r="B539" s="2" t="inlineStr">
        <is>
          <t>Thursday</t>
        </is>
      </c>
      <c r="C539" s="5" t="n">
        <v>44713</v>
      </c>
      <c r="D539" s="2" t="inlineStr">
        <is>
          <t>Q1FY23</t>
        </is>
      </c>
      <c r="E539" s="3" t="n">
        <v>2208</v>
      </c>
      <c r="F539" s="8" t="n">
        <v>1.751</v>
      </c>
      <c r="G539" s="4" t="n">
        <v>206.9341</v>
      </c>
      <c r="H539" s="4" t="n">
        <v>496.7281</v>
      </c>
      <c r="I539" s="4" t="n">
        <v>20.845</v>
      </c>
      <c r="J539" s="4" t="n">
        <v>20.9975</v>
      </c>
      <c r="K539" s="4" t="n">
        <v>18.3825</v>
      </c>
      <c r="L539" s="4" t="n">
        <v>20.32</v>
      </c>
      <c r="M539" s="7" t="n">
        <v>-0.0252</v>
      </c>
    </row>
    <row r="540">
      <c r="A540" s="6" t="n">
        <v>44715</v>
      </c>
      <c r="B540" s="2" t="inlineStr">
        <is>
          <t>Friday</t>
        </is>
      </c>
      <c r="C540" s="5" t="n">
        <v>44713</v>
      </c>
      <c r="D540" s="2" t="inlineStr">
        <is>
          <t>Q1FY23</t>
        </is>
      </c>
      <c r="E540" s="3" t="n">
        <v>2216</v>
      </c>
      <c r="F540" s="8" t="n">
        <v>1.726</v>
      </c>
      <c r="G540" s="4" t="n">
        <v>185.4611</v>
      </c>
      <c r="H540" s="4" t="n">
        <v>518.5940000000001</v>
      </c>
      <c r="I540" s="4" t="n">
        <v>20.32</v>
      </c>
      <c r="J540" s="4" t="n">
        <v>20.32</v>
      </c>
      <c r="K540" s="4" t="n">
        <v>18.735</v>
      </c>
      <c r="L540" s="4" t="n">
        <v>19.975</v>
      </c>
      <c r="M540" s="7" t="n">
        <v>-0.017</v>
      </c>
    </row>
    <row r="541">
      <c r="A541" s="6" t="n">
        <v>44718</v>
      </c>
      <c r="B541" s="2" t="inlineStr">
        <is>
          <t>Monday</t>
        </is>
      </c>
      <c r="C541" s="5" t="n">
        <v>44713</v>
      </c>
      <c r="D541" s="2" t="inlineStr">
        <is>
          <t>Q1FY23</t>
        </is>
      </c>
      <c r="E541" s="3" t="n">
        <v>2243</v>
      </c>
      <c r="F541" s="8" t="n">
        <v>1.5894</v>
      </c>
      <c r="G541" s="4" t="n">
        <v>176.4431</v>
      </c>
      <c r="H541" s="4" t="n">
        <v>422.534</v>
      </c>
      <c r="I541" s="4" t="n">
        <v>19.975</v>
      </c>
      <c r="J541" s="4" t="n">
        <v>20.6825</v>
      </c>
      <c r="K541" s="4" t="n">
        <v>18.65</v>
      </c>
      <c r="L541" s="4" t="n">
        <v>20.2025</v>
      </c>
      <c r="M541" s="7" t="n">
        <v>0.0114</v>
      </c>
    </row>
    <row r="542">
      <c r="A542" s="6" t="n">
        <v>44719</v>
      </c>
      <c r="B542" s="2" t="inlineStr">
        <is>
          <t>Tuesday</t>
        </is>
      </c>
      <c r="C542" s="5" t="n">
        <v>44713</v>
      </c>
      <c r="D542" s="2" t="inlineStr">
        <is>
          <t>Q1FY23</t>
        </is>
      </c>
      <c r="E542" s="3" t="n">
        <v>2214</v>
      </c>
      <c r="F542" s="8" t="n">
        <v>1.5195</v>
      </c>
      <c r="G542" s="4" t="n">
        <v>176.5886</v>
      </c>
      <c r="H542" s="4" t="n">
        <v>424.3419</v>
      </c>
      <c r="I542" s="4" t="n">
        <v>20.2025</v>
      </c>
      <c r="J542" s="4" t="n">
        <v>21.07</v>
      </c>
      <c r="K542" s="4" t="n">
        <v>19.4325</v>
      </c>
      <c r="L542" s="4" t="n">
        <v>20.425</v>
      </c>
      <c r="M542" s="7" t="n">
        <v>0.011</v>
      </c>
    </row>
    <row r="543">
      <c r="A543" s="6" t="n">
        <v>44720</v>
      </c>
      <c r="B543" s="2" t="inlineStr">
        <is>
          <t>Wednesday</t>
        </is>
      </c>
      <c r="C543" s="5" t="n">
        <v>44713</v>
      </c>
      <c r="D543" s="2" t="inlineStr">
        <is>
          <t>Q1FY23</t>
        </is>
      </c>
      <c r="E543" s="3" t="n">
        <v>2213</v>
      </c>
      <c r="F543" s="8" t="n">
        <v>1.6914</v>
      </c>
      <c r="G543" s="4" t="n">
        <v>178.1989</v>
      </c>
      <c r="H543" s="4" t="n">
        <v>439.3837</v>
      </c>
      <c r="I543" s="4" t="n">
        <v>20.425</v>
      </c>
      <c r="J543" s="4" t="n">
        <v>20.6875</v>
      </c>
      <c r="K543" s="4" t="n">
        <v>19.3875</v>
      </c>
      <c r="L543" s="4" t="n">
        <v>19.8375</v>
      </c>
      <c r="M543" s="7" t="n">
        <v>-0.0288</v>
      </c>
    </row>
    <row r="544">
      <c r="A544" s="6" t="n">
        <v>44721</v>
      </c>
      <c r="B544" s="2" t="inlineStr">
        <is>
          <t>Thursday</t>
        </is>
      </c>
      <c r="C544" s="5" t="n">
        <v>44713</v>
      </c>
      <c r="D544" s="2" t="inlineStr">
        <is>
          <t>Q1FY23</t>
        </is>
      </c>
      <c r="E544" s="3" t="n">
        <v>2197</v>
      </c>
      <c r="F544" s="8" t="n">
        <v>1.5093</v>
      </c>
      <c r="G544" s="4" t="n">
        <v>161.2412</v>
      </c>
      <c r="H544" s="4" t="n">
        <v>402.8452</v>
      </c>
      <c r="I544" s="4" t="n">
        <v>19.8375</v>
      </c>
      <c r="J544" s="4" t="n">
        <v>19.8375</v>
      </c>
      <c r="K544" s="4" t="n">
        <v>18.155</v>
      </c>
      <c r="L544" s="4" t="n">
        <v>19.14</v>
      </c>
      <c r="M544" s="7" t="n">
        <v>-0.0352</v>
      </c>
    </row>
    <row r="545">
      <c r="A545" s="6" t="n">
        <v>44722</v>
      </c>
      <c r="B545" s="2" t="inlineStr">
        <is>
          <t>Friday</t>
        </is>
      </c>
      <c r="C545" s="5" t="n">
        <v>44713</v>
      </c>
      <c r="D545" s="2" t="inlineStr">
        <is>
          <t>Q1FY23</t>
        </is>
      </c>
      <c r="E545" s="3" t="n">
        <v>2212</v>
      </c>
      <c r="F545" s="8" t="n">
        <v>1.5053</v>
      </c>
      <c r="G545" s="4" t="n">
        <v>151.7246</v>
      </c>
      <c r="H545" s="4" t="n">
        <v>402.3404</v>
      </c>
      <c r="I545" s="4" t="n">
        <v>19.14</v>
      </c>
      <c r="J545" s="4" t="n">
        <v>19.755</v>
      </c>
      <c r="K545" s="4" t="n">
        <v>18.255</v>
      </c>
      <c r="L545" s="4" t="n">
        <v>19.575</v>
      </c>
      <c r="M545" s="7" t="n">
        <v>0.0227</v>
      </c>
    </row>
    <row r="546">
      <c r="A546" s="6" t="n">
        <v>44725</v>
      </c>
      <c r="B546" s="2" t="inlineStr">
        <is>
          <t>Monday</t>
        </is>
      </c>
      <c r="C546" s="5" t="n">
        <v>44713</v>
      </c>
      <c r="D546" s="2" t="inlineStr">
        <is>
          <t>Q1FY23</t>
        </is>
      </c>
      <c r="E546" s="3" t="n">
        <v>2235</v>
      </c>
      <c r="F546" s="8" t="n">
        <v>1.8745</v>
      </c>
      <c r="G546" s="4" t="n">
        <v>186.3685</v>
      </c>
      <c r="H546" s="4" t="n">
        <v>442.777</v>
      </c>
      <c r="I546" s="4" t="n">
        <v>19.575</v>
      </c>
      <c r="J546" s="4" t="n">
        <v>22.8025</v>
      </c>
      <c r="K546" s="4" t="n">
        <v>19.575</v>
      </c>
      <c r="L546" s="4" t="n">
        <v>22.365</v>
      </c>
      <c r="M546" s="7" t="n">
        <v>0.1425</v>
      </c>
    </row>
    <row r="547">
      <c r="A547" s="6" t="n">
        <v>44726</v>
      </c>
      <c r="B547" s="2" t="inlineStr">
        <is>
          <t>Tuesday</t>
        </is>
      </c>
      <c r="C547" s="5" t="n">
        <v>44713</v>
      </c>
      <c r="D547" s="2" t="inlineStr">
        <is>
          <t>Q1FY23</t>
        </is>
      </c>
      <c r="E547" s="3" t="n">
        <v>2204</v>
      </c>
      <c r="F547" s="8" t="n">
        <v>1.6817</v>
      </c>
      <c r="G547" s="4" t="n">
        <v>180.1695</v>
      </c>
      <c r="H547" s="4" t="n">
        <v>443.2753</v>
      </c>
      <c r="I547" s="4" t="n">
        <v>22.365</v>
      </c>
      <c r="J547" s="4" t="n">
        <v>22.635</v>
      </c>
      <c r="K547" s="4" t="n">
        <v>18.9475</v>
      </c>
      <c r="L547" s="4" t="n">
        <v>21.8875</v>
      </c>
      <c r="M547" s="7" t="n">
        <v>-0.0214</v>
      </c>
    </row>
    <row r="548">
      <c r="A548" s="6" t="n">
        <v>44727</v>
      </c>
      <c r="B548" s="2" t="inlineStr">
        <is>
          <t>Wednesday</t>
        </is>
      </c>
      <c r="C548" s="5" t="n">
        <v>44713</v>
      </c>
      <c r="D548" s="2" t="inlineStr">
        <is>
          <t>Q1FY23</t>
        </is>
      </c>
      <c r="E548" s="3" t="n">
        <v>2211</v>
      </c>
      <c r="F548" s="8" t="n">
        <v>1.4411</v>
      </c>
      <c r="G548" s="4" t="n">
        <v>145.3551</v>
      </c>
      <c r="H548" s="4" t="n">
        <v>365.7102</v>
      </c>
      <c r="I548" s="4" t="n">
        <v>21.8875</v>
      </c>
      <c r="J548" s="4" t="n">
        <v>22.365</v>
      </c>
      <c r="K548" s="4" t="n">
        <v>20.95</v>
      </c>
      <c r="L548" s="4" t="n">
        <v>22.1475</v>
      </c>
      <c r="M548" s="7" t="n">
        <v>0.0119</v>
      </c>
    </row>
    <row r="549">
      <c r="A549" s="6" t="n">
        <v>44728</v>
      </c>
      <c r="B549" s="2" t="inlineStr">
        <is>
          <t>Thursday</t>
        </is>
      </c>
      <c r="C549" s="5" t="n">
        <v>44713</v>
      </c>
      <c r="D549" s="2" t="inlineStr">
        <is>
          <t>Q1FY23</t>
        </is>
      </c>
      <c r="E549" s="3" t="n">
        <v>2222</v>
      </c>
      <c r="F549" s="8" t="n">
        <v>2.0026</v>
      </c>
      <c r="G549" s="4" t="n">
        <v>203.1946</v>
      </c>
      <c r="H549" s="4" t="n">
        <v>479.2138</v>
      </c>
      <c r="I549" s="4" t="n">
        <v>22.1475</v>
      </c>
      <c r="J549" s="4" t="n">
        <v>28.13</v>
      </c>
      <c r="K549" s="4" t="n">
        <v>19.7475</v>
      </c>
      <c r="L549" s="4" t="n">
        <v>22.8675</v>
      </c>
      <c r="M549" s="7" t="n">
        <v>0.0325</v>
      </c>
    </row>
    <row r="550">
      <c r="A550" s="6" t="n">
        <v>44729</v>
      </c>
      <c r="B550" s="2" t="inlineStr">
        <is>
          <t>Friday</t>
        </is>
      </c>
      <c r="C550" s="5" t="n">
        <v>44713</v>
      </c>
      <c r="D550" s="2" t="inlineStr">
        <is>
          <t>Q1FY23</t>
        </is>
      </c>
      <c r="E550" s="3" t="n">
        <v>2197</v>
      </c>
      <c r="F550" s="8" t="n">
        <v>2.106</v>
      </c>
      <c r="G550" s="4" t="n">
        <v>215.1681</v>
      </c>
      <c r="H550" s="4" t="n">
        <v>611.9323000000001</v>
      </c>
      <c r="I550" s="4" t="n">
        <v>22.8675</v>
      </c>
      <c r="J550" s="4" t="n">
        <v>23.69</v>
      </c>
      <c r="K550" s="4" t="n">
        <v>18.0225</v>
      </c>
      <c r="L550" s="4" t="n">
        <v>22.7575</v>
      </c>
      <c r="M550" s="7" t="n">
        <v>-0.0048</v>
      </c>
    </row>
    <row r="551">
      <c r="A551" s="6" t="n">
        <v>44732</v>
      </c>
      <c r="B551" s="2" t="inlineStr">
        <is>
          <t>Monday</t>
        </is>
      </c>
      <c r="C551" s="5" t="n">
        <v>44713</v>
      </c>
      <c r="D551" s="2" t="inlineStr">
        <is>
          <t>Q1FY23</t>
        </is>
      </c>
      <c r="E551" s="3" t="n">
        <v>2252</v>
      </c>
      <c r="F551" s="8" t="n">
        <v>1.9487</v>
      </c>
      <c r="G551" s="4" t="n">
        <v>211.5398</v>
      </c>
      <c r="H551" s="4" t="n">
        <v>449.5563</v>
      </c>
      <c r="I551" s="4" t="n">
        <v>22.7575</v>
      </c>
      <c r="J551" s="4" t="n">
        <v>23.635</v>
      </c>
      <c r="K551" s="4" t="n">
        <v>16.0025</v>
      </c>
      <c r="L551" s="4" t="n">
        <v>22.4125</v>
      </c>
      <c r="M551" s="7" t="n">
        <v>-0.0152</v>
      </c>
    </row>
    <row r="552">
      <c r="A552" s="6" t="n">
        <v>44733</v>
      </c>
      <c r="B552" s="2" t="inlineStr">
        <is>
          <t>Tuesday</t>
        </is>
      </c>
      <c r="C552" s="5" t="n">
        <v>44713</v>
      </c>
      <c r="D552" s="2" t="inlineStr">
        <is>
          <t>Q1FY23</t>
        </is>
      </c>
      <c r="E552" s="3" t="n">
        <v>2232</v>
      </c>
      <c r="F552" s="8" t="n">
        <v>1.6387</v>
      </c>
      <c r="G552" s="4" t="n">
        <v>199.147</v>
      </c>
      <c r="H552" s="4" t="n">
        <v>435.5497</v>
      </c>
      <c r="I552" s="4" t="n">
        <v>22.4125</v>
      </c>
      <c r="J552" s="4" t="n">
        <v>22.4125</v>
      </c>
      <c r="K552" s="4" t="n">
        <v>20.48</v>
      </c>
      <c r="L552" s="4" t="n">
        <v>21.1425</v>
      </c>
      <c r="M552" s="7" t="n">
        <v>-0.0567</v>
      </c>
    </row>
    <row r="553">
      <c r="A553" s="6" t="n">
        <v>44734</v>
      </c>
      <c r="B553" s="2" t="inlineStr">
        <is>
          <t>Wednesday</t>
        </is>
      </c>
      <c r="C553" s="5" t="n">
        <v>44713</v>
      </c>
      <c r="D553" s="2" t="inlineStr">
        <is>
          <t>Q1FY23</t>
        </is>
      </c>
      <c r="E553" s="3" t="n">
        <v>2212</v>
      </c>
      <c r="F553" s="8" t="n">
        <v>1.5946</v>
      </c>
      <c r="G553" s="4" t="n">
        <v>175.3509</v>
      </c>
      <c r="H553" s="4" t="n">
        <v>386.1873</v>
      </c>
      <c r="I553" s="4" t="n">
        <v>21.1425</v>
      </c>
      <c r="J553" s="4" t="n">
        <v>21.785</v>
      </c>
      <c r="K553" s="4" t="n">
        <v>19.32</v>
      </c>
      <c r="L553" s="4" t="n">
        <v>21.3</v>
      </c>
      <c r="M553" s="7" t="n">
        <v>0.0074</v>
      </c>
    </row>
    <row r="554">
      <c r="A554" s="6" t="n">
        <v>44735</v>
      </c>
      <c r="B554" s="2" t="inlineStr">
        <is>
          <t>Thursday</t>
        </is>
      </c>
      <c r="C554" s="5" t="n">
        <v>44713</v>
      </c>
      <c r="D554" s="2" t="inlineStr">
        <is>
          <t>Q1FY23</t>
        </is>
      </c>
      <c r="E554" s="3" t="n">
        <v>2197</v>
      </c>
      <c r="F554" s="8" t="n">
        <v>1.644</v>
      </c>
      <c r="G554" s="4" t="n">
        <v>165.88</v>
      </c>
      <c r="H554" s="4" t="n">
        <v>424.3538</v>
      </c>
      <c r="I554" s="4" t="n">
        <v>21.3</v>
      </c>
      <c r="J554" s="4" t="n">
        <v>21.71</v>
      </c>
      <c r="K554" s="4" t="n">
        <v>18.355</v>
      </c>
      <c r="L554" s="4" t="n">
        <v>20.88</v>
      </c>
      <c r="M554" s="7" t="n">
        <v>-0.0197</v>
      </c>
    </row>
    <row r="555">
      <c r="A555" s="6" t="n">
        <v>44736</v>
      </c>
      <c r="B555" s="2" t="inlineStr">
        <is>
          <t>Friday</t>
        </is>
      </c>
      <c r="C555" s="5" t="n">
        <v>44713</v>
      </c>
      <c r="D555" s="2" t="inlineStr">
        <is>
          <t>Q1FY23</t>
        </is>
      </c>
      <c r="E555" s="3" t="n">
        <v>2199</v>
      </c>
      <c r="F555" s="8" t="n">
        <v>1.5598</v>
      </c>
      <c r="G555" s="4" t="n">
        <v>165.0771</v>
      </c>
      <c r="H555" s="4" t="n">
        <v>403.5621</v>
      </c>
      <c r="I555" s="4" t="n">
        <v>20.88</v>
      </c>
      <c r="J555" s="4" t="n">
        <v>21.2725</v>
      </c>
      <c r="K555" s="4" t="n">
        <v>18.6825</v>
      </c>
      <c r="L555" s="4" t="n">
        <v>20.55</v>
      </c>
      <c r="M555" s="7" t="n">
        <v>-0.0158</v>
      </c>
    </row>
    <row r="556">
      <c r="A556" s="6" t="n">
        <v>44739</v>
      </c>
      <c r="B556" s="2" t="inlineStr">
        <is>
          <t>Monday</t>
        </is>
      </c>
      <c r="C556" s="5" t="n">
        <v>44713</v>
      </c>
      <c r="D556" s="2" t="inlineStr">
        <is>
          <t>Q1FY23</t>
        </is>
      </c>
      <c r="E556" s="3" t="n">
        <v>2222</v>
      </c>
      <c r="F556" s="8" t="n">
        <v>1.596</v>
      </c>
      <c r="G556" s="4" t="n">
        <v>168.8915</v>
      </c>
      <c r="H556" s="4" t="n">
        <v>406.4997</v>
      </c>
      <c r="I556" s="4" t="n">
        <v>20.55</v>
      </c>
      <c r="J556" s="4" t="n">
        <v>21.12</v>
      </c>
      <c r="K556" s="4" t="n">
        <v>19.545</v>
      </c>
      <c r="L556" s="4" t="n">
        <v>21.005</v>
      </c>
      <c r="M556" s="7" t="n">
        <v>0.0221</v>
      </c>
    </row>
    <row r="557">
      <c r="A557" s="6" t="n">
        <v>44740</v>
      </c>
      <c r="B557" s="2" t="inlineStr">
        <is>
          <t>Tuesday</t>
        </is>
      </c>
      <c r="C557" s="5" t="n">
        <v>44713</v>
      </c>
      <c r="D557" s="2" t="inlineStr">
        <is>
          <t>Q1FY23</t>
        </is>
      </c>
      <c r="E557" s="3" t="n">
        <v>2197</v>
      </c>
      <c r="F557" s="8" t="n">
        <v>1.5672</v>
      </c>
      <c r="G557" s="4" t="n">
        <v>171.6134</v>
      </c>
      <c r="H557" s="4" t="n">
        <v>408.7692</v>
      </c>
      <c r="I557" s="4" t="n">
        <v>21.005</v>
      </c>
      <c r="J557" s="4" t="n">
        <v>21.68</v>
      </c>
      <c r="K557" s="4" t="n">
        <v>20.5125</v>
      </c>
      <c r="L557" s="4" t="n">
        <v>21.45</v>
      </c>
      <c r="M557" s="7" t="n">
        <v>0.0212</v>
      </c>
    </row>
    <row r="558">
      <c r="A558" s="6" t="n">
        <v>44741</v>
      </c>
      <c r="B558" s="2" t="inlineStr">
        <is>
          <t>Wednesday</t>
        </is>
      </c>
      <c r="C558" s="5" t="n">
        <v>44713</v>
      </c>
      <c r="D558" s="2" t="inlineStr">
        <is>
          <t>Q1FY23</t>
        </is>
      </c>
      <c r="E558" s="3" t="n">
        <v>2190</v>
      </c>
      <c r="F558" s="8" t="n">
        <v>1.6705</v>
      </c>
      <c r="G558" s="4" t="n">
        <v>183.3802</v>
      </c>
      <c r="H558" s="4" t="n">
        <v>473.657</v>
      </c>
      <c r="I558" s="4" t="n">
        <v>21.45</v>
      </c>
      <c r="J558" s="4" t="n">
        <v>22.085</v>
      </c>
      <c r="K558" s="4" t="n">
        <v>21.45</v>
      </c>
      <c r="L558" s="4" t="n">
        <v>21.9</v>
      </c>
      <c r="M558" s="7" t="n">
        <v>0.021</v>
      </c>
    </row>
    <row r="559">
      <c r="A559" s="6" t="n">
        <v>44742</v>
      </c>
      <c r="B559" s="2" t="inlineStr">
        <is>
          <t>Thursday</t>
        </is>
      </c>
      <c r="C559" s="5" t="n">
        <v>44713</v>
      </c>
      <c r="D559" s="2" t="inlineStr">
        <is>
          <t>Q1FY23</t>
        </is>
      </c>
      <c r="E559" s="3" t="n">
        <v>2191</v>
      </c>
      <c r="F559" s="8" t="n">
        <v>1.7698</v>
      </c>
      <c r="G559" s="4" t="n">
        <v>165.9942</v>
      </c>
      <c r="H559" s="4" t="n">
        <v>478.3457</v>
      </c>
      <c r="I559" s="4" t="n">
        <v>21.9</v>
      </c>
      <c r="J559" s="4" t="n">
        <v>22.2725</v>
      </c>
      <c r="K559" s="4" t="n">
        <v>21.5375</v>
      </c>
      <c r="L559" s="4" t="n">
        <v>21.84</v>
      </c>
      <c r="M559" s="7" t="n">
        <v>-0.0027</v>
      </c>
    </row>
    <row r="560">
      <c r="A560" s="6" t="n">
        <v>44743</v>
      </c>
      <c r="B560" s="2" t="inlineStr">
        <is>
          <t>Friday</t>
        </is>
      </c>
      <c r="C560" s="5" t="n">
        <v>44743</v>
      </c>
      <c r="D560" s="2" t="inlineStr">
        <is>
          <t>Q2FY23</t>
        </is>
      </c>
      <c r="E560" s="3" t="n">
        <v>2210</v>
      </c>
      <c r="F560" s="8" t="n">
        <v>1.5699</v>
      </c>
      <c r="G560" s="4" t="n">
        <v>165.9386</v>
      </c>
      <c r="H560" s="4" t="n">
        <v>465.8647</v>
      </c>
      <c r="I560" s="4" t="n">
        <v>21.84</v>
      </c>
      <c r="J560" s="4" t="n">
        <v>22.43</v>
      </c>
      <c r="K560" s="4" t="n">
        <v>21.1425</v>
      </c>
      <c r="L560" s="4" t="n">
        <v>21.25</v>
      </c>
      <c r="M560" s="7" t="n">
        <v>-0.027</v>
      </c>
    </row>
    <row r="561">
      <c r="A561" s="6" t="n">
        <v>44746</v>
      </c>
      <c r="B561" s="2" t="inlineStr">
        <is>
          <t>Monday</t>
        </is>
      </c>
      <c r="C561" s="5" t="n">
        <v>44743</v>
      </c>
      <c r="D561" s="2" t="inlineStr">
        <is>
          <t>Q2FY23</t>
        </is>
      </c>
      <c r="E561" s="3" t="n">
        <v>2251</v>
      </c>
      <c r="F561" s="8" t="n">
        <v>1.463</v>
      </c>
      <c r="G561" s="4" t="n">
        <v>143.9993</v>
      </c>
      <c r="H561" s="4" t="n">
        <v>390.0228</v>
      </c>
      <c r="I561" s="4" t="n">
        <v>21.25</v>
      </c>
      <c r="J561" s="4" t="n">
        <v>22.2475</v>
      </c>
      <c r="K561" s="4" t="n">
        <v>20.9225</v>
      </c>
      <c r="L561" s="4" t="n">
        <v>20.9725</v>
      </c>
      <c r="M561" s="7" t="n">
        <v>-0.0131</v>
      </c>
    </row>
    <row r="562">
      <c r="A562" s="6" t="n">
        <v>44747</v>
      </c>
      <c r="B562" s="2" t="inlineStr">
        <is>
          <t>Tuesday</t>
        </is>
      </c>
      <c r="C562" s="5" t="n">
        <v>44743</v>
      </c>
      <c r="D562" s="2" t="inlineStr">
        <is>
          <t>Q2FY23</t>
        </is>
      </c>
      <c r="E562" s="3" t="n">
        <v>2210</v>
      </c>
      <c r="F562" s="8" t="n">
        <v>1.5762</v>
      </c>
      <c r="G562" s="4" t="n">
        <v>156.637</v>
      </c>
      <c r="H562" s="4" t="n">
        <v>411.8572</v>
      </c>
      <c r="I562" s="4" t="n">
        <v>20.9725</v>
      </c>
      <c r="J562" s="4" t="n">
        <v>20.9925</v>
      </c>
      <c r="K562" s="4" t="n">
        <v>20.235</v>
      </c>
      <c r="L562" s="4" t="n">
        <v>20.7875</v>
      </c>
      <c r="M562" s="7" t="n">
        <v>-0.008800000000000001</v>
      </c>
    </row>
    <row r="563">
      <c r="A563" s="6" t="n">
        <v>44748</v>
      </c>
      <c r="B563" s="2" t="inlineStr">
        <is>
          <t>Wednesday</t>
        </is>
      </c>
      <c r="C563" s="5" t="n">
        <v>44743</v>
      </c>
      <c r="D563" s="2" t="inlineStr">
        <is>
          <t>Q2FY23</t>
        </is>
      </c>
      <c r="E563" s="3" t="n">
        <v>2195</v>
      </c>
      <c r="F563" s="8" t="n">
        <v>1.6421</v>
      </c>
      <c r="G563" s="4" t="n">
        <v>160.6324</v>
      </c>
      <c r="H563" s="4" t="n">
        <v>460.7605</v>
      </c>
      <c r="I563" s="4" t="n">
        <v>20.7875</v>
      </c>
      <c r="J563" s="4" t="n">
        <v>20.7875</v>
      </c>
      <c r="K563" s="4" t="n">
        <v>19.8225</v>
      </c>
      <c r="L563" s="4" t="n">
        <v>20.2675</v>
      </c>
      <c r="M563" s="7" t="n">
        <v>-0.025</v>
      </c>
    </row>
    <row r="564">
      <c r="A564" s="6" t="n">
        <v>44749</v>
      </c>
      <c r="B564" s="2" t="inlineStr">
        <is>
          <t>Thursday</t>
        </is>
      </c>
      <c r="C564" s="5" t="n">
        <v>44743</v>
      </c>
      <c r="D564" s="2" t="inlineStr">
        <is>
          <t>Q2FY23</t>
        </is>
      </c>
      <c r="E564" s="3" t="n">
        <v>2194</v>
      </c>
      <c r="F564" s="8" t="n">
        <v>1.6232</v>
      </c>
      <c r="G564" s="4" t="n">
        <v>168.8336</v>
      </c>
      <c r="H564" s="4" t="n">
        <v>463.2404</v>
      </c>
      <c r="I564" s="4" t="n">
        <v>20.2675</v>
      </c>
      <c r="J564" s="4" t="n">
        <v>20.2675</v>
      </c>
      <c r="K564" s="4" t="n">
        <v>19.0125</v>
      </c>
      <c r="L564" s="4" t="n">
        <v>19.2025</v>
      </c>
      <c r="M564" s="7" t="n">
        <v>-0.0525</v>
      </c>
    </row>
    <row r="565">
      <c r="A565" s="6" t="n">
        <v>44750</v>
      </c>
      <c r="B565" s="2" t="inlineStr">
        <is>
          <t>Friday</t>
        </is>
      </c>
      <c r="C565" s="5" t="n">
        <v>44743</v>
      </c>
      <c r="D565" s="2" t="inlineStr">
        <is>
          <t>Q2FY23</t>
        </is>
      </c>
      <c r="E565" s="3" t="n">
        <v>2210</v>
      </c>
      <c r="F565" s="8" t="n">
        <v>1.5528</v>
      </c>
      <c r="G565" s="4" t="n">
        <v>157.0176</v>
      </c>
      <c r="H565" s="4" t="n">
        <v>427.671</v>
      </c>
      <c r="I565" s="4" t="n">
        <v>19.2025</v>
      </c>
      <c r="J565" s="4" t="n">
        <v>19.2025</v>
      </c>
      <c r="K565" s="4" t="n">
        <v>18.22</v>
      </c>
      <c r="L565" s="4" t="n">
        <v>18.395</v>
      </c>
      <c r="M565" s="7" t="n">
        <v>-0.0421</v>
      </c>
    </row>
    <row r="566">
      <c r="A566" s="6" t="n">
        <v>44753</v>
      </c>
      <c r="B566" s="2" t="inlineStr">
        <is>
          <t>Monday</t>
        </is>
      </c>
      <c r="C566" s="5" t="n">
        <v>44743</v>
      </c>
      <c r="D566" s="2" t="inlineStr">
        <is>
          <t>Q2FY23</t>
        </is>
      </c>
      <c r="E566" s="3" t="n">
        <v>2232</v>
      </c>
      <c r="F566" s="8" t="n">
        <v>1.6109</v>
      </c>
      <c r="G566" s="4" t="n">
        <v>180.7084</v>
      </c>
      <c r="H566" s="4" t="n">
        <v>454.8897</v>
      </c>
      <c r="I566" s="4" t="n">
        <v>18.395</v>
      </c>
      <c r="J566" s="4" t="n">
        <v>19.215</v>
      </c>
      <c r="K566" s="4" t="n">
        <v>16.6475</v>
      </c>
      <c r="L566" s="4" t="n">
        <v>18.3675</v>
      </c>
      <c r="M566" s="7" t="n">
        <v>-0.0015</v>
      </c>
    </row>
    <row r="567">
      <c r="A567" s="6" t="n">
        <v>44754</v>
      </c>
      <c r="B567" s="2" t="inlineStr">
        <is>
          <t>Tuesday</t>
        </is>
      </c>
      <c r="C567" s="5" t="n">
        <v>44743</v>
      </c>
      <c r="D567" s="2" t="inlineStr">
        <is>
          <t>Q2FY23</t>
        </is>
      </c>
      <c r="E567" s="3" t="n">
        <v>2210</v>
      </c>
      <c r="F567" s="8" t="n">
        <v>1.5242</v>
      </c>
      <c r="G567" s="4" t="n">
        <v>177.0888</v>
      </c>
      <c r="H567" s="4" t="n">
        <v>403.3406</v>
      </c>
      <c r="I567" s="4" t="n">
        <v>18.3675</v>
      </c>
      <c r="J567" s="4" t="n">
        <v>18.6375</v>
      </c>
      <c r="K567" s="4" t="n">
        <v>17.3</v>
      </c>
      <c r="L567" s="4" t="n">
        <v>18.5475</v>
      </c>
      <c r="M567" s="7" t="n">
        <v>0.0098</v>
      </c>
    </row>
    <row r="568">
      <c r="A568" s="6" t="n">
        <v>44755</v>
      </c>
      <c r="B568" s="2" t="inlineStr">
        <is>
          <t>Wednesday</t>
        </is>
      </c>
      <c r="C568" s="5" t="n">
        <v>44743</v>
      </c>
      <c r="D568" s="2" t="inlineStr">
        <is>
          <t>Q2FY23</t>
        </is>
      </c>
      <c r="E568" s="3" t="n">
        <v>2223</v>
      </c>
      <c r="F568" s="8" t="n">
        <v>1.541</v>
      </c>
      <c r="G568" s="4" t="n">
        <v>159.1853</v>
      </c>
      <c r="H568" s="4" t="n">
        <v>424.0577</v>
      </c>
      <c r="I568" s="4" t="n">
        <v>18.5475</v>
      </c>
      <c r="J568" s="4" t="n">
        <v>18.7625</v>
      </c>
      <c r="K568" s="4" t="n">
        <v>17.735</v>
      </c>
      <c r="L568" s="4" t="n">
        <v>18.52</v>
      </c>
      <c r="M568" s="7" t="n">
        <v>-0.0015</v>
      </c>
    </row>
    <row r="569">
      <c r="A569" s="6" t="n">
        <v>44756</v>
      </c>
      <c r="B569" s="2" t="inlineStr">
        <is>
          <t>Thursday</t>
        </is>
      </c>
      <c r="C569" s="5" t="n">
        <v>44743</v>
      </c>
      <c r="D569" s="2" t="inlineStr">
        <is>
          <t>Q2FY23</t>
        </is>
      </c>
      <c r="E569" s="3" t="n">
        <v>2195</v>
      </c>
      <c r="F569" s="8" t="n">
        <v>1.5316</v>
      </c>
      <c r="G569" s="4" t="n">
        <v>147.3689</v>
      </c>
      <c r="H569" s="4" t="n">
        <v>420.8357</v>
      </c>
      <c r="I569" s="4" t="n">
        <v>18.52</v>
      </c>
      <c r="J569" s="4" t="n">
        <v>18.69</v>
      </c>
      <c r="K569" s="4" t="n">
        <v>17.75</v>
      </c>
      <c r="L569" s="4" t="n">
        <v>18.34</v>
      </c>
      <c r="M569" s="7" t="n">
        <v>-0.0097</v>
      </c>
    </row>
    <row r="570">
      <c r="A570" s="6" t="n">
        <v>44757</v>
      </c>
      <c r="B570" s="2" t="inlineStr">
        <is>
          <t>Friday</t>
        </is>
      </c>
      <c r="C570" s="5" t="n">
        <v>44743</v>
      </c>
      <c r="D570" s="2" t="inlineStr">
        <is>
          <t>Q2FY23</t>
        </is>
      </c>
      <c r="E570" s="3" t="n">
        <v>2209</v>
      </c>
      <c r="F570" s="8" t="n">
        <v>1.4121</v>
      </c>
      <c r="G570" s="4" t="n">
        <v>144.0826</v>
      </c>
      <c r="H570" s="4" t="n">
        <v>413.4798</v>
      </c>
      <c r="I570" s="4" t="n">
        <v>18.34</v>
      </c>
      <c r="J570" s="4" t="n">
        <v>18.34</v>
      </c>
      <c r="K570" s="4" t="n">
        <v>17.53</v>
      </c>
      <c r="L570" s="4" t="n">
        <v>17.5975</v>
      </c>
      <c r="M570" s="7" t="n">
        <v>-0.0405</v>
      </c>
    </row>
    <row r="571">
      <c r="A571" s="6" t="n">
        <v>44760</v>
      </c>
      <c r="B571" s="2" t="inlineStr">
        <is>
          <t>Monday</t>
        </is>
      </c>
      <c r="C571" s="5" t="n">
        <v>44743</v>
      </c>
      <c r="D571" s="2" t="inlineStr">
        <is>
          <t>Q2FY23</t>
        </is>
      </c>
      <c r="E571" s="3" t="n">
        <v>2254</v>
      </c>
      <c r="F571" s="8" t="n">
        <v>1.6012</v>
      </c>
      <c r="G571" s="4" t="n">
        <v>158.1002</v>
      </c>
      <c r="H571" s="4" t="n">
        <v>441.5617</v>
      </c>
      <c r="I571" s="4" t="n">
        <v>17.5975</v>
      </c>
      <c r="J571" s="4" t="n">
        <v>18.1825</v>
      </c>
      <c r="K571" s="4" t="n">
        <v>16.47</v>
      </c>
      <c r="L571" s="4" t="n">
        <v>17.16</v>
      </c>
      <c r="M571" s="7" t="n">
        <v>-0.0249</v>
      </c>
    </row>
    <row r="572">
      <c r="A572" s="6" t="n">
        <v>44761</v>
      </c>
      <c r="B572" s="2" t="inlineStr">
        <is>
          <t>Tuesday</t>
        </is>
      </c>
      <c r="C572" s="5" t="n">
        <v>44743</v>
      </c>
      <c r="D572" s="2" t="inlineStr">
        <is>
          <t>Q2FY23</t>
        </is>
      </c>
      <c r="E572" s="3" t="n">
        <v>2215</v>
      </c>
      <c r="F572" s="8" t="n">
        <v>1.5674</v>
      </c>
      <c r="G572" s="4" t="n">
        <v>176.5183</v>
      </c>
      <c r="H572" s="4" t="n">
        <v>445.8658</v>
      </c>
      <c r="I572" s="4" t="n">
        <v>17.16</v>
      </c>
      <c r="J572" s="4" t="n">
        <v>17.6675</v>
      </c>
      <c r="K572" s="4" t="n">
        <v>16.3525</v>
      </c>
      <c r="L572" s="4" t="n">
        <v>17.2025</v>
      </c>
      <c r="M572" s="7" t="n">
        <v>0.0025</v>
      </c>
    </row>
    <row r="573">
      <c r="A573" s="6" t="n">
        <v>44762</v>
      </c>
      <c r="B573" s="2" t="inlineStr">
        <is>
          <t>Wednesday</t>
        </is>
      </c>
      <c r="C573" s="5" t="n">
        <v>44743</v>
      </c>
      <c r="D573" s="2" t="inlineStr">
        <is>
          <t>Q2FY23</t>
        </is>
      </c>
      <c r="E573" s="3" t="n">
        <v>2235</v>
      </c>
      <c r="F573" s="8" t="n">
        <v>1.8144</v>
      </c>
      <c r="G573" s="4" t="n">
        <v>201.5599</v>
      </c>
      <c r="H573" s="4" t="n">
        <v>513.7865</v>
      </c>
      <c r="I573" s="4" t="n">
        <v>17.2025</v>
      </c>
      <c r="J573" s="4" t="n">
        <v>17.2725</v>
      </c>
      <c r="K573" s="4" t="n">
        <v>15.6575</v>
      </c>
      <c r="L573" s="4" t="n">
        <v>16.8225</v>
      </c>
      <c r="M573" s="7" t="n">
        <v>-0.0221</v>
      </c>
    </row>
    <row r="574">
      <c r="A574" s="6" t="n">
        <v>44763</v>
      </c>
      <c r="B574" s="2" t="inlineStr">
        <is>
          <t>Thursday</t>
        </is>
      </c>
      <c r="C574" s="5" t="n">
        <v>44743</v>
      </c>
      <c r="D574" s="2" t="inlineStr">
        <is>
          <t>Q2FY23</t>
        </is>
      </c>
      <c r="E574" s="3" t="n">
        <v>2217</v>
      </c>
      <c r="F574" s="8" t="n">
        <v>1.7271</v>
      </c>
      <c r="G574" s="4" t="n">
        <v>204.242</v>
      </c>
      <c r="H574" s="4" t="n">
        <v>498.4672</v>
      </c>
      <c r="I574" s="4" t="n">
        <v>16.8225</v>
      </c>
      <c r="J574" s="4" t="n">
        <v>17.2075</v>
      </c>
      <c r="K574" s="4" t="n">
        <v>15.9725</v>
      </c>
      <c r="L574" s="4" t="n">
        <v>16.8575</v>
      </c>
      <c r="M574" s="7" t="n">
        <v>0.0021</v>
      </c>
    </row>
    <row r="575">
      <c r="A575" s="6" t="n">
        <v>44764</v>
      </c>
      <c r="B575" s="2" t="inlineStr">
        <is>
          <t>Friday</t>
        </is>
      </c>
      <c r="C575" s="5" t="n">
        <v>44743</v>
      </c>
      <c r="D575" s="2" t="inlineStr">
        <is>
          <t>Q2FY23</t>
        </is>
      </c>
      <c r="E575" s="3" t="n">
        <v>2218</v>
      </c>
      <c r="F575" s="8" t="n">
        <v>1.7078</v>
      </c>
      <c r="G575" s="4" t="n">
        <v>178.6447</v>
      </c>
      <c r="H575" s="4" t="n">
        <v>476.8628</v>
      </c>
      <c r="I575" s="4" t="n">
        <v>16.8575</v>
      </c>
      <c r="J575" s="4" t="n">
        <v>16.9625</v>
      </c>
      <c r="K575" s="4" t="n">
        <v>16.1625</v>
      </c>
      <c r="L575" s="4" t="n">
        <v>16.65</v>
      </c>
      <c r="M575" s="7" t="n">
        <v>-0.0123</v>
      </c>
    </row>
    <row r="576">
      <c r="A576" s="6" t="n">
        <v>44767</v>
      </c>
      <c r="B576" s="2" t="inlineStr">
        <is>
          <t>Monday</t>
        </is>
      </c>
      <c r="C576" s="5" t="n">
        <v>44743</v>
      </c>
      <c r="D576" s="2" t="inlineStr">
        <is>
          <t>Q2FY23</t>
        </is>
      </c>
      <c r="E576" s="3" t="n">
        <v>2366</v>
      </c>
      <c r="F576" s="8" t="n">
        <v>1.6542</v>
      </c>
      <c r="G576" s="4" t="n">
        <v>202.6025</v>
      </c>
      <c r="H576" s="4" t="n">
        <v>555.3966</v>
      </c>
      <c r="I576" s="4" t="n">
        <v>16.65</v>
      </c>
      <c r="J576" s="4" t="n">
        <v>17.9075</v>
      </c>
      <c r="K576" s="4" t="n">
        <v>16.1775</v>
      </c>
      <c r="L576" s="4" t="n">
        <v>17.68</v>
      </c>
      <c r="M576" s="7" t="n">
        <v>0.0619</v>
      </c>
    </row>
    <row r="577">
      <c r="A577" s="6" t="n">
        <v>44768</v>
      </c>
      <c r="B577" s="2" t="inlineStr">
        <is>
          <t>Tuesday</t>
        </is>
      </c>
      <c r="C577" s="5" t="n">
        <v>44743</v>
      </c>
      <c r="D577" s="2" t="inlineStr">
        <is>
          <t>Q2FY23</t>
        </is>
      </c>
      <c r="E577" s="3" t="n">
        <v>2211</v>
      </c>
      <c r="F577" s="8" t="n">
        <v>1.6647</v>
      </c>
      <c r="G577" s="4" t="n">
        <v>209.6548</v>
      </c>
      <c r="H577" s="4" t="n">
        <v>472.5025</v>
      </c>
      <c r="I577" s="4" t="n">
        <v>17.68</v>
      </c>
      <c r="J577" s="4" t="n">
        <v>18.2675</v>
      </c>
      <c r="K577" s="4" t="n">
        <v>17.355</v>
      </c>
      <c r="L577" s="4" t="n">
        <v>18.17</v>
      </c>
      <c r="M577" s="7" t="n">
        <v>0.0277</v>
      </c>
    </row>
    <row r="578">
      <c r="A578" s="6" t="n">
        <v>44769</v>
      </c>
      <c r="B578" s="2" t="inlineStr">
        <is>
          <t>Wednesday</t>
        </is>
      </c>
      <c r="C578" s="5" t="n">
        <v>44743</v>
      </c>
      <c r="D578" s="2" t="inlineStr">
        <is>
          <t>Q2FY23</t>
        </is>
      </c>
      <c r="E578" s="3" t="n">
        <v>2215</v>
      </c>
      <c r="F578" s="8" t="n">
        <v>1.6198</v>
      </c>
      <c r="G578" s="4" t="n">
        <v>201.8524</v>
      </c>
      <c r="H578" s="4" t="n">
        <v>440.9677</v>
      </c>
      <c r="I578" s="4" t="n">
        <v>18.17</v>
      </c>
      <c r="J578" s="4" t="n">
        <v>18.635</v>
      </c>
      <c r="K578" s="4" t="n">
        <v>17.7525</v>
      </c>
      <c r="L578" s="4" t="n">
        <v>18.13</v>
      </c>
      <c r="M578" s="7" t="n">
        <v>-0.0022</v>
      </c>
    </row>
    <row r="579">
      <c r="A579" s="6" t="n">
        <v>44770</v>
      </c>
      <c r="B579" s="2" t="inlineStr">
        <is>
          <t>Thursday</t>
        </is>
      </c>
      <c r="C579" s="5" t="n">
        <v>44743</v>
      </c>
      <c r="D579" s="2" t="inlineStr">
        <is>
          <t>Q2FY23</t>
        </is>
      </c>
      <c r="E579" s="3" t="n">
        <v>2222</v>
      </c>
      <c r="F579" s="8" t="n">
        <v>1.8707</v>
      </c>
      <c r="G579" s="4" t="n">
        <v>228.5321</v>
      </c>
      <c r="H579" s="4" t="n">
        <v>579.0832</v>
      </c>
      <c r="I579" s="4" t="n">
        <v>18.13</v>
      </c>
      <c r="J579" s="4" t="n">
        <v>18.13</v>
      </c>
      <c r="K579" s="4" t="n">
        <v>16.8375</v>
      </c>
      <c r="L579" s="4" t="n">
        <v>17.0125</v>
      </c>
      <c r="M579" s="7" t="n">
        <v>-0.0616</v>
      </c>
    </row>
    <row r="580">
      <c r="A580" s="6" t="n">
        <v>44771</v>
      </c>
      <c r="B580" s="2" t="inlineStr">
        <is>
          <t>Friday</t>
        </is>
      </c>
      <c r="C580" s="5" t="n">
        <v>44743</v>
      </c>
      <c r="D580" s="2" t="inlineStr">
        <is>
          <t>Q2FY23</t>
        </is>
      </c>
      <c r="E580" s="3" t="n">
        <v>2224</v>
      </c>
      <c r="F580" s="8" t="n">
        <v>2.0448</v>
      </c>
      <c r="G580" s="4" t="n">
        <v>251.1031</v>
      </c>
      <c r="H580" s="4" t="n">
        <v>625.9043</v>
      </c>
      <c r="I580" s="4" t="n">
        <v>17.0125</v>
      </c>
      <c r="J580" s="4" t="n">
        <v>18.645</v>
      </c>
      <c r="K580" s="4" t="n">
        <v>16.49</v>
      </c>
      <c r="L580" s="4" t="n">
        <v>16.55</v>
      </c>
      <c r="M580" s="7" t="n">
        <v>-0.0272</v>
      </c>
    </row>
    <row r="581">
      <c r="A581" s="6" t="n">
        <v>44774</v>
      </c>
      <c r="B581" s="2" t="inlineStr">
        <is>
          <t>Monday</t>
        </is>
      </c>
      <c r="C581" s="5" t="n">
        <v>44774</v>
      </c>
      <c r="D581" s="2" t="inlineStr">
        <is>
          <t>Q2FY23</t>
        </is>
      </c>
      <c r="E581" s="3" t="n">
        <v>2279</v>
      </c>
      <c r="F581" s="8" t="n">
        <v>2.1004</v>
      </c>
      <c r="G581" s="4" t="n">
        <v>286.0269</v>
      </c>
      <c r="H581" s="4" t="n">
        <v>586.193</v>
      </c>
      <c r="I581" s="4" t="n">
        <v>16.55</v>
      </c>
      <c r="J581" s="4" t="n">
        <v>17.625</v>
      </c>
      <c r="K581" s="4" t="n">
        <v>15.8925</v>
      </c>
      <c r="L581" s="4" t="n">
        <v>17.485</v>
      </c>
      <c r="M581" s="7" t="n">
        <v>0.0565</v>
      </c>
    </row>
    <row r="582">
      <c r="A582" s="6" t="n">
        <v>44775</v>
      </c>
      <c r="B582" s="2" t="inlineStr">
        <is>
          <t>Tuesday</t>
        </is>
      </c>
      <c r="C582" s="5" t="n">
        <v>44774</v>
      </c>
      <c r="D582" s="2" t="inlineStr">
        <is>
          <t>Q2FY23</t>
        </is>
      </c>
      <c r="E582" s="3" t="n">
        <v>2220</v>
      </c>
      <c r="F582" s="8" t="n">
        <v>2.1345</v>
      </c>
      <c r="G582" s="4" t="n">
        <v>403.5521</v>
      </c>
      <c r="H582" s="4" t="n">
        <v>619.8274</v>
      </c>
      <c r="I582" s="4" t="n">
        <v>17.485</v>
      </c>
      <c r="J582" s="4" t="n">
        <v>18.755</v>
      </c>
      <c r="K582" s="4" t="n">
        <v>17.485</v>
      </c>
      <c r="L582" s="4" t="n">
        <v>18.53</v>
      </c>
      <c r="M582" s="7" t="n">
        <v>0.0598</v>
      </c>
    </row>
    <row r="583">
      <c r="A583" s="6" t="n">
        <v>44776</v>
      </c>
      <c r="B583" s="2" t="inlineStr">
        <is>
          <t>Wednesday</t>
        </is>
      </c>
      <c r="C583" s="5" t="n">
        <v>44774</v>
      </c>
      <c r="D583" s="2" t="inlineStr">
        <is>
          <t>Q2FY23</t>
        </is>
      </c>
      <c r="E583" s="3" t="n">
        <v>2224</v>
      </c>
      <c r="F583" s="8" t="n">
        <v>1.9943</v>
      </c>
      <c r="G583" s="4" t="n">
        <v>303.9698</v>
      </c>
      <c r="H583" s="4" t="n">
        <v>573.9679</v>
      </c>
      <c r="I583" s="4" t="n">
        <v>18.53</v>
      </c>
      <c r="J583" s="4" t="n">
        <v>19.1725</v>
      </c>
      <c r="K583" s="4" t="n">
        <v>17.95</v>
      </c>
      <c r="L583" s="4" t="n">
        <v>18.45</v>
      </c>
      <c r="M583" s="7" t="n">
        <v>-0.0043</v>
      </c>
    </row>
    <row r="584">
      <c r="A584" s="6" t="n">
        <v>44777</v>
      </c>
      <c r="B584" s="2" t="inlineStr">
        <is>
          <t>Thursday</t>
        </is>
      </c>
      <c r="C584" s="5" t="n">
        <v>44774</v>
      </c>
      <c r="D584" s="2" t="inlineStr">
        <is>
          <t>Q2FY23</t>
        </is>
      </c>
      <c r="E584" s="3" t="n">
        <v>2216</v>
      </c>
      <c r="F584" s="8" t="n">
        <v>2.1058</v>
      </c>
      <c r="G584" s="4" t="n">
        <v>309.2916</v>
      </c>
      <c r="H584" s="4" t="n">
        <v>613.4632</v>
      </c>
      <c r="I584" s="4" t="n">
        <v>18.45</v>
      </c>
      <c r="J584" s="4" t="n">
        <v>21.06</v>
      </c>
      <c r="K584" s="4" t="n">
        <v>17.625</v>
      </c>
      <c r="L584" s="4" t="n">
        <v>19.2575</v>
      </c>
      <c r="M584" s="7" t="n">
        <v>0.0438</v>
      </c>
    </row>
    <row r="585">
      <c r="A585" s="6" t="n">
        <v>44778</v>
      </c>
      <c r="B585" s="2" t="inlineStr">
        <is>
          <t>Friday</t>
        </is>
      </c>
      <c r="C585" s="5" t="n">
        <v>44774</v>
      </c>
      <c r="D585" s="2" t="inlineStr">
        <is>
          <t>Q2FY23</t>
        </is>
      </c>
      <c r="E585" s="3" t="n">
        <v>2216</v>
      </c>
      <c r="F585" s="8" t="n">
        <v>1.942</v>
      </c>
      <c r="G585" s="4" t="n">
        <v>294.3732</v>
      </c>
      <c r="H585" s="4" t="n">
        <v>591.6856</v>
      </c>
      <c r="I585" s="4" t="n">
        <v>19.2575</v>
      </c>
      <c r="J585" s="4" t="n">
        <v>19.39</v>
      </c>
      <c r="K585" s="4" t="n">
        <v>18.0075</v>
      </c>
      <c r="L585" s="4" t="n">
        <v>18.915</v>
      </c>
      <c r="M585" s="7" t="n">
        <v>-0.0178</v>
      </c>
    </row>
    <row r="586">
      <c r="A586" s="6" t="n">
        <v>44781</v>
      </c>
      <c r="B586" s="2" t="inlineStr">
        <is>
          <t>Monday</t>
        </is>
      </c>
      <c r="C586" s="5" t="n">
        <v>44774</v>
      </c>
      <c r="D586" s="2" t="inlineStr">
        <is>
          <t>Q2FY23</t>
        </is>
      </c>
      <c r="E586" s="3" t="n">
        <v>2377</v>
      </c>
      <c r="F586" s="8" t="n">
        <v>1.7626</v>
      </c>
      <c r="G586" s="4" t="n">
        <v>231.3423</v>
      </c>
      <c r="H586" s="4" t="n">
        <v>574.9298</v>
      </c>
      <c r="I586" s="4" t="n">
        <v>18.915</v>
      </c>
      <c r="J586" s="4" t="n">
        <v>20.18</v>
      </c>
      <c r="K586" s="4" t="n">
        <v>17.78</v>
      </c>
      <c r="L586" s="4" t="n">
        <v>19.3025</v>
      </c>
      <c r="M586" s="7" t="n">
        <v>0.0205</v>
      </c>
    </row>
    <row r="587">
      <c r="A587" s="6" t="n">
        <v>44783</v>
      </c>
      <c r="B587" s="2" t="inlineStr">
        <is>
          <t>Wednesday</t>
        </is>
      </c>
      <c r="C587" s="5" t="n">
        <v>44774</v>
      </c>
      <c r="D587" s="2" t="inlineStr">
        <is>
          <t>Q2FY23</t>
        </is>
      </c>
      <c r="E587" s="3" t="n">
        <v>2244</v>
      </c>
      <c r="F587" s="8" t="n">
        <v>2.0023</v>
      </c>
      <c r="G587" s="4" t="n">
        <v>264.7721</v>
      </c>
      <c r="H587" s="4" t="n">
        <v>557.1171000000001</v>
      </c>
      <c r="I587" s="4" t="n">
        <v>19.3025</v>
      </c>
      <c r="J587" s="4" t="n">
        <v>20.77</v>
      </c>
      <c r="K587" s="4" t="n">
        <v>18.8575</v>
      </c>
      <c r="L587" s="4" t="n">
        <v>19.5875</v>
      </c>
      <c r="M587" s="7" t="n">
        <v>0.0148</v>
      </c>
    </row>
    <row r="588">
      <c r="A588" s="6" t="n">
        <v>44784</v>
      </c>
      <c r="B588" s="2" t="inlineStr">
        <is>
          <t>Thursday</t>
        </is>
      </c>
      <c r="C588" s="5" t="n">
        <v>44774</v>
      </c>
      <c r="D588" s="2" t="inlineStr">
        <is>
          <t>Q2FY23</t>
        </is>
      </c>
      <c r="E588" s="3" t="n">
        <v>2227</v>
      </c>
      <c r="F588" s="8" t="n">
        <v>1.8446</v>
      </c>
      <c r="G588" s="4" t="n">
        <v>220.1436</v>
      </c>
      <c r="H588" s="4" t="n">
        <v>534.8452</v>
      </c>
      <c r="I588" s="4" t="n">
        <v>19.5875</v>
      </c>
      <c r="J588" s="4" t="n">
        <v>19.5875</v>
      </c>
      <c r="K588" s="4" t="n">
        <v>18.2</v>
      </c>
      <c r="L588" s="4" t="n">
        <v>18.355</v>
      </c>
      <c r="M588" s="7" t="n">
        <v>-0.0629</v>
      </c>
    </row>
    <row r="589">
      <c r="A589" s="6" t="n">
        <v>44785</v>
      </c>
      <c r="B589" s="2" t="inlineStr">
        <is>
          <t>Friday</t>
        </is>
      </c>
      <c r="C589" s="5" t="n">
        <v>44774</v>
      </c>
      <c r="D589" s="2" t="inlineStr">
        <is>
          <t>Q2FY23</t>
        </is>
      </c>
      <c r="E589" s="3" t="n">
        <v>2246</v>
      </c>
      <c r="F589" s="8" t="n">
        <v>1.8621</v>
      </c>
      <c r="G589" s="4" t="n">
        <v>242.5579</v>
      </c>
      <c r="H589" s="4" t="n">
        <v>557.4329</v>
      </c>
      <c r="I589" s="4" t="n">
        <v>18.355</v>
      </c>
      <c r="J589" s="4" t="n">
        <v>18.525</v>
      </c>
      <c r="K589" s="4" t="n">
        <v>17.41</v>
      </c>
      <c r="L589" s="4" t="n">
        <v>17.6075</v>
      </c>
      <c r="M589" s="7" t="n">
        <v>-0.0407</v>
      </c>
    </row>
    <row r="590">
      <c r="A590" s="6" t="n">
        <v>44789</v>
      </c>
      <c r="B590" s="2" t="inlineStr">
        <is>
          <t>Tuesday</t>
        </is>
      </c>
      <c r="C590" s="5" t="n">
        <v>44774</v>
      </c>
      <c r="D590" s="2" t="inlineStr">
        <is>
          <t>Q2FY23</t>
        </is>
      </c>
      <c r="E590" s="3" t="n">
        <v>2309</v>
      </c>
      <c r="F590" s="8" t="n">
        <v>2.0203</v>
      </c>
      <c r="G590" s="4" t="n">
        <v>251.0797</v>
      </c>
      <c r="H590" s="4" t="n">
        <v>579.9521999999999</v>
      </c>
      <c r="I590" s="4" t="n">
        <v>17.6075</v>
      </c>
      <c r="J590" s="4" t="n">
        <v>18.355</v>
      </c>
      <c r="K590" s="4" t="n">
        <v>17.005</v>
      </c>
      <c r="L590" s="4" t="n">
        <v>17.685</v>
      </c>
      <c r="M590" s="7" t="n">
        <v>0.0044</v>
      </c>
    </row>
    <row r="591">
      <c r="A591" s="6" t="n">
        <v>44790</v>
      </c>
      <c r="B591" s="2" t="inlineStr">
        <is>
          <t>Wednesday</t>
        </is>
      </c>
      <c r="C591" s="5" t="n">
        <v>44774</v>
      </c>
      <c r="D591" s="2" t="inlineStr">
        <is>
          <t>Q2FY23</t>
        </is>
      </c>
      <c r="E591" s="3" t="n">
        <v>2259</v>
      </c>
      <c r="F591" s="8" t="n">
        <v>1.9957</v>
      </c>
      <c r="G591" s="4" t="n">
        <v>266.8865</v>
      </c>
      <c r="H591" s="4" t="n">
        <v>599.2053</v>
      </c>
      <c r="I591" s="4" t="n">
        <v>17.685</v>
      </c>
      <c r="J591" s="4" t="n">
        <v>17.7875</v>
      </c>
      <c r="K591" s="4" t="n">
        <v>16.5475</v>
      </c>
      <c r="L591" s="4" t="n">
        <v>17.6775</v>
      </c>
      <c r="M591" s="7" t="n">
        <v>-0.0004</v>
      </c>
    </row>
    <row r="592">
      <c r="A592" s="6" t="n">
        <v>44791</v>
      </c>
      <c r="B592" s="2" t="inlineStr">
        <is>
          <t>Thursday</t>
        </is>
      </c>
      <c r="C592" s="5" t="n">
        <v>44774</v>
      </c>
      <c r="D592" s="2" t="inlineStr">
        <is>
          <t>Q2FY23</t>
        </is>
      </c>
      <c r="E592" s="3" t="n">
        <v>2241</v>
      </c>
      <c r="F592" s="8" t="n">
        <v>1.9181</v>
      </c>
      <c r="G592" s="4" t="n">
        <v>261.8698</v>
      </c>
      <c r="H592" s="4" t="n">
        <v>589.2796</v>
      </c>
      <c r="I592" s="4" t="n">
        <v>17.6775</v>
      </c>
      <c r="J592" s="4" t="n">
        <v>18.44</v>
      </c>
      <c r="K592" s="4" t="n">
        <v>16.715</v>
      </c>
      <c r="L592" s="4" t="n">
        <v>17.35</v>
      </c>
      <c r="M592" s="7" t="n">
        <v>-0.0185</v>
      </c>
    </row>
    <row r="593">
      <c r="A593" s="6" t="n">
        <v>44792</v>
      </c>
      <c r="B593" s="2" t="inlineStr">
        <is>
          <t>Friday</t>
        </is>
      </c>
      <c r="C593" s="5" t="n">
        <v>44774</v>
      </c>
      <c r="D593" s="2" t="inlineStr">
        <is>
          <t>Q2FY23</t>
        </is>
      </c>
      <c r="E593" s="3" t="n">
        <v>2247</v>
      </c>
      <c r="F593" s="8" t="n">
        <v>2.1583</v>
      </c>
      <c r="G593" s="4" t="n">
        <v>280.1283</v>
      </c>
      <c r="H593" s="4" t="n">
        <v>678.6214</v>
      </c>
      <c r="I593" s="4" t="n">
        <v>17.35</v>
      </c>
      <c r="J593" s="4" t="n">
        <v>18.5675</v>
      </c>
      <c r="K593" s="4" t="n">
        <v>16.875</v>
      </c>
      <c r="L593" s="4" t="n">
        <v>18.285</v>
      </c>
      <c r="M593" s="7" t="n">
        <v>0.0539</v>
      </c>
    </row>
    <row r="594">
      <c r="A594" s="6" t="n">
        <v>44795</v>
      </c>
      <c r="B594" s="2" t="inlineStr">
        <is>
          <t>Monday</t>
        </is>
      </c>
      <c r="C594" s="5" t="n">
        <v>44774</v>
      </c>
      <c r="D594" s="2" t="inlineStr">
        <is>
          <t>Q2FY23</t>
        </is>
      </c>
      <c r="E594" s="3" t="n">
        <v>2280</v>
      </c>
      <c r="F594" s="8" t="n">
        <v>2.0474</v>
      </c>
      <c r="G594" s="4" t="n">
        <v>257.4934</v>
      </c>
      <c r="H594" s="4" t="n">
        <v>551.6387999999999</v>
      </c>
      <c r="I594" s="4" t="n">
        <v>18.285</v>
      </c>
      <c r="J594" s="4" t="n">
        <v>19.295</v>
      </c>
      <c r="K594" s="4" t="n">
        <v>17.2</v>
      </c>
      <c r="L594" s="4" t="n">
        <v>19.0375</v>
      </c>
      <c r="M594" s="7" t="n">
        <v>0.0412</v>
      </c>
    </row>
    <row r="595">
      <c r="A595" s="6" t="n">
        <v>44796</v>
      </c>
      <c r="B595" s="2" t="inlineStr">
        <is>
          <t>Tuesday</t>
        </is>
      </c>
      <c r="C595" s="5" t="n">
        <v>44774</v>
      </c>
      <c r="D595" s="2" t="inlineStr">
        <is>
          <t>Q2FY23</t>
        </is>
      </c>
      <c r="E595" s="3" t="n">
        <v>2228</v>
      </c>
      <c r="F595" s="8" t="n">
        <v>1.9131</v>
      </c>
      <c r="G595" s="4" t="n">
        <v>262.3036</v>
      </c>
      <c r="H595" s="4" t="n">
        <v>562.0327</v>
      </c>
      <c r="I595" s="4" t="n">
        <v>19.0375</v>
      </c>
      <c r="J595" s="4" t="n">
        <v>19.59</v>
      </c>
      <c r="K595" s="4" t="n">
        <v>18.1775</v>
      </c>
      <c r="L595" s="4" t="n">
        <v>19.05</v>
      </c>
      <c r="M595" s="7" t="n">
        <v>0.0007</v>
      </c>
    </row>
    <row r="596">
      <c r="A596" s="6" t="n">
        <v>44797</v>
      </c>
      <c r="B596" s="2" t="inlineStr">
        <is>
          <t>Wednesday</t>
        </is>
      </c>
      <c r="C596" s="5" t="n">
        <v>44774</v>
      </c>
      <c r="D596" s="2" t="inlineStr">
        <is>
          <t>Q2FY23</t>
        </is>
      </c>
      <c r="E596" s="3" t="n">
        <v>2251</v>
      </c>
      <c r="F596" s="8" t="n">
        <v>1.7988</v>
      </c>
      <c r="G596" s="4" t="n">
        <v>254.0775</v>
      </c>
      <c r="H596" s="4" t="n">
        <v>516.7926</v>
      </c>
      <c r="I596" s="4" t="n">
        <v>19.05</v>
      </c>
      <c r="J596" s="4" t="n">
        <v>19.3425</v>
      </c>
      <c r="K596" s="4" t="n">
        <v>17.9875</v>
      </c>
      <c r="L596" s="4" t="n">
        <v>18.43</v>
      </c>
      <c r="M596" s="7" t="n">
        <v>-0.0325</v>
      </c>
    </row>
    <row r="597">
      <c r="A597" s="6" t="n">
        <v>44798</v>
      </c>
      <c r="B597" s="2" t="inlineStr">
        <is>
          <t>Thursday</t>
        </is>
      </c>
      <c r="C597" s="5" t="n">
        <v>44774</v>
      </c>
      <c r="D597" s="2" t="inlineStr">
        <is>
          <t>Q2FY23</t>
        </is>
      </c>
      <c r="E597" s="3" t="n">
        <v>2240</v>
      </c>
      <c r="F597" s="8" t="n">
        <v>1.8646</v>
      </c>
      <c r="G597" s="4" t="n">
        <v>296.8439</v>
      </c>
      <c r="H597" s="4" t="n">
        <v>548.3369</v>
      </c>
      <c r="I597" s="4" t="n">
        <v>18.43</v>
      </c>
      <c r="J597" s="4" t="n">
        <v>20.215</v>
      </c>
      <c r="K597" s="4" t="n">
        <v>17.275</v>
      </c>
      <c r="L597" s="4" t="n">
        <v>19.57</v>
      </c>
      <c r="M597" s="7" t="n">
        <v>0.0619</v>
      </c>
    </row>
    <row r="598">
      <c r="A598" s="6" t="n">
        <v>44799</v>
      </c>
      <c r="B598" s="2" t="inlineStr">
        <is>
          <t>Friday</t>
        </is>
      </c>
      <c r="C598" s="5" t="n">
        <v>44774</v>
      </c>
      <c r="D598" s="2" t="inlineStr">
        <is>
          <t>Q2FY23</t>
        </is>
      </c>
      <c r="E598" s="3" t="n">
        <v>2254</v>
      </c>
      <c r="F598" s="8" t="n">
        <v>1.8722</v>
      </c>
      <c r="G598" s="4" t="n">
        <v>266.3182</v>
      </c>
      <c r="H598" s="4" t="n">
        <v>543.7992</v>
      </c>
      <c r="I598" s="4" t="n">
        <v>19.57</v>
      </c>
      <c r="J598" s="4" t="n">
        <v>19.57</v>
      </c>
      <c r="K598" s="4" t="n">
        <v>15.825</v>
      </c>
      <c r="L598" s="4" t="n">
        <v>18.215</v>
      </c>
      <c r="M598" s="7" t="n">
        <v>-0.0692</v>
      </c>
    </row>
    <row r="599">
      <c r="A599" s="6" t="n">
        <v>44802</v>
      </c>
      <c r="B599" s="2" t="inlineStr">
        <is>
          <t>Monday</t>
        </is>
      </c>
      <c r="C599" s="5" t="n">
        <v>44774</v>
      </c>
      <c r="D599" s="2" t="inlineStr">
        <is>
          <t>Q2FY23</t>
        </is>
      </c>
      <c r="E599" s="3" t="n">
        <v>2301</v>
      </c>
      <c r="F599" s="8" t="n">
        <v>1.9872</v>
      </c>
      <c r="G599" s="4" t="n">
        <v>238.3435</v>
      </c>
      <c r="H599" s="4" t="n">
        <v>537.7583</v>
      </c>
      <c r="I599" s="4" t="n">
        <v>18.215</v>
      </c>
      <c r="J599" s="4" t="n">
        <v>21.205</v>
      </c>
      <c r="K599" s="4" t="n">
        <v>18.215</v>
      </c>
      <c r="L599" s="4" t="n">
        <v>19.8225</v>
      </c>
      <c r="M599" s="7" t="n">
        <v>0.0883</v>
      </c>
    </row>
    <row r="600">
      <c r="A600" s="6" t="n">
        <v>44803</v>
      </c>
      <c r="B600" s="2" t="inlineStr">
        <is>
          <t>Tuesday</t>
        </is>
      </c>
      <c r="C600" s="5" t="n">
        <v>44774</v>
      </c>
      <c r="D600" s="2" t="inlineStr">
        <is>
          <t>Q2FY23</t>
        </is>
      </c>
      <c r="E600" s="3" t="n">
        <v>2273</v>
      </c>
      <c r="F600" s="8" t="n">
        <v>1.988</v>
      </c>
      <c r="G600" s="4" t="n">
        <v>267.0846</v>
      </c>
      <c r="H600" s="4" t="n">
        <v>673.7711</v>
      </c>
      <c r="I600" s="4" t="n">
        <v>19.8225</v>
      </c>
      <c r="J600" s="4" t="n">
        <v>19.8225</v>
      </c>
      <c r="K600" s="4" t="n">
        <v>17.2575</v>
      </c>
      <c r="L600" s="4" t="n">
        <v>18.7</v>
      </c>
      <c r="M600" s="7" t="n">
        <v>-0.0566</v>
      </c>
    </row>
    <row r="601">
      <c r="A601" s="6" t="n">
        <v>44805</v>
      </c>
      <c r="B601" s="2" t="inlineStr">
        <is>
          <t>Thursday</t>
        </is>
      </c>
      <c r="C601" s="5" t="n">
        <v>44805</v>
      </c>
      <c r="D601" s="2" t="inlineStr">
        <is>
          <t>Q2FY23</t>
        </is>
      </c>
      <c r="E601" s="3" t="n">
        <v>2270</v>
      </c>
      <c r="F601" s="8" t="n">
        <v>2.2126</v>
      </c>
      <c r="G601" s="4" t="n">
        <v>327.3935</v>
      </c>
      <c r="H601" s="4" t="n">
        <v>651.6323</v>
      </c>
      <c r="I601" s="4" t="n">
        <v>18.7</v>
      </c>
      <c r="J601" s="4" t="n">
        <v>20.9875</v>
      </c>
      <c r="K601" s="4" t="n">
        <v>18.105</v>
      </c>
      <c r="L601" s="4" t="n">
        <v>19.8725</v>
      </c>
      <c r="M601" s="7" t="n">
        <v>0.06270000000000001</v>
      </c>
    </row>
    <row r="602">
      <c r="A602" s="6" t="n">
        <v>44806</v>
      </c>
      <c r="B602" s="2" t="inlineStr">
        <is>
          <t>Friday</t>
        </is>
      </c>
      <c r="C602" s="5" t="n">
        <v>44805</v>
      </c>
      <c r="D602" s="2" t="inlineStr">
        <is>
          <t>Q2FY23</t>
        </is>
      </c>
      <c r="E602" s="3" t="n">
        <v>2291</v>
      </c>
      <c r="F602" s="8" t="n">
        <v>1.98</v>
      </c>
      <c r="G602" s="4" t="n">
        <v>335.2061</v>
      </c>
      <c r="H602" s="4" t="n">
        <v>581.4144</v>
      </c>
      <c r="I602" s="4" t="n">
        <v>19.8725</v>
      </c>
      <c r="J602" s="4" t="n">
        <v>20.1425</v>
      </c>
      <c r="K602" s="4" t="n">
        <v>17.4025</v>
      </c>
      <c r="L602" s="4" t="n">
        <v>19.55</v>
      </c>
      <c r="M602" s="7" t="n">
        <v>-0.0162</v>
      </c>
    </row>
    <row r="603">
      <c r="A603" s="6" t="n">
        <v>44809</v>
      </c>
      <c r="B603" s="2" t="inlineStr">
        <is>
          <t>Monday</t>
        </is>
      </c>
      <c r="C603" s="5" t="n">
        <v>44805</v>
      </c>
      <c r="D603" s="2" t="inlineStr">
        <is>
          <t>Q2FY23</t>
        </is>
      </c>
      <c r="E603" s="3" t="n">
        <v>2311</v>
      </c>
      <c r="F603" s="8" t="n">
        <v>1.8293</v>
      </c>
      <c r="G603" s="4" t="n">
        <v>357.651</v>
      </c>
      <c r="H603" s="4" t="n">
        <v>522.147</v>
      </c>
      <c r="I603" s="4" t="n">
        <v>19.55</v>
      </c>
      <c r="J603" s="4" t="n">
        <v>20.29</v>
      </c>
      <c r="K603" s="4" t="n">
        <v>19.45</v>
      </c>
      <c r="L603" s="4" t="n">
        <v>19.6625</v>
      </c>
      <c r="M603" s="7" t="n">
        <v>0.0058</v>
      </c>
    </row>
    <row r="604">
      <c r="A604" s="6" t="n">
        <v>44810</v>
      </c>
      <c r="B604" s="2" t="inlineStr">
        <is>
          <t>Tuesday</t>
        </is>
      </c>
      <c r="C604" s="5" t="n">
        <v>44805</v>
      </c>
      <c r="D604" s="2" t="inlineStr">
        <is>
          <t>Q2FY23</t>
        </is>
      </c>
      <c r="E604" s="3" t="n">
        <v>2291</v>
      </c>
      <c r="F604" s="8" t="n">
        <v>1.9012</v>
      </c>
      <c r="G604" s="4" t="n">
        <v>367.8637</v>
      </c>
      <c r="H604" s="4" t="n">
        <v>559.0063</v>
      </c>
      <c r="I604" s="4" t="n">
        <v>19.6625</v>
      </c>
      <c r="J604" s="4" t="n">
        <v>20</v>
      </c>
      <c r="K604" s="4" t="n">
        <v>18.645</v>
      </c>
      <c r="L604" s="4" t="n">
        <v>19.525</v>
      </c>
      <c r="M604" s="7" t="n">
        <v>-0.007</v>
      </c>
    </row>
    <row r="605">
      <c r="A605" s="6" t="n">
        <v>44811</v>
      </c>
      <c r="B605" s="2" t="inlineStr">
        <is>
          <t>Wednesday</t>
        </is>
      </c>
      <c r="C605" s="5" t="n">
        <v>44805</v>
      </c>
      <c r="D605" s="2" t="inlineStr">
        <is>
          <t>Q2FY23</t>
        </is>
      </c>
      <c r="E605" s="3" t="n">
        <v>2271</v>
      </c>
      <c r="F605" s="8" t="n">
        <v>1.9097</v>
      </c>
      <c r="G605" s="4" t="n">
        <v>338.9336</v>
      </c>
      <c r="H605" s="4" t="n">
        <v>627.9983999999999</v>
      </c>
      <c r="I605" s="4" t="n">
        <v>19.525</v>
      </c>
      <c r="J605" s="4" t="n">
        <v>20.175</v>
      </c>
      <c r="K605" s="4" t="n">
        <v>18.2775</v>
      </c>
      <c r="L605" s="4" t="n">
        <v>19.3675</v>
      </c>
      <c r="M605" s="7" t="n">
        <v>-0.0081</v>
      </c>
    </row>
    <row r="606">
      <c r="A606" s="6" t="n">
        <v>44812</v>
      </c>
      <c r="B606" s="2" t="inlineStr">
        <is>
          <t>Thursday</t>
        </is>
      </c>
      <c r="C606" s="5" t="n">
        <v>44805</v>
      </c>
      <c r="D606" s="2" t="inlineStr">
        <is>
          <t>Q2FY23</t>
        </is>
      </c>
      <c r="E606" s="3" t="n">
        <v>2287</v>
      </c>
      <c r="F606" s="8" t="n">
        <v>1.8955</v>
      </c>
      <c r="G606" s="4" t="n">
        <v>302.429</v>
      </c>
      <c r="H606" s="4" t="n">
        <v>590.3037</v>
      </c>
      <c r="I606" s="4" t="n">
        <v>19.3675</v>
      </c>
      <c r="J606" s="4" t="n">
        <v>19.3675</v>
      </c>
      <c r="K606" s="4" t="n">
        <v>17.3025</v>
      </c>
      <c r="L606" s="4" t="n">
        <v>18.305</v>
      </c>
      <c r="M606" s="7" t="n">
        <v>-0.0549</v>
      </c>
    </row>
    <row r="607">
      <c r="A607" s="6" t="n">
        <v>44813</v>
      </c>
      <c r="B607" s="2" t="inlineStr">
        <is>
          <t>Friday</t>
        </is>
      </c>
      <c r="C607" s="5" t="n">
        <v>44805</v>
      </c>
      <c r="D607" s="2" t="inlineStr">
        <is>
          <t>Q2FY23</t>
        </is>
      </c>
      <c r="E607" s="3" t="n">
        <v>2282</v>
      </c>
      <c r="F607" s="8" t="n">
        <v>1.9723</v>
      </c>
      <c r="G607" s="4" t="n">
        <v>297.9272</v>
      </c>
      <c r="H607" s="4" t="n">
        <v>578.3814</v>
      </c>
      <c r="I607" s="4" t="n">
        <v>18.305</v>
      </c>
      <c r="J607" s="4" t="n">
        <v>18.51</v>
      </c>
      <c r="K607" s="4" t="n">
        <v>16.545</v>
      </c>
      <c r="L607" s="4" t="n">
        <v>17.7175</v>
      </c>
      <c r="M607" s="7" t="n">
        <v>-0.0321</v>
      </c>
    </row>
    <row r="608">
      <c r="A608" s="6" t="n">
        <v>44816</v>
      </c>
      <c r="B608" s="2" t="inlineStr">
        <is>
          <t>Monday</t>
        </is>
      </c>
      <c r="C608" s="5" t="n">
        <v>44805</v>
      </c>
      <c r="D608" s="2" t="inlineStr">
        <is>
          <t>Q2FY23</t>
        </is>
      </c>
      <c r="E608" s="3" t="n">
        <v>2329</v>
      </c>
      <c r="F608" s="8" t="n">
        <v>1.8111</v>
      </c>
      <c r="G608" s="4" t="n">
        <v>230.4923</v>
      </c>
      <c r="H608" s="4" t="n">
        <v>540.8649</v>
      </c>
      <c r="I608" s="4" t="n">
        <v>17.7175</v>
      </c>
      <c r="J608" s="4" t="n">
        <v>18.3825</v>
      </c>
      <c r="K608" s="4" t="n">
        <v>16.3925</v>
      </c>
      <c r="L608" s="4" t="n">
        <v>17.9375</v>
      </c>
      <c r="M608" s="7" t="n">
        <v>0.0124</v>
      </c>
    </row>
    <row r="609">
      <c r="A609" s="6" t="n">
        <v>44817</v>
      </c>
      <c r="B609" s="2" t="inlineStr">
        <is>
          <t>Tuesday</t>
        </is>
      </c>
      <c r="C609" s="5" t="n">
        <v>44805</v>
      </c>
      <c r="D609" s="2" t="inlineStr">
        <is>
          <t>Q2FY23</t>
        </is>
      </c>
      <c r="E609" s="3" t="n">
        <v>2283</v>
      </c>
      <c r="F609" s="8" t="n">
        <v>1.9808</v>
      </c>
      <c r="G609" s="4" t="n">
        <v>273.4537</v>
      </c>
      <c r="H609" s="4" t="n">
        <v>610.7734</v>
      </c>
      <c r="I609" s="4" t="n">
        <v>17.9375</v>
      </c>
      <c r="J609" s="4" t="n">
        <v>17.9375</v>
      </c>
      <c r="K609" s="4" t="n">
        <v>16.8575</v>
      </c>
      <c r="L609" s="4" t="n">
        <v>17.47</v>
      </c>
      <c r="M609" s="7" t="n">
        <v>-0.0261</v>
      </c>
    </row>
    <row r="610">
      <c r="A610" s="6" t="n">
        <v>44818</v>
      </c>
      <c r="B610" s="2" t="inlineStr">
        <is>
          <t>Wednesday</t>
        </is>
      </c>
      <c r="C610" s="5" t="n">
        <v>44805</v>
      </c>
      <c r="D610" s="2" t="inlineStr">
        <is>
          <t>Q2FY23</t>
        </is>
      </c>
      <c r="E610" s="3" t="n">
        <v>2258</v>
      </c>
      <c r="F610" s="8" t="n">
        <v>2.2676</v>
      </c>
      <c r="G610" s="4" t="n">
        <v>298.0277</v>
      </c>
      <c r="H610" s="4" t="n">
        <v>734.0098</v>
      </c>
      <c r="I610" s="4" t="n">
        <v>17.47</v>
      </c>
      <c r="J610" s="4" t="n">
        <v>18.565</v>
      </c>
      <c r="K610" s="4" t="n">
        <v>17.26</v>
      </c>
      <c r="L610" s="4" t="n">
        <v>18.2775</v>
      </c>
      <c r="M610" s="7" t="n">
        <v>0.0462</v>
      </c>
    </row>
    <row r="611">
      <c r="A611" s="6" t="n">
        <v>44819</v>
      </c>
      <c r="B611" s="2" t="inlineStr">
        <is>
          <t>Thursday</t>
        </is>
      </c>
      <c r="C611" s="5" t="n">
        <v>44805</v>
      </c>
      <c r="D611" s="2" t="inlineStr">
        <is>
          <t>Q2FY23</t>
        </is>
      </c>
      <c r="E611" s="3" t="n">
        <v>2243</v>
      </c>
      <c r="F611" s="8" t="n">
        <v>2.2727</v>
      </c>
      <c r="G611" s="4" t="n">
        <v>294.5065</v>
      </c>
      <c r="H611" s="4" t="n">
        <v>667.802</v>
      </c>
      <c r="I611" s="4" t="n">
        <v>18.2775</v>
      </c>
      <c r="J611" s="4" t="n">
        <v>19.215</v>
      </c>
      <c r="K611" s="4" t="n">
        <v>16.78</v>
      </c>
      <c r="L611" s="4" t="n">
        <v>18.3925</v>
      </c>
      <c r="M611" s="7" t="n">
        <v>0.0063</v>
      </c>
    </row>
    <row r="612">
      <c r="A612" s="6" t="n">
        <v>44820</v>
      </c>
      <c r="B612" s="2" t="inlineStr">
        <is>
          <t>Friday</t>
        </is>
      </c>
      <c r="C612" s="5" t="n">
        <v>44805</v>
      </c>
      <c r="D612" s="2" t="inlineStr">
        <is>
          <t>Q2FY23</t>
        </is>
      </c>
      <c r="E612" s="3" t="n">
        <v>2269</v>
      </c>
      <c r="F612" s="8" t="n">
        <v>2.7513</v>
      </c>
      <c r="G612" s="4" t="n">
        <v>375.8856</v>
      </c>
      <c r="H612" s="4" t="n">
        <v>954.5119</v>
      </c>
      <c r="I612" s="4" t="n">
        <v>18.3925</v>
      </c>
      <c r="J612" s="4" t="n">
        <v>20.2425</v>
      </c>
      <c r="K612" s="4" t="n">
        <v>18.3</v>
      </c>
      <c r="L612" s="4" t="n">
        <v>19.8225</v>
      </c>
      <c r="M612" s="7" t="n">
        <v>0.07770000000000001</v>
      </c>
    </row>
    <row r="613">
      <c r="A613" s="6" t="n">
        <v>44823</v>
      </c>
      <c r="B613" s="2" t="inlineStr">
        <is>
          <t>Monday</t>
        </is>
      </c>
      <c r="C613" s="5" t="n">
        <v>44805</v>
      </c>
      <c r="D613" s="2" t="inlineStr">
        <is>
          <t>Q2FY23</t>
        </is>
      </c>
      <c r="E613" s="3" t="n">
        <v>2305</v>
      </c>
      <c r="F613" s="8" t="n">
        <v>2.1083</v>
      </c>
      <c r="G613" s="4" t="n">
        <v>239.3489</v>
      </c>
      <c r="H613" s="4" t="n">
        <v>589.0493</v>
      </c>
      <c r="I613" s="4" t="n">
        <v>19.8225</v>
      </c>
      <c r="J613" s="4" t="n">
        <v>21.205</v>
      </c>
      <c r="K613" s="4" t="n">
        <v>16.4725</v>
      </c>
      <c r="L613" s="4" t="n">
        <v>19.94</v>
      </c>
      <c r="M613" s="7" t="n">
        <v>0.0059</v>
      </c>
    </row>
    <row r="614">
      <c r="A614" s="6" t="n">
        <v>44824</v>
      </c>
      <c r="B614" s="2" t="inlineStr">
        <is>
          <t>Tuesday</t>
        </is>
      </c>
      <c r="C614" s="5" t="n">
        <v>44805</v>
      </c>
      <c r="D614" s="2" t="inlineStr">
        <is>
          <t>Q2FY23</t>
        </is>
      </c>
      <c r="E614" s="3" t="n">
        <v>2269</v>
      </c>
      <c r="F614" s="8" t="n">
        <v>2.014</v>
      </c>
      <c r="G614" s="4" t="n">
        <v>223.5209</v>
      </c>
      <c r="H614" s="4" t="n">
        <v>579.7053</v>
      </c>
      <c r="I614" s="4" t="n">
        <v>19.94</v>
      </c>
      <c r="J614" s="4" t="n">
        <v>19.94</v>
      </c>
      <c r="K614" s="4" t="n">
        <v>18.1125</v>
      </c>
      <c r="L614" s="4" t="n">
        <v>18.7975</v>
      </c>
      <c r="M614" s="7" t="n">
        <v>-0.0573</v>
      </c>
    </row>
    <row r="615">
      <c r="A615" s="6" t="n">
        <v>44825</v>
      </c>
      <c r="B615" s="2" t="inlineStr">
        <is>
          <t>Wednesday</t>
        </is>
      </c>
      <c r="C615" s="5" t="n">
        <v>44805</v>
      </c>
      <c r="D615" s="2" t="inlineStr">
        <is>
          <t>Q2FY23</t>
        </is>
      </c>
      <c r="E615" s="3" t="n">
        <v>2265</v>
      </c>
      <c r="F615" s="8" t="n">
        <v>2.0482</v>
      </c>
      <c r="G615" s="4" t="n">
        <v>244.1068</v>
      </c>
      <c r="H615" s="4" t="n">
        <v>589.3523</v>
      </c>
      <c r="I615" s="4" t="n">
        <v>18.7975</v>
      </c>
      <c r="J615" s="4" t="n">
        <v>20.29</v>
      </c>
      <c r="K615" s="4" t="n">
        <v>18.305</v>
      </c>
      <c r="L615" s="4" t="n">
        <v>19.325</v>
      </c>
      <c r="M615" s="7" t="n">
        <v>0.0281</v>
      </c>
    </row>
    <row r="616">
      <c r="A616" s="6" t="n">
        <v>44826</v>
      </c>
      <c r="B616" s="2" t="inlineStr">
        <is>
          <t>Thursday</t>
        </is>
      </c>
      <c r="C616" s="5" t="n">
        <v>44805</v>
      </c>
      <c r="D616" s="2" t="inlineStr">
        <is>
          <t>Q2FY23</t>
        </is>
      </c>
      <c r="E616" s="3" t="n">
        <v>2271</v>
      </c>
      <c r="F616" s="8" t="n">
        <v>1.9802</v>
      </c>
      <c r="G616" s="4" t="n">
        <v>271.6977</v>
      </c>
      <c r="H616" s="4" t="n">
        <v>646.313</v>
      </c>
      <c r="I616" s="4" t="n">
        <v>19.325</v>
      </c>
      <c r="J616" s="4" t="n">
        <v>20.1375</v>
      </c>
      <c r="K616" s="4" t="n">
        <v>17.4075</v>
      </c>
      <c r="L616" s="4" t="n">
        <v>18.815</v>
      </c>
      <c r="M616" s="7" t="n">
        <v>-0.0264</v>
      </c>
    </row>
    <row r="617">
      <c r="A617" s="6" t="n">
        <v>44827</v>
      </c>
      <c r="B617" s="2" t="inlineStr">
        <is>
          <t>Friday</t>
        </is>
      </c>
      <c r="C617" s="5" t="n">
        <v>44805</v>
      </c>
      <c r="D617" s="2" t="inlineStr">
        <is>
          <t>Q2FY23</t>
        </is>
      </c>
      <c r="E617" s="3" t="n">
        <v>2276</v>
      </c>
      <c r="F617" s="8" t="n">
        <v>2.0383</v>
      </c>
      <c r="G617" s="4" t="n">
        <v>241.0514</v>
      </c>
      <c r="H617" s="4" t="n">
        <v>565.8236000000001</v>
      </c>
      <c r="I617" s="4" t="n">
        <v>18.815</v>
      </c>
      <c r="J617" s="4" t="n">
        <v>20.8125</v>
      </c>
      <c r="K617" s="4" t="n">
        <v>17.345</v>
      </c>
      <c r="L617" s="4" t="n">
        <v>20.5925</v>
      </c>
      <c r="M617" s="7" t="n">
        <v>0.0945</v>
      </c>
    </row>
    <row r="618">
      <c r="A618" s="6" t="n">
        <v>44830</v>
      </c>
      <c r="B618" s="2" t="inlineStr">
        <is>
          <t>Monday</t>
        </is>
      </c>
      <c r="C618" s="5" t="n">
        <v>44805</v>
      </c>
      <c r="D618" s="2" t="inlineStr">
        <is>
          <t>Q2FY23</t>
        </is>
      </c>
      <c r="E618" s="3" t="n">
        <v>2320</v>
      </c>
      <c r="F618" s="8" t="n">
        <v>2.5945</v>
      </c>
      <c r="G618" s="4" t="n">
        <v>277.2038</v>
      </c>
      <c r="H618" s="4" t="n">
        <v>653.4189</v>
      </c>
      <c r="I618" s="4" t="n">
        <v>20.5925</v>
      </c>
      <c r="J618" s="4" t="n">
        <v>22.8975</v>
      </c>
      <c r="K618" s="4" t="n">
        <v>18.805</v>
      </c>
      <c r="L618" s="4" t="n">
        <v>21.8925</v>
      </c>
      <c r="M618" s="7" t="n">
        <v>0.0631</v>
      </c>
    </row>
    <row r="619">
      <c r="A619" s="6" t="n">
        <v>44831</v>
      </c>
      <c r="B619" s="2" t="inlineStr">
        <is>
          <t>Tuesday</t>
        </is>
      </c>
      <c r="C619" s="5" t="n">
        <v>44805</v>
      </c>
      <c r="D619" s="2" t="inlineStr">
        <is>
          <t>Q2FY23</t>
        </is>
      </c>
      <c r="E619" s="3" t="n">
        <v>2255</v>
      </c>
      <c r="F619" s="8" t="n">
        <v>2.0585</v>
      </c>
      <c r="G619" s="4" t="n">
        <v>253.8983</v>
      </c>
      <c r="H619" s="4" t="n">
        <v>578.9546</v>
      </c>
      <c r="I619" s="4" t="n">
        <v>21.8925</v>
      </c>
      <c r="J619" s="4" t="n">
        <v>22.2925</v>
      </c>
      <c r="K619" s="4" t="n">
        <v>20.7875</v>
      </c>
      <c r="L619" s="4" t="n">
        <v>21.5675</v>
      </c>
      <c r="M619" s="7" t="n">
        <v>-0.0148</v>
      </c>
    </row>
    <row r="620">
      <c r="A620" s="6" t="n">
        <v>44832</v>
      </c>
      <c r="B620" s="2" t="inlineStr">
        <is>
          <t>Wednesday</t>
        </is>
      </c>
      <c r="C620" s="5" t="n">
        <v>44805</v>
      </c>
      <c r="D620" s="2" t="inlineStr">
        <is>
          <t>Q2FY23</t>
        </is>
      </c>
      <c r="E620" s="3" t="n">
        <v>2248</v>
      </c>
      <c r="F620" s="8" t="n">
        <v>1.8657</v>
      </c>
      <c r="G620" s="4" t="n">
        <v>217.78</v>
      </c>
      <c r="H620" s="4" t="n">
        <v>496.2404</v>
      </c>
      <c r="I620" s="4" t="n">
        <v>21.5675</v>
      </c>
      <c r="J620" s="4" t="n">
        <v>22.3625</v>
      </c>
      <c r="K620" s="4" t="n">
        <v>21.49</v>
      </c>
      <c r="L620" s="4" t="n">
        <v>22.095</v>
      </c>
      <c r="M620" s="7" t="n">
        <v>0.0245</v>
      </c>
    </row>
    <row r="621">
      <c r="A621" s="6" t="n">
        <v>44833</v>
      </c>
      <c r="B621" s="2" t="inlineStr">
        <is>
          <t>Thursday</t>
        </is>
      </c>
      <c r="C621" s="5" t="n">
        <v>44805</v>
      </c>
      <c r="D621" s="2" t="inlineStr">
        <is>
          <t>Q2FY23</t>
        </is>
      </c>
      <c r="E621" s="3" t="n">
        <v>2259</v>
      </c>
      <c r="F621" s="8" t="n">
        <v>2.0115</v>
      </c>
      <c r="G621" s="4" t="n">
        <v>240.707</v>
      </c>
      <c r="H621" s="4" t="n">
        <v>635.6047</v>
      </c>
      <c r="I621" s="4" t="n">
        <v>22.095</v>
      </c>
      <c r="J621" s="4" t="n">
        <v>22.2875</v>
      </c>
      <c r="K621" s="4" t="n">
        <v>21.065</v>
      </c>
      <c r="L621" s="4" t="n">
        <v>21.3025</v>
      </c>
      <c r="M621" s="7" t="n">
        <v>-0.0359</v>
      </c>
    </row>
    <row r="622">
      <c r="A622" s="6" t="n">
        <v>44834</v>
      </c>
      <c r="B622" s="2" t="inlineStr">
        <is>
          <t>Friday</t>
        </is>
      </c>
      <c r="C622" s="5" t="n">
        <v>44805</v>
      </c>
      <c r="D622" s="2" t="inlineStr">
        <is>
          <t>Q2FY23</t>
        </is>
      </c>
      <c r="E622" s="3" t="n">
        <v>2273</v>
      </c>
      <c r="F622" s="8" t="n">
        <v>1.9771</v>
      </c>
      <c r="G622" s="4" t="n">
        <v>251.4973</v>
      </c>
      <c r="H622" s="4" t="n">
        <v>586.3631</v>
      </c>
      <c r="I622" s="4" t="n">
        <v>21.3025</v>
      </c>
      <c r="J622" s="4" t="n">
        <v>21.9875</v>
      </c>
      <c r="K622" s="4" t="n">
        <v>19.6975</v>
      </c>
      <c r="L622" s="4" t="n">
        <v>19.9675</v>
      </c>
      <c r="M622" s="7" t="n">
        <v>-0.06270000000000001</v>
      </c>
    </row>
    <row r="623">
      <c r="A623" s="6" t="n">
        <v>44837</v>
      </c>
      <c r="B623" s="2" t="inlineStr">
        <is>
          <t>Monday</t>
        </is>
      </c>
      <c r="C623" s="5" t="n">
        <v>44835</v>
      </c>
      <c r="D623" s="2" t="inlineStr">
        <is>
          <t>Q3FY23</t>
        </is>
      </c>
      <c r="E623" s="3" t="n">
        <v>2616</v>
      </c>
      <c r="F623" s="8" t="n">
        <v>1.9365</v>
      </c>
      <c r="G623" s="4" t="n">
        <v>250.6039</v>
      </c>
      <c r="H623" s="4" t="n">
        <v>640.634</v>
      </c>
      <c r="I623" s="4" t="n">
        <v>19.9675</v>
      </c>
      <c r="J623" s="4" t="n">
        <v>21.68</v>
      </c>
      <c r="K623" s="4" t="n">
        <v>19.9675</v>
      </c>
      <c r="L623" s="4" t="n">
        <v>21.365</v>
      </c>
      <c r="M623" s="7" t="n">
        <v>0.07000000000000001</v>
      </c>
    </row>
    <row r="624">
      <c r="A624" s="6" t="n">
        <v>44838</v>
      </c>
      <c r="B624" s="2" t="inlineStr">
        <is>
          <t>Tuesday</t>
        </is>
      </c>
      <c r="C624" s="5" t="n">
        <v>44835</v>
      </c>
      <c r="D624" s="2" t="inlineStr">
        <is>
          <t>Q3FY23</t>
        </is>
      </c>
      <c r="E624" s="3" t="n">
        <v>2281</v>
      </c>
      <c r="F624" s="8" t="n">
        <v>1.7345</v>
      </c>
      <c r="G624" s="4" t="n">
        <v>217.0645</v>
      </c>
      <c r="H624" s="4" t="n">
        <v>488.6961</v>
      </c>
      <c r="I624" s="4" t="n">
        <v>21.365</v>
      </c>
      <c r="J624" s="4" t="n">
        <v>21.365</v>
      </c>
      <c r="K624" s="4" t="n">
        <v>19.4475</v>
      </c>
      <c r="L624" s="4" t="n">
        <v>19.57</v>
      </c>
      <c r="M624" s="7" t="n">
        <v>-0.08400000000000001</v>
      </c>
    </row>
    <row r="625">
      <c r="A625" s="6" t="n">
        <v>44840</v>
      </c>
      <c r="B625" s="2" t="inlineStr">
        <is>
          <t>Thursday</t>
        </is>
      </c>
      <c r="C625" s="5" t="n">
        <v>44835</v>
      </c>
      <c r="D625" s="2" t="inlineStr">
        <is>
          <t>Q3FY23</t>
        </is>
      </c>
      <c r="E625" s="3" t="n">
        <v>2304</v>
      </c>
      <c r="F625" s="8" t="n">
        <v>2.0729</v>
      </c>
      <c r="G625" s="4" t="n">
        <v>233.7733</v>
      </c>
      <c r="H625" s="4" t="n">
        <v>560.1783</v>
      </c>
      <c r="I625" s="4" t="n">
        <v>19.57</v>
      </c>
      <c r="J625" s="4" t="n">
        <v>20.02</v>
      </c>
      <c r="K625" s="4" t="n">
        <v>18.585</v>
      </c>
      <c r="L625" s="4" t="n">
        <v>19.315</v>
      </c>
      <c r="M625" s="7" t="n">
        <v>-0.013</v>
      </c>
    </row>
    <row r="626">
      <c r="A626" s="6" t="n">
        <v>44841</v>
      </c>
      <c r="B626" s="2" t="inlineStr">
        <is>
          <t>Friday</t>
        </is>
      </c>
      <c r="C626" s="5" t="n">
        <v>44835</v>
      </c>
      <c r="D626" s="2" t="inlineStr">
        <is>
          <t>Q3FY23</t>
        </is>
      </c>
      <c r="E626" s="3" t="n">
        <v>2271</v>
      </c>
      <c r="F626" s="8" t="n">
        <v>1.7616</v>
      </c>
      <c r="G626" s="4" t="n">
        <v>237.0307</v>
      </c>
      <c r="H626" s="4" t="n">
        <v>489.0052</v>
      </c>
      <c r="I626" s="4" t="n">
        <v>19.315</v>
      </c>
      <c r="J626" s="4" t="n">
        <v>19.725</v>
      </c>
      <c r="K626" s="4" t="n">
        <v>18.6875</v>
      </c>
      <c r="L626" s="4" t="n">
        <v>18.8125</v>
      </c>
      <c r="M626" s="7" t="n">
        <v>-0.026</v>
      </c>
    </row>
    <row r="627">
      <c r="A627" s="6" t="n">
        <v>44844</v>
      </c>
      <c r="B627" s="2" t="inlineStr">
        <is>
          <t>Monday</t>
        </is>
      </c>
      <c r="C627" s="5" t="n">
        <v>44835</v>
      </c>
      <c r="D627" s="2" t="inlineStr">
        <is>
          <t>Q3FY23</t>
        </is>
      </c>
      <c r="E627" s="3" t="n">
        <v>2323</v>
      </c>
      <c r="F627" s="8" t="n">
        <v>1.7678</v>
      </c>
      <c r="G627" s="4" t="n">
        <v>239.0794</v>
      </c>
      <c r="H627" s="4" t="n">
        <v>450.5</v>
      </c>
      <c r="I627" s="4" t="n">
        <v>18.8125</v>
      </c>
      <c r="J627" s="4" t="n">
        <v>20.34</v>
      </c>
      <c r="K627" s="4" t="n">
        <v>18.8125</v>
      </c>
      <c r="L627" s="4" t="n">
        <v>19.6225</v>
      </c>
      <c r="M627" s="7" t="n">
        <v>0.0431</v>
      </c>
    </row>
    <row r="628">
      <c r="A628" s="6" t="n">
        <v>44845</v>
      </c>
      <c r="B628" s="2" t="inlineStr">
        <is>
          <t>Tuesday</t>
        </is>
      </c>
      <c r="C628" s="5" t="n">
        <v>44835</v>
      </c>
      <c r="D628" s="2" t="inlineStr">
        <is>
          <t>Q3FY23</t>
        </is>
      </c>
      <c r="E628" s="3" t="n">
        <v>2310</v>
      </c>
      <c r="F628" s="8" t="n">
        <v>1.8503</v>
      </c>
      <c r="G628" s="4" t="n">
        <v>246.1689</v>
      </c>
      <c r="H628" s="4" t="n">
        <v>528.1415</v>
      </c>
      <c r="I628" s="4" t="n">
        <v>19.6225</v>
      </c>
      <c r="J628" s="4" t="n">
        <v>20.8175</v>
      </c>
      <c r="K628" s="4" t="n">
        <v>19.09</v>
      </c>
      <c r="L628" s="4" t="n">
        <v>20.49</v>
      </c>
      <c r="M628" s="7" t="n">
        <v>0.0442</v>
      </c>
    </row>
    <row r="629">
      <c r="A629" s="6" t="n">
        <v>44846</v>
      </c>
      <c r="B629" s="2" t="inlineStr">
        <is>
          <t>Wednesday</t>
        </is>
      </c>
      <c r="C629" s="5" t="n">
        <v>44835</v>
      </c>
      <c r="D629" s="2" t="inlineStr">
        <is>
          <t>Q3FY23</t>
        </is>
      </c>
      <c r="E629" s="3" t="n">
        <v>2271</v>
      </c>
      <c r="F629" s="8" t="n">
        <v>1.6617</v>
      </c>
      <c r="G629" s="4" t="n">
        <v>211.8369</v>
      </c>
      <c r="H629" s="4" t="n">
        <v>444.6316</v>
      </c>
      <c r="I629" s="4" t="n">
        <v>20.49</v>
      </c>
      <c r="J629" s="4" t="n">
        <v>20.885</v>
      </c>
      <c r="K629" s="4" t="n">
        <v>19.885</v>
      </c>
      <c r="L629" s="4" t="n">
        <v>20.175</v>
      </c>
      <c r="M629" s="7" t="n">
        <v>-0.0154</v>
      </c>
    </row>
    <row r="630">
      <c r="A630" s="6" t="n">
        <v>44847</v>
      </c>
      <c r="B630" s="2" t="inlineStr">
        <is>
          <t>Thursday</t>
        </is>
      </c>
      <c r="C630" s="5" t="n">
        <v>44835</v>
      </c>
      <c r="D630" s="2" t="inlineStr">
        <is>
          <t>Q3FY23</t>
        </is>
      </c>
      <c r="E630" s="3" t="n">
        <v>2294</v>
      </c>
      <c r="F630" s="8" t="n">
        <v>1.5783</v>
      </c>
      <c r="G630" s="4" t="n">
        <v>191.7579</v>
      </c>
      <c r="H630" s="4" t="n">
        <v>413.8915</v>
      </c>
      <c r="I630" s="4" t="n">
        <v>20.175</v>
      </c>
      <c r="J630" s="4" t="n">
        <v>20.9425</v>
      </c>
      <c r="K630" s="4" t="n">
        <v>18.4025</v>
      </c>
      <c r="L630" s="4" t="n">
        <v>20.29</v>
      </c>
      <c r="M630" s="7" t="n">
        <v>0.0057</v>
      </c>
    </row>
    <row r="631">
      <c r="A631" s="6" t="n">
        <v>44848</v>
      </c>
      <c r="B631" s="2" t="inlineStr">
        <is>
          <t>Friday</t>
        </is>
      </c>
      <c r="C631" s="5" t="n">
        <v>44835</v>
      </c>
      <c r="D631" s="2" t="inlineStr">
        <is>
          <t>Q3FY23</t>
        </is>
      </c>
      <c r="E631" s="3" t="n">
        <v>2266</v>
      </c>
      <c r="F631" s="8" t="n">
        <v>1.6599</v>
      </c>
      <c r="G631" s="4" t="n">
        <v>198.8268</v>
      </c>
      <c r="H631" s="4" t="n">
        <v>444.3828</v>
      </c>
      <c r="I631" s="4" t="n">
        <v>20.29</v>
      </c>
      <c r="J631" s="4" t="n">
        <v>20.63</v>
      </c>
      <c r="K631" s="4" t="n">
        <v>18.075</v>
      </c>
      <c r="L631" s="4" t="n">
        <v>18.2575</v>
      </c>
      <c r="M631" s="7" t="n">
        <v>-0.1002</v>
      </c>
    </row>
    <row r="632">
      <c r="A632" s="6" t="n">
        <v>44851</v>
      </c>
      <c r="B632" s="2" t="inlineStr">
        <is>
          <t>Monday</t>
        </is>
      </c>
      <c r="C632" s="5" t="n">
        <v>44835</v>
      </c>
      <c r="D632" s="2" t="inlineStr">
        <is>
          <t>Q3FY23</t>
        </is>
      </c>
      <c r="E632" s="3" t="n">
        <v>2363</v>
      </c>
      <c r="F632" s="8" t="n">
        <v>1.7363</v>
      </c>
      <c r="G632" s="4" t="n">
        <v>208.5208</v>
      </c>
      <c r="H632" s="4" t="n">
        <v>471.3476</v>
      </c>
      <c r="I632" s="4" t="n">
        <v>18.2575</v>
      </c>
      <c r="J632" s="4" t="n">
        <v>19.0775</v>
      </c>
      <c r="K632" s="4" t="n">
        <v>18.2575</v>
      </c>
      <c r="L632" s="4" t="n">
        <v>18.4175</v>
      </c>
      <c r="M632" s="7" t="n">
        <v>0.008800000000000001</v>
      </c>
    </row>
    <row r="633">
      <c r="A633" s="6" t="n">
        <v>44852</v>
      </c>
      <c r="B633" s="2" t="inlineStr">
        <is>
          <t>Tuesday</t>
        </is>
      </c>
      <c r="C633" s="5" t="n">
        <v>44835</v>
      </c>
      <c r="D633" s="2" t="inlineStr">
        <is>
          <t>Q3FY23</t>
        </is>
      </c>
      <c r="E633" s="3" t="n">
        <v>2282</v>
      </c>
      <c r="F633" s="8" t="n">
        <v>1.8012</v>
      </c>
      <c r="G633" s="4" t="n">
        <v>240.2195</v>
      </c>
      <c r="H633" s="4" t="n">
        <v>516.0545</v>
      </c>
      <c r="I633" s="4" t="n">
        <v>18.4175</v>
      </c>
      <c r="J633" s="4" t="n">
        <v>18.4175</v>
      </c>
      <c r="K633" s="4" t="n">
        <v>16.575</v>
      </c>
      <c r="L633" s="4" t="n">
        <v>17.4525</v>
      </c>
      <c r="M633" s="7" t="n">
        <v>-0.0524</v>
      </c>
    </row>
    <row r="634">
      <c r="A634" s="6" t="n">
        <v>44853</v>
      </c>
      <c r="B634" s="2" t="inlineStr">
        <is>
          <t>Wednesday</t>
        </is>
      </c>
      <c r="C634" s="5" t="n">
        <v>44835</v>
      </c>
      <c r="D634" s="2" t="inlineStr">
        <is>
          <t>Q3FY23</t>
        </is>
      </c>
      <c r="E634" s="3" t="n">
        <v>2275</v>
      </c>
      <c r="F634" s="8" t="n">
        <v>1.7337</v>
      </c>
      <c r="G634" s="4" t="n">
        <v>245.8713</v>
      </c>
      <c r="H634" s="4" t="n">
        <v>476.7314</v>
      </c>
      <c r="I634" s="4" t="n">
        <v>17.4525</v>
      </c>
      <c r="J634" s="4" t="n">
        <v>17.555</v>
      </c>
      <c r="K634" s="4" t="n">
        <v>16.2275</v>
      </c>
      <c r="L634" s="4" t="n">
        <v>17.4875</v>
      </c>
      <c r="M634" s="7" t="n">
        <v>0.002</v>
      </c>
    </row>
    <row r="635">
      <c r="A635" s="6" t="n">
        <v>44854</v>
      </c>
      <c r="B635" s="2" t="inlineStr">
        <is>
          <t>Thursday</t>
        </is>
      </c>
      <c r="C635" s="5" t="n">
        <v>44835</v>
      </c>
      <c r="D635" s="2" t="inlineStr">
        <is>
          <t>Q3FY23</t>
        </is>
      </c>
      <c r="E635" s="3" t="n">
        <v>2263</v>
      </c>
      <c r="F635" s="8" t="n">
        <v>1.7134</v>
      </c>
      <c r="G635" s="4" t="n">
        <v>265.8656</v>
      </c>
      <c r="H635" s="4" t="n">
        <v>481.9235</v>
      </c>
      <c r="I635" s="4" t="n">
        <v>17.4875</v>
      </c>
      <c r="J635" s="4" t="n">
        <v>17.7625</v>
      </c>
      <c r="K635" s="4" t="n">
        <v>15.5675</v>
      </c>
      <c r="L635" s="4" t="n">
        <v>17.2325</v>
      </c>
      <c r="M635" s="7" t="n">
        <v>-0.0146</v>
      </c>
    </row>
    <row r="636">
      <c r="A636" s="6" t="n">
        <v>44855</v>
      </c>
      <c r="B636" s="2" t="inlineStr">
        <is>
          <t>Friday</t>
        </is>
      </c>
      <c r="C636" s="5" t="n">
        <v>44835</v>
      </c>
      <c r="D636" s="2" t="inlineStr">
        <is>
          <t>Q3FY23</t>
        </is>
      </c>
      <c r="E636" s="3" t="n">
        <v>2279</v>
      </c>
      <c r="F636" s="8" t="n">
        <v>1.7588</v>
      </c>
      <c r="G636" s="4" t="n">
        <v>231.3306</v>
      </c>
      <c r="H636" s="4" t="n">
        <v>541.0475</v>
      </c>
      <c r="I636" s="4" t="n">
        <v>17.2325</v>
      </c>
      <c r="J636" s="4" t="n">
        <v>17.4275</v>
      </c>
      <c r="K636" s="4" t="n">
        <v>16.585</v>
      </c>
      <c r="L636" s="4" t="n">
        <v>17.28</v>
      </c>
      <c r="M636" s="7" t="n">
        <v>0.0028</v>
      </c>
    </row>
    <row r="637">
      <c r="A637" s="6" t="n">
        <v>44858</v>
      </c>
      <c r="B637" s="2" t="inlineStr">
        <is>
          <t>Monday</t>
        </is>
      </c>
      <c r="C637" s="5" t="n">
        <v>44835</v>
      </c>
      <c r="D637" s="2" t="inlineStr">
        <is>
          <t>Q3FY23</t>
        </is>
      </c>
      <c r="E637" s="3" t="n">
        <v>2241</v>
      </c>
      <c r="F637" s="8" t="n">
        <v>0.5699</v>
      </c>
      <c r="G637" s="4" t="n">
        <v>68.9871</v>
      </c>
      <c r="H637" s="4" t="n">
        <v>104.6456</v>
      </c>
      <c r="I637" s="4" t="n">
        <v>17.28</v>
      </c>
      <c r="J637" s="4" t="n">
        <v>17.6725</v>
      </c>
      <c r="K637" s="4" t="n">
        <v>17.07</v>
      </c>
      <c r="L637" s="4" t="n">
        <v>17.4225</v>
      </c>
      <c r="M637" s="7" t="n">
        <v>0.008200000000000001</v>
      </c>
    </row>
    <row r="638">
      <c r="A638" s="6" t="n">
        <v>44859</v>
      </c>
      <c r="B638" s="2" t="inlineStr">
        <is>
          <t>Tuesday</t>
        </is>
      </c>
      <c r="C638" s="5" t="n">
        <v>44835</v>
      </c>
      <c r="D638" s="2" t="inlineStr">
        <is>
          <t>Q3FY23</t>
        </is>
      </c>
      <c r="E638" s="3" t="n">
        <v>2285</v>
      </c>
      <c r="F638" s="8" t="n">
        <v>1.7058</v>
      </c>
      <c r="G638" s="4" t="n">
        <v>253.4093</v>
      </c>
      <c r="H638" s="4" t="n">
        <v>530.5932</v>
      </c>
      <c r="I638" s="4" t="n">
        <v>17.4225</v>
      </c>
      <c r="J638" s="4" t="n">
        <v>17.6175</v>
      </c>
      <c r="K638" s="4" t="n">
        <v>16.49</v>
      </c>
      <c r="L638" s="4" t="n">
        <v>16.88</v>
      </c>
      <c r="M638" s="7" t="n">
        <v>-0.0311</v>
      </c>
    </row>
    <row r="639">
      <c r="A639" s="6" t="n">
        <v>44861</v>
      </c>
      <c r="B639" s="2" t="inlineStr">
        <is>
          <t>Thursday</t>
        </is>
      </c>
      <c r="C639" s="5" t="n">
        <v>44835</v>
      </c>
      <c r="D639" s="2" t="inlineStr">
        <is>
          <t>Q3FY23</t>
        </is>
      </c>
      <c r="E639" s="3" t="n">
        <v>2298</v>
      </c>
      <c r="F639" s="8" t="n">
        <v>1.8973</v>
      </c>
      <c r="G639" s="4" t="n">
        <v>248.0844</v>
      </c>
      <c r="H639" s="4" t="n">
        <v>561.5727000000001</v>
      </c>
      <c r="I639" s="4" t="n">
        <v>16.88</v>
      </c>
      <c r="J639" s="4" t="n">
        <v>17.07</v>
      </c>
      <c r="K639" s="4" t="n">
        <v>14.79</v>
      </c>
      <c r="L639" s="4" t="n">
        <v>16.5975</v>
      </c>
      <c r="M639" s="7" t="n">
        <v>-0.0167</v>
      </c>
    </row>
    <row r="640">
      <c r="A640" s="6" t="n">
        <v>44862</v>
      </c>
      <c r="B640" s="2" t="inlineStr">
        <is>
          <t>Friday</t>
        </is>
      </c>
      <c r="C640" s="5" t="n">
        <v>44835</v>
      </c>
      <c r="D640" s="2" t="inlineStr">
        <is>
          <t>Q3FY23</t>
        </is>
      </c>
      <c r="E640" s="3" t="n">
        <v>2292</v>
      </c>
      <c r="F640" s="8" t="n">
        <v>1.7016</v>
      </c>
      <c r="G640" s="4" t="n">
        <v>202.5452</v>
      </c>
      <c r="H640" s="4" t="n">
        <v>472.6737</v>
      </c>
      <c r="I640" s="4" t="n">
        <v>16.5975</v>
      </c>
      <c r="J640" s="4" t="n">
        <v>17.0375</v>
      </c>
      <c r="K640" s="4" t="n">
        <v>15.8475</v>
      </c>
      <c r="L640" s="4" t="n">
        <v>15.9225</v>
      </c>
      <c r="M640" s="7" t="n">
        <v>-0.0407</v>
      </c>
    </row>
    <row r="641">
      <c r="A641" s="6" t="n">
        <v>44865</v>
      </c>
      <c r="B641" s="2" t="inlineStr">
        <is>
          <t>Monday</t>
        </is>
      </c>
      <c r="C641" s="5" t="n">
        <v>44835</v>
      </c>
      <c r="D641" s="2" t="inlineStr">
        <is>
          <t>Q3FY23</t>
        </is>
      </c>
      <c r="E641" s="3" t="n">
        <v>2350</v>
      </c>
      <c r="F641" s="8" t="n">
        <v>1.8757</v>
      </c>
      <c r="G641" s="4" t="n">
        <v>203.4068</v>
      </c>
      <c r="H641" s="4" t="n">
        <v>507.4597</v>
      </c>
      <c r="I641" s="4" t="n">
        <v>15.9225</v>
      </c>
      <c r="J641" s="4" t="n">
        <v>16.63</v>
      </c>
      <c r="K641" s="4" t="n">
        <v>15.07</v>
      </c>
      <c r="L641" s="4" t="n">
        <v>15.8025</v>
      </c>
      <c r="M641" s="7" t="n">
        <v>-0.0075</v>
      </c>
    </row>
    <row r="642">
      <c r="A642" s="6" t="n">
        <v>44866</v>
      </c>
      <c r="B642" s="2" t="inlineStr">
        <is>
          <t>Tuesday</t>
        </is>
      </c>
      <c r="C642" s="5" t="n">
        <v>44866</v>
      </c>
      <c r="D642" s="2" t="inlineStr">
        <is>
          <t>Q3FY23</t>
        </is>
      </c>
      <c r="E642" s="3" t="n">
        <v>2323</v>
      </c>
      <c r="F642" s="8" t="n">
        <v>1.956</v>
      </c>
      <c r="G642" s="4" t="n">
        <v>248.7853</v>
      </c>
      <c r="H642" s="4" t="n">
        <v>583.3431</v>
      </c>
      <c r="I642" s="4" t="n">
        <v>15.8025</v>
      </c>
      <c r="J642" s="4" t="n">
        <v>16.2025</v>
      </c>
      <c r="K642" s="4" t="n">
        <v>15.1075</v>
      </c>
      <c r="L642" s="4" t="n">
        <v>16.13</v>
      </c>
      <c r="M642" s="7" t="n">
        <v>0.0207</v>
      </c>
    </row>
    <row r="643">
      <c r="A643" s="6" t="n">
        <v>44867</v>
      </c>
      <c r="B643" s="2" t="inlineStr">
        <is>
          <t>Wednesday</t>
        </is>
      </c>
      <c r="C643" s="5" t="n">
        <v>44866</v>
      </c>
      <c r="D643" s="2" t="inlineStr">
        <is>
          <t>Q3FY23</t>
        </is>
      </c>
      <c r="E643" s="3" t="n">
        <v>2301</v>
      </c>
      <c r="F643" s="8" t="n">
        <v>1.7337</v>
      </c>
      <c r="G643" s="4" t="n">
        <v>205.3952</v>
      </c>
      <c r="H643" s="4" t="n">
        <v>512.5137</v>
      </c>
      <c r="I643" s="4" t="n">
        <v>16.13</v>
      </c>
      <c r="J643" s="4" t="n">
        <v>16.855</v>
      </c>
      <c r="K643" s="4" t="n">
        <v>14.68</v>
      </c>
      <c r="L643" s="4" t="n">
        <v>16.6625</v>
      </c>
      <c r="M643" s="7" t="n">
        <v>0.033</v>
      </c>
    </row>
    <row r="644">
      <c r="A644" s="6" t="n">
        <v>44868</v>
      </c>
      <c r="B644" s="2" t="inlineStr">
        <is>
          <t>Thursday</t>
        </is>
      </c>
      <c r="C644" s="5" t="n">
        <v>44866</v>
      </c>
      <c r="D644" s="2" t="inlineStr">
        <is>
          <t>Q3FY23</t>
        </is>
      </c>
      <c r="E644" s="3" t="n">
        <v>2402</v>
      </c>
      <c r="F644" s="8" t="n">
        <v>1.7447</v>
      </c>
      <c r="G644" s="4" t="n">
        <v>250.9981</v>
      </c>
      <c r="H644" s="4" t="n">
        <v>582.2511</v>
      </c>
      <c r="I644" s="4" t="n">
        <v>16.6625</v>
      </c>
      <c r="J644" s="4" t="n">
        <v>16.7325</v>
      </c>
      <c r="K644" s="4" t="n">
        <v>14.985</v>
      </c>
      <c r="L644" s="4" t="n">
        <v>15.9425</v>
      </c>
      <c r="M644" s="7" t="n">
        <v>-0.0432</v>
      </c>
    </row>
    <row r="645">
      <c r="A645" s="6" t="n">
        <v>44869</v>
      </c>
      <c r="B645" s="2" t="inlineStr">
        <is>
          <t>Friday</t>
        </is>
      </c>
      <c r="C645" s="5" t="n">
        <v>44866</v>
      </c>
      <c r="D645" s="2" t="inlineStr">
        <is>
          <t>Q3FY23</t>
        </is>
      </c>
      <c r="E645" s="3" t="n">
        <v>2310</v>
      </c>
      <c r="F645" s="8" t="n">
        <v>1.8509</v>
      </c>
      <c r="G645" s="4" t="n">
        <v>263.187</v>
      </c>
      <c r="H645" s="4" t="n">
        <v>547.0436999999999</v>
      </c>
      <c r="I645" s="4" t="n">
        <v>15.9425</v>
      </c>
      <c r="J645" s="4" t="n">
        <v>16.2075</v>
      </c>
      <c r="K645" s="4" t="n">
        <v>15.4825</v>
      </c>
      <c r="L645" s="4" t="n">
        <v>15.655</v>
      </c>
      <c r="M645" s="7" t="n">
        <v>-0.018</v>
      </c>
    </row>
    <row r="646">
      <c r="A646" s="6" t="n">
        <v>44872</v>
      </c>
      <c r="B646" s="2" t="inlineStr">
        <is>
          <t>Monday</t>
        </is>
      </c>
      <c r="C646" s="5" t="n">
        <v>44866</v>
      </c>
      <c r="D646" s="2" t="inlineStr">
        <is>
          <t>Q3FY23</t>
        </is>
      </c>
      <c r="E646" s="3" t="n">
        <v>2343</v>
      </c>
      <c r="F646" s="8" t="n">
        <v>2.0666</v>
      </c>
      <c r="G646" s="4" t="n">
        <v>309.4754</v>
      </c>
      <c r="H646" s="4" t="n">
        <v>614.3786</v>
      </c>
      <c r="I646" s="4" t="n">
        <v>15.655</v>
      </c>
      <c r="J646" s="4" t="n">
        <v>16.355</v>
      </c>
      <c r="K646" s="4" t="n">
        <v>15.2775</v>
      </c>
      <c r="L646" s="4" t="n">
        <v>15.585</v>
      </c>
      <c r="M646" s="7" t="n">
        <v>-0.0045</v>
      </c>
    </row>
    <row r="647">
      <c r="A647" s="6" t="n">
        <v>44874</v>
      </c>
      <c r="B647" s="2" t="inlineStr">
        <is>
          <t>Wednesday</t>
        </is>
      </c>
      <c r="C647" s="5" t="n">
        <v>44866</v>
      </c>
      <c r="D647" s="2" t="inlineStr">
        <is>
          <t>Q3FY23</t>
        </is>
      </c>
      <c r="E647" s="3" t="n">
        <v>2323</v>
      </c>
      <c r="F647" s="8" t="n">
        <v>2.0943</v>
      </c>
      <c r="G647" s="4" t="n">
        <v>314.008</v>
      </c>
      <c r="H647" s="4" t="n">
        <v>636.0326</v>
      </c>
      <c r="I647" s="4" t="n">
        <v>15.585</v>
      </c>
      <c r="J647" s="4" t="n">
        <v>16.0675</v>
      </c>
      <c r="K647" s="4" t="n">
        <v>15.0175</v>
      </c>
      <c r="L647" s="4" t="n">
        <v>15.915</v>
      </c>
      <c r="M647" s="7" t="n">
        <v>0.0212</v>
      </c>
    </row>
    <row r="648">
      <c r="A648" s="6" t="n">
        <v>44875</v>
      </c>
      <c r="B648" s="2" t="inlineStr">
        <is>
          <t>Thursday</t>
        </is>
      </c>
      <c r="C648" s="5" t="n">
        <v>44866</v>
      </c>
      <c r="D648" s="2" t="inlineStr">
        <is>
          <t>Q3FY23</t>
        </is>
      </c>
      <c r="E648" s="3" t="n">
        <v>2292</v>
      </c>
      <c r="F648" s="8" t="n">
        <v>1.9437</v>
      </c>
      <c r="G648" s="4" t="n">
        <v>238.0227</v>
      </c>
      <c r="H648" s="4" t="n">
        <v>529.9466</v>
      </c>
      <c r="I648" s="4" t="n">
        <v>15.915</v>
      </c>
      <c r="J648" s="4" t="n">
        <v>16.2925</v>
      </c>
      <c r="K648" s="4" t="n">
        <v>15.4925</v>
      </c>
      <c r="L648" s="4" t="n">
        <v>15.5675</v>
      </c>
      <c r="M648" s="7" t="n">
        <v>-0.0218</v>
      </c>
    </row>
    <row r="649">
      <c r="A649" s="6" t="n">
        <v>44876</v>
      </c>
      <c r="B649" s="2" t="inlineStr">
        <is>
          <t>Friday</t>
        </is>
      </c>
      <c r="C649" s="5" t="n">
        <v>44866</v>
      </c>
      <c r="D649" s="2" t="inlineStr">
        <is>
          <t>Q3FY23</t>
        </is>
      </c>
      <c r="E649" s="3" t="n">
        <v>2290</v>
      </c>
      <c r="F649" s="8" t="n">
        <v>2.2592</v>
      </c>
      <c r="G649" s="4" t="n">
        <v>298.4611</v>
      </c>
      <c r="H649" s="4" t="n">
        <v>729.5495</v>
      </c>
      <c r="I649" s="4" t="n">
        <v>15.5675</v>
      </c>
      <c r="J649" s="4" t="n">
        <v>15.5675</v>
      </c>
      <c r="K649" s="4" t="n">
        <v>14.2775</v>
      </c>
      <c r="L649" s="4" t="n">
        <v>14.405</v>
      </c>
      <c r="M649" s="7" t="n">
        <v>-0.0747</v>
      </c>
    </row>
    <row r="650">
      <c r="A650" s="6" t="n">
        <v>44879</v>
      </c>
      <c r="B650" s="2" t="inlineStr">
        <is>
          <t>Monday</t>
        </is>
      </c>
      <c r="C650" s="5" t="n">
        <v>44866</v>
      </c>
      <c r="D650" s="2" t="inlineStr">
        <is>
          <t>Q3FY23</t>
        </is>
      </c>
      <c r="E650" s="3" t="n">
        <v>2479</v>
      </c>
      <c r="F650" s="8" t="n">
        <v>2.0365</v>
      </c>
      <c r="G650" s="4" t="n">
        <v>273.4669</v>
      </c>
      <c r="H650" s="4" t="n">
        <v>678.7499</v>
      </c>
      <c r="I650" s="4" t="n">
        <v>14.405</v>
      </c>
      <c r="J650" s="4" t="n">
        <v>15.27</v>
      </c>
      <c r="K650" s="4" t="n">
        <v>12.555</v>
      </c>
      <c r="L650" s="4" t="n">
        <v>14.91</v>
      </c>
      <c r="M650" s="7" t="n">
        <v>0.0351</v>
      </c>
    </row>
    <row r="651">
      <c r="A651" s="6" t="n">
        <v>44880</v>
      </c>
      <c r="B651" s="2" t="inlineStr">
        <is>
          <t>Tuesday</t>
        </is>
      </c>
      <c r="C651" s="5" t="n">
        <v>44866</v>
      </c>
      <c r="D651" s="2" t="inlineStr">
        <is>
          <t>Q3FY23</t>
        </is>
      </c>
      <c r="E651" s="3" t="n">
        <v>2320</v>
      </c>
      <c r="F651" s="8" t="n">
        <v>1.8111</v>
      </c>
      <c r="G651" s="4" t="n">
        <v>212.0516</v>
      </c>
      <c r="H651" s="4" t="n">
        <v>504.8842</v>
      </c>
      <c r="I651" s="4" t="n">
        <v>14.91</v>
      </c>
      <c r="J651" s="4" t="n">
        <v>15.015</v>
      </c>
      <c r="K651" s="4" t="n">
        <v>13.8275</v>
      </c>
      <c r="L651" s="4" t="n">
        <v>14.635</v>
      </c>
      <c r="M651" s="7" t="n">
        <v>-0.0184</v>
      </c>
    </row>
    <row r="652">
      <c r="A652" s="6" t="n">
        <v>44881</v>
      </c>
      <c r="B652" s="2" t="inlineStr">
        <is>
          <t>Wednesday</t>
        </is>
      </c>
      <c r="C652" s="5" t="n">
        <v>44866</v>
      </c>
      <c r="D652" s="2" t="inlineStr">
        <is>
          <t>Q3FY23</t>
        </is>
      </c>
      <c r="E652" s="3" t="n">
        <v>2304</v>
      </c>
      <c r="F652" s="8" t="n">
        <v>2.0167</v>
      </c>
      <c r="G652" s="4" t="n">
        <v>282.5126</v>
      </c>
      <c r="H652" s="4" t="n">
        <v>581.3731</v>
      </c>
      <c r="I652" s="4" t="n">
        <v>14.635</v>
      </c>
      <c r="J652" s="4" t="n">
        <v>15.5325</v>
      </c>
      <c r="K652" s="4" t="n">
        <v>13.9275</v>
      </c>
      <c r="L652" s="4" t="n">
        <v>15.1</v>
      </c>
      <c r="M652" s="7" t="n">
        <v>0.0318</v>
      </c>
    </row>
    <row r="653">
      <c r="A653" s="6" t="n">
        <v>44882</v>
      </c>
      <c r="B653" s="2" t="inlineStr">
        <is>
          <t>Thursday</t>
        </is>
      </c>
      <c r="C653" s="5" t="n">
        <v>44866</v>
      </c>
      <c r="D653" s="2" t="inlineStr">
        <is>
          <t>Q3FY23</t>
        </is>
      </c>
      <c r="E653" s="3" t="n">
        <v>2291</v>
      </c>
      <c r="F653" s="8" t="n">
        <v>1.7313</v>
      </c>
      <c r="G653" s="4" t="n">
        <v>243.5681</v>
      </c>
      <c r="H653" s="4" t="n">
        <v>496.8807</v>
      </c>
      <c r="I653" s="4" t="n">
        <v>15.1</v>
      </c>
      <c r="J653" s="4" t="n">
        <v>16.2625</v>
      </c>
      <c r="K653" s="4" t="n">
        <v>13.09</v>
      </c>
      <c r="L653" s="4" t="n">
        <v>14.8775</v>
      </c>
      <c r="M653" s="7" t="n">
        <v>-0.0147</v>
      </c>
    </row>
    <row r="654">
      <c r="A654" s="6" t="n">
        <v>44883</v>
      </c>
      <c r="B654" s="2" t="inlineStr">
        <is>
          <t>Friday</t>
        </is>
      </c>
      <c r="C654" s="5" t="n">
        <v>44866</v>
      </c>
      <c r="D654" s="2" t="inlineStr">
        <is>
          <t>Q3FY23</t>
        </is>
      </c>
      <c r="E654" s="3" t="n">
        <v>2299</v>
      </c>
      <c r="F654" s="8" t="n">
        <v>1.7822</v>
      </c>
      <c r="G654" s="4" t="n">
        <v>256.0134</v>
      </c>
      <c r="H654" s="4" t="n">
        <v>505.4668</v>
      </c>
      <c r="I654" s="4" t="n">
        <v>14.8775</v>
      </c>
      <c r="J654" s="4" t="n">
        <v>15.6925</v>
      </c>
      <c r="K654" s="4" t="n">
        <v>13.86</v>
      </c>
      <c r="L654" s="4" t="n">
        <v>14.39</v>
      </c>
      <c r="M654" s="7" t="n">
        <v>-0.0328</v>
      </c>
    </row>
    <row r="655">
      <c r="A655" s="6" t="n">
        <v>44886</v>
      </c>
      <c r="B655" s="2" t="inlineStr">
        <is>
          <t>Monday</t>
        </is>
      </c>
      <c r="C655" s="5" t="n">
        <v>44866</v>
      </c>
      <c r="D655" s="2" t="inlineStr">
        <is>
          <t>Q3FY23</t>
        </is>
      </c>
      <c r="E655" s="3" t="n">
        <v>2338</v>
      </c>
      <c r="F655" s="8" t="n">
        <v>1.7478</v>
      </c>
      <c r="G655" s="4" t="n">
        <v>277.9404</v>
      </c>
      <c r="H655" s="4" t="n">
        <v>464.8962</v>
      </c>
      <c r="I655" s="4" t="n">
        <v>14.39</v>
      </c>
      <c r="J655" s="4" t="n">
        <v>15.5475</v>
      </c>
      <c r="K655" s="4" t="n">
        <v>13.3625</v>
      </c>
      <c r="L655" s="4" t="n">
        <v>14.7975</v>
      </c>
      <c r="M655" s="7" t="n">
        <v>0.0283</v>
      </c>
    </row>
    <row r="656">
      <c r="A656" s="6" t="n">
        <v>44887</v>
      </c>
      <c r="B656" s="2" t="inlineStr">
        <is>
          <t>Tuesday</t>
        </is>
      </c>
      <c r="C656" s="5" t="n">
        <v>44866</v>
      </c>
      <c r="D656" s="2" t="inlineStr">
        <is>
          <t>Q3FY23</t>
        </is>
      </c>
      <c r="E656" s="3" t="n">
        <v>2325</v>
      </c>
      <c r="F656" s="8" t="n">
        <v>1.7532</v>
      </c>
      <c r="G656" s="4" t="n">
        <v>289.965</v>
      </c>
      <c r="H656" s="4" t="n">
        <v>484.2321</v>
      </c>
      <c r="I656" s="4" t="n">
        <v>14.7975</v>
      </c>
      <c r="J656" s="4" t="n">
        <v>16.2725</v>
      </c>
      <c r="K656" s="4" t="n">
        <v>13.32</v>
      </c>
      <c r="L656" s="4" t="n">
        <v>13.8425</v>
      </c>
      <c r="M656" s="7" t="n">
        <v>-0.0645</v>
      </c>
    </row>
    <row r="657">
      <c r="A657" s="6" t="n">
        <v>44888</v>
      </c>
      <c r="B657" s="2" t="inlineStr">
        <is>
          <t>Wednesday</t>
        </is>
      </c>
      <c r="C657" s="5" t="n">
        <v>44866</v>
      </c>
      <c r="D657" s="2" t="inlineStr">
        <is>
          <t>Q3FY23</t>
        </is>
      </c>
      <c r="E657" s="3" t="n">
        <v>2297</v>
      </c>
      <c r="F657" s="8" t="n">
        <v>1.7861</v>
      </c>
      <c r="G657" s="4" t="n">
        <v>281.1783</v>
      </c>
      <c r="H657" s="4" t="n">
        <v>499.1363</v>
      </c>
      <c r="I657" s="4" t="n">
        <v>13.8425</v>
      </c>
      <c r="J657" s="4" t="n">
        <v>14.3275</v>
      </c>
      <c r="K657" s="4" t="n">
        <v>11.875</v>
      </c>
      <c r="L657" s="4" t="n">
        <v>14.0425</v>
      </c>
      <c r="M657" s="7" t="n">
        <v>0.0144</v>
      </c>
    </row>
    <row r="658">
      <c r="A658" s="6" t="n">
        <v>44889</v>
      </c>
      <c r="B658" s="2" t="inlineStr">
        <is>
          <t>Thursday</t>
        </is>
      </c>
      <c r="C658" s="5" t="n">
        <v>44866</v>
      </c>
      <c r="D658" s="2" t="inlineStr">
        <is>
          <t>Q3FY23</t>
        </is>
      </c>
      <c r="E658" s="3" t="n">
        <v>2302</v>
      </c>
      <c r="F658" s="8" t="n">
        <v>1.7144</v>
      </c>
      <c r="G658" s="4" t="n">
        <v>285.164</v>
      </c>
      <c r="H658" s="4" t="n">
        <v>512.7794</v>
      </c>
      <c r="I658" s="4" t="n">
        <v>14.0425</v>
      </c>
      <c r="J658" s="4" t="n">
        <v>14.0425</v>
      </c>
      <c r="K658" s="4" t="n">
        <v>12.9975</v>
      </c>
      <c r="L658" s="4" t="n">
        <v>13.4775</v>
      </c>
      <c r="M658" s="7" t="n">
        <v>-0.0402</v>
      </c>
    </row>
    <row r="659">
      <c r="A659" s="6" t="n">
        <v>44890</v>
      </c>
      <c r="B659" s="2" t="inlineStr">
        <is>
          <t>Friday</t>
        </is>
      </c>
      <c r="C659" s="5" t="n">
        <v>44866</v>
      </c>
      <c r="D659" s="2" t="inlineStr">
        <is>
          <t>Q3FY23</t>
        </is>
      </c>
      <c r="E659" s="3" t="n">
        <v>2309</v>
      </c>
      <c r="F659" s="8" t="n">
        <v>1.7926</v>
      </c>
      <c r="G659" s="4" t="n">
        <v>358.7733</v>
      </c>
      <c r="H659" s="4" t="n">
        <v>531.3223</v>
      </c>
      <c r="I659" s="4" t="n">
        <v>13.4775</v>
      </c>
      <c r="J659" s="4" t="n">
        <v>15.7725</v>
      </c>
      <c r="K659" s="4" t="n">
        <v>12.7725</v>
      </c>
      <c r="L659" s="4" t="n">
        <v>13.3325</v>
      </c>
      <c r="M659" s="7" t="n">
        <v>-0.0108</v>
      </c>
    </row>
    <row r="660">
      <c r="A660" s="6" t="n">
        <v>44893</v>
      </c>
      <c r="B660" s="2" t="inlineStr">
        <is>
          <t>Monday</t>
        </is>
      </c>
      <c r="C660" s="5" t="n">
        <v>44866</v>
      </c>
      <c r="D660" s="2" t="inlineStr">
        <is>
          <t>Q3FY23</t>
        </is>
      </c>
      <c r="E660" s="3" t="n">
        <v>2380</v>
      </c>
      <c r="F660" s="8" t="n">
        <v>1.8704</v>
      </c>
      <c r="G660" s="4" t="n">
        <v>337.7761</v>
      </c>
      <c r="H660" s="4" t="n">
        <v>562.3598</v>
      </c>
      <c r="I660" s="4" t="n">
        <v>13.3325</v>
      </c>
      <c r="J660" s="4" t="n">
        <v>14.0575</v>
      </c>
      <c r="K660" s="4" t="n">
        <v>12.41</v>
      </c>
      <c r="L660" s="4" t="n">
        <v>13.565</v>
      </c>
      <c r="M660" s="7" t="n">
        <v>0.0174</v>
      </c>
    </row>
    <row r="661">
      <c r="A661" s="6" t="n">
        <v>44894</v>
      </c>
      <c r="B661" s="2" t="inlineStr">
        <is>
          <t>Tuesday</t>
        </is>
      </c>
      <c r="C661" s="5" t="n">
        <v>44866</v>
      </c>
      <c r="D661" s="2" t="inlineStr">
        <is>
          <t>Q3FY23</t>
        </is>
      </c>
      <c r="E661" s="3" t="n">
        <v>2315</v>
      </c>
      <c r="F661" s="8" t="n">
        <v>1.8569</v>
      </c>
      <c r="G661" s="4" t="n">
        <v>300.5281</v>
      </c>
      <c r="H661" s="4" t="n">
        <v>509.5308</v>
      </c>
      <c r="I661" s="4" t="n">
        <v>13.565</v>
      </c>
      <c r="J661" s="4" t="n">
        <v>14.62</v>
      </c>
      <c r="K661" s="4" t="n">
        <v>12.4075</v>
      </c>
      <c r="L661" s="4" t="n">
        <v>13.615</v>
      </c>
      <c r="M661" s="7" t="n">
        <v>0.0037</v>
      </c>
    </row>
    <row r="662">
      <c r="A662" s="6" t="n">
        <v>44895</v>
      </c>
      <c r="B662" s="2" t="inlineStr">
        <is>
          <t>Wednesday</t>
        </is>
      </c>
      <c r="C662" s="5" t="n">
        <v>44866</v>
      </c>
      <c r="D662" s="2" t="inlineStr">
        <is>
          <t>Q3FY23</t>
        </is>
      </c>
      <c r="E662" s="3" t="n">
        <v>2311</v>
      </c>
      <c r="F662" s="8" t="n">
        <v>2.0651</v>
      </c>
      <c r="G662" s="4" t="n">
        <v>419.7842</v>
      </c>
      <c r="H662" s="4" t="n">
        <v>944.407</v>
      </c>
      <c r="I662" s="4" t="n">
        <v>13.615</v>
      </c>
      <c r="J662" s="4" t="n">
        <v>14.05</v>
      </c>
      <c r="K662" s="4" t="n">
        <v>12.7525</v>
      </c>
      <c r="L662" s="4" t="n">
        <v>13.8075</v>
      </c>
      <c r="M662" s="7" t="n">
        <v>0.0141</v>
      </c>
    </row>
    <row r="663">
      <c r="A663" s="6" t="n">
        <v>44896</v>
      </c>
      <c r="B663" s="2" t="inlineStr">
        <is>
          <t>Thursday</t>
        </is>
      </c>
      <c r="C663" s="5" t="n">
        <v>44896</v>
      </c>
      <c r="D663" s="2" t="inlineStr">
        <is>
          <t>Q3FY23</t>
        </is>
      </c>
      <c r="E663" s="3" t="n">
        <v>2339</v>
      </c>
      <c r="F663" s="8" t="n">
        <v>2.0288</v>
      </c>
      <c r="G663" s="4" t="n">
        <v>308.5352</v>
      </c>
      <c r="H663" s="4" t="n">
        <v>617.052</v>
      </c>
      <c r="I663" s="4" t="n">
        <v>13.8075</v>
      </c>
      <c r="J663" s="4" t="n">
        <v>14.23</v>
      </c>
      <c r="K663" s="4" t="n">
        <v>12.985</v>
      </c>
      <c r="L663" s="4" t="n">
        <v>13.36</v>
      </c>
      <c r="M663" s="7" t="n">
        <v>-0.0324</v>
      </c>
    </row>
    <row r="664">
      <c r="A664" s="6" t="n">
        <v>44897</v>
      </c>
      <c r="B664" s="2" t="inlineStr">
        <is>
          <t>Friday</t>
        </is>
      </c>
      <c r="C664" s="5" t="n">
        <v>44896</v>
      </c>
      <c r="D664" s="2" t="inlineStr">
        <is>
          <t>Q3FY23</t>
        </is>
      </c>
      <c r="E664" s="3" t="n">
        <v>2338</v>
      </c>
      <c r="F664" s="8" t="n">
        <v>1.9511</v>
      </c>
      <c r="G664" s="4" t="n">
        <v>358.092</v>
      </c>
      <c r="H664" s="4" t="n">
        <v>593.2148999999999</v>
      </c>
      <c r="I664" s="4" t="n">
        <v>13.36</v>
      </c>
      <c r="J664" s="4" t="n">
        <v>14.0925</v>
      </c>
      <c r="K664" s="4" t="n">
        <v>12.96</v>
      </c>
      <c r="L664" s="4" t="n">
        <v>13.45</v>
      </c>
      <c r="M664" s="7" t="n">
        <v>0.0067</v>
      </c>
    </row>
    <row r="665">
      <c r="A665" s="6" t="n">
        <v>44900</v>
      </c>
      <c r="B665" s="2" t="inlineStr">
        <is>
          <t>Monday</t>
        </is>
      </c>
      <c r="C665" s="5" t="n">
        <v>44896</v>
      </c>
      <c r="D665" s="2" t="inlineStr">
        <is>
          <t>Q3FY23</t>
        </is>
      </c>
      <c r="E665" s="3" t="n">
        <v>2366</v>
      </c>
      <c r="F665" s="8" t="n">
        <v>1.9646</v>
      </c>
      <c r="G665" s="4" t="n">
        <v>380.8337</v>
      </c>
      <c r="H665" s="4" t="n">
        <v>572.9269</v>
      </c>
      <c r="I665" s="4" t="n">
        <v>13.45</v>
      </c>
      <c r="J665" s="4" t="n">
        <v>14.4175</v>
      </c>
      <c r="K665" s="4" t="n">
        <v>13.45</v>
      </c>
      <c r="L665" s="4" t="n">
        <v>13.7325</v>
      </c>
      <c r="M665" s="7" t="n">
        <v>0.021</v>
      </c>
    </row>
    <row r="666">
      <c r="A666" s="6" t="n">
        <v>44901</v>
      </c>
      <c r="B666" s="2" t="inlineStr">
        <is>
          <t>Tuesday</t>
        </is>
      </c>
      <c r="C666" s="5" t="n">
        <v>44896</v>
      </c>
      <c r="D666" s="2" t="inlineStr">
        <is>
          <t>Q3FY23</t>
        </is>
      </c>
      <c r="E666" s="3" t="n">
        <v>2333</v>
      </c>
      <c r="F666" s="8" t="n">
        <v>1.8024</v>
      </c>
      <c r="G666" s="4" t="n">
        <v>343.9164</v>
      </c>
      <c r="H666" s="4" t="n">
        <v>507.4172</v>
      </c>
      <c r="I666" s="4" t="n">
        <v>13.7325</v>
      </c>
      <c r="J666" s="4" t="n">
        <v>14.2525</v>
      </c>
      <c r="K666" s="4" t="n">
        <v>12.18</v>
      </c>
      <c r="L666" s="4" t="n">
        <v>14.0425</v>
      </c>
      <c r="M666" s="7" t="n">
        <v>0.0226</v>
      </c>
    </row>
    <row r="667">
      <c r="A667" s="6" t="n">
        <v>44902</v>
      </c>
      <c r="B667" s="2" t="inlineStr">
        <is>
          <t>Wednesday</t>
        </is>
      </c>
      <c r="C667" s="5" t="n">
        <v>44896</v>
      </c>
      <c r="D667" s="2" t="inlineStr">
        <is>
          <t>Q3FY23</t>
        </is>
      </c>
      <c r="E667" s="3" t="n">
        <v>2328</v>
      </c>
      <c r="F667" s="8" t="n">
        <v>1.7624</v>
      </c>
      <c r="G667" s="4" t="n">
        <v>319.9423</v>
      </c>
      <c r="H667" s="4" t="n">
        <v>494.7439</v>
      </c>
      <c r="I667" s="4" t="n">
        <v>14.0425</v>
      </c>
      <c r="J667" s="4" t="n">
        <v>14.4625</v>
      </c>
      <c r="K667" s="4" t="n">
        <v>13.795</v>
      </c>
      <c r="L667" s="4" t="n">
        <v>14.0775</v>
      </c>
      <c r="M667" s="7" t="n">
        <v>0.0025</v>
      </c>
    </row>
    <row r="668">
      <c r="A668" s="6" t="n">
        <v>44903</v>
      </c>
      <c r="B668" s="2" t="inlineStr">
        <is>
          <t>Thursday</t>
        </is>
      </c>
      <c r="C668" s="5" t="n">
        <v>44896</v>
      </c>
      <c r="D668" s="2" t="inlineStr">
        <is>
          <t>Q3FY23</t>
        </is>
      </c>
      <c r="E668" s="3" t="n">
        <v>2318</v>
      </c>
      <c r="F668" s="8" t="n">
        <v>1.7798</v>
      </c>
      <c r="G668" s="4" t="n">
        <v>297.4402</v>
      </c>
      <c r="H668" s="4" t="n">
        <v>514.5428000000001</v>
      </c>
      <c r="I668" s="4" t="n">
        <v>14.0775</v>
      </c>
      <c r="J668" s="4" t="n">
        <v>14.89</v>
      </c>
      <c r="K668" s="4" t="n">
        <v>13.26</v>
      </c>
      <c r="L668" s="4" t="n">
        <v>13.3975</v>
      </c>
      <c r="M668" s="7" t="n">
        <v>-0.0483</v>
      </c>
    </row>
    <row r="669">
      <c r="A669" s="6" t="n">
        <v>44904</v>
      </c>
      <c r="B669" s="2" t="inlineStr">
        <is>
          <t>Friday</t>
        </is>
      </c>
      <c r="C669" s="5" t="n">
        <v>44896</v>
      </c>
      <c r="D669" s="2" t="inlineStr">
        <is>
          <t>Q3FY23</t>
        </is>
      </c>
      <c r="E669" s="3" t="n">
        <v>2324</v>
      </c>
      <c r="F669" s="8" t="n">
        <v>2.1143</v>
      </c>
      <c r="G669" s="4" t="n">
        <v>497.5732</v>
      </c>
      <c r="H669" s="4" t="n">
        <v>600.5263</v>
      </c>
      <c r="I669" s="4" t="n">
        <v>13.3975</v>
      </c>
      <c r="J669" s="4" t="n">
        <v>13.9625</v>
      </c>
      <c r="K669" s="4" t="n">
        <v>11.9125</v>
      </c>
      <c r="L669" s="4" t="n">
        <v>13.4775</v>
      </c>
      <c r="M669" s="7" t="n">
        <v>0.006</v>
      </c>
    </row>
    <row r="670">
      <c r="A670" s="6" t="n">
        <v>44907</v>
      </c>
      <c r="B670" s="2" t="inlineStr">
        <is>
          <t>Monday</t>
        </is>
      </c>
      <c r="C670" s="5" t="n">
        <v>44896</v>
      </c>
      <c r="D670" s="2" t="inlineStr">
        <is>
          <t>Q3FY23</t>
        </is>
      </c>
      <c r="E670" s="3" t="n">
        <v>2335</v>
      </c>
      <c r="F670" s="8" t="n">
        <v>1.8743</v>
      </c>
      <c r="G670" s="4" t="n">
        <v>403.6425</v>
      </c>
      <c r="H670" s="4" t="n">
        <v>492.409</v>
      </c>
      <c r="I670" s="4" t="n">
        <v>13.4775</v>
      </c>
      <c r="J670" s="4" t="n">
        <v>14.15</v>
      </c>
      <c r="K670" s="4" t="n">
        <v>12.5275</v>
      </c>
      <c r="L670" s="4" t="n">
        <v>13.3175</v>
      </c>
      <c r="M670" s="7" t="n">
        <v>-0.0119</v>
      </c>
    </row>
    <row r="671">
      <c r="A671" s="6" t="n">
        <v>44908</v>
      </c>
      <c r="B671" s="2" t="inlineStr">
        <is>
          <t>Tuesday</t>
        </is>
      </c>
      <c r="C671" s="5" t="n">
        <v>44896</v>
      </c>
      <c r="D671" s="2" t="inlineStr">
        <is>
          <t>Q3FY23</t>
        </is>
      </c>
      <c r="E671" s="3" t="n">
        <v>2326</v>
      </c>
      <c r="F671" s="8" t="n">
        <v>1.8964</v>
      </c>
      <c r="G671" s="4" t="n">
        <v>491.8181</v>
      </c>
      <c r="H671" s="4" t="n">
        <v>545.323</v>
      </c>
      <c r="I671" s="4" t="n">
        <v>13.3175</v>
      </c>
      <c r="J671" s="4" t="n">
        <v>13.5775</v>
      </c>
      <c r="K671" s="4" t="n">
        <v>11.4325</v>
      </c>
      <c r="L671" s="4" t="n">
        <v>12.8825</v>
      </c>
      <c r="M671" s="7" t="n">
        <v>-0.0327</v>
      </c>
    </row>
    <row r="672">
      <c r="A672" s="6" t="n">
        <v>44909</v>
      </c>
      <c r="B672" s="2" t="inlineStr">
        <is>
          <t>Wednesday</t>
        </is>
      </c>
      <c r="C672" s="5" t="n">
        <v>44896</v>
      </c>
      <c r="D672" s="2" t="inlineStr">
        <is>
          <t>Q3FY23</t>
        </is>
      </c>
      <c r="E672" s="3" t="n">
        <v>2330</v>
      </c>
      <c r="F672" s="8" t="n">
        <v>1.9881</v>
      </c>
      <c r="G672" s="4" t="n">
        <v>627.26</v>
      </c>
      <c r="H672" s="4" t="n">
        <v>582.8258</v>
      </c>
      <c r="I672" s="4" t="n">
        <v>12.8825</v>
      </c>
      <c r="J672" s="4" t="n">
        <v>13.0825</v>
      </c>
      <c r="K672" s="4" t="n">
        <v>11.5275</v>
      </c>
      <c r="L672" s="4" t="n">
        <v>12.885</v>
      </c>
      <c r="M672" s="7" t="n">
        <v>0.0002</v>
      </c>
    </row>
    <row r="673">
      <c r="A673" s="6" t="n">
        <v>44910</v>
      </c>
      <c r="B673" s="2" t="inlineStr">
        <is>
          <t>Thursday</t>
        </is>
      </c>
      <c r="C673" s="5" t="n">
        <v>44896</v>
      </c>
      <c r="D673" s="2" t="inlineStr">
        <is>
          <t>Q3FY23</t>
        </is>
      </c>
      <c r="E673" s="3" t="n">
        <v>2313</v>
      </c>
      <c r="F673" s="8" t="n">
        <v>1.9366</v>
      </c>
      <c r="G673" s="4" t="n">
        <v>503.1331</v>
      </c>
      <c r="H673" s="4" t="n">
        <v>542.5137999999999</v>
      </c>
      <c r="I673" s="4" t="n">
        <v>12.885</v>
      </c>
      <c r="J673" s="4" t="n">
        <v>13.8825</v>
      </c>
      <c r="K673" s="4" t="n">
        <v>12.5875</v>
      </c>
      <c r="L673" s="4" t="n">
        <v>13.7325</v>
      </c>
      <c r="M673" s="7" t="n">
        <v>0.0658</v>
      </c>
    </row>
    <row r="674">
      <c r="A674" s="6" t="n">
        <v>44911</v>
      </c>
      <c r="B674" s="2" t="inlineStr">
        <is>
          <t>Friday</t>
        </is>
      </c>
      <c r="C674" s="5" t="n">
        <v>44896</v>
      </c>
      <c r="D674" s="2" t="inlineStr">
        <is>
          <t>Q3FY23</t>
        </is>
      </c>
      <c r="E674" s="3" t="n">
        <v>2318</v>
      </c>
      <c r="F674" s="8" t="n">
        <v>2.1806</v>
      </c>
      <c r="G674" s="4" t="n">
        <v>444.7052</v>
      </c>
      <c r="H674" s="4" t="n">
        <v>655.6489</v>
      </c>
      <c r="I674" s="4" t="n">
        <v>13.7325</v>
      </c>
      <c r="J674" s="4" t="n">
        <v>14.22</v>
      </c>
      <c r="K674" s="4" t="n">
        <v>12.4925</v>
      </c>
      <c r="L674" s="4" t="n">
        <v>14.07</v>
      </c>
      <c r="M674" s="7" t="n">
        <v>0.0246</v>
      </c>
    </row>
    <row r="675">
      <c r="A675" s="6" t="n">
        <v>44914</v>
      </c>
      <c r="B675" s="2" t="inlineStr">
        <is>
          <t>Monday</t>
        </is>
      </c>
      <c r="C675" s="5" t="n">
        <v>44896</v>
      </c>
      <c r="D675" s="2" t="inlineStr">
        <is>
          <t>Q3FY23</t>
        </is>
      </c>
      <c r="E675" s="3" t="n">
        <v>2354</v>
      </c>
      <c r="F675" s="8" t="n">
        <v>1.8889</v>
      </c>
      <c r="G675" s="4" t="n">
        <v>382.7365</v>
      </c>
      <c r="H675" s="4" t="n">
        <v>471.9436</v>
      </c>
      <c r="I675" s="4" t="n">
        <v>14.07</v>
      </c>
      <c r="J675" s="4" t="n">
        <v>14.4875</v>
      </c>
      <c r="K675" s="4" t="n">
        <v>13.5</v>
      </c>
      <c r="L675" s="4" t="n">
        <v>13.5525</v>
      </c>
      <c r="M675" s="7" t="n">
        <v>-0.0368</v>
      </c>
    </row>
    <row r="676">
      <c r="A676" s="6" t="n">
        <v>44915</v>
      </c>
      <c r="B676" s="2" t="inlineStr">
        <is>
          <t>Tuesday</t>
        </is>
      </c>
      <c r="C676" s="5" t="n">
        <v>44896</v>
      </c>
      <c r="D676" s="2" t="inlineStr">
        <is>
          <t>Q3FY23</t>
        </is>
      </c>
      <c r="E676" s="3" t="n">
        <v>2348</v>
      </c>
      <c r="F676" s="8" t="n">
        <v>1.7993</v>
      </c>
      <c r="G676" s="4" t="n">
        <v>368.4858</v>
      </c>
      <c r="H676" s="4" t="n">
        <v>465.8619</v>
      </c>
      <c r="I676" s="4" t="n">
        <v>13.5525</v>
      </c>
      <c r="J676" s="4" t="n">
        <v>14.9225</v>
      </c>
      <c r="K676" s="4" t="n">
        <v>13.04</v>
      </c>
      <c r="L676" s="4" t="n">
        <v>13.78</v>
      </c>
      <c r="M676" s="7" t="n">
        <v>0.0168</v>
      </c>
    </row>
    <row r="677">
      <c r="A677" s="6" t="n">
        <v>44916</v>
      </c>
      <c r="B677" s="2" t="inlineStr">
        <is>
          <t>Wednesday</t>
        </is>
      </c>
      <c r="C677" s="5" t="n">
        <v>44896</v>
      </c>
      <c r="D677" s="2" t="inlineStr">
        <is>
          <t>Q3FY23</t>
        </is>
      </c>
      <c r="E677" s="3" t="n">
        <v>2325</v>
      </c>
      <c r="F677" s="8" t="n">
        <v>2.1974</v>
      </c>
      <c r="G677" s="4" t="n">
        <v>471.4373</v>
      </c>
      <c r="H677" s="4" t="n">
        <v>584.9046</v>
      </c>
      <c r="I677" s="4" t="n">
        <v>13.78</v>
      </c>
      <c r="J677" s="4" t="n">
        <v>16.01</v>
      </c>
      <c r="K677" s="4" t="n">
        <v>12.4625</v>
      </c>
      <c r="L677" s="4" t="n">
        <v>15.5625</v>
      </c>
      <c r="M677" s="7" t="n">
        <v>0.1294</v>
      </c>
    </row>
    <row r="678">
      <c r="A678" s="6" t="n">
        <v>44917</v>
      </c>
      <c r="B678" s="2" t="inlineStr">
        <is>
          <t>Thursday</t>
        </is>
      </c>
      <c r="C678" s="5" t="n">
        <v>44896</v>
      </c>
      <c r="D678" s="2" t="inlineStr">
        <is>
          <t>Q3FY23</t>
        </is>
      </c>
      <c r="E678" s="3" t="n">
        <v>2329</v>
      </c>
      <c r="F678" s="8" t="n">
        <v>2.2306</v>
      </c>
      <c r="G678" s="4" t="n">
        <v>406.9739</v>
      </c>
      <c r="H678" s="4" t="n">
        <v>538.5714</v>
      </c>
      <c r="I678" s="4" t="n">
        <v>15.5625</v>
      </c>
      <c r="J678" s="4" t="n">
        <v>16.3</v>
      </c>
      <c r="K678" s="4" t="n">
        <v>14.44</v>
      </c>
      <c r="L678" s="4" t="n">
        <v>15.1875</v>
      </c>
      <c r="M678" s="7" t="n">
        <v>-0.0241</v>
      </c>
    </row>
    <row r="679">
      <c r="A679" s="6" t="n">
        <v>44918</v>
      </c>
      <c r="B679" s="2" t="inlineStr">
        <is>
          <t>Friday</t>
        </is>
      </c>
      <c r="C679" s="5" t="n">
        <v>44896</v>
      </c>
      <c r="D679" s="2" t="inlineStr">
        <is>
          <t>Q3FY23</t>
        </is>
      </c>
      <c r="E679" s="3" t="n">
        <v>2360</v>
      </c>
      <c r="F679" s="8" t="n">
        <v>2.4513</v>
      </c>
      <c r="G679" s="4" t="n">
        <v>406.7961</v>
      </c>
      <c r="H679" s="4" t="n">
        <v>562.5155</v>
      </c>
      <c r="I679" s="4" t="n">
        <v>15.1875</v>
      </c>
      <c r="J679" s="4" t="n">
        <v>16.48</v>
      </c>
      <c r="K679" s="4" t="n">
        <v>14.4825</v>
      </c>
      <c r="L679" s="4" t="n">
        <v>16.16</v>
      </c>
      <c r="M679" s="7" t="n">
        <v>0.064</v>
      </c>
    </row>
    <row r="680">
      <c r="A680" s="6" t="n">
        <v>44921</v>
      </c>
      <c r="B680" s="2" t="inlineStr">
        <is>
          <t>Monday</t>
        </is>
      </c>
      <c r="C680" s="5" t="n">
        <v>44896</v>
      </c>
      <c r="D680" s="2" t="inlineStr">
        <is>
          <t>Q3FY23</t>
        </is>
      </c>
      <c r="E680" s="3" t="n">
        <v>2377</v>
      </c>
      <c r="F680" s="8" t="n">
        <v>1.9472</v>
      </c>
      <c r="G680" s="4" t="n">
        <v>420.391</v>
      </c>
      <c r="H680" s="4" t="n">
        <v>464.8701</v>
      </c>
      <c r="I680" s="4" t="n">
        <v>16.16</v>
      </c>
      <c r="J680" s="4" t="n">
        <v>17.23</v>
      </c>
      <c r="K680" s="4" t="n">
        <v>14.3075</v>
      </c>
      <c r="L680" s="4" t="n">
        <v>15.9325</v>
      </c>
      <c r="M680" s="7" t="n">
        <v>-0.0141</v>
      </c>
    </row>
    <row r="681">
      <c r="A681" s="6" t="n">
        <v>44922</v>
      </c>
      <c r="B681" s="2" t="inlineStr">
        <is>
          <t>Tuesday</t>
        </is>
      </c>
      <c r="C681" s="5" t="n">
        <v>44896</v>
      </c>
      <c r="D681" s="2" t="inlineStr">
        <is>
          <t>Q3FY23</t>
        </is>
      </c>
      <c r="E681" s="3" t="n">
        <v>2339</v>
      </c>
      <c r="F681" s="8" t="n">
        <v>1.7173</v>
      </c>
      <c r="G681" s="4" t="n">
        <v>352.527</v>
      </c>
      <c r="H681" s="4" t="n">
        <v>432.7407</v>
      </c>
      <c r="I681" s="4" t="n">
        <v>15.9325</v>
      </c>
      <c r="J681" s="4" t="n">
        <v>16.1325</v>
      </c>
      <c r="K681" s="4" t="n">
        <v>14.925</v>
      </c>
      <c r="L681" s="4" t="n">
        <v>15.29</v>
      </c>
      <c r="M681" s="7" t="n">
        <v>-0.0403</v>
      </c>
    </row>
    <row r="682">
      <c r="A682" s="6" t="n">
        <v>44923</v>
      </c>
      <c r="B682" s="2" t="inlineStr">
        <is>
          <t>Wednesday</t>
        </is>
      </c>
      <c r="C682" s="5" t="n">
        <v>44896</v>
      </c>
      <c r="D682" s="2" t="inlineStr">
        <is>
          <t>Q3FY23</t>
        </is>
      </c>
      <c r="E682" s="3" t="n">
        <v>2316</v>
      </c>
      <c r="F682" s="8" t="n">
        <v>1.6281</v>
      </c>
      <c r="G682" s="4" t="n">
        <v>323.2116</v>
      </c>
      <c r="H682" s="4" t="n">
        <v>432.6077</v>
      </c>
      <c r="I682" s="4" t="n">
        <v>15.29</v>
      </c>
      <c r="J682" s="4" t="n">
        <v>15.6475</v>
      </c>
      <c r="K682" s="4" t="n">
        <v>15.2725</v>
      </c>
      <c r="L682" s="4" t="n">
        <v>15.395</v>
      </c>
      <c r="M682" s="7" t="n">
        <v>0.0069</v>
      </c>
    </row>
    <row r="683">
      <c r="A683" s="6" t="n">
        <v>44924</v>
      </c>
      <c r="B683" s="2" t="inlineStr">
        <is>
          <t>Thursday</t>
        </is>
      </c>
      <c r="C683" s="5" t="n">
        <v>44896</v>
      </c>
      <c r="D683" s="2" t="inlineStr">
        <is>
          <t>Q3FY23</t>
        </is>
      </c>
      <c r="E683" s="3" t="n">
        <v>2311</v>
      </c>
      <c r="F683" s="8" t="n">
        <v>1.7227</v>
      </c>
      <c r="G683" s="4" t="n">
        <v>297.0308</v>
      </c>
      <c r="H683" s="4" t="n">
        <v>495.0614</v>
      </c>
      <c r="I683" s="4" t="n">
        <v>15.395</v>
      </c>
      <c r="J683" s="4" t="n">
        <v>15.77</v>
      </c>
      <c r="K683" s="4" t="n">
        <v>14.71</v>
      </c>
      <c r="L683" s="4" t="n">
        <v>14.8125</v>
      </c>
      <c r="M683" s="7" t="n">
        <v>-0.0378</v>
      </c>
    </row>
    <row r="684">
      <c r="A684" s="6" t="n">
        <v>44925</v>
      </c>
      <c r="B684" s="2" t="inlineStr">
        <is>
          <t>Friday</t>
        </is>
      </c>
      <c r="C684" s="5" t="n">
        <v>44896</v>
      </c>
      <c r="D684" s="2" t="inlineStr">
        <is>
          <t>Q3FY23</t>
        </is>
      </c>
      <c r="E684" s="3" t="n">
        <v>2335</v>
      </c>
      <c r="F684" s="8" t="n">
        <v>1.633</v>
      </c>
      <c r="G684" s="4" t="n">
        <v>298.0107</v>
      </c>
      <c r="H684" s="4" t="n">
        <v>440.235</v>
      </c>
      <c r="I684" s="4" t="n">
        <v>14.8125</v>
      </c>
      <c r="J684" s="4" t="n">
        <v>15.115</v>
      </c>
      <c r="K684" s="4" t="n">
        <v>14.2825</v>
      </c>
      <c r="L684" s="4" t="n">
        <v>14.8675</v>
      </c>
      <c r="M684" s="7" t="n">
        <v>0.0037</v>
      </c>
    </row>
    <row r="685">
      <c r="A685" s="6" t="n">
        <v>44928</v>
      </c>
      <c r="B685" s="2" t="inlineStr">
        <is>
          <t>Monday</t>
        </is>
      </c>
      <c r="C685" s="5" t="n">
        <v>44927</v>
      </c>
      <c r="D685" s="2" t="inlineStr">
        <is>
          <t>Q4FY23</t>
        </is>
      </c>
      <c r="E685" s="3" t="n">
        <v>2383</v>
      </c>
      <c r="F685" s="8" t="n">
        <v>1.648</v>
      </c>
      <c r="G685" s="4" t="n">
        <v>294.7475</v>
      </c>
      <c r="H685" s="4" t="n">
        <v>396.9397</v>
      </c>
      <c r="I685" s="4" t="n">
        <v>14.8675</v>
      </c>
      <c r="J685" s="4" t="n">
        <v>15.4525</v>
      </c>
      <c r="K685" s="4" t="n">
        <v>14.5675</v>
      </c>
      <c r="L685" s="4" t="n">
        <v>14.685</v>
      </c>
      <c r="M685" s="7" t="n">
        <v>-0.0123</v>
      </c>
    </row>
    <row r="686">
      <c r="A686" s="6" t="n">
        <v>44929</v>
      </c>
      <c r="B686" s="2" t="inlineStr">
        <is>
          <t>Tuesday</t>
        </is>
      </c>
      <c r="C686" s="5" t="n">
        <v>44927</v>
      </c>
      <c r="D686" s="2" t="inlineStr">
        <is>
          <t>Q4FY23</t>
        </is>
      </c>
      <c r="E686" s="3" t="n">
        <v>2382</v>
      </c>
      <c r="F686" s="8" t="n">
        <v>1.6053</v>
      </c>
      <c r="G686" s="4" t="n">
        <v>297.6969</v>
      </c>
      <c r="H686" s="4" t="n">
        <v>422.5748</v>
      </c>
      <c r="I686" s="4" t="n">
        <v>14.685</v>
      </c>
      <c r="J686" s="4" t="n">
        <v>14.99</v>
      </c>
      <c r="K686" s="4" t="n">
        <v>14.305</v>
      </c>
      <c r="L686" s="4" t="n">
        <v>14.385</v>
      </c>
      <c r="M686" s="7" t="n">
        <v>-0.0204</v>
      </c>
    </row>
    <row r="687">
      <c r="A687" s="6" t="n">
        <v>44930</v>
      </c>
      <c r="B687" s="2" t="inlineStr">
        <is>
          <t>Wednesday</t>
        </is>
      </c>
      <c r="C687" s="5" t="n">
        <v>44927</v>
      </c>
      <c r="D687" s="2" t="inlineStr">
        <is>
          <t>Q4FY23</t>
        </is>
      </c>
      <c r="E687" s="3" t="n">
        <v>2383</v>
      </c>
      <c r="F687" s="8" t="n">
        <v>1.7644</v>
      </c>
      <c r="G687" s="4" t="n">
        <v>299.852</v>
      </c>
      <c r="H687" s="4" t="n">
        <v>464.627</v>
      </c>
      <c r="I687" s="4" t="n">
        <v>14.385</v>
      </c>
      <c r="J687" s="4" t="n">
        <v>15.6825</v>
      </c>
      <c r="K687" s="4" t="n">
        <v>14.33</v>
      </c>
      <c r="L687" s="4" t="n">
        <v>15.1975</v>
      </c>
      <c r="M687" s="7" t="n">
        <v>0.0565</v>
      </c>
    </row>
    <row r="688">
      <c r="A688" s="6" t="n">
        <v>44931</v>
      </c>
      <c r="B688" s="2" t="inlineStr">
        <is>
          <t>Thursday</t>
        </is>
      </c>
      <c r="C688" s="5" t="n">
        <v>44927</v>
      </c>
      <c r="D688" s="2" t="inlineStr">
        <is>
          <t>Q4FY23</t>
        </is>
      </c>
      <c r="E688" s="3" t="n">
        <v>2350</v>
      </c>
      <c r="F688" s="8" t="n">
        <v>1.8385</v>
      </c>
      <c r="G688" s="4" t="n">
        <v>247.2603</v>
      </c>
      <c r="H688" s="4" t="n">
        <v>501.2413</v>
      </c>
      <c r="I688" s="4" t="n">
        <v>15.1975</v>
      </c>
      <c r="J688" s="4" t="n">
        <v>15.6</v>
      </c>
      <c r="K688" s="4" t="n">
        <v>14.8125</v>
      </c>
      <c r="L688" s="4" t="n">
        <v>14.9825</v>
      </c>
      <c r="M688" s="7" t="n">
        <v>-0.0141</v>
      </c>
    </row>
    <row r="689">
      <c r="A689" s="6" t="n">
        <v>44932</v>
      </c>
      <c r="B689" s="2" t="inlineStr">
        <is>
          <t>Friday</t>
        </is>
      </c>
      <c r="C689" s="5" t="n">
        <v>44927</v>
      </c>
      <c r="D689" s="2" t="inlineStr">
        <is>
          <t>Q4FY23</t>
        </is>
      </c>
      <c r="E689" s="3" t="n">
        <v>2381</v>
      </c>
      <c r="F689" s="8" t="n">
        <v>1.7243</v>
      </c>
      <c r="G689" s="4" t="n">
        <v>239.4582</v>
      </c>
      <c r="H689" s="4" t="n">
        <v>447.0087</v>
      </c>
      <c r="I689" s="4" t="n">
        <v>14.9825</v>
      </c>
      <c r="J689" s="4" t="n">
        <v>15.4375</v>
      </c>
      <c r="K689" s="4" t="n">
        <v>14.6225</v>
      </c>
      <c r="L689" s="4" t="n">
        <v>15.025</v>
      </c>
      <c r="M689" s="7" t="n">
        <v>0.0028</v>
      </c>
    </row>
    <row r="690">
      <c r="A690" s="6" t="n">
        <v>44935</v>
      </c>
      <c r="B690" s="2" t="inlineStr">
        <is>
          <t>Monday</t>
        </is>
      </c>
      <c r="C690" s="5" t="n">
        <v>44927</v>
      </c>
      <c r="D690" s="2" t="inlineStr">
        <is>
          <t>Q4FY23</t>
        </is>
      </c>
      <c r="E690" s="3" t="n">
        <v>2388</v>
      </c>
      <c r="F690" s="8" t="n">
        <v>1.771</v>
      </c>
      <c r="G690" s="4" t="n">
        <v>228.3296</v>
      </c>
      <c r="H690" s="4" t="n">
        <v>445.4587</v>
      </c>
      <c r="I690" s="4" t="n">
        <v>15.025</v>
      </c>
      <c r="J690" s="4" t="n">
        <v>15.3775</v>
      </c>
      <c r="K690" s="4" t="n">
        <v>14.53</v>
      </c>
      <c r="L690" s="4" t="n">
        <v>14.6525</v>
      </c>
      <c r="M690" s="7" t="n">
        <v>-0.0248</v>
      </c>
    </row>
    <row r="691">
      <c r="A691" s="6" t="n">
        <v>44936</v>
      </c>
      <c r="B691" s="2" t="inlineStr">
        <is>
          <t>Tuesday</t>
        </is>
      </c>
      <c r="C691" s="5" t="n">
        <v>44927</v>
      </c>
      <c r="D691" s="2" t="inlineStr">
        <is>
          <t>Q4FY23</t>
        </is>
      </c>
      <c r="E691" s="3" t="n">
        <v>2354</v>
      </c>
      <c r="F691" s="8" t="n">
        <v>1.6962</v>
      </c>
      <c r="G691" s="4" t="n">
        <v>224.412</v>
      </c>
      <c r="H691" s="4" t="n">
        <v>442.0683</v>
      </c>
      <c r="I691" s="4" t="n">
        <v>14.6525</v>
      </c>
      <c r="J691" s="4" t="n">
        <v>15.935</v>
      </c>
      <c r="K691" s="4" t="n">
        <v>14.5625</v>
      </c>
      <c r="L691" s="4" t="n">
        <v>15.51</v>
      </c>
      <c r="M691" s="7" t="n">
        <v>0.0585</v>
      </c>
    </row>
    <row r="692">
      <c r="A692" s="6" t="n">
        <v>44937</v>
      </c>
      <c r="B692" s="2" t="inlineStr">
        <is>
          <t>Wednesday</t>
        </is>
      </c>
      <c r="C692" s="5" t="n">
        <v>44927</v>
      </c>
      <c r="D692" s="2" t="inlineStr">
        <is>
          <t>Q4FY23</t>
        </is>
      </c>
      <c r="E692" s="3" t="n">
        <v>2343</v>
      </c>
      <c r="F692" s="8" t="n">
        <v>1.6748</v>
      </c>
      <c r="G692" s="4" t="n">
        <v>225.7417</v>
      </c>
      <c r="H692" s="4" t="n">
        <v>443.345</v>
      </c>
      <c r="I692" s="4" t="n">
        <v>15.51</v>
      </c>
      <c r="J692" s="4" t="n">
        <v>16.225</v>
      </c>
      <c r="K692" s="4" t="n">
        <v>15.115</v>
      </c>
      <c r="L692" s="4" t="n">
        <v>15.435</v>
      </c>
      <c r="M692" s="7" t="n">
        <v>-0.0048</v>
      </c>
    </row>
    <row r="693">
      <c r="A693" s="6" t="n">
        <v>44938</v>
      </c>
      <c r="B693" s="2" t="inlineStr">
        <is>
          <t>Thursday</t>
        </is>
      </c>
      <c r="C693" s="5" t="n">
        <v>44927</v>
      </c>
      <c r="D693" s="2" t="inlineStr">
        <is>
          <t>Q4FY23</t>
        </is>
      </c>
      <c r="E693" s="3" t="n">
        <v>2349</v>
      </c>
      <c r="F693" s="8" t="n">
        <v>1.695</v>
      </c>
      <c r="G693" s="4" t="n">
        <v>210.7249</v>
      </c>
      <c r="H693" s="4" t="n">
        <v>448.7256</v>
      </c>
      <c r="I693" s="4" t="n">
        <v>15.435</v>
      </c>
      <c r="J693" s="4" t="n">
        <v>16.0425</v>
      </c>
      <c r="K693" s="4" t="n">
        <v>14.4175</v>
      </c>
      <c r="L693" s="4" t="n">
        <v>15.275</v>
      </c>
      <c r="M693" s="7" t="n">
        <v>-0.0104</v>
      </c>
    </row>
    <row r="694">
      <c r="A694" s="6" t="n">
        <v>44939</v>
      </c>
      <c r="B694" s="2" t="inlineStr">
        <is>
          <t>Friday</t>
        </is>
      </c>
      <c r="C694" s="5" t="n">
        <v>44927</v>
      </c>
      <c r="D694" s="2" t="inlineStr">
        <is>
          <t>Q4FY23</t>
        </is>
      </c>
      <c r="E694" s="3" t="n">
        <v>2335</v>
      </c>
      <c r="F694" s="8" t="n">
        <v>1.6468</v>
      </c>
      <c r="G694" s="4" t="n">
        <v>230.4778</v>
      </c>
      <c r="H694" s="4" t="n">
        <v>464.5892</v>
      </c>
      <c r="I694" s="4" t="n">
        <v>15.275</v>
      </c>
      <c r="J694" s="4" t="n">
        <v>15.6025</v>
      </c>
      <c r="K694" s="4" t="n">
        <v>14.395</v>
      </c>
      <c r="L694" s="4" t="n">
        <v>14.46</v>
      </c>
      <c r="M694" s="7" t="n">
        <v>-0.0534</v>
      </c>
    </row>
    <row r="695">
      <c r="A695" s="6" t="n">
        <v>44942</v>
      </c>
      <c r="B695" s="2" t="inlineStr">
        <is>
          <t>Monday</t>
        </is>
      </c>
      <c r="C695" s="5" t="n">
        <v>44927</v>
      </c>
      <c r="D695" s="2" t="inlineStr">
        <is>
          <t>Q4FY23</t>
        </is>
      </c>
      <c r="E695" s="3" t="n">
        <v>2390</v>
      </c>
      <c r="F695" s="8" t="n">
        <v>1.5773</v>
      </c>
      <c r="G695" s="4" t="n">
        <v>253.6485</v>
      </c>
      <c r="H695" s="4" t="n">
        <v>431.2167</v>
      </c>
      <c r="I695" s="4" t="n">
        <v>14.46</v>
      </c>
      <c r="J695" s="4" t="n">
        <v>15.3625</v>
      </c>
      <c r="K695" s="4" t="n">
        <v>14.46</v>
      </c>
      <c r="L695" s="4" t="n">
        <v>15.0225</v>
      </c>
      <c r="M695" s="7" t="n">
        <v>0.0389</v>
      </c>
    </row>
    <row r="696">
      <c r="A696" s="6" t="n">
        <v>44943</v>
      </c>
      <c r="B696" s="2" t="inlineStr">
        <is>
          <t>Tuesday</t>
        </is>
      </c>
      <c r="C696" s="5" t="n">
        <v>44927</v>
      </c>
      <c r="D696" s="2" t="inlineStr">
        <is>
          <t>Q4FY23</t>
        </is>
      </c>
      <c r="E696" s="3" t="n">
        <v>2323</v>
      </c>
      <c r="F696" s="8" t="n">
        <v>1.6233</v>
      </c>
      <c r="G696" s="4" t="n">
        <v>230.9137</v>
      </c>
      <c r="H696" s="4" t="n">
        <v>439.0052</v>
      </c>
      <c r="I696" s="4" t="n">
        <v>15.0225</v>
      </c>
      <c r="J696" s="4" t="n">
        <v>15.31</v>
      </c>
      <c r="K696" s="4" t="n">
        <v>13.84</v>
      </c>
      <c r="L696" s="4" t="n">
        <v>14.59</v>
      </c>
      <c r="M696" s="7" t="n">
        <v>-0.0288</v>
      </c>
    </row>
    <row r="697">
      <c r="A697" s="6" t="n">
        <v>44944</v>
      </c>
      <c r="B697" s="2" t="inlineStr">
        <is>
          <t>Wednesday</t>
        </is>
      </c>
      <c r="C697" s="5" t="n">
        <v>44927</v>
      </c>
      <c r="D697" s="2" t="inlineStr">
        <is>
          <t>Q4FY23</t>
        </is>
      </c>
      <c r="E697" s="3" t="n">
        <v>2341</v>
      </c>
      <c r="F697" s="8" t="n">
        <v>1.6723</v>
      </c>
      <c r="G697" s="4" t="n">
        <v>215.5869</v>
      </c>
      <c r="H697" s="4" t="n">
        <v>458.9173</v>
      </c>
      <c r="I697" s="4" t="n">
        <v>14.59</v>
      </c>
      <c r="J697" s="4" t="n">
        <v>14.75</v>
      </c>
      <c r="K697" s="4" t="n">
        <v>12.4725</v>
      </c>
      <c r="L697" s="4" t="n">
        <v>14.3725</v>
      </c>
      <c r="M697" s="7" t="n">
        <v>-0.0149</v>
      </c>
    </row>
    <row r="698">
      <c r="A698" s="6" t="n">
        <v>44945</v>
      </c>
      <c r="B698" s="2" t="inlineStr">
        <is>
          <t>Thursday</t>
        </is>
      </c>
      <c r="C698" s="5" t="n">
        <v>44927</v>
      </c>
      <c r="D698" s="2" t="inlineStr">
        <is>
          <t>Q4FY23</t>
        </is>
      </c>
      <c r="E698" s="3" t="n">
        <v>2341</v>
      </c>
      <c r="F698" s="8" t="n">
        <v>1.5753</v>
      </c>
      <c r="G698" s="4" t="n">
        <v>202.599</v>
      </c>
      <c r="H698" s="4" t="n">
        <v>415.6877</v>
      </c>
      <c r="I698" s="4" t="n">
        <v>14.3725</v>
      </c>
      <c r="J698" s="4" t="n">
        <v>14.8325</v>
      </c>
      <c r="K698" s="4" t="n">
        <v>13.8925</v>
      </c>
      <c r="L698" s="4" t="n">
        <v>13.96</v>
      </c>
      <c r="M698" s="7" t="n">
        <v>-0.0287</v>
      </c>
    </row>
    <row r="699">
      <c r="A699" s="6" t="n">
        <v>44946</v>
      </c>
      <c r="B699" s="2" t="inlineStr">
        <is>
          <t>Friday</t>
        </is>
      </c>
      <c r="C699" s="5" t="n">
        <v>44927</v>
      </c>
      <c r="D699" s="2" t="inlineStr">
        <is>
          <t>Q4FY23</t>
        </is>
      </c>
      <c r="E699" s="3" t="n">
        <v>2356</v>
      </c>
      <c r="F699" s="8" t="n">
        <v>1.6605</v>
      </c>
      <c r="G699" s="4" t="n">
        <v>207.88</v>
      </c>
      <c r="H699" s="4" t="n">
        <v>459.9557</v>
      </c>
      <c r="I699" s="4" t="n">
        <v>13.96</v>
      </c>
      <c r="J699" s="4" t="n">
        <v>14.185</v>
      </c>
      <c r="K699" s="4" t="n">
        <v>11.6425</v>
      </c>
      <c r="L699" s="4" t="n">
        <v>13.7875</v>
      </c>
      <c r="M699" s="7" t="n">
        <v>-0.0124</v>
      </c>
    </row>
    <row r="700">
      <c r="A700" s="6" t="n">
        <v>44949</v>
      </c>
      <c r="B700" s="2" t="inlineStr">
        <is>
          <t>Monday</t>
        </is>
      </c>
      <c r="C700" s="5" t="n">
        <v>44927</v>
      </c>
      <c r="D700" s="2" t="inlineStr">
        <is>
          <t>Q4FY23</t>
        </is>
      </c>
      <c r="E700" s="3" t="n">
        <v>2393</v>
      </c>
      <c r="F700" s="8" t="n">
        <v>1.5977</v>
      </c>
      <c r="G700" s="4" t="n">
        <v>240.3093</v>
      </c>
      <c r="H700" s="4" t="n">
        <v>422.6687</v>
      </c>
      <c r="I700" s="4" t="n">
        <v>13.7875</v>
      </c>
      <c r="J700" s="4" t="n">
        <v>14.26</v>
      </c>
      <c r="K700" s="4" t="n">
        <v>13.48</v>
      </c>
      <c r="L700" s="4" t="n">
        <v>13.6175</v>
      </c>
      <c r="M700" s="7" t="n">
        <v>-0.0123</v>
      </c>
    </row>
    <row r="701">
      <c r="A701" s="6" t="n">
        <v>44950</v>
      </c>
      <c r="B701" s="2" t="inlineStr">
        <is>
          <t>Tuesday</t>
        </is>
      </c>
      <c r="C701" s="5" t="n">
        <v>44927</v>
      </c>
      <c r="D701" s="2" t="inlineStr">
        <is>
          <t>Q4FY23</t>
        </is>
      </c>
      <c r="E701" s="3" t="n">
        <v>2345</v>
      </c>
      <c r="F701" s="8" t="n">
        <v>1.5992</v>
      </c>
      <c r="G701" s="4" t="n">
        <v>200.0729</v>
      </c>
      <c r="H701" s="4" t="n">
        <v>445.9046</v>
      </c>
      <c r="I701" s="4" t="n">
        <v>13.6175</v>
      </c>
      <c r="J701" s="4" t="n">
        <v>13.81</v>
      </c>
      <c r="K701" s="4" t="n">
        <v>13.3</v>
      </c>
      <c r="L701" s="4" t="n">
        <v>13.6575</v>
      </c>
      <c r="M701" s="7" t="n">
        <v>0.0029</v>
      </c>
    </row>
    <row r="702">
      <c r="A702" s="6" t="n">
        <v>44951</v>
      </c>
      <c r="B702" s="2" t="inlineStr">
        <is>
          <t>Wednesday</t>
        </is>
      </c>
      <c r="C702" s="5" t="n">
        <v>44927</v>
      </c>
      <c r="D702" s="2" t="inlineStr">
        <is>
          <t>Q4FY23</t>
        </is>
      </c>
      <c r="E702" s="3" t="n">
        <v>2343</v>
      </c>
      <c r="F702" s="8" t="n">
        <v>1.893</v>
      </c>
      <c r="G702" s="4" t="n">
        <v>245.7122</v>
      </c>
      <c r="H702" s="4" t="n">
        <v>497.5617</v>
      </c>
      <c r="I702" s="4" t="n">
        <v>13.6575</v>
      </c>
      <c r="J702" s="4" t="n">
        <v>15.4225</v>
      </c>
      <c r="K702" s="4" t="n">
        <v>13.5175</v>
      </c>
      <c r="L702" s="4" t="n">
        <v>14.655</v>
      </c>
      <c r="M702" s="7" t="n">
        <v>0.073</v>
      </c>
    </row>
    <row r="703">
      <c r="A703" s="6" t="n">
        <v>44953</v>
      </c>
      <c r="B703" s="2" t="inlineStr">
        <is>
          <t>Friday</t>
        </is>
      </c>
      <c r="C703" s="5" t="n">
        <v>44927</v>
      </c>
      <c r="D703" s="2" t="inlineStr">
        <is>
          <t>Q4FY23</t>
        </is>
      </c>
      <c r="E703" s="3" t="n">
        <v>2360</v>
      </c>
      <c r="F703" s="8" t="n">
        <v>2.6618</v>
      </c>
      <c r="G703" s="4" t="n">
        <v>314.2592</v>
      </c>
      <c r="H703" s="4" t="n">
        <v>766.7856</v>
      </c>
      <c r="I703" s="4" t="n">
        <v>14.655</v>
      </c>
      <c r="J703" s="4" t="n">
        <v>18.0125</v>
      </c>
      <c r="K703" s="4" t="n">
        <v>14.5825</v>
      </c>
      <c r="L703" s="4" t="n">
        <v>17.32</v>
      </c>
      <c r="M703" s="7" t="n">
        <v>0.1818</v>
      </c>
    </row>
    <row r="704">
      <c r="A704" s="6" t="n">
        <v>44956</v>
      </c>
      <c r="B704" s="2" t="inlineStr">
        <is>
          <t>Monday</t>
        </is>
      </c>
      <c r="C704" s="5" t="n">
        <v>44927</v>
      </c>
      <c r="D704" s="2" t="inlineStr">
        <is>
          <t>Q4FY23</t>
        </is>
      </c>
      <c r="E704" s="3" t="n">
        <v>2389</v>
      </c>
      <c r="F704" s="8" t="n">
        <v>2.5305</v>
      </c>
      <c r="G704" s="4" t="n">
        <v>280.6787</v>
      </c>
      <c r="H704" s="4" t="n">
        <v>704.7354</v>
      </c>
      <c r="I704" s="4" t="n">
        <v>17.32</v>
      </c>
      <c r="J704" s="4" t="n">
        <v>19.39</v>
      </c>
      <c r="K704" s="4" t="n">
        <v>17.29</v>
      </c>
      <c r="L704" s="4" t="n">
        <v>17.71</v>
      </c>
      <c r="M704" s="7" t="n">
        <v>0.0225</v>
      </c>
    </row>
    <row r="705">
      <c r="A705" s="6" t="n">
        <v>44957</v>
      </c>
      <c r="B705" s="2" t="inlineStr">
        <is>
          <t>Tuesday</t>
        </is>
      </c>
      <c r="C705" s="5" t="n">
        <v>44927</v>
      </c>
      <c r="D705" s="2" t="inlineStr">
        <is>
          <t>Q4FY23</t>
        </is>
      </c>
      <c r="E705" s="3" t="n">
        <v>2349</v>
      </c>
      <c r="F705" s="8" t="n">
        <v>2.4101</v>
      </c>
      <c r="G705" s="4" t="n">
        <v>278.1112</v>
      </c>
      <c r="H705" s="4" t="n">
        <v>687.2443</v>
      </c>
      <c r="I705" s="4" t="n">
        <v>17.71</v>
      </c>
      <c r="J705" s="4" t="n">
        <v>18.3675</v>
      </c>
      <c r="K705" s="4" t="n">
        <v>16.565</v>
      </c>
      <c r="L705" s="4" t="n">
        <v>16.875</v>
      </c>
      <c r="M705" s="7" t="n">
        <v>-0.0471</v>
      </c>
    </row>
    <row r="706">
      <c r="A706" s="6" t="n">
        <v>44958</v>
      </c>
      <c r="B706" s="2" t="inlineStr">
        <is>
          <t>Wednesday</t>
        </is>
      </c>
      <c r="C706" s="5" t="n">
        <v>44958</v>
      </c>
      <c r="D706" s="2" t="inlineStr">
        <is>
          <t>Q4FY23</t>
        </is>
      </c>
      <c r="E706" s="3" t="n">
        <v>2335</v>
      </c>
      <c r="F706" s="8" t="n">
        <v>2.769</v>
      </c>
      <c r="G706" s="4" t="n">
        <v>343.9612</v>
      </c>
      <c r="H706" s="4" t="n">
        <v>816.0814</v>
      </c>
      <c r="I706" s="4" t="n">
        <v>16.875</v>
      </c>
      <c r="J706" s="4" t="n">
        <v>18.54</v>
      </c>
      <c r="K706" s="4" t="n">
        <v>14.8475</v>
      </c>
      <c r="L706" s="4" t="n">
        <v>16.78</v>
      </c>
      <c r="M706" s="7" t="n">
        <v>-0.0056</v>
      </c>
    </row>
    <row r="707">
      <c r="A707" s="6" t="n">
        <v>44959</v>
      </c>
      <c r="B707" s="2" t="inlineStr">
        <is>
          <t>Thursday</t>
        </is>
      </c>
      <c r="C707" s="5" t="n">
        <v>44958</v>
      </c>
      <c r="D707" s="2" t="inlineStr">
        <is>
          <t>Q4FY23</t>
        </is>
      </c>
      <c r="E707" s="3" t="n">
        <v>2348</v>
      </c>
      <c r="F707" s="8" t="n">
        <v>2.599</v>
      </c>
      <c r="G707" s="4" t="n">
        <v>257.5717</v>
      </c>
      <c r="H707" s="4" t="n">
        <v>684.1429000000001</v>
      </c>
      <c r="I707" s="4" t="n">
        <v>16.78</v>
      </c>
      <c r="J707" s="4" t="n">
        <v>17.7675</v>
      </c>
      <c r="K707" s="4" t="n">
        <v>15.5075</v>
      </c>
      <c r="L707" s="4" t="n">
        <v>15.7325</v>
      </c>
      <c r="M707" s="7" t="n">
        <v>-0.0624</v>
      </c>
    </row>
    <row r="708">
      <c r="A708" s="6" t="n">
        <v>44960</v>
      </c>
      <c r="B708" s="2" t="inlineStr">
        <is>
          <t>Friday</t>
        </is>
      </c>
      <c r="C708" s="5" t="n">
        <v>44958</v>
      </c>
      <c r="D708" s="2" t="inlineStr">
        <is>
          <t>Q4FY23</t>
        </is>
      </c>
      <c r="E708" s="3" t="n">
        <v>2361</v>
      </c>
      <c r="F708" s="8" t="n">
        <v>2.4488</v>
      </c>
      <c r="G708" s="4" t="n">
        <v>273.5202</v>
      </c>
      <c r="H708" s="4" t="n">
        <v>630.5638</v>
      </c>
      <c r="I708" s="4" t="n">
        <v>15.7325</v>
      </c>
      <c r="J708" s="4" t="n">
        <v>15.7575</v>
      </c>
      <c r="K708" s="4" t="n">
        <v>14.27</v>
      </c>
      <c r="L708" s="4" t="n">
        <v>14.3975</v>
      </c>
      <c r="M708" s="7" t="n">
        <v>-0.0849</v>
      </c>
    </row>
    <row r="709">
      <c r="A709" s="6" t="n">
        <v>44963</v>
      </c>
      <c r="B709" s="2" t="inlineStr">
        <is>
          <t>Monday</t>
        </is>
      </c>
      <c r="C709" s="5" t="n">
        <v>44958</v>
      </c>
      <c r="D709" s="2" t="inlineStr">
        <is>
          <t>Q4FY23</t>
        </is>
      </c>
      <c r="E709" s="3" t="n">
        <v>2377</v>
      </c>
      <c r="F709" s="8" t="n">
        <v>2.0197</v>
      </c>
      <c r="G709" s="4" t="n">
        <v>271.4071</v>
      </c>
      <c r="H709" s="4" t="n">
        <v>480.1242</v>
      </c>
      <c r="I709" s="4" t="n">
        <v>14.3975</v>
      </c>
      <c r="J709" s="4" t="n">
        <v>15.205</v>
      </c>
      <c r="K709" s="4" t="n">
        <v>14.185</v>
      </c>
      <c r="L709" s="4" t="n">
        <v>14.6875</v>
      </c>
      <c r="M709" s="7" t="n">
        <v>0.0201</v>
      </c>
    </row>
    <row r="710">
      <c r="A710" s="6" t="n">
        <v>44964</v>
      </c>
      <c r="B710" s="2" t="inlineStr">
        <is>
          <t>Tuesday</t>
        </is>
      </c>
      <c r="C710" s="5" t="n">
        <v>44958</v>
      </c>
      <c r="D710" s="2" t="inlineStr">
        <is>
          <t>Q4FY23</t>
        </is>
      </c>
      <c r="E710" s="3" t="n">
        <v>2350</v>
      </c>
      <c r="F710" s="8" t="n">
        <v>2.1429</v>
      </c>
      <c r="G710" s="4" t="n">
        <v>230.7008</v>
      </c>
      <c r="H710" s="4" t="n">
        <v>545.1028</v>
      </c>
      <c r="I710" s="4" t="n">
        <v>14.6875</v>
      </c>
      <c r="J710" s="4" t="n">
        <v>14.875</v>
      </c>
      <c r="K710" s="4" t="n">
        <v>13.665</v>
      </c>
      <c r="L710" s="4" t="n">
        <v>14.125</v>
      </c>
      <c r="M710" s="7" t="n">
        <v>-0.0383</v>
      </c>
    </row>
    <row r="711">
      <c r="A711" s="6" t="n">
        <v>44965</v>
      </c>
      <c r="B711" s="2" t="inlineStr">
        <is>
          <t>Wednesday</t>
        </is>
      </c>
      <c r="C711" s="5" t="n">
        <v>44958</v>
      </c>
      <c r="D711" s="2" t="inlineStr">
        <is>
          <t>Q4FY23</t>
        </is>
      </c>
      <c r="E711" s="3" t="n">
        <v>2335</v>
      </c>
      <c r="F711" s="8" t="n">
        <v>1.9679</v>
      </c>
      <c r="G711" s="4" t="n">
        <v>227.1599</v>
      </c>
      <c r="H711" s="4" t="n">
        <v>527.3833</v>
      </c>
      <c r="I711" s="4" t="n">
        <v>14.125</v>
      </c>
      <c r="J711" s="4" t="n">
        <v>14.2475</v>
      </c>
      <c r="K711" s="4" t="n">
        <v>13.535</v>
      </c>
      <c r="L711" s="4" t="n">
        <v>13.595</v>
      </c>
      <c r="M711" s="7" t="n">
        <v>-0.0375</v>
      </c>
    </row>
    <row r="712">
      <c r="A712" s="6" t="n">
        <v>44966</v>
      </c>
      <c r="B712" s="2" t="inlineStr">
        <is>
          <t>Thursday</t>
        </is>
      </c>
      <c r="C712" s="5" t="n">
        <v>44958</v>
      </c>
      <c r="D712" s="2" t="inlineStr">
        <is>
          <t>Q4FY23</t>
        </is>
      </c>
      <c r="E712" s="3" t="n">
        <v>2346</v>
      </c>
      <c r="F712" s="8" t="n">
        <v>1.8493</v>
      </c>
      <c r="G712" s="4" t="n">
        <v>202.6904</v>
      </c>
      <c r="H712" s="4" t="n">
        <v>501.4914</v>
      </c>
      <c r="I712" s="4" t="n">
        <v>13.595</v>
      </c>
      <c r="J712" s="4" t="n">
        <v>13.815</v>
      </c>
      <c r="K712" s="4" t="n">
        <v>12.0625</v>
      </c>
      <c r="L712" s="4" t="n">
        <v>13.04</v>
      </c>
      <c r="M712" s="7" t="n">
        <v>-0.0408</v>
      </c>
    </row>
    <row r="713">
      <c r="A713" s="6" t="n">
        <v>44967</v>
      </c>
      <c r="B713" s="2" t="inlineStr">
        <is>
          <t>Friday</t>
        </is>
      </c>
      <c r="C713" s="5" t="n">
        <v>44958</v>
      </c>
      <c r="D713" s="2" t="inlineStr">
        <is>
          <t>Q4FY23</t>
        </is>
      </c>
      <c r="E713" s="3" t="n">
        <v>2329</v>
      </c>
      <c r="F713" s="8" t="n">
        <v>1.8309</v>
      </c>
      <c r="G713" s="4" t="n">
        <v>207.4652</v>
      </c>
      <c r="H713" s="4" t="n">
        <v>462.5152</v>
      </c>
      <c r="I713" s="4" t="n">
        <v>13.04</v>
      </c>
      <c r="J713" s="4" t="n">
        <v>13.2775</v>
      </c>
      <c r="K713" s="4" t="n">
        <v>12.2075</v>
      </c>
      <c r="L713" s="4" t="n">
        <v>12.745</v>
      </c>
      <c r="M713" s="7" t="n">
        <v>-0.0226</v>
      </c>
    </row>
    <row r="714">
      <c r="A714" s="6" t="n">
        <v>44970</v>
      </c>
      <c r="B714" s="2" t="inlineStr">
        <is>
          <t>Monday</t>
        </is>
      </c>
      <c r="C714" s="5" t="n">
        <v>44958</v>
      </c>
      <c r="D714" s="2" t="inlineStr">
        <is>
          <t>Q4FY23</t>
        </is>
      </c>
      <c r="E714" s="3" t="n">
        <v>2369</v>
      </c>
      <c r="F714" s="8" t="n">
        <v>1.8089</v>
      </c>
      <c r="G714" s="4" t="n">
        <v>188.4145</v>
      </c>
      <c r="H714" s="4" t="n">
        <v>458.4009</v>
      </c>
      <c r="I714" s="4" t="n">
        <v>12.745</v>
      </c>
      <c r="J714" s="4" t="n">
        <v>14.095</v>
      </c>
      <c r="K714" s="4" t="n">
        <v>11.83</v>
      </c>
      <c r="L714" s="4" t="n">
        <v>13.68</v>
      </c>
      <c r="M714" s="7" t="n">
        <v>0.07340000000000001</v>
      </c>
    </row>
    <row r="715">
      <c r="A715" s="6" t="n">
        <v>44971</v>
      </c>
      <c r="B715" s="2" t="inlineStr">
        <is>
          <t>Tuesday</t>
        </is>
      </c>
      <c r="C715" s="5" t="n">
        <v>44958</v>
      </c>
      <c r="D715" s="2" t="inlineStr">
        <is>
          <t>Q4FY23</t>
        </is>
      </c>
      <c r="E715" s="3" t="n">
        <v>2336</v>
      </c>
      <c r="F715" s="8" t="n">
        <v>1.7953</v>
      </c>
      <c r="G715" s="4" t="n">
        <v>193.8728</v>
      </c>
      <c r="H715" s="4" t="n">
        <v>446.2498</v>
      </c>
      <c r="I715" s="4" t="n">
        <v>13.68</v>
      </c>
      <c r="J715" s="4" t="n">
        <v>13.68</v>
      </c>
      <c r="K715" s="4" t="n">
        <v>12.4525</v>
      </c>
      <c r="L715" s="4" t="n">
        <v>13.4525</v>
      </c>
      <c r="M715" s="7" t="n">
        <v>-0.0166</v>
      </c>
    </row>
    <row r="716">
      <c r="A716" s="6" t="n">
        <v>44972</v>
      </c>
      <c r="B716" s="2" t="inlineStr">
        <is>
          <t>Wednesday</t>
        </is>
      </c>
      <c r="C716" s="5" t="n">
        <v>44958</v>
      </c>
      <c r="D716" s="2" t="inlineStr">
        <is>
          <t>Q4FY23</t>
        </is>
      </c>
      <c r="E716" s="3" t="n">
        <v>2336</v>
      </c>
      <c r="F716" s="8" t="n">
        <v>1.6724</v>
      </c>
      <c r="G716" s="4" t="n">
        <v>177.2515</v>
      </c>
      <c r="H716" s="4" t="n">
        <v>450.6555</v>
      </c>
      <c r="I716" s="4" t="n">
        <v>13.4525</v>
      </c>
      <c r="J716" s="4" t="n">
        <v>13.4525</v>
      </c>
      <c r="K716" s="4" t="n">
        <v>11.28</v>
      </c>
      <c r="L716" s="4" t="n">
        <v>12.86</v>
      </c>
      <c r="M716" s="7" t="n">
        <v>-0.044</v>
      </c>
    </row>
    <row r="717">
      <c r="A717" s="6" t="n">
        <v>44973</v>
      </c>
      <c r="B717" s="2" t="inlineStr">
        <is>
          <t>Thursday</t>
        </is>
      </c>
      <c r="C717" s="5" t="n">
        <v>44958</v>
      </c>
      <c r="D717" s="2" t="inlineStr">
        <is>
          <t>Q4FY23</t>
        </is>
      </c>
      <c r="E717" s="3" t="n">
        <v>2347</v>
      </c>
      <c r="F717" s="8" t="n">
        <v>1.864</v>
      </c>
      <c r="G717" s="4" t="n">
        <v>177.0445</v>
      </c>
      <c r="H717" s="4" t="n">
        <v>486.6858</v>
      </c>
      <c r="I717" s="4" t="n">
        <v>12.86</v>
      </c>
      <c r="J717" s="4" t="n">
        <v>13.1625</v>
      </c>
      <c r="K717" s="4" t="n">
        <v>10.1725</v>
      </c>
      <c r="L717" s="4" t="n">
        <v>12.89</v>
      </c>
      <c r="M717" s="7" t="n">
        <v>0.0023</v>
      </c>
    </row>
    <row r="718">
      <c r="A718" s="6" t="n">
        <v>44974</v>
      </c>
      <c r="B718" s="2" t="inlineStr">
        <is>
          <t>Friday</t>
        </is>
      </c>
      <c r="C718" s="5" t="n">
        <v>44958</v>
      </c>
      <c r="D718" s="2" t="inlineStr">
        <is>
          <t>Q4FY23</t>
        </is>
      </c>
      <c r="E718" s="3" t="n">
        <v>2344</v>
      </c>
      <c r="F718" s="8" t="n">
        <v>1.601</v>
      </c>
      <c r="G718" s="4" t="n">
        <v>165.4693</v>
      </c>
      <c r="H718" s="4" t="n">
        <v>415.3229</v>
      </c>
      <c r="I718" s="4" t="n">
        <v>12.89</v>
      </c>
      <c r="J718" s="4" t="n">
        <v>13.52</v>
      </c>
      <c r="K718" s="4" t="n">
        <v>10.8025</v>
      </c>
      <c r="L718" s="4" t="n">
        <v>13.085</v>
      </c>
      <c r="M718" s="7" t="n">
        <v>0.0151</v>
      </c>
    </row>
    <row r="719">
      <c r="A719" s="6" t="n">
        <v>44977</v>
      </c>
      <c r="B719" s="2" t="inlineStr">
        <is>
          <t>Monday</t>
        </is>
      </c>
      <c r="C719" s="5" t="n">
        <v>44958</v>
      </c>
      <c r="D719" s="2" t="inlineStr">
        <is>
          <t>Q4FY23</t>
        </is>
      </c>
      <c r="E719" s="3" t="n">
        <v>2374</v>
      </c>
      <c r="F719" s="8" t="n">
        <v>1.6123</v>
      </c>
      <c r="G719" s="4" t="n">
        <v>198.6523</v>
      </c>
      <c r="H719" s="4" t="n">
        <v>394.6691</v>
      </c>
      <c r="I719" s="4" t="n">
        <v>13.085</v>
      </c>
      <c r="J719" s="4" t="n">
        <v>13.7075</v>
      </c>
      <c r="K719" s="4" t="n">
        <v>10.9225</v>
      </c>
      <c r="L719" s="4" t="n">
        <v>13.3825</v>
      </c>
      <c r="M719" s="7" t="n">
        <v>0.0227</v>
      </c>
    </row>
    <row r="720">
      <c r="A720" s="6" t="n">
        <v>44978</v>
      </c>
      <c r="B720" s="2" t="inlineStr">
        <is>
          <t>Tuesday</t>
        </is>
      </c>
      <c r="C720" s="5" t="n">
        <v>44958</v>
      </c>
      <c r="D720" s="2" t="inlineStr">
        <is>
          <t>Q4FY23</t>
        </is>
      </c>
      <c r="E720" s="3" t="n">
        <v>2347</v>
      </c>
      <c r="F720" s="8" t="n">
        <v>1.6473</v>
      </c>
      <c r="G720" s="4" t="n">
        <v>186.235</v>
      </c>
      <c r="H720" s="4" t="n">
        <v>397.5399</v>
      </c>
      <c r="I720" s="4" t="n">
        <v>13.3825</v>
      </c>
      <c r="J720" s="4" t="n">
        <v>14.295</v>
      </c>
      <c r="K720" s="4" t="n">
        <v>13.3825</v>
      </c>
      <c r="L720" s="4" t="n">
        <v>14.0075</v>
      </c>
      <c r="M720" s="7" t="n">
        <v>0.0467</v>
      </c>
    </row>
    <row r="721">
      <c r="A721" s="6" t="n">
        <v>44979</v>
      </c>
      <c r="B721" s="2" t="inlineStr">
        <is>
          <t>Wednesday</t>
        </is>
      </c>
      <c r="C721" s="5" t="n">
        <v>44958</v>
      </c>
      <c r="D721" s="2" t="inlineStr">
        <is>
          <t>Q4FY23</t>
        </is>
      </c>
      <c r="E721" s="3" t="n">
        <v>2358</v>
      </c>
      <c r="F721" s="8" t="n">
        <v>1.758</v>
      </c>
      <c r="G721" s="4" t="n">
        <v>202.2829</v>
      </c>
      <c r="H721" s="4" t="n">
        <v>417.8843</v>
      </c>
      <c r="I721" s="4" t="n">
        <v>14.0075</v>
      </c>
      <c r="J721" s="4" t="n">
        <v>15.915</v>
      </c>
      <c r="K721" s="4" t="n">
        <v>12.3775</v>
      </c>
      <c r="L721" s="4" t="n">
        <v>15.5875</v>
      </c>
      <c r="M721" s="7" t="n">
        <v>0.1128</v>
      </c>
    </row>
    <row r="722">
      <c r="A722" s="6" t="n">
        <v>44980</v>
      </c>
      <c r="B722" s="2" t="inlineStr">
        <is>
          <t>Thursday</t>
        </is>
      </c>
      <c r="C722" s="5" t="n">
        <v>44958</v>
      </c>
      <c r="D722" s="2" t="inlineStr">
        <is>
          <t>Q4FY23</t>
        </is>
      </c>
      <c r="E722" s="3" t="n">
        <v>2326</v>
      </c>
      <c r="F722" s="8" t="n">
        <v>1.7711</v>
      </c>
      <c r="G722" s="4" t="n">
        <v>221.5839</v>
      </c>
      <c r="H722" s="4" t="n">
        <v>450.4704</v>
      </c>
      <c r="I722" s="4" t="n">
        <v>15.5875</v>
      </c>
      <c r="J722" s="4" t="n">
        <v>16.01</v>
      </c>
      <c r="K722" s="4" t="n">
        <v>14.5175</v>
      </c>
      <c r="L722" s="4" t="n">
        <v>15.075</v>
      </c>
      <c r="M722" s="7" t="n">
        <v>-0.0329</v>
      </c>
    </row>
    <row r="723">
      <c r="A723" s="6" t="n">
        <v>44981</v>
      </c>
      <c r="B723" s="2" t="inlineStr">
        <is>
          <t>Friday</t>
        </is>
      </c>
      <c r="C723" s="5" t="n">
        <v>44958</v>
      </c>
      <c r="D723" s="2" t="inlineStr">
        <is>
          <t>Q4FY23</t>
        </is>
      </c>
      <c r="E723" s="3" t="n">
        <v>2351</v>
      </c>
      <c r="F723" s="8" t="n">
        <v>1.6741</v>
      </c>
      <c r="G723" s="4" t="n">
        <v>195.6211</v>
      </c>
      <c r="H723" s="4" t="n">
        <v>396.9123</v>
      </c>
      <c r="I723" s="4" t="n">
        <v>15.075</v>
      </c>
      <c r="J723" s="4" t="n">
        <v>15.1425</v>
      </c>
      <c r="K723" s="4" t="n">
        <v>14.0075</v>
      </c>
      <c r="L723" s="4" t="n">
        <v>14.185</v>
      </c>
      <c r="M723" s="7" t="n">
        <v>-0.059</v>
      </c>
    </row>
    <row r="724">
      <c r="A724" s="6" t="n">
        <v>44984</v>
      </c>
      <c r="B724" s="2" t="inlineStr">
        <is>
          <t>Monday</t>
        </is>
      </c>
      <c r="C724" s="5" t="n">
        <v>44958</v>
      </c>
      <c r="D724" s="2" t="inlineStr">
        <is>
          <t>Q4FY23</t>
        </is>
      </c>
      <c r="E724" s="3" t="n">
        <v>2408</v>
      </c>
      <c r="F724" s="8" t="n">
        <v>1.7565</v>
      </c>
      <c r="G724" s="4" t="n">
        <v>183.2397</v>
      </c>
      <c r="H724" s="4" t="n">
        <v>403.2682</v>
      </c>
      <c r="I724" s="4" t="n">
        <v>14.185</v>
      </c>
      <c r="J724" s="4" t="n">
        <v>15.0975</v>
      </c>
      <c r="K724" s="4" t="n">
        <v>13.75</v>
      </c>
      <c r="L724" s="4" t="n">
        <v>13.875</v>
      </c>
      <c r="M724" s="7" t="n">
        <v>-0.0219</v>
      </c>
    </row>
    <row r="725">
      <c r="A725" s="6" t="n">
        <v>44985</v>
      </c>
      <c r="B725" s="2" t="inlineStr">
        <is>
          <t>Tuesday</t>
        </is>
      </c>
      <c r="C725" s="5" t="n">
        <v>44958</v>
      </c>
      <c r="D725" s="2" t="inlineStr">
        <is>
          <t>Q4FY23</t>
        </is>
      </c>
      <c r="E725" s="3" t="n">
        <v>2363</v>
      </c>
      <c r="F725" s="8" t="n">
        <v>1.9537</v>
      </c>
      <c r="G725" s="4" t="n">
        <v>252.3364</v>
      </c>
      <c r="H725" s="4" t="n">
        <v>684.5048</v>
      </c>
      <c r="I725" s="4" t="n">
        <v>13.875</v>
      </c>
      <c r="J725" s="4" t="n">
        <v>14.5675</v>
      </c>
      <c r="K725" s="4" t="n">
        <v>13.5</v>
      </c>
      <c r="L725" s="4" t="n">
        <v>14.02</v>
      </c>
      <c r="M725" s="7" t="n">
        <v>0.0105</v>
      </c>
    </row>
    <row r="726">
      <c r="A726" s="6" t="n">
        <v>44986</v>
      </c>
      <c r="B726" s="2" t="inlineStr">
        <is>
          <t>Wednesday</t>
        </is>
      </c>
      <c r="C726" s="5" t="n">
        <v>44986</v>
      </c>
      <c r="D726" s="2" t="inlineStr">
        <is>
          <t>Q4FY23</t>
        </is>
      </c>
      <c r="E726" s="3" t="n">
        <v>2359</v>
      </c>
      <c r="F726" s="8" t="n">
        <v>1.8102</v>
      </c>
      <c r="G726" s="4" t="n">
        <v>217.7302</v>
      </c>
      <c r="H726" s="4" t="n">
        <v>437.1951</v>
      </c>
      <c r="I726" s="4" t="n">
        <v>14.02</v>
      </c>
      <c r="J726" s="4" t="n">
        <v>14.02</v>
      </c>
      <c r="K726" s="4" t="n">
        <v>12.275</v>
      </c>
      <c r="L726" s="4" t="n">
        <v>12.995</v>
      </c>
      <c r="M726" s="7" t="n">
        <v>-0.0731</v>
      </c>
    </row>
    <row r="727">
      <c r="A727" s="6" t="n">
        <v>44987</v>
      </c>
      <c r="B727" s="2" t="inlineStr">
        <is>
          <t>Thursday</t>
        </is>
      </c>
      <c r="C727" s="5" t="n">
        <v>44986</v>
      </c>
      <c r="D727" s="2" t="inlineStr">
        <is>
          <t>Q4FY23</t>
        </is>
      </c>
      <c r="E727" s="3" t="n">
        <v>2364</v>
      </c>
      <c r="F727" s="8" t="n">
        <v>1.6616</v>
      </c>
      <c r="G727" s="4" t="n">
        <v>220.7341</v>
      </c>
      <c r="H727" s="4" t="n">
        <v>538.9749</v>
      </c>
      <c r="I727" s="4" t="n">
        <v>12.995</v>
      </c>
      <c r="J727" s="4" t="n">
        <v>13.55</v>
      </c>
      <c r="K727" s="4" t="n">
        <v>11.1</v>
      </c>
      <c r="L727" s="4" t="n">
        <v>12.97</v>
      </c>
      <c r="M727" s="7" t="n">
        <v>-0.0019</v>
      </c>
    </row>
    <row r="728">
      <c r="A728" s="6" t="n">
        <v>44988</v>
      </c>
      <c r="B728" s="2" t="inlineStr">
        <is>
          <t>Friday</t>
        </is>
      </c>
      <c r="C728" s="5" t="n">
        <v>44986</v>
      </c>
      <c r="D728" s="2" t="inlineStr">
        <is>
          <t>Q4FY23</t>
        </is>
      </c>
      <c r="E728" s="3" t="n">
        <v>2379</v>
      </c>
      <c r="F728" s="8" t="n">
        <v>1.7805</v>
      </c>
      <c r="G728" s="4" t="n">
        <v>254.4625</v>
      </c>
      <c r="H728" s="4" t="n">
        <v>511.6665</v>
      </c>
      <c r="I728" s="4" t="n">
        <v>12.97</v>
      </c>
      <c r="J728" s="4" t="n">
        <v>12.97</v>
      </c>
      <c r="K728" s="4" t="n">
        <v>11.98</v>
      </c>
      <c r="L728" s="4" t="n">
        <v>12.18</v>
      </c>
      <c r="M728" s="7" t="n">
        <v>-0.0609</v>
      </c>
    </row>
    <row r="729">
      <c r="A729" s="6" t="n">
        <v>44991</v>
      </c>
      <c r="B729" s="2" t="inlineStr">
        <is>
          <t>Monday</t>
        </is>
      </c>
      <c r="C729" s="5" t="n">
        <v>44986</v>
      </c>
      <c r="D729" s="2" t="inlineStr">
        <is>
          <t>Q4FY23</t>
        </is>
      </c>
      <c r="E729" s="3" t="n">
        <v>2414</v>
      </c>
      <c r="F729" s="8" t="n">
        <v>1.867</v>
      </c>
      <c r="G729" s="4" t="n">
        <v>224.2425</v>
      </c>
      <c r="H729" s="4" t="n">
        <v>522.5121</v>
      </c>
      <c r="I729" s="4" t="n">
        <v>12.18</v>
      </c>
      <c r="J729" s="4" t="n">
        <v>12.4725</v>
      </c>
      <c r="K729" s="4" t="n">
        <v>11.8375</v>
      </c>
      <c r="L729" s="4" t="n">
        <v>12.2675</v>
      </c>
      <c r="M729" s="7" t="n">
        <v>0.0072</v>
      </c>
    </row>
    <row r="730">
      <c r="A730" s="6" t="n">
        <v>44993</v>
      </c>
      <c r="B730" s="2" t="inlineStr">
        <is>
          <t>Wednesday</t>
        </is>
      </c>
      <c r="C730" s="5" t="n">
        <v>44986</v>
      </c>
      <c r="D730" s="2" t="inlineStr">
        <is>
          <t>Q4FY23</t>
        </is>
      </c>
      <c r="E730" s="3" t="n">
        <v>2378</v>
      </c>
      <c r="F730" s="8" t="n">
        <v>1.8255</v>
      </c>
      <c r="G730" s="4" t="n">
        <v>213.1714</v>
      </c>
      <c r="H730" s="4" t="n">
        <v>510.6651</v>
      </c>
      <c r="I730" s="4" t="n">
        <v>12.2675</v>
      </c>
      <c r="J730" s="4" t="n">
        <v>12.8475</v>
      </c>
      <c r="K730" s="4" t="n">
        <v>11.8975</v>
      </c>
      <c r="L730" s="4" t="n">
        <v>12.45</v>
      </c>
      <c r="M730" s="7" t="n">
        <v>0.0149</v>
      </c>
    </row>
    <row r="731">
      <c r="A731" s="6" t="n">
        <v>44994</v>
      </c>
      <c r="B731" s="2" t="inlineStr">
        <is>
          <t>Thursday</t>
        </is>
      </c>
      <c r="C731" s="5" t="n">
        <v>44986</v>
      </c>
      <c r="D731" s="2" t="inlineStr">
        <is>
          <t>Q4FY23</t>
        </is>
      </c>
      <c r="E731" s="3" t="n">
        <v>2383</v>
      </c>
      <c r="F731" s="8" t="n">
        <v>1.7329</v>
      </c>
      <c r="G731" s="4" t="n">
        <v>206.3068</v>
      </c>
      <c r="H731" s="4" t="n">
        <v>478.8507</v>
      </c>
      <c r="I731" s="4" t="n">
        <v>12.45</v>
      </c>
      <c r="J731" s="4" t="n">
        <v>12.8425</v>
      </c>
      <c r="K731" s="4" t="n">
        <v>11.78</v>
      </c>
      <c r="L731" s="4" t="n">
        <v>12.725</v>
      </c>
      <c r="M731" s="7" t="n">
        <v>0.0221</v>
      </c>
    </row>
    <row r="732">
      <c r="A732" s="6" t="n">
        <v>44995</v>
      </c>
      <c r="B732" s="2" t="inlineStr">
        <is>
          <t>Friday</t>
        </is>
      </c>
      <c r="C732" s="5" t="n">
        <v>44986</v>
      </c>
      <c r="D732" s="2" t="inlineStr">
        <is>
          <t>Q4FY23</t>
        </is>
      </c>
      <c r="E732" s="3" t="n">
        <v>2349</v>
      </c>
      <c r="F732" s="8" t="n">
        <v>1.7431</v>
      </c>
      <c r="G732" s="4" t="n">
        <v>198.0557</v>
      </c>
      <c r="H732" s="4" t="n">
        <v>440.3542</v>
      </c>
      <c r="I732" s="4" t="n">
        <v>12.725</v>
      </c>
      <c r="J732" s="4" t="n">
        <v>13.8175</v>
      </c>
      <c r="K732" s="4" t="n">
        <v>12.725</v>
      </c>
      <c r="L732" s="4" t="n">
        <v>13.4125</v>
      </c>
      <c r="M732" s="7" t="n">
        <v>0.054</v>
      </c>
    </row>
    <row r="733">
      <c r="A733" s="6" t="n">
        <v>44998</v>
      </c>
      <c r="B733" s="2" t="inlineStr">
        <is>
          <t>Monday</t>
        </is>
      </c>
      <c r="C733" s="5" t="n">
        <v>44986</v>
      </c>
      <c r="D733" s="2" t="inlineStr">
        <is>
          <t>Q4FY23</t>
        </is>
      </c>
      <c r="E733" s="3" t="n">
        <v>2407</v>
      </c>
      <c r="F733" s="8" t="n">
        <v>1.9111</v>
      </c>
      <c r="G733" s="4" t="n">
        <v>245.593</v>
      </c>
      <c r="H733" s="4" t="n">
        <v>486.3903</v>
      </c>
      <c r="I733" s="4" t="n">
        <v>13.4125</v>
      </c>
      <c r="J733" s="4" t="n">
        <v>16.4275</v>
      </c>
      <c r="K733" s="4" t="n">
        <v>13.4125</v>
      </c>
      <c r="L733" s="4" t="n">
        <v>16.215</v>
      </c>
      <c r="M733" s="7" t="n">
        <v>0.2089</v>
      </c>
    </row>
    <row r="734">
      <c r="A734" s="6" t="n">
        <v>44999</v>
      </c>
      <c r="B734" s="2" t="inlineStr">
        <is>
          <t>Tuesday</t>
        </is>
      </c>
      <c r="C734" s="5" t="n">
        <v>44986</v>
      </c>
      <c r="D734" s="2" t="inlineStr">
        <is>
          <t>Q4FY23</t>
        </is>
      </c>
      <c r="E734" s="3" t="n">
        <v>2400</v>
      </c>
      <c r="F734" s="8" t="n">
        <v>1.9337</v>
      </c>
      <c r="G734" s="4" t="n">
        <v>218.9527</v>
      </c>
      <c r="H734" s="4" t="n">
        <v>521.9965</v>
      </c>
      <c r="I734" s="4" t="n">
        <v>16.215</v>
      </c>
      <c r="J734" s="4" t="n">
        <v>16.6425</v>
      </c>
      <c r="K734" s="4" t="n">
        <v>15.0025</v>
      </c>
      <c r="L734" s="4" t="n">
        <v>16.2175</v>
      </c>
      <c r="M734" s="7" t="n">
        <v>0.0002</v>
      </c>
    </row>
    <row r="735">
      <c r="A735" s="6" t="n">
        <v>45000</v>
      </c>
      <c r="B735" s="2" t="inlineStr">
        <is>
          <t>Wednesday</t>
        </is>
      </c>
      <c r="C735" s="5" t="n">
        <v>44986</v>
      </c>
      <c r="D735" s="2" t="inlineStr">
        <is>
          <t>Q4FY23</t>
        </is>
      </c>
      <c r="E735" s="3" t="n">
        <v>2357</v>
      </c>
      <c r="F735" s="8" t="n">
        <v>1.8192</v>
      </c>
      <c r="G735" s="4" t="n">
        <v>197.1906</v>
      </c>
      <c r="H735" s="4" t="n">
        <v>467.6951</v>
      </c>
      <c r="I735" s="4" t="n">
        <v>16.2175</v>
      </c>
      <c r="J735" s="4" t="n">
        <v>16.505</v>
      </c>
      <c r="K735" s="4" t="n">
        <v>14.5175</v>
      </c>
      <c r="L735" s="4" t="n">
        <v>16.295</v>
      </c>
      <c r="M735" s="7" t="n">
        <v>0.0048</v>
      </c>
    </row>
    <row r="736">
      <c r="A736" s="6" t="n">
        <v>45001</v>
      </c>
      <c r="B736" s="2" t="inlineStr">
        <is>
          <t>Thursday</t>
        </is>
      </c>
      <c r="C736" s="5" t="n">
        <v>44986</v>
      </c>
      <c r="D736" s="2" t="inlineStr">
        <is>
          <t>Q4FY23</t>
        </is>
      </c>
      <c r="E736" s="3" t="n">
        <v>2388</v>
      </c>
      <c r="F736" s="8" t="n">
        <v>2.0934</v>
      </c>
      <c r="G736" s="4" t="n">
        <v>273.7961</v>
      </c>
      <c r="H736" s="4" t="n">
        <v>526.9355</v>
      </c>
      <c r="I736" s="4" t="n">
        <v>16.295</v>
      </c>
      <c r="J736" s="4" t="n">
        <v>17.355</v>
      </c>
      <c r="K736" s="4" t="n">
        <v>13.95</v>
      </c>
      <c r="L736" s="4" t="n">
        <v>16.2175</v>
      </c>
      <c r="M736" s="7" t="n">
        <v>-0.0048</v>
      </c>
    </row>
    <row r="737">
      <c r="A737" s="6" t="n">
        <v>45002</v>
      </c>
      <c r="B737" s="2" t="inlineStr">
        <is>
          <t>Friday</t>
        </is>
      </c>
      <c r="C737" s="5" t="n">
        <v>44986</v>
      </c>
      <c r="D737" s="2" t="inlineStr">
        <is>
          <t>Q4FY23</t>
        </is>
      </c>
      <c r="E737" s="3" t="n">
        <v>2374</v>
      </c>
      <c r="F737" s="8" t="n">
        <v>1.8699</v>
      </c>
      <c r="G737" s="4" t="n">
        <v>297.2592</v>
      </c>
      <c r="H737" s="4" t="n">
        <v>651.7916</v>
      </c>
      <c r="I737" s="4" t="n">
        <v>16.2175</v>
      </c>
      <c r="J737" s="4" t="n">
        <v>16.2175</v>
      </c>
      <c r="K737" s="4" t="n">
        <v>14.6</v>
      </c>
      <c r="L737" s="4" t="n">
        <v>14.7675</v>
      </c>
      <c r="M737" s="7" t="n">
        <v>-0.08939999999999999</v>
      </c>
    </row>
    <row r="738">
      <c r="A738" s="6" t="n">
        <v>45005</v>
      </c>
      <c r="B738" s="2" t="inlineStr">
        <is>
          <t>Monday</t>
        </is>
      </c>
      <c r="C738" s="5" t="n">
        <v>44986</v>
      </c>
      <c r="D738" s="2" t="inlineStr">
        <is>
          <t>Q4FY23</t>
        </is>
      </c>
      <c r="E738" s="3" t="n">
        <v>2398</v>
      </c>
      <c r="F738" s="8" t="n">
        <v>1.8947</v>
      </c>
      <c r="G738" s="4" t="n">
        <v>224.6121</v>
      </c>
      <c r="H738" s="4" t="n">
        <v>470.7451</v>
      </c>
      <c r="I738" s="4" t="n">
        <v>14.7675</v>
      </c>
      <c r="J738" s="4" t="n">
        <v>17.22</v>
      </c>
      <c r="K738" s="4" t="n">
        <v>14.52</v>
      </c>
      <c r="L738" s="4" t="n">
        <v>16.0075</v>
      </c>
      <c r="M738" s="7" t="n">
        <v>0.08400000000000001</v>
      </c>
    </row>
    <row r="739">
      <c r="A739" s="6" t="n">
        <v>45006</v>
      </c>
      <c r="B739" s="2" t="inlineStr">
        <is>
          <t>Tuesday</t>
        </is>
      </c>
      <c r="C739" s="5" t="n">
        <v>44986</v>
      </c>
      <c r="D739" s="2" t="inlineStr">
        <is>
          <t>Q4FY23</t>
        </is>
      </c>
      <c r="E739" s="3" t="n">
        <v>2372</v>
      </c>
      <c r="F739" s="8" t="n">
        <v>1.6493</v>
      </c>
      <c r="G739" s="4" t="n">
        <v>194.2844</v>
      </c>
      <c r="H739" s="4" t="n">
        <v>452.2961</v>
      </c>
      <c r="I739" s="4" t="n">
        <v>16.0075</v>
      </c>
      <c r="J739" s="4" t="n">
        <v>16.035</v>
      </c>
      <c r="K739" s="4" t="n">
        <v>14.0825</v>
      </c>
      <c r="L739" s="4" t="n">
        <v>15.0825</v>
      </c>
      <c r="M739" s="7" t="n">
        <v>-0.0578</v>
      </c>
    </row>
    <row r="740">
      <c r="A740" s="6" t="n">
        <v>45007</v>
      </c>
      <c r="B740" s="2" t="inlineStr">
        <is>
          <t>Wednesday</t>
        </is>
      </c>
      <c r="C740" s="5" t="n">
        <v>44986</v>
      </c>
      <c r="D740" s="2" t="inlineStr">
        <is>
          <t>Q4FY23</t>
        </is>
      </c>
      <c r="E740" s="3" t="n">
        <v>2352</v>
      </c>
      <c r="F740" s="8" t="n">
        <v>1.4497</v>
      </c>
      <c r="G740" s="4" t="n">
        <v>184.6564</v>
      </c>
      <c r="H740" s="4" t="n">
        <v>377.9089</v>
      </c>
      <c r="I740" s="4" t="n">
        <v>15.0825</v>
      </c>
      <c r="J740" s="4" t="n">
        <v>15.0925</v>
      </c>
      <c r="K740" s="4" t="n">
        <v>14.2425</v>
      </c>
      <c r="L740" s="4" t="n">
        <v>14.8075</v>
      </c>
      <c r="M740" s="7" t="n">
        <v>-0.0182</v>
      </c>
    </row>
    <row r="741">
      <c r="A741" s="6" t="n">
        <v>45008</v>
      </c>
      <c r="B741" s="2" t="inlineStr">
        <is>
          <t>Thursday</t>
        </is>
      </c>
      <c r="C741" s="5" t="n">
        <v>44986</v>
      </c>
      <c r="D741" s="2" t="inlineStr">
        <is>
          <t>Q4FY23</t>
        </is>
      </c>
      <c r="E741" s="3" t="n">
        <v>2356</v>
      </c>
      <c r="F741" s="8" t="n">
        <v>1.5423</v>
      </c>
      <c r="G741" s="4" t="n">
        <v>181.3586</v>
      </c>
      <c r="H741" s="4" t="n">
        <v>423.5591</v>
      </c>
      <c r="I741" s="4" t="n">
        <v>14.8075</v>
      </c>
      <c r="J741" s="4" t="n">
        <v>15.0575</v>
      </c>
      <c r="K741" s="4" t="n">
        <v>13.9025</v>
      </c>
      <c r="L741" s="4" t="n">
        <v>14.49</v>
      </c>
      <c r="M741" s="7" t="n">
        <v>-0.0214</v>
      </c>
    </row>
    <row r="742">
      <c r="A742" s="6" t="n">
        <v>45009</v>
      </c>
      <c r="B742" s="2" t="inlineStr">
        <is>
          <t>Friday</t>
        </is>
      </c>
      <c r="C742" s="5" t="n">
        <v>44986</v>
      </c>
      <c r="D742" s="2" t="inlineStr">
        <is>
          <t>Q4FY23</t>
        </is>
      </c>
      <c r="E742" s="3" t="n">
        <v>2407</v>
      </c>
      <c r="F742" s="8" t="n">
        <v>1.6645</v>
      </c>
      <c r="G742" s="4" t="n">
        <v>202.198</v>
      </c>
      <c r="H742" s="4" t="n">
        <v>454.9631</v>
      </c>
      <c r="I742" s="4" t="n">
        <v>14.49</v>
      </c>
      <c r="J742" s="4" t="n">
        <v>15.43</v>
      </c>
      <c r="K742" s="4" t="n">
        <v>14.2025</v>
      </c>
      <c r="L742" s="4" t="n">
        <v>15.24</v>
      </c>
      <c r="M742" s="7" t="n">
        <v>0.0518</v>
      </c>
    </row>
    <row r="743">
      <c r="A743" s="6" t="n">
        <v>45012</v>
      </c>
      <c r="B743" s="2" t="inlineStr">
        <is>
          <t>Monday</t>
        </is>
      </c>
      <c r="C743" s="5" t="n">
        <v>44986</v>
      </c>
      <c r="D743" s="2" t="inlineStr">
        <is>
          <t>Q4FY23</t>
        </is>
      </c>
      <c r="E743" s="3" t="n">
        <v>2419</v>
      </c>
      <c r="F743" s="8" t="n">
        <v>1.7266</v>
      </c>
      <c r="G743" s="4" t="n">
        <v>220.3406</v>
      </c>
      <c r="H743" s="4" t="n">
        <v>427.772</v>
      </c>
      <c r="I743" s="4" t="n">
        <v>15.24</v>
      </c>
      <c r="J743" s="4" t="n">
        <v>16.0925</v>
      </c>
      <c r="K743" s="4" t="n">
        <v>15.0975</v>
      </c>
      <c r="L743" s="4" t="n">
        <v>15.445</v>
      </c>
      <c r="M743" s="7" t="n">
        <v>0.0135</v>
      </c>
    </row>
    <row r="744">
      <c r="A744" s="6" t="n">
        <v>45013</v>
      </c>
      <c r="B744" s="2" t="inlineStr">
        <is>
          <t>Tuesday</t>
        </is>
      </c>
      <c r="C744" s="5" t="n">
        <v>44986</v>
      </c>
      <c r="D744" s="2" t="inlineStr">
        <is>
          <t>Q4FY23</t>
        </is>
      </c>
      <c r="E744" s="3" t="n">
        <v>2394</v>
      </c>
      <c r="F744" s="8" t="n">
        <v>1.7209</v>
      </c>
      <c r="G744" s="4" t="n">
        <v>216.4428</v>
      </c>
      <c r="H744" s="4" t="n">
        <v>441.6205</v>
      </c>
      <c r="I744" s="4" t="n">
        <v>15.445</v>
      </c>
      <c r="J744" s="4" t="n">
        <v>15.6075</v>
      </c>
      <c r="K744" s="4" t="n">
        <v>14.865</v>
      </c>
      <c r="L744" s="4" t="n">
        <v>15.1</v>
      </c>
      <c r="M744" s="7" t="n">
        <v>-0.0223</v>
      </c>
    </row>
    <row r="745">
      <c r="A745" s="6" t="n">
        <v>45014</v>
      </c>
      <c r="B745" s="2" t="inlineStr">
        <is>
          <t>Wednesday</t>
        </is>
      </c>
      <c r="C745" s="5" t="n">
        <v>44986</v>
      </c>
      <c r="D745" s="2" t="inlineStr">
        <is>
          <t>Q4FY23</t>
        </is>
      </c>
      <c r="E745" s="3" t="n">
        <v>2387</v>
      </c>
      <c r="F745" s="8" t="n">
        <v>1.9561</v>
      </c>
      <c r="G745" s="4" t="n">
        <v>291.3668</v>
      </c>
      <c r="H745" s="4" t="n">
        <v>584.6281</v>
      </c>
      <c r="I745" s="4" t="n">
        <v>15.1</v>
      </c>
      <c r="J745" s="4" t="n">
        <v>15.1</v>
      </c>
      <c r="K745" s="4" t="n">
        <v>13.32</v>
      </c>
      <c r="L745" s="4" t="n">
        <v>13.6275</v>
      </c>
      <c r="M745" s="7" t="n">
        <v>-0.0975</v>
      </c>
    </row>
    <row r="746">
      <c r="A746" s="6" t="n">
        <v>45016</v>
      </c>
      <c r="B746" s="2" t="inlineStr">
        <is>
          <t>Friday</t>
        </is>
      </c>
      <c r="C746" s="5" t="n">
        <v>44986</v>
      </c>
      <c r="D746" s="2" t="inlineStr">
        <is>
          <t>Q4FY23</t>
        </is>
      </c>
      <c r="E746" s="3" t="n">
        <v>2403</v>
      </c>
      <c r="F746" s="8" t="n">
        <v>2.0517</v>
      </c>
      <c r="G746" s="4" t="n">
        <v>265.0966</v>
      </c>
      <c r="H746" s="4" t="n">
        <v>557.3048</v>
      </c>
      <c r="I746" s="4" t="n">
        <v>13.6275</v>
      </c>
      <c r="J746" s="4" t="n">
        <v>13.6275</v>
      </c>
      <c r="K746" s="4" t="n">
        <v>12.0725</v>
      </c>
      <c r="L746" s="4" t="n">
        <v>12.935</v>
      </c>
      <c r="M746" s="7" t="n">
        <v>-0.0508</v>
      </c>
    </row>
    <row r="747">
      <c r="A747" s="6" t="n">
        <v>45019</v>
      </c>
      <c r="B747" s="2" t="inlineStr">
        <is>
          <t>Monday</t>
        </is>
      </c>
      <c r="C747" s="5" t="n">
        <v>45017</v>
      </c>
      <c r="D747" s="2" t="inlineStr">
        <is>
          <t>Q1FY24</t>
        </is>
      </c>
      <c r="E747" s="3" t="n">
        <v>2403</v>
      </c>
      <c r="F747" s="8" t="n">
        <v>1.6842</v>
      </c>
      <c r="G747" s="4" t="n">
        <v>208.8602</v>
      </c>
      <c r="H747" s="4" t="n">
        <v>448.4741</v>
      </c>
      <c r="I747" s="4" t="n">
        <v>12.935</v>
      </c>
      <c r="J747" s="4" t="n">
        <v>13.49</v>
      </c>
      <c r="K747" s="4" t="n">
        <v>12.465</v>
      </c>
      <c r="L747" s="4" t="n">
        <v>12.585</v>
      </c>
      <c r="M747" s="7" t="n">
        <v>-0.0271</v>
      </c>
    </row>
    <row r="748">
      <c r="A748" s="6" t="n">
        <v>45021</v>
      </c>
      <c r="B748" s="2" t="inlineStr">
        <is>
          <t>Wednesday</t>
        </is>
      </c>
      <c r="C748" s="5" t="n">
        <v>45017</v>
      </c>
      <c r="D748" s="2" t="inlineStr">
        <is>
          <t>Q1FY24</t>
        </is>
      </c>
      <c r="E748" s="3" t="n">
        <v>2390</v>
      </c>
      <c r="F748" s="8" t="n">
        <v>1.7672</v>
      </c>
      <c r="G748" s="4" t="n">
        <v>213.781</v>
      </c>
      <c r="H748" s="4" t="n">
        <v>509.1681</v>
      </c>
      <c r="I748" s="4" t="n">
        <v>12.585</v>
      </c>
      <c r="J748" s="4" t="n">
        <v>12.805</v>
      </c>
      <c r="K748" s="4" t="n">
        <v>12.0525</v>
      </c>
      <c r="L748" s="4" t="n">
        <v>12.4125</v>
      </c>
      <c r="M748" s="7" t="n">
        <v>-0.0137</v>
      </c>
    </row>
    <row r="749">
      <c r="A749" s="6" t="n">
        <v>45022</v>
      </c>
      <c r="B749" s="2" t="inlineStr">
        <is>
          <t>Thursday</t>
        </is>
      </c>
      <c r="C749" s="5" t="n">
        <v>45017</v>
      </c>
      <c r="D749" s="2" t="inlineStr">
        <is>
          <t>Q1FY24</t>
        </is>
      </c>
      <c r="E749" s="3" t="n">
        <v>2391</v>
      </c>
      <c r="F749" s="8" t="n">
        <v>1.6813</v>
      </c>
      <c r="G749" s="4" t="n">
        <v>217.4618</v>
      </c>
      <c r="H749" s="4" t="n">
        <v>512.3185999999999</v>
      </c>
      <c r="I749" s="4" t="n">
        <v>12.4125</v>
      </c>
      <c r="J749" s="4" t="n">
        <v>12.57</v>
      </c>
      <c r="K749" s="4" t="n">
        <v>11.65</v>
      </c>
      <c r="L749" s="4" t="n">
        <v>11.7975</v>
      </c>
      <c r="M749" s="7" t="n">
        <v>-0.0495</v>
      </c>
    </row>
    <row r="750">
      <c r="A750" s="6" t="n">
        <v>45026</v>
      </c>
      <c r="B750" s="2" t="inlineStr">
        <is>
          <t>Monday</t>
        </is>
      </c>
      <c r="C750" s="5" t="n">
        <v>45017</v>
      </c>
      <c r="D750" s="2" t="inlineStr">
        <is>
          <t>Q1FY24</t>
        </is>
      </c>
      <c r="E750" s="3" t="n">
        <v>2416</v>
      </c>
      <c r="F750" s="8" t="n">
        <v>1.5251</v>
      </c>
      <c r="G750" s="4" t="n">
        <v>182.1606</v>
      </c>
      <c r="H750" s="4" t="n">
        <v>452.3153</v>
      </c>
      <c r="I750" s="4" t="n">
        <v>11.7975</v>
      </c>
      <c r="J750" s="4" t="n">
        <v>12.5625</v>
      </c>
      <c r="K750" s="4" t="n">
        <v>11.7975</v>
      </c>
      <c r="L750" s="4" t="n">
        <v>12.2725</v>
      </c>
      <c r="M750" s="7" t="n">
        <v>0.0403</v>
      </c>
    </row>
    <row r="751">
      <c r="A751" s="6" t="n">
        <v>45027</v>
      </c>
      <c r="B751" s="2" t="inlineStr">
        <is>
          <t>Tuesday</t>
        </is>
      </c>
      <c r="C751" s="5" t="n">
        <v>45017</v>
      </c>
      <c r="D751" s="2" t="inlineStr">
        <is>
          <t>Q1FY24</t>
        </is>
      </c>
      <c r="E751" s="3" t="n">
        <v>2375</v>
      </c>
      <c r="F751" s="8" t="n">
        <v>1.644</v>
      </c>
      <c r="G751" s="4" t="n">
        <v>199.2959</v>
      </c>
      <c r="H751" s="4" t="n">
        <v>505.9914</v>
      </c>
      <c r="I751" s="4" t="n">
        <v>12.2725</v>
      </c>
      <c r="J751" s="4" t="n">
        <v>12.2725</v>
      </c>
      <c r="K751" s="4" t="n">
        <v>11.665</v>
      </c>
      <c r="L751" s="4" t="n">
        <v>11.975</v>
      </c>
      <c r="M751" s="7" t="n">
        <v>-0.0242</v>
      </c>
    </row>
    <row r="752">
      <c r="A752" s="6" t="n">
        <v>45028</v>
      </c>
      <c r="B752" s="2" t="inlineStr">
        <is>
          <t>Wednesday</t>
        </is>
      </c>
      <c r="C752" s="5" t="n">
        <v>45017</v>
      </c>
      <c r="D752" s="2" t="inlineStr">
        <is>
          <t>Q1FY24</t>
        </is>
      </c>
      <c r="E752" s="3" t="n">
        <v>2390</v>
      </c>
      <c r="F752" s="8" t="n">
        <v>1.7027</v>
      </c>
      <c r="G752" s="4" t="n">
        <v>195.4993</v>
      </c>
      <c r="H752" s="4" t="n">
        <v>513.1473999999999</v>
      </c>
      <c r="I752" s="4" t="n">
        <v>11.975</v>
      </c>
      <c r="J752" s="4" t="n">
        <v>12.395</v>
      </c>
      <c r="K752" s="4" t="n">
        <v>11.975</v>
      </c>
      <c r="L752" s="4" t="n">
        <v>12.2725</v>
      </c>
      <c r="M752" s="7" t="n">
        <v>0.0248</v>
      </c>
    </row>
    <row r="753">
      <c r="A753" s="6" t="n">
        <v>45029</v>
      </c>
      <c r="B753" s="2" t="inlineStr">
        <is>
          <t>Thursday</t>
        </is>
      </c>
      <c r="C753" s="5" t="n">
        <v>45017</v>
      </c>
      <c r="D753" s="2" t="inlineStr">
        <is>
          <t>Q1FY24</t>
        </is>
      </c>
      <c r="E753" s="3" t="n">
        <v>2365</v>
      </c>
      <c r="F753" s="8" t="n">
        <v>1.7015</v>
      </c>
      <c r="G753" s="4" t="n">
        <v>197.764</v>
      </c>
      <c r="H753" s="4" t="n">
        <v>532.9674</v>
      </c>
      <c r="I753" s="4" t="n">
        <v>12.2725</v>
      </c>
      <c r="J753" s="4" t="n">
        <v>12.51</v>
      </c>
      <c r="K753" s="4" t="n">
        <v>11.84</v>
      </c>
      <c r="L753" s="4" t="n">
        <v>11.9075</v>
      </c>
      <c r="M753" s="7" t="n">
        <v>-0.0297</v>
      </c>
    </row>
    <row r="754">
      <c r="A754" s="6" t="n">
        <v>45033</v>
      </c>
      <c r="B754" s="2" t="inlineStr">
        <is>
          <t>Monday</t>
        </is>
      </c>
      <c r="C754" s="5" t="n">
        <v>45017</v>
      </c>
      <c r="D754" s="2" t="inlineStr">
        <is>
          <t>Q1FY24</t>
        </is>
      </c>
      <c r="E754" s="3" t="n">
        <v>2421</v>
      </c>
      <c r="F754" s="8" t="n">
        <v>1.9711</v>
      </c>
      <c r="G754" s="4" t="n">
        <v>214.7222</v>
      </c>
      <c r="H754" s="4" t="n">
        <v>622.4713</v>
      </c>
      <c r="I754" s="4" t="n">
        <v>11.9075</v>
      </c>
      <c r="J754" s="4" t="n">
        <v>13.2725</v>
      </c>
      <c r="K754" s="4" t="n">
        <v>11.9075</v>
      </c>
      <c r="L754" s="4" t="n">
        <v>12.265</v>
      </c>
      <c r="M754" s="7" t="n">
        <v>0.03</v>
      </c>
    </row>
    <row r="755">
      <c r="A755" s="6" t="n">
        <v>45034</v>
      </c>
      <c r="B755" s="2" t="inlineStr">
        <is>
          <t>Tuesday</t>
        </is>
      </c>
      <c r="C755" s="5" t="n">
        <v>45017</v>
      </c>
      <c r="D755" s="2" t="inlineStr">
        <is>
          <t>Q1FY24</t>
        </is>
      </c>
      <c r="E755" s="3" t="n">
        <v>2380</v>
      </c>
      <c r="F755" s="8" t="n">
        <v>1.7396</v>
      </c>
      <c r="G755" s="4" t="n">
        <v>223.6673</v>
      </c>
      <c r="H755" s="4" t="n">
        <v>513.1446999999999</v>
      </c>
      <c r="I755" s="4" t="n">
        <v>12.265</v>
      </c>
      <c r="J755" s="4" t="n">
        <v>12.525</v>
      </c>
      <c r="K755" s="4" t="n">
        <v>11.8625</v>
      </c>
      <c r="L755" s="4" t="n">
        <v>12.075</v>
      </c>
      <c r="M755" s="7" t="n">
        <v>-0.0155</v>
      </c>
    </row>
    <row r="756">
      <c r="A756" s="6" t="n">
        <v>45035</v>
      </c>
      <c r="B756" s="2" t="inlineStr">
        <is>
          <t>Wednesday</t>
        </is>
      </c>
      <c r="C756" s="5" t="n">
        <v>45017</v>
      </c>
      <c r="D756" s="2" t="inlineStr">
        <is>
          <t>Q1FY24</t>
        </is>
      </c>
      <c r="E756" s="3" t="n">
        <v>2371</v>
      </c>
      <c r="F756" s="8" t="n">
        <v>1.7215</v>
      </c>
      <c r="G756" s="4" t="n">
        <v>220.5611</v>
      </c>
      <c r="H756" s="4" t="n">
        <v>486.2966</v>
      </c>
      <c r="I756" s="4" t="n">
        <v>12.075</v>
      </c>
      <c r="J756" s="4" t="n">
        <v>12.47</v>
      </c>
      <c r="K756" s="4" t="n">
        <v>11.1075</v>
      </c>
      <c r="L756" s="4" t="n">
        <v>12.1525</v>
      </c>
      <c r="M756" s="7" t="n">
        <v>0.0064</v>
      </c>
    </row>
    <row r="757">
      <c r="A757" s="6" t="n">
        <v>45036</v>
      </c>
      <c r="B757" s="2" t="inlineStr">
        <is>
          <t>Thursday</t>
        </is>
      </c>
      <c r="C757" s="5" t="n">
        <v>45017</v>
      </c>
      <c r="D757" s="2" t="inlineStr">
        <is>
          <t>Q1FY24</t>
        </is>
      </c>
      <c r="E757" s="3" t="n">
        <v>2358</v>
      </c>
      <c r="F757" s="8" t="n">
        <v>1.5628</v>
      </c>
      <c r="G757" s="4" t="n">
        <v>169.8263</v>
      </c>
      <c r="H757" s="4" t="n">
        <v>452.0792</v>
      </c>
      <c r="I757" s="4" t="n">
        <v>12.1525</v>
      </c>
      <c r="J757" s="4" t="n">
        <v>12.3975</v>
      </c>
      <c r="K757" s="4" t="n">
        <v>11.58</v>
      </c>
      <c r="L757" s="4" t="n">
        <v>11.94</v>
      </c>
      <c r="M757" s="7" t="n">
        <v>-0.0175</v>
      </c>
    </row>
    <row r="758">
      <c r="A758" s="6" t="n">
        <v>45037</v>
      </c>
      <c r="B758" s="2" t="inlineStr">
        <is>
          <t>Friday</t>
        </is>
      </c>
      <c r="C758" s="5" t="n">
        <v>45017</v>
      </c>
      <c r="D758" s="2" t="inlineStr">
        <is>
          <t>Q1FY24</t>
        </is>
      </c>
      <c r="E758" s="3" t="n">
        <v>2372</v>
      </c>
      <c r="F758" s="8" t="n">
        <v>1.4862</v>
      </c>
      <c r="G758" s="4" t="n">
        <v>203.8846</v>
      </c>
      <c r="H758" s="4" t="n">
        <v>427.879</v>
      </c>
      <c r="I758" s="4" t="n">
        <v>11.94</v>
      </c>
      <c r="J758" s="4" t="n">
        <v>12.04</v>
      </c>
      <c r="K758" s="4" t="n">
        <v>11.52</v>
      </c>
      <c r="L758" s="4" t="n">
        <v>11.63</v>
      </c>
      <c r="M758" s="7" t="n">
        <v>-0.026</v>
      </c>
    </row>
    <row r="759">
      <c r="A759" s="6" t="n">
        <v>45040</v>
      </c>
      <c r="B759" s="2" t="inlineStr">
        <is>
          <t>Monday</t>
        </is>
      </c>
      <c r="C759" s="5" t="n">
        <v>45017</v>
      </c>
      <c r="D759" s="2" t="inlineStr">
        <is>
          <t>Q1FY24</t>
        </is>
      </c>
      <c r="E759" s="3" t="n">
        <v>2412</v>
      </c>
      <c r="F759" s="8" t="n">
        <v>1.5922</v>
      </c>
      <c r="G759" s="4" t="n">
        <v>220.1497</v>
      </c>
      <c r="H759" s="4" t="n">
        <v>470.0542</v>
      </c>
      <c r="I759" s="4" t="n">
        <v>11.63</v>
      </c>
      <c r="J759" s="4" t="n">
        <v>12.205</v>
      </c>
      <c r="K759" s="4" t="n">
        <v>11.58</v>
      </c>
      <c r="L759" s="4" t="n">
        <v>11.6675</v>
      </c>
      <c r="M759" s="7" t="n">
        <v>0.0032</v>
      </c>
    </row>
    <row r="760">
      <c r="A760" s="6" t="n">
        <v>45041</v>
      </c>
      <c r="B760" s="2" t="inlineStr">
        <is>
          <t>Tuesday</t>
        </is>
      </c>
      <c r="C760" s="5" t="n">
        <v>45017</v>
      </c>
      <c r="D760" s="2" t="inlineStr">
        <is>
          <t>Q1FY24</t>
        </is>
      </c>
      <c r="E760" s="3" t="n">
        <v>2359</v>
      </c>
      <c r="F760" s="8" t="n">
        <v>1.7396</v>
      </c>
      <c r="G760" s="4" t="n">
        <v>272.1602</v>
      </c>
      <c r="H760" s="4" t="n">
        <v>601.2615</v>
      </c>
      <c r="I760" s="4" t="n">
        <v>11.6675</v>
      </c>
      <c r="J760" s="4" t="n">
        <v>11.8125</v>
      </c>
      <c r="K760" s="4" t="n">
        <v>11.425</v>
      </c>
      <c r="L760" s="4" t="n">
        <v>11.52</v>
      </c>
      <c r="M760" s="7" t="n">
        <v>-0.0126</v>
      </c>
    </row>
    <row r="761">
      <c r="A761" s="6" t="n">
        <v>45042</v>
      </c>
      <c r="B761" s="2" t="inlineStr">
        <is>
          <t>Wednesday</t>
        </is>
      </c>
      <c r="C761" s="5" t="n">
        <v>45017</v>
      </c>
      <c r="D761" s="2" t="inlineStr">
        <is>
          <t>Q1FY24</t>
        </is>
      </c>
      <c r="E761" s="3" t="n">
        <v>2371</v>
      </c>
      <c r="F761" s="8" t="n">
        <v>1.7922</v>
      </c>
      <c r="G761" s="4" t="n">
        <v>286.3276</v>
      </c>
      <c r="H761" s="4" t="n">
        <v>543.1487</v>
      </c>
      <c r="I761" s="4" t="n">
        <v>11.52</v>
      </c>
      <c r="J761" s="4" t="n">
        <v>11.8975</v>
      </c>
      <c r="K761" s="4" t="n">
        <v>11.2975</v>
      </c>
      <c r="L761" s="4" t="n">
        <v>11.6525</v>
      </c>
      <c r="M761" s="7" t="n">
        <v>0.0115</v>
      </c>
    </row>
    <row r="762">
      <c r="A762" s="6" t="n">
        <v>45043</v>
      </c>
      <c r="B762" s="2" t="inlineStr">
        <is>
          <t>Thursday</t>
        </is>
      </c>
      <c r="C762" s="5" t="n">
        <v>45017</v>
      </c>
      <c r="D762" s="2" t="inlineStr">
        <is>
          <t>Q1FY24</t>
        </is>
      </c>
      <c r="E762" s="3" t="n">
        <v>2371</v>
      </c>
      <c r="F762" s="8" t="n">
        <v>1.7046</v>
      </c>
      <c r="G762" s="4" t="n">
        <v>279.488</v>
      </c>
      <c r="H762" s="4" t="n">
        <v>554.9372</v>
      </c>
      <c r="I762" s="4" t="n">
        <v>11.6525</v>
      </c>
      <c r="J762" s="4" t="n">
        <v>12.02</v>
      </c>
      <c r="K762" s="4" t="n">
        <v>10.96</v>
      </c>
      <c r="L762" s="4" t="n">
        <v>11.425</v>
      </c>
      <c r="M762" s="7" t="n">
        <v>-0.0195</v>
      </c>
    </row>
    <row r="763">
      <c r="A763" s="6" t="n">
        <v>45044</v>
      </c>
      <c r="B763" s="2" t="inlineStr">
        <is>
          <t>Friday</t>
        </is>
      </c>
      <c r="C763" s="5" t="n">
        <v>45017</v>
      </c>
      <c r="D763" s="2" t="inlineStr">
        <is>
          <t>Q1FY24</t>
        </is>
      </c>
      <c r="E763" s="3" t="n">
        <v>2381</v>
      </c>
      <c r="F763" s="8" t="n">
        <v>1.9823</v>
      </c>
      <c r="G763" s="4" t="n">
        <v>290.2886</v>
      </c>
      <c r="H763" s="4" t="n">
        <v>647.7314</v>
      </c>
      <c r="I763" s="4" t="n">
        <v>11.425</v>
      </c>
      <c r="J763" s="4" t="n">
        <v>11.5425</v>
      </c>
      <c r="K763" s="4" t="n">
        <v>10.7875</v>
      </c>
      <c r="L763" s="4" t="n">
        <v>10.9475</v>
      </c>
      <c r="M763" s="7" t="n">
        <v>-0.0418</v>
      </c>
    </row>
    <row r="764">
      <c r="A764" s="6" t="n">
        <v>45048</v>
      </c>
      <c r="B764" s="2" t="inlineStr">
        <is>
          <t>Tuesday</t>
        </is>
      </c>
      <c r="C764" s="5" t="n">
        <v>45047</v>
      </c>
      <c r="D764" s="2" t="inlineStr">
        <is>
          <t>Q1FY24</t>
        </is>
      </c>
      <c r="E764" s="3" t="n">
        <v>2432</v>
      </c>
      <c r="F764" s="8" t="n">
        <v>2.0898</v>
      </c>
      <c r="G764" s="4" t="n">
        <v>299.6977</v>
      </c>
      <c r="H764" s="4" t="n">
        <v>595.428</v>
      </c>
      <c r="I764" s="4" t="n">
        <v>10.9475</v>
      </c>
      <c r="J764" s="4" t="n">
        <v>12.0625</v>
      </c>
      <c r="K764" s="4" t="n">
        <v>10.9475</v>
      </c>
      <c r="L764" s="4" t="n">
        <v>11.8975</v>
      </c>
      <c r="M764" s="7" t="n">
        <v>0.0868</v>
      </c>
    </row>
    <row r="765">
      <c r="A765" s="6" t="n">
        <v>45049</v>
      </c>
      <c r="B765" s="2" t="inlineStr">
        <is>
          <t>Wednesday</t>
        </is>
      </c>
      <c r="C765" s="5" t="n">
        <v>45047</v>
      </c>
      <c r="D765" s="2" t="inlineStr">
        <is>
          <t>Q1FY24</t>
        </is>
      </c>
      <c r="E765" s="3" t="n">
        <v>2378</v>
      </c>
      <c r="F765" s="8" t="n">
        <v>1.934</v>
      </c>
      <c r="G765" s="4" t="n">
        <v>302.2983</v>
      </c>
      <c r="H765" s="4" t="n">
        <v>558.7464</v>
      </c>
      <c r="I765" s="4" t="n">
        <v>11.8975</v>
      </c>
      <c r="J765" s="4" t="n">
        <v>12.25</v>
      </c>
      <c r="K765" s="4" t="n">
        <v>11.13</v>
      </c>
      <c r="L765" s="4" t="n">
        <v>11.84</v>
      </c>
      <c r="M765" s="7" t="n">
        <v>-0.0048</v>
      </c>
    </row>
    <row r="766">
      <c r="A766" s="6" t="n">
        <v>45050</v>
      </c>
      <c r="B766" s="2" t="inlineStr">
        <is>
          <t>Thursday</t>
        </is>
      </c>
      <c r="C766" s="5" t="n">
        <v>45047</v>
      </c>
      <c r="D766" s="2" t="inlineStr">
        <is>
          <t>Q1FY24</t>
        </is>
      </c>
      <c r="E766" s="3" t="n">
        <v>2378</v>
      </c>
      <c r="F766" s="8" t="n">
        <v>1.873</v>
      </c>
      <c r="G766" s="4" t="n">
        <v>323.5226</v>
      </c>
      <c r="H766" s="4" t="n">
        <v>579.2383</v>
      </c>
      <c r="I766" s="4" t="n">
        <v>11.84</v>
      </c>
      <c r="J766" s="4" t="n">
        <v>12.03</v>
      </c>
      <c r="K766" s="4" t="n">
        <v>11.185</v>
      </c>
      <c r="L766" s="4" t="n">
        <v>11.7325</v>
      </c>
      <c r="M766" s="7" t="n">
        <v>-0.0091</v>
      </c>
    </row>
    <row r="767">
      <c r="A767" s="6" t="n">
        <v>45051</v>
      </c>
      <c r="B767" s="2" t="inlineStr">
        <is>
          <t>Friday</t>
        </is>
      </c>
      <c r="C767" s="5" t="n">
        <v>45047</v>
      </c>
      <c r="D767" s="2" t="inlineStr">
        <is>
          <t>Q1FY24</t>
        </is>
      </c>
      <c r="E767" s="3" t="n">
        <v>2360</v>
      </c>
      <c r="F767" s="8" t="n">
        <v>1.9611</v>
      </c>
      <c r="G767" s="4" t="n">
        <v>294.1578</v>
      </c>
      <c r="H767" s="4" t="n">
        <v>601.1879</v>
      </c>
      <c r="I767" s="4" t="n">
        <v>11.7325</v>
      </c>
      <c r="J767" s="4" t="n">
        <v>12.375</v>
      </c>
      <c r="K767" s="4" t="n">
        <v>11.53</v>
      </c>
      <c r="L767" s="4" t="n">
        <v>12.295</v>
      </c>
      <c r="M767" s="7" t="n">
        <v>0.0479</v>
      </c>
    </row>
    <row r="768">
      <c r="A768" s="6" t="n">
        <v>45054</v>
      </c>
      <c r="B768" s="2" t="inlineStr">
        <is>
          <t>Monday</t>
        </is>
      </c>
      <c r="C768" s="5" t="n">
        <v>45047</v>
      </c>
      <c r="D768" s="2" t="inlineStr">
        <is>
          <t>Q1FY24</t>
        </is>
      </c>
      <c r="E768" s="3" t="n">
        <v>2433</v>
      </c>
      <c r="F768" s="8" t="n">
        <v>1.9028</v>
      </c>
      <c r="G768" s="4" t="n">
        <v>239.5688</v>
      </c>
      <c r="H768" s="4" t="n">
        <v>563.3133</v>
      </c>
      <c r="I768" s="4" t="n">
        <v>12.295</v>
      </c>
      <c r="J768" s="4" t="n">
        <v>12.91</v>
      </c>
      <c r="K768" s="4" t="n">
        <v>11.7225</v>
      </c>
      <c r="L768" s="4" t="n">
        <v>12.635</v>
      </c>
      <c r="M768" s="7" t="n">
        <v>0.0277</v>
      </c>
    </row>
    <row r="769">
      <c r="A769" s="6" t="n">
        <v>45055</v>
      </c>
      <c r="B769" s="2" t="inlineStr">
        <is>
          <t>Tuesday</t>
        </is>
      </c>
      <c r="C769" s="5" t="n">
        <v>45047</v>
      </c>
      <c r="D769" s="2" t="inlineStr">
        <is>
          <t>Q1FY24</t>
        </is>
      </c>
      <c r="E769" s="3" t="n">
        <v>2408</v>
      </c>
      <c r="F769" s="8" t="n">
        <v>2.0127</v>
      </c>
      <c r="G769" s="4" t="n">
        <v>251.0025</v>
      </c>
      <c r="H769" s="4" t="n">
        <v>629.9457</v>
      </c>
      <c r="I769" s="4" t="n">
        <v>12.635</v>
      </c>
      <c r="J769" s="4" t="n">
        <v>12.815</v>
      </c>
      <c r="K769" s="4" t="n">
        <v>11.6575</v>
      </c>
      <c r="L769" s="4" t="n">
        <v>12.6775</v>
      </c>
      <c r="M769" s="7" t="n">
        <v>0.0034</v>
      </c>
    </row>
    <row r="770">
      <c r="A770" s="6" t="n">
        <v>45056</v>
      </c>
      <c r="B770" s="2" t="inlineStr">
        <is>
          <t>Wednesday</t>
        </is>
      </c>
      <c r="C770" s="5" t="n">
        <v>45047</v>
      </c>
      <c r="D770" s="2" t="inlineStr">
        <is>
          <t>Q1FY24</t>
        </is>
      </c>
      <c r="E770" s="3" t="n">
        <v>2390</v>
      </c>
      <c r="F770" s="8" t="n">
        <v>1.744</v>
      </c>
      <c r="G770" s="4" t="n">
        <v>221.4559</v>
      </c>
      <c r="H770" s="4" t="n">
        <v>517.4047</v>
      </c>
      <c r="I770" s="4" t="n">
        <v>12.6775</v>
      </c>
      <c r="J770" s="4" t="n">
        <v>13.2975</v>
      </c>
      <c r="K770" s="4" t="n">
        <v>11.5425</v>
      </c>
      <c r="L770" s="4" t="n">
        <v>13.0825</v>
      </c>
      <c r="M770" s="7" t="n">
        <v>0.0319</v>
      </c>
    </row>
    <row r="771">
      <c r="A771" s="6" t="n">
        <v>45057</v>
      </c>
      <c r="B771" s="2" t="inlineStr">
        <is>
          <t>Thursday</t>
        </is>
      </c>
      <c r="C771" s="5" t="n">
        <v>45047</v>
      </c>
      <c r="D771" s="2" t="inlineStr">
        <is>
          <t>Q1FY24</t>
        </is>
      </c>
      <c r="E771" s="3" t="n">
        <v>2364</v>
      </c>
      <c r="F771" s="8" t="n">
        <v>1.8686</v>
      </c>
      <c r="G771" s="4" t="n">
        <v>231.3955</v>
      </c>
      <c r="H771" s="4" t="n">
        <v>571.0838</v>
      </c>
      <c r="I771" s="4" t="n">
        <v>13.0825</v>
      </c>
      <c r="J771" s="4" t="n">
        <v>13.74</v>
      </c>
      <c r="K771" s="4" t="n">
        <v>12.815</v>
      </c>
      <c r="L771" s="4" t="n">
        <v>13.215</v>
      </c>
      <c r="M771" s="7" t="n">
        <v>0.0101</v>
      </c>
    </row>
    <row r="772">
      <c r="A772" s="6" t="n">
        <v>45058</v>
      </c>
      <c r="B772" s="2" t="inlineStr">
        <is>
          <t>Friday</t>
        </is>
      </c>
      <c r="C772" s="5" t="n">
        <v>45047</v>
      </c>
      <c r="D772" s="2" t="inlineStr">
        <is>
          <t>Q1FY24</t>
        </is>
      </c>
      <c r="E772" s="3" t="n">
        <v>2361</v>
      </c>
      <c r="F772" s="8" t="n">
        <v>1.9104</v>
      </c>
      <c r="G772" s="4" t="n">
        <v>216.6763</v>
      </c>
      <c r="H772" s="4" t="n">
        <v>538.0791</v>
      </c>
      <c r="I772" s="4" t="n">
        <v>13.215</v>
      </c>
      <c r="J772" s="4" t="n">
        <v>13.51</v>
      </c>
      <c r="K772" s="4" t="n">
        <v>12.7375</v>
      </c>
      <c r="L772" s="4" t="n">
        <v>12.8525</v>
      </c>
      <c r="M772" s="7" t="n">
        <v>-0.0274</v>
      </c>
    </row>
    <row r="773">
      <c r="A773" s="6" t="n">
        <v>45061</v>
      </c>
      <c r="B773" s="2" t="inlineStr">
        <is>
          <t>Monday</t>
        </is>
      </c>
      <c r="C773" s="5" t="n">
        <v>45047</v>
      </c>
      <c r="D773" s="2" t="inlineStr">
        <is>
          <t>Q1FY24</t>
        </is>
      </c>
      <c r="E773" s="3" t="n">
        <v>2427</v>
      </c>
      <c r="F773" s="8" t="n">
        <v>1.9371</v>
      </c>
      <c r="G773" s="4" t="n">
        <v>215.1314</v>
      </c>
      <c r="H773" s="4" t="n">
        <v>511.904</v>
      </c>
      <c r="I773" s="4" t="n">
        <v>12.8525</v>
      </c>
      <c r="J773" s="4" t="n">
        <v>13.615</v>
      </c>
      <c r="K773" s="4" t="n">
        <v>12.5375</v>
      </c>
      <c r="L773" s="4" t="n">
        <v>13.1725</v>
      </c>
      <c r="M773" s="7" t="n">
        <v>0.0249</v>
      </c>
    </row>
    <row r="774">
      <c r="A774" s="6" t="n">
        <v>45062</v>
      </c>
      <c r="B774" s="2" t="inlineStr">
        <is>
          <t>Tuesday</t>
        </is>
      </c>
      <c r="C774" s="5" t="n">
        <v>45047</v>
      </c>
      <c r="D774" s="2" t="inlineStr">
        <is>
          <t>Q1FY24</t>
        </is>
      </c>
      <c r="E774" s="3" t="n">
        <v>2371</v>
      </c>
      <c r="F774" s="8" t="n">
        <v>1.9405</v>
      </c>
      <c r="G774" s="4" t="n">
        <v>255.2071</v>
      </c>
      <c r="H774" s="4" t="n">
        <v>564.7622</v>
      </c>
      <c r="I774" s="4" t="n">
        <v>13.1725</v>
      </c>
      <c r="J774" s="4" t="n">
        <v>13.485</v>
      </c>
      <c r="K774" s="4" t="n">
        <v>11.71</v>
      </c>
      <c r="L774" s="4" t="n">
        <v>13.2925</v>
      </c>
      <c r="M774" s="7" t="n">
        <v>0.0091</v>
      </c>
    </row>
    <row r="775">
      <c r="A775" s="6" t="n">
        <v>45063</v>
      </c>
      <c r="B775" s="2" t="inlineStr">
        <is>
          <t>Wednesday</t>
        </is>
      </c>
      <c r="C775" s="5" t="n">
        <v>45047</v>
      </c>
      <c r="D775" s="2" t="inlineStr">
        <is>
          <t>Q1FY24</t>
        </is>
      </c>
      <c r="E775" s="3" t="n">
        <v>2369</v>
      </c>
      <c r="F775" s="8" t="n">
        <v>1.9376</v>
      </c>
      <c r="G775" s="4" t="n">
        <v>235.8659</v>
      </c>
      <c r="H775" s="4" t="n">
        <v>551.1064</v>
      </c>
      <c r="I775" s="4" t="n">
        <v>13.2925</v>
      </c>
      <c r="J775" s="4" t="n">
        <v>13.58</v>
      </c>
      <c r="K775" s="4" t="n">
        <v>11.895</v>
      </c>
      <c r="L775" s="4" t="n">
        <v>13.105</v>
      </c>
      <c r="M775" s="7" t="n">
        <v>-0.0141</v>
      </c>
    </row>
    <row r="776">
      <c r="A776" s="6" t="n">
        <v>45064</v>
      </c>
      <c r="B776" s="2" t="inlineStr">
        <is>
          <t>Thursday</t>
        </is>
      </c>
      <c r="C776" s="5" t="n">
        <v>45047</v>
      </c>
      <c r="D776" s="2" t="inlineStr">
        <is>
          <t>Q1FY24</t>
        </is>
      </c>
      <c r="E776" s="3" t="n">
        <v>2364</v>
      </c>
      <c r="F776" s="8" t="n">
        <v>1.8216</v>
      </c>
      <c r="G776" s="4" t="n">
        <v>229.2303</v>
      </c>
      <c r="H776" s="4" t="n">
        <v>562.5154</v>
      </c>
      <c r="I776" s="4" t="n">
        <v>13.105</v>
      </c>
      <c r="J776" s="4" t="n">
        <v>13.105</v>
      </c>
      <c r="K776" s="4" t="n">
        <v>11.1375</v>
      </c>
      <c r="L776" s="4" t="n">
        <v>12.795</v>
      </c>
      <c r="M776" s="7" t="n">
        <v>-0.0237</v>
      </c>
    </row>
    <row r="777">
      <c r="A777" s="6" t="n">
        <v>45065</v>
      </c>
      <c r="B777" s="2" t="inlineStr">
        <is>
          <t>Friday</t>
        </is>
      </c>
      <c r="C777" s="5" t="n">
        <v>45047</v>
      </c>
      <c r="D777" s="2" t="inlineStr">
        <is>
          <t>Q1FY24</t>
        </is>
      </c>
      <c r="E777" s="3" t="n">
        <v>2376</v>
      </c>
      <c r="F777" s="8" t="n">
        <v>1.8112</v>
      </c>
      <c r="G777" s="4" t="n">
        <v>214.2066</v>
      </c>
      <c r="H777" s="4" t="n">
        <v>550.8437</v>
      </c>
      <c r="I777" s="4" t="n">
        <v>12.795</v>
      </c>
      <c r="J777" s="4" t="n">
        <v>12.82</v>
      </c>
      <c r="K777" s="4" t="n">
        <v>11.6875</v>
      </c>
      <c r="L777" s="4" t="n">
        <v>12.3025</v>
      </c>
      <c r="M777" s="7" t="n">
        <v>-0.0385</v>
      </c>
    </row>
    <row r="778">
      <c r="A778" s="6" t="n">
        <v>45068</v>
      </c>
      <c r="B778" s="2" t="inlineStr">
        <is>
          <t>Monday</t>
        </is>
      </c>
      <c r="C778" s="5" t="n">
        <v>45047</v>
      </c>
      <c r="D778" s="2" t="inlineStr">
        <is>
          <t>Q1FY24</t>
        </is>
      </c>
      <c r="E778" s="3" t="n">
        <v>2430</v>
      </c>
      <c r="F778" s="8" t="n">
        <v>1.8614</v>
      </c>
      <c r="G778" s="4" t="n">
        <v>238.0708</v>
      </c>
      <c r="H778" s="4" t="n">
        <v>577.9109</v>
      </c>
      <c r="I778" s="4" t="n">
        <v>12.3025</v>
      </c>
      <c r="J778" s="4" t="n">
        <v>12.82</v>
      </c>
      <c r="K778" s="4" t="n">
        <v>11.555</v>
      </c>
      <c r="L778" s="4" t="n">
        <v>12.57</v>
      </c>
      <c r="M778" s="7" t="n">
        <v>0.0217</v>
      </c>
    </row>
    <row r="779">
      <c r="A779" s="6" t="n">
        <v>45069</v>
      </c>
      <c r="B779" s="2" t="inlineStr">
        <is>
          <t>Tuesday</t>
        </is>
      </c>
      <c r="C779" s="5" t="n">
        <v>45047</v>
      </c>
      <c r="D779" s="2" t="inlineStr">
        <is>
          <t>Q1FY24</t>
        </is>
      </c>
      <c r="E779" s="3" t="n">
        <v>2366</v>
      </c>
      <c r="F779" s="8" t="n">
        <v>1.8962</v>
      </c>
      <c r="G779" s="4" t="n">
        <v>239.7417</v>
      </c>
      <c r="H779" s="4" t="n">
        <v>598.5433</v>
      </c>
      <c r="I779" s="4" t="n">
        <v>12.57</v>
      </c>
      <c r="J779" s="4" t="n">
        <v>13.075</v>
      </c>
      <c r="K779" s="4" t="n">
        <v>12.3175</v>
      </c>
      <c r="L779" s="4" t="n">
        <v>12.605</v>
      </c>
      <c r="M779" s="7" t="n">
        <v>0.0028</v>
      </c>
    </row>
    <row r="780">
      <c r="A780" s="6" t="n">
        <v>45070</v>
      </c>
      <c r="B780" s="2" t="inlineStr">
        <is>
          <t>Wednesday</t>
        </is>
      </c>
      <c r="C780" s="5" t="n">
        <v>45047</v>
      </c>
      <c r="D780" s="2" t="inlineStr">
        <is>
          <t>Q1FY24</t>
        </is>
      </c>
      <c r="E780" s="3" t="n">
        <v>2377</v>
      </c>
      <c r="F780" s="8" t="n">
        <v>1.8654</v>
      </c>
      <c r="G780" s="4" t="n">
        <v>252.1195</v>
      </c>
      <c r="H780" s="4" t="n">
        <v>600.2495</v>
      </c>
      <c r="I780" s="4" t="n">
        <v>12.605</v>
      </c>
      <c r="J780" s="4" t="n">
        <v>13.4375</v>
      </c>
      <c r="K780" s="4" t="n">
        <v>12.41</v>
      </c>
      <c r="L780" s="4" t="n">
        <v>13.1125</v>
      </c>
      <c r="M780" s="7" t="n">
        <v>0.0403</v>
      </c>
    </row>
    <row r="781">
      <c r="A781" s="6" t="n">
        <v>45071</v>
      </c>
      <c r="B781" s="2" t="inlineStr">
        <is>
          <t>Thursday</t>
        </is>
      </c>
      <c r="C781" s="5" t="n">
        <v>45047</v>
      </c>
      <c r="D781" s="2" t="inlineStr">
        <is>
          <t>Q1FY24</t>
        </is>
      </c>
      <c r="E781" s="3" t="n">
        <v>2348</v>
      </c>
      <c r="F781" s="8" t="n">
        <v>1.8148</v>
      </c>
      <c r="G781" s="4" t="n">
        <v>279.7386</v>
      </c>
      <c r="H781" s="4" t="n">
        <v>555.5226</v>
      </c>
      <c r="I781" s="4" t="n">
        <v>13.1125</v>
      </c>
      <c r="J781" s="4" t="n">
        <v>13.1325</v>
      </c>
      <c r="K781" s="4" t="n">
        <v>8.182499999999999</v>
      </c>
      <c r="L781" s="4" t="n">
        <v>12.52</v>
      </c>
      <c r="M781" s="7" t="n">
        <v>-0.0452</v>
      </c>
    </row>
    <row r="782">
      <c r="A782" s="6" t="n">
        <v>45072</v>
      </c>
      <c r="B782" s="2" t="inlineStr">
        <is>
          <t>Friday</t>
        </is>
      </c>
      <c r="C782" s="5" t="n">
        <v>45047</v>
      </c>
      <c r="D782" s="2" t="inlineStr">
        <is>
          <t>Q1FY24</t>
        </is>
      </c>
      <c r="E782" s="3" t="n">
        <v>2369</v>
      </c>
      <c r="F782" s="8" t="n">
        <v>1.8037</v>
      </c>
      <c r="G782" s="4" t="n">
        <v>248.785</v>
      </c>
      <c r="H782" s="4" t="n">
        <v>545.8578</v>
      </c>
      <c r="I782" s="4" t="n">
        <v>12.52</v>
      </c>
      <c r="J782" s="4" t="n">
        <v>12.8575</v>
      </c>
      <c r="K782" s="4" t="n">
        <v>11.7</v>
      </c>
      <c r="L782" s="4" t="n">
        <v>11.9</v>
      </c>
      <c r="M782" s="7" t="n">
        <v>-0.0495</v>
      </c>
    </row>
    <row r="783">
      <c r="A783" s="6" t="n">
        <v>45075</v>
      </c>
      <c r="B783" s="2" t="inlineStr">
        <is>
          <t>Monday</t>
        </is>
      </c>
      <c r="C783" s="5" t="n">
        <v>45047</v>
      </c>
      <c r="D783" s="2" t="inlineStr">
        <is>
          <t>Q1FY24</t>
        </is>
      </c>
      <c r="E783" s="3" t="n">
        <v>2436</v>
      </c>
      <c r="F783" s="8" t="n">
        <v>1.8593</v>
      </c>
      <c r="G783" s="4" t="n">
        <v>266.686</v>
      </c>
      <c r="H783" s="4" t="n">
        <v>533.313</v>
      </c>
      <c r="I783" s="4" t="n">
        <v>11.9</v>
      </c>
      <c r="J783" s="4" t="n">
        <v>12.4925</v>
      </c>
      <c r="K783" s="4" t="n">
        <v>8.807499999999999</v>
      </c>
      <c r="L783" s="4" t="n">
        <v>12.2975</v>
      </c>
      <c r="M783" s="7" t="n">
        <v>0.0334</v>
      </c>
    </row>
    <row r="784">
      <c r="A784" s="6" t="n">
        <v>45076</v>
      </c>
      <c r="B784" s="2" t="inlineStr">
        <is>
          <t>Tuesday</t>
        </is>
      </c>
      <c r="C784" s="5" t="n">
        <v>45047</v>
      </c>
      <c r="D784" s="2" t="inlineStr">
        <is>
          <t>Q1FY24</t>
        </is>
      </c>
      <c r="E784" s="3" t="n">
        <v>2391</v>
      </c>
      <c r="F784" s="8" t="n">
        <v>1.7967</v>
      </c>
      <c r="G784" s="4" t="n">
        <v>243.6837</v>
      </c>
      <c r="H784" s="4" t="n">
        <v>548.6763999999999</v>
      </c>
      <c r="I784" s="4" t="n">
        <v>12.2975</v>
      </c>
      <c r="J784" s="4" t="n">
        <v>12.38</v>
      </c>
      <c r="K784" s="4" t="n">
        <v>11.7675</v>
      </c>
      <c r="L784" s="4" t="n">
        <v>12.01</v>
      </c>
      <c r="M784" s="7" t="n">
        <v>-0.0234</v>
      </c>
    </row>
    <row r="785">
      <c r="A785" s="6" t="n">
        <v>45077</v>
      </c>
      <c r="B785" s="2" t="inlineStr">
        <is>
          <t>Wednesday</t>
        </is>
      </c>
      <c r="C785" s="5" t="n">
        <v>45047</v>
      </c>
      <c r="D785" s="2" t="inlineStr">
        <is>
          <t>Q1FY24</t>
        </is>
      </c>
      <c r="E785" s="3" t="n">
        <v>2380</v>
      </c>
      <c r="F785" s="8" t="n">
        <v>2.3125</v>
      </c>
      <c r="G785" s="4" t="n">
        <v>433.9428</v>
      </c>
      <c r="H785" s="4" t="n">
        <v>1358.7869</v>
      </c>
      <c r="I785" s="4" t="n">
        <v>12.01</v>
      </c>
      <c r="J785" s="4" t="n">
        <v>12.4675</v>
      </c>
      <c r="K785" s="4" t="n">
        <v>11.58</v>
      </c>
      <c r="L785" s="4" t="n">
        <v>11.9725</v>
      </c>
      <c r="M785" s="7" t="n">
        <v>-0.0031</v>
      </c>
    </row>
    <row r="786">
      <c r="A786" s="6" t="n">
        <v>45078</v>
      </c>
      <c r="B786" s="2" t="inlineStr">
        <is>
          <t>Thursday</t>
        </is>
      </c>
      <c r="C786" s="5" t="n">
        <v>45078</v>
      </c>
      <c r="D786" s="2" t="inlineStr">
        <is>
          <t>Q1FY24</t>
        </is>
      </c>
      <c r="E786" s="3" t="n">
        <v>2435</v>
      </c>
      <c r="F786" s="8" t="n">
        <v>1.9338</v>
      </c>
      <c r="G786" s="4" t="n">
        <v>267.0679</v>
      </c>
      <c r="H786" s="4" t="n">
        <v>584.2071</v>
      </c>
      <c r="I786" s="4" t="n">
        <v>11.9725</v>
      </c>
      <c r="J786" s="4" t="n">
        <v>11.9725</v>
      </c>
      <c r="K786" s="4" t="n">
        <v>11.22</v>
      </c>
      <c r="L786" s="4" t="n">
        <v>11.5975</v>
      </c>
      <c r="M786" s="7" t="n">
        <v>-0.0313</v>
      </c>
    </row>
    <row r="787">
      <c r="A787" s="6" t="n">
        <v>45079</v>
      </c>
      <c r="B787" s="2" t="inlineStr">
        <is>
          <t>Friday</t>
        </is>
      </c>
      <c r="C787" s="5" t="n">
        <v>45078</v>
      </c>
      <c r="D787" s="2" t="inlineStr">
        <is>
          <t>Q1FY24</t>
        </is>
      </c>
      <c r="E787" s="3" t="n">
        <v>2414</v>
      </c>
      <c r="F787" s="8" t="n">
        <v>2.0354</v>
      </c>
      <c r="G787" s="4" t="n">
        <v>276.7248</v>
      </c>
      <c r="H787" s="4" t="n">
        <v>591.4946</v>
      </c>
      <c r="I787" s="4" t="n">
        <v>11.5975</v>
      </c>
      <c r="J787" s="4" t="n">
        <v>11.735</v>
      </c>
      <c r="K787" s="4" t="n">
        <v>10.86</v>
      </c>
      <c r="L787" s="4" t="n">
        <v>11.125</v>
      </c>
      <c r="M787" s="7" t="n">
        <v>-0.0407</v>
      </c>
    </row>
    <row r="788">
      <c r="A788" s="6" t="n">
        <v>45082</v>
      </c>
      <c r="B788" s="2" t="inlineStr">
        <is>
          <t>Monday</t>
        </is>
      </c>
      <c r="C788" s="5" t="n">
        <v>45078</v>
      </c>
      <c r="D788" s="2" t="inlineStr">
        <is>
          <t>Q1FY24</t>
        </is>
      </c>
      <c r="E788" s="3" t="n">
        <v>2465</v>
      </c>
      <c r="F788" s="8" t="n">
        <v>1.9911</v>
      </c>
      <c r="G788" s="4" t="n">
        <v>265.3929</v>
      </c>
      <c r="H788" s="4" t="n">
        <v>576.1829</v>
      </c>
      <c r="I788" s="4" t="n">
        <v>11.125</v>
      </c>
      <c r="J788" s="4" t="n">
        <v>11.335</v>
      </c>
      <c r="K788" s="4" t="n">
        <v>10.3225</v>
      </c>
      <c r="L788" s="4" t="n">
        <v>11.1375</v>
      </c>
      <c r="M788" s="7" t="n">
        <v>0.0011</v>
      </c>
    </row>
    <row r="789">
      <c r="A789" s="6" t="n">
        <v>45083</v>
      </c>
      <c r="B789" s="2" t="inlineStr">
        <is>
          <t>Tuesday</t>
        </is>
      </c>
      <c r="C789" s="5" t="n">
        <v>45078</v>
      </c>
      <c r="D789" s="2" t="inlineStr">
        <is>
          <t>Q1FY24</t>
        </is>
      </c>
      <c r="E789" s="3" t="n">
        <v>2417</v>
      </c>
      <c r="F789" s="8" t="n">
        <v>1.9359</v>
      </c>
      <c r="G789" s="4" t="n">
        <v>259.9093</v>
      </c>
      <c r="H789" s="4" t="n">
        <v>576.4095</v>
      </c>
      <c r="I789" s="4" t="n">
        <v>11.1375</v>
      </c>
      <c r="J789" s="4" t="n">
        <v>11.6175</v>
      </c>
      <c r="K789" s="4" t="n">
        <v>10.465</v>
      </c>
      <c r="L789" s="4" t="n">
        <v>11.38</v>
      </c>
      <c r="M789" s="7" t="n">
        <v>0.0218</v>
      </c>
    </row>
    <row r="790">
      <c r="A790" s="6" t="n">
        <v>45084</v>
      </c>
      <c r="B790" s="2" t="inlineStr">
        <is>
          <t>Wednesday</t>
        </is>
      </c>
      <c r="C790" s="5" t="n">
        <v>45078</v>
      </c>
      <c r="D790" s="2" t="inlineStr">
        <is>
          <t>Q1FY24</t>
        </is>
      </c>
      <c r="E790" s="3" t="n">
        <v>2435</v>
      </c>
      <c r="F790" s="8" t="n">
        <v>2.051</v>
      </c>
      <c r="G790" s="4" t="n">
        <v>461.5339</v>
      </c>
      <c r="H790" s="4" t="n">
        <v>609.8407</v>
      </c>
      <c r="I790" s="4" t="n">
        <v>11.38</v>
      </c>
      <c r="J790" s="4" t="n">
        <v>11.5375</v>
      </c>
      <c r="K790" s="4" t="n">
        <v>9.637499999999999</v>
      </c>
      <c r="L790" s="4" t="n">
        <v>11.4425</v>
      </c>
      <c r="M790" s="7" t="n">
        <v>0.0055</v>
      </c>
    </row>
    <row r="791">
      <c r="A791" s="6" t="n">
        <v>45085</v>
      </c>
      <c r="B791" s="2" t="inlineStr">
        <is>
          <t>Thursday</t>
        </is>
      </c>
      <c r="C791" s="5" t="n">
        <v>45078</v>
      </c>
      <c r="D791" s="2" t="inlineStr">
        <is>
          <t>Q1FY24</t>
        </is>
      </c>
      <c r="E791" s="3" t="n">
        <v>2416</v>
      </c>
      <c r="F791" s="8" t="n">
        <v>1.9775</v>
      </c>
      <c r="G791" s="4" t="n">
        <v>360.8245</v>
      </c>
      <c r="H791" s="4" t="n">
        <v>605.2587</v>
      </c>
      <c r="I791" s="4" t="n">
        <v>11.4425</v>
      </c>
      <c r="J791" s="4" t="n">
        <v>11.5675</v>
      </c>
      <c r="K791" s="4" t="n">
        <v>10.13</v>
      </c>
      <c r="L791" s="4" t="n">
        <v>11.2575</v>
      </c>
      <c r="M791" s="7" t="n">
        <v>-0.0162</v>
      </c>
    </row>
    <row r="792">
      <c r="A792" s="6" t="n">
        <v>45086</v>
      </c>
      <c r="B792" s="2" t="inlineStr">
        <is>
          <t>Friday</t>
        </is>
      </c>
      <c r="C792" s="5" t="n">
        <v>45078</v>
      </c>
      <c r="D792" s="2" t="inlineStr">
        <is>
          <t>Q1FY24</t>
        </is>
      </c>
      <c r="E792" s="3" t="n">
        <v>2408</v>
      </c>
      <c r="F792" s="8" t="n">
        <v>1.8883</v>
      </c>
      <c r="G792" s="4" t="n">
        <v>287.0205</v>
      </c>
      <c r="H792" s="4" t="n">
        <v>558.782</v>
      </c>
      <c r="I792" s="4" t="n">
        <v>11.2575</v>
      </c>
      <c r="J792" s="4" t="n">
        <v>11.2975</v>
      </c>
      <c r="K792" s="4" t="n">
        <v>10.3075</v>
      </c>
      <c r="L792" s="4" t="n">
        <v>11.12</v>
      </c>
      <c r="M792" s="7" t="n">
        <v>-0.0122</v>
      </c>
    </row>
    <row r="793">
      <c r="A793" s="6" t="n">
        <v>45089</v>
      </c>
      <c r="B793" s="2" t="inlineStr">
        <is>
          <t>Monday</t>
        </is>
      </c>
      <c r="C793" s="5" t="n">
        <v>45078</v>
      </c>
      <c r="D793" s="2" t="inlineStr">
        <is>
          <t>Q1FY24</t>
        </is>
      </c>
      <c r="E793" s="3" t="n">
        <v>2440</v>
      </c>
      <c r="F793" s="8" t="n">
        <v>1.8821</v>
      </c>
      <c r="G793" s="4" t="n">
        <v>306.4345</v>
      </c>
      <c r="H793" s="4" t="n">
        <v>504.5501</v>
      </c>
      <c r="I793" s="4" t="n">
        <v>11.12</v>
      </c>
      <c r="J793" s="4" t="n">
        <v>11.8025</v>
      </c>
      <c r="K793" s="4" t="n">
        <v>10.5825</v>
      </c>
      <c r="L793" s="4" t="n">
        <v>11.245</v>
      </c>
      <c r="M793" s="7" t="n">
        <v>0.0112</v>
      </c>
    </row>
    <row r="794">
      <c r="A794" s="6" t="n">
        <v>45090</v>
      </c>
      <c r="B794" s="2" t="inlineStr">
        <is>
          <t>Tuesday</t>
        </is>
      </c>
      <c r="C794" s="5" t="n">
        <v>45078</v>
      </c>
      <c r="D794" s="2" t="inlineStr">
        <is>
          <t>Q1FY24</t>
        </is>
      </c>
      <c r="E794" s="3" t="n">
        <v>2440</v>
      </c>
      <c r="F794" s="8" t="n">
        <v>2.0836</v>
      </c>
      <c r="G794" s="4" t="n">
        <v>326.5169</v>
      </c>
      <c r="H794" s="4" t="n">
        <v>623.6497000000001</v>
      </c>
      <c r="I794" s="4" t="n">
        <v>11.245</v>
      </c>
      <c r="J794" s="4" t="n">
        <v>11.25</v>
      </c>
      <c r="K794" s="4" t="n">
        <v>9.99</v>
      </c>
      <c r="L794" s="4" t="n">
        <v>11.11</v>
      </c>
      <c r="M794" s="7" t="n">
        <v>-0.012</v>
      </c>
    </row>
    <row r="795">
      <c r="A795" s="6" t="n">
        <v>45091</v>
      </c>
      <c r="B795" s="2" t="inlineStr">
        <is>
          <t>Wednesday</t>
        </is>
      </c>
      <c r="C795" s="5" t="n">
        <v>45078</v>
      </c>
      <c r="D795" s="2" t="inlineStr">
        <is>
          <t>Q1FY24</t>
        </is>
      </c>
      <c r="E795" s="3" t="n">
        <v>2446</v>
      </c>
      <c r="F795" s="8" t="n">
        <v>2.0667</v>
      </c>
      <c r="G795" s="4" t="n">
        <v>307.0534</v>
      </c>
      <c r="H795" s="4" t="n">
        <v>598.1792</v>
      </c>
      <c r="I795" s="4" t="n">
        <v>11.11</v>
      </c>
      <c r="J795" s="4" t="n">
        <v>11.3675</v>
      </c>
      <c r="K795" s="4" t="n">
        <v>10.6325</v>
      </c>
      <c r="L795" s="4" t="n">
        <v>11.1625</v>
      </c>
      <c r="M795" s="7" t="n">
        <v>0.0047</v>
      </c>
    </row>
    <row r="796">
      <c r="A796" s="6" t="n">
        <v>45092</v>
      </c>
      <c r="B796" s="2" t="inlineStr">
        <is>
          <t>Thursday</t>
        </is>
      </c>
      <c r="C796" s="5" t="n">
        <v>45078</v>
      </c>
      <c r="D796" s="2" t="inlineStr">
        <is>
          <t>Q1FY24</t>
        </is>
      </c>
      <c r="E796" s="3" t="n">
        <v>2436</v>
      </c>
      <c r="F796" s="8" t="n">
        <v>2.197</v>
      </c>
      <c r="G796" s="4" t="n">
        <v>302.0679</v>
      </c>
      <c r="H796" s="4" t="n">
        <v>669.7539</v>
      </c>
      <c r="I796" s="4" t="n">
        <v>11.1625</v>
      </c>
      <c r="J796" s="4" t="n">
        <v>11.37</v>
      </c>
      <c r="K796" s="4" t="n">
        <v>9.692500000000001</v>
      </c>
      <c r="L796" s="4" t="n">
        <v>11.08</v>
      </c>
      <c r="M796" s="7" t="n">
        <v>-0.0074</v>
      </c>
    </row>
    <row r="797">
      <c r="A797" s="6" t="n">
        <v>45093</v>
      </c>
      <c r="B797" s="2" t="inlineStr">
        <is>
          <t>Friday</t>
        </is>
      </c>
      <c r="C797" s="5" t="n">
        <v>45078</v>
      </c>
      <c r="D797" s="2" t="inlineStr">
        <is>
          <t>Q1FY24</t>
        </is>
      </c>
      <c r="E797" s="3" t="n">
        <v>2440</v>
      </c>
      <c r="F797" s="8" t="n">
        <v>2.2406</v>
      </c>
      <c r="G797" s="4" t="n">
        <v>327.6281</v>
      </c>
      <c r="H797" s="4" t="n">
        <v>763.8321999999999</v>
      </c>
      <c r="I797" s="4" t="n">
        <v>11.08</v>
      </c>
      <c r="J797" s="4" t="n">
        <v>11.08</v>
      </c>
      <c r="K797" s="4" t="n">
        <v>10.5575</v>
      </c>
      <c r="L797" s="4" t="n">
        <v>10.84</v>
      </c>
      <c r="M797" s="7" t="n">
        <v>-0.0217</v>
      </c>
    </row>
    <row r="798">
      <c r="A798" s="6" t="n">
        <v>45096</v>
      </c>
      <c r="B798" s="2" t="inlineStr">
        <is>
          <t>Monday</t>
        </is>
      </c>
      <c r="C798" s="5" t="n">
        <v>45078</v>
      </c>
      <c r="D798" s="2" t="inlineStr">
        <is>
          <t>Q1FY24</t>
        </is>
      </c>
      <c r="E798" s="3" t="n">
        <v>2475</v>
      </c>
      <c r="F798" s="8" t="n">
        <v>2.04</v>
      </c>
      <c r="G798" s="4" t="n">
        <v>285.0075</v>
      </c>
      <c r="H798" s="4" t="n">
        <v>619.2773999999999</v>
      </c>
      <c r="I798" s="4" t="n">
        <v>10.84</v>
      </c>
      <c r="J798" s="4" t="n">
        <v>11.4975</v>
      </c>
      <c r="K798" s="4" t="n">
        <v>10.33</v>
      </c>
      <c r="L798" s="4" t="n">
        <v>11.225</v>
      </c>
      <c r="M798" s="7" t="n">
        <v>0.0355</v>
      </c>
    </row>
    <row r="799">
      <c r="A799" s="6" t="n">
        <v>45097</v>
      </c>
      <c r="B799" s="2" t="inlineStr">
        <is>
          <t>Tuesday</t>
        </is>
      </c>
      <c r="C799" s="5" t="n">
        <v>45078</v>
      </c>
      <c r="D799" s="2" t="inlineStr">
        <is>
          <t>Q1FY24</t>
        </is>
      </c>
      <c r="E799" s="3" t="n">
        <v>2431</v>
      </c>
      <c r="F799" s="8" t="n">
        <v>2.1008</v>
      </c>
      <c r="G799" s="4" t="n">
        <v>277.6789</v>
      </c>
      <c r="H799" s="4" t="n">
        <v>623.0023</v>
      </c>
      <c r="I799" s="4" t="n">
        <v>11.225</v>
      </c>
      <c r="J799" s="4" t="n">
        <v>11.4375</v>
      </c>
      <c r="K799" s="4" t="n">
        <v>10.5675</v>
      </c>
      <c r="L799" s="4" t="n">
        <v>11.1325</v>
      </c>
      <c r="M799" s="7" t="n">
        <v>-0.008200000000000001</v>
      </c>
    </row>
    <row r="800">
      <c r="A800" s="6" t="n">
        <v>45098</v>
      </c>
      <c r="B800" s="2" t="inlineStr">
        <is>
          <t>Wednesday</t>
        </is>
      </c>
      <c r="C800" s="5" t="n">
        <v>45078</v>
      </c>
      <c r="D800" s="2" t="inlineStr">
        <is>
          <t>Q1FY24</t>
        </is>
      </c>
      <c r="E800" s="3" t="n">
        <v>2434</v>
      </c>
      <c r="F800" s="8" t="n">
        <v>2.239</v>
      </c>
      <c r="G800" s="4" t="n">
        <v>303.6464</v>
      </c>
      <c r="H800" s="4" t="n">
        <v>701.6446999999999</v>
      </c>
      <c r="I800" s="4" t="n">
        <v>11.1325</v>
      </c>
      <c r="J800" s="4" t="n">
        <v>11.4325</v>
      </c>
      <c r="K800" s="4" t="n">
        <v>10.77</v>
      </c>
      <c r="L800" s="4" t="n">
        <v>11.2925</v>
      </c>
      <c r="M800" s="7" t="n">
        <v>0.0144</v>
      </c>
    </row>
    <row r="801">
      <c r="A801" s="6" t="n">
        <v>45099</v>
      </c>
      <c r="B801" s="2" t="inlineStr">
        <is>
          <t>Thursday</t>
        </is>
      </c>
      <c r="C801" s="5" t="n">
        <v>45078</v>
      </c>
      <c r="D801" s="2" t="inlineStr">
        <is>
          <t>Q1FY24</t>
        </is>
      </c>
      <c r="E801" s="3" t="n">
        <v>2432</v>
      </c>
      <c r="F801" s="8" t="n">
        <v>2.1218</v>
      </c>
      <c r="G801" s="4" t="n">
        <v>331.2041</v>
      </c>
      <c r="H801" s="4" t="n">
        <v>659.6715</v>
      </c>
      <c r="I801" s="4" t="n">
        <v>11.2925</v>
      </c>
      <c r="J801" s="4" t="n">
        <v>11.7125</v>
      </c>
      <c r="K801" s="4" t="n">
        <v>10.6925</v>
      </c>
      <c r="L801" s="4" t="n">
        <v>11.5475</v>
      </c>
      <c r="M801" s="7" t="n">
        <v>0.0226</v>
      </c>
    </row>
    <row r="802">
      <c r="A802" s="6" t="n">
        <v>45100</v>
      </c>
      <c r="B802" s="2" t="inlineStr">
        <is>
          <t>Friday</t>
        </is>
      </c>
      <c r="C802" s="5" t="n">
        <v>45078</v>
      </c>
      <c r="D802" s="2" t="inlineStr">
        <is>
          <t>Q1FY24</t>
        </is>
      </c>
      <c r="E802" s="3" t="n">
        <v>2436</v>
      </c>
      <c r="F802" s="8" t="n">
        <v>2.0427</v>
      </c>
      <c r="G802" s="4" t="n">
        <v>260.3697</v>
      </c>
      <c r="H802" s="4" t="n">
        <v>573.2911</v>
      </c>
      <c r="I802" s="4" t="n">
        <v>11.5475</v>
      </c>
      <c r="J802" s="4" t="n">
        <v>11.8375</v>
      </c>
      <c r="K802" s="4" t="n">
        <v>11.1425</v>
      </c>
      <c r="L802" s="4" t="n">
        <v>11.235</v>
      </c>
      <c r="M802" s="7" t="n">
        <v>-0.0271</v>
      </c>
    </row>
    <row r="803">
      <c r="A803" s="6" t="n">
        <v>45103</v>
      </c>
      <c r="B803" s="2" t="inlineStr">
        <is>
          <t>Monday</t>
        </is>
      </c>
      <c r="C803" s="5" t="n">
        <v>45078</v>
      </c>
      <c r="D803" s="2" t="inlineStr">
        <is>
          <t>Q1FY24</t>
        </is>
      </c>
      <c r="E803" s="3" t="n">
        <v>2458</v>
      </c>
      <c r="F803" s="8" t="n">
        <v>1.8953</v>
      </c>
      <c r="G803" s="4" t="n">
        <v>252.3997</v>
      </c>
      <c r="H803" s="4" t="n">
        <v>505.2682</v>
      </c>
      <c r="I803" s="4" t="n">
        <v>11.235</v>
      </c>
      <c r="J803" s="4" t="n">
        <v>11.925</v>
      </c>
      <c r="K803" s="4" t="n">
        <v>11.235</v>
      </c>
      <c r="L803" s="4" t="n">
        <v>11.395</v>
      </c>
      <c r="M803" s="7" t="n">
        <v>0.0142</v>
      </c>
    </row>
    <row r="804">
      <c r="A804" s="6" t="n">
        <v>45104</v>
      </c>
      <c r="B804" s="2" t="inlineStr">
        <is>
          <t>Tuesday</t>
        </is>
      </c>
      <c r="C804" s="5" t="n">
        <v>45078</v>
      </c>
      <c r="D804" s="2" t="inlineStr">
        <is>
          <t>Q1FY24</t>
        </is>
      </c>
      <c r="E804" s="3" t="n">
        <v>2408</v>
      </c>
      <c r="F804" s="8" t="n">
        <v>1.9228</v>
      </c>
      <c r="G804" s="4" t="n">
        <v>264.0857</v>
      </c>
      <c r="H804" s="4" t="n">
        <v>567.9988</v>
      </c>
      <c r="I804" s="4" t="n">
        <v>11.395</v>
      </c>
      <c r="J804" s="4" t="n">
        <v>11.4225</v>
      </c>
      <c r="K804" s="4" t="n">
        <v>10.6925</v>
      </c>
      <c r="L804" s="4" t="n">
        <v>10.7775</v>
      </c>
      <c r="M804" s="7" t="n">
        <v>-0.0542</v>
      </c>
    </row>
    <row r="805">
      <c r="A805" s="6" t="n">
        <v>45105</v>
      </c>
      <c r="B805" s="2" t="inlineStr">
        <is>
          <t>Wednesday</t>
        </is>
      </c>
      <c r="C805" s="5" t="n">
        <v>45078</v>
      </c>
      <c r="D805" s="2" t="inlineStr">
        <is>
          <t>Q1FY24</t>
        </is>
      </c>
      <c r="E805" s="3" t="n">
        <v>2425</v>
      </c>
      <c r="F805" s="8" t="n">
        <v>2.1557</v>
      </c>
      <c r="G805" s="4" t="n">
        <v>294.4658</v>
      </c>
      <c r="H805" s="4" t="n">
        <v>820.2128</v>
      </c>
      <c r="I805" s="4" t="n">
        <v>10.7775</v>
      </c>
      <c r="J805" s="4" t="n">
        <v>11.535</v>
      </c>
      <c r="K805" s="4" t="n">
        <v>10.6525</v>
      </c>
      <c r="L805" s="4" t="n">
        <v>10.8875</v>
      </c>
      <c r="M805" s="7" t="n">
        <v>0.0102</v>
      </c>
    </row>
    <row r="806">
      <c r="A806" s="6" t="n">
        <v>45107</v>
      </c>
      <c r="B806" s="2" t="inlineStr">
        <is>
          <t>Friday</t>
        </is>
      </c>
      <c r="C806" s="5" t="n">
        <v>45078</v>
      </c>
      <c r="D806" s="2" t="inlineStr">
        <is>
          <t>Q1FY24</t>
        </is>
      </c>
      <c r="E806" s="3" t="n">
        <v>2456</v>
      </c>
      <c r="F806" s="8" t="n">
        <v>2.3637</v>
      </c>
      <c r="G806" s="4" t="n">
        <v>322.4554</v>
      </c>
      <c r="H806" s="4" t="n">
        <v>757.6488000000001</v>
      </c>
      <c r="I806" s="4" t="n">
        <v>10.8875</v>
      </c>
      <c r="J806" s="4" t="n">
        <v>11.215</v>
      </c>
      <c r="K806" s="4" t="n">
        <v>10.07</v>
      </c>
      <c r="L806" s="4" t="n">
        <v>10.8</v>
      </c>
      <c r="M806" s="7" t="n">
        <v>-0.008</v>
      </c>
    </row>
    <row r="807">
      <c r="A807" s="6" t="n">
        <v>45110</v>
      </c>
      <c r="B807" s="2" t="inlineStr">
        <is>
          <t>Monday</t>
        </is>
      </c>
      <c r="C807" s="5" t="n">
        <v>45108</v>
      </c>
      <c r="D807" s="2" t="inlineStr">
        <is>
          <t>Q2FY24</t>
        </is>
      </c>
      <c r="E807" s="3" t="n">
        <v>2492</v>
      </c>
      <c r="F807" s="8" t="n">
        <v>2.2044</v>
      </c>
      <c r="G807" s="4" t="n">
        <v>351.2723</v>
      </c>
      <c r="H807" s="4" t="n">
        <v>617.5515</v>
      </c>
      <c r="I807" s="4" t="n">
        <v>10.8</v>
      </c>
      <c r="J807" s="4" t="n">
        <v>12.03</v>
      </c>
      <c r="K807" s="4" t="n">
        <v>10.8</v>
      </c>
      <c r="L807" s="4" t="n">
        <v>11.54</v>
      </c>
      <c r="M807" s="7" t="n">
        <v>0.06850000000000001</v>
      </c>
    </row>
    <row r="808">
      <c r="A808" s="6" t="n">
        <v>45111</v>
      </c>
      <c r="B808" s="2" t="inlineStr">
        <is>
          <t>Tuesday</t>
        </is>
      </c>
      <c r="C808" s="5" t="n">
        <v>45108</v>
      </c>
      <c r="D808" s="2" t="inlineStr">
        <is>
          <t>Q2FY24</t>
        </is>
      </c>
      <c r="E808" s="3" t="n">
        <v>2458</v>
      </c>
      <c r="F808" s="8" t="n">
        <v>2.1481</v>
      </c>
      <c r="G808" s="4" t="n">
        <v>410.5806</v>
      </c>
      <c r="H808" s="4" t="n">
        <v>659.9653</v>
      </c>
      <c r="I808" s="4" t="n">
        <v>11.54</v>
      </c>
      <c r="J808" s="4" t="n">
        <v>11.99</v>
      </c>
      <c r="K808" s="4" t="n">
        <v>11.5225</v>
      </c>
      <c r="L808" s="4" t="n">
        <v>11.7</v>
      </c>
      <c r="M808" s="7" t="n">
        <v>0.0139</v>
      </c>
    </row>
    <row r="809">
      <c r="A809" s="6" t="n">
        <v>45112</v>
      </c>
      <c r="B809" s="2" t="inlineStr">
        <is>
          <t>Wednesday</t>
        </is>
      </c>
      <c r="C809" s="5" t="n">
        <v>45108</v>
      </c>
      <c r="D809" s="2" t="inlineStr">
        <is>
          <t>Q2FY24</t>
        </is>
      </c>
      <c r="E809" s="3" t="n">
        <v>2427</v>
      </c>
      <c r="F809" s="8" t="n">
        <v>2.2384</v>
      </c>
      <c r="G809" s="4" t="n">
        <v>348.9464</v>
      </c>
      <c r="H809" s="4" t="n">
        <v>663.8647</v>
      </c>
      <c r="I809" s="4" t="n">
        <v>11.7</v>
      </c>
      <c r="J809" s="4" t="n">
        <v>12.21</v>
      </c>
      <c r="K809" s="4" t="n">
        <v>11.5675</v>
      </c>
      <c r="L809" s="4" t="n">
        <v>11.8825</v>
      </c>
      <c r="M809" s="7" t="n">
        <v>0.0156</v>
      </c>
    </row>
    <row r="810">
      <c r="A810" s="6" t="n">
        <v>45113</v>
      </c>
      <c r="B810" s="2" t="inlineStr">
        <is>
          <t>Thursday</t>
        </is>
      </c>
      <c r="C810" s="5" t="n">
        <v>45108</v>
      </c>
      <c r="D810" s="2" t="inlineStr">
        <is>
          <t>Q2FY24</t>
        </is>
      </c>
      <c r="E810" s="3" t="n">
        <v>2455</v>
      </c>
      <c r="F810" s="8" t="n">
        <v>2.2674</v>
      </c>
      <c r="G810" s="4" t="n">
        <v>374.7261</v>
      </c>
      <c r="H810" s="4" t="n">
        <v>730.8691</v>
      </c>
      <c r="I810" s="4" t="n">
        <v>11.8825</v>
      </c>
      <c r="J810" s="4" t="n">
        <v>12.205</v>
      </c>
      <c r="K810" s="4" t="n">
        <v>11.7775</v>
      </c>
      <c r="L810" s="4" t="n">
        <v>11.84</v>
      </c>
      <c r="M810" s="7" t="n">
        <v>-0.0036</v>
      </c>
    </row>
    <row r="811">
      <c r="A811" s="6" t="n">
        <v>45114</v>
      </c>
      <c r="B811" s="2" t="inlineStr">
        <is>
          <t>Friday</t>
        </is>
      </c>
      <c r="C811" s="5" t="n">
        <v>45108</v>
      </c>
      <c r="D811" s="2" t="inlineStr">
        <is>
          <t>Q2FY24</t>
        </is>
      </c>
      <c r="E811" s="3" t="n">
        <v>2435</v>
      </c>
      <c r="F811" s="8" t="n">
        <v>2.2995</v>
      </c>
      <c r="G811" s="4" t="n">
        <v>337.3992</v>
      </c>
      <c r="H811" s="4" t="n">
        <v>686.0612</v>
      </c>
      <c r="I811" s="4" t="n">
        <v>11.84</v>
      </c>
      <c r="J811" s="4" t="n">
        <v>12.0725</v>
      </c>
      <c r="K811" s="4" t="n">
        <v>11.08</v>
      </c>
      <c r="L811" s="4" t="n">
        <v>11.5325</v>
      </c>
      <c r="M811" s="7" t="n">
        <v>-0.026</v>
      </c>
    </row>
    <row r="812">
      <c r="A812" s="6" t="n">
        <v>45117</v>
      </c>
      <c r="B812" s="2" t="inlineStr">
        <is>
          <t>Monday</t>
        </is>
      </c>
      <c r="C812" s="5" t="n">
        <v>45108</v>
      </c>
      <c r="D812" s="2" t="inlineStr">
        <is>
          <t>Q2FY24</t>
        </is>
      </c>
      <c r="E812" s="3" t="n">
        <v>2475</v>
      </c>
      <c r="F812" s="8" t="n">
        <v>2.1315</v>
      </c>
      <c r="G812" s="4" t="n">
        <v>268.7695</v>
      </c>
      <c r="H812" s="4" t="n">
        <v>652.2616</v>
      </c>
      <c r="I812" s="4" t="n">
        <v>11.5325</v>
      </c>
      <c r="J812" s="4" t="n">
        <v>12.01</v>
      </c>
      <c r="K812" s="4" t="n">
        <v>11.36</v>
      </c>
      <c r="L812" s="4" t="n">
        <v>11.4625</v>
      </c>
      <c r="M812" s="7" t="n">
        <v>-0.0061</v>
      </c>
    </row>
    <row r="813">
      <c r="A813" s="6" t="n">
        <v>45118</v>
      </c>
      <c r="B813" s="2" t="inlineStr">
        <is>
          <t>Tuesday</t>
        </is>
      </c>
      <c r="C813" s="5" t="n">
        <v>45108</v>
      </c>
      <c r="D813" s="2" t="inlineStr">
        <is>
          <t>Q2FY24</t>
        </is>
      </c>
      <c r="E813" s="3" t="n">
        <v>2433</v>
      </c>
      <c r="F813" s="8" t="n">
        <v>2.291</v>
      </c>
      <c r="G813" s="4" t="n">
        <v>286.362</v>
      </c>
      <c r="H813" s="4" t="n">
        <v>715.2668</v>
      </c>
      <c r="I813" s="4" t="n">
        <v>11.4625</v>
      </c>
      <c r="J813" s="4" t="n">
        <v>11.4625</v>
      </c>
      <c r="K813" s="4" t="n">
        <v>10.945</v>
      </c>
      <c r="L813" s="4" t="n">
        <v>11.0125</v>
      </c>
      <c r="M813" s="7" t="n">
        <v>-0.0393</v>
      </c>
    </row>
    <row r="814">
      <c r="A814" s="6" t="n">
        <v>45119</v>
      </c>
      <c r="B814" s="2" t="inlineStr">
        <is>
          <t>Wednesday</t>
        </is>
      </c>
      <c r="C814" s="5" t="n">
        <v>45108</v>
      </c>
      <c r="D814" s="2" t="inlineStr">
        <is>
          <t>Q2FY24</t>
        </is>
      </c>
      <c r="E814" s="3" t="n">
        <v>2427</v>
      </c>
      <c r="F814" s="8" t="n">
        <v>2.461</v>
      </c>
      <c r="G814" s="4" t="n">
        <v>333.2145</v>
      </c>
      <c r="H814" s="4" t="n">
        <v>907.0228</v>
      </c>
      <c r="I814" s="4" t="n">
        <v>11.0125</v>
      </c>
      <c r="J814" s="4" t="n">
        <v>11.2</v>
      </c>
      <c r="K814" s="4" t="n">
        <v>10.72</v>
      </c>
      <c r="L814" s="4" t="n">
        <v>10.935</v>
      </c>
      <c r="M814" s="7" t="n">
        <v>-0.007</v>
      </c>
    </row>
    <row r="815">
      <c r="A815" s="6" t="n">
        <v>45120</v>
      </c>
      <c r="B815" s="2" t="inlineStr">
        <is>
          <t>Thursday</t>
        </is>
      </c>
      <c r="C815" s="5" t="n">
        <v>45108</v>
      </c>
      <c r="D815" s="2" t="inlineStr">
        <is>
          <t>Q2FY24</t>
        </is>
      </c>
      <c r="E815" s="3" t="n">
        <v>2441</v>
      </c>
      <c r="F815" s="8" t="n">
        <v>2.4974</v>
      </c>
      <c r="G815" s="4" t="n">
        <v>332.7563</v>
      </c>
      <c r="H815" s="4" t="n">
        <v>752.1458</v>
      </c>
      <c r="I815" s="4" t="n">
        <v>10.935</v>
      </c>
      <c r="J815" s="4" t="n">
        <v>11.1725</v>
      </c>
      <c r="K815" s="4" t="n">
        <v>10.695</v>
      </c>
      <c r="L815" s="4" t="n">
        <v>10.9375</v>
      </c>
      <c r="M815" s="7" t="n">
        <v>0.0002</v>
      </c>
    </row>
    <row r="816">
      <c r="A816" s="6" t="n">
        <v>45121</v>
      </c>
      <c r="B816" s="2" t="inlineStr">
        <is>
          <t>Friday</t>
        </is>
      </c>
      <c r="C816" s="5" t="n">
        <v>45108</v>
      </c>
      <c r="D816" s="2" t="inlineStr">
        <is>
          <t>Q2FY24</t>
        </is>
      </c>
      <c r="E816" s="3" t="n">
        <v>2398</v>
      </c>
      <c r="F816" s="8" t="n">
        <v>2.2682</v>
      </c>
      <c r="G816" s="4" t="n">
        <v>275.249</v>
      </c>
      <c r="H816" s="4" t="n">
        <v>668.9181</v>
      </c>
      <c r="I816" s="4" t="n">
        <v>10.9375</v>
      </c>
      <c r="J816" s="4" t="n">
        <v>10.9375</v>
      </c>
      <c r="K816" s="4" t="n">
        <v>10.6125</v>
      </c>
      <c r="L816" s="4" t="n">
        <v>10.6825</v>
      </c>
      <c r="M816" s="7" t="n">
        <v>-0.0233</v>
      </c>
    </row>
    <row r="817">
      <c r="A817" s="6" t="n">
        <v>45124</v>
      </c>
      <c r="B817" s="2" t="inlineStr">
        <is>
          <t>Monday</t>
        </is>
      </c>
      <c r="C817" s="5" t="n">
        <v>45108</v>
      </c>
      <c r="D817" s="2" t="inlineStr">
        <is>
          <t>Q2FY24</t>
        </is>
      </c>
      <c r="E817" s="3" t="n">
        <v>2518</v>
      </c>
      <c r="F817" s="8" t="n">
        <v>2.3412</v>
      </c>
      <c r="G817" s="4" t="n">
        <v>313.5709</v>
      </c>
      <c r="H817" s="4" t="n">
        <v>713.7175999999999</v>
      </c>
      <c r="I817" s="4" t="n">
        <v>10.6825</v>
      </c>
      <c r="J817" s="4" t="n">
        <v>11.3975</v>
      </c>
      <c r="K817" s="4" t="n">
        <v>9.8575</v>
      </c>
      <c r="L817" s="4" t="n">
        <v>11.315</v>
      </c>
      <c r="M817" s="7" t="n">
        <v>0.0592</v>
      </c>
    </row>
    <row r="818">
      <c r="A818" s="6" t="n">
        <v>45125</v>
      </c>
      <c r="B818" s="2" t="inlineStr">
        <is>
          <t>Tuesday</t>
        </is>
      </c>
      <c r="C818" s="5" t="n">
        <v>45108</v>
      </c>
      <c r="D818" s="2" t="inlineStr">
        <is>
          <t>Q2FY24</t>
        </is>
      </c>
      <c r="E818" s="3" t="n">
        <v>2430</v>
      </c>
      <c r="F818" s="8" t="n">
        <v>2.354</v>
      </c>
      <c r="G818" s="4" t="n">
        <v>314.9129</v>
      </c>
      <c r="H818" s="4" t="n">
        <v>761.4789</v>
      </c>
      <c r="I818" s="4" t="n">
        <v>11.315</v>
      </c>
      <c r="J818" s="4" t="n">
        <v>12.02</v>
      </c>
      <c r="K818" s="4" t="n">
        <v>11.0675</v>
      </c>
      <c r="L818" s="4" t="n">
        <v>11.71</v>
      </c>
      <c r="M818" s="7" t="n">
        <v>0.0349</v>
      </c>
    </row>
    <row r="819">
      <c r="A819" s="6" t="n">
        <v>45126</v>
      </c>
      <c r="B819" s="2" t="inlineStr">
        <is>
          <t>Wednesday</t>
        </is>
      </c>
      <c r="C819" s="5" t="n">
        <v>45108</v>
      </c>
      <c r="D819" s="2" t="inlineStr">
        <is>
          <t>Q2FY24</t>
        </is>
      </c>
      <c r="E819" s="3" t="n">
        <v>2409</v>
      </c>
      <c r="F819" s="8" t="n">
        <v>2.1367</v>
      </c>
      <c r="G819" s="4" t="n">
        <v>299.8265</v>
      </c>
      <c r="H819" s="4" t="n">
        <v>669.2128</v>
      </c>
      <c r="I819" s="4" t="n">
        <v>11.71</v>
      </c>
      <c r="J819" s="4" t="n">
        <v>11.9375</v>
      </c>
      <c r="K819" s="4" t="n">
        <v>11.54</v>
      </c>
      <c r="L819" s="4" t="n">
        <v>11.6</v>
      </c>
      <c r="M819" s="7" t="n">
        <v>-0.0094</v>
      </c>
    </row>
    <row r="820">
      <c r="A820" s="6" t="n">
        <v>45127</v>
      </c>
      <c r="B820" s="2" t="inlineStr">
        <is>
          <t>Thursday</t>
        </is>
      </c>
      <c r="C820" s="5" t="n">
        <v>45108</v>
      </c>
      <c r="D820" s="2" t="inlineStr">
        <is>
          <t>Q2FY24</t>
        </is>
      </c>
      <c r="E820" s="3" t="n">
        <v>2401</v>
      </c>
      <c r="F820" s="8" t="n">
        <v>2.2078</v>
      </c>
      <c r="G820" s="4" t="n">
        <v>337.2041</v>
      </c>
      <c r="H820" s="4" t="n">
        <v>741.1246</v>
      </c>
      <c r="I820" s="4" t="n">
        <v>11.6</v>
      </c>
      <c r="J820" s="4" t="n">
        <v>12.255</v>
      </c>
      <c r="K820" s="4" t="n">
        <v>11.37</v>
      </c>
      <c r="L820" s="4" t="n">
        <v>11.785</v>
      </c>
      <c r="M820" s="7" t="n">
        <v>0.0159</v>
      </c>
    </row>
    <row r="821">
      <c r="A821" s="6" t="n">
        <v>45128</v>
      </c>
      <c r="B821" s="2" t="inlineStr">
        <is>
          <t>Friday</t>
        </is>
      </c>
      <c r="C821" s="5" t="n">
        <v>45108</v>
      </c>
      <c r="D821" s="2" t="inlineStr">
        <is>
          <t>Q2FY24</t>
        </is>
      </c>
      <c r="E821" s="3" t="n">
        <v>2393</v>
      </c>
      <c r="F821" s="8" t="n">
        <v>2.5041</v>
      </c>
      <c r="G821" s="4" t="n">
        <v>386.6407</v>
      </c>
      <c r="H821" s="4" t="n">
        <v>821.9569</v>
      </c>
      <c r="I821" s="4" t="n">
        <v>11.785</v>
      </c>
      <c r="J821" s="4" t="n">
        <v>12.0325</v>
      </c>
      <c r="K821" s="4" t="n">
        <v>11.06</v>
      </c>
      <c r="L821" s="4" t="n">
        <v>11.485</v>
      </c>
      <c r="M821" s="7" t="n">
        <v>-0.0255</v>
      </c>
    </row>
    <row r="822">
      <c r="A822" s="6" t="n">
        <v>45131</v>
      </c>
      <c r="B822" s="2" t="inlineStr">
        <is>
          <t>Monday</t>
        </is>
      </c>
      <c r="C822" s="5" t="n">
        <v>45108</v>
      </c>
      <c r="D822" s="2" t="inlineStr">
        <is>
          <t>Q2FY24</t>
        </is>
      </c>
      <c r="E822" s="3" t="n">
        <v>2491</v>
      </c>
      <c r="F822" s="8" t="n">
        <v>2.4956</v>
      </c>
      <c r="G822" s="4" t="n">
        <v>428.7432</v>
      </c>
      <c r="H822" s="4" t="n">
        <v>752.7932</v>
      </c>
      <c r="I822" s="4" t="n">
        <v>11.485</v>
      </c>
      <c r="J822" s="4" t="n">
        <v>11.995</v>
      </c>
      <c r="K822" s="4" t="n">
        <v>10.5375</v>
      </c>
      <c r="L822" s="4" t="n">
        <v>11.6525</v>
      </c>
      <c r="M822" s="7" t="n">
        <v>0.0146</v>
      </c>
    </row>
    <row r="823">
      <c r="A823" s="6" t="n">
        <v>45132</v>
      </c>
      <c r="B823" s="2" t="inlineStr">
        <is>
          <t>Tuesday</t>
        </is>
      </c>
      <c r="C823" s="5" t="n">
        <v>45108</v>
      </c>
      <c r="D823" s="2" t="inlineStr">
        <is>
          <t>Q2FY24</t>
        </is>
      </c>
      <c r="E823" s="3" t="n">
        <v>2462</v>
      </c>
      <c r="F823" s="8" t="n">
        <v>2.5895</v>
      </c>
      <c r="G823" s="4" t="n">
        <v>334.7487</v>
      </c>
      <c r="H823" s="4" t="n">
        <v>764.6495</v>
      </c>
      <c r="I823" s="4" t="n">
        <v>11.6525</v>
      </c>
      <c r="J823" s="4" t="n">
        <v>11.6525</v>
      </c>
      <c r="K823" s="4" t="n">
        <v>10.1125</v>
      </c>
      <c r="L823" s="4" t="n">
        <v>10.2425</v>
      </c>
      <c r="M823" s="7" t="n">
        <v>-0.121</v>
      </c>
    </row>
    <row r="824">
      <c r="A824" s="6" t="n">
        <v>45133</v>
      </c>
      <c r="B824" s="2" t="inlineStr">
        <is>
          <t>Wednesday</t>
        </is>
      </c>
      <c r="C824" s="5" t="n">
        <v>45108</v>
      </c>
      <c r="D824" s="2" t="inlineStr">
        <is>
          <t>Q2FY24</t>
        </is>
      </c>
      <c r="E824" s="3" t="n">
        <v>2474</v>
      </c>
      <c r="F824" s="8" t="n">
        <v>2.3822</v>
      </c>
      <c r="G824" s="4" t="n">
        <v>330.6862</v>
      </c>
      <c r="H824" s="4" t="n">
        <v>694.7074</v>
      </c>
      <c r="I824" s="4" t="n">
        <v>10.2425</v>
      </c>
      <c r="J824" s="4" t="n">
        <v>10.8625</v>
      </c>
      <c r="K824" s="4" t="n">
        <v>10.2175</v>
      </c>
      <c r="L824" s="4" t="n">
        <v>10.4575</v>
      </c>
      <c r="M824" s="7" t="n">
        <v>0.021</v>
      </c>
    </row>
    <row r="825">
      <c r="A825" s="6" t="n">
        <v>45134</v>
      </c>
      <c r="B825" s="2" t="inlineStr">
        <is>
          <t>Thursday</t>
        </is>
      </c>
      <c r="C825" s="5" t="n">
        <v>45108</v>
      </c>
      <c r="D825" s="2" t="inlineStr">
        <is>
          <t>Q2FY24</t>
        </is>
      </c>
      <c r="E825" s="3" t="n">
        <v>2436</v>
      </c>
      <c r="F825" s="8" t="n">
        <v>2.5655</v>
      </c>
      <c r="G825" s="4" t="n">
        <v>355.5395</v>
      </c>
      <c r="H825" s="4" t="n">
        <v>830.0069999999999</v>
      </c>
      <c r="I825" s="4" t="n">
        <v>10.4575</v>
      </c>
      <c r="J825" s="4" t="n">
        <v>10.9825</v>
      </c>
      <c r="K825" s="4" t="n">
        <v>9.887499999999999</v>
      </c>
      <c r="L825" s="4" t="n">
        <v>10.5125</v>
      </c>
      <c r="M825" s="7" t="n">
        <v>0.0053</v>
      </c>
    </row>
    <row r="826">
      <c r="A826" s="6" t="n">
        <v>45135</v>
      </c>
      <c r="B826" s="2" t="inlineStr">
        <is>
          <t>Friday</t>
        </is>
      </c>
      <c r="C826" s="5" t="n">
        <v>45108</v>
      </c>
      <c r="D826" s="2" t="inlineStr">
        <is>
          <t>Q2FY24</t>
        </is>
      </c>
      <c r="E826" s="3" t="n">
        <v>2471</v>
      </c>
      <c r="F826" s="8" t="n">
        <v>2.3984</v>
      </c>
      <c r="G826" s="4" t="n">
        <v>300.1252</v>
      </c>
      <c r="H826" s="4" t="n">
        <v>713.5939</v>
      </c>
      <c r="I826" s="4" t="n">
        <v>10.5125</v>
      </c>
      <c r="J826" s="4" t="n">
        <v>10.81</v>
      </c>
      <c r="K826" s="4" t="n">
        <v>10.035</v>
      </c>
      <c r="L826" s="4" t="n">
        <v>10.135</v>
      </c>
      <c r="M826" s="7" t="n">
        <v>-0.0359</v>
      </c>
    </row>
    <row r="827">
      <c r="A827" s="6" t="n">
        <v>45138</v>
      </c>
      <c r="B827" s="2" t="inlineStr">
        <is>
          <t>Monday</t>
        </is>
      </c>
      <c r="C827" s="5" t="n">
        <v>45108</v>
      </c>
      <c r="D827" s="2" t="inlineStr">
        <is>
          <t>Q2FY24</t>
        </is>
      </c>
      <c r="E827" s="3" t="n">
        <v>2523</v>
      </c>
      <c r="F827" s="8" t="n">
        <v>2.6313</v>
      </c>
      <c r="G827" s="4" t="n">
        <v>369.8882</v>
      </c>
      <c r="H827" s="4" t="n">
        <v>747.1473999999999</v>
      </c>
      <c r="I827" s="4" t="n">
        <v>10.135</v>
      </c>
      <c r="J827" s="4" t="n">
        <v>11.1875</v>
      </c>
      <c r="K827" s="4" t="n">
        <v>10.135</v>
      </c>
      <c r="L827" s="4" t="n">
        <v>10.4125</v>
      </c>
      <c r="M827" s="7" t="n">
        <v>0.0274</v>
      </c>
    </row>
    <row r="828">
      <c r="A828" s="6" t="n">
        <v>45139</v>
      </c>
      <c r="B828" s="2" t="inlineStr">
        <is>
          <t>Tuesday</t>
        </is>
      </c>
      <c r="C828" s="5" t="n">
        <v>45139</v>
      </c>
      <c r="D828" s="2" t="inlineStr">
        <is>
          <t>Q2FY24</t>
        </is>
      </c>
      <c r="E828" s="3" t="n">
        <v>2474</v>
      </c>
      <c r="F828" s="8" t="n">
        <v>2.5265</v>
      </c>
      <c r="G828" s="4" t="n">
        <v>409.194</v>
      </c>
      <c r="H828" s="4" t="n">
        <v>735.4329</v>
      </c>
      <c r="I828" s="4" t="n">
        <v>10.4125</v>
      </c>
      <c r="J828" s="4" t="n">
        <v>10.7025</v>
      </c>
      <c r="K828" s="4" t="n">
        <v>10.195</v>
      </c>
      <c r="L828" s="4" t="n">
        <v>10.2825</v>
      </c>
      <c r="M828" s="7" t="n">
        <v>-0.0125</v>
      </c>
    </row>
    <row r="829">
      <c r="A829" s="6" t="n">
        <v>45140</v>
      </c>
      <c r="B829" s="2" t="inlineStr">
        <is>
          <t>Wednesday</t>
        </is>
      </c>
      <c r="C829" s="5" t="n">
        <v>45139</v>
      </c>
      <c r="D829" s="2" t="inlineStr">
        <is>
          <t>Q2FY24</t>
        </is>
      </c>
      <c r="E829" s="3" t="n">
        <v>2496</v>
      </c>
      <c r="F829" s="8" t="n">
        <v>2.9138</v>
      </c>
      <c r="G829" s="4" t="n">
        <v>415.4878</v>
      </c>
      <c r="H829" s="4" t="n">
        <v>782.171</v>
      </c>
      <c r="I829" s="4" t="n">
        <v>10.2825</v>
      </c>
      <c r="J829" s="4" t="n">
        <v>11.805</v>
      </c>
      <c r="K829" s="4" t="n">
        <v>9.949999999999999</v>
      </c>
      <c r="L829" s="4" t="n">
        <v>11.2775</v>
      </c>
      <c r="M829" s="7" t="n">
        <v>0.0968</v>
      </c>
    </row>
    <row r="830">
      <c r="A830" s="6" t="n">
        <v>45141</v>
      </c>
      <c r="B830" s="2" t="inlineStr">
        <is>
          <t>Thursday</t>
        </is>
      </c>
      <c r="C830" s="5" t="n">
        <v>45139</v>
      </c>
      <c r="D830" s="2" t="inlineStr">
        <is>
          <t>Q2FY24</t>
        </is>
      </c>
      <c r="E830" s="3" t="n">
        <v>2470</v>
      </c>
      <c r="F830" s="8" t="n">
        <v>2.5544</v>
      </c>
      <c r="G830" s="4" t="n">
        <v>377.6424</v>
      </c>
      <c r="H830" s="4" t="n">
        <v>824.4953</v>
      </c>
      <c r="I830" s="4" t="n">
        <v>11.2775</v>
      </c>
      <c r="J830" s="4" t="n">
        <v>11.96</v>
      </c>
      <c r="K830" s="4" t="n">
        <v>10.9825</v>
      </c>
      <c r="L830" s="4" t="n">
        <v>11.185</v>
      </c>
      <c r="M830" s="7" t="n">
        <v>-0.008200000000000001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2470</v>
      </c>
      <c r="F831" s="8" t="n">
        <v>2.5544</v>
      </c>
      <c r="G831" s="4" t="n">
        <v>377.6424</v>
      </c>
      <c r="H831" s="4" t="n">
        <v>824.4953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2472</v>
      </c>
      <c r="F832" s="8" t="n">
        <v>2.4723</v>
      </c>
      <c r="G832" s="4" t="n">
        <v>419.9887</v>
      </c>
      <c r="H832" s="4" t="n">
        <v>793.2852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45148</v>
      </c>
      <c r="B833" s="2" t="inlineStr">
        <is>
          <t>Thursday</t>
        </is>
      </c>
      <c r="C833" s="5" t="n">
        <v>45139</v>
      </c>
      <c r="D833" s="2" t="inlineStr">
        <is>
          <t>Q2FY24</t>
        </is>
      </c>
      <c r="E833" s="3" t="n">
        <v>2470</v>
      </c>
      <c r="F833" s="8" t="n">
        <v>2.6715</v>
      </c>
      <c r="G833" s="4" t="n">
        <v>446.4839</v>
      </c>
      <c r="H833" s="4" t="n">
        <v>819.2182</v>
      </c>
      <c r="I833" s="4" t="n">
        <v>11.14</v>
      </c>
      <c r="J833" s="4" t="n">
        <v>11.91</v>
      </c>
      <c r="K833" s="4" t="n">
        <v>10.6275</v>
      </c>
      <c r="L833" s="4" t="n">
        <v>11.4</v>
      </c>
      <c r="M833" s="7" t="n">
        <v>0.0233</v>
      </c>
    </row>
    <row r="834">
      <c r="A834" s="6" t="n">
        <v>45154</v>
      </c>
      <c r="B834" s="2" t="inlineStr">
        <is>
          <t>Wednesday</t>
        </is>
      </c>
      <c r="C834" s="5" t="n">
        <v>45139</v>
      </c>
      <c r="D834" s="2" t="inlineStr">
        <is>
          <t>Q2FY24</t>
        </is>
      </c>
      <c r="E834" s="3" t="n">
        <v>2502</v>
      </c>
      <c r="F834" s="8" t="n">
        <v>2.4661</v>
      </c>
      <c r="G834" s="4" t="n">
        <v>353.0806</v>
      </c>
      <c r="H834" s="4" t="n">
        <v>721.7747000000001</v>
      </c>
      <c r="I834" s="4" t="n">
        <v>11.995</v>
      </c>
      <c r="J834" s="4" t="n">
        <v>12.6825</v>
      </c>
      <c r="K834" s="4" t="n">
        <v>11.995</v>
      </c>
      <c r="L834" s="4" t="n">
        <v>12.125</v>
      </c>
      <c r="M834" s="7" t="n">
        <v>0.0108</v>
      </c>
    </row>
    <row r="835">
      <c r="A835" s="6" t="n">
        <v>45155</v>
      </c>
      <c r="B835" s="2" t="inlineStr">
        <is>
          <t>Thursday</t>
        </is>
      </c>
      <c r="C835" s="5" t="n">
        <v>45139</v>
      </c>
      <c r="D835" s="2" t="inlineStr">
        <is>
          <t>Q2FY24</t>
        </is>
      </c>
      <c r="E835" s="3" t="n">
        <v>2471</v>
      </c>
      <c r="F835" s="8" t="n">
        <v>2.5641</v>
      </c>
      <c r="G835" s="4" t="n">
        <v>331.608</v>
      </c>
      <c r="H835" s="4" t="n">
        <v>715.8447</v>
      </c>
      <c r="I835" s="4" t="n">
        <v>12.125</v>
      </c>
      <c r="J835" s="4" t="n">
        <v>12.665</v>
      </c>
      <c r="K835" s="4" t="n">
        <v>12.1125</v>
      </c>
      <c r="L835" s="4" t="n">
        <v>12.24</v>
      </c>
      <c r="M835" s="7" t="n">
        <v>0.0095</v>
      </c>
    </row>
    <row r="836">
      <c r="A836" s="6" t="n">
        <v>45156</v>
      </c>
      <c r="B836" s="2" t="inlineStr">
        <is>
          <t>Friday</t>
        </is>
      </c>
      <c r="C836" s="5" t="n">
        <v>45139</v>
      </c>
      <c r="D836" s="2" t="inlineStr">
        <is>
          <t>Q2FY24</t>
        </is>
      </c>
      <c r="E836" s="3" t="n">
        <v>2482</v>
      </c>
      <c r="F836" s="8" t="n">
        <v>2.5935</v>
      </c>
      <c r="G836" s="4" t="n">
        <v>336.0637</v>
      </c>
      <c r="H836" s="4" t="n">
        <v>737.2391</v>
      </c>
      <c r="I836" s="4" t="n">
        <v>12.24</v>
      </c>
      <c r="J836" s="4" t="n">
        <v>12.4925</v>
      </c>
      <c r="K836" s="4" t="n">
        <v>10.7875</v>
      </c>
      <c r="L836" s="4" t="n">
        <v>12.1425</v>
      </c>
      <c r="M836" s="7" t="n">
        <v>-0.008</v>
      </c>
    </row>
    <row r="837">
      <c r="A837" s="6" t="n">
        <v>45159</v>
      </c>
      <c r="B837" s="2" t="inlineStr">
        <is>
          <t>Monday</t>
        </is>
      </c>
      <c r="C837" s="5" t="n">
        <v>45139</v>
      </c>
      <c r="D837" s="2" t="inlineStr">
        <is>
          <t>Q2FY24</t>
        </is>
      </c>
      <c r="E837" s="3" t="n">
        <v>2545</v>
      </c>
      <c r="F837" s="8" t="n">
        <v>2.3638</v>
      </c>
      <c r="G837" s="4" t="n">
        <v>284.6001</v>
      </c>
      <c r="H837" s="4" t="n">
        <v>625.8703</v>
      </c>
      <c r="I837" s="4" t="n">
        <v>12.1425</v>
      </c>
      <c r="J837" s="4" t="n">
        <v>12.59</v>
      </c>
      <c r="K837" s="4" t="n">
        <v>11.1725</v>
      </c>
      <c r="L837" s="4" t="n">
        <v>11.96</v>
      </c>
      <c r="M837" s="7" t="n">
        <v>-0.015</v>
      </c>
    </row>
    <row r="838">
      <c r="A838" s="6" t="n">
        <v>45160</v>
      </c>
      <c r="B838" s="2" t="inlineStr">
        <is>
          <t>Tuesday</t>
        </is>
      </c>
      <c r="C838" s="5" t="n">
        <v>45139</v>
      </c>
      <c r="D838" s="2" t="inlineStr">
        <is>
          <t>Q2FY24</t>
        </is>
      </c>
      <c r="E838" s="3" t="n">
        <v>2496</v>
      </c>
      <c r="F838" s="8" t="n">
        <v>2.3573</v>
      </c>
      <c r="G838" s="4" t="n">
        <v>387.5498</v>
      </c>
      <c r="H838" s="4" t="n">
        <v>667.7281</v>
      </c>
      <c r="I838" s="4" t="n">
        <v>11.96</v>
      </c>
      <c r="J838" s="4" t="n">
        <v>12.085</v>
      </c>
      <c r="K838" s="4" t="n">
        <v>11.59</v>
      </c>
      <c r="L838" s="4" t="n">
        <v>11.7475</v>
      </c>
      <c r="M838" s="7" t="n">
        <v>-0.0178</v>
      </c>
    </row>
    <row r="839">
      <c r="A839" s="6" t="n">
        <v>45161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2471</v>
      </c>
      <c r="F839" s="8" t="n">
        <v>2.4323</v>
      </c>
      <c r="G839" s="4" t="n">
        <v>400.4194</v>
      </c>
      <c r="H839" s="4" t="n">
        <v>716.9686</v>
      </c>
      <c r="I839" s="4" t="n">
        <v>11.7475</v>
      </c>
      <c r="J839" s="4" t="n">
        <v>11.885</v>
      </c>
      <c r="K839" s="4" t="n">
        <v>10.3075</v>
      </c>
      <c r="L839" s="4" t="n">
        <v>11.7275</v>
      </c>
      <c r="M839" s="7" t="n">
        <v>-0.0017</v>
      </c>
    </row>
    <row r="840">
      <c r="A840" s="6" t="n">
        <v>45162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2465</v>
      </c>
      <c r="F840" s="8" t="n">
        <v>2.4756</v>
      </c>
      <c r="G840" s="4" t="n">
        <v>391.7985</v>
      </c>
      <c r="H840" s="4" t="n">
        <v>837.0461</v>
      </c>
      <c r="I840" s="4" t="n">
        <v>11.7275</v>
      </c>
      <c r="J840" s="4" t="n">
        <v>12.235</v>
      </c>
      <c r="K840" s="4" t="n">
        <v>10.1975</v>
      </c>
      <c r="L840" s="4" t="n">
        <v>11.7</v>
      </c>
      <c r="M840" s="7" t="n">
        <v>-0.0023</v>
      </c>
    </row>
    <row r="841">
      <c r="A841" s="6" t="n">
        <v>45163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2491</v>
      </c>
      <c r="F841" s="8" t="n">
        <v>2.3869</v>
      </c>
      <c r="G841" s="4" t="n">
        <v>418.8769</v>
      </c>
      <c r="H841" s="4" t="n">
        <v>728.0149</v>
      </c>
      <c r="I841" s="4" t="n">
        <v>11.7</v>
      </c>
      <c r="J841" s="4" t="n">
        <v>12.2425</v>
      </c>
      <c r="K841" s="4" t="n">
        <v>9.98</v>
      </c>
      <c r="L841" s="4" t="n">
        <v>12.0825</v>
      </c>
      <c r="M841" s="7" t="n">
        <v>0.0327</v>
      </c>
    </row>
    <row r="842">
      <c r="A842" s="6" t="n">
        <v>45166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2532</v>
      </c>
      <c r="F842" s="8" t="n">
        <v>2.3575</v>
      </c>
      <c r="G842" s="4" t="n">
        <v>437.1729</v>
      </c>
      <c r="H842" s="4" t="n">
        <v>640.2692</v>
      </c>
      <c r="I842" s="4" t="n">
        <v>12.0825</v>
      </c>
      <c r="J842" s="4" t="n">
        <v>12.72</v>
      </c>
      <c r="K842" s="4" t="n">
        <v>9.5</v>
      </c>
      <c r="L842" s="4" t="n">
        <v>12.3975</v>
      </c>
      <c r="M842" s="7" t="n">
        <v>0.0261</v>
      </c>
    </row>
    <row r="843">
      <c r="A843" s="6" t="n">
        <v>45167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2492</v>
      </c>
      <c r="F843" s="8" t="n">
        <v>2.4614</v>
      </c>
      <c r="G843" s="4" t="n">
        <v>428.6575</v>
      </c>
      <c r="H843" s="4" t="n">
        <v>725.3746</v>
      </c>
      <c r="I843" s="4" t="n">
        <v>12.3975</v>
      </c>
      <c r="J843" s="4" t="n">
        <v>12.4625</v>
      </c>
      <c r="K843" s="4" t="n">
        <v>10.6475</v>
      </c>
      <c r="L843" s="4" t="n">
        <v>12.225</v>
      </c>
      <c r="M843" s="7" t="n">
        <v>-0.0139</v>
      </c>
    </row>
    <row r="844">
      <c r="A844" s="6" t="n">
        <v>45168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2480</v>
      </c>
      <c r="F844" s="8" t="n">
        <v>2.4861</v>
      </c>
      <c r="G844" s="4" t="n">
        <v>454.7019</v>
      </c>
      <c r="H844" s="4" t="n">
        <v>738.6609</v>
      </c>
      <c r="I844" s="4" t="n">
        <v>12.225</v>
      </c>
      <c r="J844" s="4" t="n">
        <v>12.2425</v>
      </c>
      <c r="K844" s="4" t="n">
        <v>11.4625</v>
      </c>
      <c r="L844" s="4" t="n">
        <v>11.8</v>
      </c>
      <c r="M844" s="7" t="n">
        <v>-0.0348</v>
      </c>
    </row>
    <row r="845">
      <c r="A845" s="6" t="n">
        <v>45169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2462</v>
      </c>
      <c r="F845" s="8" t="n">
        <v>2.9003</v>
      </c>
      <c r="G845" s="4" t="n">
        <v>581.9897999999999</v>
      </c>
      <c r="H845" s="4" t="n">
        <v>1394.0151</v>
      </c>
      <c r="I845" s="4" t="n">
        <v>11.8</v>
      </c>
      <c r="J845" s="4" t="n">
        <v>12.28</v>
      </c>
      <c r="K845" s="4" t="n">
        <v>11.76</v>
      </c>
      <c r="L845" s="4" t="n">
        <v>12.0625</v>
      </c>
      <c r="M845" s="7" t="n">
        <v>0.0222</v>
      </c>
    </row>
    <row r="846">
      <c r="A846" s="6" t="n">
        <v>45170</v>
      </c>
      <c r="B846" s="2" t="inlineStr">
        <is>
          <t>Friday</t>
        </is>
      </c>
      <c r="C846" s="5" t="n">
        <v>45170</v>
      </c>
      <c r="D846" s="2" t="inlineStr">
        <is>
          <t>Q2FY24</t>
        </is>
      </c>
      <c r="E846" s="3" t="n">
        <v>2498</v>
      </c>
      <c r="F846" s="8" t="n">
        <v>2.7645</v>
      </c>
      <c r="G846" s="4" t="n">
        <v>558.2437</v>
      </c>
      <c r="H846" s="4" t="n">
        <v>867.5718000000001</v>
      </c>
      <c r="I846" s="4" t="n">
        <v>12.0625</v>
      </c>
      <c r="J846" s="4" t="n">
        <v>12.18</v>
      </c>
      <c r="K846" s="4" t="n">
        <v>10.4075</v>
      </c>
      <c r="L846" s="4" t="n">
        <v>11.365</v>
      </c>
      <c r="M846" s="7" t="n">
        <v>-0.0578</v>
      </c>
    </row>
    <row r="847">
      <c r="A847" s="6" t="n">
        <v>45173</v>
      </c>
      <c r="B847" s="2" t="inlineStr">
        <is>
          <t>Monday</t>
        </is>
      </c>
      <c r="C847" s="5" t="n">
        <v>45170</v>
      </c>
      <c r="D847" s="2" t="inlineStr">
        <is>
          <t>Q2FY24</t>
        </is>
      </c>
      <c r="E847" s="3" t="n">
        <v>2548</v>
      </c>
      <c r="F847" s="8" t="n">
        <v>3.0372</v>
      </c>
      <c r="G847" s="4" t="n">
        <v>667.3181</v>
      </c>
      <c r="H847" s="4" t="n">
        <v>909.4871000000001</v>
      </c>
      <c r="I847" s="4" t="n">
        <v>11.365</v>
      </c>
      <c r="J847" s="4" t="n">
        <v>11.5425</v>
      </c>
      <c r="K847" s="4" t="n">
        <v>10.86</v>
      </c>
      <c r="L847" s="4" t="n">
        <v>10.9625</v>
      </c>
      <c r="M847" s="7" t="n">
        <v>-0.0354</v>
      </c>
    </row>
    <row r="848">
      <c r="A848" s="6" t="n">
        <v>45174</v>
      </c>
      <c r="B848" s="2" t="inlineStr">
        <is>
          <t>Tuesday</t>
        </is>
      </c>
      <c r="C848" s="5" t="n">
        <v>45170</v>
      </c>
      <c r="D848" s="2" t="inlineStr">
        <is>
          <t>Q2FY24</t>
        </is>
      </c>
      <c r="E848" s="3" t="n">
        <v>2535</v>
      </c>
      <c r="F848" s="8" t="n">
        <v>2.962</v>
      </c>
      <c r="G848" s="4" t="n">
        <v>572.2019</v>
      </c>
      <c r="H848" s="4" t="n">
        <v>887.4088</v>
      </c>
      <c r="I848" s="4" t="n">
        <v>10.9625</v>
      </c>
      <c r="J848" s="4" t="n">
        <v>11.085</v>
      </c>
      <c r="K848" s="4" t="n">
        <v>9.365</v>
      </c>
      <c r="L848" s="4" t="n">
        <v>10.815</v>
      </c>
      <c r="M848" s="7" t="n">
        <v>-0.0135</v>
      </c>
    </row>
    <row r="849">
      <c r="A849" s="6" t="n">
        <v>45175</v>
      </c>
      <c r="B849" s="2" t="inlineStr">
        <is>
          <t>Wednesday</t>
        </is>
      </c>
      <c r="C849" s="5" t="n">
        <v>45170</v>
      </c>
      <c r="D849" s="2" t="inlineStr">
        <is>
          <t>Q2FY24</t>
        </is>
      </c>
      <c r="E849" s="3" t="n">
        <v>2526</v>
      </c>
      <c r="F849" s="8" t="n">
        <v>2.9091</v>
      </c>
      <c r="G849" s="4" t="n">
        <v>522.0739</v>
      </c>
      <c r="H849" s="4" t="n">
        <v>898.7405</v>
      </c>
      <c r="I849" s="4" t="n">
        <v>10.815</v>
      </c>
      <c r="J849" s="4" t="n">
        <v>10.975</v>
      </c>
      <c r="K849" s="4" t="n">
        <v>9.805</v>
      </c>
      <c r="L849" s="4" t="n">
        <v>10.6775</v>
      </c>
      <c r="M849" s="7" t="n">
        <v>-0.0127</v>
      </c>
    </row>
    <row r="850">
      <c r="A850" s="6" t="n">
        <v>45176</v>
      </c>
      <c r="B850" s="2" t="inlineStr">
        <is>
          <t>Thursday</t>
        </is>
      </c>
      <c r="C850" s="5" t="n">
        <v>45170</v>
      </c>
      <c r="D850" s="2" t="inlineStr">
        <is>
          <t>Q2FY24</t>
        </is>
      </c>
      <c r="E850" s="3" t="n">
        <v>2522</v>
      </c>
      <c r="F850" s="8" t="n">
        <v>2.6617</v>
      </c>
      <c r="G850" s="4" t="n">
        <v>503.5862</v>
      </c>
      <c r="H850" s="4" t="n">
        <v>809.9077</v>
      </c>
      <c r="I850" s="4" t="n">
        <v>10.6775</v>
      </c>
      <c r="J850" s="4" t="n">
        <v>11.025</v>
      </c>
      <c r="K850" s="4" t="n">
        <v>9.800000000000001</v>
      </c>
      <c r="L850" s="4" t="n">
        <v>10.8725</v>
      </c>
      <c r="M850" s="7" t="n">
        <v>0.0183</v>
      </c>
    </row>
    <row r="851">
      <c r="A851" s="6" t="n">
        <v>45177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2517</v>
      </c>
      <c r="F851" s="8" t="n">
        <v>2.7214</v>
      </c>
      <c r="G851" s="4" t="n">
        <v>531.5288</v>
      </c>
      <c r="H851" s="4" t="n">
        <v>912.9076</v>
      </c>
      <c r="I851" s="4" t="n">
        <v>10.8725</v>
      </c>
      <c r="J851" s="4" t="n">
        <v>10.97</v>
      </c>
      <c r="K851" s="4" t="n">
        <v>10.0775</v>
      </c>
      <c r="L851" s="4" t="n">
        <v>10.78</v>
      </c>
      <c r="M851" s="7" t="n">
        <v>-0.008500000000000001</v>
      </c>
    </row>
    <row r="852">
      <c r="A852" s="6" t="n">
        <v>45180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2574</v>
      </c>
      <c r="F852" s="8" t="n">
        <v>2.9755</v>
      </c>
      <c r="G852" s="4" t="n">
        <v>599.147</v>
      </c>
      <c r="H852" s="4" t="n">
        <v>923.6438000000001</v>
      </c>
      <c r="I852" s="4" t="n">
        <v>10.78</v>
      </c>
      <c r="J852" s="4" t="n">
        <v>11.5</v>
      </c>
      <c r="K852" s="4" t="n">
        <v>10.3375</v>
      </c>
      <c r="L852" s="4" t="n">
        <v>11.3475</v>
      </c>
      <c r="M852" s="7" t="n">
        <v>0.0526</v>
      </c>
    </row>
    <row r="853">
      <c r="A853" s="6" t="n">
        <v>45181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2530</v>
      </c>
      <c r="F853" s="8" t="n">
        <v>3.7469</v>
      </c>
      <c r="G853" s="4" t="n">
        <v>729.9998000000001</v>
      </c>
      <c r="H853" s="4" t="n">
        <v>1082.7808</v>
      </c>
      <c r="I853" s="4" t="n">
        <v>11.3475</v>
      </c>
      <c r="J853" s="4" t="n">
        <v>12.0225</v>
      </c>
      <c r="K853" s="4" t="n">
        <v>10.7125</v>
      </c>
      <c r="L853" s="4" t="n">
        <v>11.69</v>
      </c>
      <c r="M853" s="7" t="n">
        <v>0.0302</v>
      </c>
    </row>
    <row r="854">
      <c r="A854" s="6" t="n">
        <v>45182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2514</v>
      </c>
      <c r="F854" s="8" t="n">
        <v>2.9239</v>
      </c>
      <c r="G854" s="4" t="n">
        <v>566.7747000000001</v>
      </c>
      <c r="H854" s="4" t="n">
        <v>850.9507</v>
      </c>
      <c r="I854" s="4" t="n">
        <v>11.69</v>
      </c>
      <c r="J854" s="4" t="n">
        <v>12.0475</v>
      </c>
      <c r="K854" s="4" t="n">
        <v>11.535</v>
      </c>
      <c r="L854" s="4" t="n">
        <v>11.8275</v>
      </c>
      <c r="M854" s="7" t="n">
        <v>0.0118</v>
      </c>
    </row>
    <row r="855">
      <c r="A855" s="6" t="n">
        <v>45183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2510</v>
      </c>
      <c r="F855" s="8" t="n">
        <v>2.7142</v>
      </c>
      <c r="G855" s="4" t="n">
        <v>485.4012</v>
      </c>
      <c r="H855" s="4" t="n">
        <v>764.9782</v>
      </c>
      <c r="I855" s="4" t="n">
        <v>11.8275</v>
      </c>
      <c r="J855" s="4" t="n">
        <v>12.0425</v>
      </c>
      <c r="K855" s="4" t="n">
        <v>11.21</v>
      </c>
      <c r="L855" s="4" t="n">
        <v>11.3175</v>
      </c>
      <c r="M855" s="7" t="n">
        <v>-0.0431</v>
      </c>
    </row>
    <row r="856">
      <c r="A856" s="6" t="n">
        <v>45184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2511</v>
      </c>
      <c r="F856" s="8" t="n">
        <v>2.8153</v>
      </c>
      <c r="G856" s="4" t="n">
        <v>627.6488000000001</v>
      </c>
      <c r="H856" s="4" t="n">
        <v>1129.1811</v>
      </c>
      <c r="I856" s="4" t="n">
        <v>11.3175</v>
      </c>
      <c r="J856" s="4" t="n">
        <v>11.32</v>
      </c>
      <c r="K856" s="4" t="n">
        <v>10.0725</v>
      </c>
      <c r="L856" s="4" t="n">
        <v>10.9025</v>
      </c>
      <c r="M856" s="7" t="n">
        <v>-0.0367</v>
      </c>
    </row>
    <row r="857">
      <c r="A857" s="6" t="n">
        <v>45187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2554</v>
      </c>
      <c r="F857" s="8" t="n">
        <v>2.5479</v>
      </c>
      <c r="G857" s="4" t="n">
        <v>652.5173</v>
      </c>
      <c r="H857" s="4" t="n">
        <v>786.8674</v>
      </c>
      <c r="I857" s="4" t="n">
        <v>10.9025</v>
      </c>
      <c r="J857" s="4" t="n">
        <v>11.4075</v>
      </c>
      <c r="K857" s="4" t="n">
        <v>10.45</v>
      </c>
      <c r="L857" s="4" t="n">
        <v>10.835</v>
      </c>
      <c r="M857" s="7" t="n">
        <v>-0.0062</v>
      </c>
    </row>
    <row r="858">
      <c r="A858" s="6" t="n">
        <v>45189</v>
      </c>
      <c r="B858" s="2" t="inlineStr">
        <is>
          <t>Wednesday</t>
        </is>
      </c>
      <c r="C858" s="5" t="n">
        <v>45170</v>
      </c>
      <c r="D858" s="2" t="inlineStr">
        <is>
          <t>Q2FY24</t>
        </is>
      </c>
      <c r="E858" s="3" t="n">
        <v>2508</v>
      </c>
      <c r="F858" s="8" t="n">
        <v>2.7166</v>
      </c>
      <c r="G858" s="4" t="n">
        <v>471.1661</v>
      </c>
      <c r="H858" s="4" t="n">
        <v>900.2385</v>
      </c>
      <c r="I858" s="4" t="n">
        <v>10.835</v>
      </c>
      <c r="J858" s="4" t="n">
        <v>11.47</v>
      </c>
      <c r="K858" s="4" t="n">
        <v>10.835</v>
      </c>
      <c r="L858" s="4" t="n">
        <v>11.1275</v>
      </c>
      <c r="M858" s="7" t="n">
        <v>0.027</v>
      </c>
    </row>
    <row r="859">
      <c r="A859" s="6" t="n">
        <v>45190</v>
      </c>
      <c r="B859" s="2" t="inlineStr">
        <is>
          <t>Thursday</t>
        </is>
      </c>
      <c r="C859" s="5" t="n">
        <v>45170</v>
      </c>
      <c r="D859" s="2" t="inlineStr">
        <is>
          <t>Q2FY24</t>
        </is>
      </c>
      <c r="E859" s="3" t="n">
        <v>2498</v>
      </c>
      <c r="F859" s="8" t="n">
        <v>2.5892</v>
      </c>
      <c r="G859" s="4" t="n">
        <v>452.192</v>
      </c>
      <c r="H859" s="4" t="n">
        <v>743.7542999999999</v>
      </c>
      <c r="I859" s="4" t="n">
        <v>11.1275</v>
      </c>
      <c r="J859" s="4" t="n">
        <v>11.39</v>
      </c>
      <c r="K859" s="4" t="n">
        <v>10.62</v>
      </c>
      <c r="L859" s="4" t="n">
        <v>10.8175</v>
      </c>
      <c r="M859" s="7" t="n">
        <v>-0.0279</v>
      </c>
    </row>
    <row r="860">
      <c r="A860" s="6" t="n">
        <v>45191</v>
      </c>
      <c r="B860" s="2" t="inlineStr">
        <is>
          <t>Friday</t>
        </is>
      </c>
      <c r="C860" s="5" t="n">
        <v>45170</v>
      </c>
      <c r="D860" s="2" t="inlineStr">
        <is>
          <t>Q2FY24</t>
        </is>
      </c>
      <c r="E860" s="3" t="n">
        <v>2496</v>
      </c>
      <c r="F860" s="8" t="n">
        <v>2.4828</v>
      </c>
      <c r="G860" s="4" t="n">
        <v>480.1856</v>
      </c>
      <c r="H860" s="4" t="n">
        <v>734.7275</v>
      </c>
      <c r="I860" s="4" t="n">
        <v>10.8175</v>
      </c>
      <c r="J860" s="4" t="n">
        <v>11.0725</v>
      </c>
      <c r="K860" s="4" t="n">
        <v>10.3925</v>
      </c>
      <c r="L860" s="4" t="n">
        <v>10.66</v>
      </c>
      <c r="M860" s="7" t="n">
        <v>-0.0146</v>
      </c>
    </row>
    <row r="861">
      <c r="A861" s="6" t="n">
        <v>45194</v>
      </c>
      <c r="B861" s="2" t="inlineStr">
        <is>
          <t>Monday</t>
        </is>
      </c>
      <c r="C861" s="5" t="n">
        <v>45170</v>
      </c>
      <c r="D861" s="2" t="inlineStr">
        <is>
          <t>Q2FY24</t>
        </is>
      </c>
      <c r="E861" s="3" t="n">
        <v>2554</v>
      </c>
      <c r="F861" s="8" t="n">
        <v>2.3955</v>
      </c>
      <c r="G861" s="4" t="n">
        <v>373.3186</v>
      </c>
      <c r="H861" s="4" t="n">
        <v>671.2754</v>
      </c>
      <c r="I861" s="4" t="n">
        <v>10.66</v>
      </c>
      <c r="J861" s="4" t="n">
        <v>11.305</v>
      </c>
      <c r="K861" s="4" t="n">
        <v>10.2725</v>
      </c>
      <c r="L861" s="4" t="n">
        <v>10.9</v>
      </c>
      <c r="M861" s="7" t="n">
        <v>0.0225</v>
      </c>
    </row>
    <row r="862">
      <c r="A862" s="6" t="n">
        <v>45195</v>
      </c>
      <c r="B862" s="2" t="inlineStr">
        <is>
          <t>Tuesday</t>
        </is>
      </c>
      <c r="C862" s="5" t="n">
        <v>45170</v>
      </c>
      <c r="D862" s="2" t="inlineStr">
        <is>
          <t>Q2FY24</t>
        </is>
      </c>
      <c r="E862" s="3" t="n">
        <v>2529</v>
      </c>
      <c r="F862" s="8" t="n">
        <v>2.2665</v>
      </c>
      <c r="G862" s="4" t="n">
        <v>365.7475</v>
      </c>
      <c r="H862" s="4" t="n">
        <v>622.6153</v>
      </c>
      <c r="I862" s="4" t="n">
        <v>10.9</v>
      </c>
      <c r="J862" s="4" t="n">
        <v>11.29</v>
      </c>
      <c r="K862" s="4" t="n">
        <v>9.2475</v>
      </c>
      <c r="L862" s="4" t="n">
        <v>11.185</v>
      </c>
      <c r="M862" s="7" t="n">
        <v>0.0261</v>
      </c>
    </row>
    <row r="863">
      <c r="A863" s="6" t="n">
        <v>45196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2500</v>
      </c>
      <c r="F863" s="8" t="n">
        <v>2.3006</v>
      </c>
      <c r="G863" s="4" t="n">
        <v>390.089</v>
      </c>
      <c r="H863" s="4" t="n">
        <v>671.4681</v>
      </c>
      <c r="I863" s="4" t="n">
        <v>11.185</v>
      </c>
      <c r="J863" s="4" t="n">
        <v>11.8225</v>
      </c>
      <c r="K863" s="4" t="n">
        <v>9.390000000000001</v>
      </c>
      <c r="L863" s="4" t="n">
        <v>11.585</v>
      </c>
      <c r="M863" s="7" t="n">
        <v>0.0358</v>
      </c>
    </row>
    <row r="864">
      <c r="A864" s="6" t="n">
        <v>45197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2517</v>
      </c>
      <c r="F864" s="8" t="n">
        <v>2.6159</v>
      </c>
      <c r="G864" s="4" t="n">
        <v>426.1052</v>
      </c>
      <c r="H864" s="4" t="n">
        <v>863.9403</v>
      </c>
      <c r="I864" s="4" t="n">
        <v>11.585</v>
      </c>
      <c r="J864" s="4" t="n">
        <v>13.0225</v>
      </c>
      <c r="K864" s="4" t="n">
        <v>9.397500000000001</v>
      </c>
      <c r="L864" s="4" t="n">
        <v>12.8225</v>
      </c>
      <c r="M864" s="7" t="n">
        <v>0.1068</v>
      </c>
    </row>
    <row r="865">
      <c r="A865" s="6" t="n">
        <v>45198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2515</v>
      </c>
      <c r="F865" s="8" t="n">
        <v>2.3145</v>
      </c>
      <c r="G865" s="4" t="n">
        <v>316.7214</v>
      </c>
      <c r="H865" s="4" t="n">
        <v>675.6221</v>
      </c>
      <c r="I865" s="4" t="n">
        <v>12.8225</v>
      </c>
      <c r="J865" s="4" t="n">
        <v>12.8225</v>
      </c>
      <c r="K865" s="4" t="n">
        <v>11.3075</v>
      </c>
      <c r="L865" s="4" t="n">
        <v>11.4525</v>
      </c>
      <c r="M865" s="7" t="n">
        <v>-0.1068</v>
      </c>
    </row>
    <row r="866">
      <c r="A866" s="6" t="n">
        <v>45202</v>
      </c>
      <c r="B866" s="2" t="inlineStr">
        <is>
          <t>Tuesday</t>
        </is>
      </c>
      <c r="C866" s="5" t="n">
        <v>45200</v>
      </c>
      <c r="D866" s="2" t="inlineStr">
        <is>
          <t>Q3FY24</t>
        </is>
      </c>
      <c r="E866" s="3" t="n">
        <v>2589</v>
      </c>
      <c r="F866" s="8" t="n">
        <v>2.5767</v>
      </c>
      <c r="G866" s="4" t="n">
        <v>376.6203</v>
      </c>
      <c r="H866" s="4" t="n">
        <v>703.6986000000001</v>
      </c>
      <c r="I866" s="4" t="n">
        <v>11.4525</v>
      </c>
      <c r="J866" s="4" t="n">
        <v>12.4075</v>
      </c>
      <c r="K866" s="4" t="n">
        <v>10.775</v>
      </c>
      <c r="L866" s="4" t="n">
        <v>11.7875</v>
      </c>
      <c r="M866" s="7" t="n">
        <v>0.0293</v>
      </c>
    </row>
    <row r="867">
      <c r="A867" s="6" t="n">
        <v>45203</v>
      </c>
      <c r="B867" s="2" t="inlineStr">
        <is>
          <t>Wednesday</t>
        </is>
      </c>
      <c r="C867" s="5" t="n">
        <v>45200</v>
      </c>
      <c r="D867" s="2" t="inlineStr">
        <is>
          <t>Q3FY24</t>
        </is>
      </c>
      <c r="E867" s="3" t="n">
        <v>2546</v>
      </c>
      <c r="F867" s="8" t="n">
        <v>2.6376</v>
      </c>
      <c r="G867" s="4" t="n">
        <v>454.0434</v>
      </c>
      <c r="H867" s="4" t="n">
        <v>770.0418</v>
      </c>
      <c r="I867" s="4" t="n">
        <v>11.7875</v>
      </c>
      <c r="J867" s="4" t="n">
        <v>12.22</v>
      </c>
      <c r="K867" s="4" t="n">
        <v>11.115</v>
      </c>
      <c r="L867" s="4" t="n">
        <v>11.655</v>
      </c>
      <c r="M867" s="7" t="n">
        <v>-0.0112</v>
      </c>
    </row>
    <row r="868">
      <c r="A868" s="6" t="n">
        <v>45204</v>
      </c>
      <c r="B868" s="2" t="inlineStr">
        <is>
          <t>Thursday</t>
        </is>
      </c>
      <c r="C868" s="5" t="n">
        <v>45200</v>
      </c>
      <c r="D868" s="2" t="inlineStr">
        <is>
          <t>Q3FY24</t>
        </is>
      </c>
      <c r="E868" s="3" t="n">
        <v>2529</v>
      </c>
      <c r="F868" s="8" t="n">
        <v>2.3322</v>
      </c>
      <c r="G868" s="4" t="n">
        <v>392.5451</v>
      </c>
      <c r="H868" s="4" t="n">
        <v>661.3027</v>
      </c>
      <c r="I868" s="4" t="n">
        <v>11.655</v>
      </c>
      <c r="J868" s="4" t="n">
        <v>11.655</v>
      </c>
      <c r="K868" s="4" t="n">
        <v>10.8425</v>
      </c>
      <c r="L868" s="4" t="n">
        <v>10.94</v>
      </c>
      <c r="M868" s="7" t="n">
        <v>-0.0613</v>
      </c>
    </row>
    <row r="869">
      <c r="A869" s="6" t="n">
        <v>45205</v>
      </c>
      <c r="B869" s="2" t="inlineStr">
        <is>
          <t>Friday</t>
        </is>
      </c>
      <c r="C869" s="5" t="n">
        <v>45200</v>
      </c>
      <c r="D869" s="2" t="inlineStr">
        <is>
          <t>Q3FY24</t>
        </is>
      </c>
      <c r="E869" s="3" t="n">
        <v>2554</v>
      </c>
      <c r="F869" s="8" t="n">
        <v>2.2108</v>
      </c>
      <c r="G869" s="4" t="n">
        <v>358.7472</v>
      </c>
      <c r="H869" s="4" t="n">
        <v>608.1399</v>
      </c>
      <c r="I869" s="4" t="n">
        <v>10.94</v>
      </c>
      <c r="J869" s="4" t="n">
        <v>10.94</v>
      </c>
      <c r="K869" s="4" t="n">
        <v>9.73</v>
      </c>
      <c r="L869" s="4" t="n">
        <v>10.3</v>
      </c>
      <c r="M869" s="7" t="n">
        <v>-0.0585</v>
      </c>
    </row>
    <row r="870">
      <c r="A870" s="6" t="n">
        <v>45208</v>
      </c>
      <c r="B870" s="2" t="inlineStr">
        <is>
          <t>Monday</t>
        </is>
      </c>
      <c r="C870" s="5" t="n">
        <v>45200</v>
      </c>
      <c r="D870" s="2" t="inlineStr">
        <is>
          <t>Q3FY24</t>
        </is>
      </c>
      <c r="E870" s="3" t="n">
        <v>2566</v>
      </c>
      <c r="F870" s="8" t="n">
        <v>2.4089</v>
      </c>
      <c r="G870" s="4" t="n">
        <v>366.8899</v>
      </c>
      <c r="H870" s="4" t="n">
        <v>572.1142</v>
      </c>
      <c r="I870" s="4" t="n">
        <v>10.3</v>
      </c>
      <c r="J870" s="4" t="n">
        <v>11.6325</v>
      </c>
      <c r="K870" s="4" t="n">
        <v>10.12</v>
      </c>
      <c r="L870" s="4" t="n">
        <v>11.4</v>
      </c>
      <c r="M870" s="7" t="n">
        <v>0.1068</v>
      </c>
    </row>
    <row r="871">
      <c r="A871" s="6" t="n">
        <v>45209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2545</v>
      </c>
      <c r="F871" s="8" t="n">
        <v>2.3586</v>
      </c>
      <c r="G871" s="4" t="n">
        <v>311.7599</v>
      </c>
      <c r="H871" s="4" t="n">
        <v>622.6058</v>
      </c>
      <c r="I871" s="4" t="n">
        <v>11.4</v>
      </c>
      <c r="J871" s="4" t="n">
        <v>11.4</v>
      </c>
      <c r="K871" s="4" t="n">
        <v>10.855</v>
      </c>
      <c r="L871" s="4" t="n">
        <v>11.27</v>
      </c>
      <c r="M871" s="7" t="n">
        <v>-0.0114</v>
      </c>
    </row>
    <row r="872">
      <c r="A872" s="6" t="n">
        <v>45210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2550</v>
      </c>
      <c r="F872" s="8" t="n">
        <v>2.3783</v>
      </c>
      <c r="G872" s="4" t="n">
        <v>365.6056</v>
      </c>
      <c r="H872" s="4" t="n">
        <v>675.869</v>
      </c>
      <c r="I872" s="4" t="n">
        <v>11.27</v>
      </c>
      <c r="J872" s="4" t="n">
        <v>11.3225</v>
      </c>
      <c r="K872" s="4" t="n">
        <v>10.39</v>
      </c>
      <c r="L872" s="4" t="n">
        <v>10.985</v>
      </c>
      <c r="M872" s="7" t="n">
        <v>-0.0253</v>
      </c>
    </row>
    <row r="873">
      <c r="A873" s="6" t="n">
        <v>45211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2551</v>
      </c>
      <c r="F873" s="8" t="n">
        <v>2.3643</v>
      </c>
      <c r="G873" s="4" t="n">
        <v>349.3612</v>
      </c>
      <c r="H873" s="4" t="n">
        <v>667.6922</v>
      </c>
      <c r="I873" s="4" t="n">
        <v>10.985</v>
      </c>
      <c r="J873" s="4" t="n">
        <v>11.1175</v>
      </c>
      <c r="K873" s="4" t="n">
        <v>10.565</v>
      </c>
      <c r="L873" s="4" t="n">
        <v>10.6175</v>
      </c>
      <c r="M873" s="7" t="n">
        <v>-0.0335</v>
      </c>
    </row>
    <row r="874">
      <c r="A874" s="6" t="n">
        <v>45212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2541</v>
      </c>
      <c r="F874" s="8" t="n">
        <v>2.4016</v>
      </c>
      <c r="G874" s="4" t="n">
        <v>353.5627</v>
      </c>
      <c r="H874" s="4" t="n">
        <v>711.4690000000001</v>
      </c>
      <c r="I874" s="4" t="n">
        <v>10.6175</v>
      </c>
      <c r="J874" s="4" t="n">
        <v>11.025</v>
      </c>
      <c r="K874" s="4" t="n">
        <v>10.4025</v>
      </c>
      <c r="L874" s="4" t="n">
        <v>10.6175</v>
      </c>
      <c r="M874" s="7" t="n">
        <v>0</v>
      </c>
    </row>
    <row r="875">
      <c r="A875" s="6" t="n">
        <v>45215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2583</v>
      </c>
      <c r="F875" s="8" t="n">
        <v>2.4428</v>
      </c>
      <c r="G875" s="4" t="n">
        <v>365.5884</v>
      </c>
      <c r="H875" s="4" t="n">
        <v>644.4414</v>
      </c>
      <c r="I875" s="4" t="n">
        <v>10.6175</v>
      </c>
      <c r="J875" s="4" t="n">
        <v>11.1525</v>
      </c>
      <c r="K875" s="4" t="n">
        <v>9.1525</v>
      </c>
      <c r="L875" s="4" t="n">
        <v>11.07</v>
      </c>
      <c r="M875" s="7" t="n">
        <v>0.0426</v>
      </c>
    </row>
    <row r="876">
      <c r="A876" s="6" t="n">
        <v>45216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2565</v>
      </c>
      <c r="F876" s="8" t="n">
        <v>2.4001</v>
      </c>
      <c r="G876" s="4" t="n">
        <v>380.4028</v>
      </c>
      <c r="H876" s="4" t="n">
        <v>675.8703</v>
      </c>
      <c r="I876" s="4" t="n">
        <v>11.07</v>
      </c>
      <c r="J876" s="4" t="n">
        <v>11.07</v>
      </c>
      <c r="K876" s="4" t="n">
        <v>10.4275</v>
      </c>
      <c r="L876" s="4" t="n">
        <v>10.695</v>
      </c>
      <c r="M876" s="7" t="n">
        <v>-0.0339</v>
      </c>
    </row>
    <row r="877">
      <c r="A877" s="6" t="n">
        <v>45217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2546</v>
      </c>
      <c r="F877" s="8" t="n">
        <v>2.5906</v>
      </c>
      <c r="G877" s="4" t="n">
        <v>396.7376</v>
      </c>
      <c r="H877" s="4" t="n">
        <v>713.7492999999999</v>
      </c>
      <c r="I877" s="4" t="n">
        <v>10.695</v>
      </c>
      <c r="J877" s="4" t="n">
        <v>11.17</v>
      </c>
      <c r="K877" s="4" t="n">
        <v>10.485</v>
      </c>
      <c r="L877" s="4" t="n">
        <v>10.965</v>
      </c>
      <c r="M877" s="7" t="n">
        <v>0.0252</v>
      </c>
    </row>
    <row r="878">
      <c r="A878" s="6" t="n">
        <v>45218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2522</v>
      </c>
      <c r="F878" s="8" t="n">
        <v>2.5337</v>
      </c>
      <c r="G878" s="4" t="n">
        <v>382.4145</v>
      </c>
      <c r="H878" s="4" t="n">
        <v>689.9485</v>
      </c>
      <c r="I878" s="4" t="n">
        <v>10.965</v>
      </c>
      <c r="J878" s="4" t="n">
        <v>11.2125</v>
      </c>
      <c r="K878" s="4" t="n">
        <v>10.0475</v>
      </c>
      <c r="L878" s="4" t="n">
        <v>10.8975</v>
      </c>
      <c r="M878" s="7" t="n">
        <v>-0.0062</v>
      </c>
    </row>
    <row r="879">
      <c r="A879" s="6" t="n">
        <v>45219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2526</v>
      </c>
      <c r="F879" s="8" t="n">
        <v>2.5421</v>
      </c>
      <c r="G879" s="4" t="n">
        <v>418.1626</v>
      </c>
      <c r="H879" s="4" t="n">
        <v>698.2834</v>
      </c>
      <c r="I879" s="4" t="n">
        <v>10.8975</v>
      </c>
      <c r="J879" s="4" t="n">
        <v>11.09</v>
      </c>
      <c r="K879" s="4" t="n">
        <v>10.075</v>
      </c>
      <c r="L879" s="4" t="n">
        <v>10.8175</v>
      </c>
      <c r="M879" s="7" t="n">
        <v>-0.0073</v>
      </c>
    </row>
    <row r="880">
      <c r="A880" s="6" t="n">
        <v>45222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2592</v>
      </c>
      <c r="F880" s="8" t="n">
        <v>2.9805</v>
      </c>
      <c r="G880" s="4" t="n">
        <v>405.7986</v>
      </c>
      <c r="H880" s="4" t="n">
        <v>699.6778</v>
      </c>
      <c r="I880" s="4" t="n">
        <v>10.8175</v>
      </c>
      <c r="J880" s="4" t="n">
        <v>11.3575</v>
      </c>
      <c r="K880" s="4" t="n">
        <v>8.824999999999999</v>
      </c>
      <c r="L880" s="4" t="n">
        <v>10.905</v>
      </c>
      <c r="M880" s="7" t="n">
        <v>0.0081</v>
      </c>
    </row>
    <row r="881">
      <c r="A881" s="6" t="n">
        <v>45224</v>
      </c>
      <c r="B881" s="2" t="inlineStr">
        <is>
          <t>Wednesday</t>
        </is>
      </c>
      <c r="C881" s="5" t="n">
        <v>45200</v>
      </c>
      <c r="D881" s="2" t="inlineStr">
        <is>
          <t>Q3FY24</t>
        </is>
      </c>
      <c r="E881" s="3" t="n">
        <v>2539</v>
      </c>
      <c r="F881" s="8" t="n">
        <v>2.9463</v>
      </c>
      <c r="G881" s="4" t="n">
        <v>381.3956</v>
      </c>
      <c r="H881" s="4" t="n">
        <v>680.5629</v>
      </c>
      <c r="I881" s="4" t="n">
        <v>10.905</v>
      </c>
      <c r="J881" s="4" t="n">
        <v>12.1775</v>
      </c>
      <c r="K881" s="4" t="n">
        <v>9.965</v>
      </c>
      <c r="L881" s="4" t="n">
        <v>11.3125</v>
      </c>
      <c r="M881" s="7" t="n">
        <v>0.0374</v>
      </c>
    </row>
    <row r="882">
      <c r="A882" s="6" t="n">
        <v>45225</v>
      </c>
      <c r="B882" s="2" t="inlineStr">
        <is>
          <t>Thursday</t>
        </is>
      </c>
      <c r="C882" s="5" t="n">
        <v>45200</v>
      </c>
      <c r="D882" s="2" t="inlineStr">
        <is>
          <t>Q3FY24</t>
        </is>
      </c>
      <c r="E882" s="3" t="n">
        <v>2579</v>
      </c>
      <c r="F882" s="8" t="n">
        <v>3.3143</v>
      </c>
      <c r="G882" s="4" t="n">
        <v>392.7212</v>
      </c>
      <c r="H882" s="4" t="n">
        <v>807.0452</v>
      </c>
      <c r="I882" s="4" t="n">
        <v>11.3125</v>
      </c>
      <c r="J882" s="4" t="n">
        <v>12.7</v>
      </c>
      <c r="K882" s="4" t="n">
        <v>11.3125</v>
      </c>
      <c r="L882" s="4" t="n">
        <v>11.73</v>
      </c>
      <c r="M882" s="7" t="n">
        <v>0.0369</v>
      </c>
    </row>
    <row r="883">
      <c r="A883" s="6" t="n">
        <v>45226</v>
      </c>
      <c r="B883" s="2" t="inlineStr">
        <is>
          <t>Friday</t>
        </is>
      </c>
      <c r="C883" s="5" t="n">
        <v>45200</v>
      </c>
      <c r="D883" s="2" t="inlineStr">
        <is>
          <t>Q3FY24</t>
        </is>
      </c>
      <c r="E883" s="3" t="n">
        <v>2520</v>
      </c>
      <c r="F883" s="8" t="n">
        <v>2.4353</v>
      </c>
      <c r="G883" s="4" t="n">
        <v>325.8219</v>
      </c>
      <c r="H883" s="4" t="n">
        <v>645.0679</v>
      </c>
      <c r="I883" s="4" t="n">
        <v>11.73</v>
      </c>
      <c r="J883" s="4" t="n">
        <v>12.305</v>
      </c>
      <c r="K883" s="4" t="n">
        <v>10.6725</v>
      </c>
      <c r="L883" s="4" t="n">
        <v>10.905</v>
      </c>
      <c r="M883" s="7" t="n">
        <v>-0.0703</v>
      </c>
    </row>
    <row r="884">
      <c r="A884" s="6" t="n">
        <v>45229</v>
      </c>
      <c r="B884" s="2" t="inlineStr">
        <is>
          <t>Monday</t>
        </is>
      </c>
      <c r="C884" s="5" t="n">
        <v>45200</v>
      </c>
      <c r="D884" s="2" t="inlineStr">
        <is>
          <t>Q3FY24</t>
        </is>
      </c>
      <c r="E884" s="3" t="n">
        <v>2578</v>
      </c>
      <c r="F884" s="8" t="n">
        <v>2.3107</v>
      </c>
      <c r="G884" s="4" t="n">
        <v>323.5144</v>
      </c>
      <c r="H884" s="4" t="n">
        <v>579.8982</v>
      </c>
      <c r="I884" s="4" t="n">
        <v>10.905</v>
      </c>
      <c r="J884" s="4" t="n">
        <v>12.1925</v>
      </c>
      <c r="K884" s="4" t="n">
        <v>10.905</v>
      </c>
      <c r="L884" s="4" t="n">
        <v>11.49</v>
      </c>
      <c r="M884" s="7" t="n">
        <v>0.0536</v>
      </c>
    </row>
    <row r="885">
      <c r="A885" s="6" t="n">
        <v>45230</v>
      </c>
      <c r="B885" s="2" t="inlineStr">
        <is>
          <t>Tuesday</t>
        </is>
      </c>
      <c r="C885" s="5" t="n">
        <v>45200</v>
      </c>
      <c r="D885" s="2" t="inlineStr">
        <is>
          <t>Q3FY24</t>
        </is>
      </c>
      <c r="E885" s="3" t="n">
        <v>2547</v>
      </c>
      <c r="F885" s="8" t="n">
        <v>2.3436</v>
      </c>
      <c r="G885" s="4" t="n">
        <v>290.1253</v>
      </c>
      <c r="H885" s="4" t="n">
        <v>607.7115</v>
      </c>
      <c r="I885" s="4" t="n">
        <v>11.49</v>
      </c>
      <c r="J885" s="4" t="n">
        <v>12.285</v>
      </c>
      <c r="K885" s="4" t="n">
        <v>11.2625</v>
      </c>
      <c r="L885" s="4" t="n">
        <v>11.825</v>
      </c>
      <c r="M885" s="7" t="n">
        <v>0.0292</v>
      </c>
    </row>
    <row r="886">
      <c r="A886" s="6" t="n">
        <v>45231</v>
      </c>
      <c r="B886" s="2" t="inlineStr">
        <is>
          <t>Wednesday</t>
        </is>
      </c>
      <c r="C886" s="5" t="n">
        <v>45231</v>
      </c>
      <c r="D886" s="2" t="inlineStr">
        <is>
          <t>Q3FY24</t>
        </is>
      </c>
      <c r="E886" s="3" t="n">
        <v>2565</v>
      </c>
      <c r="F886" s="8" t="n">
        <v>2.3205</v>
      </c>
      <c r="G886" s="4" t="n">
        <v>373.6618</v>
      </c>
      <c r="H886" s="4" t="n">
        <v>600.0656</v>
      </c>
      <c r="I886" s="4" t="n">
        <v>11.825</v>
      </c>
      <c r="J886" s="4" t="n">
        <v>12.195</v>
      </c>
      <c r="K886" s="4" t="n">
        <v>11.825</v>
      </c>
      <c r="L886" s="4" t="n">
        <v>12.0475</v>
      </c>
      <c r="M886" s="7" t="n">
        <v>0.0188</v>
      </c>
    </row>
    <row r="887">
      <c r="A887" s="6" t="n">
        <v>45232</v>
      </c>
      <c r="B887" s="2" t="inlineStr">
        <is>
          <t>Thursday</t>
        </is>
      </c>
      <c r="C887" s="5" t="n">
        <v>45231</v>
      </c>
      <c r="D887" s="2" t="inlineStr">
        <is>
          <t>Q3FY24</t>
        </is>
      </c>
      <c r="E887" s="3" t="n">
        <v>2558</v>
      </c>
      <c r="F887" s="8" t="n">
        <v>2.2631</v>
      </c>
      <c r="G887" s="4" t="n">
        <v>364.0341</v>
      </c>
      <c r="H887" s="4" t="n">
        <v>614.0372</v>
      </c>
      <c r="I887" s="4" t="n">
        <v>12.0475</v>
      </c>
      <c r="J887" s="4" t="n">
        <v>12.0475</v>
      </c>
      <c r="K887" s="4" t="n">
        <v>10.9475</v>
      </c>
      <c r="L887" s="4" t="n">
        <v>11.075</v>
      </c>
      <c r="M887" s="7" t="n">
        <v>-0.08069999999999999</v>
      </c>
    </row>
    <row r="888">
      <c r="A888" s="6" t="n">
        <v>45233</v>
      </c>
      <c r="B888" s="2" t="inlineStr">
        <is>
          <t>Friday</t>
        </is>
      </c>
      <c r="C888" s="5" t="n">
        <v>45231</v>
      </c>
      <c r="D888" s="2" t="inlineStr">
        <is>
          <t>Q3FY24</t>
        </is>
      </c>
      <c r="E888" s="3" t="n">
        <v>2588</v>
      </c>
      <c r="F888" s="8" t="n">
        <v>2.1963</v>
      </c>
      <c r="G888" s="4" t="n">
        <v>431.3007</v>
      </c>
      <c r="H888" s="4" t="n">
        <v>623.7825</v>
      </c>
      <c r="I888" s="4" t="n">
        <v>11.075</v>
      </c>
      <c r="J888" s="4" t="n">
        <v>11.075</v>
      </c>
      <c r="K888" s="4" t="n">
        <v>10.635</v>
      </c>
      <c r="L888" s="4" t="n">
        <v>10.8825</v>
      </c>
      <c r="M888" s="7" t="n">
        <v>-0.0174</v>
      </c>
    </row>
    <row r="889">
      <c r="A889" s="6" t="n">
        <v>45236</v>
      </c>
      <c r="B889" s="2" t="inlineStr">
        <is>
          <t>Monday</t>
        </is>
      </c>
      <c r="C889" s="5" t="n">
        <v>45231</v>
      </c>
      <c r="D889" s="2" t="inlineStr">
        <is>
          <t>Q3FY24</t>
        </is>
      </c>
      <c r="E889" s="3" t="n">
        <v>2595</v>
      </c>
      <c r="F889" s="8" t="n">
        <v>2.4351</v>
      </c>
      <c r="G889" s="4" t="n">
        <v>481.8032</v>
      </c>
      <c r="H889" s="4" t="n">
        <v>661.6041</v>
      </c>
      <c r="I889" s="4" t="n">
        <v>10.8825</v>
      </c>
      <c r="J889" s="4" t="n">
        <v>11.28</v>
      </c>
      <c r="K889" s="4" t="n">
        <v>10.38</v>
      </c>
      <c r="L889" s="4" t="n">
        <v>11.105</v>
      </c>
      <c r="M889" s="7" t="n">
        <v>0.0204</v>
      </c>
    </row>
    <row r="890">
      <c r="A890" s="6" t="n">
        <v>45237</v>
      </c>
      <c r="B890" s="2" t="inlineStr">
        <is>
          <t>Tuesday</t>
        </is>
      </c>
      <c r="C890" s="5" t="n">
        <v>45231</v>
      </c>
      <c r="D890" s="2" t="inlineStr">
        <is>
          <t>Q3FY24</t>
        </is>
      </c>
      <c r="E890" s="3" t="n">
        <v>2555</v>
      </c>
      <c r="F890" s="8" t="n">
        <v>2.5854</v>
      </c>
      <c r="G890" s="4" t="n">
        <v>473.4504</v>
      </c>
      <c r="H890" s="4" t="n">
        <v>704.0014</v>
      </c>
      <c r="I890" s="4" t="n">
        <v>11.105</v>
      </c>
      <c r="J890" s="4" t="n">
        <v>12.1775</v>
      </c>
      <c r="K890" s="4" t="n">
        <v>11</v>
      </c>
      <c r="L890" s="4" t="n">
        <v>11.1925</v>
      </c>
      <c r="M890" s="7" t="n">
        <v>0.007900000000000001</v>
      </c>
    </row>
    <row r="891">
      <c r="A891" s="6" t="n">
        <v>45238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2552</v>
      </c>
      <c r="F891" s="8" t="n">
        <v>2.468</v>
      </c>
      <c r="G891" s="4" t="n">
        <v>402.4123</v>
      </c>
      <c r="H891" s="4" t="n">
        <v>668.4979</v>
      </c>
      <c r="I891" s="4" t="n">
        <v>11.1925</v>
      </c>
      <c r="J891" s="4" t="n">
        <v>11.3325</v>
      </c>
      <c r="K891" s="4" t="n">
        <v>10.63</v>
      </c>
      <c r="L891" s="4" t="n">
        <v>11.0375</v>
      </c>
      <c r="M891" s="7" t="n">
        <v>-0.0138</v>
      </c>
    </row>
    <row r="892">
      <c r="A892" s="6" t="n">
        <v>45239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2566</v>
      </c>
      <c r="F892" s="8" t="n">
        <v>2.4382</v>
      </c>
      <c r="G892" s="4" t="n">
        <v>406.1162</v>
      </c>
      <c r="H892" s="4" t="n">
        <v>676.1729</v>
      </c>
      <c r="I892" s="4" t="n">
        <v>11.0375</v>
      </c>
      <c r="J892" s="4" t="n">
        <v>11.2525</v>
      </c>
      <c r="K892" s="4" t="n">
        <v>10.37</v>
      </c>
      <c r="L892" s="4" t="n">
        <v>10.9825</v>
      </c>
      <c r="M892" s="7" t="n">
        <v>-0.005</v>
      </c>
    </row>
    <row r="893">
      <c r="A893" s="6" t="n">
        <v>45240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2560</v>
      </c>
      <c r="F893" s="8" t="n">
        <v>2.1838</v>
      </c>
      <c r="G893" s="4" t="n">
        <v>342.2144</v>
      </c>
      <c r="H893" s="4" t="n">
        <v>584.1963</v>
      </c>
      <c r="I893" s="4" t="n">
        <v>10.9825</v>
      </c>
      <c r="J893" s="4" t="n">
        <v>11.3575</v>
      </c>
      <c r="K893" s="4" t="n">
        <v>9.859999999999999</v>
      </c>
      <c r="L893" s="4" t="n">
        <v>11.1075</v>
      </c>
      <c r="M893" s="7" t="n">
        <v>0.0114</v>
      </c>
    </row>
    <row r="894">
      <c r="A894" s="6" t="n">
        <v>45242</v>
      </c>
      <c r="B894" s="2" t="inlineStr">
        <is>
          <t>Sunday</t>
        </is>
      </c>
      <c r="C894" s="5" t="n">
        <v>45231</v>
      </c>
      <c r="D894" s="2" t="inlineStr">
        <is>
          <t>Q3FY24</t>
        </is>
      </c>
      <c r="E894" s="3" t="n">
        <v>2463</v>
      </c>
      <c r="F894" s="8" t="n">
        <v>0.735</v>
      </c>
      <c r="G894" s="4" t="n">
        <v>100.906</v>
      </c>
      <c r="H894" s="4" t="n">
        <v>140.913</v>
      </c>
      <c r="I894" s="4" t="n">
        <v>11.1075</v>
      </c>
      <c r="J894" s="4" t="n">
        <v>11.54</v>
      </c>
      <c r="K894" s="4" t="n">
        <v>9.7525</v>
      </c>
      <c r="L894" s="4" t="n">
        <v>11.3475</v>
      </c>
      <c r="M894" s="7" t="n">
        <v>0.0216</v>
      </c>
    </row>
    <row r="895">
      <c r="A895" s="6" t="n">
        <v>45243</v>
      </c>
      <c r="B895" s="2" t="inlineStr">
        <is>
          <t>Monday</t>
        </is>
      </c>
      <c r="C895" s="5" t="n">
        <v>45231</v>
      </c>
      <c r="D895" s="2" t="inlineStr">
        <is>
          <t>Q3FY24</t>
        </is>
      </c>
      <c r="E895" s="3" t="n">
        <v>2559</v>
      </c>
      <c r="F895" s="8" t="n">
        <v>2.1994</v>
      </c>
      <c r="G895" s="4" t="n">
        <v>400.9147</v>
      </c>
      <c r="H895" s="4" t="n">
        <v>598.1420000000001</v>
      </c>
      <c r="I895" s="4" t="n">
        <v>11.3475</v>
      </c>
      <c r="J895" s="4" t="n">
        <v>11.6325</v>
      </c>
      <c r="K895" s="4" t="n">
        <v>10.5025</v>
      </c>
      <c r="L895" s="4" t="n">
        <v>11.1875</v>
      </c>
      <c r="M895" s="7" t="n">
        <v>-0.0141</v>
      </c>
    </row>
    <row r="896">
      <c r="A896" s="6" t="n">
        <v>45245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2573</v>
      </c>
      <c r="F896" s="8" t="n">
        <v>2.7965</v>
      </c>
      <c r="G896" s="4" t="n">
        <v>447.9369</v>
      </c>
      <c r="H896" s="4" t="n">
        <v>810.759</v>
      </c>
      <c r="I896" s="4" t="n">
        <v>11.1875</v>
      </c>
      <c r="J896" s="4" t="n">
        <v>11.4175</v>
      </c>
      <c r="K896" s="4" t="n">
        <v>8.395</v>
      </c>
      <c r="L896" s="4" t="n">
        <v>11.135</v>
      </c>
      <c r="M896" s="7" t="n">
        <v>-0.0047</v>
      </c>
    </row>
    <row r="897">
      <c r="A897" s="6" t="n">
        <v>45246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2602</v>
      </c>
      <c r="F897" s="8" t="n">
        <v>2.5786</v>
      </c>
      <c r="G897" s="4" t="n">
        <v>406.103</v>
      </c>
      <c r="H897" s="4" t="n">
        <v>753.4181</v>
      </c>
      <c r="I897" s="4" t="n">
        <v>11.135</v>
      </c>
      <c r="J897" s="4" t="n">
        <v>11.8075</v>
      </c>
      <c r="K897" s="4" t="n">
        <v>10.6175</v>
      </c>
      <c r="L897" s="4" t="n">
        <v>11.6475</v>
      </c>
      <c r="M897" s="7" t="n">
        <v>0.046</v>
      </c>
    </row>
    <row r="898">
      <c r="A898" s="6" t="n">
        <v>45247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2590</v>
      </c>
      <c r="F898" s="8" t="n">
        <v>2.8303</v>
      </c>
      <c r="G898" s="4" t="n">
        <v>501.0388</v>
      </c>
      <c r="H898" s="4" t="n">
        <v>814.9657999999999</v>
      </c>
      <c r="I898" s="4" t="n">
        <v>11.6475</v>
      </c>
      <c r="J898" s="4" t="n">
        <v>12.09</v>
      </c>
      <c r="K898" s="4" t="n">
        <v>10.19</v>
      </c>
      <c r="L898" s="4" t="n">
        <v>11.8275</v>
      </c>
      <c r="M898" s="7" t="n">
        <v>0.0155</v>
      </c>
    </row>
    <row r="899">
      <c r="A899" s="6" t="n">
        <v>45250</v>
      </c>
      <c r="B899" s="2" t="inlineStr">
        <is>
          <t>Monday</t>
        </is>
      </c>
      <c r="C899" s="5" t="n">
        <v>45231</v>
      </c>
      <c r="D899" s="2" t="inlineStr">
        <is>
          <t>Q3FY24</t>
        </is>
      </c>
      <c r="E899" s="3" t="n">
        <v>2646</v>
      </c>
      <c r="F899" s="8" t="n">
        <v>2.5921</v>
      </c>
      <c r="G899" s="4" t="n">
        <v>393.3552</v>
      </c>
      <c r="H899" s="4" t="n">
        <v>673.7825</v>
      </c>
      <c r="I899" s="4" t="n">
        <v>11.8275</v>
      </c>
      <c r="J899" s="4" t="n">
        <v>12.67</v>
      </c>
      <c r="K899" s="4" t="n">
        <v>11.2</v>
      </c>
      <c r="L899" s="4" t="n">
        <v>12.1475</v>
      </c>
      <c r="M899" s="7" t="n">
        <v>0.0271</v>
      </c>
    </row>
    <row r="900">
      <c r="A900" s="6" t="n">
        <v>45251</v>
      </c>
      <c r="B900" s="2" t="inlineStr">
        <is>
          <t>Tuesday</t>
        </is>
      </c>
      <c r="C900" s="5" t="n">
        <v>45231</v>
      </c>
      <c r="D900" s="2" t="inlineStr">
        <is>
          <t>Q3FY24</t>
        </is>
      </c>
      <c r="E900" s="3" t="n">
        <v>2605</v>
      </c>
      <c r="F900" s="8" t="n">
        <v>2.5411</v>
      </c>
      <c r="G900" s="4" t="n">
        <v>358.7371</v>
      </c>
      <c r="H900" s="4" t="n">
        <v>682.0635</v>
      </c>
      <c r="I900" s="4" t="n">
        <v>12.1475</v>
      </c>
      <c r="J900" s="4" t="n">
        <v>12.435</v>
      </c>
      <c r="K900" s="4" t="n">
        <v>10.755</v>
      </c>
      <c r="L900" s="4" t="n">
        <v>12.2325</v>
      </c>
      <c r="M900" s="7" t="n">
        <v>0.007</v>
      </c>
    </row>
    <row r="901">
      <c r="A901" s="6" t="n">
        <v>45252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2595</v>
      </c>
      <c r="F901" s="8" t="n">
        <v>2.4505</v>
      </c>
      <c r="G901" s="4" t="n">
        <v>322.3501</v>
      </c>
      <c r="H901" s="4" t="n">
        <v>647.8326</v>
      </c>
      <c r="I901" s="4" t="n">
        <v>12.2325</v>
      </c>
      <c r="J901" s="4" t="n">
        <v>12.7075</v>
      </c>
      <c r="K901" s="4" t="n">
        <v>11.0225</v>
      </c>
      <c r="L901" s="4" t="n">
        <v>11.865</v>
      </c>
      <c r="M901" s="7" t="n">
        <v>-0.03</v>
      </c>
    </row>
    <row r="902">
      <c r="A902" s="6" t="n">
        <v>45253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2562</v>
      </c>
      <c r="F902" s="8" t="n">
        <v>2.2708</v>
      </c>
      <c r="G902" s="4" t="n">
        <v>351.9612</v>
      </c>
      <c r="H902" s="4" t="n">
        <v>602.9926</v>
      </c>
      <c r="I902" s="4" t="n">
        <v>11.865</v>
      </c>
      <c r="J902" s="4" t="n">
        <v>12.14</v>
      </c>
      <c r="K902" s="4" t="n">
        <v>10.975</v>
      </c>
      <c r="L902" s="4" t="n">
        <v>11.315</v>
      </c>
      <c r="M902" s="7" t="n">
        <v>-0.0464</v>
      </c>
    </row>
    <row r="903">
      <c r="A903" s="6" t="n">
        <v>45254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2560</v>
      </c>
      <c r="F903" s="8" t="n">
        <v>2.3197</v>
      </c>
      <c r="G903" s="4" t="n">
        <v>327.9383</v>
      </c>
      <c r="H903" s="4" t="n">
        <v>636.0329</v>
      </c>
      <c r="I903" s="4" t="n">
        <v>11.315</v>
      </c>
      <c r="J903" s="4" t="n">
        <v>11.465</v>
      </c>
      <c r="K903" s="4" t="n">
        <v>8.6775</v>
      </c>
      <c r="L903" s="4" t="n">
        <v>11.33</v>
      </c>
      <c r="M903" s="7" t="n">
        <v>0.0013</v>
      </c>
    </row>
    <row r="904">
      <c r="A904" s="6" t="n">
        <v>45258</v>
      </c>
      <c r="B904" s="2" t="inlineStr">
        <is>
          <t>Tuesday</t>
        </is>
      </c>
      <c r="C904" s="5" t="n">
        <v>45231</v>
      </c>
      <c r="D904" s="2" t="inlineStr">
        <is>
          <t>Q3FY24</t>
        </is>
      </c>
      <c r="E904" s="3" t="n">
        <v>2623</v>
      </c>
      <c r="F904" s="8" t="n">
        <v>2.9695</v>
      </c>
      <c r="G904" s="4" t="n">
        <v>358.7318</v>
      </c>
      <c r="H904" s="4" t="n">
        <v>811.3407999999999</v>
      </c>
      <c r="I904" s="4" t="n">
        <v>11.33</v>
      </c>
      <c r="J904" s="4" t="n">
        <v>12.4925</v>
      </c>
      <c r="K904" s="4" t="n">
        <v>11.065</v>
      </c>
      <c r="L904" s="4" t="n">
        <v>12.175</v>
      </c>
      <c r="M904" s="7" t="n">
        <v>0.0746</v>
      </c>
    </row>
    <row r="905">
      <c r="A905" s="6" t="n">
        <v>45259</v>
      </c>
      <c r="B905" s="2" t="inlineStr">
        <is>
          <t>Wednesday</t>
        </is>
      </c>
      <c r="C905" s="5" t="n">
        <v>45231</v>
      </c>
      <c r="D905" s="2" t="inlineStr">
        <is>
          <t>Q3FY24</t>
        </is>
      </c>
      <c r="E905" s="3" t="n">
        <v>2611</v>
      </c>
      <c r="F905" s="8" t="n">
        <v>2.8507</v>
      </c>
      <c r="G905" s="4" t="n">
        <v>446.5806</v>
      </c>
      <c r="H905" s="4" t="n">
        <v>845.1185</v>
      </c>
      <c r="I905" s="4" t="n">
        <v>12.175</v>
      </c>
      <c r="J905" s="4" t="n">
        <v>14.46</v>
      </c>
      <c r="K905" s="4" t="n">
        <v>11.3325</v>
      </c>
      <c r="L905" s="4" t="n">
        <v>12.7075</v>
      </c>
      <c r="M905" s="7" t="n">
        <v>0.0437</v>
      </c>
    </row>
    <row r="906">
      <c r="A906" s="6" t="n">
        <v>45260</v>
      </c>
      <c r="B906" s="2" t="inlineStr">
        <is>
          <t>Thursday</t>
        </is>
      </c>
      <c r="C906" s="5" t="n">
        <v>45231</v>
      </c>
      <c r="D906" s="2" t="inlineStr">
        <is>
          <t>Q3FY24</t>
        </is>
      </c>
      <c r="E906" s="3" t="n">
        <v>2608</v>
      </c>
      <c r="F906" s="8" t="n">
        <v>3.8501</v>
      </c>
      <c r="G906" s="4" t="n">
        <v>663.0906</v>
      </c>
      <c r="H906" s="4" t="n">
        <v>1679.3429</v>
      </c>
      <c r="I906" s="4" t="n">
        <v>12.7075</v>
      </c>
      <c r="J906" s="4" t="n">
        <v>13.3525</v>
      </c>
      <c r="K906" s="4" t="n">
        <v>11.7625</v>
      </c>
      <c r="L906" s="4" t="n">
        <v>12.69</v>
      </c>
      <c r="M906" s="7" t="n">
        <v>-0.0014</v>
      </c>
    </row>
    <row r="907">
      <c r="A907" s="6" t="n">
        <v>45261</v>
      </c>
      <c r="B907" s="2" t="inlineStr">
        <is>
          <t>Friday</t>
        </is>
      </c>
      <c r="C907" s="5" t="n">
        <v>45261</v>
      </c>
      <c r="D907" s="2" t="inlineStr">
        <is>
          <t>Q3FY24</t>
        </is>
      </c>
      <c r="E907" s="3" t="n">
        <v>2622</v>
      </c>
      <c r="F907" s="8" t="n">
        <v>3.0227</v>
      </c>
      <c r="G907" s="4" t="n">
        <v>398.7315</v>
      </c>
      <c r="H907" s="4" t="n">
        <v>965.9689</v>
      </c>
      <c r="I907" s="4" t="n">
        <v>12.69</v>
      </c>
      <c r="J907" s="4" t="n">
        <v>12.755</v>
      </c>
      <c r="K907" s="4" t="n">
        <v>11.7775</v>
      </c>
      <c r="L907" s="4" t="n">
        <v>12.3825</v>
      </c>
      <c r="M907" s="7" t="n">
        <v>-0.0242</v>
      </c>
    </row>
    <row r="908">
      <c r="A908" s="6" t="n">
        <v>45264</v>
      </c>
      <c r="B908" s="2" t="inlineStr">
        <is>
          <t>Monday</t>
        </is>
      </c>
      <c r="C908" s="5" t="n">
        <v>45261</v>
      </c>
      <c r="D908" s="2" t="inlineStr">
        <is>
          <t>Q3FY24</t>
        </is>
      </c>
      <c r="E908" s="3" t="n">
        <v>2665</v>
      </c>
      <c r="F908" s="8" t="n">
        <v>3.4357</v>
      </c>
      <c r="G908" s="4" t="n">
        <v>454.4879</v>
      </c>
      <c r="H908" s="4" t="n">
        <v>1068.4091</v>
      </c>
      <c r="I908" s="4" t="n">
        <v>12.3825</v>
      </c>
      <c r="J908" s="4" t="n">
        <v>13.16</v>
      </c>
      <c r="K908" s="4" t="n">
        <v>11.34</v>
      </c>
      <c r="L908" s="4" t="n">
        <v>12.9925</v>
      </c>
      <c r="M908" s="7" t="n">
        <v>0.0493</v>
      </c>
    </row>
    <row r="909">
      <c r="A909" s="6" t="n">
        <v>45265</v>
      </c>
      <c r="B909" s="2" t="inlineStr">
        <is>
          <t>Tuesday</t>
        </is>
      </c>
      <c r="C909" s="5" t="n">
        <v>45261</v>
      </c>
      <c r="D909" s="2" t="inlineStr">
        <is>
          <t>Q3FY24</t>
        </is>
      </c>
      <c r="E909" s="3" t="n">
        <v>2628</v>
      </c>
      <c r="F909" s="8" t="n">
        <v>3.5402</v>
      </c>
      <c r="G909" s="4" t="n">
        <v>515.2159</v>
      </c>
      <c r="H909" s="4" t="n">
        <v>1199.2129</v>
      </c>
      <c r="I909" s="4" t="n">
        <v>12.9925</v>
      </c>
      <c r="J909" s="4" t="n">
        <v>13.8825</v>
      </c>
      <c r="K909" s="4" t="n">
        <v>11.475</v>
      </c>
      <c r="L909" s="4" t="n">
        <v>13.4575</v>
      </c>
      <c r="M909" s="7" t="n">
        <v>0.0358</v>
      </c>
    </row>
    <row r="910">
      <c r="A910" s="6" t="n">
        <v>45266</v>
      </c>
      <c r="B910" s="2" t="inlineStr">
        <is>
          <t>Wednesday</t>
        </is>
      </c>
      <c r="C910" s="5" t="n">
        <v>45261</v>
      </c>
      <c r="D910" s="2" t="inlineStr">
        <is>
          <t>Q3FY24</t>
        </is>
      </c>
      <c r="E910" s="3" t="n">
        <v>2612</v>
      </c>
      <c r="F910" s="8" t="n">
        <v>3.5051</v>
      </c>
      <c r="G910" s="4" t="n">
        <v>483.7414</v>
      </c>
      <c r="H910" s="4" t="n">
        <v>1177.0128</v>
      </c>
      <c r="I910" s="4" t="n">
        <v>13.4575</v>
      </c>
      <c r="J910" s="4" t="n">
        <v>14.0875</v>
      </c>
      <c r="K910" s="4" t="n">
        <v>12.6875</v>
      </c>
      <c r="L910" s="4" t="n">
        <v>13.74</v>
      </c>
      <c r="M910" s="7" t="n">
        <v>0.021</v>
      </c>
    </row>
    <row r="911">
      <c r="A911" s="6" t="n">
        <v>45267</v>
      </c>
      <c r="B911" s="2" t="inlineStr">
        <is>
          <t>Thursday</t>
        </is>
      </c>
      <c r="C911" s="5" t="n">
        <v>45261</v>
      </c>
      <c r="D911" s="2" t="inlineStr">
        <is>
          <t>Q3FY24</t>
        </is>
      </c>
      <c r="E911" s="3" t="n">
        <v>2598</v>
      </c>
      <c r="F911" s="8" t="n">
        <v>3.3191</v>
      </c>
      <c r="G911" s="4" t="n">
        <v>517.4911</v>
      </c>
      <c r="H911" s="4" t="n">
        <v>1027.0916</v>
      </c>
      <c r="I911" s="4" t="n">
        <v>13.74</v>
      </c>
      <c r="J911" s="4" t="n">
        <v>13.74</v>
      </c>
      <c r="K911" s="4" t="n">
        <v>12.545</v>
      </c>
      <c r="L911" s="4" t="n">
        <v>12.6725</v>
      </c>
      <c r="M911" s="7" t="n">
        <v>-0.07770000000000001</v>
      </c>
    </row>
    <row r="912">
      <c r="A912" s="6" t="n">
        <v>45268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2618</v>
      </c>
      <c r="F912" s="8" t="n">
        <v>3.4262</v>
      </c>
      <c r="G912" s="4" t="n">
        <v>605.0349</v>
      </c>
      <c r="H912" s="4" t="n">
        <v>1060.9621</v>
      </c>
      <c r="I912" s="4" t="n">
        <v>12.6725</v>
      </c>
      <c r="J912" s="4" t="n">
        <v>12.875</v>
      </c>
      <c r="K912" s="4" t="n">
        <v>12.135</v>
      </c>
      <c r="L912" s="4" t="n">
        <v>12.47</v>
      </c>
      <c r="M912" s="7" t="n">
        <v>-0.016</v>
      </c>
    </row>
    <row r="913">
      <c r="A913" s="6" t="n">
        <v>45271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2662</v>
      </c>
      <c r="F913" s="8" t="n">
        <v>3.014</v>
      </c>
      <c r="G913" s="4" t="n">
        <v>531.009</v>
      </c>
      <c r="H913" s="4" t="n">
        <v>876.5285</v>
      </c>
      <c r="I913" s="4" t="n">
        <v>12.47</v>
      </c>
      <c r="J913" s="4" t="n">
        <v>13.1225</v>
      </c>
      <c r="K913" s="4" t="n">
        <v>12.2275</v>
      </c>
      <c r="L913" s="4" t="n">
        <v>12.7575</v>
      </c>
      <c r="M913" s="7" t="n">
        <v>0.0231</v>
      </c>
    </row>
    <row r="914">
      <c r="A914" s="6" t="n">
        <v>45272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2609</v>
      </c>
      <c r="F914" s="8" t="n">
        <v>3.4215</v>
      </c>
      <c r="G914" s="4" t="n">
        <v>622.8633</v>
      </c>
      <c r="H914" s="4" t="n">
        <v>1029.6345</v>
      </c>
      <c r="I914" s="4" t="n">
        <v>12.7575</v>
      </c>
      <c r="J914" s="4" t="n">
        <v>12.8675</v>
      </c>
      <c r="K914" s="4" t="n">
        <v>11.6925</v>
      </c>
      <c r="L914" s="4" t="n">
        <v>12.7125</v>
      </c>
      <c r="M914" s="7" t="n">
        <v>-0.0035</v>
      </c>
    </row>
    <row r="915">
      <c r="A915" s="6" t="n">
        <v>45273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2602</v>
      </c>
      <c r="F915" s="8" t="n">
        <v>3.2674</v>
      </c>
      <c r="G915" s="4" t="n">
        <v>556.9631000000001</v>
      </c>
      <c r="H915" s="4" t="n">
        <v>1023.4735</v>
      </c>
      <c r="I915" s="4" t="n">
        <v>12.7125</v>
      </c>
      <c r="J915" s="4" t="n">
        <v>12.8175</v>
      </c>
      <c r="K915" s="4" t="n">
        <v>11.54</v>
      </c>
      <c r="L915" s="4" t="n">
        <v>12.065</v>
      </c>
      <c r="M915" s="7" t="n">
        <v>-0.0509</v>
      </c>
    </row>
    <row r="916">
      <c r="A916" s="6" t="n">
        <v>45274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2628</v>
      </c>
      <c r="F916" s="8" t="n">
        <v>3.5483</v>
      </c>
      <c r="G916" s="4" t="n">
        <v>621.7267000000001</v>
      </c>
      <c r="H916" s="4" t="n">
        <v>1159.7177</v>
      </c>
      <c r="I916" s="4" t="n">
        <v>12.065</v>
      </c>
      <c r="J916" s="4" t="n">
        <v>12.5125</v>
      </c>
      <c r="K916" s="4" t="n">
        <v>11</v>
      </c>
      <c r="L916" s="4" t="n">
        <v>12.32</v>
      </c>
      <c r="M916" s="7" t="n">
        <v>0.0211</v>
      </c>
    </row>
    <row r="917">
      <c r="A917" s="6" t="n">
        <v>45275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2624</v>
      </c>
      <c r="F917" s="8" t="n">
        <v>3.6428</v>
      </c>
      <c r="G917" s="4" t="n">
        <v>591.2669</v>
      </c>
      <c r="H917" s="4" t="n">
        <v>1359.6207</v>
      </c>
      <c r="I917" s="4" t="n">
        <v>12.32</v>
      </c>
      <c r="J917" s="4" t="n">
        <v>13.3425</v>
      </c>
      <c r="K917" s="4" t="n">
        <v>10.8</v>
      </c>
      <c r="L917" s="4" t="n">
        <v>13.1275</v>
      </c>
      <c r="M917" s="7" t="n">
        <v>0.0655</v>
      </c>
    </row>
    <row r="918">
      <c r="A918" s="6" t="n">
        <v>45278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2681</v>
      </c>
      <c r="F918" s="8" t="n">
        <v>3.3481</v>
      </c>
      <c r="G918" s="4" t="n">
        <v>534.7145</v>
      </c>
      <c r="H918" s="4" t="n">
        <v>978.5383</v>
      </c>
      <c r="I918" s="4" t="n">
        <v>13.1275</v>
      </c>
      <c r="J918" s="4" t="n">
        <v>14.1175</v>
      </c>
      <c r="K918" s="4" t="n">
        <v>13.125</v>
      </c>
      <c r="L918" s="4" t="n">
        <v>13.9</v>
      </c>
      <c r="M918" s="7" t="n">
        <v>0.0588</v>
      </c>
    </row>
    <row r="919">
      <c r="A919" s="6" t="n">
        <v>45279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2623</v>
      </c>
      <c r="F919" s="8" t="n">
        <v>3.2524</v>
      </c>
      <c r="G919" s="4" t="n">
        <v>502.4974</v>
      </c>
      <c r="H919" s="4" t="n">
        <v>943.0667999999999</v>
      </c>
      <c r="I919" s="4" t="n">
        <v>13.9</v>
      </c>
      <c r="J919" s="4" t="n">
        <v>14.12</v>
      </c>
      <c r="K919" s="4" t="n">
        <v>13.5525</v>
      </c>
      <c r="L919" s="4" t="n">
        <v>13.8675</v>
      </c>
      <c r="M919" s="7" t="n">
        <v>-0.0023</v>
      </c>
    </row>
    <row r="920">
      <c r="A920" s="6" t="n">
        <v>45280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2607</v>
      </c>
      <c r="F920" s="8" t="n">
        <v>4.6363</v>
      </c>
      <c r="G920" s="4" t="n">
        <v>691.9926</v>
      </c>
      <c r="H920" s="4" t="n">
        <v>1273.5125</v>
      </c>
      <c r="I920" s="4" t="n">
        <v>13.8675</v>
      </c>
      <c r="J920" s="4" t="n">
        <v>14.87</v>
      </c>
      <c r="K920" s="4" t="n">
        <v>12.7775</v>
      </c>
      <c r="L920" s="4" t="n">
        <v>14.45</v>
      </c>
      <c r="M920" s="7" t="n">
        <v>0.042</v>
      </c>
    </row>
    <row r="921">
      <c r="A921" s="6" t="n">
        <v>45281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2611</v>
      </c>
      <c r="F921" s="8" t="n">
        <v>3.6423</v>
      </c>
      <c r="G921" s="4" t="n">
        <v>489.3168</v>
      </c>
      <c r="H921" s="4" t="n">
        <v>981.2175</v>
      </c>
      <c r="I921" s="4" t="n">
        <v>14.45</v>
      </c>
      <c r="J921" s="4" t="n">
        <v>15.01</v>
      </c>
      <c r="K921" s="4" t="n">
        <v>12.2825</v>
      </c>
      <c r="L921" s="4" t="n">
        <v>13.7575</v>
      </c>
      <c r="M921" s="7" t="n">
        <v>-0.0479</v>
      </c>
    </row>
    <row r="922">
      <c r="A922" s="6" t="n">
        <v>45282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2605</v>
      </c>
      <c r="F922" s="8" t="n">
        <v>3.2913</v>
      </c>
      <c r="G922" s="4" t="n">
        <v>424.3601</v>
      </c>
      <c r="H922" s="4" t="n">
        <v>926.7211</v>
      </c>
      <c r="I922" s="4" t="n">
        <v>13.7575</v>
      </c>
      <c r="J922" s="4" t="n">
        <v>13.9875</v>
      </c>
      <c r="K922" s="4" t="n">
        <v>12.225</v>
      </c>
      <c r="L922" s="4" t="n">
        <v>13.7075</v>
      </c>
      <c r="M922" s="7" t="n">
        <v>-0.0036</v>
      </c>
    </row>
    <row r="923">
      <c r="A923" s="6" t="n">
        <v>45286</v>
      </c>
      <c r="B923" s="2" t="inlineStr">
        <is>
          <t>Tuesday</t>
        </is>
      </c>
      <c r="C923" s="5" t="n">
        <v>45261</v>
      </c>
      <c r="D923" s="2" t="inlineStr">
        <is>
          <t>Q3FY24</t>
        </is>
      </c>
      <c r="E923" s="3" t="n">
        <v>2651</v>
      </c>
      <c r="F923" s="8" t="n">
        <v>3.0705</v>
      </c>
      <c r="G923" s="4" t="n">
        <v>380.3362</v>
      </c>
      <c r="H923" s="4" t="n">
        <v>807.6411000000001</v>
      </c>
      <c r="I923" s="4" t="n">
        <v>13.7075</v>
      </c>
      <c r="J923" s="4" t="n">
        <v>14.95</v>
      </c>
      <c r="K923" s="4" t="n">
        <v>13.7075</v>
      </c>
      <c r="L923" s="4" t="n">
        <v>14.6775</v>
      </c>
      <c r="M923" s="7" t="n">
        <v>0.0708</v>
      </c>
    </row>
    <row r="924">
      <c r="A924" s="6" t="n">
        <v>45287</v>
      </c>
      <c r="B924" s="2" t="inlineStr">
        <is>
          <t>Wednesday</t>
        </is>
      </c>
      <c r="C924" s="5" t="n">
        <v>45261</v>
      </c>
      <c r="D924" s="2" t="inlineStr">
        <is>
          <t>Q3FY24</t>
        </is>
      </c>
      <c r="E924" s="3" t="n">
        <v>2618</v>
      </c>
      <c r="F924" s="8" t="n">
        <v>3.2251</v>
      </c>
      <c r="G924" s="4" t="n">
        <v>375.9812</v>
      </c>
      <c r="H924" s="4" t="n">
        <v>871.6145</v>
      </c>
      <c r="I924" s="4" t="n">
        <v>14.6775</v>
      </c>
      <c r="J924" s="4" t="n">
        <v>15.7325</v>
      </c>
      <c r="K924" s="4" t="n">
        <v>14.47</v>
      </c>
      <c r="L924" s="4" t="n">
        <v>15.5575</v>
      </c>
      <c r="M924" s="7" t="n">
        <v>0.06</v>
      </c>
    </row>
    <row r="925">
      <c r="A925" s="6" t="n">
        <v>45288</v>
      </c>
      <c r="B925" s="2" t="inlineStr">
        <is>
          <t>Thursday</t>
        </is>
      </c>
      <c r="C925" s="5" t="n">
        <v>45261</v>
      </c>
      <c r="D925" s="2" t="inlineStr">
        <is>
          <t>Q3FY24</t>
        </is>
      </c>
      <c r="E925" s="3" t="n">
        <v>2631</v>
      </c>
      <c r="F925" s="8" t="n">
        <v>3.4241</v>
      </c>
      <c r="G925" s="4" t="n">
        <v>462.0718</v>
      </c>
      <c r="H925" s="4" t="n">
        <v>1105.1111</v>
      </c>
      <c r="I925" s="4" t="n">
        <v>15.5575</v>
      </c>
      <c r="J925" s="4" t="n">
        <v>16.47</v>
      </c>
      <c r="K925" s="4" t="n">
        <v>14.9625</v>
      </c>
      <c r="L925" s="4" t="n">
        <v>15.14</v>
      </c>
      <c r="M925" s="7" t="n">
        <v>-0.0268</v>
      </c>
    </row>
    <row r="926">
      <c r="A926" s="6" t="n">
        <v>45289</v>
      </c>
      <c r="B926" s="2" t="inlineStr">
        <is>
          <t>Friday</t>
        </is>
      </c>
      <c r="C926" s="5" t="n">
        <v>45261</v>
      </c>
      <c r="D926" s="2" t="inlineStr">
        <is>
          <t>Q3FY24</t>
        </is>
      </c>
      <c r="E926" s="3" t="n">
        <v>2647</v>
      </c>
      <c r="F926" s="8" t="n">
        <v>3.1868</v>
      </c>
      <c r="G926" s="4" t="n">
        <v>598.5607</v>
      </c>
      <c r="H926" s="4" t="n">
        <v>960.8869999999999</v>
      </c>
      <c r="I926" s="4" t="n">
        <v>15.14</v>
      </c>
      <c r="J926" s="4" t="n">
        <v>15.4275</v>
      </c>
      <c r="K926" s="4" t="n">
        <v>14.3725</v>
      </c>
      <c r="L926" s="4" t="n">
        <v>14.5025</v>
      </c>
      <c r="M926" s="7" t="n">
        <v>-0.0421</v>
      </c>
    </row>
    <row r="927">
      <c r="A927" s="6" t="n">
        <v>45292</v>
      </c>
      <c r="B927" s="2" t="inlineStr">
        <is>
          <t>Monday</t>
        </is>
      </c>
      <c r="C927" s="5" t="n">
        <v>45292</v>
      </c>
      <c r="D927" s="2" t="inlineStr">
        <is>
          <t>Q4FY24</t>
        </is>
      </c>
      <c r="E927" s="3" t="n">
        <v>2683</v>
      </c>
      <c r="F927" s="8" t="n">
        <v>2.905</v>
      </c>
      <c r="G927" s="4" t="n">
        <v>608.6499</v>
      </c>
      <c r="H927" s="4" t="n">
        <v>772.7213</v>
      </c>
      <c r="I927" s="4" t="n">
        <v>14.5025</v>
      </c>
      <c r="J927" s="4" t="n">
        <v>14.8675</v>
      </c>
      <c r="K927" s="4" t="n">
        <v>14.3275</v>
      </c>
      <c r="L927" s="4" t="n">
        <v>14.68</v>
      </c>
      <c r="M927" s="7" t="n">
        <v>0.0122</v>
      </c>
    </row>
    <row r="928">
      <c r="A928" s="6" t="n">
        <v>45293</v>
      </c>
      <c r="B928" s="2" t="inlineStr">
        <is>
          <t>Tuesday</t>
        </is>
      </c>
      <c r="C928" s="5" t="n">
        <v>45292</v>
      </c>
      <c r="D928" s="2" t="inlineStr">
        <is>
          <t>Q4FY24</t>
        </is>
      </c>
      <c r="E928" s="3" t="n">
        <v>2658</v>
      </c>
      <c r="F928" s="8" t="n">
        <v>3.5475</v>
      </c>
      <c r="G928" s="4" t="n">
        <v>664.8565</v>
      </c>
      <c r="H928" s="4" t="n">
        <v>986.8835</v>
      </c>
      <c r="I928" s="4" t="n">
        <v>14.68</v>
      </c>
      <c r="J928" s="4" t="n">
        <v>15.08</v>
      </c>
      <c r="K928" s="4" t="n">
        <v>14.2425</v>
      </c>
      <c r="L928" s="4" t="n">
        <v>14.58</v>
      </c>
      <c r="M928" s="7" t="n">
        <v>-0.0068</v>
      </c>
    </row>
    <row r="929">
      <c r="A929" s="6" t="n">
        <v>45294</v>
      </c>
      <c r="B929" s="2" t="inlineStr">
        <is>
          <t>Wednesday</t>
        </is>
      </c>
      <c r="C929" s="5" t="n">
        <v>45292</v>
      </c>
      <c r="D929" s="2" t="inlineStr">
        <is>
          <t>Q4FY24</t>
        </is>
      </c>
      <c r="E929" s="3" t="n">
        <v>2660</v>
      </c>
      <c r="F929" s="8" t="n">
        <v>3.5762</v>
      </c>
      <c r="G929" s="4" t="n">
        <v>600.1196</v>
      </c>
      <c r="H929" s="4" t="n">
        <v>1080.2052</v>
      </c>
      <c r="I929" s="4" t="n">
        <v>14.58</v>
      </c>
      <c r="J929" s="4" t="n">
        <v>14.78</v>
      </c>
      <c r="K929" s="4" t="n">
        <v>14.0225</v>
      </c>
      <c r="L929" s="4" t="n">
        <v>14.0975</v>
      </c>
      <c r="M929" s="7" t="n">
        <v>-0.0331</v>
      </c>
    </row>
    <row r="930">
      <c r="A930" s="6" t="n">
        <v>45295</v>
      </c>
      <c r="B930" s="2" t="inlineStr">
        <is>
          <t>Thursday</t>
        </is>
      </c>
      <c r="C930" s="5" t="n">
        <v>45292</v>
      </c>
      <c r="D930" s="2" t="inlineStr">
        <is>
          <t>Q4FY24</t>
        </is>
      </c>
      <c r="E930" s="3" t="n">
        <v>2668</v>
      </c>
      <c r="F930" s="8" t="n">
        <v>3.6315</v>
      </c>
      <c r="G930" s="4" t="n">
        <v>654.4997</v>
      </c>
      <c r="H930" s="4" t="n">
        <v>1092.8752</v>
      </c>
      <c r="I930" s="4" t="n">
        <v>14.0975</v>
      </c>
      <c r="J930" s="4" t="n">
        <v>14.2075</v>
      </c>
      <c r="K930" s="4" t="n">
        <v>13.2125</v>
      </c>
      <c r="L930" s="4" t="n">
        <v>13.33</v>
      </c>
      <c r="M930" s="7" t="n">
        <v>-0.0544</v>
      </c>
    </row>
    <row r="931">
      <c r="A931" s="6" t="n">
        <v>45296</v>
      </c>
      <c r="B931" s="2" t="inlineStr">
        <is>
          <t>Friday</t>
        </is>
      </c>
      <c r="C931" s="5" t="n">
        <v>45292</v>
      </c>
      <c r="D931" s="2" t="inlineStr">
        <is>
          <t>Q4FY24</t>
        </is>
      </c>
      <c r="E931" s="3" t="n">
        <v>2655</v>
      </c>
      <c r="F931" s="8" t="n">
        <v>3.6826</v>
      </c>
      <c r="G931" s="4" t="n">
        <v>768.9695</v>
      </c>
      <c r="H931" s="4" t="n">
        <v>1083.2867</v>
      </c>
      <c r="I931" s="4" t="n">
        <v>13.33</v>
      </c>
      <c r="J931" s="4" t="n">
        <v>13.4675</v>
      </c>
      <c r="K931" s="4" t="n">
        <v>12.4875</v>
      </c>
      <c r="L931" s="4" t="n">
        <v>12.63</v>
      </c>
      <c r="M931" s="7" t="n">
        <v>-0.0525</v>
      </c>
    </row>
    <row r="932">
      <c r="A932" s="6" t="n">
        <v>45299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2690</v>
      </c>
      <c r="F932" s="8" t="n">
        <v>3.5227</v>
      </c>
      <c r="G932" s="4" t="n">
        <v>641.6377</v>
      </c>
      <c r="H932" s="4" t="n">
        <v>928.9376999999999</v>
      </c>
      <c r="I932" s="4" t="n">
        <v>12.63</v>
      </c>
      <c r="J932" s="4" t="n">
        <v>13.595</v>
      </c>
      <c r="K932" s="4" t="n">
        <v>12.63</v>
      </c>
      <c r="L932" s="4" t="n">
        <v>13.4625</v>
      </c>
      <c r="M932" s="7" t="n">
        <v>0.0659</v>
      </c>
    </row>
    <row r="933">
      <c r="A933" s="6" t="n">
        <v>45300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2664</v>
      </c>
      <c r="F933" s="8" t="n">
        <v>3.5071</v>
      </c>
      <c r="G933" s="4" t="n">
        <v>635.9588</v>
      </c>
      <c r="H933" s="4" t="n">
        <v>971.8554</v>
      </c>
      <c r="I933" s="4" t="n">
        <v>13.4625</v>
      </c>
      <c r="J933" s="4" t="n">
        <v>13.505</v>
      </c>
      <c r="K933" s="4" t="n">
        <v>12.775</v>
      </c>
      <c r="L933" s="4" t="n">
        <v>13.2625</v>
      </c>
      <c r="M933" s="7" t="n">
        <v>-0.0149</v>
      </c>
    </row>
    <row r="934">
      <c r="A934" s="6" t="n">
        <v>45301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2643</v>
      </c>
      <c r="F934" s="8" t="n">
        <v>3.4155</v>
      </c>
      <c r="G934" s="4" t="n">
        <v>605.3576</v>
      </c>
      <c r="H934" s="4" t="n">
        <v>961.8451</v>
      </c>
      <c r="I934" s="4" t="n">
        <v>13.2625</v>
      </c>
      <c r="J934" s="4" t="n">
        <v>14.5575</v>
      </c>
      <c r="K934" s="4" t="n">
        <v>12.81</v>
      </c>
      <c r="L934" s="4" t="n">
        <v>12.97</v>
      </c>
      <c r="M934" s="7" t="n">
        <v>-0.0221</v>
      </c>
    </row>
    <row r="935">
      <c r="A935" s="6" t="n">
        <v>45302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2662</v>
      </c>
      <c r="F935" s="8" t="n">
        <v>3.7551</v>
      </c>
      <c r="G935" s="4" t="n">
        <v>543.4087</v>
      </c>
      <c r="H935" s="4" t="n">
        <v>1082.8356</v>
      </c>
      <c r="I935" s="4" t="n">
        <v>12.97</v>
      </c>
      <c r="J935" s="4" t="n">
        <v>13.19</v>
      </c>
      <c r="K935" s="4" t="n">
        <v>12.63</v>
      </c>
      <c r="L935" s="4" t="n">
        <v>12.7675</v>
      </c>
      <c r="M935" s="7" t="n">
        <v>-0.0156</v>
      </c>
    </row>
    <row r="936">
      <c r="A936" s="6" t="n">
        <v>45303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2652</v>
      </c>
      <c r="F936" s="8" t="n">
        <v>3.5683</v>
      </c>
      <c r="G936" s="4" t="n">
        <v>537.5119999999999</v>
      </c>
      <c r="H936" s="4" t="n">
        <v>1036.8661</v>
      </c>
      <c r="I936" s="4" t="n">
        <v>12.7675</v>
      </c>
      <c r="J936" s="4" t="n">
        <v>13.285</v>
      </c>
      <c r="K936" s="4" t="n">
        <v>12.42</v>
      </c>
      <c r="L936" s="4" t="n">
        <v>13.1</v>
      </c>
      <c r="M936" s="7" t="n">
        <v>0.026</v>
      </c>
    </row>
    <row r="937">
      <c r="A937" s="6" t="n">
        <v>45306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2682</v>
      </c>
      <c r="F937" s="8" t="n">
        <v>3.8118</v>
      </c>
      <c r="G937" s="4" t="n">
        <v>593.9433</v>
      </c>
      <c r="H937" s="4" t="n">
        <v>1131.1601</v>
      </c>
      <c r="I937" s="4" t="n">
        <v>13.1</v>
      </c>
      <c r="J937" s="4" t="n">
        <v>13.885</v>
      </c>
      <c r="K937" s="4" t="n">
        <v>11.7875</v>
      </c>
      <c r="L937" s="4" t="n">
        <v>13.785</v>
      </c>
      <c r="M937" s="7" t="n">
        <v>0.0523</v>
      </c>
    </row>
    <row r="938">
      <c r="A938" s="6" t="n">
        <v>45307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2633</v>
      </c>
      <c r="F938" s="8" t="n">
        <v>3.9815</v>
      </c>
      <c r="G938" s="4" t="n">
        <v>671.0229</v>
      </c>
      <c r="H938" s="4" t="n">
        <v>1151.4285</v>
      </c>
      <c r="I938" s="4" t="n">
        <v>13.785</v>
      </c>
      <c r="J938" s="4" t="n">
        <v>14.0425</v>
      </c>
      <c r="K938" s="4" t="n">
        <v>12.485</v>
      </c>
      <c r="L938" s="4" t="n">
        <v>13.5725</v>
      </c>
      <c r="M938" s="7" t="n">
        <v>-0.0154</v>
      </c>
    </row>
    <row r="939">
      <c r="A939" s="6" t="n">
        <v>45308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2637</v>
      </c>
      <c r="F939" s="8" t="n">
        <v>4.1464</v>
      </c>
      <c r="G939" s="4" t="n">
        <v>583.8539</v>
      </c>
      <c r="H939" s="4" t="n">
        <v>1320.4529</v>
      </c>
      <c r="I939" s="4" t="n">
        <v>13.5725</v>
      </c>
      <c r="J939" s="4" t="n">
        <v>15.23</v>
      </c>
      <c r="K939" s="4" t="n">
        <v>12.715</v>
      </c>
      <c r="L939" s="4" t="n">
        <v>15.08</v>
      </c>
      <c r="M939" s="7" t="n">
        <v>0.1111</v>
      </c>
    </row>
    <row r="940">
      <c r="A940" s="6" t="n">
        <v>45309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2640</v>
      </c>
      <c r="F940" s="8" t="n">
        <v>4.36</v>
      </c>
      <c r="G940" s="4" t="n">
        <v>580.2056</v>
      </c>
      <c r="H940" s="4" t="n">
        <v>1271.9081</v>
      </c>
      <c r="I940" s="4" t="n">
        <v>15.08</v>
      </c>
      <c r="J940" s="4" t="n">
        <v>15.705</v>
      </c>
      <c r="K940" s="4" t="n">
        <v>12.98</v>
      </c>
      <c r="L940" s="4" t="n">
        <v>14.07</v>
      </c>
      <c r="M940" s="7" t="n">
        <v>-0.067</v>
      </c>
    </row>
    <row r="941">
      <c r="A941" s="6" t="n">
        <v>45310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2628</v>
      </c>
      <c r="F941" s="8" t="n">
        <v>3.9733</v>
      </c>
      <c r="G941" s="4" t="n">
        <v>556.677</v>
      </c>
      <c r="H941" s="4" t="n">
        <v>1237.468</v>
      </c>
      <c r="I941" s="4" t="n">
        <v>14.07</v>
      </c>
      <c r="J941" s="4" t="n">
        <v>14.1125</v>
      </c>
      <c r="K941" s="4" t="n">
        <v>13.6775</v>
      </c>
      <c r="L941" s="4" t="n">
        <v>13.8775</v>
      </c>
      <c r="M941" s="7" t="n">
        <v>-0.0137</v>
      </c>
    </row>
    <row r="942">
      <c r="A942" s="6" t="n">
        <v>45311</v>
      </c>
      <c r="B942" s="2" t="inlineStr">
        <is>
          <t>Saturday</t>
        </is>
      </c>
      <c r="C942" s="5" t="n">
        <v>45292</v>
      </c>
      <c r="D942" s="2" t="inlineStr">
        <is>
          <t>Q4FY24</t>
        </is>
      </c>
      <c r="E942" s="3" t="n">
        <v>2590</v>
      </c>
      <c r="F942" s="8" t="n">
        <v>2.7577</v>
      </c>
      <c r="G942" s="4" t="n">
        <v>464.3845</v>
      </c>
      <c r="H942" s="4" t="n">
        <v>804.4749</v>
      </c>
      <c r="I942" s="4" t="n">
        <v>13.8775</v>
      </c>
      <c r="J942" s="4" t="n">
        <v>14.2475</v>
      </c>
      <c r="K942" s="4" t="n">
        <v>13.0975</v>
      </c>
      <c r="L942" s="4" t="n">
        <v>13.8025</v>
      </c>
      <c r="M942" s="7" t="n">
        <v>-0.0054</v>
      </c>
    </row>
    <row r="943">
      <c r="A943" s="6" t="n">
        <v>45314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2683</v>
      </c>
      <c r="F943" s="8" t="n">
        <v>5.2833</v>
      </c>
      <c r="G943" s="4" t="n">
        <v>711.1006</v>
      </c>
      <c r="H943" s="4" t="n">
        <v>1515.3449</v>
      </c>
      <c r="I943" s="4" t="n">
        <v>13.8025</v>
      </c>
      <c r="J943" s="4" t="n">
        <v>15.405</v>
      </c>
      <c r="K943" s="4" t="n">
        <v>12.195</v>
      </c>
      <c r="L943" s="4" t="n">
        <v>14.8525</v>
      </c>
      <c r="M943" s="7" t="n">
        <v>0.0761</v>
      </c>
    </row>
    <row r="944">
      <c r="A944" s="6" t="n">
        <v>45315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2634</v>
      </c>
      <c r="F944" s="8" t="n">
        <v>4.3402</v>
      </c>
      <c r="G944" s="4" t="n">
        <v>648.6046</v>
      </c>
      <c r="H944" s="4" t="n">
        <v>1345.2001</v>
      </c>
      <c r="I944" s="4" t="n">
        <v>14.8525</v>
      </c>
      <c r="J944" s="4" t="n">
        <v>15.6475</v>
      </c>
      <c r="K944" s="4" t="n">
        <v>14.03</v>
      </c>
      <c r="L944" s="4" t="n">
        <v>14.375</v>
      </c>
      <c r="M944" s="7" t="n">
        <v>-0.0321</v>
      </c>
    </row>
    <row r="945">
      <c r="A945" s="6" t="n">
        <v>45316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2667</v>
      </c>
      <c r="F945" s="8" t="n">
        <v>3.9868</v>
      </c>
      <c r="G945" s="4" t="n">
        <v>619.4529</v>
      </c>
      <c r="H945" s="4" t="n">
        <v>1284.7301</v>
      </c>
      <c r="I945" s="4" t="n">
        <v>14.375</v>
      </c>
      <c r="J945" s="4" t="n">
        <v>15.3375</v>
      </c>
      <c r="K945" s="4" t="n">
        <v>13.36</v>
      </c>
      <c r="L945" s="4" t="n">
        <v>13.865</v>
      </c>
      <c r="M945" s="7" t="n">
        <v>-0.0355</v>
      </c>
    </row>
    <row r="946">
      <c r="A946" s="6" t="n">
        <v>45320</v>
      </c>
      <c r="B946" s="2" t="inlineStr">
        <is>
          <t>Monday</t>
        </is>
      </c>
      <c r="C946" s="5" t="n">
        <v>45292</v>
      </c>
      <c r="D946" s="2" t="inlineStr">
        <is>
          <t>Q4FY24</t>
        </is>
      </c>
      <c r="E946" s="3" t="n">
        <v>2686</v>
      </c>
      <c r="F946" s="8" t="n">
        <v>4.262</v>
      </c>
      <c r="G946" s="4" t="n">
        <v>662.7639</v>
      </c>
      <c r="H946" s="4" t="n">
        <v>1260.826</v>
      </c>
      <c r="I946" s="4" t="n">
        <v>13.865</v>
      </c>
      <c r="J946" s="4" t="n">
        <v>15.8475</v>
      </c>
      <c r="K946" s="4" t="n">
        <v>13.795</v>
      </c>
      <c r="L946" s="4" t="n">
        <v>15.68</v>
      </c>
      <c r="M946" s="7" t="n">
        <v>0.1309</v>
      </c>
    </row>
    <row r="947">
      <c r="A947" s="6" t="n">
        <v>45321</v>
      </c>
      <c r="B947" s="2" t="inlineStr">
        <is>
          <t>Tuesday</t>
        </is>
      </c>
      <c r="C947" s="5" t="n">
        <v>45292</v>
      </c>
      <c r="D947" s="2" t="inlineStr">
        <is>
          <t>Q4FY24</t>
        </is>
      </c>
      <c r="E947" s="3" t="n">
        <v>2646</v>
      </c>
      <c r="F947" s="8" t="n">
        <v>4.3259</v>
      </c>
      <c r="G947" s="4" t="n">
        <v>660.8919</v>
      </c>
      <c r="H947" s="4" t="n">
        <v>1242.2268</v>
      </c>
      <c r="I947" s="4" t="n">
        <v>15.68</v>
      </c>
      <c r="J947" s="4" t="n">
        <v>16.575</v>
      </c>
      <c r="K947" s="4" t="n">
        <v>14.9875</v>
      </c>
      <c r="L947" s="4" t="n">
        <v>16.1025</v>
      </c>
      <c r="M947" s="7" t="n">
        <v>0.0269</v>
      </c>
    </row>
    <row r="948">
      <c r="A948" s="6" t="n">
        <v>45322</v>
      </c>
      <c r="B948" s="2" t="inlineStr">
        <is>
          <t>Wednesday</t>
        </is>
      </c>
      <c r="C948" s="5" t="n">
        <v>45292</v>
      </c>
      <c r="D948" s="2" t="inlineStr">
        <is>
          <t>Q4FY24</t>
        </is>
      </c>
      <c r="E948" s="3" t="n">
        <v>2639</v>
      </c>
      <c r="F948" s="8" t="n">
        <v>4.3091</v>
      </c>
      <c r="G948" s="4" t="n">
        <v>625.2847</v>
      </c>
      <c r="H948" s="4" t="n">
        <v>1348.276</v>
      </c>
      <c r="I948" s="4" t="n">
        <v>16.1025</v>
      </c>
      <c r="J948" s="4" t="n">
        <v>16.5325</v>
      </c>
      <c r="K948" s="4" t="n">
        <v>15.8</v>
      </c>
      <c r="L948" s="4" t="n">
        <v>16.0475</v>
      </c>
      <c r="M948" s="7" t="n">
        <v>-0.0034</v>
      </c>
    </row>
    <row r="949">
      <c r="A949" s="6" t="n">
        <v>45323</v>
      </c>
      <c r="B949" s="2" t="inlineStr">
        <is>
          <t>Thursday</t>
        </is>
      </c>
      <c r="C949" s="5" t="n">
        <v>45323</v>
      </c>
      <c r="D949" s="2" t="inlineStr">
        <is>
          <t>Q4FY24</t>
        </is>
      </c>
      <c r="E949" s="3" t="n">
        <v>2661</v>
      </c>
      <c r="F949" s="8" t="n">
        <v>4.7119</v>
      </c>
      <c r="G949" s="4" t="n">
        <v>684.7961</v>
      </c>
      <c r="H949" s="4" t="n">
        <v>1354.9938</v>
      </c>
      <c r="I949" s="4" t="n">
        <v>16.0475</v>
      </c>
      <c r="J949" s="4" t="n">
        <v>16.1075</v>
      </c>
      <c r="K949" s="4" t="n">
        <v>14.36</v>
      </c>
      <c r="L949" s="4" t="n">
        <v>14.455</v>
      </c>
      <c r="M949" s="7" t="n">
        <v>-0.0992</v>
      </c>
    </row>
    <row r="950">
      <c r="A950" s="6" t="n">
        <v>45324</v>
      </c>
      <c r="B950" s="2" t="inlineStr">
        <is>
          <t>Friday</t>
        </is>
      </c>
      <c r="C950" s="5" t="n">
        <v>45323</v>
      </c>
      <c r="D950" s="2" t="inlineStr">
        <is>
          <t>Q4FY24</t>
        </is>
      </c>
      <c r="E950" s="3" t="n">
        <v>2707</v>
      </c>
      <c r="F950" s="8" t="n">
        <v>4.8627</v>
      </c>
      <c r="G950" s="4" t="n">
        <v>727.4403</v>
      </c>
      <c r="H950" s="4" t="n">
        <v>1451.682</v>
      </c>
      <c r="I950" s="4" t="n">
        <v>14.455</v>
      </c>
      <c r="J950" s="4" t="n">
        <v>15.1325</v>
      </c>
      <c r="K950" s="4" t="n">
        <v>14.025</v>
      </c>
      <c r="L950" s="4" t="n">
        <v>14.6975</v>
      </c>
      <c r="M950" s="7" t="n">
        <v>0.0168</v>
      </c>
    </row>
    <row r="951">
      <c r="A951" s="6" t="n">
        <v>45327</v>
      </c>
      <c r="B951" s="2" t="inlineStr">
        <is>
          <t>Monday</t>
        </is>
      </c>
      <c r="C951" s="5" t="n">
        <v>45323</v>
      </c>
      <c r="D951" s="2" t="inlineStr">
        <is>
          <t>Q4FY24</t>
        </is>
      </c>
      <c r="E951" s="3" t="n">
        <v>2752</v>
      </c>
      <c r="F951" s="8" t="n">
        <v>5.3083</v>
      </c>
      <c r="G951" s="4" t="n">
        <v>790.8279</v>
      </c>
      <c r="H951" s="4" t="n">
        <v>1486.354</v>
      </c>
      <c r="I951" s="4" t="n">
        <v>14.6975</v>
      </c>
      <c r="J951" s="4" t="n">
        <v>16.05</v>
      </c>
      <c r="K951" s="4" t="n">
        <v>14.6975</v>
      </c>
      <c r="L951" s="4" t="n">
        <v>15.6175</v>
      </c>
      <c r="M951" s="7" t="n">
        <v>0.0626</v>
      </c>
    </row>
    <row r="952">
      <c r="A952" s="6" t="n">
        <v>45328</v>
      </c>
      <c r="B952" s="2" t="inlineStr">
        <is>
          <t>Tuesday</t>
        </is>
      </c>
      <c r="C952" s="5" t="n">
        <v>45323</v>
      </c>
      <c r="D952" s="2" t="inlineStr">
        <is>
          <t>Q4FY24</t>
        </is>
      </c>
      <c r="E952" s="3" t="n">
        <v>2673</v>
      </c>
      <c r="F952" s="8" t="n">
        <v>4.6799</v>
      </c>
      <c r="G952" s="4" t="n">
        <v>689.1039</v>
      </c>
      <c r="H952" s="4" t="n">
        <v>1308.638</v>
      </c>
      <c r="I952" s="4" t="n">
        <v>15.6175</v>
      </c>
      <c r="J952" s="4" t="n">
        <v>15.9825</v>
      </c>
      <c r="K952" s="4" t="n">
        <v>15.0875</v>
      </c>
      <c r="L952" s="4" t="n">
        <v>15.785</v>
      </c>
      <c r="M952" s="7" t="n">
        <v>0.0107</v>
      </c>
    </row>
    <row r="953">
      <c r="A953" s="6" t="n">
        <v>45329</v>
      </c>
      <c r="B953" s="2" t="inlineStr">
        <is>
          <t>Wednesday</t>
        </is>
      </c>
      <c r="C953" s="5" t="n">
        <v>45323</v>
      </c>
      <c r="D953" s="2" t="inlineStr">
        <is>
          <t>Q4FY24</t>
        </is>
      </c>
      <c r="E953" s="3" t="n">
        <v>2679</v>
      </c>
      <c r="F953" s="8" t="n">
        <v>4.7204</v>
      </c>
      <c r="G953" s="4" t="n">
        <v>828.5069</v>
      </c>
      <c r="H953" s="4" t="n">
        <v>1325.6337</v>
      </c>
      <c r="I953" s="4" t="n">
        <v>15.785</v>
      </c>
      <c r="J953" s="4" t="n">
        <v>16.0175</v>
      </c>
      <c r="K953" s="4" t="n">
        <v>14.74</v>
      </c>
      <c r="L953" s="4" t="n">
        <v>15.505</v>
      </c>
      <c r="M953" s="7" t="n">
        <v>-0.0177</v>
      </c>
    </row>
    <row r="954">
      <c r="A954" s="6" t="n">
        <v>45330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2666</v>
      </c>
      <c r="F954" s="8" t="n">
        <v>4.8402</v>
      </c>
      <c r="G954" s="4" t="n">
        <v>854.224</v>
      </c>
      <c r="H954" s="4" t="n">
        <v>1469.1422</v>
      </c>
      <c r="I954" s="4" t="n">
        <v>15.505</v>
      </c>
      <c r="J954" s="4" t="n">
        <v>16.0275</v>
      </c>
      <c r="K954" s="4" t="n">
        <v>15.2425</v>
      </c>
      <c r="L954" s="4" t="n">
        <v>15.8275</v>
      </c>
      <c r="M954" s="7" t="n">
        <v>0.0208</v>
      </c>
    </row>
    <row r="955">
      <c r="A955" s="6" t="n">
        <v>45331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2661</v>
      </c>
      <c r="F955" s="8" t="n">
        <v>4.839</v>
      </c>
      <c r="G955" s="4" t="n">
        <v>819.8386</v>
      </c>
      <c r="H955" s="4" t="n">
        <v>1328.4197</v>
      </c>
      <c r="I955" s="4" t="n">
        <v>15.8275</v>
      </c>
      <c r="J955" s="4" t="n">
        <v>16.3325</v>
      </c>
      <c r="K955" s="4" t="n">
        <v>15.265</v>
      </c>
      <c r="L955" s="4" t="n">
        <v>15.4475</v>
      </c>
      <c r="M955" s="7" t="n">
        <v>-0.024</v>
      </c>
    </row>
    <row r="956">
      <c r="A956" s="6" t="n">
        <v>45334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2710</v>
      </c>
      <c r="F956" s="8" t="n">
        <v>4.719</v>
      </c>
      <c r="G956" s="4" t="n">
        <v>606.6649</v>
      </c>
      <c r="H956" s="4" t="n">
        <v>1138.2169</v>
      </c>
      <c r="I956" s="4" t="n">
        <v>15.4475</v>
      </c>
      <c r="J956" s="4" t="n">
        <v>16.535</v>
      </c>
      <c r="K956" s="4" t="n">
        <v>15.4475</v>
      </c>
      <c r="L956" s="4" t="n">
        <v>16.0625</v>
      </c>
      <c r="M956" s="7" t="n">
        <v>0.0398</v>
      </c>
    </row>
    <row r="957">
      <c r="A957" s="6" t="n">
        <v>45335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2658</v>
      </c>
      <c r="F957" s="8" t="n">
        <v>4.3645</v>
      </c>
      <c r="G957" s="4" t="n">
        <v>564.2315</v>
      </c>
      <c r="H957" s="4" t="n">
        <v>1085.255</v>
      </c>
      <c r="I957" s="4" t="n">
        <v>16.0625</v>
      </c>
      <c r="J957" s="4" t="n">
        <v>16.57</v>
      </c>
      <c r="K957" s="4" t="n">
        <v>15.7525</v>
      </c>
      <c r="L957" s="4" t="n">
        <v>15.8075</v>
      </c>
      <c r="M957" s="7" t="n">
        <v>-0.0159</v>
      </c>
    </row>
    <row r="958">
      <c r="A958" s="6" t="n">
        <v>45336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2651</v>
      </c>
      <c r="F958" s="8" t="n">
        <v>3.9395</v>
      </c>
      <c r="G958" s="4" t="n">
        <v>515.6374</v>
      </c>
      <c r="H958" s="4" t="n">
        <v>1066.4031</v>
      </c>
      <c r="I958" s="4" t="n">
        <v>15.8075</v>
      </c>
      <c r="J958" s="4" t="n">
        <v>16.1975</v>
      </c>
      <c r="K958" s="4" t="n">
        <v>15.34</v>
      </c>
      <c r="L958" s="4" t="n">
        <v>15.435</v>
      </c>
      <c r="M958" s="7" t="n">
        <v>-0.0236</v>
      </c>
    </row>
    <row r="959">
      <c r="A959" s="6" t="n">
        <v>45337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2640</v>
      </c>
      <c r="F959" s="8" t="n">
        <v>4.011</v>
      </c>
      <c r="G959" s="4" t="n">
        <v>541.4559</v>
      </c>
      <c r="H959" s="4" t="n">
        <v>1106.5093</v>
      </c>
      <c r="I959" s="4" t="n">
        <v>15.435</v>
      </c>
      <c r="J959" s="4" t="n">
        <v>15.6625</v>
      </c>
      <c r="K959" s="4" t="n">
        <v>15.1125</v>
      </c>
      <c r="L959" s="4" t="n">
        <v>15.225</v>
      </c>
      <c r="M959" s="7" t="n">
        <v>-0.0136</v>
      </c>
    </row>
    <row r="960">
      <c r="A960" s="6" t="n">
        <v>45338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2663</v>
      </c>
      <c r="F960" s="8" t="n">
        <v>3.9511</v>
      </c>
      <c r="G960" s="4" t="n">
        <v>486.4081</v>
      </c>
      <c r="H960" s="4" t="n">
        <v>1108.7948</v>
      </c>
      <c r="I960" s="4" t="n">
        <v>15.225</v>
      </c>
      <c r="J960" s="4" t="n">
        <v>15.5525</v>
      </c>
      <c r="K960" s="4" t="n">
        <v>14.9025</v>
      </c>
      <c r="L960" s="4" t="n">
        <v>15.2225</v>
      </c>
      <c r="M960" s="7" t="n">
        <v>-0.0002</v>
      </c>
    </row>
    <row r="961">
      <c r="A961" s="6" t="n">
        <v>45341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2705</v>
      </c>
      <c r="F961" s="8" t="n">
        <v>3.505</v>
      </c>
      <c r="G961" s="4" t="n">
        <v>469.1645</v>
      </c>
      <c r="H961" s="4" t="n">
        <v>950.5102000000001</v>
      </c>
      <c r="I961" s="4" t="n">
        <v>15.2225</v>
      </c>
      <c r="J961" s="4" t="n">
        <v>16.1175</v>
      </c>
      <c r="K961" s="4" t="n">
        <v>13.7</v>
      </c>
      <c r="L961" s="4" t="n">
        <v>16.0175</v>
      </c>
      <c r="M961" s="7" t="n">
        <v>0.0522</v>
      </c>
    </row>
    <row r="962">
      <c r="A962" s="6" t="n">
        <v>45342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2655</v>
      </c>
      <c r="F962" s="8" t="n">
        <v>3.4515</v>
      </c>
      <c r="G962" s="4" t="n">
        <v>437.8946</v>
      </c>
      <c r="H962" s="4" t="n">
        <v>938.5642</v>
      </c>
      <c r="I962" s="4" t="n">
        <v>16.0175</v>
      </c>
      <c r="J962" s="4" t="n">
        <v>16.36</v>
      </c>
      <c r="K962" s="4" t="n">
        <v>14.2125</v>
      </c>
      <c r="L962" s="4" t="n">
        <v>16.0725</v>
      </c>
      <c r="M962" s="7" t="n">
        <v>0.0034</v>
      </c>
    </row>
    <row r="963">
      <c r="A963" s="6" t="n">
        <v>45343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2645</v>
      </c>
      <c r="F963" s="8" t="n">
        <v>3.7469</v>
      </c>
      <c r="G963" s="4" t="n">
        <v>501.5284</v>
      </c>
      <c r="H963" s="4" t="n">
        <v>1059.6815</v>
      </c>
      <c r="I963" s="4" t="n">
        <v>16.0725</v>
      </c>
      <c r="J963" s="4" t="n">
        <v>16.31</v>
      </c>
      <c r="K963" s="4" t="n">
        <v>15.68</v>
      </c>
      <c r="L963" s="4" t="n">
        <v>15.9275</v>
      </c>
      <c r="M963" s="7" t="n">
        <v>-0.008999999999999999</v>
      </c>
    </row>
    <row r="964">
      <c r="A964" s="6" t="n">
        <v>45344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2654</v>
      </c>
      <c r="F964" s="8" t="n">
        <v>3.592</v>
      </c>
      <c r="G964" s="4" t="n">
        <v>469.4641</v>
      </c>
      <c r="H964" s="4" t="n">
        <v>1017.5861</v>
      </c>
      <c r="I964" s="4" t="n">
        <v>15.9275</v>
      </c>
      <c r="J964" s="4" t="n">
        <v>16.15</v>
      </c>
      <c r="K964" s="4" t="n">
        <v>15.1325</v>
      </c>
      <c r="L964" s="4" t="n">
        <v>15.1975</v>
      </c>
      <c r="M964" s="7" t="n">
        <v>-0.0458</v>
      </c>
    </row>
    <row r="965">
      <c r="A965" s="6" t="n">
        <v>45345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2667</v>
      </c>
      <c r="F965" s="8" t="n">
        <v>3.4853</v>
      </c>
      <c r="G965" s="4" t="n">
        <v>589.7190000000001</v>
      </c>
      <c r="H965" s="4" t="n">
        <v>1048.1196</v>
      </c>
      <c r="I965" s="4" t="n">
        <v>15.1975</v>
      </c>
      <c r="J965" s="4" t="n">
        <v>15.4425</v>
      </c>
      <c r="K965" s="4" t="n">
        <v>14.84</v>
      </c>
      <c r="L965" s="4" t="n">
        <v>14.9725</v>
      </c>
      <c r="M965" s="7" t="n">
        <v>-0.0148</v>
      </c>
    </row>
    <row r="966">
      <c r="A966" s="6" t="n">
        <v>45348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2719</v>
      </c>
      <c r="F966" s="8" t="n">
        <v>3.5952</v>
      </c>
      <c r="G966" s="4" t="n">
        <v>435.7275</v>
      </c>
      <c r="H966" s="4" t="n">
        <v>974.05</v>
      </c>
      <c r="I966" s="4" t="n">
        <v>14.9725</v>
      </c>
      <c r="J966" s="4" t="n">
        <v>15.96</v>
      </c>
      <c r="K966" s="4" t="n">
        <v>13.7575</v>
      </c>
      <c r="L966" s="4" t="n">
        <v>15.6</v>
      </c>
      <c r="M966" s="7" t="n">
        <v>0.0419</v>
      </c>
    </row>
    <row r="967">
      <c r="A967" s="6" t="n">
        <v>45349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2665</v>
      </c>
      <c r="F967" s="8" t="n">
        <v>3.4519</v>
      </c>
      <c r="G967" s="4" t="n">
        <v>431.3286</v>
      </c>
      <c r="H967" s="4" t="n">
        <v>975.5475</v>
      </c>
      <c r="I967" s="4" t="n">
        <v>15.6</v>
      </c>
      <c r="J967" s="4" t="n">
        <v>15.9975</v>
      </c>
      <c r="K967" s="4" t="n">
        <v>15.53</v>
      </c>
      <c r="L967" s="4" t="n">
        <v>15.7275</v>
      </c>
      <c r="M967" s="7" t="n">
        <v>0.008200000000000001</v>
      </c>
    </row>
    <row r="968">
      <c r="A968" s="6" t="n">
        <v>45350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2668</v>
      </c>
      <c r="F968" s="8" t="n">
        <v>3.5686</v>
      </c>
      <c r="G968" s="4" t="n">
        <v>541.1812</v>
      </c>
      <c r="H968" s="4" t="n">
        <v>935.7223</v>
      </c>
      <c r="I968" s="4" t="n">
        <v>15.7275</v>
      </c>
      <c r="J968" s="4" t="n">
        <v>16.74</v>
      </c>
      <c r="K968" s="4" t="n">
        <v>15.31</v>
      </c>
      <c r="L968" s="4" t="n">
        <v>16.33</v>
      </c>
      <c r="M968" s="7" t="n">
        <v>0.0383</v>
      </c>
    </row>
    <row r="969">
      <c r="A969" s="6" t="n">
        <v>45351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2640</v>
      </c>
      <c r="F969" s="8" t="n">
        <v>3.868</v>
      </c>
      <c r="G969" s="4" t="n">
        <v>660.6664</v>
      </c>
      <c r="H969" s="4" t="n">
        <v>1446.8883</v>
      </c>
      <c r="I969" s="4" t="n">
        <v>16.33</v>
      </c>
      <c r="J969" s="4" t="n">
        <v>16.5525</v>
      </c>
      <c r="K969" s="4" t="n">
        <v>15.37</v>
      </c>
      <c r="L969" s="4" t="n">
        <v>15.5725</v>
      </c>
      <c r="M969" s="7" t="n">
        <v>-0.0464</v>
      </c>
    </row>
    <row r="970">
      <c r="A970" s="6" t="n">
        <v>45352</v>
      </c>
      <c r="B970" s="2" t="inlineStr">
        <is>
          <t>Friday</t>
        </is>
      </c>
      <c r="C970" s="5" t="n">
        <v>45352</v>
      </c>
      <c r="D970" s="2" t="inlineStr">
        <is>
          <t>Q4FY24</t>
        </is>
      </c>
      <c r="E970" s="3" t="n">
        <v>2694</v>
      </c>
      <c r="F970" s="8" t="n">
        <v>3.2898</v>
      </c>
      <c r="G970" s="4" t="n">
        <v>403.0624</v>
      </c>
      <c r="H970" s="4" t="n">
        <v>923.7491</v>
      </c>
      <c r="I970" s="4" t="n">
        <v>15.5725</v>
      </c>
      <c r="J970" s="4" t="n">
        <v>15.6425</v>
      </c>
      <c r="K970" s="4" t="n">
        <v>15</v>
      </c>
      <c r="L970" s="4" t="n">
        <v>15.235</v>
      </c>
      <c r="M970" s="7" t="n">
        <v>-0.0217</v>
      </c>
    </row>
    <row r="971">
      <c r="A971" s="6" t="n">
        <v>45353</v>
      </c>
      <c r="B971" s="2" t="inlineStr">
        <is>
          <t>Saturday</t>
        </is>
      </c>
      <c r="C971" s="5" t="n">
        <v>45352</v>
      </c>
      <c r="D971" s="2" t="inlineStr">
        <is>
          <t>Q4FY24</t>
        </is>
      </c>
      <c r="E971" s="3" t="n">
        <v>2440</v>
      </c>
      <c r="F971" s="8" t="n">
        <v>0.4205</v>
      </c>
      <c r="G971" s="4" t="n">
        <v>70.1679</v>
      </c>
      <c r="H971" s="4" t="n">
        <v>104.2723</v>
      </c>
      <c r="I971" s="4" t="n"/>
      <c r="J971" s="4" t="n"/>
      <c r="K971" s="4" t="n"/>
      <c r="L971" s="4" t="n"/>
      <c r="M971" s="7" t="n"/>
    </row>
    <row r="972">
      <c r="A972" s="6" t="n">
        <v>45355</v>
      </c>
      <c r="B972" s="2" t="inlineStr">
        <is>
          <t>Monday</t>
        </is>
      </c>
      <c r="C972" s="5" t="n">
        <v>45352</v>
      </c>
      <c r="D972" s="2" t="inlineStr">
        <is>
          <t>Q4FY24</t>
        </is>
      </c>
      <c r="E972" s="3" t="n">
        <v>2709</v>
      </c>
      <c r="F972" s="8" t="n">
        <v>3.2799</v>
      </c>
      <c r="G972" s="4" t="n">
        <v>368.96</v>
      </c>
      <c r="H972" s="4" t="n">
        <v>911.7075</v>
      </c>
      <c r="I972" s="4" t="n">
        <v>14.9925</v>
      </c>
      <c r="J972" s="4" t="n">
        <v>15.3025</v>
      </c>
      <c r="K972" s="4" t="n">
        <v>14.8225</v>
      </c>
      <c r="L972" s="4" t="n">
        <v>14.9225</v>
      </c>
      <c r="M972" s="7" t="n">
        <v>-0.0047</v>
      </c>
    </row>
    <row r="973">
      <c r="A973" s="6" t="n">
        <v>45356</v>
      </c>
      <c r="B973" s="2" t="inlineStr">
        <is>
          <t>Tuesday</t>
        </is>
      </c>
      <c r="C973" s="5" t="n">
        <v>45352</v>
      </c>
      <c r="D973" s="2" t="inlineStr">
        <is>
          <t>Q4FY24</t>
        </is>
      </c>
      <c r="E973" s="3" t="n">
        <v>2692</v>
      </c>
      <c r="F973" s="8" t="n">
        <v>3.4054</v>
      </c>
      <c r="G973" s="4" t="n">
        <v>382.4405</v>
      </c>
      <c r="H973" s="4" t="n">
        <v>954.9979</v>
      </c>
      <c r="I973" s="4" t="n">
        <v>14.9225</v>
      </c>
      <c r="J973" s="4" t="n">
        <v>15.165</v>
      </c>
      <c r="K973" s="4" t="n">
        <v>14.1775</v>
      </c>
      <c r="L973" s="4" t="n">
        <v>14.38</v>
      </c>
      <c r="M973" s="7" t="n">
        <v>-0.0364</v>
      </c>
    </row>
    <row r="974">
      <c r="A974" s="6" t="n">
        <v>45357</v>
      </c>
      <c r="B974" s="2" t="inlineStr">
        <is>
          <t>Wednesday</t>
        </is>
      </c>
      <c r="C974" s="5" t="n">
        <v>45352</v>
      </c>
      <c r="D974" s="2" t="inlineStr">
        <is>
          <t>Q4FY24</t>
        </is>
      </c>
      <c r="E974" s="3" t="n">
        <v>2691</v>
      </c>
      <c r="F974" s="8" t="n">
        <v>3.968</v>
      </c>
      <c r="G974" s="4" t="n">
        <v>488.6995</v>
      </c>
      <c r="H974" s="4" t="n">
        <v>1102.0413</v>
      </c>
      <c r="I974" s="4" t="n">
        <v>14.38</v>
      </c>
      <c r="J974" s="4" t="n">
        <v>14.71</v>
      </c>
      <c r="K974" s="4" t="n">
        <v>13.905</v>
      </c>
      <c r="L974" s="4" t="n">
        <v>14.295</v>
      </c>
      <c r="M974" s="7" t="n">
        <v>-0.0059</v>
      </c>
    </row>
    <row r="975">
      <c r="A975" s="6" t="n">
        <v>45358</v>
      </c>
      <c r="B975" s="2" t="inlineStr">
        <is>
          <t>Thursday</t>
        </is>
      </c>
      <c r="C975" s="5" t="n">
        <v>45352</v>
      </c>
      <c r="D975" s="2" t="inlineStr">
        <is>
          <t>Q4FY24</t>
        </is>
      </c>
      <c r="E975" s="3" t="n">
        <v>2704</v>
      </c>
      <c r="F975" s="8" t="n">
        <v>3.1926</v>
      </c>
      <c r="G975" s="4" t="n">
        <v>373.3379</v>
      </c>
      <c r="H975" s="4" t="n">
        <v>1052.7538</v>
      </c>
      <c r="I975" s="4" t="n">
        <v>14.295</v>
      </c>
      <c r="J975" s="4" t="n">
        <v>14.4325</v>
      </c>
      <c r="K975" s="4" t="n">
        <v>13.56</v>
      </c>
      <c r="L975" s="4" t="n">
        <v>13.6125</v>
      </c>
      <c r="M975" s="7" t="n">
        <v>-0.0477</v>
      </c>
    </row>
    <row r="976">
      <c r="A976" s="6" t="n">
        <v>45362</v>
      </c>
      <c r="B976" s="2" t="inlineStr">
        <is>
          <t>Monday</t>
        </is>
      </c>
      <c r="C976" s="5" t="n">
        <v>45352</v>
      </c>
      <c r="D976" s="2" t="inlineStr">
        <is>
          <t>Q4FY24</t>
        </is>
      </c>
      <c r="E976" s="3" t="n">
        <v>2746</v>
      </c>
      <c r="F976" s="8" t="n">
        <v>3.7684</v>
      </c>
      <c r="G976" s="4" t="n">
        <v>359.9816</v>
      </c>
      <c r="H976" s="4" t="n">
        <v>993.4189</v>
      </c>
      <c r="I976" s="4" t="n">
        <v>13.6125</v>
      </c>
      <c r="J976" s="4" t="n">
        <v>14.5525</v>
      </c>
      <c r="K976" s="4" t="n">
        <v>13.6125</v>
      </c>
      <c r="L976" s="4" t="n">
        <v>13.995</v>
      </c>
      <c r="M976" s="7" t="n">
        <v>0.0281</v>
      </c>
    </row>
    <row r="977">
      <c r="A977" s="6" t="n">
        <v>45363</v>
      </c>
      <c r="B977" s="2" t="inlineStr">
        <is>
          <t>Tuesday</t>
        </is>
      </c>
      <c r="C977" s="5" t="n">
        <v>45352</v>
      </c>
      <c r="D977" s="2" t="inlineStr">
        <is>
          <t>Q4FY24</t>
        </is>
      </c>
      <c r="E977" s="3" t="n">
        <v>2712</v>
      </c>
      <c r="F977" s="8" t="n">
        <v>3.8785</v>
      </c>
      <c r="G977" s="4" t="n">
        <v>384.6255</v>
      </c>
      <c r="H977" s="4" t="n">
        <v>982.7382</v>
      </c>
      <c r="I977" s="4" t="n">
        <v>13.995</v>
      </c>
      <c r="J977" s="4" t="n">
        <v>14.195</v>
      </c>
      <c r="K977" s="4" t="n">
        <v>13.5775</v>
      </c>
      <c r="L977" s="4" t="n">
        <v>13.6375</v>
      </c>
      <c r="M977" s="7" t="n">
        <v>-0.0255</v>
      </c>
    </row>
    <row r="978">
      <c r="A978" s="6" t="n">
        <v>45364</v>
      </c>
      <c r="B978" s="2" t="inlineStr">
        <is>
          <t>Wednesday</t>
        </is>
      </c>
      <c r="C978" s="5" t="n">
        <v>45352</v>
      </c>
      <c r="D978" s="2" t="inlineStr">
        <is>
          <t>Q4FY24</t>
        </is>
      </c>
      <c r="E978" s="3" t="n">
        <v>2692</v>
      </c>
      <c r="F978" s="8" t="n">
        <v>5.3699</v>
      </c>
      <c r="G978" s="4" t="n">
        <v>571.5097</v>
      </c>
      <c r="H978" s="4" t="n">
        <v>1282.4709</v>
      </c>
      <c r="I978" s="4" t="n">
        <v>13.6375</v>
      </c>
      <c r="J978" s="4" t="n">
        <v>15.005</v>
      </c>
      <c r="K978" s="4" t="n">
        <v>13.5325</v>
      </c>
      <c r="L978" s="4" t="n">
        <v>14.4325</v>
      </c>
      <c r="M978" s="7" t="n">
        <v>0.0583</v>
      </c>
    </row>
    <row r="979">
      <c r="A979" s="6" t="n">
        <v>45365</v>
      </c>
      <c r="B979" s="2" t="inlineStr">
        <is>
          <t>Thursday</t>
        </is>
      </c>
      <c r="C979" s="5" t="n">
        <v>45352</v>
      </c>
      <c r="D979" s="2" t="inlineStr">
        <is>
          <t>Q4FY24</t>
        </is>
      </c>
      <c r="E979" s="3" t="n">
        <v>2718</v>
      </c>
      <c r="F979" s="8" t="n">
        <v>4.4229</v>
      </c>
      <c r="G979" s="4" t="n">
        <v>553.9133</v>
      </c>
      <c r="H979" s="4" t="n">
        <v>1152.3529</v>
      </c>
      <c r="I979" s="4" t="n">
        <v>14.4325</v>
      </c>
      <c r="J979" s="4" t="n">
        <v>14.6825</v>
      </c>
      <c r="K979" s="4" t="n">
        <v>13.5225</v>
      </c>
      <c r="L979" s="4" t="n">
        <v>13.6225</v>
      </c>
      <c r="M979" s="7" t="n">
        <v>-0.0561</v>
      </c>
    </row>
    <row r="980">
      <c r="A980" s="6" t="n">
        <v>45366</v>
      </c>
      <c r="B980" s="2" t="inlineStr">
        <is>
          <t>Friday</t>
        </is>
      </c>
      <c r="C980" s="5" t="n">
        <v>45352</v>
      </c>
      <c r="D980" s="2" t="inlineStr">
        <is>
          <t>Q4FY24</t>
        </is>
      </c>
      <c r="E980" s="3" t="n">
        <v>2681</v>
      </c>
      <c r="F980" s="8" t="n">
        <v>4.2198</v>
      </c>
      <c r="G980" s="4" t="n">
        <v>557.4931</v>
      </c>
      <c r="H980" s="4" t="n">
        <v>1503.4411</v>
      </c>
      <c r="I980" s="4" t="n">
        <v>13.6225</v>
      </c>
      <c r="J980" s="4" t="n">
        <v>14.3325</v>
      </c>
      <c r="K980" s="4" t="n">
        <v>13.59</v>
      </c>
      <c r="L980" s="4" t="n">
        <v>13.69</v>
      </c>
      <c r="M980" s="7" t="n">
        <v>0.005</v>
      </c>
    </row>
    <row r="981">
      <c r="A981" s="6" t="n">
        <v>45369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2721</v>
      </c>
      <c r="F981" s="8" t="n">
        <v>3.2102</v>
      </c>
      <c r="G981" s="4" t="n">
        <v>332.3929</v>
      </c>
      <c r="H981" s="4" t="n">
        <v>794.4059999999999</v>
      </c>
      <c r="I981" s="4" t="n">
        <v>13.69</v>
      </c>
      <c r="J981" s="4" t="n">
        <v>14.615</v>
      </c>
      <c r="K981" s="4" t="n">
        <v>13.69</v>
      </c>
      <c r="L981" s="4" t="n">
        <v>13.895</v>
      </c>
      <c r="M981" s="7" t="n">
        <v>0.015</v>
      </c>
    </row>
    <row r="982">
      <c r="A982" s="6" t="n">
        <v>45370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2706</v>
      </c>
      <c r="F982" s="8" t="n">
        <v>3.0493</v>
      </c>
      <c r="G982" s="4" t="n">
        <v>315.6437</v>
      </c>
      <c r="H982" s="4" t="n">
        <v>826.6727</v>
      </c>
      <c r="I982" s="4" t="n">
        <v>13.895</v>
      </c>
      <c r="J982" s="4" t="n">
        <v>14.445</v>
      </c>
      <c r="K982" s="4" t="n">
        <v>13.875</v>
      </c>
      <c r="L982" s="4" t="n">
        <v>14.1125</v>
      </c>
      <c r="M982" s="7" t="n">
        <v>0.0157</v>
      </c>
    </row>
    <row r="983">
      <c r="A983" s="6" t="n">
        <v>45371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2694</v>
      </c>
      <c r="F983" s="8" t="n">
        <v>3.0311</v>
      </c>
      <c r="G983" s="4" t="n">
        <v>343.4195</v>
      </c>
      <c r="H983" s="4" t="n">
        <v>808.4554000000001</v>
      </c>
      <c r="I983" s="4" t="n">
        <v>14.1125</v>
      </c>
      <c r="J983" s="4" t="n">
        <v>14.2825</v>
      </c>
      <c r="K983" s="4" t="n">
        <v>13.085</v>
      </c>
      <c r="L983" s="4" t="n">
        <v>13.4725</v>
      </c>
      <c r="M983" s="7" t="n">
        <v>-0.0453</v>
      </c>
    </row>
    <row r="984">
      <c r="A984" s="6" t="n">
        <v>45372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2698</v>
      </c>
      <c r="F984" s="8" t="n">
        <v>2.9758</v>
      </c>
      <c r="G984" s="4" t="n">
        <v>328.3453</v>
      </c>
      <c r="H984" s="4" t="n">
        <v>893.1385</v>
      </c>
      <c r="I984" s="4" t="n">
        <v>13.4725</v>
      </c>
      <c r="J984" s="4" t="n">
        <v>13.4725</v>
      </c>
      <c r="K984" s="4" t="n">
        <v>12.3425</v>
      </c>
      <c r="L984" s="4" t="n">
        <v>12.5125</v>
      </c>
      <c r="M984" s="7" t="n">
        <v>-0.0713</v>
      </c>
    </row>
    <row r="985">
      <c r="A985" s="6" t="n">
        <v>45373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2704</v>
      </c>
      <c r="F985" s="8" t="n">
        <v>3.0878</v>
      </c>
      <c r="G985" s="4" t="n">
        <v>380.3078</v>
      </c>
      <c r="H985" s="4" t="n">
        <v>982.2689</v>
      </c>
      <c r="I985" s="4" t="n">
        <v>12.5125</v>
      </c>
      <c r="J985" s="4" t="n">
        <v>13.0475</v>
      </c>
      <c r="K985" s="4" t="n">
        <v>11.81</v>
      </c>
      <c r="L985" s="4" t="n">
        <v>12.22</v>
      </c>
      <c r="M985" s="7" t="n">
        <v>-0.0234</v>
      </c>
    </row>
    <row r="986">
      <c r="A986" s="6" t="n">
        <v>45377</v>
      </c>
      <c r="B986" s="2" t="inlineStr">
        <is>
          <t>Tuesday</t>
        </is>
      </c>
      <c r="C986" s="5" t="n">
        <v>45352</v>
      </c>
      <c r="D986" s="2" t="inlineStr">
        <is>
          <t>Q4FY24</t>
        </is>
      </c>
      <c r="E986" s="3" t="n">
        <v>2744</v>
      </c>
      <c r="F986" s="8" t="n">
        <v>3.2374</v>
      </c>
      <c r="G986" s="4" t="n">
        <v>347.1423</v>
      </c>
      <c r="H986" s="4" t="n">
        <v>985.7634</v>
      </c>
      <c r="I986" s="4" t="n">
        <v>12.22</v>
      </c>
      <c r="J986" s="4" t="n">
        <v>13.1025</v>
      </c>
      <c r="K986" s="4" t="n">
        <v>12.085</v>
      </c>
      <c r="L986" s="4" t="n">
        <v>12.82</v>
      </c>
      <c r="M986" s="7" t="n">
        <v>0.0491</v>
      </c>
    </row>
    <row r="987">
      <c r="A987" s="6" t="n">
        <v>45378</v>
      </c>
      <c r="B987" s="2" t="inlineStr">
        <is>
          <t>Wednesday</t>
        </is>
      </c>
      <c r="C987" s="5" t="n">
        <v>45352</v>
      </c>
      <c r="D987" s="2" t="inlineStr">
        <is>
          <t>Q4FY24</t>
        </is>
      </c>
      <c r="E987" s="3" t="n">
        <v>2729</v>
      </c>
      <c r="F987" s="8" t="n">
        <v>3.614</v>
      </c>
      <c r="G987" s="4" t="n">
        <v>422.6347</v>
      </c>
      <c r="H987" s="4" t="n">
        <v>1198.7713</v>
      </c>
      <c r="I987" s="4" t="n">
        <v>12.82</v>
      </c>
      <c r="J987" s="4" t="n">
        <v>13.01</v>
      </c>
      <c r="K987" s="4" t="n">
        <v>12.5325</v>
      </c>
      <c r="L987" s="4" t="n">
        <v>12.7025</v>
      </c>
      <c r="M987" s="7" t="n">
        <v>-0.0092</v>
      </c>
    </row>
    <row r="988">
      <c r="A988" s="6" t="n">
        <v>45379</v>
      </c>
      <c r="B988" s="2" t="inlineStr">
        <is>
          <t>Thursday</t>
        </is>
      </c>
      <c r="C988" s="5" t="n">
        <v>45352</v>
      </c>
      <c r="D988" s="2" t="inlineStr">
        <is>
          <t>Q4FY24</t>
        </is>
      </c>
      <c r="E988" s="3" t="n">
        <v>2716</v>
      </c>
      <c r="F988" s="8" t="n">
        <v>3.3987</v>
      </c>
      <c r="G988" s="4" t="n">
        <v>388.1831</v>
      </c>
      <c r="H988" s="4" t="n">
        <v>1116.9694</v>
      </c>
      <c r="I988" s="4" t="n">
        <v>12.7025</v>
      </c>
      <c r="J988" s="4" t="n">
        <v>13.18</v>
      </c>
      <c r="K988" s="4" t="n">
        <v>12.26</v>
      </c>
      <c r="L988" s="4" t="n">
        <v>12.8325</v>
      </c>
      <c r="M988" s="7" t="n">
        <v>0.0102</v>
      </c>
    </row>
    <row r="989">
      <c r="A989" s="6" t="n">
        <v>45383</v>
      </c>
      <c r="B989" s="2" t="inlineStr">
        <is>
          <t>Monday</t>
        </is>
      </c>
      <c r="C989" s="5" t="n">
        <v>45383</v>
      </c>
      <c r="D989" s="2" t="inlineStr">
        <is>
          <t>Q1FY25</t>
        </is>
      </c>
      <c r="E989" s="3" t="n">
        <v>2746</v>
      </c>
      <c r="F989" s="8" t="n">
        <v>3.0518</v>
      </c>
      <c r="G989" s="4" t="n">
        <v>361.2017</v>
      </c>
      <c r="H989" s="4" t="n">
        <v>844.6686999999999</v>
      </c>
      <c r="I989" s="4" t="n">
        <v>12.8325</v>
      </c>
      <c r="J989" s="4" t="n">
        <v>13.3575</v>
      </c>
      <c r="K989" s="4" t="n">
        <v>12.005</v>
      </c>
      <c r="L989" s="4" t="n">
        <v>12.0825</v>
      </c>
      <c r="M989" s="7" t="n">
        <v>-0.0584</v>
      </c>
    </row>
    <row r="990">
      <c r="A990" s="6" t="n">
        <v>45384</v>
      </c>
      <c r="B990" s="2" t="inlineStr">
        <is>
          <t>Tuesday</t>
        </is>
      </c>
      <c r="C990" s="5" t="n">
        <v>45383</v>
      </c>
      <c r="D990" s="2" t="inlineStr">
        <is>
          <t>Q1FY25</t>
        </is>
      </c>
      <c r="E990" s="3" t="n">
        <v>2725</v>
      </c>
      <c r="F990" s="8" t="n">
        <v>3.2403</v>
      </c>
      <c r="G990" s="4" t="n">
        <v>409.7581</v>
      </c>
      <c r="H990" s="4" t="n">
        <v>1013.8812</v>
      </c>
      <c r="I990" s="4" t="n">
        <v>12.0825</v>
      </c>
      <c r="J990" s="4" t="n">
        <v>12.305</v>
      </c>
      <c r="K990" s="4" t="n">
        <v>11.5975</v>
      </c>
      <c r="L990" s="4" t="n">
        <v>11.6525</v>
      </c>
      <c r="M990" s="7" t="n">
        <v>-0.0356</v>
      </c>
    </row>
    <row r="991">
      <c r="A991" s="6" t="n">
        <v>45385</v>
      </c>
      <c r="B991" s="2" t="inlineStr">
        <is>
          <t>Wednesday</t>
        </is>
      </c>
      <c r="C991" s="5" t="n">
        <v>45383</v>
      </c>
      <c r="D991" s="2" t="inlineStr">
        <is>
          <t>Q1FY25</t>
        </is>
      </c>
      <c r="E991" s="3" t="n">
        <v>2731</v>
      </c>
      <c r="F991" s="8" t="n">
        <v>3.3985</v>
      </c>
      <c r="G991" s="4" t="n">
        <v>455.8889</v>
      </c>
      <c r="H991" s="4" t="n">
        <v>1079.6011</v>
      </c>
      <c r="I991" s="4" t="n">
        <v>11.6525</v>
      </c>
      <c r="J991" s="4" t="n">
        <v>11.8275</v>
      </c>
      <c r="K991" s="4" t="n">
        <v>11.3125</v>
      </c>
      <c r="L991" s="4" t="n">
        <v>11.3725</v>
      </c>
      <c r="M991" s="7" t="n">
        <v>-0.024</v>
      </c>
    </row>
    <row r="992">
      <c r="A992" s="6" t="n">
        <v>45386</v>
      </c>
      <c r="B992" s="2" t="inlineStr">
        <is>
          <t>Thursday</t>
        </is>
      </c>
      <c r="C992" s="5" t="n">
        <v>45383</v>
      </c>
      <c r="D992" s="2" t="inlineStr">
        <is>
          <t>Q1FY25</t>
        </is>
      </c>
      <c r="E992" s="3" t="n">
        <v>2713</v>
      </c>
      <c r="F992" s="8" t="n">
        <v>3.6924</v>
      </c>
      <c r="G992" s="4" t="n">
        <v>477.551</v>
      </c>
      <c r="H992" s="4" t="n">
        <v>1138.8478</v>
      </c>
      <c r="I992" s="4" t="n">
        <v>11.3725</v>
      </c>
      <c r="J992" s="4" t="n">
        <v>11.8375</v>
      </c>
      <c r="K992" s="4" t="n">
        <v>10.86</v>
      </c>
      <c r="L992" s="4" t="n">
        <v>11.22</v>
      </c>
      <c r="M992" s="7" t="n">
        <v>-0.0134</v>
      </c>
    </row>
    <row r="993">
      <c r="A993" s="6" t="n">
        <v>45387</v>
      </c>
      <c r="B993" s="2" t="inlineStr">
        <is>
          <t>Friday</t>
        </is>
      </c>
      <c r="C993" s="5" t="n">
        <v>45383</v>
      </c>
      <c r="D993" s="2" t="inlineStr">
        <is>
          <t>Q1FY25</t>
        </is>
      </c>
      <c r="E993" s="3" t="n">
        <v>2730</v>
      </c>
      <c r="F993" s="8" t="n">
        <v>3.1512</v>
      </c>
      <c r="G993" s="4" t="n">
        <v>451.1918</v>
      </c>
      <c r="H993" s="4" t="n">
        <v>969.8046000000001</v>
      </c>
      <c r="I993" s="4" t="n">
        <v>11.22</v>
      </c>
      <c r="J993" s="4" t="n">
        <v>11.6825</v>
      </c>
      <c r="K993" s="4" t="n">
        <v>11.035</v>
      </c>
      <c r="L993" s="4" t="n">
        <v>11.3375</v>
      </c>
      <c r="M993" s="7" t="n">
        <v>0.0105</v>
      </c>
    </row>
    <row r="994">
      <c r="A994" s="6" t="n">
        <v>45390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2725</v>
      </c>
      <c r="F994" s="8" t="n">
        <v>3.177</v>
      </c>
      <c r="G994" s="4" t="n">
        <v>395.3623</v>
      </c>
      <c r="H994" s="4" t="n">
        <v>949.7190000000001</v>
      </c>
      <c r="I994" s="4" t="n">
        <v>11.3375</v>
      </c>
      <c r="J994" s="4" t="n">
        <v>11.7425</v>
      </c>
      <c r="K994" s="4" t="n">
        <v>11.1325</v>
      </c>
      <c r="L994" s="4" t="n">
        <v>11.61</v>
      </c>
      <c r="M994" s="7" t="n">
        <v>0.024</v>
      </c>
    </row>
    <row r="995">
      <c r="A995" s="6" t="n">
        <v>45391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2697</v>
      </c>
      <c r="F995" s="8" t="n">
        <v>2.9422</v>
      </c>
      <c r="G995" s="4" t="n">
        <v>337.4086</v>
      </c>
      <c r="H995" s="4" t="n">
        <v>892.8232</v>
      </c>
      <c r="I995" s="4" t="n">
        <v>11.61</v>
      </c>
      <c r="J995" s="4" t="n">
        <v>11.6125</v>
      </c>
      <c r="K995" s="4" t="n">
        <v>10.6175</v>
      </c>
      <c r="L995" s="4" t="n">
        <v>11.355</v>
      </c>
      <c r="M995" s="7" t="n">
        <v>-0.022</v>
      </c>
    </row>
    <row r="996">
      <c r="A996" s="6" t="n">
        <v>45392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2709</v>
      </c>
      <c r="F996" s="8" t="n">
        <v>3.0888</v>
      </c>
      <c r="G996" s="4" t="n">
        <v>356.7728</v>
      </c>
      <c r="H996" s="4" t="n">
        <v>951.3513</v>
      </c>
      <c r="I996" s="4" t="n">
        <v>11.355</v>
      </c>
      <c r="J996" s="4" t="n">
        <v>11.355</v>
      </c>
      <c r="K996" s="4" t="n">
        <v>10.985</v>
      </c>
      <c r="L996" s="4" t="n">
        <v>11.1075</v>
      </c>
      <c r="M996" s="7" t="n">
        <v>-0.0218</v>
      </c>
    </row>
    <row r="997">
      <c r="A997" s="6" t="n">
        <v>45394</v>
      </c>
      <c r="B997" s="2" t="inlineStr">
        <is>
          <t>Friday</t>
        </is>
      </c>
      <c r="C997" s="5" t="n">
        <v>45383</v>
      </c>
      <c r="D997" s="2" t="inlineStr">
        <is>
          <t>Q1FY25</t>
        </is>
      </c>
      <c r="E997" s="3" t="n">
        <v>2728</v>
      </c>
      <c r="F997" s="8" t="n">
        <v>3.6061</v>
      </c>
      <c r="G997" s="4" t="n">
        <v>446.0857</v>
      </c>
      <c r="H997" s="4" t="n">
        <v>1151.1619</v>
      </c>
      <c r="I997" s="4" t="n">
        <v>11.1075</v>
      </c>
      <c r="J997" s="4" t="n">
        <v>11.605</v>
      </c>
      <c r="K997" s="4" t="n">
        <v>11.1075</v>
      </c>
      <c r="L997" s="4" t="n">
        <v>11.5325</v>
      </c>
      <c r="M997" s="7" t="n">
        <v>0.0383</v>
      </c>
    </row>
    <row r="998">
      <c r="A998" s="6" t="n">
        <v>45397</v>
      </c>
      <c r="B998" s="2" t="inlineStr">
        <is>
          <t>Monday</t>
        </is>
      </c>
      <c r="C998" s="5" t="n">
        <v>45383</v>
      </c>
      <c r="D998" s="2" t="inlineStr">
        <is>
          <t>Q1FY25</t>
        </is>
      </c>
      <c r="E998" s="3" t="n">
        <v>2757</v>
      </c>
      <c r="F998" s="8" t="n">
        <v>3.8662</v>
      </c>
      <c r="G998" s="4" t="n">
        <v>445.7925</v>
      </c>
      <c r="H998" s="4" t="n">
        <v>1047.3669</v>
      </c>
      <c r="I998" s="4" t="n">
        <v>11.5325</v>
      </c>
      <c r="J998" s="4" t="n">
        <v>12.7375</v>
      </c>
      <c r="K998" s="4" t="n">
        <v>11.3075</v>
      </c>
      <c r="L998" s="4" t="n">
        <v>12.4675</v>
      </c>
      <c r="M998" s="7" t="n">
        <v>0.08110000000000001</v>
      </c>
    </row>
    <row r="999">
      <c r="A999" s="6" t="n">
        <v>45398</v>
      </c>
      <c r="B999" s="2" t="inlineStr">
        <is>
          <t>Tuesday</t>
        </is>
      </c>
      <c r="C999" s="5" t="n">
        <v>45383</v>
      </c>
      <c r="D999" s="2" t="inlineStr">
        <is>
          <t>Q1FY25</t>
        </is>
      </c>
      <c r="E999" s="3" t="n">
        <v>2727</v>
      </c>
      <c r="F999" s="8" t="n">
        <v>3.2207</v>
      </c>
      <c r="G999" s="4" t="n">
        <v>415.7315</v>
      </c>
      <c r="H999" s="4" t="n">
        <v>954.3739</v>
      </c>
      <c r="I999" s="4" t="n">
        <v>12.4675</v>
      </c>
      <c r="J999" s="4" t="n">
        <v>12.925</v>
      </c>
      <c r="K999" s="4" t="n">
        <v>12.34</v>
      </c>
      <c r="L999" s="4" t="n">
        <v>12.615</v>
      </c>
      <c r="M999" s="7" t="n">
        <v>0.0118</v>
      </c>
    </row>
    <row r="1000">
      <c r="A1000" s="6" t="n">
        <v>45400</v>
      </c>
      <c r="B1000" s="2" t="inlineStr">
        <is>
          <t>Thursday</t>
        </is>
      </c>
      <c r="C1000" s="5" t="n">
        <v>45383</v>
      </c>
      <c r="D1000" s="2" t="inlineStr">
        <is>
          <t>Q1FY25</t>
        </is>
      </c>
      <c r="E1000" s="3" t="n">
        <v>2730</v>
      </c>
      <c r="F1000" s="8" t="n">
        <v>3.7797</v>
      </c>
      <c r="G1000" s="4" t="n">
        <v>407.5548</v>
      </c>
      <c r="H1000" s="4" t="n">
        <v>1184.9128</v>
      </c>
      <c r="I1000" s="4" t="n">
        <v>12.615</v>
      </c>
      <c r="J1000" s="4" t="n">
        <v>13.3875</v>
      </c>
      <c r="K1000" s="4" t="n">
        <v>12.0275</v>
      </c>
      <c r="L1000" s="4" t="n">
        <v>13.04</v>
      </c>
      <c r="M1000" s="7" t="n">
        <v>0.0337</v>
      </c>
    </row>
    <row r="1001">
      <c r="A1001" s="6" t="n">
        <v>45401</v>
      </c>
      <c r="B1001" s="2" t="inlineStr">
        <is>
          <t>Friday</t>
        </is>
      </c>
      <c r="C1001" s="5" t="n">
        <v>45383</v>
      </c>
      <c r="D1001" s="2" t="inlineStr">
        <is>
          <t>Q1FY25</t>
        </is>
      </c>
      <c r="E1001" s="3" t="n">
        <v>2719</v>
      </c>
      <c r="F1001" s="8" t="n">
        <v>3.4791</v>
      </c>
      <c r="G1001" s="4" t="n">
        <v>380.0129</v>
      </c>
      <c r="H1001" s="4" t="n">
        <v>1002.8111</v>
      </c>
      <c r="I1001" s="4" t="n">
        <v>13.04</v>
      </c>
      <c r="J1001" s="4" t="n">
        <v>14.4125</v>
      </c>
      <c r="K1001" s="4" t="n">
        <v>11.915</v>
      </c>
      <c r="L1001" s="4" t="n">
        <v>13.4575</v>
      </c>
      <c r="M1001" s="7" t="n">
        <v>0.032</v>
      </c>
    </row>
    <row r="1002">
      <c r="A1002" s="6" t="n">
        <v>45404</v>
      </c>
      <c r="B1002" s="2" t="inlineStr">
        <is>
          <t>Monday</t>
        </is>
      </c>
      <c r="C1002" s="5" t="n">
        <v>45383</v>
      </c>
      <c r="D1002" s="2" t="inlineStr">
        <is>
          <t>Q1FY25</t>
        </is>
      </c>
      <c r="E1002" s="3" t="n">
        <v>2765</v>
      </c>
      <c r="F1002" s="8" t="n">
        <v>3.122</v>
      </c>
      <c r="G1002" s="4" t="n">
        <v>483.0081</v>
      </c>
      <c r="H1002" s="4" t="n">
        <v>955.2495</v>
      </c>
      <c r="I1002" s="4" t="n">
        <v>13.4575</v>
      </c>
      <c r="J1002" s="4" t="n">
        <v>13.4575</v>
      </c>
      <c r="K1002" s="4" t="n">
        <v>12.6125</v>
      </c>
      <c r="L1002" s="4" t="n">
        <v>12.7</v>
      </c>
      <c r="M1002" s="7" t="n">
        <v>-0.0563</v>
      </c>
    </row>
    <row r="1003">
      <c r="A1003" s="6" t="n">
        <v>45405</v>
      </c>
      <c r="B1003" s="2" t="inlineStr">
        <is>
          <t>Tuesday</t>
        </is>
      </c>
      <c r="C1003" s="5" t="n">
        <v>45383</v>
      </c>
      <c r="D1003" s="2" t="inlineStr">
        <is>
          <t>Q1FY25</t>
        </is>
      </c>
      <c r="E1003" s="3" t="n">
        <v>2743</v>
      </c>
      <c r="F1003" s="8" t="n">
        <v>3.3836</v>
      </c>
      <c r="G1003" s="4" t="n">
        <v>617.9677</v>
      </c>
      <c r="H1003" s="4" t="n">
        <v>1060.292</v>
      </c>
      <c r="I1003" s="4" t="n">
        <v>12.7</v>
      </c>
      <c r="J1003" s="4" t="n">
        <v>12.7</v>
      </c>
      <c r="K1003" s="4" t="n">
        <v>9.8575</v>
      </c>
      <c r="L1003" s="4" t="n">
        <v>10.195</v>
      </c>
      <c r="M1003" s="7" t="n">
        <v>-0.1972</v>
      </c>
    </row>
    <row r="1004">
      <c r="A1004" s="6" t="n">
        <v>45406</v>
      </c>
      <c r="B1004" s="2" t="inlineStr">
        <is>
          <t>Wednesday</t>
        </is>
      </c>
      <c r="C1004" s="5" t="n">
        <v>45383</v>
      </c>
      <c r="D1004" s="2" t="inlineStr">
        <is>
          <t>Q1FY25</t>
        </is>
      </c>
      <c r="E1004" s="3" t="n">
        <v>2718</v>
      </c>
      <c r="F1004" s="8" t="n">
        <v>3.2947</v>
      </c>
      <c r="G1004" s="4" t="n">
        <v>495.3059</v>
      </c>
      <c r="H1004" s="4" t="n">
        <v>1031.6075</v>
      </c>
      <c r="I1004" s="4" t="n">
        <v>10.195</v>
      </c>
      <c r="J1004" s="4" t="n">
        <v>11.1325</v>
      </c>
      <c r="K1004" s="4" t="n">
        <v>9.945</v>
      </c>
      <c r="L1004" s="4" t="n">
        <v>10.275</v>
      </c>
      <c r="M1004" s="7" t="n">
        <v>0.0078</v>
      </c>
    </row>
    <row r="1005">
      <c r="A1005" s="6" t="n">
        <v>45407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2712</v>
      </c>
      <c r="F1005" s="8" t="n">
        <v>3.782</v>
      </c>
      <c r="G1005" s="4" t="n">
        <v>1181.2743</v>
      </c>
      <c r="H1005" s="4" t="n">
        <v>1387.0051</v>
      </c>
      <c r="I1005" s="4" t="n">
        <v>10.275</v>
      </c>
      <c r="J1005" s="4" t="n">
        <v>11.4575</v>
      </c>
      <c r="K1005" s="4" t="n">
        <v>10.26</v>
      </c>
      <c r="L1005" s="4" t="n">
        <v>10.73</v>
      </c>
      <c r="M1005" s="7" t="n">
        <v>0.0443</v>
      </c>
    </row>
    <row r="1006">
      <c r="A1006" s="6" t="n">
        <v>45408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2730</v>
      </c>
      <c r="F1006" s="8" t="n">
        <v>3.7018</v>
      </c>
      <c r="G1006" s="4" t="n">
        <v>763.2457000000001</v>
      </c>
      <c r="H1006" s="4" t="n">
        <v>1224.3211</v>
      </c>
      <c r="I1006" s="4" t="n">
        <v>10.73</v>
      </c>
      <c r="J1006" s="4" t="n">
        <v>11.315</v>
      </c>
      <c r="K1006" s="4" t="n">
        <v>10.5875</v>
      </c>
      <c r="L1006" s="4" t="n">
        <v>10.925</v>
      </c>
      <c r="M1006" s="7" t="n">
        <v>0.0182</v>
      </c>
    </row>
    <row r="1007">
      <c r="A1007" s="6" t="n">
        <v>45411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2767</v>
      </c>
      <c r="F1007" s="8" t="n">
        <v>3.4632</v>
      </c>
      <c r="G1007" s="4" t="n">
        <v>539.9642</v>
      </c>
      <c r="H1007" s="4" t="n">
        <v>1109.6002</v>
      </c>
      <c r="I1007" s="4" t="n">
        <v>10.925</v>
      </c>
      <c r="J1007" s="4" t="n">
        <v>12.4875</v>
      </c>
      <c r="K1007" s="4" t="n">
        <v>10.925</v>
      </c>
      <c r="L1007" s="4" t="n">
        <v>12.235</v>
      </c>
      <c r="M1007" s="7" t="n">
        <v>0.1199</v>
      </c>
    </row>
    <row r="1008">
      <c r="A1008" s="6" t="n">
        <v>45412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2758</v>
      </c>
      <c r="F1008" s="8" t="n">
        <v>3.6604</v>
      </c>
      <c r="G1008" s="4" t="n">
        <v>484.7654</v>
      </c>
      <c r="H1008" s="4" t="n">
        <v>1252.5563</v>
      </c>
      <c r="I1008" s="4" t="n">
        <v>12.235</v>
      </c>
      <c r="J1008" s="4" t="n">
        <v>13.2125</v>
      </c>
      <c r="K1008" s="4" t="n">
        <v>12.235</v>
      </c>
      <c r="L1008" s="4" t="n">
        <v>12.87</v>
      </c>
      <c r="M1008" s="7" t="n">
        <v>0.0519</v>
      </c>
    </row>
    <row r="1009">
      <c r="A1009" s="6" t="n">
        <v>45414</v>
      </c>
      <c r="B1009" s="2" t="inlineStr">
        <is>
          <t>Thursday</t>
        </is>
      </c>
      <c r="C1009" s="5" t="n">
        <v>45413</v>
      </c>
      <c r="D1009" s="2" t="inlineStr">
        <is>
          <t>Q1FY25</t>
        </is>
      </c>
      <c r="E1009" s="3" t="n">
        <v>2769</v>
      </c>
      <c r="F1009" s="8" t="n">
        <v>4.0497</v>
      </c>
      <c r="G1009" s="4" t="n">
        <v>465.5617</v>
      </c>
      <c r="H1009" s="4" t="n">
        <v>1245.7728</v>
      </c>
      <c r="I1009" s="4" t="n">
        <v>12.87</v>
      </c>
      <c r="J1009" s="4" t="n">
        <v>13.9475</v>
      </c>
      <c r="K1009" s="4" t="n">
        <v>12.87</v>
      </c>
      <c r="L1009" s="4" t="n">
        <v>13.445</v>
      </c>
      <c r="M1009" s="7" t="n">
        <v>0.0447</v>
      </c>
    </row>
    <row r="1010">
      <c r="A1010" s="6" t="n">
        <v>45415</v>
      </c>
      <c r="B1010" s="2" t="inlineStr">
        <is>
          <t>Friday</t>
        </is>
      </c>
      <c r="C1010" s="5" t="n">
        <v>45413</v>
      </c>
      <c r="D1010" s="2" t="inlineStr">
        <is>
          <t>Q1FY25</t>
        </is>
      </c>
      <c r="E1010" s="3" t="n">
        <v>2740</v>
      </c>
      <c r="F1010" s="8" t="n">
        <v>3.8353</v>
      </c>
      <c r="G1010" s="4" t="n">
        <v>537.5376</v>
      </c>
      <c r="H1010" s="4" t="n">
        <v>1264.1194</v>
      </c>
      <c r="I1010" s="4" t="n">
        <v>13.445</v>
      </c>
      <c r="J1010" s="4" t="n">
        <v>15.3125</v>
      </c>
      <c r="K1010" s="4" t="n">
        <v>13.445</v>
      </c>
      <c r="L1010" s="4" t="n">
        <v>14.6175</v>
      </c>
      <c r="M1010" s="7" t="n">
        <v>0.0872</v>
      </c>
    </row>
    <row r="1011">
      <c r="A1011" s="6" t="n">
        <v>45418</v>
      </c>
      <c r="B1011" s="2" t="inlineStr">
        <is>
          <t>Monday</t>
        </is>
      </c>
      <c r="C1011" s="5" t="n">
        <v>45413</v>
      </c>
      <c r="D1011" s="2" t="inlineStr">
        <is>
          <t>Q1FY25</t>
        </is>
      </c>
      <c r="E1011" s="3" t="n">
        <v>2764</v>
      </c>
      <c r="F1011" s="8" t="n">
        <v>3.656</v>
      </c>
      <c r="G1011" s="4" t="n">
        <v>424.0305</v>
      </c>
      <c r="H1011" s="4" t="n">
        <v>1103.4625</v>
      </c>
      <c r="I1011" s="4" t="n">
        <v>14.6175</v>
      </c>
      <c r="J1011" s="4" t="n">
        <v>16.9625</v>
      </c>
      <c r="K1011" s="4" t="n">
        <v>14.6175</v>
      </c>
      <c r="L1011" s="4" t="n">
        <v>16.6</v>
      </c>
      <c r="M1011" s="7" t="n">
        <v>0.1356</v>
      </c>
    </row>
    <row r="1012">
      <c r="A1012" s="6" t="n">
        <v>45419</v>
      </c>
      <c r="B1012" s="2" t="inlineStr">
        <is>
          <t>Tuesday</t>
        </is>
      </c>
      <c r="C1012" s="5" t="n">
        <v>45413</v>
      </c>
      <c r="D1012" s="2" t="inlineStr">
        <is>
          <t>Q1FY25</t>
        </is>
      </c>
      <c r="E1012" s="3" t="n">
        <v>2733</v>
      </c>
      <c r="F1012" s="8" t="n">
        <v>3.8409</v>
      </c>
      <c r="G1012" s="4" t="n">
        <v>477.5823</v>
      </c>
      <c r="H1012" s="4" t="n">
        <v>1080.6651</v>
      </c>
      <c r="I1012" s="4" t="n">
        <v>16.6</v>
      </c>
      <c r="J1012" s="4" t="n">
        <v>17.6425</v>
      </c>
      <c r="K1012" s="4" t="n">
        <v>16.6</v>
      </c>
      <c r="L1012" s="4" t="n">
        <v>17.0075</v>
      </c>
      <c r="M1012" s="7" t="n">
        <v>0.0245</v>
      </c>
    </row>
    <row r="1013">
      <c r="A1013" s="6" t="n">
        <v>45420</v>
      </c>
      <c r="B1013" s="2" t="inlineStr">
        <is>
          <t>Wednesday</t>
        </is>
      </c>
      <c r="C1013" s="5" t="n">
        <v>45413</v>
      </c>
      <c r="D1013" s="2" t="inlineStr">
        <is>
          <t>Q1FY25</t>
        </is>
      </c>
      <c r="E1013" s="3" t="n">
        <v>2713</v>
      </c>
      <c r="F1013" s="8" t="n">
        <v>3.2436</v>
      </c>
      <c r="G1013" s="4" t="n">
        <v>358.4875</v>
      </c>
      <c r="H1013" s="4" t="n">
        <v>989.2164</v>
      </c>
      <c r="I1013" s="4" t="n">
        <v>17.0075</v>
      </c>
      <c r="J1013" s="4" t="n">
        <v>18.3175</v>
      </c>
      <c r="K1013" s="4" t="n">
        <v>16.4625</v>
      </c>
      <c r="L1013" s="4" t="n">
        <v>17.08</v>
      </c>
      <c r="M1013" s="7" t="n">
        <v>0.0043</v>
      </c>
    </row>
    <row r="1014">
      <c r="A1014" s="6" t="n">
        <v>45421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2704</v>
      </c>
      <c r="F1014" s="8" t="n">
        <v>3.7136</v>
      </c>
      <c r="G1014" s="4" t="n">
        <v>359.4434</v>
      </c>
      <c r="H1014" s="4" t="n">
        <v>1022.0455</v>
      </c>
      <c r="I1014" s="4" t="n">
        <v>17.08</v>
      </c>
      <c r="J1014" s="4" t="n">
        <v>19.1725</v>
      </c>
      <c r="K1014" s="4" t="n">
        <v>17.08</v>
      </c>
      <c r="L1014" s="4" t="n">
        <v>18.2</v>
      </c>
      <c r="M1014" s="7" t="n">
        <v>0.06560000000000001</v>
      </c>
    </row>
    <row r="1015">
      <c r="A1015" s="6" t="n">
        <v>45422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2710</v>
      </c>
      <c r="F1015" s="8" t="n">
        <v>3.187</v>
      </c>
      <c r="G1015" s="4" t="n">
        <v>323.072</v>
      </c>
      <c r="H1015" s="4" t="n">
        <v>891.3561</v>
      </c>
      <c r="I1015" s="4" t="n">
        <v>18.2</v>
      </c>
      <c r="J1015" s="4" t="n">
        <v>19.0075</v>
      </c>
      <c r="K1015" s="4" t="n">
        <v>17.995</v>
      </c>
      <c r="L1015" s="4" t="n">
        <v>18.4725</v>
      </c>
      <c r="M1015" s="7" t="n">
        <v>0.015</v>
      </c>
    </row>
    <row r="1016">
      <c r="A1016" s="6" t="n">
        <v>45425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2744</v>
      </c>
      <c r="F1016" s="8" t="n">
        <v>3.5204</v>
      </c>
      <c r="G1016" s="4" t="n">
        <v>337.9907</v>
      </c>
      <c r="H1016" s="4" t="n">
        <v>984.3719</v>
      </c>
      <c r="I1016" s="4" t="n">
        <v>18.4725</v>
      </c>
      <c r="J1016" s="4" t="n">
        <v>21.485</v>
      </c>
      <c r="K1016" s="4" t="n">
        <v>18.4725</v>
      </c>
      <c r="L1016" s="4" t="n">
        <v>20.6</v>
      </c>
      <c r="M1016" s="7" t="n">
        <v>0.1152</v>
      </c>
    </row>
    <row r="1017">
      <c r="A1017" s="6" t="n">
        <v>45426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2702</v>
      </c>
      <c r="F1017" s="8" t="n">
        <v>3.1185</v>
      </c>
      <c r="G1017" s="4" t="n">
        <v>359.5708</v>
      </c>
      <c r="H1017" s="4" t="n">
        <v>914.5969</v>
      </c>
      <c r="I1017" s="4" t="n">
        <v>20.6</v>
      </c>
      <c r="J1017" s="4" t="n">
        <v>21.875</v>
      </c>
      <c r="K1017" s="4" t="n">
        <v>20.1125</v>
      </c>
      <c r="L1017" s="4" t="n">
        <v>20.195</v>
      </c>
      <c r="M1017" s="7" t="n">
        <v>-0.0197</v>
      </c>
    </row>
    <row r="1018">
      <c r="A1018" s="6" t="n">
        <v>45427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2706</v>
      </c>
      <c r="F1018" s="8" t="n">
        <v>3.2324</v>
      </c>
      <c r="G1018" s="4" t="n">
        <v>335.8568</v>
      </c>
      <c r="H1018" s="4" t="n">
        <v>1005.897</v>
      </c>
      <c r="I1018" s="4" t="n">
        <v>20.195</v>
      </c>
      <c r="J1018" s="4" t="n">
        <v>20.6575</v>
      </c>
      <c r="K1018" s="4" t="n">
        <v>19.87</v>
      </c>
      <c r="L1018" s="4" t="n">
        <v>20.2725</v>
      </c>
      <c r="M1018" s="7" t="n">
        <v>0.0038</v>
      </c>
    </row>
    <row r="1019">
      <c r="A1019" s="6" t="n">
        <v>45428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2710</v>
      </c>
      <c r="F1019" s="8" t="n">
        <v>3.6755</v>
      </c>
      <c r="G1019" s="4" t="n">
        <v>348.7323</v>
      </c>
      <c r="H1019" s="4" t="n">
        <v>1170.1424</v>
      </c>
      <c r="I1019" s="4" t="n">
        <v>20.2725</v>
      </c>
      <c r="J1019" s="4" t="n">
        <v>21.1125</v>
      </c>
      <c r="K1019" s="4" t="n">
        <v>18.965</v>
      </c>
      <c r="L1019" s="4" t="n">
        <v>19.995</v>
      </c>
      <c r="M1019" s="7" t="n">
        <v>-0.0137</v>
      </c>
    </row>
    <row r="1020">
      <c r="A1020" s="6" t="n">
        <v>45429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2731</v>
      </c>
      <c r="F1020" s="8" t="n">
        <v>3.4297</v>
      </c>
      <c r="G1020" s="4" t="n">
        <v>374.1755</v>
      </c>
      <c r="H1020" s="4" t="n">
        <v>1121.0457</v>
      </c>
      <c r="I1020" s="4" t="n">
        <v>19.995</v>
      </c>
      <c r="J1020" s="4" t="n">
        <v>20.3675</v>
      </c>
      <c r="K1020" s="4" t="n">
        <v>18.98</v>
      </c>
      <c r="L1020" s="4" t="n">
        <v>19.7975</v>
      </c>
      <c r="M1020" s="7" t="n">
        <v>-0.009900000000000001</v>
      </c>
    </row>
    <row r="1021">
      <c r="A1021" s="6" t="n">
        <v>45430</v>
      </c>
      <c r="B1021" s="2" t="inlineStr">
        <is>
          <t>Saturday</t>
        </is>
      </c>
      <c r="C1021" s="5" t="n">
        <v>45413</v>
      </c>
      <c r="D1021" s="2" t="inlineStr">
        <is>
          <t>Q1FY25</t>
        </is>
      </c>
      <c r="E1021" s="3" t="n">
        <v>2512</v>
      </c>
      <c r="F1021" s="8" t="n">
        <v>0.5291</v>
      </c>
      <c r="G1021" s="4" t="n">
        <v>76.3673</v>
      </c>
      <c r="H1021" s="4" t="n">
        <v>154.3797</v>
      </c>
      <c r="I1021" s="4" t="n">
        <v>19.7975</v>
      </c>
      <c r="J1021" s="4" t="n">
        <v>20.945</v>
      </c>
      <c r="K1021" s="4" t="n">
        <v>17.3375</v>
      </c>
      <c r="L1021" s="4" t="n">
        <v>20.525</v>
      </c>
      <c r="M1021" s="7" t="n">
        <v>0.0367</v>
      </c>
    </row>
    <row r="1022">
      <c r="A1022" s="6" t="n">
        <v>45433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2793</v>
      </c>
      <c r="F1022" s="8" t="n">
        <v>4.2036</v>
      </c>
      <c r="G1022" s="4" t="n">
        <v>502.191</v>
      </c>
      <c r="H1022" s="4" t="n">
        <v>1318.834</v>
      </c>
      <c r="I1022" s="4" t="n">
        <v>20.525</v>
      </c>
      <c r="J1022" s="4" t="n">
        <v>22.3025</v>
      </c>
      <c r="K1022" s="4" t="n">
        <v>20.525</v>
      </c>
      <c r="L1022" s="4" t="n">
        <v>21.81</v>
      </c>
      <c r="M1022" s="7" t="n">
        <v>0.0626</v>
      </c>
    </row>
    <row r="1023">
      <c r="A1023" s="6" t="n">
        <v>45434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2735</v>
      </c>
      <c r="F1023" s="8" t="n">
        <v>3.8561</v>
      </c>
      <c r="G1023" s="4" t="n">
        <v>411.8392</v>
      </c>
      <c r="H1023" s="4" t="n">
        <v>1214.6199</v>
      </c>
      <c r="I1023" s="4" t="n">
        <v>21.81</v>
      </c>
      <c r="J1023" s="4" t="n">
        <v>22.2925</v>
      </c>
      <c r="K1023" s="4" t="n">
        <v>18.185</v>
      </c>
      <c r="L1023" s="4" t="n">
        <v>21.4675</v>
      </c>
      <c r="M1023" s="7" t="n">
        <v>-0.0157</v>
      </c>
    </row>
    <row r="1024">
      <c r="A1024" s="6" t="n">
        <v>45435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2732</v>
      </c>
      <c r="F1024" s="8" t="n">
        <v>3.7278</v>
      </c>
      <c r="G1024" s="4" t="n">
        <v>462.1836</v>
      </c>
      <c r="H1024" s="4" t="n">
        <v>1318.2101</v>
      </c>
      <c r="I1024" s="4" t="n">
        <v>21.4675</v>
      </c>
      <c r="J1024" s="4" t="n">
        <v>24.215</v>
      </c>
      <c r="K1024" s="4" t="n">
        <v>18.84</v>
      </c>
      <c r="L1024" s="4" t="n">
        <v>21.38</v>
      </c>
      <c r="M1024" s="7" t="n">
        <v>-0.0041</v>
      </c>
    </row>
    <row r="1025">
      <c r="A1025" s="6" t="n">
        <v>45436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2749</v>
      </c>
      <c r="F1025" s="8" t="n">
        <v>3.5854</v>
      </c>
      <c r="G1025" s="4" t="n">
        <v>643.7154</v>
      </c>
      <c r="H1025" s="4" t="n">
        <v>1217.5861</v>
      </c>
      <c r="I1025" s="4" t="n">
        <v>21.38</v>
      </c>
      <c r="J1025" s="4" t="n">
        <v>21.8975</v>
      </c>
      <c r="K1025" s="4" t="n">
        <v>20.59</v>
      </c>
      <c r="L1025" s="4" t="n">
        <v>21.71</v>
      </c>
      <c r="M1025" s="7" t="n">
        <v>0.0154</v>
      </c>
    </row>
    <row r="1026">
      <c r="A1026" s="6" t="n">
        <v>45439</v>
      </c>
      <c r="B1026" s="2" t="inlineStr">
        <is>
          <t>Monday</t>
        </is>
      </c>
      <c r="C1026" s="5" t="n">
        <v>45413</v>
      </c>
      <c r="D1026" s="2" t="inlineStr">
        <is>
          <t>Q1FY25</t>
        </is>
      </c>
      <c r="E1026" s="3" t="n">
        <v>2783</v>
      </c>
      <c r="F1026" s="8" t="n">
        <v>3.7512</v>
      </c>
      <c r="G1026" s="4" t="n">
        <v>484.2391</v>
      </c>
      <c r="H1026" s="4" t="n">
        <v>1218.0813</v>
      </c>
      <c r="I1026" s="4" t="n">
        <v>21.71</v>
      </c>
      <c r="J1026" s="4" t="n">
        <v>26.195</v>
      </c>
      <c r="K1026" s="4" t="n">
        <v>18.435</v>
      </c>
      <c r="L1026" s="4" t="n">
        <v>23.1925</v>
      </c>
      <c r="M1026" s="7" t="n">
        <v>0.0683</v>
      </c>
    </row>
    <row r="1027">
      <c r="A1027" s="6" t="n">
        <v>45440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2717</v>
      </c>
      <c r="F1027" s="8" t="n">
        <v>3.3649</v>
      </c>
      <c r="G1027" s="4" t="n">
        <v>394.3747</v>
      </c>
      <c r="H1027" s="4" t="n">
        <v>1027.3747</v>
      </c>
      <c r="I1027" s="4" t="n">
        <v>23.1925</v>
      </c>
      <c r="J1027" s="4" t="n">
        <v>24.475</v>
      </c>
      <c r="K1027" s="4" t="n">
        <v>22.025</v>
      </c>
      <c r="L1027" s="4" t="n">
        <v>24.195</v>
      </c>
      <c r="M1027" s="7" t="n">
        <v>0.0432</v>
      </c>
    </row>
    <row r="1028">
      <c r="A1028" s="6" t="n">
        <v>45441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2719</v>
      </c>
      <c r="F1028" s="8" t="n">
        <v>3.2114</v>
      </c>
      <c r="G1028" s="4" t="n">
        <v>351.6524</v>
      </c>
      <c r="H1028" s="4" t="n">
        <v>1027.0417</v>
      </c>
      <c r="I1028" s="4" t="n">
        <v>24.195</v>
      </c>
      <c r="J1028" s="4" t="n">
        <v>24.7725</v>
      </c>
      <c r="K1028" s="4" t="n">
        <v>23.545</v>
      </c>
      <c r="L1028" s="4" t="n">
        <v>24.175</v>
      </c>
      <c r="M1028" s="7" t="n">
        <v>-0.0008</v>
      </c>
    </row>
    <row r="1029">
      <c r="A1029" s="6" t="n">
        <v>45442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2707</v>
      </c>
      <c r="F1029" s="8" t="n">
        <v>3.5573</v>
      </c>
      <c r="G1029" s="4" t="n">
        <v>453.2834</v>
      </c>
      <c r="H1029" s="4" t="n">
        <v>1103.2189</v>
      </c>
      <c r="I1029" s="4" t="n">
        <v>24.175</v>
      </c>
      <c r="J1029" s="4" t="n">
        <v>24.52</v>
      </c>
      <c r="K1029" s="4" t="n">
        <v>22.7525</v>
      </c>
      <c r="L1029" s="4" t="n">
        <v>24.175</v>
      </c>
      <c r="M1029" s="7" t="n">
        <v>0</v>
      </c>
    </row>
    <row r="1030">
      <c r="A1030" s="6" t="n">
        <v>45443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2736</v>
      </c>
      <c r="F1030" s="8" t="n">
        <v>4.5141</v>
      </c>
      <c r="G1030" s="4" t="n">
        <v>766.9942</v>
      </c>
      <c r="H1030" s="4" t="n">
        <v>2287.3763</v>
      </c>
      <c r="I1030" s="4" t="n">
        <v>24.175</v>
      </c>
      <c r="J1030" s="4" t="n">
        <v>24.81</v>
      </c>
      <c r="K1030" s="4" t="n">
        <v>22.5975</v>
      </c>
      <c r="L1030" s="4" t="n">
        <v>24.6025</v>
      </c>
      <c r="M1030" s="7" t="n">
        <v>0.0177</v>
      </c>
    </row>
    <row r="1031">
      <c r="A1031" s="6" t="n">
        <v>45446</v>
      </c>
      <c r="B1031" s="2" t="inlineStr">
        <is>
          <t>Monday</t>
        </is>
      </c>
      <c r="C1031" s="5" t="n">
        <v>45444</v>
      </c>
      <c r="D1031" s="2" t="inlineStr">
        <is>
          <t>Q1FY25</t>
        </is>
      </c>
      <c r="E1031" s="3" t="n">
        <v>2806</v>
      </c>
      <c r="F1031" s="8" t="n">
        <v>4.8575</v>
      </c>
      <c r="G1031" s="4" t="n">
        <v>667.1446999999999</v>
      </c>
      <c r="H1031" s="4" t="n">
        <v>1725.3988</v>
      </c>
      <c r="I1031" s="4" t="n">
        <v>24.6025</v>
      </c>
      <c r="J1031" s="4" t="n">
        <v>24.6025</v>
      </c>
      <c r="K1031" s="4" t="n">
        <v>19.115</v>
      </c>
      <c r="L1031" s="4" t="n">
        <v>20.9375</v>
      </c>
      <c r="M1031" s="7" t="n">
        <v>-0.149</v>
      </c>
    </row>
    <row r="1032">
      <c r="A1032" s="6" t="n">
        <v>45447</v>
      </c>
      <c r="B1032" s="2" t="inlineStr">
        <is>
          <t>Tuesday</t>
        </is>
      </c>
      <c r="C1032" s="5" t="n">
        <v>45444</v>
      </c>
      <c r="D1032" s="2" t="inlineStr">
        <is>
          <t>Q1FY25</t>
        </is>
      </c>
      <c r="E1032" s="3" t="n">
        <v>2757</v>
      </c>
      <c r="F1032" s="8" t="n">
        <v>8.8505</v>
      </c>
      <c r="G1032" s="4" t="n">
        <v>1128.241</v>
      </c>
      <c r="H1032" s="4" t="n">
        <v>2712.4543</v>
      </c>
      <c r="I1032" s="4" t="n">
        <v>20.9375</v>
      </c>
      <c r="J1032" s="4" t="n">
        <v>31.71</v>
      </c>
      <c r="K1032" s="4" t="n">
        <v>18.8025</v>
      </c>
      <c r="L1032" s="4" t="n">
        <v>26.7475</v>
      </c>
      <c r="M1032" s="7" t="n">
        <v>0.2775</v>
      </c>
    </row>
    <row r="1033">
      <c r="A1033" s="6" t="n">
        <v>45448</v>
      </c>
      <c r="B1033" s="2" t="inlineStr">
        <is>
          <t>Wednesday</t>
        </is>
      </c>
      <c r="C1033" s="5" t="n">
        <v>45444</v>
      </c>
      <c r="D1033" s="2" t="inlineStr">
        <is>
          <t>Q1FY25</t>
        </is>
      </c>
      <c r="E1033" s="3" t="n">
        <v>2774</v>
      </c>
      <c r="F1033" s="8" t="n">
        <v>5.9613</v>
      </c>
      <c r="G1033" s="4" t="n">
        <v>686.6794</v>
      </c>
      <c r="H1033" s="4" t="n">
        <v>1867.9985</v>
      </c>
      <c r="I1033" s="4" t="n">
        <v>26.7475</v>
      </c>
      <c r="J1033" s="4" t="n">
        <v>26.925</v>
      </c>
      <c r="K1033" s="4" t="n">
        <v>18.6575</v>
      </c>
      <c r="L1033" s="4" t="n">
        <v>18.885</v>
      </c>
      <c r="M1033" s="7" t="n">
        <v>-0.294</v>
      </c>
    </row>
    <row r="1034">
      <c r="A1034" s="6" t="n">
        <v>45449</v>
      </c>
      <c r="B1034" s="2" t="inlineStr">
        <is>
          <t>Thursday</t>
        </is>
      </c>
      <c r="C1034" s="5" t="n">
        <v>45444</v>
      </c>
      <c r="D1034" s="2" t="inlineStr">
        <is>
          <t>Q1FY25</t>
        </is>
      </c>
      <c r="E1034" s="3" t="n">
        <v>2743</v>
      </c>
      <c r="F1034" s="8" t="n">
        <v>4.7365</v>
      </c>
      <c r="G1034" s="4" t="n">
        <v>513.1217</v>
      </c>
      <c r="H1034" s="4" t="n">
        <v>1504.4191</v>
      </c>
      <c r="I1034" s="4" t="n">
        <v>18.885</v>
      </c>
      <c r="J1034" s="4" t="n">
        <v>18.885</v>
      </c>
      <c r="K1034" s="4" t="n">
        <v>16.5575</v>
      </c>
      <c r="L1034" s="4" t="n">
        <v>16.8</v>
      </c>
      <c r="M1034" s="7" t="n">
        <v>-0.1104</v>
      </c>
    </row>
    <row r="1035">
      <c r="A1035" s="6" t="n">
        <v>45450</v>
      </c>
      <c r="B1035" s="2" t="inlineStr">
        <is>
          <t>Friday</t>
        </is>
      </c>
      <c r="C1035" s="5" t="n">
        <v>45444</v>
      </c>
      <c r="D1035" s="2" t="inlineStr">
        <is>
          <t>Q1FY25</t>
        </is>
      </c>
      <c r="E1035" s="3" t="n">
        <v>2755</v>
      </c>
      <c r="F1035" s="8" t="n">
        <v>4.0809</v>
      </c>
      <c r="G1035" s="4" t="n">
        <v>509.6833</v>
      </c>
      <c r="H1035" s="4" t="n">
        <v>1368.197</v>
      </c>
      <c r="I1035" s="4" t="n">
        <v>16.8</v>
      </c>
      <c r="J1035" s="4" t="n">
        <v>17.145</v>
      </c>
      <c r="K1035" s="4" t="n">
        <v>16.3725</v>
      </c>
      <c r="L1035" s="4" t="n">
        <v>16.8825</v>
      </c>
      <c r="M1035" s="7" t="n">
        <v>0.0049</v>
      </c>
    </row>
    <row r="1036">
      <c r="A1036" s="6" t="n">
        <v>45453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2799</v>
      </c>
      <c r="F1036" s="8" t="n">
        <v>3.9918</v>
      </c>
      <c r="G1036" s="4" t="n">
        <v>529.5096</v>
      </c>
      <c r="H1036" s="4" t="n">
        <v>1273.6464</v>
      </c>
      <c r="I1036" s="4" t="n">
        <v>16.8825</v>
      </c>
      <c r="J1036" s="4" t="n">
        <v>17.25</v>
      </c>
      <c r="K1036" s="4" t="n">
        <v>16.17</v>
      </c>
      <c r="L1036" s="4" t="n">
        <v>16.3975</v>
      </c>
      <c r="M1036" s="7" t="n">
        <v>-0.0287</v>
      </c>
    </row>
    <row r="1037">
      <c r="A1037" s="6" t="n">
        <v>45454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2758</v>
      </c>
      <c r="F1037" s="8" t="n">
        <v>4.0301</v>
      </c>
      <c r="G1037" s="4" t="n">
        <v>652.3031</v>
      </c>
      <c r="H1037" s="4" t="n">
        <v>1247.9335</v>
      </c>
      <c r="I1037" s="4" t="n">
        <v>16.3975</v>
      </c>
      <c r="J1037" s="4" t="n">
        <v>16.3975</v>
      </c>
      <c r="K1037" s="4" t="n">
        <v>14.675</v>
      </c>
      <c r="L1037" s="4" t="n">
        <v>14.765</v>
      </c>
      <c r="M1037" s="7" t="n">
        <v>-0.09959999999999999</v>
      </c>
    </row>
    <row r="1038">
      <c r="A1038" s="6" t="n">
        <v>45455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2757</v>
      </c>
      <c r="F1038" s="8" t="n">
        <v>3.8602</v>
      </c>
      <c r="G1038" s="4" t="n">
        <v>573.0939</v>
      </c>
      <c r="H1038" s="4" t="n">
        <v>1200.8157</v>
      </c>
      <c r="I1038" s="4" t="n">
        <v>14.765</v>
      </c>
      <c r="J1038" s="4" t="n">
        <v>14.765</v>
      </c>
      <c r="K1038" s="4" t="n">
        <v>13.165</v>
      </c>
      <c r="L1038" s="4" t="n">
        <v>14.3875</v>
      </c>
      <c r="M1038" s="7" t="n">
        <v>-0.0256</v>
      </c>
    </row>
    <row r="1039">
      <c r="A1039" s="6" t="n">
        <v>45456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2778</v>
      </c>
      <c r="F1039" s="8" t="n">
        <v>3.8467</v>
      </c>
      <c r="G1039" s="4" t="n">
        <v>573.5307</v>
      </c>
      <c r="H1039" s="4" t="n">
        <v>1294.9286</v>
      </c>
      <c r="I1039" s="4" t="n">
        <v>14.3875</v>
      </c>
      <c r="J1039" s="4" t="n">
        <v>14.3875</v>
      </c>
      <c r="K1039" s="4" t="n">
        <v>13.3125</v>
      </c>
      <c r="L1039" s="4" t="n">
        <v>13.4875</v>
      </c>
      <c r="M1039" s="7" t="n">
        <v>-0.0626</v>
      </c>
    </row>
    <row r="1040">
      <c r="A1040" s="6" t="n">
        <v>45457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2764</v>
      </c>
      <c r="F1040" s="8" t="n">
        <v>4.0795</v>
      </c>
      <c r="G1040" s="4" t="n">
        <v>546.2043</v>
      </c>
      <c r="H1040" s="4" t="n">
        <v>1345.3333</v>
      </c>
      <c r="I1040" s="4" t="n">
        <v>13.4875</v>
      </c>
      <c r="J1040" s="4" t="n">
        <v>13.4875</v>
      </c>
      <c r="K1040" s="4" t="n">
        <v>12.655</v>
      </c>
      <c r="L1040" s="4" t="n">
        <v>12.8225</v>
      </c>
      <c r="M1040" s="7" t="n">
        <v>-0.0493</v>
      </c>
    </row>
    <row r="1041">
      <c r="A1041" s="6" t="n">
        <v>45461</v>
      </c>
      <c r="B1041" s="2" t="inlineStr">
        <is>
          <t>Tuesday</t>
        </is>
      </c>
      <c r="C1041" s="5" t="n">
        <v>45444</v>
      </c>
      <c r="D1041" s="2" t="inlineStr">
        <is>
          <t>Q1FY25</t>
        </is>
      </c>
      <c r="E1041" s="3" t="n">
        <v>2810</v>
      </c>
      <c r="F1041" s="8" t="n">
        <v>4.4189</v>
      </c>
      <c r="G1041" s="4" t="n">
        <v>526.8189</v>
      </c>
      <c r="H1041" s="4" t="n">
        <v>1427.975</v>
      </c>
      <c r="I1041" s="4" t="n">
        <v>12.8225</v>
      </c>
      <c r="J1041" s="4" t="n">
        <v>13.42</v>
      </c>
      <c r="K1041" s="4" t="n">
        <v>12.625</v>
      </c>
      <c r="L1041" s="4" t="n">
        <v>12.965</v>
      </c>
      <c r="M1041" s="7" t="n">
        <v>0.0111</v>
      </c>
    </row>
    <row r="1042">
      <c r="A1042" s="6" t="n">
        <v>45462</v>
      </c>
      <c r="B1042" s="2" t="inlineStr">
        <is>
          <t>Wednesday</t>
        </is>
      </c>
      <c r="C1042" s="5" t="n">
        <v>45444</v>
      </c>
      <c r="D1042" s="2" t="inlineStr">
        <is>
          <t>Q1FY25</t>
        </is>
      </c>
      <c r="E1042" s="3" t="n">
        <v>2778</v>
      </c>
      <c r="F1042" s="8" t="n">
        <v>4.5009</v>
      </c>
      <c r="G1042" s="4" t="n">
        <v>755.1404</v>
      </c>
      <c r="H1042" s="4" t="n">
        <v>1768.3013</v>
      </c>
      <c r="I1042" s="4" t="n">
        <v>12.965</v>
      </c>
      <c r="J1042" s="4" t="n">
        <v>13.815</v>
      </c>
      <c r="K1042" s="4" t="n">
        <v>11.63</v>
      </c>
      <c r="L1042" s="4" t="n">
        <v>13.7125</v>
      </c>
      <c r="M1042" s="7" t="n">
        <v>0.0577</v>
      </c>
    </row>
    <row r="1043">
      <c r="A1043" s="6" t="n">
        <v>45463</v>
      </c>
      <c r="B1043" s="2" t="inlineStr">
        <is>
          <t>Thursday</t>
        </is>
      </c>
      <c r="C1043" s="5" t="n">
        <v>45444</v>
      </c>
      <c r="D1043" s="2" t="inlineStr">
        <is>
          <t>Q1FY25</t>
        </is>
      </c>
      <c r="E1043" s="3" t="n">
        <v>2774</v>
      </c>
      <c r="F1043" s="8" t="n">
        <v>4.2275</v>
      </c>
      <c r="G1043" s="4" t="n">
        <v>570.7226000000001</v>
      </c>
      <c r="H1043" s="4" t="n">
        <v>1413.867</v>
      </c>
      <c r="I1043" s="4" t="n">
        <v>13.7125</v>
      </c>
      <c r="J1043" s="4" t="n">
        <v>14.06</v>
      </c>
      <c r="K1043" s="4" t="n">
        <v>13.1025</v>
      </c>
      <c r="L1043" s="4" t="n">
        <v>13.345</v>
      </c>
      <c r="M1043" s="7" t="n">
        <v>-0.0268</v>
      </c>
    </row>
    <row r="1044">
      <c r="A1044" s="6" t="n">
        <v>45464</v>
      </c>
      <c r="B1044" s="2" t="inlineStr">
        <is>
          <t>Friday</t>
        </is>
      </c>
      <c r="C1044" s="5" t="n">
        <v>45444</v>
      </c>
      <c r="D1044" s="2" t="inlineStr">
        <is>
          <t>Q1FY25</t>
        </is>
      </c>
      <c r="E1044" s="3" t="n">
        <v>2746</v>
      </c>
      <c r="F1044" s="8" t="n">
        <v>4.7316</v>
      </c>
      <c r="G1044" s="4" t="n">
        <v>669.6405999999999</v>
      </c>
      <c r="H1044" s="4" t="n">
        <v>1867.1475</v>
      </c>
      <c r="I1044" s="4" t="n">
        <v>13.345</v>
      </c>
      <c r="J1044" s="4" t="n">
        <v>13.59</v>
      </c>
      <c r="K1044" s="4" t="n">
        <v>12.475</v>
      </c>
      <c r="L1044" s="4" t="n">
        <v>13.18</v>
      </c>
      <c r="M1044" s="7" t="n">
        <v>-0.0124</v>
      </c>
    </row>
    <row r="1045">
      <c r="A1045" s="6" t="n">
        <v>45467</v>
      </c>
      <c r="B1045" s="2" t="inlineStr">
        <is>
          <t>Monday</t>
        </is>
      </c>
      <c r="C1045" s="5" t="n">
        <v>45444</v>
      </c>
      <c r="D1045" s="2" t="inlineStr">
        <is>
          <t>Q1FY25</t>
        </is>
      </c>
      <c r="E1045" s="3" t="n">
        <v>2796</v>
      </c>
      <c r="F1045" s="8" t="n">
        <v>4.1399</v>
      </c>
      <c r="G1045" s="4" t="n">
        <v>539.9832</v>
      </c>
      <c r="H1045" s="4" t="n">
        <v>1200.5527</v>
      </c>
      <c r="I1045" s="4" t="n">
        <v>13.18</v>
      </c>
      <c r="J1045" s="4" t="n">
        <v>14.2675</v>
      </c>
      <c r="K1045" s="4" t="n">
        <v>13.15</v>
      </c>
      <c r="L1045" s="4" t="n">
        <v>14.0575</v>
      </c>
      <c r="M1045" s="7" t="n">
        <v>0.06660000000000001</v>
      </c>
    </row>
    <row r="1046">
      <c r="A1046" s="6" t="n">
        <v>45468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2761</v>
      </c>
      <c r="F1046" s="8" t="n">
        <v>3.8776</v>
      </c>
      <c r="G1046" s="4" t="n">
        <v>412.3221</v>
      </c>
      <c r="H1046" s="4" t="n">
        <v>1253.6163</v>
      </c>
      <c r="I1046" s="4" t="n">
        <v>14.0575</v>
      </c>
      <c r="J1046" s="4" t="n">
        <v>14.455</v>
      </c>
      <c r="K1046" s="4" t="n">
        <v>13.8425</v>
      </c>
      <c r="L1046" s="4" t="n">
        <v>14.3125</v>
      </c>
      <c r="M1046" s="7" t="n">
        <v>0.0181</v>
      </c>
    </row>
    <row r="1047">
      <c r="A1047" s="6" t="n">
        <v>45469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2751</v>
      </c>
      <c r="F1047" s="8" t="n">
        <v>4.0001</v>
      </c>
      <c r="G1047" s="4" t="n">
        <v>548.5615</v>
      </c>
      <c r="H1047" s="4" t="n">
        <v>1377.9694</v>
      </c>
      <c r="I1047" s="4" t="n">
        <v>14.3125</v>
      </c>
      <c r="J1047" s="4" t="n">
        <v>14.5475</v>
      </c>
      <c r="K1047" s="4" t="n">
        <v>13.985</v>
      </c>
      <c r="L1047" s="4" t="n">
        <v>14.045</v>
      </c>
      <c r="M1047" s="7" t="n">
        <v>-0.0187</v>
      </c>
    </row>
    <row r="1048">
      <c r="A1048" s="6" t="n">
        <v>45470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2762</v>
      </c>
      <c r="F1048" s="8" t="n">
        <v>4.7632</v>
      </c>
      <c r="G1048" s="4" t="n">
        <v>602.2343</v>
      </c>
      <c r="H1048" s="4" t="n">
        <v>1758.1272</v>
      </c>
      <c r="I1048" s="4" t="n">
        <v>14.045</v>
      </c>
      <c r="J1048" s="4" t="n">
        <v>14.61</v>
      </c>
      <c r="K1048" s="4" t="n">
        <v>13.915</v>
      </c>
      <c r="L1048" s="4" t="n">
        <v>14.1525</v>
      </c>
      <c r="M1048" s="7" t="n">
        <v>0.0077</v>
      </c>
    </row>
    <row r="1049">
      <c r="A1049" s="6" t="n">
        <v>45471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2765</v>
      </c>
      <c r="F1049" s="8" t="n">
        <v>4.1432</v>
      </c>
      <c r="G1049" s="4" t="n">
        <v>571.1485</v>
      </c>
      <c r="H1049" s="4" t="n">
        <v>1443.583</v>
      </c>
      <c r="I1049" s="4" t="n">
        <v>14.1525</v>
      </c>
      <c r="J1049" s="4" t="n">
        <v>14.29</v>
      </c>
      <c r="K1049" s="4" t="n">
        <v>13.6875</v>
      </c>
      <c r="L1049" s="4" t="n">
        <v>13.8025</v>
      </c>
      <c r="M1049" s="7" t="n">
        <v>-0.0247</v>
      </c>
    </row>
    <row r="1050">
      <c r="A1050" s="6" t="n">
        <v>45474</v>
      </c>
      <c r="B1050" s="2" t="inlineStr">
        <is>
          <t>Monday</t>
        </is>
      </c>
      <c r="C1050" s="5" t="n">
        <v>45474</v>
      </c>
      <c r="D1050" s="2" t="inlineStr">
        <is>
          <t>Q2FY25</t>
        </is>
      </c>
      <c r="E1050" s="3" t="n">
        <v>2837</v>
      </c>
      <c r="F1050" s="8" t="n">
        <v>4.0783</v>
      </c>
      <c r="G1050" s="4" t="n">
        <v>430.4507</v>
      </c>
      <c r="H1050" s="4" t="n">
        <v>1200.3056</v>
      </c>
      <c r="I1050" s="4" t="n">
        <v>13.8025</v>
      </c>
      <c r="J1050" s="4" t="n">
        <v>14.2275</v>
      </c>
      <c r="K1050" s="4" t="n">
        <v>13.7925</v>
      </c>
      <c r="L1050" s="4" t="n">
        <v>13.83</v>
      </c>
      <c r="M1050" s="7" t="n">
        <v>0.002</v>
      </c>
    </row>
    <row r="1051">
      <c r="A1051" s="6" t="n">
        <v>45475</v>
      </c>
      <c r="B1051" s="2" t="inlineStr">
        <is>
          <t>Tuesday</t>
        </is>
      </c>
      <c r="C1051" s="5" t="n">
        <v>45474</v>
      </c>
      <c r="D1051" s="2" t="inlineStr">
        <is>
          <t>Q2FY25</t>
        </is>
      </c>
      <c r="E1051" s="3" t="n">
        <v>2794</v>
      </c>
      <c r="F1051" s="8" t="n">
        <v>4.469</v>
      </c>
      <c r="G1051" s="4" t="n">
        <v>461.0985</v>
      </c>
      <c r="H1051" s="4" t="n">
        <v>1325.7408</v>
      </c>
      <c r="I1051" s="4" t="n">
        <v>13.83</v>
      </c>
      <c r="J1051" s="4" t="n">
        <v>14.0125</v>
      </c>
      <c r="K1051" s="4" t="n">
        <v>13.3225</v>
      </c>
      <c r="L1051" s="4" t="n">
        <v>13.64</v>
      </c>
      <c r="M1051" s="7" t="n">
        <v>-0.0137</v>
      </c>
    </row>
    <row r="1052">
      <c r="A1052" s="6" t="n">
        <v>45476</v>
      </c>
      <c r="B1052" s="2" t="inlineStr">
        <is>
          <t>Wednesday</t>
        </is>
      </c>
      <c r="C1052" s="5" t="n">
        <v>45474</v>
      </c>
      <c r="D1052" s="2" t="inlineStr">
        <is>
          <t>Q2FY25</t>
        </is>
      </c>
      <c r="E1052" s="3" t="n">
        <v>2800</v>
      </c>
      <c r="F1052" s="8" t="n">
        <v>3.9992</v>
      </c>
      <c r="G1052" s="4" t="n">
        <v>487.4303</v>
      </c>
      <c r="H1052" s="4" t="n">
        <v>1359.2591</v>
      </c>
      <c r="I1052" s="4" t="n">
        <v>13.64</v>
      </c>
      <c r="J1052" s="4" t="n">
        <v>13.715</v>
      </c>
      <c r="K1052" s="4" t="n">
        <v>12.87</v>
      </c>
      <c r="L1052" s="4" t="n">
        <v>13.205</v>
      </c>
      <c r="M1052" s="7" t="n">
        <v>-0.0319</v>
      </c>
    </row>
    <row r="1053">
      <c r="A1053" s="6" t="n">
        <v>45477</v>
      </c>
      <c r="B1053" s="2" t="inlineStr">
        <is>
          <t>Thursday</t>
        </is>
      </c>
      <c r="C1053" s="5" t="n">
        <v>45474</v>
      </c>
      <c r="D1053" s="2" t="inlineStr">
        <is>
          <t>Q2FY25</t>
        </is>
      </c>
      <c r="E1053" s="3" t="n">
        <v>2792</v>
      </c>
      <c r="F1053" s="8" t="n">
        <v>4.0038</v>
      </c>
      <c r="G1053" s="4" t="n">
        <v>510.8692</v>
      </c>
      <c r="H1053" s="4" t="n">
        <v>1384.5336</v>
      </c>
      <c r="I1053" s="4" t="n">
        <v>13.205</v>
      </c>
      <c r="J1053" s="4" t="n">
        <v>13.205</v>
      </c>
      <c r="K1053" s="4" t="n">
        <v>12.2575</v>
      </c>
      <c r="L1053" s="4" t="n">
        <v>12.855</v>
      </c>
      <c r="M1053" s="7" t="n">
        <v>-0.0265</v>
      </c>
    </row>
    <row r="1054">
      <c r="A1054" s="6" t="n">
        <v>45478</v>
      </c>
      <c r="B1054" s="2" t="inlineStr">
        <is>
          <t>Friday</t>
        </is>
      </c>
      <c r="C1054" s="5" t="n">
        <v>45474</v>
      </c>
      <c r="D1054" s="2" t="inlineStr">
        <is>
          <t>Q2FY25</t>
        </is>
      </c>
      <c r="E1054" s="3" t="n">
        <v>2775</v>
      </c>
      <c r="F1054" s="8" t="n">
        <v>4.5523</v>
      </c>
      <c r="G1054" s="4" t="n">
        <v>589.0634</v>
      </c>
      <c r="H1054" s="4" t="n">
        <v>1556.7424</v>
      </c>
      <c r="I1054" s="4" t="n">
        <v>12.855</v>
      </c>
      <c r="J1054" s="4" t="n">
        <v>12.99</v>
      </c>
      <c r="K1054" s="4" t="n">
        <v>12.08</v>
      </c>
      <c r="L1054" s="4" t="n">
        <v>12.695</v>
      </c>
      <c r="M1054" s="7" t="n">
        <v>-0.0124</v>
      </c>
    </row>
    <row r="1055">
      <c r="A1055" s="6" t="n">
        <v>45481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2815</v>
      </c>
      <c r="F1055" s="8" t="n">
        <v>4.6289</v>
      </c>
      <c r="G1055" s="4" t="n">
        <v>590.5374</v>
      </c>
      <c r="H1055" s="4" t="n">
        <v>1447.5656</v>
      </c>
      <c r="I1055" s="4" t="n">
        <v>12.695</v>
      </c>
      <c r="J1055" s="4" t="n">
        <v>13.7575</v>
      </c>
      <c r="K1055" s="4" t="n">
        <v>12.695</v>
      </c>
      <c r="L1055" s="4" t="n">
        <v>13.6</v>
      </c>
      <c r="M1055" s="7" t="n">
        <v>0.0713</v>
      </c>
    </row>
    <row r="1056">
      <c r="A1056" s="6" t="n">
        <v>45482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2795</v>
      </c>
      <c r="F1056" s="8" t="n">
        <v>4.4499</v>
      </c>
      <c r="G1056" s="4" t="n">
        <v>512.4929</v>
      </c>
      <c r="H1056" s="4" t="n">
        <v>1354.4329</v>
      </c>
      <c r="I1056" s="4" t="n">
        <v>13.6</v>
      </c>
      <c r="J1056" s="4" t="n">
        <v>14.4025</v>
      </c>
      <c r="K1056" s="4" t="n">
        <v>12.79</v>
      </c>
      <c r="L1056" s="4" t="n">
        <v>14.28</v>
      </c>
      <c r="M1056" s="7" t="n">
        <v>0.05</v>
      </c>
    </row>
    <row r="1057">
      <c r="A1057" s="6" t="n">
        <v>45483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2815</v>
      </c>
      <c r="F1057" s="8" t="n">
        <v>4.7459</v>
      </c>
      <c r="G1057" s="4" t="n">
        <v>496.0909</v>
      </c>
      <c r="H1057" s="4" t="n">
        <v>1477.2945</v>
      </c>
      <c r="I1057" s="4" t="n">
        <v>14.28</v>
      </c>
      <c r="J1057" s="4" t="n">
        <v>14.915</v>
      </c>
      <c r="K1057" s="4" t="n">
        <v>13.4075</v>
      </c>
      <c r="L1057" s="4" t="n">
        <v>14.4325</v>
      </c>
      <c r="M1057" s="7" t="n">
        <v>0.0107</v>
      </c>
    </row>
    <row r="1058">
      <c r="A1058" s="6" t="n">
        <v>45484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2774</v>
      </c>
      <c r="F1058" s="8" t="n">
        <v>4.2174</v>
      </c>
      <c r="G1058" s="4" t="n">
        <v>506.6527</v>
      </c>
      <c r="H1058" s="4" t="n">
        <v>1397.0883</v>
      </c>
      <c r="I1058" s="4" t="n">
        <v>14.4325</v>
      </c>
      <c r="J1058" s="4" t="n">
        <v>14.4325</v>
      </c>
      <c r="K1058" s="4" t="n">
        <v>12.68</v>
      </c>
      <c r="L1058" s="4" t="n">
        <v>13.995</v>
      </c>
      <c r="M1058" s="7" t="n">
        <v>-0.0303</v>
      </c>
    </row>
    <row r="1059">
      <c r="A1059" s="6" t="n">
        <v>45485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2769</v>
      </c>
      <c r="F1059" s="8" t="n">
        <v>4.6408</v>
      </c>
      <c r="G1059" s="4" t="n">
        <v>567.5469000000001</v>
      </c>
      <c r="H1059" s="4" t="n">
        <v>1555.5474</v>
      </c>
      <c r="I1059" s="4" t="n">
        <v>13.995</v>
      </c>
      <c r="J1059" s="4" t="n">
        <v>14.0525</v>
      </c>
      <c r="K1059" s="4" t="n">
        <v>13.2225</v>
      </c>
      <c r="L1059" s="4" t="n">
        <v>13.725</v>
      </c>
      <c r="M1059" s="7" t="n">
        <v>-0.0193</v>
      </c>
    </row>
    <row r="1060">
      <c r="A1060" s="6" t="n">
        <v>45488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2839</v>
      </c>
      <c r="F1060" s="8" t="n">
        <v>4.3293</v>
      </c>
      <c r="G1060" s="4" t="n">
        <v>530.624</v>
      </c>
      <c r="H1060" s="4" t="n">
        <v>1317.4937</v>
      </c>
      <c r="I1060" s="4" t="n">
        <v>13.725</v>
      </c>
      <c r="J1060" s="4" t="n">
        <v>14.34</v>
      </c>
      <c r="K1060" s="4" t="n">
        <v>13.5675</v>
      </c>
      <c r="L1060" s="4" t="n">
        <v>14.1875</v>
      </c>
      <c r="M1060" s="7" t="n">
        <v>0.0337</v>
      </c>
    </row>
    <row r="1061">
      <c r="A1061" s="6" t="n">
        <v>45489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2777</v>
      </c>
      <c r="F1061" s="8" t="n">
        <v>4.1571</v>
      </c>
      <c r="G1061" s="4" t="n">
        <v>595.2904</v>
      </c>
      <c r="H1061" s="4" t="n">
        <v>1251.5072</v>
      </c>
      <c r="I1061" s="4" t="n">
        <v>14.1875</v>
      </c>
      <c r="J1061" s="4" t="n">
        <v>14.5875</v>
      </c>
      <c r="K1061" s="4" t="n">
        <v>13.8025</v>
      </c>
      <c r="L1061" s="4" t="n">
        <v>14.2225</v>
      </c>
      <c r="M1061" s="7" t="n">
        <v>0.0025</v>
      </c>
    </row>
    <row r="1062">
      <c r="A1062" s="6" t="n">
        <v>45491</v>
      </c>
      <c r="B1062" s="2" t="inlineStr">
        <is>
          <t>Thursday</t>
        </is>
      </c>
      <c r="C1062" s="5" t="n">
        <v>45474</v>
      </c>
      <c r="D1062" s="2" t="inlineStr">
        <is>
          <t>Q2FY25</t>
        </is>
      </c>
      <c r="E1062" s="3" t="n">
        <v>2794</v>
      </c>
      <c r="F1062" s="8" t="n">
        <v>4.8274</v>
      </c>
      <c r="G1062" s="4" t="n">
        <v>526.7179</v>
      </c>
      <c r="H1062" s="4" t="n">
        <v>1477.8149</v>
      </c>
      <c r="I1062" s="4" t="n">
        <v>14.2225</v>
      </c>
      <c r="J1062" s="4" t="n">
        <v>14.71</v>
      </c>
      <c r="K1062" s="4" t="n">
        <v>13.75</v>
      </c>
      <c r="L1062" s="4" t="n">
        <v>14.51</v>
      </c>
      <c r="M1062" s="7" t="n">
        <v>0.0202</v>
      </c>
    </row>
    <row r="1063">
      <c r="A1063" s="6" t="n">
        <v>45492</v>
      </c>
      <c r="B1063" s="2" t="inlineStr">
        <is>
          <t>Friday</t>
        </is>
      </c>
      <c r="C1063" s="5" t="n">
        <v>45474</v>
      </c>
      <c r="D1063" s="2" t="inlineStr">
        <is>
          <t>Q2FY25</t>
        </is>
      </c>
      <c r="E1063" s="3" t="n">
        <v>2788</v>
      </c>
      <c r="F1063" s="8" t="n">
        <v>4.7245</v>
      </c>
      <c r="G1063" s="4" t="n">
        <v>549.8479</v>
      </c>
      <c r="H1063" s="4" t="n">
        <v>1348.8737</v>
      </c>
      <c r="I1063" s="4" t="n">
        <v>14.51</v>
      </c>
      <c r="J1063" s="4" t="n">
        <v>14.965</v>
      </c>
      <c r="K1063" s="4" t="n">
        <v>12.7375</v>
      </c>
      <c r="L1063" s="4" t="n">
        <v>14.825</v>
      </c>
      <c r="M1063" s="7" t="n">
        <v>0.0217</v>
      </c>
    </row>
    <row r="1064">
      <c r="A1064" s="6" t="n">
        <v>45495</v>
      </c>
      <c r="B1064" s="2" t="inlineStr">
        <is>
          <t>Monday</t>
        </is>
      </c>
      <c r="C1064" s="5" t="n">
        <v>45474</v>
      </c>
      <c r="D1064" s="2" t="inlineStr">
        <is>
          <t>Q2FY25</t>
        </is>
      </c>
      <c r="E1064" s="3" t="n">
        <v>2818</v>
      </c>
      <c r="F1064" s="8" t="n">
        <v>4.2388</v>
      </c>
      <c r="G1064" s="4" t="n">
        <v>522.1442</v>
      </c>
      <c r="H1064" s="4" t="n">
        <v>1223.6674</v>
      </c>
      <c r="I1064" s="4" t="n">
        <v>14.825</v>
      </c>
      <c r="J1064" s="4" t="n">
        <v>15.625</v>
      </c>
      <c r="K1064" s="4" t="n">
        <v>13.115</v>
      </c>
      <c r="L1064" s="4" t="n">
        <v>15.4375</v>
      </c>
      <c r="M1064" s="7" t="n">
        <v>0.0413</v>
      </c>
    </row>
    <row r="1065">
      <c r="A1065" s="6" t="n">
        <v>45496</v>
      </c>
      <c r="B1065" s="2" t="inlineStr">
        <is>
          <t>Tuesday</t>
        </is>
      </c>
      <c r="C1065" s="5" t="n">
        <v>45474</v>
      </c>
      <c r="D1065" s="2" t="inlineStr">
        <is>
          <t>Q2FY25</t>
        </is>
      </c>
      <c r="E1065" s="3" t="n">
        <v>2780</v>
      </c>
      <c r="F1065" s="8" t="n">
        <v>5.8836</v>
      </c>
      <c r="G1065" s="4" t="n">
        <v>694.345</v>
      </c>
      <c r="H1065" s="4" t="n">
        <v>1693.3661</v>
      </c>
      <c r="I1065" s="4" t="n">
        <v>15.4375</v>
      </c>
      <c r="J1065" s="4" t="n">
        <v>16.065</v>
      </c>
      <c r="K1065" s="4" t="n">
        <v>12.5925</v>
      </c>
      <c r="L1065" s="4" t="n">
        <v>12.7475</v>
      </c>
      <c r="M1065" s="7" t="n">
        <v>-0.1743</v>
      </c>
    </row>
    <row r="1066">
      <c r="A1066" s="6" t="n">
        <v>45497</v>
      </c>
      <c r="B1066" s="2" t="inlineStr">
        <is>
          <t>Wednesday</t>
        </is>
      </c>
      <c r="C1066" s="5" t="n">
        <v>45474</v>
      </c>
      <c r="D1066" s="2" t="inlineStr">
        <is>
          <t>Q2FY25</t>
        </is>
      </c>
      <c r="E1066" s="3" t="n">
        <v>2774</v>
      </c>
      <c r="F1066" s="8" t="n">
        <v>4.4622</v>
      </c>
      <c r="G1066" s="4" t="n">
        <v>488.6144</v>
      </c>
      <c r="H1066" s="4" t="n">
        <v>1372.9795</v>
      </c>
      <c r="I1066" s="4" t="n">
        <v>12.7475</v>
      </c>
      <c r="J1066" s="4" t="n">
        <v>14.0375</v>
      </c>
      <c r="K1066" s="4" t="n">
        <v>11.6175</v>
      </c>
      <c r="L1066" s="4" t="n">
        <v>11.7625</v>
      </c>
      <c r="M1066" s="7" t="n">
        <v>-0.07729999999999999</v>
      </c>
    </row>
    <row r="1067">
      <c r="A1067" s="6" t="n">
        <v>45498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2769</v>
      </c>
      <c r="F1067" s="8" t="n">
        <v>4.3366</v>
      </c>
      <c r="G1067" s="4" t="n">
        <v>525.3438</v>
      </c>
      <c r="H1067" s="4" t="n">
        <v>1293.637</v>
      </c>
      <c r="I1067" s="4" t="n">
        <v>11.7625</v>
      </c>
      <c r="J1067" s="4" t="n">
        <v>13.2175</v>
      </c>
      <c r="K1067" s="4" t="n">
        <v>11.275</v>
      </c>
      <c r="L1067" s="4" t="n">
        <v>12.6175</v>
      </c>
      <c r="M1067" s="7" t="n">
        <v>0.0727</v>
      </c>
    </row>
    <row r="1068">
      <c r="A1068" s="6" t="n">
        <v>45499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2775</v>
      </c>
      <c r="F1068" s="8" t="n">
        <v>4.3751</v>
      </c>
      <c r="G1068" s="4" t="n">
        <v>641.8377</v>
      </c>
      <c r="H1068" s="4" t="n">
        <v>1367.7359</v>
      </c>
      <c r="I1068" s="4" t="n">
        <v>12.6175</v>
      </c>
      <c r="J1068" s="4" t="n">
        <v>13.135</v>
      </c>
      <c r="K1068" s="4" t="n">
        <v>11.9775</v>
      </c>
      <c r="L1068" s="4" t="n">
        <v>12.2475</v>
      </c>
      <c r="M1068" s="7" t="n">
        <v>-0.0293</v>
      </c>
    </row>
    <row r="1069">
      <c r="A1069" s="6" t="n">
        <v>45502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2832</v>
      </c>
      <c r="F1069" s="8" t="n">
        <v>4.6063</v>
      </c>
      <c r="G1069" s="4" t="n">
        <v>604.4421</v>
      </c>
      <c r="H1069" s="4" t="n">
        <v>1481.0432</v>
      </c>
      <c r="I1069" s="4" t="n">
        <v>12.2475</v>
      </c>
      <c r="J1069" s="4" t="n">
        <v>13.255</v>
      </c>
      <c r="K1069" s="4" t="n">
        <v>12.0275</v>
      </c>
      <c r="L1069" s="4" t="n">
        <v>12.945</v>
      </c>
      <c r="M1069" s="7" t="n">
        <v>0.057</v>
      </c>
    </row>
    <row r="1070">
      <c r="A1070" s="6" t="n">
        <v>45503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2792</v>
      </c>
      <c r="F1070" s="8" t="n">
        <v>4.4269</v>
      </c>
      <c r="G1070" s="4" t="n">
        <v>504.9382</v>
      </c>
      <c r="H1070" s="4" t="n">
        <v>1365.5811</v>
      </c>
      <c r="I1070" s="4" t="n">
        <v>12.945</v>
      </c>
      <c r="J1070" s="4" t="n">
        <v>13.26</v>
      </c>
      <c r="K1070" s="4" t="n">
        <v>11.715</v>
      </c>
      <c r="L1070" s="4" t="n">
        <v>12.88</v>
      </c>
      <c r="M1070" s="7" t="n">
        <v>-0.005</v>
      </c>
    </row>
    <row r="1071">
      <c r="A1071" s="6" t="n">
        <v>45504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2794</v>
      </c>
      <c r="F1071" s="8" t="n">
        <v>4.3509</v>
      </c>
      <c r="G1071" s="4" t="n">
        <v>514.6867999999999</v>
      </c>
      <c r="H1071" s="4" t="n">
        <v>1363.5573</v>
      </c>
      <c r="I1071" s="4" t="n">
        <v>12.88</v>
      </c>
      <c r="J1071" s="4" t="n">
        <v>13.3875</v>
      </c>
      <c r="K1071" s="4" t="n">
        <v>11.6225</v>
      </c>
      <c r="L1071" s="4" t="n">
        <v>13.25</v>
      </c>
      <c r="M1071" s="7" t="n">
        <v>0.0287</v>
      </c>
    </row>
    <row r="1072">
      <c r="A1072" s="6" t="n">
        <v>45505</v>
      </c>
      <c r="B1072" s="2" t="inlineStr">
        <is>
          <t>Thursday</t>
        </is>
      </c>
      <c r="C1072" s="5" t="n">
        <v>45505</v>
      </c>
      <c r="D1072" s="2" t="inlineStr">
        <is>
          <t>Q2FY25</t>
        </is>
      </c>
      <c r="E1072" s="3" t="n">
        <v>2806</v>
      </c>
      <c r="F1072" s="8" t="n">
        <v>4.4338</v>
      </c>
      <c r="G1072" s="4" t="n">
        <v>520.8295000000001</v>
      </c>
      <c r="H1072" s="4" t="n">
        <v>1355.8214</v>
      </c>
      <c r="I1072" s="4" t="n">
        <v>13.25</v>
      </c>
      <c r="J1072" s="4" t="n">
        <v>13.305</v>
      </c>
      <c r="K1072" s="4" t="n">
        <v>11.9825</v>
      </c>
      <c r="L1072" s="4" t="n">
        <v>12.93</v>
      </c>
      <c r="M1072" s="7" t="n">
        <v>-0.0242</v>
      </c>
    </row>
    <row r="1073">
      <c r="A1073" s="6" t="n">
        <v>45506</v>
      </c>
      <c r="B1073" s="2" t="inlineStr">
        <is>
          <t>Friday</t>
        </is>
      </c>
      <c r="C1073" s="5" t="n">
        <v>45505</v>
      </c>
      <c r="D1073" s="2" t="inlineStr">
        <is>
          <t>Q2FY25</t>
        </is>
      </c>
      <c r="E1073" s="3" t="n">
        <v>2776</v>
      </c>
      <c r="F1073" s="8" t="n">
        <v>4.4118</v>
      </c>
      <c r="G1073" s="4" t="n">
        <v>524.2212</v>
      </c>
      <c r="H1073" s="4" t="n">
        <v>1304.5919</v>
      </c>
      <c r="I1073" s="4" t="n">
        <v>12.93</v>
      </c>
      <c r="J1073" s="4" t="n">
        <v>14.51</v>
      </c>
      <c r="K1073" s="4" t="n">
        <v>11.6925</v>
      </c>
      <c r="L1073" s="4" t="n">
        <v>14.32</v>
      </c>
      <c r="M1073" s="7" t="n">
        <v>0.1075</v>
      </c>
    </row>
    <row r="1074">
      <c r="A1074" s="6" t="n">
        <v>45509</v>
      </c>
      <c r="B1074" s="2" t="inlineStr">
        <is>
          <t>Monday</t>
        </is>
      </c>
      <c r="C1074" s="5" t="n">
        <v>45505</v>
      </c>
      <c r="D1074" s="2" t="inlineStr">
        <is>
          <t>Q2FY25</t>
        </is>
      </c>
      <c r="E1074" s="3" t="n">
        <v>2859</v>
      </c>
      <c r="F1074" s="8" t="n">
        <v>6.3129</v>
      </c>
      <c r="G1074" s="4" t="n">
        <v>646.2289</v>
      </c>
      <c r="H1074" s="4" t="n">
        <v>1568.3382</v>
      </c>
      <c r="I1074" s="4" t="n">
        <v>14.32</v>
      </c>
      <c r="J1074" s="4" t="n">
        <v>23.1525</v>
      </c>
      <c r="K1074" s="4" t="n">
        <v>13.9075</v>
      </c>
      <c r="L1074" s="4" t="n">
        <v>20.3675</v>
      </c>
      <c r="M1074" s="7" t="n">
        <v>0.4223</v>
      </c>
    </row>
    <row r="1075">
      <c r="A1075" s="6" t="n">
        <v>45510</v>
      </c>
      <c r="B1075" s="2" t="inlineStr">
        <is>
          <t>Tuesday</t>
        </is>
      </c>
      <c r="C1075" s="5" t="n">
        <v>45505</v>
      </c>
      <c r="D1075" s="2" t="inlineStr">
        <is>
          <t>Q2FY25</t>
        </is>
      </c>
      <c r="E1075" s="3" t="n">
        <v>2823</v>
      </c>
      <c r="F1075" s="8" t="n">
        <v>4.7642</v>
      </c>
      <c r="G1075" s="4" t="n">
        <v>452.2973</v>
      </c>
      <c r="H1075" s="4" t="n">
        <v>1247.8925</v>
      </c>
      <c r="I1075" s="4" t="n">
        <v>20.3675</v>
      </c>
      <c r="J1075" s="4" t="n">
        <v>20.3675</v>
      </c>
      <c r="K1075" s="4" t="n">
        <v>14.8675</v>
      </c>
      <c r="L1075" s="4" t="n">
        <v>18.7425</v>
      </c>
      <c r="M1075" s="7" t="n">
        <v>-0.0798</v>
      </c>
    </row>
    <row r="1076">
      <c r="A1076" s="6" t="n">
        <v>45511</v>
      </c>
      <c r="B1076" s="2" t="inlineStr">
        <is>
          <t>Wednesday</t>
        </is>
      </c>
      <c r="C1076" s="5" t="n">
        <v>45505</v>
      </c>
      <c r="D1076" s="2" t="inlineStr">
        <is>
          <t>Q2FY25</t>
        </is>
      </c>
      <c r="E1076" s="3" t="n">
        <v>2812</v>
      </c>
      <c r="F1076" s="8" t="n">
        <v>4.2143</v>
      </c>
      <c r="G1076" s="4" t="n">
        <v>428.0335</v>
      </c>
      <c r="H1076" s="4" t="n">
        <v>1181.0797</v>
      </c>
      <c r="I1076" s="4" t="n">
        <v>18.7425</v>
      </c>
      <c r="J1076" s="4" t="n">
        <v>18.7425</v>
      </c>
      <c r="K1076" s="4" t="n">
        <v>13.7225</v>
      </c>
      <c r="L1076" s="4" t="n">
        <v>16.17</v>
      </c>
      <c r="M1076" s="7" t="n">
        <v>-0.1373</v>
      </c>
    </row>
    <row r="1077">
      <c r="A1077" s="6" t="n">
        <v>45512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2790</v>
      </c>
      <c r="F1077" s="8" t="n">
        <v>4.3186</v>
      </c>
      <c r="G1077" s="4" t="n">
        <v>431.4189</v>
      </c>
      <c r="H1077" s="4" t="n">
        <v>1151.1783</v>
      </c>
      <c r="I1077" s="4" t="n">
        <v>16.17</v>
      </c>
      <c r="J1077" s="4" t="n">
        <v>17.23</v>
      </c>
      <c r="K1077" s="4" t="n">
        <v>14.38</v>
      </c>
      <c r="L1077" s="4" t="n">
        <v>16.6025</v>
      </c>
      <c r="M1077" s="7" t="n">
        <v>0.0267</v>
      </c>
    </row>
    <row r="1078">
      <c r="A1078" s="6" t="n">
        <v>45513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2781</v>
      </c>
      <c r="F1078" s="8" t="n">
        <v>3.9462</v>
      </c>
      <c r="G1078" s="4" t="n">
        <v>452.7515</v>
      </c>
      <c r="H1078" s="4" t="n">
        <v>1139.4029</v>
      </c>
      <c r="I1078" s="4" t="n">
        <v>16.6025</v>
      </c>
      <c r="J1078" s="4" t="n">
        <v>16.6025</v>
      </c>
      <c r="K1078" s="4" t="n">
        <v>13.4325</v>
      </c>
      <c r="L1078" s="4" t="n">
        <v>15.335</v>
      </c>
      <c r="M1078" s="7" t="n">
        <v>-0.07630000000000001</v>
      </c>
    </row>
    <row r="1079">
      <c r="A1079" s="6" t="n">
        <v>45516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2836</v>
      </c>
      <c r="F1079" s="8" t="n">
        <v>4.5393</v>
      </c>
      <c r="G1079" s="4" t="n">
        <v>478.3181</v>
      </c>
      <c r="H1079" s="4" t="n">
        <v>1243.071</v>
      </c>
      <c r="I1079" s="4" t="n">
        <v>15.335</v>
      </c>
      <c r="J1079" s="4" t="n">
        <v>16.5575</v>
      </c>
      <c r="K1079" s="4" t="n">
        <v>13.395</v>
      </c>
      <c r="L1079" s="4" t="n">
        <v>15.8675</v>
      </c>
      <c r="M1079" s="7" t="n">
        <v>0.0347</v>
      </c>
    </row>
    <row r="1080">
      <c r="A1080" s="6" t="n">
        <v>45517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2819</v>
      </c>
      <c r="F1080" s="8" t="n">
        <v>4.4243</v>
      </c>
      <c r="G1080" s="4" t="n">
        <v>485.0171</v>
      </c>
      <c r="H1080" s="4" t="n">
        <v>1188.7576</v>
      </c>
      <c r="I1080" s="4" t="n">
        <v>15.8675</v>
      </c>
      <c r="J1080" s="4" t="n">
        <v>16.375</v>
      </c>
      <c r="K1080" s="4" t="n">
        <v>14.2225</v>
      </c>
      <c r="L1080" s="4" t="n">
        <v>16.1675</v>
      </c>
      <c r="M1080" s="7" t="n">
        <v>0.0189</v>
      </c>
    </row>
    <row r="1081">
      <c r="A1081" s="6" t="n">
        <v>45518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2802</v>
      </c>
      <c r="F1081" s="8" t="n">
        <v>4.1795</v>
      </c>
      <c r="G1081" s="4" t="n">
        <v>395.8466</v>
      </c>
      <c r="H1081" s="4" t="n">
        <v>1092.7272</v>
      </c>
      <c r="I1081" s="4" t="n">
        <v>16.1675</v>
      </c>
      <c r="J1081" s="4" t="n">
        <v>16.22</v>
      </c>
      <c r="K1081" s="4" t="n">
        <v>13.8225</v>
      </c>
      <c r="L1081" s="4" t="n">
        <v>15.435</v>
      </c>
      <c r="M1081" s="7" t="n">
        <v>-0.0453</v>
      </c>
    </row>
    <row r="1082">
      <c r="A1082" s="6" t="n">
        <v>45520</v>
      </c>
      <c r="B1082" s="2" t="inlineStr">
        <is>
          <t>Friday</t>
        </is>
      </c>
      <c r="C1082" s="5" t="n">
        <v>45505</v>
      </c>
      <c r="D1082" s="2" t="inlineStr">
        <is>
          <t>Q2FY25</t>
        </is>
      </c>
      <c r="E1082" s="3" t="n">
        <v>2798</v>
      </c>
      <c r="F1082" s="8" t="n">
        <v>4.0047</v>
      </c>
      <c r="G1082" s="4" t="n">
        <v>385.6465</v>
      </c>
      <c r="H1082" s="4" t="n">
        <v>1116.2255</v>
      </c>
      <c r="I1082" s="4" t="n">
        <v>15.435</v>
      </c>
      <c r="J1082" s="4" t="n">
        <v>15.435</v>
      </c>
      <c r="K1082" s="4" t="n">
        <v>12.95</v>
      </c>
      <c r="L1082" s="4" t="n">
        <v>14.4025</v>
      </c>
      <c r="M1082" s="7" t="n">
        <v>-0.0669</v>
      </c>
    </row>
    <row r="1083">
      <c r="A1083" s="6" t="n">
        <v>45523</v>
      </c>
      <c r="B1083" s="2" t="inlineStr">
        <is>
          <t>Monday</t>
        </is>
      </c>
      <c r="C1083" s="5" t="n">
        <v>45505</v>
      </c>
      <c r="D1083" s="2" t="inlineStr">
        <is>
          <t>Q2FY25</t>
        </is>
      </c>
      <c r="E1083" s="3" t="n">
        <v>2842</v>
      </c>
      <c r="F1083" s="8" t="n">
        <v>3.8298</v>
      </c>
      <c r="G1083" s="4" t="n">
        <v>412.7487</v>
      </c>
      <c r="H1083" s="4" t="n">
        <v>1084.0303</v>
      </c>
      <c r="I1083" s="4" t="n">
        <v>14.4025</v>
      </c>
      <c r="J1083" s="4" t="n">
        <v>14.83</v>
      </c>
      <c r="K1083" s="4" t="n">
        <v>13.1975</v>
      </c>
      <c r="L1083" s="4" t="n">
        <v>14.315</v>
      </c>
      <c r="M1083" s="7" t="n">
        <v>-0.0061</v>
      </c>
    </row>
    <row r="1084">
      <c r="A1084" s="6" t="n">
        <v>45524</v>
      </c>
      <c r="B1084" s="2" t="inlineStr">
        <is>
          <t>Tuesday</t>
        </is>
      </c>
      <c r="C1084" s="5" t="n">
        <v>45505</v>
      </c>
      <c r="D1084" s="2" t="inlineStr">
        <is>
          <t>Q2FY25</t>
        </is>
      </c>
      <c r="E1084" s="3" t="n">
        <v>2808</v>
      </c>
      <c r="F1084" s="8" t="n">
        <v>3.9321</v>
      </c>
      <c r="G1084" s="4" t="n">
        <v>416.923</v>
      </c>
      <c r="H1084" s="4" t="n">
        <v>1168.0513</v>
      </c>
      <c r="I1084" s="4" t="n">
        <v>14.315</v>
      </c>
      <c r="J1084" s="4" t="n">
        <v>14.315</v>
      </c>
      <c r="K1084" s="4" t="n">
        <v>11.425</v>
      </c>
      <c r="L1084" s="4" t="n">
        <v>13.82</v>
      </c>
      <c r="M1084" s="7" t="n">
        <v>-0.0346</v>
      </c>
    </row>
    <row r="1085">
      <c r="A1085" s="6" t="n">
        <v>45525</v>
      </c>
      <c r="B1085" s="2" t="inlineStr">
        <is>
          <t>Wednesday</t>
        </is>
      </c>
      <c r="C1085" s="5" t="n">
        <v>45505</v>
      </c>
      <c r="D1085" s="2" t="inlineStr">
        <is>
          <t>Q2FY25</t>
        </is>
      </c>
      <c r="E1085" s="3" t="n">
        <v>2801</v>
      </c>
      <c r="F1085" s="8" t="n">
        <v>3.8813</v>
      </c>
      <c r="G1085" s="4" t="n">
        <v>433.0735</v>
      </c>
      <c r="H1085" s="4" t="n">
        <v>1176.2375</v>
      </c>
      <c r="I1085" s="4" t="n">
        <v>13.82</v>
      </c>
      <c r="J1085" s="4" t="n">
        <v>14.045</v>
      </c>
      <c r="K1085" s="4" t="n">
        <v>11.8225</v>
      </c>
      <c r="L1085" s="4" t="n">
        <v>13.3325</v>
      </c>
      <c r="M1085" s="7" t="n">
        <v>-0.0353</v>
      </c>
    </row>
    <row r="1086">
      <c r="A1086" s="6" t="n">
        <v>45526</v>
      </c>
      <c r="B1086" s="2" t="inlineStr">
        <is>
          <t>Thursday</t>
        </is>
      </c>
      <c r="C1086" s="5" t="n">
        <v>45505</v>
      </c>
      <c r="D1086" s="2" t="inlineStr">
        <is>
          <t>Q2FY25</t>
        </is>
      </c>
      <c r="E1086" s="3" t="n">
        <v>2837</v>
      </c>
      <c r="F1086" s="8" t="n">
        <v>3.9556</v>
      </c>
      <c r="G1086" s="4" t="n">
        <v>466.3142</v>
      </c>
      <c r="H1086" s="4" t="n">
        <v>1186.3886</v>
      </c>
      <c r="I1086" s="4" t="n">
        <v>13.3325</v>
      </c>
      <c r="J1086" s="4" t="n">
        <v>13.7825</v>
      </c>
      <c r="K1086" s="4" t="n">
        <v>10.9575</v>
      </c>
      <c r="L1086" s="4" t="n">
        <v>13</v>
      </c>
      <c r="M1086" s="7" t="n">
        <v>-0.0249</v>
      </c>
    </row>
    <row r="1087">
      <c r="A1087" s="6" t="n">
        <v>45527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2801</v>
      </c>
      <c r="F1087" s="8" t="n">
        <v>3.7623</v>
      </c>
      <c r="G1087" s="4" t="n">
        <v>484.6822</v>
      </c>
      <c r="H1087" s="4" t="n">
        <v>1179.2716</v>
      </c>
      <c r="I1087" s="4" t="n">
        <v>13</v>
      </c>
      <c r="J1087" s="4" t="n">
        <v>13.62</v>
      </c>
      <c r="K1087" s="4" t="n">
        <v>10.84</v>
      </c>
      <c r="L1087" s="4" t="n">
        <v>13.5525</v>
      </c>
      <c r="M1087" s="7" t="n">
        <v>0.0425</v>
      </c>
    </row>
    <row r="1088">
      <c r="A1088" s="6" t="n">
        <v>45530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2877</v>
      </c>
      <c r="F1088" s="8" t="n">
        <v>3.9602</v>
      </c>
      <c r="G1088" s="4" t="n">
        <v>426.7249</v>
      </c>
      <c r="H1088" s="4" t="n">
        <v>1113.0526</v>
      </c>
      <c r="I1088" s="4" t="n">
        <v>13.5525</v>
      </c>
      <c r="J1088" s="4" t="n">
        <v>13.9925</v>
      </c>
      <c r="K1088" s="4" t="n">
        <v>12.01</v>
      </c>
      <c r="L1088" s="4" t="n">
        <v>13.795</v>
      </c>
      <c r="M1088" s="7" t="n">
        <v>0.0179</v>
      </c>
    </row>
    <row r="1089">
      <c r="A1089" s="6" t="n">
        <v>45531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2825</v>
      </c>
      <c r="F1089" s="8" t="n">
        <v>3.7301</v>
      </c>
      <c r="G1089" s="4" t="n">
        <v>401.0941</v>
      </c>
      <c r="H1089" s="4" t="n">
        <v>1152.3442</v>
      </c>
      <c r="I1089" s="4" t="n">
        <v>13.795</v>
      </c>
      <c r="J1089" s="4" t="n">
        <v>14.01</v>
      </c>
      <c r="K1089" s="4" t="n">
        <v>12.71</v>
      </c>
      <c r="L1089" s="4" t="n">
        <v>13.6325</v>
      </c>
      <c r="M1089" s="7" t="n">
        <v>-0.0118</v>
      </c>
    </row>
    <row r="1090">
      <c r="A1090" s="6" t="n">
        <v>45532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2826</v>
      </c>
      <c r="F1090" s="8" t="n">
        <v>3.8318</v>
      </c>
      <c r="G1090" s="4" t="n">
        <v>473.6503</v>
      </c>
      <c r="H1090" s="4" t="n">
        <v>1178.0106</v>
      </c>
      <c r="I1090" s="4" t="n">
        <v>13.6325</v>
      </c>
      <c r="J1090" s="4" t="n">
        <v>14.085</v>
      </c>
      <c r="K1090" s="4" t="n">
        <v>12.035</v>
      </c>
      <c r="L1090" s="4" t="n">
        <v>13.95</v>
      </c>
      <c r="M1090" s="7" t="n">
        <v>0.0233</v>
      </c>
    </row>
    <row r="1091">
      <c r="A1091" s="6" t="n">
        <v>45533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2821</v>
      </c>
      <c r="F1091" s="8" t="n">
        <v>4.1055</v>
      </c>
      <c r="G1091" s="4" t="n">
        <v>460.8401</v>
      </c>
      <c r="H1091" s="4" t="n">
        <v>1314.0172</v>
      </c>
      <c r="I1091" s="4" t="n">
        <v>13.95</v>
      </c>
      <c r="J1091" s="4" t="n">
        <v>14.135</v>
      </c>
      <c r="K1091" s="4" t="n">
        <v>12.4825</v>
      </c>
      <c r="L1091" s="4" t="n">
        <v>13.7875</v>
      </c>
      <c r="M1091" s="7" t="n">
        <v>-0.0116</v>
      </c>
    </row>
    <row r="1092">
      <c r="A1092" s="6" t="n">
        <v>45534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2813</v>
      </c>
      <c r="F1092" s="8" t="n">
        <v>4.3032</v>
      </c>
      <c r="G1092" s="4" t="n">
        <v>874.3335</v>
      </c>
      <c r="H1092" s="4" t="n">
        <v>2241.0798</v>
      </c>
      <c r="I1092" s="4" t="n">
        <v>13.7875</v>
      </c>
      <c r="J1092" s="4" t="n">
        <v>13.905</v>
      </c>
      <c r="K1092" s="4" t="n">
        <v>12.54</v>
      </c>
      <c r="L1092" s="4" t="n">
        <v>13.3925</v>
      </c>
      <c r="M1092" s="7" t="n">
        <v>-0.0286</v>
      </c>
    </row>
    <row r="1093">
      <c r="A1093" s="6" t="n">
        <v>45537</v>
      </c>
      <c r="B1093" s="2" t="inlineStr">
        <is>
          <t>Monday</t>
        </is>
      </c>
      <c r="C1093" s="5" t="n">
        <v>45536</v>
      </c>
      <c r="D1093" s="2" t="inlineStr">
        <is>
          <t>Q2FY25</t>
        </is>
      </c>
      <c r="E1093" s="3" t="n">
        <v>2889</v>
      </c>
      <c r="F1093" s="8" t="n">
        <v>3.9564</v>
      </c>
      <c r="G1093" s="4" t="n">
        <v>410.7533</v>
      </c>
      <c r="H1093" s="4" t="n">
        <v>1101.4686</v>
      </c>
      <c r="I1093" s="4" t="n">
        <v>13.3925</v>
      </c>
      <c r="J1093" s="4" t="n">
        <v>14.25</v>
      </c>
      <c r="K1093" s="4" t="n">
        <v>12.6275</v>
      </c>
      <c r="L1093" s="4" t="n">
        <v>14.06</v>
      </c>
      <c r="M1093" s="7" t="n">
        <v>0.0498</v>
      </c>
    </row>
    <row r="1094">
      <c r="A1094" s="6" t="n">
        <v>45538</v>
      </c>
      <c r="B1094" s="2" t="inlineStr">
        <is>
          <t>Tuesday</t>
        </is>
      </c>
      <c r="C1094" s="5" t="n">
        <v>45536</v>
      </c>
      <c r="D1094" s="2" t="inlineStr">
        <is>
          <t>Q2FY25</t>
        </is>
      </c>
      <c r="E1094" s="3" t="n">
        <v>2838</v>
      </c>
      <c r="F1094" s="8" t="n">
        <v>3.6418</v>
      </c>
      <c r="G1094" s="4" t="n">
        <v>334.373</v>
      </c>
      <c r="H1094" s="4" t="n">
        <v>1116.7369</v>
      </c>
      <c r="I1094" s="4" t="n">
        <v>14.06</v>
      </c>
      <c r="J1094" s="4" t="n">
        <v>14.15</v>
      </c>
      <c r="K1094" s="4" t="n">
        <v>12.69</v>
      </c>
      <c r="L1094" s="4" t="n">
        <v>13.8425</v>
      </c>
      <c r="M1094" s="7" t="n">
        <v>-0.0155</v>
      </c>
    </row>
    <row r="1095">
      <c r="A1095" s="6" t="n">
        <v>45539</v>
      </c>
      <c r="B1095" s="2" t="inlineStr">
        <is>
          <t>Wednesday</t>
        </is>
      </c>
      <c r="C1095" s="5" t="n">
        <v>45536</v>
      </c>
      <c r="D1095" s="2" t="inlineStr">
        <is>
          <t>Q2FY25</t>
        </is>
      </c>
      <c r="E1095" s="3" t="n">
        <v>2811</v>
      </c>
      <c r="F1095" s="8" t="n">
        <v>3.8904</v>
      </c>
      <c r="G1095" s="4" t="n">
        <v>400.9142</v>
      </c>
      <c r="H1095" s="4" t="n">
        <v>1147.8642</v>
      </c>
      <c r="I1095" s="4" t="n">
        <v>13.8425</v>
      </c>
      <c r="J1095" s="4" t="n">
        <v>14.555</v>
      </c>
      <c r="K1095" s="4" t="n">
        <v>12.805</v>
      </c>
      <c r="L1095" s="4" t="n">
        <v>14.3775</v>
      </c>
      <c r="M1095" s="7" t="n">
        <v>0.0386</v>
      </c>
    </row>
    <row r="1096">
      <c r="A1096" s="6" t="n">
        <v>45540</v>
      </c>
      <c r="B1096" s="2" t="inlineStr">
        <is>
          <t>Thursday</t>
        </is>
      </c>
      <c r="C1096" s="5" t="n">
        <v>45536</v>
      </c>
      <c r="D1096" s="2" t="inlineStr">
        <is>
          <t>Q2FY25</t>
        </is>
      </c>
      <c r="E1096" s="3" t="n">
        <v>2812</v>
      </c>
      <c r="F1096" s="8" t="n">
        <v>3.9626</v>
      </c>
      <c r="G1096" s="4" t="n">
        <v>452.4777</v>
      </c>
      <c r="H1096" s="4" t="n">
        <v>1197.0621</v>
      </c>
      <c r="I1096" s="4" t="n">
        <v>14.3775</v>
      </c>
      <c r="J1096" s="4" t="n">
        <v>14.3775</v>
      </c>
      <c r="K1096" s="4" t="n">
        <v>13.335</v>
      </c>
      <c r="L1096" s="4" t="n">
        <v>14.2075</v>
      </c>
      <c r="M1096" s="7" t="n">
        <v>-0.0118</v>
      </c>
    </row>
    <row r="1097">
      <c r="A1097" s="6" t="n">
        <v>45541</v>
      </c>
      <c r="B1097" s="2" t="inlineStr">
        <is>
          <t>Friday</t>
        </is>
      </c>
      <c r="C1097" s="5" t="n">
        <v>45536</v>
      </c>
      <c r="D1097" s="2" t="inlineStr">
        <is>
          <t>Q2FY25</t>
        </is>
      </c>
      <c r="E1097" s="3" t="n">
        <v>2826</v>
      </c>
      <c r="F1097" s="8" t="n">
        <v>4.4663</v>
      </c>
      <c r="G1097" s="4" t="n">
        <v>614.3488</v>
      </c>
      <c r="H1097" s="4" t="n">
        <v>1286.0252</v>
      </c>
      <c r="I1097" s="4" t="n">
        <v>14.2075</v>
      </c>
      <c r="J1097" s="4" t="n">
        <v>15.6725</v>
      </c>
      <c r="K1097" s="4" t="n">
        <v>12.3525</v>
      </c>
      <c r="L1097" s="4" t="n">
        <v>15.2175</v>
      </c>
      <c r="M1097" s="7" t="n">
        <v>0.0711</v>
      </c>
    </row>
    <row r="1098">
      <c r="A1098" s="6" t="n">
        <v>45544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2871</v>
      </c>
      <c r="F1098" s="8" t="n">
        <v>4.0521</v>
      </c>
      <c r="G1098" s="4" t="n">
        <v>430.6825</v>
      </c>
      <c r="H1098" s="4" t="n">
        <v>1062.515</v>
      </c>
      <c r="I1098" s="4" t="n">
        <v>15.2175</v>
      </c>
      <c r="J1098" s="4" t="n">
        <v>15.5625</v>
      </c>
      <c r="K1098" s="4" t="n">
        <v>14.11</v>
      </c>
      <c r="L1098" s="4" t="n">
        <v>14.2375</v>
      </c>
      <c r="M1098" s="7" t="n">
        <v>-0.0644</v>
      </c>
    </row>
    <row r="1099">
      <c r="A1099" s="6" t="n">
        <v>45545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2823</v>
      </c>
      <c r="F1099" s="8" t="n">
        <v>3.9282</v>
      </c>
      <c r="G1099" s="4" t="n">
        <v>401.8953</v>
      </c>
      <c r="H1099" s="4" t="n">
        <v>1074.0344</v>
      </c>
      <c r="I1099" s="4" t="n">
        <v>14.2375</v>
      </c>
      <c r="J1099" s="4" t="n">
        <v>14.2375</v>
      </c>
      <c r="K1099" s="4" t="n">
        <v>12.1675</v>
      </c>
      <c r="L1099" s="4" t="n">
        <v>13.36</v>
      </c>
      <c r="M1099" s="7" t="n">
        <v>-0.0616</v>
      </c>
    </row>
    <row r="1100">
      <c r="A1100" s="6" t="n">
        <v>45546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2839</v>
      </c>
      <c r="F1100" s="8" t="n">
        <v>3.8411</v>
      </c>
      <c r="G1100" s="4" t="n">
        <v>413.5672</v>
      </c>
      <c r="H1100" s="4" t="n">
        <v>1076.9289</v>
      </c>
      <c r="I1100" s="4" t="n">
        <v>13.36</v>
      </c>
      <c r="J1100" s="4" t="n">
        <v>13.765</v>
      </c>
      <c r="K1100" s="4" t="n">
        <v>11.325</v>
      </c>
      <c r="L1100" s="4" t="n">
        <v>13.6275</v>
      </c>
      <c r="M1100" s="7" t="n">
        <v>0.02</v>
      </c>
    </row>
    <row r="1101">
      <c r="A1101" s="6" t="n">
        <v>45547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2822</v>
      </c>
      <c r="F1101" s="8" t="n">
        <v>3.8547</v>
      </c>
      <c r="G1101" s="4" t="n">
        <v>393.5442</v>
      </c>
      <c r="H1101" s="4" t="n">
        <v>1227.6529</v>
      </c>
      <c r="I1101" s="4" t="n">
        <v>13.6275</v>
      </c>
      <c r="J1101" s="4" t="n">
        <v>13.6275</v>
      </c>
      <c r="K1101" s="4" t="n">
        <v>11.14</v>
      </c>
      <c r="L1101" s="4" t="n">
        <v>13.1825</v>
      </c>
      <c r="M1101" s="7" t="n">
        <v>-0.0327</v>
      </c>
    </row>
    <row r="1102">
      <c r="A1102" s="6" t="n">
        <v>45548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2871</v>
      </c>
      <c r="F1102" s="8" t="n">
        <v>3.715</v>
      </c>
      <c r="G1102" s="4" t="n">
        <v>379.4429</v>
      </c>
      <c r="H1102" s="4" t="n">
        <v>1107.0886</v>
      </c>
      <c r="I1102" s="4" t="n">
        <v>13.1825</v>
      </c>
      <c r="J1102" s="4" t="n">
        <v>13.1825</v>
      </c>
      <c r="K1102" s="4" t="n">
        <v>12.4675</v>
      </c>
      <c r="L1102" s="4" t="n">
        <v>12.55</v>
      </c>
      <c r="M1102" s="7" t="n">
        <v>-0.048</v>
      </c>
    </row>
    <row r="1103">
      <c r="A1103" s="6" t="n">
        <v>45551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2899</v>
      </c>
      <c r="F1103" s="8" t="n">
        <v>3.9147</v>
      </c>
      <c r="G1103" s="4" t="n">
        <v>414.6195</v>
      </c>
      <c r="H1103" s="4" t="n">
        <v>1074.9657</v>
      </c>
      <c r="I1103" s="4" t="n">
        <v>12.55</v>
      </c>
      <c r="J1103" s="4" t="n">
        <v>12.955</v>
      </c>
      <c r="K1103" s="4" t="n">
        <v>12.31</v>
      </c>
      <c r="L1103" s="4" t="n">
        <v>12.46</v>
      </c>
      <c r="M1103" s="7" t="n">
        <v>-0.0072</v>
      </c>
    </row>
    <row r="1104">
      <c r="A1104" s="6" t="n">
        <v>45552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2867</v>
      </c>
      <c r="F1104" s="8" t="n">
        <v>3.772</v>
      </c>
      <c r="G1104" s="4" t="n">
        <v>356.4908</v>
      </c>
      <c r="H1104" s="4" t="n">
        <v>1076.7546</v>
      </c>
      <c r="I1104" s="4" t="n">
        <v>12.46</v>
      </c>
      <c r="J1104" s="4" t="n">
        <v>12.75</v>
      </c>
      <c r="K1104" s="4" t="n">
        <v>11.8825</v>
      </c>
      <c r="L1104" s="4" t="n">
        <v>12.59</v>
      </c>
      <c r="M1104" s="7" t="n">
        <v>0.0104</v>
      </c>
    </row>
    <row r="1105">
      <c r="A1105" s="6" t="n">
        <v>45553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2870</v>
      </c>
      <c r="F1105" s="8" t="n">
        <v>3.9586</v>
      </c>
      <c r="G1105" s="4" t="n">
        <v>389.604</v>
      </c>
      <c r="H1105" s="4" t="n">
        <v>1139.4572</v>
      </c>
      <c r="I1105" s="4" t="n">
        <v>12.59</v>
      </c>
      <c r="J1105" s="4" t="n">
        <v>13.8475</v>
      </c>
      <c r="K1105" s="4" t="n">
        <v>12.26</v>
      </c>
      <c r="L1105" s="4" t="n">
        <v>13.3725</v>
      </c>
      <c r="M1105" s="7" t="n">
        <v>0.0622</v>
      </c>
    </row>
    <row r="1106">
      <c r="A1106" s="6" t="n">
        <v>45554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2873</v>
      </c>
      <c r="F1106" s="8" t="n">
        <v>4.8981</v>
      </c>
      <c r="G1106" s="4" t="n">
        <v>658.872</v>
      </c>
      <c r="H1106" s="4" t="n">
        <v>1338.9952</v>
      </c>
      <c r="I1106" s="4" t="n">
        <v>13.3725</v>
      </c>
      <c r="J1106" s="4" t="n">
        <v>13.3725</v>
      </c>
      <c r="K1106" s="4" t="n">
        <v>12.1</v>
      </c>
      <c r="L1106" s="4" t="n">
        <v>12.47</v>
      </c>
      <c r="M1106" s="7" t="n">
        <v>-0.0675</v>
      </c>
    </row>
    <row r="1107">
      <c r="A1107" s="6" t="n">
        <v>45555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2848</v>
      </c>
      <c r="F1107" s="8" t="n">
        <v>4.9235</v>
      </c>
      <c r="G1107" s="4" t="n">
        <v>611.0265000000001</v>
      </c>
      <c r="H1107" s="4" t="n">
        <v>1915.9771</v>
      </c>
      <c r="I1107" s="4" t="n">
        <v>12.47</v>
      </c>
      <c r="J1107" s="4" t="n">
        <v>13.11</v>
      </c>
      <c r="K1107" s="4" t="n">
        <v>10.9025</v>
      </c>
      <c r="L1107" s="4" t="n">
        <v>12.79</v>
      </c>
      <c r="M1107" s="7" t="n">
        <v>0.0257</v>
      </c>
    </row>
    <row r="1108">
      <c r="A1108" s="6" t="n">
        <v>45558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2909</v>
      </c>
      <c r="F1108" s="8" t="n">
        <v>3.9418</v>
      </c>
      <c r="G1108" s="4" t="n">
        <v>534.8496</v>
      </c>
      <c r="H1108" s="4" t="n">
        <v>1127.6626</v>
      </c>
      <c r="I1108" s="4" t="n">
        <v>12.79</v>
      </c>
      <c r="J1108" s="4" t="n">
        <v>14.03</v>
      </c>
      <c r="K1108" s="4" t="n">
        <v>12.4275</v>
      </c>
      <c r="L1108" s="4" t="n">
        <v>13.785</v>
      </c>
      <c r="M1108" s="7" t="n">
        <v>0.07779999999999999</v>
      </c>
    </row>
    <row r="1109">
      <c r="A1109" s="6" t="n">
        <v>45559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2887</v>
      </c>
      <c r="F1109" s="8" t="n">
        <v>4.0416</v>
      </c>
      <c r="G1109" s="4" t="n">
        <v>429.9593</v>
      </c>
      <c r="H1109" s="4" t="n">
        <v>1257.4806</v>
      </c>
      <c r="I1109" s="4" t="n">
        <v>13.785</v>
      </c>
      <c r="J1109" s="4" t="n">
        <v>14.105</v>
      </c>
      <c r="K1109" s="4" t="n">
        <v>12.7425</v>
      </c>
      <c r="L1109" s="4" t="n">
        <v>13.3925</v>
      </c>
      <c r="M1109" s="7" t="n">
        <v>-0.0285</v>
      </c>
    </row>
    <row r="1110">
      <c r="A1110" s="6" t="n">
        <v>45560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2879</v>
      </c>
      <c r="F1110" s="8" t="n">
        <v>3.7853</v>
      </c>
      <c r="G1110" s="4" t="n">
        <v>492.7352</v>
      </c>
      <c r="H1110" s="4" t="n">
        <v>1099.67</v>
      </c>
      <c r="I1110" s="4" t="n">
        <v>13.3925</v>
      </c>
      <c r="J1110" s="4" t="n">
        <v>13.61</v>
      </c>
      <c r="K1110" s="4" t="n">
        <v>8.98</v>
      </c>
      <c r="L1110" s="4" t="n">
        <v>12.7425</v>
      </c>
      <c r="M1110" s="7" t="n">
        <v>-0.0485</v>
      </c>
    </row>
    <row r="1111">
      <c r="A1111" s="6" t="n">
        <v>45561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2867</v>
      </c>
      <c r="F1111" s="8" t="n">
        <v>3.8589</v>
      </c>
      <c r="G1111" s="4" t="n">
        <v>497.8321</v>
      </c>
      <c r="H1111" s="4" t="n">
        <v>1265.5483</v>
      </c>
      <c r="I1111" s="4" t="n">
        <v>12.7425</v>
      </c>
      <c r="J1111" s="4" t="n">
        <v>12.7425</v>
      </c>
      <c r="K1111" s="4" t="n">
        <v>11.3525</v>
      </c>
      <c r="L1111" s="4" t="n">
        <v>12.0025</v>
      </c>
      <c r="M1111" s="7" t="n">
        <v>-0.0581</v>
      </c>
    </row>
    <row r="1112">
      <c r="A1112" s="6" t="n">
        <v>45562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2899</v>
      </c>
      <c r="F1112" s="8" t="n">
        <v>4.345</v>
      </c>
      <c r="G1112" s="4" t="n">
        <v>609.3821</v>
      </c>
      <c r="H1112" s="4" t="n">
        <v>1724.7629</v>
      </c>
      <c r="I1112" s="4" t="n">
        <v>12.0025</v>
      </c>
      <c r="J1112" s="4" t="n">
        <v>12.08</v>
      </c>
      <c r="K1112" s="4" t="n">
        <v>10.5025</v>
      </c>
      <c r="L1112" s="4" t="n">
        <v>11.9625</v>
      </c>
      <c r="M1112" s="7" t="n">
        <v>-0.0033</v>
      </c>
    </row>
    <row r="1113">
      <c r="A1113" s="6" t="n">
        <v>45565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2900</v>
      </c>
      <c r="F1113" s="8" t="n">
        <v>4.1216</v>
      </c>
      <c r="G1113" s="4" t="n">
        <v>470.0653</v>
      </c>
      <c r="H1113" s="4" t="n">
        <v>1175.1094</v>
      </c>
      <c r="I1113" s="4" t="n">
        <v>11.9625</v>
      </c>
      <c r="J1113" s="4" t="n">
        <v>13.2375</v>
      </c>
      <c r="K1113" s="4" t="n">
        <v>11.6</v>
      </c>
      <c r="L1113" s="4" t="n">
        <v>12.7875</v>
      </c>
      <c r="M1113" s="7" t="n">
        <v>0.06900000000000001</v>
      </c>
    </row>
    <row r="1114">
      <c r="A1114" s="6" t="n">
        <v>45566</v>
      </c>
      <c r="B1114" s="2" t="inlineStr">
        <is>
          <t>Tuesday</t>
        </is>
      </c>
      <c r="C1114" s="5" t="n">
        <v>45566</v>
      </c>
      <c r="D1114" s="2" t="inlineStr">
        <is>
          <t>Q3FY25</t>
        </is>
      </c>
      <c r="E1114" s="3" t="n">
        <v>2878</v>
      </c>
      <c r="F1114" s="8" t="n">
        <v>3.5848</v>
      </c>
      <c r="G1114" s="4" t="n">
        <v>398.8918</v>
      </c>
      <c r="H1114" s="4" t="n">
        <v>1047.7207</v>
      </c>
      <c r="I1114" s="4" t="n">
        <v>12.7875</v>
      </c>
      <c r="J1114" s="4" t="n">
        <v>12.7875</v>
      </c>
      <c r="K1114" s="4" t="n">
        <v>11.7125</v>
      </c>
      <c r="L1114" s="4" t="n">
        <v>11.9875</v>
      </c>
      <c r="M1114" s="7" t="n">
        <v>-0.0626</v>
      </c>
    </row>
    <row r="1115">
      <c r="A1115" s="6" t="n">
        <v>45568</v>
      </c>
      <c r="B1115" s="2" t="inlineStr">
        <is>
          <t>Thursday</t>
        </is>
      </c>
      <c r="C1115" s="5" t="n">
        <v>45566</v>
      </c>
      <c r="D1115" s="2" t="inlineStr">
        <is>
          <t>Q3FY25</t>
        </is>
      </c>
      <c r="E1115" s="3" t="n">
        <v>2914</v>
      </c>
      <c r="F1115" s="8" t="n">
        <v>4.7591</v>
      </c>
      <c r="G1115" s="4" t="n">
        <v>454.4323</v>
      </c>
      <c r="H1115" s="4" t="n">
        <v>1370.6264</v>
      </c>
      <c r="I1115" s="4" t="n">
        <v>11.9875</v>
      </c>
      <c r="J1115" s="4" t="n">
        <v>13.9275</v>
      </c>
      <c r="K1115" s="4" t="n">
        <v>11.685</v>
      </c>
      <c r="L1115" s="4" t="n">
        <v>13.17</v>
      </c>
      <c r="M1115" s="7" t="n">
        <v>0.09859999999999999</v>
      </c>
    </row>
    <row r="1116">
      <c r="A1116" s="6" t="n">
        <v>45569</v>
      </c>
      <c r="B1116" s="2" t="inlineStr">
        <is>
          <t>Friday</t>
        </is>
      </c>
      <c r="C1116" s="5" t="n">
        <v>45566</v>
      </c>
      <c r="D1116" s="2" t="inlineStr">
        <is>
          <t>Q3FY25</t>
        </is>
      </c>
      <c r="E1116" s="3" t="n">
        <v>2917</v>
      </c>
      <c r="F1116" s="8" t="n">
        <v>4.3565</v>
      </c>
      <c r="G1116" s="4" t="n">
        <v>414.7313</v>
      </c>
      <c r="H1116" s="4" t="n">
        <v>1275.3048</v>
      </c>
      <c r="I1116" s="4" t="n">
        <v>13.17</v>
      </c>
      <c r="J1116" s="4" t="n">
        <v>14.48</v>
      </c>
      <c r="K1116" s="4" t="n">
        <v>12.285</v>
      </c>
      <c r="L1116" s="4" t="n">
        <v>14.1275</v>
      </c>
      <c r="M1116" s="7" t="n">
        <v>0.0727</v>
      </c>
    </row>
    <row r="1117">
      <c r="A1117" s="6" t="n">
        <v>45572</v>
      </c>
      <c r="B1117" s="2" t="inlineStr">
        <is>
          <t>Monday</t>
        </is>
      </c>
      <c r="C1117" s="5" t="n">
        <v>45566</v>
      </c>
      <c r="D1117" s="2" t="inlineStr">
        <is>
          <t>Q3FY25</t>
        </is>
      </c>
      <c r="E1117" s="3" t="n">
        <v>2939</v>
      </c>
      <c r="F1117" s="8" t="n">
        <v>4.9997</v>
      </c>
      <c r="G1117" s="4" t="n">
        <v>476.765</v>
      </c>
      <c r="H1117" s="4" t="n">
        <v>1275.2235</v>
      </c>
      <c r="I1117" s="4" t="n">
        <v>14.1275</v>
      </c>
      <c r="J1117" s="4" t="n">
        <v>15.5</v>
      </c>
      <c r="K1117" s="4" t="n">
        <v>13.6175</v>
      </c>
      <c r="L1117" s="4" t="n">
        <v>15.08</v>
      </c>
      <c r="M1117" s="7" t="n">
        <v>0.0674</v>
      </c>
    </row>
    <row r="1118">
      <c r="A1118" s="6" t="n">
        <v>45573</v>
      </c>
      <c r="B1118" s="2" t="inlineStr">
        <is>
          <t>Tuesday</t>
        </is>
      </c>
      <c r="C1118" s="5" t="n">
        <v>45566</v>
      </c>
      <c r="D1118" s="2" t="inlineStr">
        <is>
          <t>Q3FY25</t>
        </is>
      </c>
      <c r="E1118" s="3" t="n">
        <v>2886</v>
      </c>
      <c r="F1118" s="8" t="n">
        <v>4.0063</v>
      </c>
      <c r="G1118" s="4" t="n">
        <v>411.1396</v>
      </c>
      <c r="H1118" s="4" t="n">
        <v>1134.1976</v>
      </c>
      <c r="I1118" s="4" t="n">
        <v>15.08</v>
      </c>
      <c r="J1118" s="4" t="n">
        <v>15.555</v>
      </c>
      <c r="K1118" s="4" t="n">
        <v>13.8775</v>
      </c>
      <c r="L1118" s="4" t="n">
        <v>14.5875</v>
      </c>
      <c r="M1118" s="7" t="n">
        <v>-0.0327</v>
      </c>
    </row>
    <row r="1119">
      <c r="A1119" s="6" t="n">
        <v>45574</v>
      </c>
      <c r="B1119" s="2" t="inlineStr">
        <is>
          <t>Wednesday</t>
        </is>
      </c>
      <c r="C1119" s="5" t="n">
        <v>45566</v>
      </c>
      <c r="D1119" s="2" t="inlineStr">
        <is>
          <t>Q3FY25</t>
        </is>
      </c>
      <c r="E1119" s="3" t="n">
        <v>2874</v>
      </c>
      <c r="F1119" s="8" t="n">
        <v>3.6514</v>
      </c>
      <c r="G1119" s="4" t="n">
        <v>397.269</v>
      </c>
      <c r="H1119" s="4" t="n">
        <v>1079.1212</v>
      </c>
      <c r="I1119" s="4" t="n">
        <v>14.5875</v>
      </c>
      <c r="J1119" s="4" t="n">
        <v>14.5875</v>
      </c>
      <c r="K1119" s="4" t="n">
        <v>12.7</v>
      </c>
      <c r="L1119" s="4" t="n">
        <v>14.1225</v>
      </c>
      <c r="M1119" s="7" t="n">
        <v>-0.0319</v>
      </c>
    </row>
    <row r="1120">
      <c r="A1120" s="6" t="n">
        <v>45575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2869</v>
      </c>
      <c r="F1120" s="8" t="n">
        <v>3.2066</v>
      </c>
      <c r="G1120" s="4" t="n">
        <v>316.2555</v>
      </c>
      <c r="H1120" s="4" t="n">
        <v>939.7346</v>
      </c>
      <c r="I1120" s="4" t="n">
        <v>14.1225</v>
      </c>
      <c r="J1120" s="4" t="n">
        <v>14.1225</v>
      </c>
      <c r="K1120" s="4" t="n">
        <v>11.7275</v>
      </c>
      <c r="L1120" s="4" t="n">
        <v>13.495</v>
      </c>
      <c r="M1120" s="7" t="n">
        <v>-0.0444</v>
      </c>
    </row>
    <row r="1121">
      <c r="A1121" s="6" t="n">
        <v>45576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2852</v>
      </c>
      <c r="F1121" s="8" t="n">
        <v>2.8292</v>
      </c>
      <c r="G1121" s="4" t="n">
        <v>286.0253</v>
      </c>
      <c r="H1121" s="4" t="n">
        <v>819.8059</v>
      </c>
      <c r="I1121" s="4" t="n">
        <v>13.495</v>
      </c>
      <c r="J1121" s="4" t="n">
        <v>13.7025</v>
      </c>
      <c r="K1121" s="4" t="n">
        <v>11.535</v>
      </c>
      <c r="L1121" s="4" t="n">
        <v>13.22</v>
      </c>
      <c r="M1121" s="7" t="n">
        <v>-0.0204</v>
      </c>
    </row>
    <row r="1122">
      <c r="A1122" s="6" t="n">
        <v>45579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2903</v>
      </c>
      <c r="F1122" s="8" t="n">
        <v>3.2463</v>
      </c>
      <c r="G1122" s="4" t="n">
        <v>300.9477</v>
      </c>
      <c r="H1122" s="4" t="n">
        <v>911.7911</v>
      </c>
      <c r="I1122" s="4" t="n">
        <v>13.22</v>
      </c>
      <c r="J1122" s="4" t="n">
        <v>13.735</v>
      </c>
      <c r="K1122" s="4" t="n">
        <v>12.915</v>
      </c>
      <c r="L1122" s="4" t="n">
        <v>12.995</v>
      </c>
      <c r="M1122" s="7" t="n">
        <v>-0.017</v>
      </c>
    </row>
    <row r="1123">
      <c r="A1123" s="6" t="n">
        <v>45580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2875</v>
      </c>
      <c r="F1123" s="8" t="n">
        <v>3.407</v>
      </c>
      <c r="G1123" s="4" t="n">
        <v>287.5166</v>
      </c>
      <c r="H1123" s="4" t="n">
        <v>1035.3006</v>
      </c>
      <c r="I1123" s="4" t="n">
        <v>12.995</v>
      </c>
      <c r="J1123" s="4" t="n">
        <v>13.3625</v>
      </c>
      <c r="K1123" s="4" t="n">
        <v>10.9225</v>
      </c>
      <c r="L1123" s="4" t="n">
        <v>13.0025</v>
      </c>
      <c r="M1123" s="7" t="n">
        <v>0.0005999999999999999</v>
      </c>
    </row>
    <row r="1124">
      <c r="A1124" s="6" t="n">
        <v>45581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2876</v>
      </c>
      <c r="F1124" s="8" t="n">
        <v>3.5257</v>
      </c>
      <c r="G1124" s="4" t="n">
        <v>288.3096</v>
      </c>
      <c r="H1124" s="4" t="n">
        <v>1035.213</v>
      </c>
      <c r="I1124" s="4" t="n">
        <v>13.0025</v>
      </c>
      <c r="J1124" s="4" t="n">
        <v>13.56</v>
      </c>
      <c r="K1124" s="4" t="n">
        <v>11.435</v>
      </c>
      <c r="L1124" s="4" t="n">
        <v>13.0525</v>
      </c>
      <c r="M1124" s="7" t="n">
        <v>0.0038</v>
      </c>
    </row>
    <row r="1125">
      <c r="A1125" s="6" t="n">
        <v>45582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2846</v>
      </c>
      <c r="F1125" s="8" t="n">
        <v>3.4567</v>
      </c>
      <c r="G1125" s="4" t="n">
        <v>288.6729</v>
      </c>
      <c r="H1125" s="4" t="n">
        <v>998.9822</v>
      </c>
      <c r="I1125" s="4" t="n">
        <v>13.0525</v>
      </c>
      <c r="J1125" s="4" t="n">
        <v>13.465</v>
      </c>
      <c r="K1125" s="4" t="n">
        <v>11.0625</v>
      </c>
      <c r="L1125" s="4" t="n">
        <v>13.3875</v>
      </c>
      <c r="M1125" s="7" t="n">
        <v>0.0257</v>
      </c>
    </row>
    <row r="1126">
      <c r="A1126" s="6" t="n">
        <v>45583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2855</v>
      </c>
      <c r="F1126" s="8" t="n">
        <v>3.5538</v>
      </c>
      <c r="G1126" s="4" t="n">
        <v>300.754</v>
      </c>
      <c r="H1126" s="4" t="n">
        <v>1041.454</v>
      </c>
      <c r="I1126" s="4" t="n">
        <v>13.3875</v>
      </c>
      <c r="J1126" s="4" t="n">
        <v>14.06</v>
      </c>
      <c r="K1126" s="4" t="n">
        <v>12.8675</v>
      </c>
      <c r="L1126" s="4" t="n">
        <v>13.0375</v>
      </c>
      <c r="M1126" s="7" t="n">
        <v>-0.0261</v>
      </c>
    </row>
    <row r="1127">
      <c r="A1127" s="6" t="n">
        <v>45586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2912</v>
      </c>
      <c r="F1127" s="8" t="n">
        <v>3.5226</v>
      </c>
      <c r="G1127" s="4" t="n">
        <v>310.9546</v>
      </c>
      <c r="H1127" s="4" t="n">
        <v>1024.7568</v>
      </c>
      <c r="I1127" s="4" t="n">
        <v>13.0375</v>
      </c>
      <c r="J1127" s="4" t="n">
        <v>14.195</v>
      </c>
      <c r="K1127" s="4" t="n">
        <v>12.5525</v>
      </c>
      <c r="L1127" s="4" t="n">
        <v>13.7625</v>
      </c>
      <c r="M1127" s="7" t="n">
        <v>0.0556</v>
      </c>
    </row>
    <row r="1128">
      <c r="A1128" s="6" t="n">
        <v>45587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2917</v>
      </c>
      <c r="F1128" s="8" t="n">
        <v>4.6235</v>
      </c>
      <c r="G1128" s="4" t="n">
        <v>384.6317</v>
      </c>
      <c r="H1128" s="4" t="n">
        <v>1151.0896</v>
      </c>
      <c r="I1128" s="4" t="n">
        <v>13.7625</v>
      </c>
      <c r="J1128" s="4" t="n">
        <v>14.515</v>
      </c>
      <c r="K1128" s="4" t="n">
        <v>9.470000000000001</v>
      </c>
      <c r="L1128" s="4" t="n">
        <v>14.395</v>
      </c>
      <c r="M1128" s="7" t="n">
        <v>0.046</v>
      </c>
    </row>
    <row r="1129">
      <c r="A1129" s="6" t="n">
        <v>45588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2859</v>
      </c>
      <c r="F1129" s="8" t="n">
        <v>4.2795</v>
      </c>
      <c r="G1129" s="4" t="n">
        <v>397.2069</v>
      </c>
      <c r="H1129" s="4" t="n">
        <v>1167.6439</v>
      </c>
      <c r="I1129" s="4" t="n">
        <v>14.395</v>
      </c>
      <c r="J1129" s="4" t="n">
        <v>15.0325</v>
      </c>
      <c r="K1129" s="4" t="n">
        <v>11.74</v>
      </c>
      <c r="L1129" s="4" t="n">
        <v>14.6225</v>
      </c>
      <c r="M1129" s="7" t="n">
        <v>0.0158</v>
      </c>
    </row>
    <row r="1130">
      <c r="A1130" s="6" t="n">
        <v>45589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2843</v>
      </c>
      <c r="F1130" s="8" t="n">
        <v>3.5975</v>
      </c>
      <c r="G1130" s="4" t="n">
        <v>283.3194</v>
      </c>
      <c r="H1130" s="4" t="n">
        <v>966.927</v>
      </c>
      <c r="I1130" s="4" t="n">
        <v>14.6225</v>
      </c>
      <c r="J1130" s="4" t="n">
        <v>14.8975</v>
      </c>
      <c r="K1130" s="4" t="n">
        <v>12.695</v>
      </c>
      <c r="L1130" s="4" t="n">
        <v>13.97</v>
      </c>
      <c r="M1130" s="7" t="n">
        <v>-0.0446</v>
      </c>
    </row>
    <row r="1131">
      <c r="A1131" s="6" t="n">
        <v>45590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2902</v>
      </c>
      <c r="F1131" s="8" t="n">
        <v>4.6351</v>
      </c>
      <c r="G1131" s="4" t="n">
        <v>381.007</v>
      </c>
      <c r="H1131" s="4" t="n">
        <v>1147.2574</v>
      </c>
      <c r="I1131" s="4" t="n">
        <v>13.97</v>
      </c>
      <c r="J1131" s="4" t="n">
        <v>15.08</v>
      </c>
      <c r="K1131" s="4" t="n">
        <v>13.35</v>
      </c>
      <c r="L1131" s="4" t="n">
        <v>14.6325</v>
      </c>
      <c r="M1131" s="7" t="n">
        <v>0.0474</v>
      </c>
    </row>
    <row r="1132">
      <c r="A1132" s="6" t="n">
        <v>45593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2920</v>
      </c>
      <c r="F1132" s="8" t="n">
        <v>4.1982</v>
      </c>
      <c r="G1132" s="4" t="n">
        <v>411.186</v>
      </c>
      <c r="H1132" s="4" t="n">
        <v>1049.8009</v>
      </c>
      <c r="I1132" s="4" t="n">
        <v>14.6325</v>
      </c>
      <c r="J1132" s="4" t="n">
        <v>15.4775</v>
      </c>
      <c r="K1132" s="4" t="n">
        <v>13.535</v>
      </c>
      <c r="L1132" s="4" t="n">
        <v>14.29</v>
      </c>
      <c r="M1132" s="7" t="n">
        <v>-0.0234</v>
      </c>
    </row>
    <row r="1133">
      <c r="A1133" s="6" t="n">
        <v>45594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2865</v>
      </c>
      <c r="F1133" s="8" t="n">
        <v>3.9132</v>
      </c>
      <c r="G1133" s="4" t="n">
        <v>331.8601</v>
      </c>
      <c r="H1133" s="4" t="n">
        <v>1039.5251</v>
      </c>
      <c r="I1133" s="4" t="n">
        <v>14.29</v>
      </c>
      <c r="J1133" s="4" t="n">
        <v>15.0275</v>
      </c>
      <c r="K1133" s="4" t="n">
        <v>13.5575</v>
      </c>
      <c r="L1133" s="4" t="n">
        <v>14.515</v>
      </c>
      <c r="M1133" s="7" t="n">
        <v>0.0157</v>
      </c>
    </row>
    <row r="1134">
      <c r="A1134" s="6" t="n">
        <v>45595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2850</v>
      </c>
      <c r="F1134" s="8" t="n">
        <v>3.6784</v>
      </c>
      <c r="G1134" s="4" t="n">
        <v>388.6283</v>
      </c>
      <c r="H1134" s="4" t="n">
        <v>1014.6673</v>
      </c>
      <c r="I1134" s="4" t="n">
        <v>14.515</v>
      </c>
      <c r="J1134" s="4" t="n">
        <v>15.7</v>
      </c>
      <c r="K1134" s="4" t="n">
        <v>14.28</v>
      </c>
      <c r="L1134" s="4" t="n">
        <v>15.51</v>
      </c>
      <c r="M1134" s="7" t="n">
        <v>0.06850000000000001</v>
      </c>
    </row>
    <row r="1135">
      <c r="A1135" s="6" t="n">
        <v>45596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2850</v>
      </c>
      <c r="F1135" s="8" t="n">
        <v>3.7097</v>
      </c>
      <c r="G1135" s="4" t="n">
        <v>333.3854</v>
      </c>
      <c r="H1135" s="4" t="n">
        <v>1004.8398</v>
      </c>
      <c r="I1135" s="4" t="n">
        <v>15.51</v>
      </c>
      <c r="J1135" s="4" t="n">
        <v>16.24</v>
      </c>
      <c r="K1135" s="4" t="n">
        <v>14.6525</v>
      </c>
      <c r="L1135" s="4" t="n">
        <v>15.55</v>
      </c>
      <c r="M1135" s="7" t="n">
        <v>0.0026</v>
      </c>
    </row>
    <row r="1136">
      <c r="A1136" s="6" t="n">
        <v>45597</v>
      </c>
      <c r="B1136" s="2" t="inlineStr">
        <is>
          <t>Friday</t>
        </is>
      </c>
      <c r="C1136" s="5" t="n">
        <v>45597</v>
      </c>
      <c r="D1136" s="2" t="inlineStr">
        <is>
          <t>Q3FY25</t>
        </is>
      </c>
      <c r="E1136" s="3" t="n">
        <v>2746</v>
      </c>
      <c r="F1136" s="8" t="n">
        <v>0.9694</v>
      </c>
      <c r="G1136" s="4" t="n">
        <v>100.6932</v>
      </c>
      <c r="H1136" s="4" t="n">
        <v>182.2498</v>
      </c>
      <c r="I1136" s="4" t="n">
        <v>15.55</v>
      </c>
      <c r="J1136" s="4" t="n">
        <v>16.125</v>
      </c>
      <c r="K1136" s="4" t="n">
        <v>13.6325</v>
      </c>
      <c r="L1136" s="4" t="n">
        <v>15.9025</v>
      </c>
      <c r="M1136" s="7" t="n">
        <v>0.0227</v>
      </c>
    </row>
    <row r="1137">
      <c r="A1137" s="6" t="n">
        <v>45600</v>
      </c>
      <c r="B1137" s="2" t="inlineStr">
        <is>
          <t>Monday</t>
        </is>
      </c>
      <c r="C1137" s="5" t="n">
        <v>45597</v>
      </c>
      <c r="D1137" s="2" t="inlineStr">
        <is>
          <t>Q3FY25</t>
        </is>
      </c>
      <c r="E1137" s="3" t="n">
        <v>2946</v>
      </c>
      <c r="F1137" s="8" t="n">
        <v>3.8353</v>
      </c>
      <c r="G1137" s="4" t="n">
        <v>344.1254</v>
      </c>
      <c r="H1137" s="4" t="n">
        <v>981.7171</v>
      </c>
      <c r="I1137" s="4" t="n">
        <v>15.9025</v>
      </c>
      <c r="J1137" s="4" t="n">
        <v>17.6</v>
      </c>
      <c r="K1137" s="4" t="n">
        <v>14.7775</v>
      </c>
      <c r="L1137" s="4" t="n">
        <v>16.6875</v>
      </c>
      <c r="M1137" s="7" t="n">
        <v>0.0494</v>
      </c>
    </row>
    <row r="1138">
      <c r="A1138" s="6" t="n">
        <v>45601</v>
      </c>
      <c r="B1138" s="2" t="inlineStr">
        <is>
          <t>Tuesday</t>
        </is>
      </c>
      <c r="C1138" s="5" t="n">
        <v>45597</v>
      </c>
      <c r="D1138" s="2" t="inlineStr">
        <is>
          <t>Q3FY25</t>
        </is>
      </c>
      <c r="E1138" s="3" t="n">
        <v>2895</v>
      </c>
      <c r="F1138" s="8" t="n">
        <v>3.6817</v>
      </c>
      <c r="G1138" s="4" t="n">
        <v>327.9846</v>
      </c>
      <c r="H1138" s="4" t="n">
        <v>999.2582</v>
      </c>
      <c r="I1138" s="4" t="n">
        <v>16.6875</v>
      </c>
      <c r="J1138" s="4" t="n">
        <v>19.02</v>
      </c>
      <c r="K1138" s="4" t="n">
        <v>15.795</v>
      </c>
      <c r="L1138" s="4" t="n">
        <v>16.1225</v>
      </c>
      <c r="M1138" s="7" t="n">
        <v>-0.0339</v>
      </c>
    </row>
    <row r="1139">
      <c r="A1139" s="6" t="n">
        <v>45602</v>
      </c>
      <c r="B1139" s="2" t="inlineStr">
        <is>
          <t>Wednesday</t>
        </is>
      </c>
      <c r="C1139" s="5" t="n">
        <v>45597</v>
      </c>
      <c r="D1139" s="2" t="inlineStr">
        <is>
          <t>Q3FY25</t>
        </is>
      </c>
      <c r="E1139" s="3" t="n">
        <v>2926</v>
      </c>
      <c r="F1139" s="8" t="n">
        <v>3.7646</v>
      </c>
      <c r="G1139" s="4" t="n">
        <v>336.3735</v>
      </c>
      <c r="H1139" s="4" t="n">
        <v>1154.2219</v>
      </c>
      <c r="I1139" s="4" t="n">
        <v>16.1225</v>
      </c>
      <c r="J1139" s="4" t="n">
        <v>20.75</v>
      </c>
      <c r="K1139" s="4" t="n">
        <v>14.7125</v>
      </c>
      <c r="L1139" s="4" t="n">
        <v>14.8675</v>
      </c>
      <c r="M1139" s="7" t="n">
        <v>-0.07779999999999999</v>
      </c>
    </row>
    <row r="1140">
      <c r="A1140" s="6" t="n">
        <v>45603</v>
      </c>
      <c r="B1140" s="2" t="inlineStr">
        <is>
          <t>Thursday</t>
        </is>
      </c>
      <c r="C1140" s="5" t="n">
        <v>45597</v>
      </c>
      <c r="D1140" s="2" t="inlineStr">
        <is>
          <t>Q3FY25</t>
        </is>
      </c>
      <c r="E1140" s="3" t="n">
        <v>2898</v>
      </c>
      <c r="F1140" s="8" t="n">
        <v>3.6784</v>
      </c>
      <c r="G1140" s="4" t="n">
        <v>321.2805</v>
      </c>
      <c r="H1140" s="4" t="n">
        <v>1013.1119</v>
      </c>
      <c r="I1140" s="4" t="n">
        <v>14.8675</v>
      </c>
      <c r="J1140" s="4" t="n">
        <v>15.5225</v>
      </c>
      <c r="K1140" s="4" t="n">
        <v>14.2675</v>
      </c>
      <c r="L1140" s="4" t="n">
        <v>14.94</v>
      </c>
      <c r="M1140" s="7" t="n">
        <v>0.0049</v>
      </c>
    </row>
    <row r="1141">
      <c r="A1141" s="6" t="n">
        <v>45604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2878</v>
      </c>
      <c r="F1141" s="8" t="n">
        <v>3.5503</v>
      </c>
      <c r="G1141" s="4" t="n">
        <v>293.6087</v>
      </c>
      <c r="H1141" s="4" t="n">
        <v>1000.4317</v>
      </c>
      <c r="I1141" s="4" t="n">
        <v>14.94</v>
      </c>
      <c r="J1141" s="4" t="n">
        <v>15.725</v>
      </c>
      <c r="K1141" s="4" t="n">
        <v>14.3925</v>
      </c>
      <c r="L1141" s="4" t="n">
        <v>14.47</v>
      </c>
      <c r="M1141" s="7" t="n">
        <v>-0.0315</v>
      </c>
    </row>
    <row r="1142">
      <c r="A1142" s="6" t="n">
        <v>45607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2928</v>
      </c>
      <c r="F1142" s="8" t="n">
        <v>3.6646</v>
      </c>
      <c r="G1142" s="4" t="n">
        <v>296.6698</v>
      </c>
      <c r="H1142" s="4" t="n">
        <v>910.9772</v>
      </c>
      <c r="I1142" s="4" t="n">
        <v>14.47</v>
      </c>
      <c r="J1142" s="4" t="n">
        <v>15.47</v>
      </c>
      <c r="K1142" s="4" t="n">
        <v>13.1175</v>
      </c>
      <c r="L1142" s="4" t="n">
        <v>14.27</v>
      </c>
      <c r="M1142" s="7" t="n">
        <v>-0.0138</v>
      </c>
    </row>
    <row r="1143">
      <c r="A1143" s="6" t="n">
        <v>45608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2886</v>
      </c>
      <c r="F1143" s="8" t="n">
        <v>3.7101</v>
      </c>
      <c r="G1143" s="4" t="n">
        <v>298.3732</v>
      </c>
      <c r="H1143" s="4" t="n">
        <v>902.4439</v>
      </c>
      <c r="I1143" s="4" t="n">
        <v>14.27</v>
      </c>
      <c r="J1143" s="4" t="n">
        <v>14.8375</v>
      </c>
      <c r="K1143" s="4" t="n">
        <v>12.74</v>
      </c>
      <c r="L1143" s="4" t="n">
        <v>14.59</v>
      </c>
      <c r="M1143" s="7" t="n">
        <v>0.0224</v>
      </c>
    </row>
    <row r="1144">
      <c r="A1144" s="6" t="n">
        <v>45609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2889</v>
      </c>
      <c r="F1144" s="8" t="n">
        <v>4.4263</v>
      </c>
      <c r="G1144" s="4" t="n">
        <v>356.3172</v>
      </c>
      <c r="H1144" s="4" t="n">
        <v>1015.3612</v>
      </c>
      <c r="I1144" s="4" t="n">
        <v>14.59</v>
      </c>
      <c r="J1144" s="4" t="n">
        <v>15.865</v>
      </c>
      <c r="K1144" s="4" t="n">
        <v>13.9325</v>
      </c>
      <c r="L1144" s="4" t="n">
        <v>15.435</v>
      </c>
      <c r="M1144" s="7" t="n">
        <v>0.0579</v>
      </c>
    </row>
    <row r="1145">
      <c r="A1145" s="6" t="n">
        <v>45610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2897</v>
      </c>
      <c r="F1145" s="8" t="n">
        <v>3.7921</v>
      </c>
      <c r="G1145" s="4" t="n">
        <v>290.9971</v>
      </c>
      <c r="H1145" s="4" t="n">
        <v>859.5311</v>
      </c>
      <c r="I1145" s="4" t="n">
        <v>15.435</v>
      </c>
      <c r="J1145" s="4" t="n">
        <v>15.685</v>
      </c>
      <c r="K1145" s="4" t="n">
        <v>13.4075</v>
      </c>
      <c r="L1145" s="4" t="n">
        <v>14.775</v>
      </c>
      <c r="M1145" s="7" t="n">
        <v>-0.0428</v>
      </c>
    </row>
    <row r="1146">
      <c r="A1146" s="6" t="n">
        <v>45614</v>
      </c>
      <c r="B1146" s="2" t="inlineStr">
        <is>
          <t>Monday</t>
        </is>
      </c>
      <c r="C1146" s="5" t="n">
        <v>45597</v>
      </c>
      <c r="D1146" s="2" t="inlineStr">
        <is>
          <t>Q3FY25</t>
        </is>
      </c>
      <c r="E1146" s="3" t="n">
        <v>2949</v>
      </c>
      <c r="F1146" s="8" t="n">
        <v>3.7908</v>
      </c>
      <c r="G1146" s="4" t="n">
        <v>313.6588</v>
      </c>
      <c r="H1146" s="4" t="n">
        <v>898.4221</v>
      </c>
      <c r="I1146" s="4" t="n">
        <v>14.775</v>
      </c>
      <c r="J1146" s="4" t="n">
        <v>16.58</v>
      </c>
      <c r="K1146" s="4" t="n">
        <v>13.755</v>
      </c>
      <c r="L1146" s="4" t="n">
        <v>15.1675</v>
      </c>
      <c r="M1146" s="7" t="n">
        <v>0.0266</v>
      </c>
    </row>
    <row r="1147">
      <c r="A1147" s="6" t="n">
        <v>45615</v>
      </c>
      <c r="B1147" s="2" t="inlineStr">
        <is>
          <t>Tuesday</t>
        </is>
      </c>
      <c r="C1147" s="5" t="n">
        <v>45597</v>
      </c>
      <c r="D1147" s="2" t="inlineStr">
        <is>
          <t>Q3FY25</t>
        </is>
      </c>
      <c r="E1147" s="3" t="n">
        <v>2897</v>
      </c>
      <c r="F1147" s="8" t="n">
        <v>3.4859</v>
      </c>
      <c r="G1147" s="4" t="n">
        <v>282.474</v>
      </c>
      <c r="H1147" s="4" t="n">
        <v>922.7338999999999</v>
      </c>
      <c r="I1147" s="4" t="n">
        <v>15.1675</v>
      </c>
      <c r="J1147" s="4" t="n">
        <v>16.185</v>
      </c>
      <c r="K1147" s="4" t="n">
        <v>12.7325</v>
      </c>
      <c r="L1147" s="4" t="n">
        <v>15.6625</v>
      </c>
      <c r="M1147" s="7" t="n">
        <v>0.0326</v>
      </c>
    </row>
    <row r="1148">
      <c r="A1148" s="6" t="n">
        <v>45617</v>
      </c>
      <c r="B1148" s="2" t="inlineStr">
        <is>
          <t>Thursday</t>
        </is>
      </c>
      <c r="C1148" s="5" t="n">
        <v>45597</v>
      </c>
      <c r="D1148" s="2" t="inlineStr">
        <is>
          <t>Q3FY25</t>
        </is>
      </c>
      <c r="E1148" s="3" t="n">
        <v>2910</v>
      </c>
      <c r="F1148" s="8" t="n">
        <v>4.026</v>
      </c>
      <c r="G1148" s="4" t="n">
        <v>352.8797</v>
      </c>
      <c r="H1148" s="4" t="n">
        <v>1107.7962</v>
      </c>
      <c r="I1148" s="4" t="n">
        <v>15.6625</v>
      </c>
      <c r="J1148" s="4" t="n">
        <v>16.78</v>
      </c>
      <c r="K1148" s="4" t="n">
        <v>14.8375</v>
      </c>
      <c r="L1148" s="4" t="n">
        <v>15.99</v>
      </c>
      <c r="M1148" s="7" t="n">
        <v>0.0209</v>
      </c>
    </row>
    <row r="1149">
      <c r="A1149" s="6" t="n">
        <v>45618</v>
      </c>
      <c r="B1149" s="2" t="inlineStr">
        <is>
          <t>Friday</t>
        </is>
      </c>
      <c r="C1149" s="5" t="n">
        <v>45597</v>
      </c>
      <c r="D1149" s="2" t="inlineStr">
        <is>
          <t>Q3FY25</t>
        </is>
      </c>
      <c r="E1149" s="3" t="n">
        <v>2887</v>
      </c>
      <c r="F1149" s="8" t="n">
        <v>3.5809</v>
      </c>
      <c r="G1149" s="4" t="n">
        <v>309.9262</v>
      </c>
      <c r="H1149" s="4" t="n">
        <v>1015.2518</v>
      </c>
      <c r="I1149" s="4" t="n">
        <v>15.99</v>
      </c>
      <c r="J1149" s="4" t="n">
        <v>18.67</v>
      </c>
      <c r="K1149" s="4" t="n">
        <v>12.7525</v>
      </c>
      <c r="L1149" s="4" t="n">
        <v>16.0975</v>
      </c>
      <c r="M1149" s="7" t="n">
        <v>0.0067</v>
      </c>
    </row>
    <row r="1150">
      <c r="A1150" s="6" t="n">
        <v>45621</v>
      </c>
      <c r="B1150" s="2" t="inlineStr">
        <is>
          <t>Monday</t>
        </is>
      </c>
      <c r="C1150" s="5" t="n">
        <v>45597</v>
      </c>
      <c r="D1150" s="2" t="inlineStr">
        <is>
          <t>Q3FY25</t>
        </is>
      </c>
      <c r="E1150" s="3" t="n">
        <v>2922</v>
      </c>
      <c r="F1150" s="8" t="n">
        <v>4.2947</v>
      </c>
      <c r="G1150" s="4" t="n">
        <v>462.8781</v>
      </c>
      <c r="H1150" s="4" t="n">
        <v>1996.6396</v>
      </c>
      <c r="I1150" s="4" t="n">
        <v>16.0975</v>
      </c>
      <c r="J1150" s="4" t="n">
        <v>16.865</v>
      </c>
      <c r="K1150" s="4" t="n">
        <v>13.63</v>
      </c>
      <c r="L1150" s="4" t="n">
        <v>15.3025</v>
      </c>
      <c r="M1150" s="7" t="n">
        <v>-0.0494</v>
      </c>
    </row>
    <row r="1151">
      <c r="A1151" s="6" t="n">
        <v>45622</v>
      </c>
      <c r="B1151" s="2" t="inlineStr">
        <is>
          <t>Tuesday</t>
        </is>
      </c>
      <c r="C1151" s="5" t="n">
        <v>45597</v>
      </c>
      <c r="D1151" s="2" t="inlineStr">
        <is>
          <t>Q3FY25</t>
        </is>
      </c>
      <c r="E1151" s="3" t="n">
        <v>2886</v>
      </c>
      <c r="F1151" s="8" t="n">
        <v>3.2425</v>
      </c>
      <c r="G1151" s="4" t="n">
        <v>422.6493</v>
      </c>
      <c r="H1151" s="4" t="n">
        <v>875.103</v>
      </c>
      <c r="I1151" s="4" t="n">
        <v>15.3025</v>
      </c>
      <c r="J1151" s="4" t="n">
        <v>16.26</v>
      </c>
      <c r="K1151" s="4" t="n">
        <v>13.8725</v>
      </c>
      <c r="L1151" s="4" t="n">
        <v>15.305</v>
      </c>
      <c r="M1151" s="7" t="n">
        <v>0.0002</v>
      </c>
    </row>
    <row r="1152">
      <c r="A1152" s="6" t="n">
        <v>45623</v>
      </c>
      <c r="B1152" s="2" t="inlineStr">
        <is>
          <t>Wednesday</t>
        </is>
      </c>
      <c r="C1152" s="5" t="n">
        <v>45597</v>
      </c>
      <c r="D1152" s="2" t="inlineStr">
        <is>
          <t>Q3FY25</t>
        </is>
      </c>
      <c r="E1152" s="3" t="n">
        <v>2882</v>
      </c>
      <c r="F1152" s="8" t="n">
        <v>3.5561</v>
      </c>
      <c r="G1152" s="4" t="n">
        <v>439.9525</v>
      </c>
      <c r="H1152" s="4" t="n">
        <v>1073.3216</v>
      </c>
      <c r="I1152" s="4" t="n">
        <v>15.305</v>
      </c>
      <c r="J1152" s="4" t="n">
        <v>15.305</v>
      </c>
      <c r="K1152" s="4" t="n">
        <v>13.245</v>
      </c>
      <c r="L1152" s="4" t="n">
        <v>14.625</v>
      </c>
      <c r="M1152" s="7" t="n">
        <v>-0.0444</v>
      </c>
    </row>
    <row r="1153">
      <c r="A1153" s="6" t="n">
        <v>45624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2886</v>
      </c>
      <c r="F1153" s="8" t="n">
        <v>3.9731</v>
      </c>
      <c r="G1153" s="4" t="n">
        <v>454.7076</v>
      </c>
      <c r="H1153" s="4" t="n">
        <v>1168.9373</v>
      </c>
      <c r="I1153" s="4" t="n">
        <v>14.625</v>
      </c>
      <c r="J1153" s="4" t="n">
        <v>15.5625</v>
      </c>
      <c r="K1153" s="4" t="n">
        <v>14.27</v>
      </c>
      <c r="L1153" s="4" t="n">
        <v>15.205</v>
      </c>
      <c r="M1153" s="7" t="n">
        <v>0.0397</v>
      </c>
    </row>
    <row r="1154">
      <c r="A1154" s="6" t="n">
        <v>45625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2891</v>
      </c>
      <c r="F1154" s="8" t="n">
        <v>3.6394</v>
      </c>
      <c r="G1154" s="4" t="n">
        <v>364.1951</v>
      </c>
      <c r="H1154" s="4" t="n">
        <v>1084.5877</v>
      </c>
      <c r="I1154" s="4" t="n">
        <v>15.205</v>
      </c>
      <c r="J1154" s="4" t="n">
        <v>15.4575</v>
      </c>
      <c r="K1154" s="4" t="n">
        <v>14.3325</v>
      </c>
      <c r="L1154" s="4" t="n">
        <v>14.425</v>
      </c>
      <c r="M1154" s="7" t="n">
        <v>-0.0513</v>
      </c>
    </row>
    <row r="1155">
      <c r="A1155" s="6" t="n">
        <v>45628</v>
      </c>
      <c r="B1155" s="2" t="inlineStr">
        <is>
          <t>Monday</t>
        </is>
      </c>
      <c r="C1155" s="5" t="n">
        <v>45627</v>
      </c>
      <c r="D1155" s="2" t="inlineStr">
        <is>
          <t>Q3FY25</t>
        </is>
      </c>
      <c r="E1155" s="3" t="n">
        <v>2937</v>
      </c>
      <c r="F1155" s="8" t="n">
        <v>3.5879</v>
      </c>
      <c r="G1155" s="4" t="n">
        <v>321.3709</v>
      </c>
      <c r="H1155" s="4" t="n">
        <v>990.5984999999999</v>
      </c>
      <c r="I1155" s="4" t="n">
        <v>14.425</v>
      </c>
      <c r="J1155" s="4" t="n">
        <v>15.08</v>
      </c>
      <c r="K1155" s="4" t="n">
        <v>13.3125</v>
      </c>
      <c r="L1155" s="4" t="n">
        <v>14.7</v>
      </c>
      <c r="M1155" s="7" t="n">
        <v>0.0191</v>
      </c>
    </row>
    <row r="1156">
      <c r="A1156" s="6" t="n">
        <v>45629</v>
      </c>
      <c r="B1156" s="2" t="inlineStr">
        <is>
          <t>Tuesday</t>
        </is>
      </c>
      <c r="C1156" s="5" t="n">
        <v>45627</v>
      </c>
      <c r="D1156" s="2" t="inlineStr">
        <is>
          <t>Q3FY25</t>
        </is>
      </c>
      <c r="E1156" s="3" t="n">
        <v>2907</v>
      </c>
      <c r="F1156" s="8" t="n">
        <v>3.9463</v>
      </c>
      <c r="G1156" s="4" t="n">
        <v>366.0615</v>
      </c>
      <c r="H1156" s="4" t="n">
        <v>1155.6045</v>
      </c>
      <c r="I1156" s="4" t="n">
        <v>14.7</v>
      </c>
      <c r="J1156" s="4" t="n">
        <v>14.89</v>
      </c>
      <c r="K1156" s="4" t="n">
        <v>14.235</v>
      </c>
      <c r="L1156" s="4" t="n">
        <v>14.3725</v>
      </c>
      <c r="M1156" s="7" t="n">
        <v>-0.0223</v>
      </c>
    </row>
    <row r="1157">
      <c r="A1157" s="6" t="n">
        <v>45630</v>
      </c>
      <c r="B1157" s="2" t="inlineStr">
        <is>
          <t>Wednesday</t>
        </is>
      </c>
      <c r="C1157" s="5" t="n">
        <v>45627</v>
      </c>
      <c r="D1157" s="2" t="inlineStr">
        <is>
          <t>Q3FY25</t>
        </is>
      </c>
      <c r="E1157" s="3" t="n">
        <v>2894</v>
      </c>
      <c r="F1157" s="8" t="n">
        <v>4.0055</v>
      </c>
      <c r="G1157" s="4" t="n">
        <v>416.5911</v>
      </c>
      <c r="H1157" s="4" t="n">
        <v>1193.6132</v>
      </c>
      <c r="I1157" s="4" t="n">
        <v>14.3725</v>
      </c>
      <c r="J1157" s="4" t="n">
        <v>14.7975</v>
      </c>
      <c r="K1157" s="4" t="n">
        <v>14.11</v>
      </c>
      <c r="L1157" s="4" t="n">
        <v>14.45</v>
      </c>
      <c r="M1157" s="7" t="n">
        <v>0.0054</v>
      </c>
    </row>
    <row r="1158">
      <c r="A1158" s="6" t="n">
        <v>45631</v>
      </c>
      <c r="B1158" s="2" t="inlineStr">
        <is>
          <t>Thursday</t>
        </is>
      </c>
      <c r="C1158" s="5" t="n">
        <v>45627</v>
      </c>
      <c r="D1158" s="2" t="inlineStr">
        <is>
          <t>Q3FY25</t>
        </is>
      </c>
      <c r="E1158" s="3" t="n">
        <v>2883</v>
      </c>
      <c r="F1158" s="8" t="n">
        <v>4.0477</v>
      </c>
      <c r="G1158" s="4" t="n">
        <v>426.6218</v>
      </c>
      <c r="H1158" s="4" t="n">
        <v>1327.6085</v>
      </c>
      <c r="I1158" s="4" t="n">
        <v>14.45</v>
      </c>
      <c r="J1158" s="4" t="n">
        <v>15.705</v>
      </c>
      <c r="K1158" s="4" t="n">
        <v>14.055</v>
      </c>
      <c r="L1158" s="4" t="n">
        <v>14.5275</v>
      </c>
      <c r="M1158" s="7" t="n">
        <v>0.0054</v>
      </c>
    </row>
    <row r="1159">
      <c r="A1159" s="6" t="n">
        <v>45632</v>
      </c>
      <c r="B1159" s="2" t="inlineStr">
        <is>
          <t>Friday</t>
        </is>
      </c>
      <c r="C1159" s="5" t="n">
        <v>45627</v>
      </c>
      <c r="D1159" s="2" t="inlineStr">
        <is>
          <t>Q3FY25</t>
        </is>
      </c>
      <c r="E1159" s="3" t="n">
        <v>2910</v>
      </c>
      <c r="F1159" s="8" t="n">
        <v>3.6913</v>
      </c>
      <c r="G1159" s="4" t="n">
        <v>412.0701</v>
      </c>
      <c r="H1159" s="4" t="n">
        <v>1087.7908</v>
      </c>
      <c r="I1159" s="4" t="n">
        <v>14.5275</v>
      </c>
      <c r="J1159" s="4" t="n">
        <v>15.0225</v>
      </c>
      <c r="K1159" s="4" t="n">
        <v>14.045</v>
      </c>
      <c r="L1159" s="4" t="n">
        <v>14.14</v>
      </c>
      <c r="M1159" s="7" t="n">
        <v>-0.0267</v>
      </c>
    </row>
    <row r="1160">
      <c r="A1160" s="6" t="n">
        <v>45635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2944</v>
      </c>
      <c r="F1160" s="8" t="n">
        <v>3.7217</v>
      </c>
      <c r="G1160" s="4" t="n">
        <v>372.146</v>
      </c>
      <c r="H1160" s="4" t="n">
        <v>1066.7396</v>
      </c>
      <c r="I1160" s="4" t="n">
        <v>14.14</v>
      </c>
      <c r="J1160" s="4" t="n">
        <v>14.635</v>
      </c>
      <c r="K1160" s="4" t="n">
        <v>13.45</v>
      </c>
      <c r="L1160" s="4" t="n">
        <v>14.1075</v>
      </c>
      <c r="M1160" s="7" t="n">
        <v>-0.0023</v>
      </c>
    </row>
    <row r="1161">
      <c r="A1161" s="6" t="n">
        <v>45636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2901</v>
      </c>
      <c r="F1161" s="8" t="n">
        <v>3.7052</v>
      </c>
      <c r="G1161" s="4" t="n">
        <v>360.0565</v>
      </c>
      <c r="H1161" s="4" t="n">
        <v>1087.6494</v>
      </c>
      <c r="I1161" s="4" t="n">
        <v>14.1075</v>
      </c>
      <c r="J1161" s="4" t="n">
        <v>14.6725</v>
      </c>
      <c r="K1161" s="4" t="n">
        <v>13.6975</v>
      </c>
      <c r="L1161" s="4" t="n">
        <v>13.7775</v>
      </c>
      <c r="M1161" s="7" t="n">
        <v>-0.0234</v>
      </c>
    </row>
    <row r="1162">
      <c r="A1162" s="6" t="n">
        <v>45637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2894</v>
      </c>
      <c r="F1162" s="8" t="n">
        <v>3.4042</v>
      </c>
      <c r="G1162" s="4" t="n">
        <v>318.2732</v>
      </c>
      <c r="H1162" s="4" t="n">
        <v>976.5267</v>
      </c>
      <c r="I1162" s="4" t="n">
        <v>13.7775</v>
      </c>
      <c r="J1162" s="4" t="n">
        <v>14.11</v>
      </c>
      <c r="K1162" s="4" t="n">
        <v>13.175</v>
      </c>
      <c r="L1162" s="4" t="n">
        <v>13.2675</v>
      </c>
      <c r="M1162" s="7" t="n">
        <v>-0.037</v>
      </c>
    </row>
    <row r="1163">
      <c r="A1163" s="6" t="n">
        <v>45638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2893</v>
      </c>
      <c r="F1163" s="8" t="n">
        <v>3.4486</v>
      </c>
      <c r="G1163" s="4" t="n">
        <v>313.5434</v>
      </c>
      <c r="H1163" s="4" t="n">
        <v>1061.1297</v>
      </c>
      <c r="I1163" s="4" t="n">
        <v>13.2675</v>
      </c>
      <c r="J1163" s="4" t="n">
        <v>13.4</v>
      </c>
      <c r="K1163" s="4" t="n">
        <v>12.9475</v>
      </c>
      <c r="L1163" s="4" t="n">
        <v>13.19</v>
      </c>
      <c r="M1163" s="7" t="n">
        <v>-0.0058</v>
      </c>
    </row>
    <row r="1164">
      <c r="A1164" s="6" t="n">
        <v>45639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2877</v>
      </c>
      <c r="F1164" s="8" t="n">
        <v>3.5359</v>
      </c>
      <c r="G1164" s="4" t="n">
        <v>344.3838</v>
      </c>
      <c r="H1164" s="4" t="n">
        <v>1008.3026</v>
      </c>
      <c r="I1164" s="4" t="n">
        <v>13.19</v>
      </c>
      <c r="J1164" s="4" t="n">
        <v>14.72</v>
      </c>
      <c r="K1164" s="4" t="n">
        <v>12.47</v>
      </c>
      <c r="L1164" s="4" t="n">
        <v>13.0525</v>
      </c>
      <c r="M1164" s="7" t="n">
        <v>-0.0104</v>
      </c>
    </row>
    <row r="1165">
      <c r="A1165" s="6" t="n">
        <v>45642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2921</v>
      </c>
      <c r="F1165" s="8" t="n">
        <v>3.1623</v>
      </c>
      <c r="G1165" s="4" t="n">
        <v>280.4771</v>
      </c>
      <c r="H1165" s="4" t="n">
        <v>891.9579</v>
      </c>
      <c r="I1165" s="4" t="n">
        <v>13.0525</v>
      </c>
      <c r="J1165" s="4" t="n">
        <v>14.505</v>
      </c>
      <c r="K1165" s="4" t="n">
        <v>13.0525</v>
      </c>
      <c r="L1165" s="4" t="n">
        <v>14.02</v>
      </c>
      <c r="M1165" s="7" t="n">
        <v>0.0741</v>
      </c>
    </row>
    <row r="1166">
      <c r="A1166" s="6" t="n">
        <v>45643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2899</v>
      </c>
      <c r="F1166" s="8" t="n">
        <v>3.5909</v>
      </c>
      <c r="G1166" s="4" t="n">
        <v>339.7656</v>
      </c>
      <c r="H1166" s="4" t="n">
        <v>1080.6426</v>
      </c>
      <c r="I1166" s="4" t="n">
        <v>14.02</v>
      </c>
      <c r="J1166" s="4" t="n">
        <v>14.975</v>
      </c>
      <c r="K1166" s="4" t="n">
        <v>13.18</v>
      </c>
      <c r="L1166" s="4" t="n">
        <v>14.485</v>
      </c>
      <c r="M1166" s="7" t="n">
        <v>0.0332</v>
      </c>
    </row>
    <row r="1167">
      <c r="A1167" s="6" t="n">
        <v>45644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2897</v>
      </c>
      <c r="F1167" s="8" t="n">
        <v>3.6949</v>
      </c>
      <c r="G1167" s="4" t="n">
        <v>367.9351</v>
      </c>
      <c r="H1167" s="4" t="n">
        <v>1043.859</v>
      </c>
      <c r="I1167" s="4" t="n">
        <v>14.485</v>
      </c>
      <c r="J1167" s="4" t="n">
        <v>15.2425</v>
      </c>
      <c r="K1167" s="4" t="n">
        <v>14.27</v>
      </c>
      <c r="L1167" s="4" t="n">
        <v>14.3725</v>
      </c>
      <c r="M1167" s="7" t="n">
        <v>-0.0078</v>
      </c>
    </row>
    <row r="1168">
      <c r="A1168" s="6" t="n">
        <v>45645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2891</v>
      </c>
      <c r="F1168" s="8" t="n">
        <v>3.5396</v>
      </c>
      <c r="G1168" s="4" t="n">
        <v>317.8</v>
      </c>
      <c r="H1168" s="4" t="n">
        <v>1030.5283</v>
      </c>
      <c r="I1168" s="4" t="n">
        <v>14.3725</v>
      </c>
      <c r="J1168" s="4" t="n">
        <v>15.435</v>
      </c>
      <c r="K1168" s="4" t="n">
        <v>13.87</v>
      </c>
      <c r="L1168" s="4" t="n">
        <v>14.51</v>
      </c>
      <c r="M1168" s="7" t="n">
        <v>0.009599999999999999</v>
      </c>
    </row>
    <row r="1169">
      <c r="A1169" s="6" t="n">
        <v>45646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2896</v>
      </c>
      <c r="F1169" s="8" t="n">
        <v>4.0546</v>
      </c>
      <c r="G1169" s="4" t="n">
        <v>411.0112</v>
      </c>
      <c r="H1169" s="4" t="n">
        <v>1417.7778</v>
      </c>
      <c r="I1169" s="4" t="n">
        <v>14.51</v>
      </c>
      <c r="J1169" s="4" t="n">
        <v>15.5525</v>
      </c>
      <c r="K1169" s="4" t="n">
        <v>14.3975</v>
      </c>
      <c r="L1169" s="4" t="n">
        <v>15.0725</v>
      </c>
      <c r="M1169" s="7" t="n">
        <v>0.0388</v>
      </c>
    </row>
    <row r="1170">
      <c r="A1170" s="6" t="n">
        <v>45649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2938</v>
      </c>
      <c r="F1170" s="8" t="n">
        <v>3.3507</v>
      </c>
      <c r="G1170" s="4" t="n">
        <v>272.7284</v>
      </c>
      <c r="H1170" s="4" t="n">
        <v>829.216</v>
      </c>
      <c r="I1170" s="4" t="n">
        <v>15.0725</v>
      </c>
      <c r="J1170" s="4" t="n">
        <v>16.8825</v>
      </c>
      <c r="K1170" s="4" t="n">
        <v>13.4175</v>
      </c>
      <c r="L1170" s="4" t="n">
        <v>13.52</v>
      </c>
      <c r="M1170" s="7" t="n">
        <v>-0.103</v>
      </c>
    </row>
    <row r="1171">
      <c r="A1171" s="6" t="n">
        <v>45650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2897</v>
      </c>
      <c r="F1171" s="8" t="n">
        <v>2.828</v>
      </c>
      <c r="G1171" s="4" t="n">
        <v>238.6877</v>
      </c>
      <c r="H1171" s="4" t="n">
        <v>764.3614</v>
      </c>
      <c r="I1171" s="4" t="n">
        <v>13.52</v>
      </c>
      <c r="J1171" s="4" t="n">
        <v>15.03</v>
      </c>
      <c r="K1171" s="4" t="n">
        <v>12.975</v>
      </c>
      <c r="L1171" s="4" t="n">
        <v>13.1775</v>
      </c>
      <c r="M1171" s="7" t="n">
        <v>-0.0253</v>
      </c>
    </row>
    <row r="1172">
      <c r="A1172" s="6" t="n">
        <v>45652</v>
      </c>
      <c r="B1172" s="2" t="inlineStr">
        <is>
          <t>Thursday</t>
        </is>
      </c>
      <c r="C1172" s="5" t="n">
        <v>45627</v>
      </c>
      <c r="D1172" s="2" t="inlineStr">
        <is>
          <t>Q3FY25</t>
        </is>
      </c>
      <c r="E1172" s="3" t="n">
        <v>2921</v>
      </c>
      <c r="F1172" s="8" t="n">
        <v>2.996</v>
      </c>
      <c r="G1172" s="4" t="n">
        <v>263.9563</v>
      </c>
      <c r="H1172" s="4" t="n">
        <v>820.6136</v>
      </c>
      <c r="I1172" s="4" t="n">
        <v>13.1775</v>
      </c>
      <c r="J1172" s="4" t="n">
        <v>14.3875</v>
      </c>
      <c r="K1172" s="4" t="n">
        <v>13.0825</v>
      </c>
      <c r="L1172" s="4" t="n">
        <v>14.035</v>
      </c>
      <c r="M1172" s="7" t="n">
        <v>0.06510000000000001</v>
      </c>
    </row>
    <row r="1173">
      <c r="A1173" s="6" t="n">
        <v>45653</v>
      </c>
      <c r="B1173" s="2" t="inlineStr">
        <is>
          <t>Friday</t>
        </is>
      </c>
      <c r="C1173" s="5" t="n">
        <v>45627</v>
      </c>
      <c r="D1173" s="2" t="inlineStr">
        <is>
          <t>Q3FY25</t>
        </is>
      </c>
      <c r="E1173" s="3" t="n">
        <v>2911</v>
      </c>
      <c r="F1173" s="8" t="n">
        <v>2.954</v>
      </c>
      <c r="G1173" s="4" t="n">
        <v>241.0712</v>
      </c>
      <c r="H1173" s="4" t="n">
        <v>791.077</v>
      </c>
      <c r="I1173" s="4" t="n">
        <v>14.035</v>
      </c>
      <c r="J1173" s="4" t="n">
        <v>14.2375</v>
      </c>
      <c r="K1173" s="4" t="n">
        <v>13.035</v>
      </c>
      <c r="L1173" s="4" t="n">
        <v>13.2375</v>
      </c>
      <c r="M1173" s="7" t="n">
        <v>-0.0568</v>
      </c>
    </row>
    <row r="1174">
      <c r="A1174" s="6" t="n">
        <v>45656</v>
      </c>
      <c r="B1174" s="2" t="inlineStr">
        <is>
          <t>Monday</t>
        </is>
      </c>
      <c r="C1174" s="5" t="n">
        <v>45627</v>
      </c>
      <c r="D1174" s="2" t="inlineStr">
        <is>
          <t>Q3FY25</t>
        </is>
      </c>
      <c r="E1174" s="3" t="n">
        <v>2956</v>
      </c>
      <c r="F1174" s="8" t="n">
        <v>4.2333</v>
      </c>
      <c r="G1174" s="4" t="n">
        <v>425.3858</v>
      </c>
      <c r="H1174" s="4" t="n">
        <v>1400.1726</v>
      </c>
      <c r="I1174" s="4" t="n">
        <v>13.2375</v>
      </c>
      <c r="J1174" s="4" t="n">
        <v>14.37</v>
      </c>
      <c r="K1174" s="4" t="n">
        <v>13.2375</v>
      </c>
      <c r="L1174" s="4" t="n">
        <v>13.9725</v>
      </c>
      <c r="M1174" s="7" t="n">
        <v>0.0555</v>
      </c>
    </row>
    <row r="1175">
      <c r="A1175" s="6" t="n">
        <v>45657</v>
      </c>
      <c r="B1175" s="2" t="inlineStr">
        <is>
          <t>Tuesday</t>
        </is>
      </c>
      <c r="C1175" s="5" t="n">
        <v>45627</v>
      </c>
      <c r="D1175" s="2" t="inlineStr">
        <is>
          <t>Q3FY25</t>
        </is>
      </c>
      <c r="E1175" s="3" t="n">
        <v>2916</v>
      </c>
      <c r="F1175" s="8" t="n">
        <v>3.3441</v>
      </c>
      <c r="G1175" s="4" t="n">
        <v>315.526</v>
      </c>
      <c r="H1175" s="4" t="n">
        <v>832.5278</v>
      </c>
      <c r="I1175" s="4" t="n">
        <v>13.9725</v>
      </c>
      <c r="J1175" s="4" t="n">
        <v>14.6375</v>
      </c>
      <c r="K1175" s="4" t="n">
        <v>13.9725</v>
      </c>
      <c r="L1175" s="4" t="n">
        <v>14.4475</v>
      </c>
      <c r="M1175" s="7" t="n">
        <v>0.034</v>
      </c>
    </row>
    <row r="1176">
      <c r="A1176" s="6" t="n">
        <v>45658</v>
      </c>
      <c r="B1176" s="2" t="inlineStr">
        <is>
          <t>Wednesday</t>
        </is>
      </c>
      <c r="C1176" s="5" t="n">
        <v>45658</v>
      </c>
      <c r="D1176" s="2" t="inlineStr">
        <is>
          <t>Q4FY25</t>
        </is>
      </c>
      <c r="E1176" s="3" t="n">
        <v>2911</v>
      </c>
      <c r="F1176" s="8" t="n">
        <v>2.7696</v>
      </c>
      <c r="G1176" s="4" t="n">
        <v>247.8044</v>
      </c>
      <c r="H1176" s="4" t="n">
        <v>665.0728</v>
      </c>
      <c r="I1176" s="4" t="n">
        <v>14.4475</v>
      </c>
      <c r="J1176" s="4" t="n">
        <v>14.835</v>
      </c>
      <c r="K1176" s="4" t="n">
        <v>14.305</v>
      </c>
      <c r="L1176" s="4" t="n">
        <v>14.5075</v>
      </c>
      <c r="M1176" s="7" t="n">
        <v>0.0042</v>
      </c>
    </row>
    <row r="1177">
      <c r="A1177" s="6" t="n">
        <v>45659</v>
      </c>
      <c r="B1177" s="2" t="inlineStr">
        <is>
          <t>Thursday</t>
        </is>
      </c>
      <c r="C1177" s="5" t="n">
        <v>45658</v>
      </c>
      <c r="D1177" s="2" t="inlineStr">
        <is>
          <t>Q4FY25</t>
        </is>
      </c>
      <c r="E1177" s="3" t="n">
        <v>2930</v>
      </c>
      <c r="F1177" s="8" t="n">
        <v>3.4632</v>
      </c>
      <c r="G1177" s="4" t="n">
        <v>315.381</v>
      </c>
      <c r="H1177" s="4" t="n">
        <v>994.1585</v>
      </c>
      <c r="I1177" s="4" t="n">
        <v>14.5075</v>
      </c>
      <c r="J1177" s="4" t="n">
        <v>14.8025</v>
      </c>
      <c r="K1177" s="4" t="n">
        <v>13.63</v>
      </c>
      <c r="L1177" s="4" t="n">
        <v>13.7375</v>
      </c>
      <c r="M1177" s="7" t="n">
        <v>-0.0531</v>
      </c>
    </row>
    <row r="1178">
      <c r="A1178" s="6" t="n">
        <v>45660</v>
      </c>
      <c r="B1178" s="2" t="inlineStr">
        <is>
          <t>Friday</t>
        </is>
      </c>
      <c r="C1178" s="5" t="n">
        <v>45658</v>
      </c>
      <c r="D1178" s="2" t="inlineStr">
        <is>
          <t>Q4FY25</t>
        </is>
      </c>
      <c r="E1178" s="3" t="n">
        <v>2922</v>
      </c>
      <c r="F1178" s="8" t="n">
        <v>3.5702</v>
      </c>
      <c r="G1178" s="4" t="n">
        <v>360.5349</v>
      </c>
      <c r="H1178" s="4" t="n">
        <v>1060.9357</v>
      </c>
      <c r="I1178" s="4" t="n">
        <v>13.7375</v>
      </c>
      <c r="J1178" s="4" t="n">
        <v>13.9775</v>
      </c>
      <c r="K1178" s="4" t="n">
        <v>13.225</v>
      </c>
      <c r="L1178" s="4" t="n">
        <v>13.54</v>
      </c>
      <c r="M1178" s="7" t="n">
        <v>-0.0144</v>
      </c>
    </row>
    <row r="1179">
      <c r="A1179" s="6" t="n">
        <v>45663</v>
      </c>
      <c r="B1179" s="2" t="inlineStr">
        <is>
          <t>Monday</t>
        </is>
      </c>
      <c r="C1179" s="5" t="n">
        <v>45658</v>
      </c>
      <c r="D1179" s="2" t="inlineStr">
        <is>
          <t>Q4FY25</t>
        </is>
      </c>
      <c r="E1179" s="3" t="n">
        <v>2976</v>
      </c>
      <c r="F1179" s="8" t="n">
        <v>4.5292</v>
      </c>
      <c r="G1179" s="4" t="n">
        <v>400.7747</v>
      </c>
      <c r="H1179" s="4" t="n">
        <v>1052.413</v>
      </c>
      <c r="I1179" s="4" t="n">
        <v>13.54</v>
      </c>
      <c r="J1179" s="4" t="n">
        <v>15.92</v>
      </c>
      <c r="K1179" s="4" t="n">
        <v>13.54</v>
      </c>
      <c r="L1179" s="4" t="n">
        <v>15.65</v>
      </c>
      <c r="M1179" s="7" t="n">
        <v>0.1558</v>
      </c>
    </row>
    <row r="1180">
      <c r="A1180" s="6" t="n">
        <v>45664</v>
      </c>
      <c r="B1180" s="2" t="inlineStr">
        <is>
          <t>Tuesday</t>
        </is>
      </c>
      <c r="C1180" s="5" t="n">
        <v>45658</v>
      </c>
      <c r="D1180" s="2" t="inlineStr">
        <is>
          <t>Q4FY25</t>
        </is>
      </c>
      <c r="E1180" s="3" t="n">
        <v>2918</v>
      </c>
      <c r="F1180" s="8" t="n">
        <v>3.62</v>
      </c>
      <c r="G1180" s="4" t="n">
        <v>314.1877</v>
      </c>
      <c r="H1180" s="4" t="n">
        <v>943.0011</v>
      </c>
      <c r="I1180" s="4" t="n">
        <v>15.65</v>
      </c>
      <c r="J1180" s="4" t="n">
        <v>15.65</v>
      </c>
      <c r="K1180" s="4" t="n">
        <v>14.345</v>
      </c>
      <c r="L1180" s="4" t="n">
        <v>14.66</v>
      </c>
      <c r="M1180" s="7" t="n">
        <v>-0.0633</v>
      </c>
    </row>
    <row r="1181">
      <c r="A1181" s="6" t="n">
        <v>45665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2941</v>
      </c>
      <c r="F1181" s="8" t="n">
        <v>3.769</v>
      </c>
      <c r="G1181" s="4" t="n">
        <v>312.8419</v>
      </c>
      <c r="H1181" s="4" t="n">
        <v>953.6944999999999</v>
      </c>
      <c r="I1181" s="4" t="n">
        <v>14.66</v>
      </c>
      <c r="J1181" s="4" t="n">
        <v>14.88</v>
      </c>
      <c r="K1181" s="4" t="n">
        <v>14.095</v>
      </c>
      <c r="L1181" s="4" t="n">
        <v>14.465</v>
      </c>
      <c r="M1181" s="7" t="n">
        <v>-0.0133</v>
      </c>
    </row>
    <row r="1182">
      <c r="A1182" s="6" t="n">
        <v>45666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2917</v>
      </c>
      <c r="F1182" s="8" t="n">
        <v>3.4777</v>
      </c>
      <c r="G1182" s="4" t="n">
        <v>272.7716</v>
      </c>
      <c r="H1182" s="4" t="n">
        <v>892.0716</v>
      </c>
      <c r="I1182" s="4" t="n">
        <v>14.465</v>
      </c>
      <c r="J1182" s="4" t="n">
        <v>14.885</v>
      </c>
      <c r="K1182" s="4" t="n">
        <v>13.7475</v>
      </c>
      <c r="L1182" s="4" t="n">
        <v>14.6575</v>
      </c>
      <c r="M1182" s="7" t="n">
        <v>0.0133</v>
      </c>
    </row>
    <row r="1183">
      <c r="A1183" s="6" t="n">
        <v>45667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2932</v>
      </c>
      <c r="F1183" s="8" t="n">
        <v>4.0739</v>
      </c>
      <c r="G1183" s="4" t="n">
        <v>312.5616</v>
      </c>
      <c r="H1183" s="4" t="n">
        <v>933.8355</v>
      </c>
      <c r="I1183" s="4" t="n">
        <v>14.6575</v>
      </c>
      <c r="J1183" s="4" t="n">
        <v>15.515</v>
      </c>
      <c r="K1183" s="4" t="n">
        <v>14.6575</v>
      </c>
      <c r="L1183" s="4" t="n">
        <v>14.915</v>
      </c>
      <c r="M1183" s="7" t="n">
        <v>0.0176</v>
      </c>
    </row>
    <row r="1184">
      <c r="A1184" s="6" t="n">
        <v>45670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2963</v>
      </c>
      <c r="F1184" s="8" t="n">
        <v>4.7973</v>
      </c>
      <c r="G1184" s="4" t="n">
        <v>402.0765</v>
      </c>
      <c r="H1184" s="4" t="n">
        <v>1050.2776</v>
      </c>
      <c r="I1184" s="4" t="n">
        <v>14.915</v>
      </c>
      <c r="J1184" s="4" t="n">
        <v>16.185</v>
      </c>
      <c r="K1184" s="4" t="n">
        <v>14.45</v>
      </c>
      <c r="L1184" s="4" t="n">
        <v>15.9975</v>
      </c>
      <c r="M1184" s="7" t="n">
        <v>0.0726</v>
      </c>
    </row>
    <row r="1185">
      <c r="A1185" s="6" t="n">
        <v>45671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2901</v>
      </c>
      <c r="F1185" s="8" t="n">
        <v>4.0913</v>
      </c>
      <c r="G1185" s="4" t="n">
        <v>362.6154</v>
      </c>
      <c r="H1185" s="4" t="n">
        <v>1032.1471</v>
      </c>
      <c r="I1185" s="4" t="n">
        <v>15.9975</v>
      </c>
      <c r="J1185" s="4" t="n">
        <v>15.9975</v>
      </c>
      <c r="K1185" s="4" t="n">
        <v>15.115</v>
      </c>
      <c r="L1185" s="4" t="n">
        <v>15.47</v>
      </c>
      <c r="M1185" s="7" t="n">
        <v>-0.033</v>
      </c>
    </row>
    <row r="1186">
      <c r="A1186" s="6" t="n">
        <v>45672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2915</v>
      </c>
      <c r="F1186" s="8" t="n">
        <v>3.6941</v>
      </c>
      <c r="G1186" s="4" t="n">
        <v>407.8197</v>
      </c>
      <c r="H1186" s="4" t="n">
        <v>924.5291999999999</v>
      </c>
      <c r="I1186" s="4" t="n">
        <v>15.47</v>
      </c>
      <c r="J1186" s="4" t="n">
        <v>15.6625</v>
      </c>
      <c r="K1186" s="4" t="n">
        <v>15.1975</v>
      </c>
      <c r="L1186" s="4" t="n">
        <v>15.2575</v>
      </c>
      <c r="M1186" s="7" t="n">
        <v>-0.0137</v>
      </c>
    </row>
    <row r="1187">
      <c r="A1187" s="6" t="n">
        <v>45673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2878</v>
      </c>
      <c r="F1187" s="8" t="n">
        <v>3.5317</v>
      </c>
      <c r="G1187" s="4" t="n">
        <v>317.966</v>
      </c>
      <c r="H1187" s="4" t="n">
        <v>956.7054000000001</v>
      </c>
      <c r="I1187" s="4" t="n">
        <v>15.2575</v>
      </c>
      <c r="J1187" s="4" t="n">
        <v>15.5725</v>
      </c>
      <c r="K1187" s="4" t="n">
        <v>13.9575</v>
      </c>
      <c r="L1187" s="4" t="n">
        <v>15.465</v>
      </c>
      <c r="M1187" s="7" t="n">
        <v>0.0136</v>
      </c>
    </row>
    <row r="1188">
      <c r="A1188" s="6" t="n">
        <v>45674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2921</v>
      </c>
      <c r="F1188" s="8" t="n">
        <v>3.2347</v>
      </c>
      <c r="G1188" s="4" t="n">
        <v>300.8479</v>
      </c>
      <c r="H1188" s="4" t="n">
        <v>863.3132000000001</v>
      </c>
      <c r="I1188" s="4" t="n">
        <v>15.465</v>
      </c>
      <c r="J1188" s="4" t="n">
        <v>16.3825</v>
      </c>
      <c r="K1188" s="4" t="n">
        <v>14.0525</v>
      </c>
      <c r="L1188" s="4" t="n">
        <v>15.7475</v>
      </c>
      <c r="M1188" s="7" t="n">
        <v>0.0183</v>
      </c>
    </row>
    <row r="1189">
      <c r="A1189" s="6" t="n">
        <v>45677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2967</v>
      </c>
      <c r="F1189" s="8" t="n">
        <v>3.3556</v>
      </c>
      <c r="G1189" s="4" t="n">
        <v>457.5458</v>
      </c>
      <c r="H1189" s="4" t="n">
        <v>914.5457</v>
      </c>
      <c r="I1189" s="4" t="n">
        <v>15.7475</v>
      </c>
      <c r="J1189" s="4" t="n">
        <v>17.02</v>
      </c>
      <c r="K1189" s="4" t="n">
        <v>15.1825</v>
      </c>
      <c r="L1189" s="4" t="n">
        <v>16.415</v>
      </c>
      <c r="M1189" s="7" t="n">
        <v>0.0424</v>
      </c>
    </row>
    <row r="1190">
      <c r="A1190" s="6" t="n">
        <v>45678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2903</v>
      </c>
      <c r="F1190" s="8" t="n">
        <v>3.6998</v>
      </c>
      <c r="G1190" s="4" t="n">
        <v>342.6106</v>
      </c>
      <c r="H1190" s="4" t="n">
        <v>995.0209</v>
      </c>
      <c r="I1190" s="4" t="n">
        <v>16.415</v>
      </c>
      <c r="J1190" s="4" t="n">
        <v>17.445</v>
      </c>
      <c r="K1190" s="4" t="n">
        <v>15.2025</v>
      </c>
      <c r="L1190" s="4" t="n">
        <v>17.055</v>
      </c>
      <c r="M1190" s="7" t="n">
        <v>0.039</v>
      </c>
    </row>
    <row r="1191">
      <c r="A1191" s="6" t="n">
        <v>45679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2916</v>
      </c>
      <c r="F1191" s="8" t="n">
        <v>3.9865</v>
      </c>
      <c r="G1191" s="4" t="n">
        <v>309.8107</v>
      </c>
      <c r="H1191" s="4" t="n">
        <v>966.4355</v>
      </c>
      <c r="I1191" s="4" t="n">
        <v>17.055</v>
      </c>
      <c r="J1191" s="4" t="n">
        <v>17.295</v>
      </c>
      <c r="K1191" s="4" t="n">
        <v>15.905</v>
      </c>
      <c r="L1191" s="4" t="n">
        <v>16.7725</v>
      </c>
      <c r="M1191" s="7" t="n">
        <v>-0.0166</v>
      </c>
    </row>
    <row r="1192">
      <c r="A1192" s="6" t="n">
        <v>45680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2938</v>
      </c>
      <c r="F1192" s="8" t="n">
        <v>3.4335</v>
      </c>
      <c r="G1192" s="4" t="n">
        <v>270.6641</v>
      </c>
      <c r="H1192" s="4" t="n">
        <v>949.2746</v>
      </c>
      <c r="I1192" s="4" t="n">
        <v>16.7725</v>
      </c>
      <c r="J1192" s="4" t="n">
        <v>17.0825</v>
      </c>
      <c r="K1192" s="4" t="n">
        <v>15.6675</v>
      </c>
      <c r="L1192" s="4" t="n">
        <v>16.695</v>
      </c>
      <c r="M1192" s="7" t="n">
        <v>-0.0046</v>
      </c>
    </row>
    <row r="1193">
      <c r="A1193" s="6" t="n">
        <v>45681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2917</v>
      </c>
      <c r="F1193" s="8" t="n">
        <v>3.4691</v>
      </c>
      <c r="G1193" s="4" t="n">
        <v>251.5403</v>
      </c>
      <c r="H1193" s="4" t="n">
        <v>875.3093</v>
      </c>
      <c r="I1193" s="4" t="n">
        <v>16.695</v>
      </c>
      <c r="J1193" s="4" t="n">
        <v>17.31</v>
      </c>
      <c r="K1193" s="4" t="n">
        <v>16.1175</v>
      </c>
      <c r="L1193" s="4" t="n">
        <v>16.745</v>
      </c>
      <c r="M1193" s="7" t="n">
        <v>0.003</v>
      </c>
    </row>
    <row r="1194">
      <c r="A1194" s="6" t="n">
        <v>45684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2981</v>
      </c>
      <c r="F1194" s="8" t="n">
        <v>4.4308</v>
      </c>
      <c r="G1194" s="4" t="n">
        <v>340.1666</v>
      </c>
      <c r="H1194" s="4" t="n">
        <v>951.5083</v>
      </c>
      <c r="I1194" s="4" t="n">
        <v>16.745</v>
      </c>
      <c r="J1194" s="4" t="n">
        <v>18.5225</v>
      </c>
      <c r="K1194" s="4" t="n">
        <v>16.745</v>
      </c>
      <c r="L1194" s="4" t="n">
        <v>18.1325</v>
      </c>
      <c r="M1194" s="7" t="n">
        <v>0.0829</v>
      </c>
    </row>
    <row r="1195">
      <c r="A1195" s="6" t="n">
        <v>45685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2960</v>
      </c>
      <c r="F1195" s="8" t="n">
        <v>4.9517</v>
      </c>
      <c r="G1195" s="4" t="n">
        <v>376.6994</v>
      </c>
      <c r="H1195" s="4" t="n">
        <v>1155.0317</v>
      </c>
      <c r="I1195" s="4" t="n">
        <v>18.1325</v>
      </c>
      <c r="J1195" s="4" t="n">
        <v>18.5025</v>
      </c>
      <c r="K1195" s="4" t="n">
        <v>16.8275</v>
      </c>
      <c r="L1195" s="4" t="n">
        <v>18.195</v>
      </c>
      <c r="M1195" s="7" t="n">
        <v>0.0034</v>
      </c>
    </row>
    <row r="1196">
      <c r="A1196" s="6" t="n">
        <v>45686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2927</v>
      </c>
      <c r="F1196" s="8" t="n">
        <v>3.7974</v>
      </c>
      <c r="G1196" s="4" t="n">
        <v>287.3717</v>
      </c>
      <c r="H1196" s="4" t="n">
        <v>914.7093</v>
      </c>
      <c r="I1196" s="4" t="n">
        <v>18.195</v>
      </c>
      <c r="J1196" s="4" t="n">
        <v>19.01</v>
      </c>
      <c r="K1196" s="4" t="n">
        <v>17.2875</v>
      </c>
      <c r="L1196" s="4" t="n">
        <v>18.64</v>
      </c>
      <c r="M1196" s="7" t="n">
        <v>0.0245</v>
      </c>
    </row>
    <row r="1197">
      <c r="A1197" s="6" t="n">
        <v>45687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2921</v>
      </c>
      <c r="F1197" s="8" t="n">
        <v>3.8967</v>
      </c>
      <c r="G1197" s="4" t="n">
        <v>286.504</v>
      </c>
      <c r="H1197" s="4" t="n">
        <v>1035.6127</v>
      </c>
      <c r="I1197" s="4" t="n">
        <v>18.64</v>
      </c>
      <c r="J1197" s="4" t="n">
        <v>18.985</v>
      </c>
      <c r="K1197" s="4" t="n">
        <v>17.2175</v>
      </c>
      <c r="L1197" s="4" t="n">
        <v>17.39</v>
      </c>
      <c r="M1197" s="7" t="n">
        <v>-0.06710000000000001</v>
      </c>
    </row>
    <row r="1198">
      <c r="A1198" s="6" t="n">
        <v>45688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2931</v>
      </c>
      <c r="F1198" s="8" t="n">
        <v>3.8303</v>
      </c>
      <c r="G1198" s="4" t="n">
        <v>329.2165</v>
      </c>
      <c r="H1198" s="4" t="n">
        <v>1038.9063</v>
      </c>
      <c r="I1198" s="4" t="n">
        <v>17.39</v>
      </c>
      <c r="J1198" s="4" t="n">
        <v>17.9425</v>
      </c>
      <c r="K1198" s="4" t="n">
        <v>16.1075</v>
      </c>
      <c r="L1198" s="4" t="n">
        <v>16.2475</v>
      </c>
      <c r="M1198" s="7" t="n">
        <v>-0.06569999999999999</v>
      </c>
    </row>
    <row r="1199">
      <c r="A1199" s="6" t="n">
        <v>45689</v>
      </c>
      <c r="B1199" s="2" t="inlineStr">
        <is>
          <t>Saturday</t>
        </is>
      </c>
      <c r="C1199" s="5" t="n">
        <v>45689</v>
      </c>
      <c r="D1199" s="2" t="inlineStr">
        <is>
          <t>Q4FY25</t>
        </is>
      </c>
      <c r="E1199" s="3" t="n">
        <v>2866</v>
      </c>
      <c r="F1199" s="8" t="n">
        <v>3.8024</v>
      </c>
      <c r="G1199" s="4" t="n">
        <v>397.1492</v>
      </c>
      <c r="H1199" s="4" t="n">
        <v>1017.8964</v>
      </c>
      <c r="I1199" s="4" t="n">
        <v>16.2475</v>
      </c>
      <c r="J1199" s="4" t="n">
        <v>16.58</v>
      </c>
      <c r="K1199" s="4" t="n">
        <v>14.0125</v>
      </c>
      <c r="L1199" s="4" t="n">
        <v>14.095</v>
      </c>
      <c r="M1199" s="7" t="n">
        <v>-0.1325</v>
      </c>
    </row>
    <row r="1200">
      <c r="A1200" s="6" t="n">
        <v>45691</v>
      </c>
      <c r="B1200" s="2" t="inlineStr">
        <is>
          <t>Monday</t>
        </is>
      </c>
      <c r="C1200" s="5" t="n">
        <v>45689</v>
      </c>
      <c r="D1200" s="2" t="inlineStr">
        <is>
          <t>Q4FY25</t>
        </is>
      </c>
      <c r="E1200" s="3" t="n">
        <v>2946</v>
      </c>
      <c r="F1200" s="8" t="n">
        <v>4.3737</v>
      </c>
      <c r="G1200" s="4" t="n">
        <v>314.9713</v>
      </c>
      <c r="H1200" s="4" t="n">
        <v>1048.8608</v>
      </c>
      <c r="I1200" s="4" t="n">
        <v>14.095</v>
      </c>
      <c r="J1200" s="4" t="n">
        <v>15.1125</v>
      </c>
      <c r="K1200" s="4" t="n">
        <v>14.095</v>
      </c>
      <c r="L1200" s="4" t="n">
        <v>14.3525</v>
      </c>
      <c r="M1200" s="7" t="n">
        <v>0.0183</v>
      </c>
    </row>
    <row r="1201">
      <c r="A1201" s="6" t="n">
        <v>45692</v>
      </c>
      <c r="B1201" s="2" t="inlineStr">
        <is>
          <t>Tuesday</t>
        </is>
      </c>
      <c r="C1201" s="5" t="n">
        <v>45689</v>
      </c>
      <c r="D1201" s="2" t="inlineStr">
        <is>
          <t>Q4FY25</t>
        </is>
      </c>
      <c r="E1201" s="3" t="n">
        <v>2914</v>
      </c>
      <c r="F1201" s="8" t="n">
        <v>3.8986</v>
      </c>
      <c r="G1201" s="4" t="n">
        <v>312.718</v>
      </c>
      <c r="H1201" s="4" t="n">
        <v>1041.986</v>
      </c>
      <c r="I1201" s="4" t="n">
        <v>14.3525</v>
      </c>
      <c r="J1201" s="4" t="n">
        <v>15.1325</v>
      </c>
      <c r="K1201" s="4" t="n">
        <v>13.665</v>
      </c>
      <c r="L1201" s="4" t="n">
        <v>14.0175</v>
      </c>
      <c r="M1201" s="7" t="n">
        <v>-0.0233</v>
      </c>
    </row>
    <row r="1202">
      <c r="A1202" s="6" t="n">
        <v>45693</v>
      </c>
      <c r="B1202" s="2" t="inlineStr">
        <is>
          <t>Wednesday</t>
        </is>
      </c>
      <c r="C1202" s="5" t="n">
        <v>45689</v>
      </c>
      <c r="D1202" s="2" t="inlineStr">
        <is>
          <t>Q4FY25</t>
        </is>
      </c>
      <c r="E1202" s="3" t="n">
        <v>2932</v>
      </c>
      <c r="F1202" s="8" t="n">
        <v>3.6963</v>
      </c>
      <c r="G1202" s="4" t="n">
        <v>299.1184</v>
      </c>
      <c r="H1202" s="4" t="n">
        <v>945.1159</v>
      </c>
      <c r="I1202" s="4" t="n">
        <v>14.0175</v>
      </c>
      <c r="J1202" s="4" t="n">
        <v>14.2975</v>
      </c>
      <c r="K1202" s="4" t="n">
        <v>13.4975</v>
      </c>
      <c r="L1202" s="4" t="n">
        <v>14.0825</v>
      </c>
      <c r="M1202" s="7" t="n">
        <v>0.0046</v>
      </c>
    </row>
    <row r="1203">
      <c r="A1203" s="6" t="n">
        <v>45694</v>
      </c>
      <c r="B1203" s="2" t="inlineStr">
        <is>
          <t>Thursday</t>
        </is>
      </c>
      <c r="C1203" s="5" t="n">
        <v>45689</v>
      </c>
      <c r="D1203" s="2" t="inlineStr">
        <is>
          <t>Q4FY25</t>
        </is>
      </c>
      <c r="E1203" s="3" t="n">
        <v>2920</v>
      </c>
      <c r="F1203" s="8" t="n">
        <v>3.4519</v>
      </c>
      <c r="G1203" s="4" t="n">
        <v>267.5681</v>
      </c>
      <c r="H1203" s="4" t="n">
        <v>907.6915</v>
      </c>
      <c r="I1203" s="4" t="n">
        <v>14.0825</v>
      </c>
      <c r="J1203" s="4" t="n">
        <v>14.64</v>
      </c>
      <c r="K1203" s="4" t="n">
        <v>13.15</v>
      </c>
      <c r="L1203" s="4" t="n">
        <v>14.175</v>
      </c>
      <c r="M1203" s="7" t="n">
        <v>0.0066</v>
      </c>
    </row>
    <row r="1204">
      <c r="A1204" s="6" t="n">
        <v>45695</v>
      </c>
      <c r="B1204" s="2" t="inlineStr">
        <is>
          <t>Friday</t>
        </is>
      </c>
      <c r="C1204" s="5" t="n">
        <v>45689</v>
      </c>
      <c r="D1204" s="2" t="inlineStr">
        <is>
          <t>Q4FY25</t>
        </is>
      </c>
      <c r="E1204" s="3" t="n">
        <v>2912</v>
      </c>
      <c r="F1204" s="8" t="n">
        <v>3.5581</v>
      </c>
      <c r="G1204" s="4" t="n">
        <v>302.315</v>
      </c>
      <c r="H1204" s="4" t="n">
        <v>889.0785</v>
      </c>
      <c r="I1204" s="4" t="n">
        <v>14.175</v>
      </c>
      <c r="J1204" s="4" t="n">
        <v>14.505</v>
      </c>
      <c r="K1204" s="4" t="n">
        <v>13.55</v>
      </c>
      <c r="L1204" s="4" t="n">
        <v>13.685</v>
      </c>
      <c r="M1204" s="7" t="n">
        <v>-0.0346</v>
      </c>
    </row>
    <row r="1205">
      <c r="A1205" s="6" t="n">
        <v>45698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2971</v>
      </c>
      <c r="F1205" s="8" t="n">
        <v>3.3911</v>
      </c>
      <c r="G1205" s="4" t="n">
        <v>234.9204</v>
      </c>
      <c r="H1205" s="4" t="n">
        <v>740.2011</v>
      </c>
      <c r="I1205" s="4" t="n">
        <v>13.685</v>
      </c>
      <c r="J1205" s="4" t="n">
        <v>14.7175</v>
      </c>
      <c r="K1205" s="4" t="n">
        <v>13.685</v>
      </c>
      <c r="L1205" s="4" t="n">
        <v>14.445</v>
      </c>
      <c r="M1205" s="7" t="n">
        <v>0.0555</v>
      </c>
    </row>
    <row r="1206">
      <c r="A1206" s="6" t="n">
        <v>45699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2939</v>
      </c>
      <c r="F1206" s="8" t="n">
        <v>3.9172</v>
      </c>
      <c r="G1206" s="4" t="n">
        <v>276.6719</v>
      </c>
      <c r="H1206" s="4" t="n">
        <v>871.9743</v>
      </c>
      <c r="I1206" s="4" t="n">
        <v>14.445</v>
      </c>
      <c r="J1206" s="4" t="n">
        <v>15.4325</v>
      </c>
      <c r="K1206" s="4" t="n">
        <v>13.845</v>
      </c>
      <c r="L1206" s="4" t="n">
        <v>14.87</v>
      </c>
      <c r="M1206" s="7" t="n">
        <v>0.0294</v>
      </c>
    </row>
    <row r="1207">
      <c r="A1207" s="6" t="n">
        <v>45700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2934</v>
      </c>
      <c r="F1207" s="8" t="n">
        <v>4.8265</v>
      </c>
      <c r="G1207" s="4" t="n">
        <v>382.6572</v>
      </c>
      <c r="H1207" s="4" t="n">
        <v>1046.0992</v>
      </c>
      <c r="I1207" s="4" t="n">
        <v>14.87</v>
      </c>
      <c r="J1207" s="4" t="n">
        <v>15.6225</v>
      </c>
      <c r="K1207" s="4" t="n">
        <v>14.6075</v>
      </c>
      <c r="L1207" s="4" t="n">
        <v>14.895</v>
      </c>
      <c r="M1207" s="7" t="n">
        <v>0.0017</v>
      </c>
    </row>
    <row r="1208">
      <c r="A1208" s="6" t="n">
        <v>45701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2908</v>
      </c>
      <c r="F1208" s="8" t="n">
        <v>3.7104</v>
      </c>
      <c r="G1208" s="4" t="n">
        <v>308.0852</v>
      </c>
      <c r="H1208" s="4" t="n">
        <v>843.9494999999999</v>
      </c>
      <c r="I1208" s="4" t="n">
        <v>14.895</v>
      </c>
      <c r="J1208" s="4" t="n">
        <v>15.465</v>
      </c>
      <c r="K1208" s="4" t="n">
        <v>12.195</v>
      </c>
      <c r="L1208" s="4" t="n">
        <v>14.955</v>
      </c>
      <c r="M1208" s="7" t="n">
        <v>0.004</v>
      </c>
    </row>
    <row r="1209">
      <c r="A1209" s="6" t="n">
        <v>45702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2948</v>
      </c>
      <c r="F1209" s="8" t="n">
        <v>4.1299</v>
      </c>
      <c r="G1209" s="4" t="n">
        <v>319.2399</v>
      </c>
      <c r="H1209" s="4" t="n">
        <v>856.5847</v>
      </c>
      <c r="I1209" s="4" t="n">
        <v>14.955</v>
      </c>
      <c r="J1209" s="4" t="n">
        <v>15.6775</v>
      </c>
      <c r="K1209" s="4" t="n">
        <v>14.3575</v>
      </c>
      <c r="L1209" s="4" t="n">
        <v>15.015</v>
      </c>
      <c r="M1209" s="7" t="n">
        <v>0.004</v>
      </c>
    </row>
    <row r="1210">
      <c r="A1210" s="6" t="n">
        <v>45705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2972</v>
      </c>
      <c r="F1210" s="8" t="n">
        <v>4.5383</v>
      </c>
      <c r="G1210" s="4" t="n">
        <v>317.065</v>
      </c>
      <c r="H1210" s="4" t="n">
        <v>826.8135</v>
      </c>
      <c r="I1210" s="4" t="n">
        <v>15.015</v>
      </c>
      <c r="J1210" s="4" t="n">
        <v>16.31</v>
      </c>
      <c r="K1210" s="4" t="n">
        <v>14.4975</v>
      </c>
      <c r="L1210" s="4" t="n">
        <v>15.7225</v>
      </c>
      <c r="M1210" s="7" t="n">
        <v>0.0471</v>
      </c>
    </row>
    <row r="1211">
      <c r="A1211" s="6" t="n">
        <v>45706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2943</v>
      </c>
      <c r="F1211" s="8" t="n">
        <v>3.7474</v>
      </c>
      <c r="G1211" s="4" t="n">
        <v>278.3001</v>
      </c>
      <c r="H1211" s="4" t="n">
        <v>848.7607</v>
      </c>
      <c r="I1211" s="4" t="n">
        <v>15.7225</v>
      </c>
      <c r="J1211" s="4" t="n">
        <v>16.3225</v>
      </c>
      <c r="K1211" s="4" t="n">
        <v>14.78</v>
      </c>
      <c r="L1211" s="4" t="n">
        <v>15.665</v>
      </c>
      <c r="M1211" s="7" t="n">
        <v>-0.0037</v>
      </c>
    </row>
    <row r="1212">
      <c r="A1212" s="6" t="n">
        <v>45707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2938</v>
      </c>
      <c r="F1212" s="8" t="n">
        <v>3.857</v>
      </c>
      <c r="G1212" s="4" t="n">
        <v>285.8915</v>
      </c>
      <c r="H1212" s="4" t="n">
        <v>842.0385</v>
      </c>
      <c r="I1212" s="4" t="n">
        <v>15.665</v>
      </c>
      <c r="J1212" s="4" t="n">
        <v>16.0225</v>
      </c>
      <c r="K1212" s="4" t="n">
        <v>14.7525</v>
      </c>
      <c r="L1212" s="4" t="n">
        <v>15.42</v>
      </c>
      <c r="M1212" s="7" t="n">
        <v>-0.0156</v>
      </c>
    </row>
    <row r="1213">
      <c r="A1213" s="6" t="n">
        <v>45708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2911</v>
      </c>
      <c r="F1213" s="8" t="n">
        <v>3.5403</v>
      </c>
      <c r="G1213" s="4" t="n">
        <v>256.4833</v>
      </c>
      <c r="H1213" s="4" t="n">
        <v>803.722</v>
      </c>
      <c r="I1213" s="4" t="n">
        <v>15.42</v>
      </c>
      <c r="J1213" s="4" t="n">
        <v>15.9025</v>
      </c>
      <c r="K1213" s="4" t="n">
        <v>14.6375</v>
      </c>
      <c r="L1213" s="4" t="n">
        <v>14.6825</v>
      </c>
      <c r="M1213" s="7" t="n">
        <v>-0.0478</v>
      </c>
    </row>
    <row r="1214">
      <c r="A1214" s="6" t="n">
        <v>45709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2926</v>
      </c>
      <c r="F1214" s="8" t="n">
        <v>3.7128</v>
      </c>
      <c r="G1214" s="4" t="n">
        <v>281.133</v>
      </c>
      <c r="H1214" s="4" t="n">
        <v>856.277</v>
      </c>
      <c r="I1214" s="4" t="n">
        <v>14.6825</v>
      </c>
      <c r="J1214" s="4" t="n">
        <v>15.2425</v>
      </c>
      <c r="K1214" s="4" t="n">
        <v>12.0825</v>
      </c>
      <c r="L1214" s="4" t="n">
        <v>14.53</v>
      </c>
      <c r="M1214" s="7" t="n">
        <v>-0.0104</v>
      </c>
    </row>
    <row r="1215">
      <c r="A1215" s="6" t="n">
        <v>45712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2982</v>
      </c>
      <c r="F1215" s="8" t="n">
        <v>3.3751</v>
      </c>
      <c r="G1215" s="4" t="n">
        <v>226.7809</v>
      </c>
      <c r="H1215" s="4" t="n">
        <v>719.4732</v>
      </c>
      <c r="I1215" s="4" t="n">
        <v>14.53</v>
      </c>
      <c r="J1215" s="4" t="n">
        <v>15.58</v>
      </c>
      <c r="K1215" s="4" t="n">
        <v>14.365</v>
      </c>
      <c r="L1215" s="4" t="n">
        <v>14.44</v>
      </c>
      <c r="M1215" s="7" t="n">
        <v>-0.0062</v>
      </c>
    </row>
    <row r="1216">
      <c r="A1216" s="6" t="n">
        <v>45713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2929</v>
      </c>
      <c r="F1216" s="8" t="n">
        <v>3.1257</v>
      </c>
      <c r="G1216" s="4" t="n">
        <v>221.3703</v>
      </c>
      <c r="H1216" s="4" t="n">
        <v>750.2998</v>
      </c>
      <c r="I1216" s="4" t="n">
        <v>14.4425</v>
      </c>
      <c r="J1216" s="4" t="n">
        <v>15.0775</v>
      </c>
      <c r="K1216" s="4" t="n">
        <v>13.605</v>
      </c>
      <c r="L1216" s="4" t="n">
        <v>13.72</v>
      </c>
      <c r="M1216" s="7" t="n">
        <v>-0.05</v>
      </c>
    </row>
    <row r="1217">
      <c r="A1217" s="6" t="n">
        <v>45715</v>
      </c>
      <c r="B1217" s="2" t="inlineStr">
        <is>
          <t>Thursday</t>
        </is>
      </c>
      <c r="C1217" s="5" t="n">
        <v>45689</v>
      </c>
      <c r="D1217" s="2" t="inlineStr">
        <is>
          <t>Q4FY25</t>
        </is>
      </c>
      <c r="E1217" s="3" t="n">
        <v>2952</v>
      </c>
      <c r="F1217" s="8" t="n">
        <v>3.782</v>
      </c>
      <c r="G1217" s="4" t="n">
        <v>276.5251</v>
      </c>
      <c r="H1217" s="4" t="n">
        <v>940.8040999999999</v>
      </c>
      <c r="I1217" s="4" t="n">
        <v>13.715</v>
      </c>
      <c r="J1217" s="4" t="n">
        <v>14.0075</v>
      </c>
      <c r="K1217" s="4" t="n">
        <v>12.91</v>
      </c>
      <c r="L1217" s="4" t="n">
        <v>13.31</v>
      </c>
      <c r="M1217" s="7" t="n">
        <v>-0.0295</v>
      </c>
    </row>
    <row r="1218">
      <c r="A1218" s="6" t="n">
        <v>45716</v>
      </c>
      <c r="B1218" s="2" t="inlineStr">
        <is>
          <t>Friday</t>
        </is>
      </c>
      <c r="C1218" s="5" t="n">
        <v>45689</v>
      </c>
      <c r="D1218" s="2" t="inlineStr">
        <is>
          <t>Q4FY25</t>
        </is>
      </c>
      <c r="E1218" s="3" t="n">
        <v>2988</v>
      </c>
      <c r="F1218" s="8" t="n">
        <v>4.9683</v>
      </c>
      <c r="G1218" s="4" t="n">
        <v>436.4716</v>
      </c>
      <c r="H1218" s="4" t="n">
        <v>1534.6352</v>
      </c>
      <c r="I1218" s="4" t="n">
        <v>13.3075</v>
      </c>
      <c r="J1218" s="4" t="n">
        <v>14.1225</v>
      </c>
      <c r="K1218" s="4" t="n">
        <v>13.2325</v>
      </c>
      <c r="L1218" s="4" t="n">
        <v>13.91</v>
      </c>
      <c r="M1218" s="7" t="n">
        <v>0.0453</v>
      </c>
    </row>
    <row r="1219">
      <c r="A1219" s="6" t="n">
        <v>45719</v>
      </c>
      <c r="B1219" s="2" t="inlineStr">
        <is>
          <t>Monday</t>
        </is>
      </c>
      <c r="C1219" s="5" t="n">
        <v>45717</v>
      </c>
      <c r="D1219" s="2" t="inlineStr">
        <is>
          <t>Q4FY25</t>
        </is>
      </c>
      <c r="E1219" s="3" t="n">
        <v>3035</v>
      </c>
      <c r="F1219" s="8" t="n">
        <v>4.674</v>
      </c>
      <c r="G1219" s="4" t="n">
        <v>360.9968</v>
      </c>
      <c r="H1219" s="4" t="n">
        <v>949.7536</v>
      </c>
      <c r="I1219" s="4" t="n">
        <v>13.91</v>
      </c>
      <c r="J1219" s="4" t="n">
        <v>14.36</v>
      </c>
      <c r="K1219" s="4" t="n">
        <v>13.5675</v>
      </c>
      <c r="L1219" s="4" t="n">
        <v>13.76</v>
      </c>
      <c r="M1219" s="7" t="n">
        <v>-0.0108</v>
      </c>
    </row>
    <row r="1220">
      <c r="A1220" s="6" t="n">
        <v>45720</v>
      </c>
      <c r="B1220" s="2" t="inlineStr">
        <is>
          <t>Tuesday</t>
        </is>
      </c>
      <c r="C1220" s="5" t="n">
        <v>45717</v>
      </c>
      <c r="D1220" s="2" t="inlineStr">
        <is>
          <t>Q4FY25</t>
        </is>
      </c>
      <c r="E1220" s="3" t="n">
        <v>2970</v>
      </c>
      <c r="F1220" s="8" t="n">
        <v>3.9016</v>
      </c>
      <c r="G1220" s="4" t="n">
        <v>314.2499</v>
      </c>
      <c r="H1220" s="4" t="n">
        <v>879.1638</v>
      </c>
      <c r="I1220" s="4" t="n">
        <v>13.7625</v>
      </c>
      <c r="J1220" s="4" t="n">
        <v>14.1975</v>
      </c>
      <c r="K1220" s="4" t="n">
        <v>13.3725</v>
      </c>
      <c r="L1220" s="4" t="n">
        <v>13.83</v>
      </c>
      <c r="M1220" s="7" t="n">
        <v>0.0049</v>
      </c>
    </row>
    <row r="1221">
      <c r="A1221" s="6" t="n">
        <v>45721</v>
      </c>
      <c r="B1221" s="2" t="inlineStr">
        <is>
          <t>Wednesday</t>
        </is>
      </c>
      <c r="C1221" s="5" t="n">
        <v>45717</v>
      </c>
      <c r="D1221" s="2" t="inlineStr">
        <is>
          <t>Q4FY25</t>
        </is>
      </c>
      <c r="E1221" s="3" t="n">
        <v>2979</v>
      </c>
      <c r="F1221" s="8" t="n">
        <v>3.8759</v>
      </c>
      <c r="G1221" s="4" t="n">
        <v>328.1875</v>
      </c>
      <c r="H1221" s="4" t="n">
        <v>960.4358</v>
      </c>
      <c r="I1221" s="4" t="n">
        <v>13.83</v>
      </c>
      <c r="J1221" s="4" t="n">
        <v>14.13</v>
      </c>
      <c r="K1221" s="4" t="n">
        <v>13.095</v>
      </c>
      <c r="L1221" s="4" t="n">
        <v>13.67</v>
      </c>
      <c r="M1221" s="7" t="n">
        <v>-0.0116</v>
      </c>
    </row>
    <row r="1222">
      <c r="A1222" s="6" t="n">
        <v>45722</v>
      </c>
      <c r="B1222" s="2" t="inlineStr">
        <is>
          <t>Thursday</t>
        </is>
      </c>
      <c r="C1222" s="5" t="n">
        <v>45717</v>
      </c>
      <c r="D1222" s="2" t="inlineStr">
        <is>
          <t>Q4FY25</t>
        </is>
      </c>
      <c r="E1222" s="3" t="n">
        <v>3007</v>
      </c>
      <c r="F1222" s="8" t="n">
        <v>3.7796</v>
      </c>
      <c r="G1222" s="4" t="n">
        <v>313.6507</v>
      </c>
      <c r="H1222" s="4" t="n">
        <v>949.501</v>
      </c>
      <c r="I1222" s="4" t="n">
        <v>13.67</v>
      </c>
      <c r="J1222" s="4" t="n">
        <v>14.1775</v>
      </c>
      <c r="K1222" s="4" t="n">
        <v>13.28</v>
      </c>
      <c r="L1222" s="4" t="n">
        <v>13.73</v>
      </c>
      <c r="M1222" s="7" t="n">
        <v>0.0044</v>
      </c>
    </row>
    <row r="1223">
      <c r="A1223" s="6" t="n">
        <v>45723</v>
      </c>
      <c r="B1223" s="2" t="inlineStr">
        <is>
          <t>Friday</t>
        </is>
      </c>
      <c r="C1223" s="5" t="n">
        <v>45717</v>
      </c>
      <c r="D1223" s="2" t="inlineStr">
        <is>
          <t>Q4FY25</t>
        </is>
      </c>
      <c r="E1223" s="3" t="n">
        <v>3000</v>
      </c>
      <c r="F1223" s="8" t="n">
        <v>3.4589</v>
      </c>
      <c r="G1223" s="4" t="n">
        <v>307.4984</v>
      </c>
      <c r="H1223" s="4" t="n">
        <v>823.442</v>
      </c>
      <c r="I1223" s="4" t="n">
        <v>13.725</v>
      </c>
      <c r="J1223" s="4" t="n">
        <v>13.86</v>
      </c>
      <c r="K1223" s="4" t="n">
        <v>13.3325</v>
      </c>
      <c r="L1223" s="4" t="n">
        <v>13.47</v>
      </c>
      <c r="M1223" s="7" t="n">
        <v>-0.0186</v>
      </c>
    </row>
    <row r="1224">
      <c r="A1224" s="6" t="n">
        <v>45726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2999</v>
      </c>
      <c r="F1224" s="8" t="n">
        <v>3.3614</v>
      </c>
      <c r="G1224" s="4" t="n">
        <v>293.8717</v>
      </c>
      <c r="H1224" s="4" t="n">
        <v>779.0806</v>
      </c>
      <c r="I1224" s="4" t="n">
        <v>13.47</v>
      </c>
      <c r="J1224" s="4" t="n">
        <v>14.2075</v>
      </c>
      <c r="K1224" s="4" t="n">
        <v>13.47</v>
      </c>
      <c r="L1224" s="4" t="n">
        <v>13.99</v>
      </c>
      <c r="M1224" s="7" t="n">
        <v>0.0386</v>
      </c>
    </row>
    <row r="1225">
      <c r="A1225" s="6" t="n">
        <v>45727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2972</v>
      </c>
      <c r="F1225" s="8" t="n">
        <v>3.4045</v>
      </c>
      <c r="G1225" s="4" t="n">
        <v>295.5517</v>
      </c>
      <c r="H1225" s="4" t="n">
        <v>860.566</v>
      </c>
      <c r="I1225" s="4" t="n">
        <v>13.985</v>
      </c>
      <c r="J1225" s="4" t="n">
        <v>14.5025</v>
      </c>
      <c r="K1225" s="4" t="n">
        <v>13.675</v>
      </c>
      <c r="L1225" s="4" t="n">
        <v>14.07</v>
      </c>
      <c r="M1225" s="7" t="n">
        <v>0.0061</v>
      </c>
    </row>
    <row r="1226">
      <c r="A1226" s="6" t="n">
        <v>45728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2979</v>
      </c>
      <c r="F1226" s="8" t="n">
        <v>3.1766</v>
      </c>
      <c r="G1226" s="4" t="n">
        <v>312.9639</v>
      </c>
      <c r="H1226" s="4" t="n">
        <v>855.3156</v>
      </c>
      <c r="I1226" s="4" t="n">
        <v>14.0725</v>
      </c>
      <c r="J1226" s="4" t="n">
        <v>14.3725</v>
      </c>
      <c r="K1226" s="4" t="n">
        <v>13.635</v>
      </c>
      <c r="L1226" s="4" t="n">
        <v>13.69</v>
      </c>
      <c r="M1226" s="7" t="n">
        <v>-0.0272</v>
      </c>
    </row>
    <row r="1227">
      <c r="A1227" s="6" t="n">
        <v>45729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2971</v>
      </c>
      <c r="F1227" s="8" t="n">
        <v>2.9245</v>
      </c>
      <c r="G1227" s="4" t="n">
        <v>277.0237</v>
      </c>
      <c r="H1227" s="4" t="n">
        <v>723.0778</v>
      </c>
      <c r="I1227" s="4" t="n">
        <v>13.6925</v>
      </c>
      <c r="J1227" s="4" t="n">
        <v>13.9275</v>
      </c>
      <c r="K1227" s="4" t="n">
        <v>13.2225</v>
      </c>
      <c r="L1227" s="4" t="n">
        <v>13.28</v>
      </c>
      <c r="M1227" s="7" t="n">
        <v>-0.0301</v>
      </c>
    </row>
    <row r="1228">
      <c r="A1228" s="6" t="n">
        <v>45733</v>
      </c>
      <c r="B1228" s="2" t="inlineStr">
        <is>
          <t>Monday</t>
        </is>
      </c>
      <c r="C1228" s="5" t="n">
        <v>45717</v>
      </c>
      <c r="D1228" s="2" t="inlineStr">
        <is>
          <t>Q4FY25</t>
        </is>
      </c>
      <c r="E1228" s="3" t="n">
        <v>3002</v>
      </c>
      <c r="F1228" s="8" t="n">
        <v>3.1373</v>
      </c>
      <c r="G1228" s="4" t="n">
        <v>282.9422</v>
      </c>
      <c r="H1228" s="4" t="n">
        <v>754.2505</v>
      </c>
      <c r="I1228" s="4" t="n">
        <v>13.28</v>
      </c>
      <c r="J1228" s="4" t="n">
        <v>14.0975</v>
      </c>
      <c r="K1228" s="4" t="n">
        <v>13.28</v>
      </c>
      <c r="L1228" s="4" t="n">
        <v>13.42</v>
      </c>
      <c r="M1228" s="7" t="n">
        <v>0.0105</v>
      </c>
    </row>
    <row r="1229">
      <c r="A1229" s="6" t="n">
        <v>45734</v>
      </c>
      <c r="B1229" s="2" t="inlineStr">
        <is>
          <t>Tuesday</t>
        </is>
      </c>
      <c r="C1229" s="5" t="n">
        <v>45717</v>
      </c>
      <c r="D1229" s="2" t="inlineStr">
        <is>
          <t>Q4FY25</t>
        </is>
      </c>
      <c r="E1229" s="3" t="n">
        <v>3043</v>
      </c>
      <c r="F1229" s="8" t="n">
        <v>3.3086</v>
      </c>
      <c r="G1229" s="4" t="n">
        <v>341.1926</v>
      </c>
      <c r="H1229" s="4" t="n">
        <v>892.188</v>
      </c>
      <c r="I1229" s="4" t="n">
        <v>13.415</v>
      </c>
      <c r="J1229" s="4" t="n">
        <v>13.6525</v>
      </c>
      <c r="K1229" s="4" t="n">
        <v>11.3425</v>
      </c>
      <c r="L1229" s="4" t="n">
        <v>13.21</v>
      </c>
      <c r="M1229" s="7" t="n">
        <v>-0.0153</v>
      </c>
    </row>
    <row r="1230">
      <c r="A1230" s="6" t="n">
        <v>45735</v>
      </c>
      <c r="B1230" s="2" t="inlineStr">
        <is>
          <t>Wednesday</t>
        </is>
      </c>
      <c r="C1230" s="5" t="n">
        <v>45717</v>
      </c>
      <c r="D1230" s="2" t="inlineStr">
        <is>
          <t>Q4FY25</t>
        </is>
      </c>
      <c r="E1230" s="3" t="n">
        <v>3001</v>
      </c>
      <c r="F1230" s="8" t="n">
        <v>3.7474</v>
      </c>
      <c r="G1230" s="4" t="n">
        <v>432.574</v>
      </c>
      <c r="H1230" s="4" t="n">
        <v>1037.9593</v>
      </c>
      <c r="I1230" s="4" t="n">
        <v>13.21</v>
      </c>
      <c r="J1230" s="4" t="n">
        <v>13.5725</v>
      </c>
      <c r="K1230" s="4" t="n">
        <v>12.585</v>
      </c>
      <c r="L1230" s="4" t="n">
        <v>13.3</v>
      </c>
      <c r="M1230" s="7" t="n">
        <v>0.0068</v>
      </c>
    </row>
    <row r="1231">
      <c r="A1231" s="6" t="n">
        <v>45736</v>
      </c>
      <c r="B1231" s="2" t="inlineStr">
        <is>
          <t>Thursday</t>
        </is>
      </c>
      <c r="C1231" s="5" t="n">
        <v>45717</v>
      </c>
      <c r="D1231" s="2" t="inlineStr">
        <is>
          <t>Q4FY25</t>
        </is>
      </c>
      <c r="E1231" s="3" t="n">
        <v>2996</v>
      </c>
      <c r="F1231" s="8" t="n">
        <v>3.8641</v>
      </c>
      <c r="G1231" s="4" t="n">
        <v>364.9035</v>
      </c>
      <c r="H1231" s="4" t="n">
        <v>1041.7574</v>
      </c>
      <c r="I1231" s="4" t="n">
        <v>13.2975</v>
      </c>
      <c r="J1231" s="4" t="n">
        <v>13.2975</v>
      </c>
      <c r="K1231" s="4" t="n">
        <v>12.5125</v>
      </c>
      <c r="L1231" s="4" t="n">
        <v>12.6</v>
      </c>
      <c r="M1231" s="7" t="n">
        <v>-0.0525</v>
      </c>
    </row>
    <row r="1232">
      <c r="A1232" s="6" t="n">
        <v>45737</v>
      </c>
      <c r="B1232" s="2" t="inlineStr">
        <is>
          <t>Friday</t>
        </is>
      </c>
      <c r="C1232" s="5" t="n">
        <v>45717</v>
      </c>
      <c r="D1232" s="2" t="inlineStr">
        <is>
          <t>Q4FY25</t>
        </is>
      </c>
      <c r="E1232" s="3" t="n">
        <v>3001</v>
      </c>
      <c r="F1232" s="8" t="n">
        <v>4.5316</v>
      </c>
      <c r="G1232" s="4" t="n">
        <v>557.0507</v>
      </c>
      <c r="H1232" s="4" t="n">
        <v>1598.4362</v>
      </c>
      <c r="I1232" s="4" t="n">
        <v>12.6025</v>
      </c>
      <c r="J1232" s="4" t="n">
        <v>12.835</v>
      </c>
      <c r="K1232" s="4" t="n">
        <v>10.695</v>
      </c>
      <c r="L1232" s="4" t="n">
        <v>12.58</v>
      </c>
      <c r="M1232" s="7" t="n">
        <v>-0.0018</v>
      </c>
    </row>
    <row r="1233">
      <c r="A1233" s="6" t="n">
        <v>45740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3043</v>
      </c>
      <c r="F1233" s="8" t="n">
        <v>4.008</v>
      </c>
      <c r="G1233" s="4" t="n">
        <v>419.0047</v>
      </c>
      <c r="H1233" s="4" t="n">
        <v>1082.2307</v>
      </c>
      <c r="I1233" s="4" t="n">
        <v>12.575</v>
      </c>
      <c r="J1233" s="4" t="n">
        <v>13.9525</v>
      </c>
      <c r="K1233" s="4" t="n">
        <v>12.575</v>
      </c>
      <c r="L1233" s="4" t="n">
        <v>13.7</v>
      </c>
      <c r="M1233" s="7" t="n">
        <v>0.0895</v>
      </c>
    </row>
    <row r="1234">
      <c r="A1234" s="6" t="n">
        <v>45741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3017</v>
      </c>
      <c r="F1234" s="8" t="n">
        <v>4.0441</v>
      </c>
      <c r="G1234" s="4" t="n">
        <v>394.2592</v>
      </c>
      <c r="H1234" s="4" t="n">
        <v>1088.3563</v>
      </c>
      <c r="I1234" s="4" t="n">
        <v>13.7</v>
      </c>
      <c r="J1234" s="4" t="n">
        <v>14.475</v>
      </c>
      <c r="K1234" s="4" t="n">
        <v>13.49</v>
      </c>
      <c r="L1234" s="4" t="n">
        <v>13.64</v>
      </c>
      <c r="M1234" s="7" t="n">
        <v>-0.0044</v>
      </c>
    </row>
    <row r="1235">
      <c r="A1235" s="6" t="n">
        <v>45742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3013</v>
      </c>
      <c r="F1235" s="8" t="n">
        <v>3.5984</v>
      </c>
      <c r="G1235" s="4" t="n">
        <v>383.1209</v>
      </c>
      <c r="H1235" s="4" t="n">
        <v>936.0374</v>
      </c>
      <c r="I1235" s="4" t="n">
        <v>13.635</v>
      </c>
      <c r="J1235" s="4" t="n">
        <v>13.915</v>
      </c>
      <c r="K1235" s="4" t="n">
        <v>13.305</v>
      </c>
      <c r="L1235" s="4" t="n">
        <v>13.47</v>
      </c>
      <c r="M1235" s="7" t="n">
        <v>-0.0121</v>
      </c>
    </row>
    <row r="1236">
      <c r="A1236" s="6" t="n">
        <v>45743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3005</v>
      </c>
      <c r="F1236" s="8" t="n">
        <v>4.5133</v>
      </c>
      <c r="G1236" s="4" t="n">
        <v>616.5361</v>
      </c>
      <c r="H1236" s="4" t="n">
        <v>1498.3657</v>
      </c>
      <c r="I1236" s="4" t="n">
        <v>13.47</v>
      </c>
      <c r="J1236" s="4" t="n">
        <v>13.85</v>
      </c>
      <c r="K1236" s="4" t="n">
        <v>12.9775</v>
      </c>
      <c r="L1236" s="4" t="n">
        <v>13.3</v>
      </c>
      <c r="M1236" s="7" t="n">
        <v>-0.0126</v>
      </c>
    </row>
    <row r="1237">
      <c r="A1237" s="6" t="n">
        <v>45744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3001</v>
      </c>
      <c r="F1237" s="8" t="n">
        <v>3.7302</v>
      </c>
      <c r="G1237" s="4" t="n">
        <v>439.2264</v>
      </c>
      <c r="H1237" s="4" t="n">
        <v>1041.6833</v>
      </c>
      <c r="I1237" s="4" t="n">
        <v>13.3</v>
      </c>
      <c r="J1237" s="4" t="n">
        <v>13.61</v>
      </c>
      <c r="K1237" s="4" t="n">
        <v>12.5725</v>
      </c>
      <c r="L1237" s="4" t="n">
        <v>12.72</v>
      </c>
      <c r="M1237" s="7" t="n">
        <v>-0.0436</v>
      </c>
    </row>
    <row r="1238">
      <c r="A1238" s="6" t="n">
        <v>45748</v>
      </c>
      <c r="B1238" s="2" t="inlineStr">
        <is>
          <t>Tuesday</t>
        </is>
      </c>
      <c r="C1238" s="5" t="n">
        <v>45748</v>
      </c>
      <c r="D1238" s="2" t="inlineStr">
        <is>
          <t>Q1FY26</t>
        </is>
      </c>
      <c r="E1238" s="3" t="n">
        <v>3014</v>
      </c>
      <c r="F1238" s="8" t="n">
        <v>3.2429</v>
      </c>
      <c r="G1238" s="4" t="n">
        <v>506.4127</v>
      </c>
      <c r="H1238" s="4" t="n">
        <v>854.3099999999999</v>
      </c>
      <c r="I1238" s="4" t="n">
        <v>12.7175</v>
      </c>
      <c r="J1238" s="4" t="n">
        <v>14.0525</v>
      </c>
      <c r="K1238" s="4" t="n">
        <v>12.7175</v>
      </c>
      <c r="L1238" s="4" t="n">
        <v>13.78</v>
      </c>
      <c r="M1238" s="7" t="n">
        <v>0.0835</v>
      </c>
    </row>
    <row r="1239">
      <c r="A1239" s="6" t="n">
        <v>45749</v>
      </c>
      <c r="B1239" s="2" t="inlineStr">
        <is>
          <t>Wednesday</t>
        </is>
      </c>
      <c r="C1239" s="5" t="n">
        <v>45748</v>
      </c>
      <c r="D1239" s="2" t="inlineStr">
        <is>
          <t>Q1FY26</t>
        </is>
      </c>
      <c r="E1239" s="3" t="n">
        <v>2999</v>
      </c>
      <c r="F1239" s="8" t="n">
        <v>2.9343</v>
      </c>
      <c r="G1239" s="4" t="n">
        <v>355.0216</v>
      </c>
      <c r="H1239" s="4" t="n">
        <v>798.1605</v>
      </c>
      <c r="I1239" s="4" t="n">
        <v>13.7825</v>
      </c>
      <c r="J1239" s="4" t="n">
        <v>14.1425</v>
      </c>
      <c r="K1239" s="4" t="n">
        <v>13.5125</v>
      </c>
      <c r="L1239" s="4" t="n">
        <v>13.72</v>
      </c>
      <c r="M1239" s="7" t="n">
        <v>-0.0045</v>
      </c>
    </row>
    <row r="1240">
      <c r="A1240" s="6" t="n">
        <v>45750</v>
      </c>
      <c r="B1240" s="2" t="inlineStr">
        <is>
          <t>Thursday</t>
        </is>
      </c>
      <c r="C1240" s="5" t="n">
        <v>45748</v>
      </c>
      <c r="D1240" s="2" t="inlineStr">
        <is>
          <t>Q1FY26</t>
        </is>
      </c>
      <c r="E1240" s="3" t="n">
        <v>2992</v>
      </c>
      <c r="F1240" s="8" t="n">
        <v>3.3239</v>
      </c>
      <c r="G1240" s="4" t="n">
        <v>357.9605</v>
      </c>
      <c r="H1240" s="4" t="n">
        <v>904.8887</v>
      </c>
      <c r="I1240" s="4" t="n">
        <v>13.7225</v>
      </c>
      <c r="J1240" s="4" t="n">
        <v>14.1075</v>
      </c>
      <c r="K1240" s="4" t="n">
        <v>13.41</v>
      </c>
      <c r="L1240" s="4" t="n">
        <v>13.6</v>
      </c>
      <c r="M1240" s="7" t="n">
        <v>-0.0089</v>
      </c>
    </row>
    <row r="1241">
      <c r="A1241" s="6" t="n">
        <v>45751</v>
      </c>
      <c r="B1241" s="2" t="inlineStr">
        <is>
          <t>Friday</t>
        </is>
      </c>
      <c r="C1241" s="5" t="n">
        <v>45748</v>
      </c>
      <c r="D1241" s="2" t="inlineStr">
        <is>
          <t>Q1FY26</t>
        </is>
      </c>
      <c r="E1241" s="3" t="n">
        <v>2968</v>
      </c>
      <c r="F1241" s="8" t="n">
        <v>3.9174</v>
      </c>
      <c r="G1241" s="4" t="n">
        <v>377.333</v>
      </c>
      <c r="H1241" s="4" t="n">
        <v>1035.1315</v>
      </c>
      <c r="I1241" s="4" t="n">
        <v>13.6</v>
      </c>
      <c r="J1241" s="4" t="n">
        <v>14.2475</v>
      </c>
      <c r="K1241" s="4" t="n">
        <v>13.395</v>
      </c>
      <c r="L1241" s="4" t="n">
        <v>13.76</v>
      </c>
      <c r="M1241" s="7" t="n">
        <v>0.0118</v>
      </c>
    </row>
    <row r="1242">
      <c r="A1242" s="6" t="n">
        <v>45754</v>
      </c>
      <c r="B1242" s="2" t="inlineStr">
        <is>
          <t>Monday</t>
        </is>
      </c>
      <c r="C1242" s="5" t="n">
        <v>45748</v>
      </c>
      <c r="D1242" s="2" t="inlineStr">
        <is>
          <t>Q1FY26</t>
        </is>
      </c>
      <c r="E1242" s="3" t="n">
        <v>3057</v>
      </c>
      <c r="F1242" s="8" t="n">
        <v>5.2722</v>
      </c>
      <c r="G1242" s="4" t="n">
        <v>463.6142</v>
      </c>
      <c r="H1242" s="4" t="n">
        <v>1243.353</v>
      </c>
      <c r="I1242" s="4" t="n">
        <v>13.755</v>
      </c>
      <c r="J1242" s="4" t="n">
        <v>23.1875</v>
      </c>
      <c r="K1242" s="4" t="n">
        <v>13.755</v>
      </c>
      <c r="L1242" s="4" t="n">
        <v>22.79</v>
      </c>
      <c r="M1242" s="7" t="n">
        <v>0.6569</v>
      </c>
    </row>
    <row r="1243">
      <c r="A1243" s="6" t="n">
        <v>45755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2976</v>
      </c>
      <c r="F1243" s="8" t="n">
        <v>3.509</v>
      </c>
      <c r="G1243" s="4" t="n">
        <v>330.5264</v>
      </c>
      <c r="H1243" s="4" t="n">
        <v>942.474</v>
      </c>
      <c r="I1243" s="4" t="n">
        <v>22.7925</v>
      </c>
      <c r="J1243" s="4" t="n">
        <v>22.7925</v>
      </c>
      <c r="K1243" s="4" t="n">
        <v>19.3825</v>
      </c>
      <c r="L1243" s="4" t="n">
        <v>20.44</v>
      </c>
      <c r="M1243" s="7" t="n">
        <v>-0.1032</v>
      </c>
    </row>
    <row r="1244">
      <c r="A1244" s="6" t="n">
        <v>45756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2940</v>
      </c>
      <c r="F1244" s="8" t="n">
        <v>3.1961</v>
      </c>
      <c r="G1244" s="4" t="n">
        <v>282.6434</v>
      </c>
      <c r="H1244" s="4" t="n">
        <v>809.7659</v>
      </c>
      <c r="I1244" s="4" t="n">
        <v>20.4425</v>
      </c>
      <c r="J1244" s="4" t="n">
        <v>21.7475</v>
      </c>
      <c r="K1244" s="4" t="n">
        <v>19.6975</v>
      </c>
      <c r="L1244" s="4" t="n">
        <v>21.43</v>
      </c>
      <c r="M1244" s="7" t="n">
        <v>0.0483</v>
      </c>
    </row>
    <row r="1245">
      <c r="A1245" s="6" t="n">
        <v>45758</v>
      </c>
      <c r="B1245" s="2" t="inlineStr">
        <is>
          <t>Friday</t>
        </is>
      </c>
      <c r="C1245" s="5" t="n">
        <v>45748</v>
      </c>
      <c r="D1245" s="2" t="inlineStr">
        <is>
          <t>Q1FY26</t>
        </is>
      </c>
      <c r="E1245" s="3" t="n">
        <v>2993</v>
      </c>
      <c r="F1245" s="8" t="n">
        <v>3.5265</v>
      </c>
      <c r="G1245" s="4" t="n">
        <v>327.6156</v>
      </c>
      <c r="H1245" s="4" t="n">
        <v>948.4981</v>
      </c>
      <c r="I1245" s="4" t="n">
        <v>21.43</v>
      </c>
      <c r="J1245" s="4" t="n">
        <v>21.43</v>
      </c>
      <c r="K1245" s="4" t="n">
        <v>18.855</v>
      </c>
      <c r="L1245" s="4" t="n">
        <v>20.11</v>
      </c>
      <c r="M1245" s="7" t="n">
        <v>-0.0616</v>
      </c>
    </row>
    <row r="1246">
      <c r="A1246" s="6" t="n">
        <v>45762</v>
      </c>
      <c r="B1246" s="2" t="inlineStr">
        <is>
          <t>Tuesday</t>
        </is>
      </c>
      <c r="C1246" s="5" t="n">
        <v>45748</v>
      </c>
      <c r="D1246" s="2" t="inlineStr">
        <is>
          <t>Q1FY26</t>
        </is>
      </c>
      <c r="E1246" s="3" t="n">
        <v>3053</v>
      </c>
      <c r="F1246" s="8" t="n">
        <v>3.6664</v>
      </c>
      <c r="G1246" s="4" t="n">
        <v>341.1863</v>
      </c>
      <c r="H1246" s="4" t="n">
        <v>1017.7139</v>
      </c>
      <c r="I1246" s="4" t="n">
        <v>20.1075</v>
      </c>
      <c r="J1246" s="4" t="n">
        <v>20.1075</v>
      </c>
      <c r="K1246" s="4" t="n">
        <v>15.9725</v>
      </c>
      <c r="L1246" s="4" t="n">
        <v>16.13</v>
      </c>
      <c r="M1246" s="7" t="n">
        <v>-0.1978</v>
      </c>
    </row>
    <row r="1247">
      <c r="A1247" s="6" t="n">
        <v>45763</v>
      </c>
      <c r="B1247" s="2" t="inlineStr">
        <is>
          <t>Wednesday</t>
        </is>
      </c>
      <c r="C1247" s="5" t="n">
        <v>45748</v>
      </c>
      <c r="D1247" s="2" t="inlineStr">
        <is>
          <t>Q1FY26</t>
        </is>
      </c>
      <c r="E1247" s="3" t="n">
        <v>3010</v>
      </c>
      <c r="F1247" s="8" t="n">
        <v>3.4334</v>
      </c>
      <c r="G1247" s="4" t="n">
        <v>342.0617</v>
      </c>
      <c r="H1247" s="4" t="n">
        <v>920.9985</v>
      </c>
      <c r="I1247" s="4" t="n">
        <v>16.125</v>
      </c>
      <c r="J1247" s="4" t="n">
        <v>16.125</v>
      </c>
      <c r="K1247" s="4" t="n">
        <v>15.115</v>
      </c>
      <c r="L1247" s="4" t="n">
        <v>15.87</v>
      </c>
      <c r="M1247" s="7" t="n">
        <v>-0.0158</v>
      </c>
    </row>
    <row r="1248">
      <c r="A1248" s="6" t="n">
        <v>45764</v>
      </c>
      <c r="B1248" s="2" t="inlineStr">
        <is>
          <t>Thursday</t>
        </is>
      </c>
      <c r="C1248" s="5" t="n">
        <v>45748</v>
      </c>
      <c r="D1248" s="2" t="inlineStr">
        <is>
          <t>Q1FY26</t>
        </is>
      </c>
      <c r="E1248" s="3" t="n">
        <v>3015</v>
      </c>
      <c r="F1248" s="8" t="n">
        <v>3.578</v>
      </c>
      <c r="G1248" s="4" t="n">
        <v>362.0072</v>
      </c>
      <c r="H1248" s="4" t="n">
        <v>1027.496</v>
      </c>
      <c r="I1248" s="4" t="n">
        <v>15.865</v>
      </c>
      <c r="J1248" s="4" t="n">
        <v>16.4625</v>
      </c>
      <c r="K1248" s="4" t="n">
        <v>15.09</v>
      </c>
      <c r="L1248" s="4" t="n">
        <v>15.47</v>
      </c>
      <c r="M1248" s="7" t="n">
        <v>-0.0249</v>
      </c>
    </row>
    <row r="1249">
      <c r="A1249" s="6" t="n">
        <v>45768</v>
      </c>
      <c r="B1249" s="2" t="inlineStr">
        <is>
          <t>Monday</t>
        </is>
      </c>
      <c r="C1249" s="5" t="n">
        <v>45748</v>
      </c>
      <c r="D1249" s="2" t="inlineStr">
        <is>
          <t>Q1FY26</t>
        </is>
      </c>
      <c r="E1249" s="3" t="n">
        <v>3053</v>
      </c>
      <c r="F1249" s="8" t="n">
        <v>3.7285</v>
      </c>
      <c r="G1249" s="4" t="n">
        <v>456.7954</v>
      </c>
      <c r="H1249" s="4" t="n">
        <v>1053.9609</v>
      </c>
      <c r="I1249" s="4" t="n">
        <v>15.4675</v>
      </c>
      <c r="J1249" s="4" t="n">
        <v>16.3325</v>
      </c>
      <c r="K1249" s="4" t="n">
        <v>14.2175</v>
      </c>
      <c r="L1249" s="4" t="n">
        <v>15.52</v>
      </c>
      <c r="M1249" s="7" t="n">
        <v>0.0034</v>
      </c>
    </row>
    <row r="1250">
      <c r="A1250" s="6" t="n">
        <v>45769</v>
      </c>
      <c r="B1250" s="2" t="inlineStr">
        <is>
          <t>Tuesday</t>
        </is>
      </c>
      <c r="C1250" s="5" t="n">
        <v>45748</v>
      </c>
      <c r="D1250" s="2" t="inlineStr">
        <is>
          <t>Q1FY26</t>
        </is>
      </c>
      <c r="E1250" s="3" t="n">
        <v>3021</v>
      </c>
      <c r="F1250" s="8" t="n">
        <v>3.5852</v>
      </c>
      <c r="G1250" s="4" t="n">
        <v>417.101</v>
      </c>
      <c r="H1250" s="4" t="n">
        <v>1090.8429</v>
      </c>
      <c r="I1250" s="4" t="n">
        <v>15.515</v>
      </c>
      <c r="J1250" s="4" t="n">
        <v>16.0075</v>
      </c>
      <c r="K1250" s="4" t="n">
        <v>14.54</v>
      </c>
      <c r="L1250" s="4" t="n">
        <v>15.23</v>
      </c>
      <c r="M1250" s="7" t="n">
        <v>-0.0184</v>
      </c>
    </row>
    <row r="1251">
      <c r="A1251" s="6" t="n">
        <v>45770</v>
      </c>
      <c r="B1251" s="2" t="inlineStr">
        <is>
          <t>Wednesday</t>
        </is>
      </c>
      <c r="C1251" s="5" t="n">
        <v>45748</v>
      </c>
      <c r="D1251" s="2" t="inlineStr">
        <is>
          <t>Q1FY26</t>
        </is>
      </c>
      <c r="E1251" s="3" t="n">
        <v>2970</v>
      </c>
      <c r="F1251" s="8" t="n">
        <v>3.6725</v>
      </c>
      <c r="G1251" s="4" t="n">
        <v>390.8493</v>
      </c>
      <c r="H1251" s="4" t="n">
        <v>1162.4544</v>
      </c>
      <c r="I1251" s="4" t="n">
        <v>15.23</v>
      </c>
      <c r="J1251" s="4" t="n">
        <v>16.5175</v>
      </c>
      <c r="K1251" s="4" t="n">
        <v>12.8425</v>
      </c>
      <c r="L1251" s="4" t="n">
        <v>15.96</v>
      </c>
      <c r="M1251" s="7" t="n">
        <v>0.0479</v>
      </c>
    </row>
    <row r="1252">
      <c r="A1252" s="6" t="n">
        <v>45771</v>
      </c>
      <c r="B1252" s="2" t="inlineStr">
        <is>
          <t>Thursday</t>
        </is>
      </c>
      <c r="C1252" s="5" t="n">
        <v>45748</v>
      </c>
      <c r="D1252" s="2" t="inlineStr">
        <is>
          <t>Q1FY26</t>
        </is>
      </c>
      <c r="E1252" s="3" t="n">
        <v>2967</v>
      </c>
      <c r="F1252" s="8" t="n">
        <v>3.4965</v>
      </c>
      <c r="G1252" s="4" t="n">
        <v>373.5689</v>
      </c>
      <c r="H1252" s="4" t="n">
        <v>1085.1896</v>
      </c>
      <c r="I1252" s="4" t="n">
        <v>15.96</v>
      </c>
      <c r="J1252" s="4" t="n">
        <v>16.7625</v>
      </c>
      <c r="K1252" s="4" t="n">
        <v>15.5525</v>
      </c>
      <c r="L1252" s="4" t="n">
        <v>16.25</v>
      </c>
      <c r="M1252" s="7" t="n">
        <v>0.0182</v>
      </c>
    </row>
    <row r="1253">
      <c r="A1253" s="6" t="n">
        <v>45772</v>
      </c>
      <c r="B1253" s="2" t="inlineStr">
        <is>
          <t>Friday</t>
        </is>
      </c>
      <c r="C1253" s="5" t="n">
        <v>45748</v>
      </c>
      <c r="D1253" s="2" t="inlineStr">
        <is>
          <t>Q1FY26</t>
        </is>
      </c>
      <c r="E1253" s="3" t="n">
        <v>2982</v>
      </c>
      <c r="F1253" s="8" t="n">
        <v>4.1761</v>
      </c>
      <c r="G1253" s="4" t="n">
        <v>537.2666</v>
      </c>
      <c r="H1253" s="4" t="n">
        <v>1138.5006</v>
      </c>
      <c r="I1253" s="4" t="n">
        <v>16.25</v>
      </c>
      <c r="J1253" s="4" t="n">
        <v>17.575</v>
      </c>
      <c r="K1253" s="4" t="n">
        <v>15.915</v>
      </c>
      <c r="L1253" s="4" t="n">
        <v>17.16</v>
      </c>
      <c r="M1253" s="7" t="n">
        <v>0.056</v>
      </c>
    </row>
    <row r="1254">
      <c r="A1254" s="6" t="n">
        <v>45775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3023</v>
      </c>
      <c r="F1254" s="8" t="n">
        <v>3.2747</v>
      </c>
      <c r="G1254" s="4" t="n">
        <v>298.4148</v>
      </c>
      <c r="H1254" s="4" t="n">
        <v>900.9931</v>
      </c>
      <c r="I1254" s="4" t="n">
        <v>17.1575</v>
      </c>
      <c r="J1254" s="4" t="n">
        <v>18.0725</v>
      </c>
      <c r="K1254" s="4" t="n">
        <v>16.6225</v>
      </c>
      <c r="L1254" s="4" t="n">
        <v>16.94</v>
      </c>
      <c r="M1254" s="7" t="n">
        <v>-0.0127</v>
      </c>
    </row>
    <row r="1255">
      <c r="A1255" s="6" t="n">
        <v>45776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2970</v>
      </c>
      <c r="F1255" s="8" t="n">
        <v>3.2359</v>
      </c>
      <c r="G1255" s="4" t="n">
        <v>311.283</v>
      </c>
      <c r="H1255" s="4" t="n">
        <v>1026.9654</v>
      </c>
      <c r="I1255" s="4" t="n">
        <v>16.94</v>
      </c>
      <c r="J1255" s="4" t="n">
        <v>17.585</v>
      </c>
      <c r="K1255" s="4" t="n">
        <v>16.065</v>
      </c>
      <c r="L1255" s="4" t="n">
        <v>17.37</v>
      </c>
      <c r="M1255" s="7" t="n">
        <v>0.0254</v>
      </c>
    </row>
    <row r="1256">
      <c r="A1256" s="6" t="n">
        <v>45777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2966</v>
      </c>
      <c r="F1256" s="8" t="n">
        <v>3.5895</v>
      </c>
      <c r="G1256" s="4" t="n">
        <v>306.6642</v>
      </c>
      <c r="H1256" s="4" t="n">
        <v>1100.8758</v>
      </c>
      <c r="I1256" s="4" t="n">
        <v>17.37</v>
      </c>
      <c r="J1256" s="4" t="n">
        <v>18.56</v>
      </c>
      <c r="K1256" s="4" t="n">
        <v>15.985</v>
      </c>
      <c r="L1256" s="4" t="n">
        <v>18.22</v>
      </c>
      <c r="M1256" s="7" t="n">
        <v>0.0489</v>
      </c>
    </row>
    <row r="1257">
      <c r="A1257" s="6" t="n">
        <v>45779</v>
      </c>
      <c r="B1257" s="2" t="inlineStr">
        <is>
          <t>Friday</t>
        </is>
      </c>
      <c r="C1257" s="5" t="n">
        <v>45778</v>
      </c>
      <c r="D1257" s="2" t="inlineStr">
        <is>
          <t>Q1FY26</t>
        </is>
      </c>
      <c r="E1257" s="3" t="n">
        <v>2977</v>
      </c>
      <c r="F1257" s="8" t="n">
        <v>3.5536</v>
      </c>
      <c r="G1257" s="4" t="n">
        <v>297.3997</v>
      </c>
      <c r="H1257" s="4" t="n">
        <v>1008.9516</v>
      </c>
      <c r="I1257" s="4" t="n">
        <v>18.2225</v>
      </c>
      <c r="J1257" s="4" t="n">
        <v>18.8625</v>
      </c>
      <c r="K1257" s="4" t="n">
        <v>17.35</v>
      </c>
      <c r="L1257" s="4" t="n">
        <v>18.26</v>
      </c>
      <c r="M1257" s="7" t="n">
        <v>0.0021</v>
      </c>
    </row>
    <row r="1258">
      <c r="A1258" s="6" t="n">
        <v>45782</v>
      </c>
      <c r="B1258" s="2" t="inlineStr">
        <is>
          <t>Monday</t>
        </is>
      </c>
      <c r="C1258" s="5" t="n">
        <v>45778</v>
      </c>
      <c r="D1258" s="2" t="inlineStr">
        <is>
          <t>Q1FY26</t>
        </is>
      </c>
      <c r="E1258" s="3" t="n">
        <v>3012</v>
      </c>
      <c r="F1258" s="8" t="n">
        <v>3.1303</v>
      </c>
      <c r="G1258" s="4" t="n">
        <v>293.7213</v>
      </c>
      <c r="H1258" s="4" t="n">
        <v>898.8527</v>
      </c>
      <c r="I1258" s="4" t="n">
        <v>18.2575</v>
      </c>
      <c r="J1258" s="4" t="n">
        <v>18.795</v>
      </c>
      <c r="K1258" s="4" t="n">
        <v>18.0675</v>
      </c>
      <c r="L1258" s="4" t="n">
        <v>18.34</v>
      </c>
      <c r="M1258" s="7" t="n">
        <v>0.0045</v>
      </c>
    </row>
    <row r="1259">
      <c r="A1259" s="6" t="n">
        <v>45783</v>
      </c>
      <c r="B1259" s="2" t="inlineStr">
        <is>
          <t>Tuesday</t>
        </is>
      </c>
      <c r="C1259" s="5" t="n">
        <v>45778</v>
      </c>
      <c r="D1259" s="2" t="inlineStr">
        <is>
          <t>Q1FY26</t>
        </is>
      </c>
      <c r="E1259" s="3" t="n">
        <v>2976</v>
      </c>
      <c r="F1259" s="8" t="n">
        <v>3.2311</v>
      </c>
      <c r="G1259" s="4" t="n">
        <v>330.3263</v>
      </c>
      <c r="H1259" s="4" t="n">
        <v>904.5416</v>
      </c>
      <c r="I1259" s="4" t="n">
        <v>18.3375</v>
      </c>
      <c r="J1259" s="4" t="n">
        <v>19.3025</v>
      </c>
      <c r="K1259" s="4" t="n">
        <v>17.9875</v>
      </c>
      <c r="L1259" s="4" t="n">
        <v>19</v>
      </c>
      <c r="M1259" s="7" t="n">
        <v>0.0361</v>
      </c>
    </row>
    <row r="1260">
      <c r="A1260" s="6" t="n">
        <v>45784</v>
      </c>
      <c r="B1260" s="2" t="inlineStr">
        <is>
          <t>Wednesday</t>
        </is>
      </c>
      <c r="C1260" s="5" t="n">
        <v>45778</v>
      </c>
      <c r="D1260" s="2" t="inlineStr">
        <is>
          <t>Q1FY26</t>
        </is>
      </c>
      <c r="E1260" s="3" t="n">
        <v>2938</v>
      </c>
      <c r="F1260" s="8" t="n">
        <v>3.4982</v>
      </c>
      <c r="G1260" s="4" t="n">
        <v>331.9694</v>
      </c>
      <c r="H1260" s="4" t="n">
        <v>1012.2347</v>
      </c>
      <c r="I1260" s="4" t="n">
        <v>18.995</v>
      </c>
      <c r="J1260" s="4" t="n">
        <v>19.73</v>
      </c>
      <c r="K1260" s="4" t="n">
        <v>18.365</v>
      </c>
      <c r="L1260" s="4" t="n">
        <v>19.06</v>
      </c>
      <c r="M1260" s="7" t="n">
        <v>0.0034</v>
      </c>
    </row>
    <row r="1261">
      <c r="A1261" s="6" t="n">
        <v>45785</v>
      </c>
      <c r="B1261" s="2" t="inlineStr">
        <is>
          <t>Thursday</t>
        </is>
      </c>
      <c r="C1261" s="5" t="n">
        <v>45778</v>
      </c>
      <c r="D1261" s="2" t="inlineStr">
        <is>
          <t>Q1FY26</t>
        </is>
      </c>
      <c r="E1261" s="3" t="n">
        <v>2963</v>
      </c>
      <c r="F1261" s="8" t="n">
        <v>3.5376</v>
      </c>
      <c r="G1261" s="4" t="n">
        <v>340.3645</v>
      </c>
      <c r="H1261" s="4" t="n">
        <v>1056.0586</v>
      </c>
      <c r="I1261" s="4" t="n">
        <v>19.06</v>
      </c>
      <c r="J1261" s="4" t="n">
        <v>21.8925</v>
      </c>
      <c r="K1261" s="4" t="n">
        <v>18.1525</v>
      </c>
      <c r="L1261" s="4" t="n">
        <v>21.01</v>
      </c>
      <c r="M1261" s="7" t="n">
        <v>0.1023</v>
      </c>
    </row>
    <row r="1262">
      <c r="A1262" s="6" t="n">
        <v>45786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2922</v>
      </c>
      <c r="F1262" s="8" t="n">
        <v>3.5231</v>
      </c>
      <c r="G1262" s="4" t="n">
        <v>387.6013</v>
      </c>
      <c r="H1262" s="4" t="n">
        <v>945.5076</v>
      </c>
      <c r="I1262" s="4" t="n">
        <v>21.0075</v>
      </c>
      <c r="J1262" s="4" t="n">
        <v>22.7475</v>
      </c>
      <c r="K1262" s="4" t="n">
        <v>21.0025</v>
      </c>
      <c r="L1262" s="4" t="n">
        <v>21.63</v>
      </c>
      <c r="M1262" s="7" t="n">
        <v>0.0296</v>
      </c>
    </row>
    <row r="1263">
      <c r="A1263" s="6" t="n">
        <v>45789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3036</v>
      </c>
      <c r="F1263" s="8" t="n">
        <v>3.5317</v>
      </c>
      <c r="G1263" s="4" t="n">
        <v>420.4112</v>
      </c>
      <c r="H1263" s="4" t="n">
        <v>1067.51</v>
      </c>
      <c r="I1263" s="4" t="n">
        <v>21.6325</v>
      </c>
      <c r="J1263" s="4" t="n">
        <v>21.6325</v>
      </c>
      <c r="K1263" s="4" t="n">
        <v>17.2075</v>
      </c>
      <c r="L1263" s="4" t="n">
        <v>18.39</v>
      </c>
      <c r="M1263" s="7" t="n">
        <v>-0.1499</v>
      </c>
    </row>
    <row r="1264">
      <c r="A1264" s="6" t="n">
        <v>45790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2982</v>
      </c>
      <c r="F1264" s="8" t="n">
        <v>3.6176</v>
      </c>
      <c r="G1264" s="4" t="n">
        <v>374.6879</v>
      </c>
      <c r="H1264" s="4" t="n">
        <v>1149.4287</v>
      </c>
      <c r="I1264" s="4" t="n">
        <v>18.3925</v>
      </c>
      <c r="J1264" s="4" t="n">
        <v>18.9025</v>
      </c>
      <c r="K1264" s="4" t="n">
        <v>17.8925</v>
      </c>
      <c r="L1264" s="4" t="n">
        <v>18.2</v>
      </c>
      <c r="M1264" s="7" t="n">
        <v>-0.0105</v>
      </c>
    </row>
    <row r="1265">
      <c r="A1265" s="6" t="n">
        <v>45791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2991</v>
      </c>
      <c r="F1265" s="8" t="n">
        <v>3.6707</v>
      </c>
      <c r="G1265" s="4" t="n">
        <v>376.3244</v>
      </c>
      <c r="H1265" s="4" t="n">
        <v>1158.69</v>
      </c>
      <c r="I1265" s="4" t="n">
        <v>18.2</v>
      </c>
      <c r="J1265" s="4" t="n">
        <v>19.2425</v>
      </c>
      <c r="K1265" s="4" t="n">
        <v>17.0825</v>
      </c>
      <c r="L1265" s="4" t="n">
        <v>17.23</v>
      </c>
      <c r="M1265" s="7" t="n">
        <v>-0.0533</v>
      </c>
    </row>
    <row r="1266">
      <c r="A1266" s="6" t="n">
        <v>45792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2969</v>
      </c>
      <c r="F1266" s="8" t="n">
        <v>3.7208</v>
      </c>
      <c r="G1266" s="4" t="n">
        <v>425.8452</v>
      </c>
      <c r="H1266" s="4" t="n">
        <v>1278.9061</v>
      </c>
      <c r="I1266" s="4" t="n">
        <v>17.225</v>
      </c>
      <c r="J1266" s="4" t="n">
        <v>17.6725</v>
      </c>
      <c r="K1266" s="4" t="n">
        <v>16.72</v>
      </c>
      <c r="L1266" s="4" t="n">
        <v>16.89</v>
      </c>
      <c r="M1266" s="7" t="n">
        <v>-0.0194</v>
      </c>
    </row>
    <row r="1267">
      <c r="A1267" s="6" t="n">
        <v>45793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2990</v>
      </c>
      <c r="F1267" s="8" t="n">
        <v>3.8325</v>
      </c>
      <c r="G1267" s="4" t="n">
        <v>460.5956</v>
      </c>
      <c r="H1267" s="4" t="n">
        <v>1498.1759</v>
      </c>
      <c r="I1267" s="4" t="n">
        <v>16.8925</v>
      </c>
      <c r="J1267" s="4" t="n">
        <v>17.055</v>
      </c>
      <c r="K1267" s="4" t="n">
        <v>16.215</v>
      </c>
      <c r="L1267" s="4" t="n">
        <v>16.55</v>
      </c>
      <c r="M1267" s="7" t="n">
        <v>-0.0203</v>
      </c>
    </row>
    <row r="1268">
      <c r="A1268" s="6" t="n">
        <v>45796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3026</v>
      </c>
      <c r="F1268" s="8" t="n">
        <v>3.7944</v>
      </c>
      <c r="G1268" s="4" t="n">
        <v>536.7226000000001</v>
      </c>
      <c r="H1268" s="4" t="n">
        <v>1161.1649</v>
      </c>
      <c r="I1268" s="4" t="n">
        <v>16.55</v>
      </c>
      <c r="J1268" s="4" t="n">
        <v>17.4475</v>
      </c>
      <c r="K1268" s="4" t="n">
        <v>15.8275</v>
      </c>
      <c r="L1268" s="4" t="n">
        <v>17.36</v>
      </c>
      <c r="M1268" s="7" t="n">
        <v>0.0489</v>
      </c>
    </row>
    <row r="1269">
      <c r="A1269" s="6" t="n">
        <v>45797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2993</v>
      </c>
      <c r="F1269" s="8" t="n">
        <v>3.6335</v>
      </c>
      <c r="G1269" s="4" t="n">
        <v>430.3736</v>
      </c>
      <c r="H1269" s="4" t="n">
        <v>1168.5089</v>
      </c>
      <c r="I1269" s="4" t="n">
        <v>17.355</v>
      </c>
      <c r="J1269" s="4" t="n">
        <v>17.66</v>
      </c>
      <c r="K1269" s="4" t="n">
        <v>15.9675</v>
      </c>
      <c r="L1269" s="4" t="n">
        <v>17.39</v>
      </c>
      <c r="M1269" s="7" t="n">
        <v>0.002</v>
      </c>
    </row>
    <row r="1270">
      <c r="A1270" s="6" t="n">
        <v>45798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2972</v>
      </c>
      <c r="F1270" s="8" t="n">
        <v>3.2456</v>
      </c>
      <c r="G1270" s="4" t="n">
        <v>374.6201</v>
      </c>
      <c r="H1270" s="4" t="n">
        <v>989.4836</v>
      </c>
      <c r="I1270" s="4" t="n">
        <v>17.385</v>
      </c>
      <c r="J1270" s="4" t="n">
        <v>17.9975</v>
      </c>
      <c r="K1270" s="4" t="n">
        <v>17.0425</v>
      </c>
      <c r="L1270" s="4" t="n">
        <v>17.55</v>
      </c>
      <c r="M1270" s="7" t="n">
        <v>0.0095</v>
      </c>
    </row>
    <row r="1271">
      <c r="A1271" s="6" t="n">
        <v>45799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2972</v>
      </c>
      <c r="F1271" s="8" t="n">
        <v>3.2585</v>
      </c>
      <c r="G1271" s="4" t="n">
        <v>347.766</v>
      </c>
      <c r="H1271" s="4" t="n">
        <v>1063.5519</v>
      </c>
      <c r="I1271" s="4" t="n">
        <v>17.5475</v>
      </c>
      <c r="J1271" s="4" t="n">
        <v>18.2025</v>
      </c>
      <c r="K1271" s="4" t="n">
        <v>16.705</v>
      </c>
      <c r="L1271" s="4" t="n">
        <v>17.26</v>
      </c>
      <c r="M1271" s="7" t="n">
        <v>-0.0164</v>
      </c>
    </row>
    <row r="1272">
      <c r="A1272" s="6" t="n">
        <v>45800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2975</v>
      </c>
      <c r="F1272" s="8" t="n">
        <v>3.1184</v>
      </c>
      <c r="G1272" s="4" t="n">
        <v>382.2241</v>
      </c>
      <c r="H1272" s="4" t="n">
        <v>952.4546</v>
      </c>
      <c r="I1272" s="4" t="n">
        <v>17.2575</v>
      </c>
      <c r="J1272" s="4" t="n">
        <v>17.5225</v>
      </c>
      <c r="K1272" s="4" t="n">
        <v>15.485</v>
      </c>
      <c r="L1272" s="4" t="n">
        <v>17.28</v>
      </c>
      <c r="M1272" s="7" t="n">
        <v>0.0013</v>
      </c>
    </row>
    <row r="1273">
      <c r="A1273" s="6" t="n">
        <v>45803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3008</v>
      </c>
      <c r="F1273" s="8" t="n">
        <v>3.2061</v>
      </c>
      <c r="G1273" s="4" t="n">
        <v>384.8196</v>
      </c>
      <c r="H1273" s="4" t="n">
        <v>931.7047</v>
      </c>
      <c r="I1273" s="4" t="n">
        <v>17.2775</v>
      </c>
      <c r="J1273" s="4" t="n">
        <v>18.4125</v>
      </c>
      <c r="K1273" s="4" t="n">
        <v>16.0575</v>
      </c>
      <c r="L1273" s="4" t="n">
        <v>18.02</v>
      </c>
      <c r="M1273" s="7" t="n">
        <v>0.043</v>
      </c>
    </row>
    <row r="1274">
      <c r="A1274" s="6" t="n">
        <v>45804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2983</v>
      </c>
      <c r="F1274" s="8" t="n">
        <v>3.2541</v>
      </c>
      <c r="G1274" s="4" t="n">
        <v>373.9355</v>
      </c>
      <c r="H1274" s="4" t="n">
        <v>1192.8546</v>
      </c>
      <c r="I1274" s="4" t="n">
        <v>18.02</v>
      </c>
      <c r="J1274" s="4" t="n">
        <v>19.185</v>
      </c>
      <c r="K1274" s="4" t="n">
        <v>17.42</v>
      </c>
      <c r="L1274" s="4" t="n">
        <v>18.54</v>
      </c>
      <c r="M1274" s="7" t="n">
        <v>0.0289</v>
      </c>
    </row>
    <row r="1275">
      <c r="A1275" s="6" t="n">
        <v>45805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2973</v>
      </c>
      <c r="F1275" s="8" t="n">
        <v>3.1773</v>
      </c>
      <c r="G1275" s="4" t="n">
        <v>486.4699</v>
      </c>
      <c r="H1275" s="4" t="n">
        <v>1125.3856</v>
      </c>
      <c r="I1275" s="4" t="n">
        <v>18.535</v>
      </c>
      <c r="J1275" s="4" t="n">
        <v>19.035</v>
      </c>
      <c r="K1275" s="4" t="n">
        <v>17.875</v>
      </c>
      <c r="L1275" s="4" t="n">
        <v>18.02</v>
      </c>
      <c r="M1275" s="7" t="n">
        <v>-0.0278</v>
      </c>
    </row>
    <row r="1276">
      <c r="A1276" s="6" t="n">
        <v>45806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2980</v>
      </c>
      <c r="F1276" s="8" t="n">
        <v>3.3671</v>
      </c>
      <c r="G1276" s="4" t="n">
        <v>384.7904</v>
      </c>
      <c r="H1276" s="4" t="n">
        <v>1073.7652</v>
      </c>
      <c r="I1276" s="4" t="n">
        <v>18.0175</v>
      </c>
      <c r="J1276" s="4" t="n">
        <v>18.0175</v>
      </c>
      <c r="K1276" s="4" t="n">
        <v>16.2075</v>
      </c>
      <c r="L1276" s="4" t="n">
        <v>16.42</v>
      </c>
      <c r="M1276" s="7" t="n">
        <v>-0.0887</v>
      </c>
    </row>
    <row r="1277">
      <c r="A1277" s="6" t="n">
        <v>45807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2986</v>
      </c>
      <c r="F1277" s="8" t="n">
        <v>3.8839</v>
      </c>
      <c r="G1277" s="4" t="n">
        <v>660.4694</v>
      </c>
      <c r="H1277" s="4" t="n">
        <v>1687.9474</v>
      </c>
      <c r="I1277" s="4" t="n">
        <v>16.42</v>
      </c>
      <c r="J1277" s="4" t="n">
        <v>16.545</v>
      </c>
      <c r="K1277" s="4" t="n">
        <v>15.2875</v>
      </c>
      <c r="L1277" s="4" t="n">
        <v>16.08</v>
      </c>
      <c r="M1277" s="7" t="n">
        <v>-0.0207</v>
      </c>
    </row>
    <row r="1278">
      <c r="A1278" s="6" t="n">
        <v>45810</v>
      </c>
      <c r="B1278" s="2" t="inlineStr">
        <is>
          <t>Monday</t>
        </is>
      </c>
      <c r="C1278" s="5" t="n">
        <v>45809</v>
      </c>
      <c r="D1278" s="2" t="inlineStr">
        <is>
          <t>Q1FY26</t>
        </is>
      </c>
      <c r="E1278" s="3" t="n">
        <v>3038</v>
      </c>
      <c r="F1278" s="8" t="n">
        <v>3.6654</v>
      </c>
      <c r="G1278" s="4" t="n">
        <v>527.0886</v>
      </c>
      <c r="H1278" s="4" t="n">
        <v>1077.0536</v>
      </c>
      <c r="I1278" s="4" t="n">
        <v>16.0775</v>
      </c>
      <c r="J1278" s="4" t="n">
        <v>17.7275</v>
      </c>
      <c r="K1278" s="4" t="n">
        <v>16.0775</v>
      </c>
      <c r="L1278" s="4" t="n">
        <v>17.16</v>
      </c>
      <c r="M1278" s="7" t="n">
        <v>0.0673</v>
      </c>
    </row>
    <row r="1279">
      <c r="A1279" s="6" t="n">
        <v>45811</v>
      </c>
      <c r="B1279" s="2" t="inlineStr">
        <is>
          <t>Tuesday</t>
        </is>
      </c>
      <c r="C1279" s="5" t="n">
        <v>45809</v>
      </c>
      <c r="D1279" s="2" t="inlineStr">
        <is>
          <t>Q1FY26</t>
        </is>
      </c>
      <c r="E1279" s="3" t="n">
        <v>3025</v>
      </c>
      <c r="F1279" s="8" t="n">
        <v>3.6194</v>
      </c>
      <c r="G1279" s="4" t="n">
        <v>579.3728</v>
      </c>
      <c r="H1279" s="4" t="n">
        <v>1162.1191</v>
      </c>
      <c r="I1279" s="4" t="n">
        <v>17.1575</v>
      </c>
      <c r="J1279" s="4" t="n">
        <v>17.7275</v>
      </c>
      <c r="K1279" s="4" t="n">
        <v>16.2575</v>
      </c>
      <c r="L1279" s="4" t="n">
        <v>16.56</v>
      </c>
      <c r="M1279" s="7" t="n">
        <v>-0.0348</v>
      </c>
    </row>
    <row r="1280">
      <c r="A1280" s="6" t="n">
        <v>45812</v>
      </c>
      <c r="B1280" s="2" t="inlineStr">
        <is>
          <t>Wednesday</t>
        </is>
      </c>
      <c r="C1280" s="5" t="n">
        <v>45809</v>
      </c>
      <c r="D1280" s="2" t="inlineStr">
        <is>
          <t>Q1FY26</t>
        </is>
      </c>
      <c r="E1280" s="3" t="n">
        <v>3004</v>
      </c>
      <c r="F1280" s="8" t="n">
        <v>3.3412</v>
      </c>
      <c r="G1280" s="4" t="n">
        <v>439.136</v>
      </c>
      <c r="H1280" s="4" t="n">
        <v>1108.4002</v>
      </c>
      <c r="I1280" s="4" t="n">
        <v>16.555</v>
      </c>
      <c r="J1280" s="4" t="n">
        <v>17.06</v>
      </c>
      <c r="K1280" s="4" t="n">
        <v>15.63</v>
      </c>
      <c r="L1280" s="4" t="n">
        <v>15.75</v>
      </c>
      <c r="M1280" s="7" t="n">
        <v>-0.0486</v>
      </c>
    </row>
    <row r="1281">
      <c r="A1281" s="6" t="n">
        <v>45813</v>
      </c>
      <c r="B1281" s="2" t="inlineStr">
        <is>
          <t>Thursday</t>
        </is>
      </c>
      <c r="C1281" s="5" t="n">
        <v>45809</v>
      </c>
      <c r="D1281" s="2" t="inlineStr">
        <is>
          <t>Q1FY26</t>
        </is>
      </c>
      <c r="E1281" s="3" t="n">
        <v>2995</v>
      </c>
      <c r="F1281" s="8" t="n">
        <v>3.4199</v>
      </c>
      <c r="G1281" s="4" t="n">
        <v>396.0329</v>
      </c>
      <c r="H1281" s="4" t="n">
        <v>1171.1584</v>
      </c>
      <c r="I1281" s="4" t="n">
        <v>15.745</v>
      </c>
      <c r="J1281" s="4" t="n">
        <v>15.9325</v>
      </c>
      <c r="K1281" s="4" t="n">
        <v>14.9825</v>
      </c>
      <c r="L1281" s="4" t="n">
        <v>15.08</v>
      </c>
      <c r="M1281" s="7" t="n">
        <v>-0.0422</v>
      </c>
    </row>
    <row r="1282">
      <c r="A1282" s="6" t="n">
        <v>45814</v>
      </c>
      <c r="B1282" s="2" t="inlineStr">
        <is>
          <t>Friday</t>
        </is>
      </c>
      <c r="C1282" s="5" t="n">
        <v>45809</v>
      </c>
      <c r="D1282" s="2" t="inlineStr">
        <is>
          <t>Q1FY26</t>
        </is>
      </c>
      <c r="E1282" s="3" t="n">
        <v>3020</v>
      </c>
      <c r="F1282" s="8" t="n">
        <v>3.628</v>
      </c>
      <c r="G1282" s="4" t="n">
        <v>444.921</v>
      </c>
      <c r="H1282" s="4" t="n">
        <v>1325.4083</v>
      </c>
      <c r="I1282" s="4" t="n">
        <v>15.0825</v>
      </c>
      <c r="J1282" s="4" t="n">
        <v>15.61</v>
      </c>
      <c r="K1282" s="4" t="n">
        <v>14.3675</v>
      </c>
      <c r="L1282" s="4" t="n">
        <v>14.63</v>
      </c>
      <c r="M1282" s="7" t="n">
        <v>-0.03</v>
      </c>
    </row>
    <row r="1283">
      <c r="A1283" s="6" t="n">
        <v>45817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3081</v>
      </c>
      <c r="F1283" s="8" t="n">
        <v>3.6138</v>
      </c>
      <c r="G1283" s="4" t="n">
        <v>521.0851</v>
      </c>
      <c r="H1283" s="4" t="n">
        <v>1177.4556</v>
      </c>
      <c r="I1283" s="4" t="n">
        <v>14.63</v>
      </c>
      <c r="J1283" s="4" t="n">
        <v>15.52</v>
      </c>
      <c r="K1283" s="4" t="n">
        <v>14.63</v>
      </c>
      <c r="L1283" s="4" t="n">
        <v>14.69</v>
      </c>
      <c r="M1283" s="7" t="n">
        <v>0.0041</v>
      </c>
    </row>
    <row r="1284">
      <c r="A1284" s="6" t="n">
        <v>45818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3013</v>
      </c>
      <c r="F1284" s="8" t="n">
        <v>3.4684</v>
      </c>
      <c r="G1284" s="4" t="n">
        <v>498.0768</v>
      </c>
      <c r="H1284" s="4" t="n">
        <v>1158.6294</v>
      </c>
      <c r="I1284" s="4" t="n">
        <v>14.6925</v>
      </c>
      <c r="J1284" s="4" t="n">
        <v>14.74</v>
      </c>
      <c r="K1284" s="4" t="n">
        <v>13.9325</v>
      </c>
      <c r="L1284" s="4" t="n">
        <v>14.02</v>
      </c>
      <c r="M1284" s="7" t="n">
        <v>-0.0458</v>
      </c>
    </row>
    <row r="1285">
      <c r="A1285" s="6" t="n">
        <v>45819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3028</v>
      </c>
      <c r="F1285" s="8" t="n">
        <v>3.8583</v>
      </c>
      <c r="G1285" s="4" t="n">
        <v>677.3573</v>
      </c>
      <c r="H1285" s="4" t="n">
        <v>1242.3201</v>
      </c>
      <c r="I1285" s="4" t="n">
        <v>14.015</v>
      </c>
      <c r="J1285" s="4" t="n">
        <v>14.155</v>
      </c>
      <c r="K1285" s="4" t="n">
        <v>13.5575</v>
      </c>
      <c r="L1285" s="4" t="n">
        <v>13.67</v>
      </c>
      <c r="M1285" s="7" t="n">
        <v>-0.0246</v>
      </c>
    </row>
    <row r="1286">
      <c r="A1286" s="6" t="n">
        <v>45820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2992</v>
      </c>
      <c r="F1286" s="8" t="n">
        <v>3.6876</v>
      </c>
      <c r="G1286" s="4" t="n">
        <v>570.8044</v>
      </c>
      <c r="H1286" s="4" t="n">
        <v>1175.8076</v>
      </c>
      <c r="I1286" s="4" t="n">
        <v>13.6675</v>
      </c>
      <c r="J1286" s="4" t="n">
        <v>14.2725</v>
      </c>
      <c r="K1286" s="4" t="n">
        <v>13.13</v>
      </c>
      <c r="L1286" s="4" t="n">
        <v>14.02</v>
      </c>
      <c r="M1286" s="7" t="n">
        <v>0.0258</v>
      </c>
    </row>
    <row r="1287">
      <c r="A1287" s="6" t="n">
        <v>45821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2992</v>
      </c>
      <c r="F1287" s="8" t="n">
        <v>3.5011</v>
      </c>
      <c r="G1287" s="4" t="n">
        <v>478.103</v>
      </c>
      <c r="H1287" s="4" t="n">
        <v>1049.818</v>
      </c>
      <c r="I1287" s="4" t="n">
        <v>14.015</v>
      </c>
      <c r="J1287" s="4" t="n">
        <v>15.975</v>
      </c>
      <c r="K1287" s="4" t="n">
        <v>14.015</v>
      </c>
      <c r="L1287" s="4" t="n">
        <v>15.08</v>
      </c>
      <c r="M1287" s="7" t="n">
        <v>0.076</v>
      </c>
    </row>
    <row r="1288">
      <c r="A1288" s="6" t="n">
        <v>45824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3042</v>
      </c>
      <c r="F1288" s="8" t="n">
        <v>3.1582</v>
      </c>
      <c r="G1288" s="4" t="n">
        <v>426.807</v>
      </c>
      <c r="H1288" s="4" t="n">
        <v>911.2068</v>
      </c>
      <c r="I1288" s="4" t="n">
        <v>15.08</v>
      </c>
      <c r="J1288" s="4" t="n">
        <v>15.4725</v>
      </c>
      <c r="K1288" s="4" t="n">
        <v>14.5525</v>
      </c>
      <c r="L1288" s="4" t="n">
        <v>14.84</v>
      </c>
      <c r="M1288" s="7" t="n">
        <v>-0.0159</v>
      </c>
    </row>
    <row r="1289">
      <c r="A1289" s="6" t="n">
        <v>45825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2995</v>
      </c>
      <c r="F1289" s="8" t="n">
        <v>3.044</v>
      </c>
      <c r="G1289" s="4" t="n">
        <v>459.4963</v>
      </c>
      <c r="H1289" s="4" t="n">
        <v>1031.0895</v>
      </c>
      <c r="I1289" s="4" t="n">
        <v>14.8375</v>
      </c>
      <c r="J1289" s="4" t="n">
        <v>15.0225</v>
      </c>
      <c r="K1289" s="4" t="n">
        <v>14.3</v>
      </c>
      <c r="L1289" s="4" t="n">
        <v>14.4</v>
      </c>
      <c r="M1289" s="7" t="n">
        <v>-0.0295</v>
      </c>
    </row>
    <row r="1290">
      <c r="A1290" s="6" t="n">
        <v>45826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2993</v>
      </c>
      <c r="F1290" s="8" t="n">
        <v>2.8589</v>
      </c>
      <c r="G1290" s="4" t="n">
        <v>355.5097</v>
      </c>
      <c r="H1290" s="4" t="n">
        <v>898.9268</v>
      </c>
      <c r="I1290" s="4" t="n">
        <v>14.4025</v>
      </c>
      <c r="J1290" s="4" t="n">
        <v>14.8175</v>
      </c>
      <c r="K1290" s="4" t="n">
        <v>14.105</v>
      </c>
      <c r="L1290" s="4" t="n">
        <v>14.28</v>
      </c>
      <c r="M1290" s="7" t="n">
        <v>-0.008500000000000001</v>
      </c>
    </row>
    <row r="1291">
      <c r="A1291" s="6" t="n">
        <v>45827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2986</v>
      </c>
      <c r="F1291" s="8" t="n">
        <v>3.2245</v>
      </c>
      <c r="G1291" s="4" t="n">
        <v>403.7584</v>
      </c>
      <c r="H1291" s="4" t="n">
        <v>903.7746</v>
      </c>
      <c r="I1291" s="4" t="n">
        <v>14.275</v>
      </c>
      <c r="J1291" s="4" t="n">
        <v>14.37</v>
      </c>
      <c r="K1291" s="4" t="n">
        <v>13.74</v>
      </c>
      <c r="L1291" s="4" t="n">
        <v>14.26</v>
      </c>
      <c r="M1291" s="7" t="n">
        <v>-0.0011</v>
      </c>
    </row>
    <row r="1292">
      <c r="A1292" s="6" t="n">
        <v>45828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2989</v>
      </c>
      <c r="F1292" s="8" t="n">
        <v>3.7024</v>
      </c>
      <c r="G1292" s="4" t="n">
        <v>491.9413</v>
      </c>
      <c r="H1292" s="4" t="n">
        <v>1590.9727</v>
      </c>
      <c r="I1292" s="4" t="n">
        <v>14.255</v>
      </c>
      <c r="J1292" s="4" t="n">
        <v>14.255</v>
      </c>
      <c r="K1292" s="4" t="n">
        <v>13.3225</v>
      </c>
      <c r="L1292" s="4" t="n">
        <v>13.67</v>
      </c>
      <c r="M1292" s="7" t="n">
        <v>-0.041</v>
      </c>
    </row>
    <row r="1293">
      <c r="A1293" s="6" t="n">
        <v>45831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3019</v>
      </c>
      <c r="F1293" s="8" t="n">
        <v>3.0176</v>
      </c>
      <c r="G1293" s="4" t="n">
        <v>338.0346</v>
      </c>
      <c r="H1293" s="4" t="n">
        <v>907.7526</v>
      </c>
      <c r="I1293" s="4" t="n">
        <v>13.6725</v>
      </c>
      <c r="J1293" s="4" t="n">
        <v>14.5225</v>
      </c>
      <c r="K1293" s="4" t="n">
        <v>13.6625</v>
      </c>
      <c r="L1293" s="4" t="n">
        <v>14.05</v>
      </c>
      <c r="M1293" s="7" t="n">
        <v>0.0276</v>
      </c>
    </row>
    <row r="1294">
      <c r="A1294" s="6" t="n">
        <v>45832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3002</v>
      </c>
      <c r="F1294" s="8" t="n">
        <v>3.4645</v>
      </c>
      <c r="G1294" s="4" t="n">
        <v>452.1677</v>
      </c>
      <c r="H1294" s="4" t="n">
        <v>1115.9412</v>
      </c>
      <c r="I1294" s="4" t="n">
        <v>14.0475</v>
      </c>
      <c r="J1294" s="4" t="n">
        <v>14.3425</v>
      </c>
      <c r="K1294" s="4" t="n">
        <v>13.3075</v>
      </c>
      <c r="L1294" s="4" t="n">
        <v>13.64</v>
      </c>
      <c r="M1294" s="7" t="n">
        <v>-0.029</v>
      </c>
    </row>
    <row r="1295">
      <c r="A1295" s="6" t="n">
        <v>45833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3012</v>
      </c>
      <c r="F1295" s="8" t="n">
        <v>3.3685</v>
      </c>
      <c r="G1295" s="4" t="n">
        <v>486.78</v>
      </c>
      <c r="H1295" s="4" t="n">
        <v>1016.5764</v>
      </c>
      <c r="I1295" s="4" t="n">
        <v>13.6425</v>
      </c>
      <c r="J1295" s="4" t="n">
        <v>13.6425</v>
      </c>
      <c r="K1295" s="4" t="n">
        <v>12.9</v>
      </c>
      <c r="L1295" s="4" t="n">
        <v>12.96</v>
      </c>
      <c r="M1295" s="7" t="n">
        <v>-0.05</v>
      </c>
    </row>
    <row r="1296">
      <c r="A1296" s="6" t="n">
        <v>45834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3005</v>
      </c>
      <c r="F1296" s="8" t="n">
        <v>3.4221</v>
      </c>
      <c r="G1296" s="4" t="n">
        <v>446.0474</v>
      </c>
      <c r="H1296" s="4" t="n">
        <v>1185.7967</v>
      </c>
      <c r="I1296" s="4" t="n">
        <v>12.9625</v>
      </c>
      <c r="J1296" s="4" t="n">
        <v>13.33</v>
      </c>
      <c r="K1296" s="4" t="n">
        <v>12.515</v>
      </c>
      <c r="L1296" s="4" t="n">
        <v>12.59</v>
      </c>
      <c r="M1296" s="7" t="n">
        <v>-0.0287</v>
      </c>
    </row>
    <row r="1297">
      <c r="A1297" s="6" t="n">
        <v>45835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3004</v>
      </c>
      <c r="F1297" s="8" t="n">
        <v>3.9987</v>
      </c>
      <c r="G1297" s="4" t="n">
        <v>504.9651</v>
      </c>
      <c r="H1297" s="4" t="n">
        <v>1530.35</v>
      </c>
      <c r="I1297" s="4" t="n">
        <v>12.59</v>
      </c>
      <c r="J1297" s="4" t="n">
        <v>12.9225</v>
      </c>
      <c r="K1297" s="4" t="n">
        <v>12.3225</v>
      </c>
      <c r="L1297" s="4" t="n">
        <v>12.39</v>
      </c>
      <c r="M1297" s="7" t="n">
        <v>-0.0159</v>
      </c>
    </row>
    <row r="1298">
      <c r="A1298" s="6" t="n">
        <v>45838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3066</v>
      </c>
      <c r="F1298" s="8" t="n">
        <v>3.6152</v>
      </c>
      <c r="G1298" s="4" t="n">
        <v>440.4113</v>
      </c>
      <c r="H1298" s="4" t="n">
        <v>1081.9176</v>
      </c>
      <c r="I1298" s="4" t="n">
        <v>12.3875</v>
      </c>
      <c r="J1298" s="4" t="n">
        <v>13.0275</v>
      </c>
      <c r="K1298" s="4" t="n">
        <v>12.3875</v>
      </c>
      <c r="L1298" s="4" t="n">
        <v>12.79</v>
      </c>
      <c r="M1298" s="7" t="n">
        <v>0.0325</v>
      </c>
    </row>
    <row r="1299">
      <c r="A1299" s="6" t="n">
        <v>45839</v>
      </c>
      <c r="B1299" s="2" t="inlineStr">
        <is>
          <t>Tuesday</t>
        </is>
      </c>
      <c r="C1299" s="5" t="n">
        <v>45839</v>
      </c>
      <c r="D1299" s="2" t="inlineStr">
        <is>
          <t>Q2FY26</t>
        </is>
      </c>
      <c r="E1299" s="3" t="n">
        <v>3038</v>
      </c>
      <c r="F1299" s="8" t="n">
        <v>3.3699</v>
      </c>
      <c r="G1299" s="4" t="n">
        <v>438.0436</v>
      </c>
      <c r="H1299" s="4" t="n">
        <v>1008.3971</v>
      </c>
      <c r="I1299" s="4" t="n">
        <v>12.785</v>
      </c>
      <c r="J1299" s="4" t="n">
        <v>12.9925</v>
      </c>
      <c r="K1299" s="4" t="n">
        <v>12.4375</v>
      </c>
      <c r="L1299" s="4" t="n">
        <v>12.53</v>
      </c>
      <c r="M1299" s="7" t="n">
        <v>-0.0199</v>
      </c>
    </row>
    <row r="1300">
      <c r="A1300" s="6" t="n">
        <v>45840</v>
      </c>
      <c r="B1300" s="2" t="inlineStr">
        <is>
          <t>Wednesday</t>
        </is>
      </c>
      <c r="C1300" s="5" t="n">
        <v>45839</v>
      </c>
      <c r="D1300" s="2" t="inlineStr">
        <is>
          <t>Q2FY26</t>
        </is>
      </c>
      <c r="E1300" s="3" t="n">
        <v>3052</v>
      </c>
      <c r="F1300" s="8" t="n">
        <v>3.3704</v>
      </c>
      <c r="G1300" s="4" t="n">
        <v>447.4467</v>
      </c>
      <c r="H1300" s="4" t="n">
        <v>1051.1716</v>
      </c>
      <c r="I1300" s="4" t="n">
        <v>12.5275</v>
      </c>
      <c r="J1300" s="4" t="n">
        <v>12.6625</v>
      </c>
      <c r="K1300" s="4" t="n">
        <v>12.34</v>
      </c>
      <c r="L1300" s="4" t="n">
        <v>12.45</v>
      </c>
      <c r="M1300" s="7" t="n">
        <v>-0.0062</v>
      </c>
    </row>
    <row r="1301">
      <c r="A1301" s="6" t="n">
        <v>45841</v>
      </c>
      <c r="B1301" s="2" t="inlineStr">
        <is>
          <t>Thursday</t>
        </is>
      </c>
      <c r="C1301" s="5" t="n">
        <v>45839</v>
      </c>
      <c r="D1301" s="2" t="inlineStr">
        <is>
          <t>Q2FY26</t>
        </is>
      </c>
      <c r="E1301" s="3" t="n">
        <v>3050</v>
      </c>
      <c r="F1301" s="8" t="n">
        <v>3.0985</v>
      </c>
      <c r="G1301" s="4" t="n">
        <v>395.5503</v>
      </c>
      <c r="H1301" s="4" t="n">
        <v>967.3882</v>
      </c>
      <c r="I1301" s="4" t="n">
        <v>12.445</v>
      </c>
      <c r="J1301" s="4" t="n">
        <v>12.66</v>
      </c>
      <c r="K1301" s="4" t="n">
        <v>12.19</v>
      </c>
      <c r="L1301" s="4" t="n">
        <v>12.39</v>
      </c>
      <c r="M1301" s="7" t="n">
        <v>-0.0044</v>
      </c>
    </row>
    <row r="1302">
      <c r="A1302" s="6" t="n">
        <v>45842</v>
      </c>
      <c r="B1302" s="2" t="inlineStr">
        <is>
          <t>Friday</t>
        </is>
      </c>
      <c r="C1302" s="5" t="n">
        <v>45839</v>
      </c>
      <c r="D1302" s="2" t="inlineStr">
        <is>
          <t>Q2FY26</t>
        </is>
      </c>
      <c r="E1302" s="3" t="n">
        <v>3037</v>
      </c>
      <c r="F1302" s="8" t="n">
        <v>2.9784</v>
      </c>
      <c r="G1302" s="4" t="n">
        <v>363.5868</v>
      </c>
      <c r="H1302" s="4" t="n">
        <v>888.2082</v>
      </c>
      <c r="I1302" s="4" t="n">
        <v>12.385</v>
      </c>
      <c r="J1302" s="4" t="n">
        <v>12.6975</v>
      </c>
      <c r="K1302" s="4" t="n">
        <v>12.24</v>
      </c>
      <c r="L1302" s="4" t="n">
        <v>12.32</v>
      </c>
      <c r="M1302" s="7" t="n">
        <v>-0.0052</v>
      </c>
    </row>
    <row r="1303">
      <c r="A1303" s="6" t="n">
        <v>45845</v>
      </c>
      <c r="B1303" s="2" t="inlineStr">
        <is>
          <t>Monday</t>
        </is>
      </c>
      <c r="C1303" s="5" t="n">
        <v>45839</v>
      </c>
      <c r="D1303" s="2" t="inlineStr">
        <is>
          <t>Q2FY26</t>
        </is>
      </c>
      <c r="E1303" s="3" t="n">
        <v>3076</v>
      </c>
      <c r="F1303" s="8" t="n">
        <v>2.8764</v>
      </c>
      <c r="G1303" s="4" t="n">
        <v>460.4579</v>
      </c>
      <c r="H1303" s="4" t="n">
        <v>769.162</v>
      </c>
      <c r="I1303" s="4" t="n">
        <v>12.315</v>
      </c>
      <c r="J1303" s="4" t="n">
        <v>12.79</v>
      </c>
      <c r="K1303" s="4" t="n">
        <v>11.94</v>
      </c>
      <c r="L1303" s="4" t="n">
        <v>12.56</v>
      </c>
      <c r="M1303" s="7" t="n">
        <v>0.0199</v>
      </c>
    </row>
    <row r="1304">
      <c r="A1304" s="6" t="n">
        <v>45846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3042</v>
      </c>
      <c r="F1304" s="8" t="n">
        <v>3.1432</v>
      </c>
      <c r="G1304" s="4" t="n">
        <v>475.3933</v>
      </c>
      <c r="H1304" s="4" t="n">
        <v>910.4419</v>
      </c>
      <c r="I1304" s="4" t="n">
        <v>12.56</v>
      </c>
      <c r="J1304" s="4" t="n">
        <v>12.71</v>
      </c>
      <c r="K1304" s="4" t="n">
        <v>12.055</v>
      </c>
      <c r="L1304" s="4" t="n">
        <v>12.2</v>
      </c>
      <c r="M1304" s="7" t="n">
        <v>-0.0287</v>
      </c>
    </row>
    <row r="1305">
      <c r="A1305" s="6" t="n">
        <v>45847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3045</v>
      </c>
      <c r="F1305" s="8" t="n">
        <v>3.1563</v>
      </c>
      <c r="G1305" s="4" t="n">
        <v>423.4742</v>
      </c>
      <c r="H1305" s="4" t="n">
        <v>953.0569</v>
      </c>
      <c r="I1305" s="4" t="n">
        <v>12.195</v>
      </c>
      <c r="J1305" s="4" t="n">
        <v>12.355</v>
      </c>
      <c r="K1305" s="4" t="n">
        <v>11.75</v>
      </c>
      <c r="L1305" s="4" t="n">
        <v>11.94</v>
      </c>
      <c r="M1305" s="7" t="n">
        <v>-0.0209</v>
      </c>
    </row>
    <row r="1306">
      <c r="A1306" s="6" t="n">
        <v>45848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3027</v>
      </c>
      <c r="F1306" s="8" t="n">
        <v>2.9277</v>
      </c>
      <c r="G1306" s="4" t="n">
        <v>403.9674</v>
      </c>
      <c r="H1306" s="4" t="n">
        <v>866.5023</v>
      </c>
      <c r="I1306" s="4" t="n">
        <v>11.94</v>
      </c>
      <c r="J1306" s="4" t="n">
        <v>12.1875</v>
      </c>
      <c r="K1306" s="4" t="n">
        <v>11.6125</v>
      </c>
      <c r="L1306" s="4" t="n">
        <v>11.67</v>
      </c>
      <c r="M1306" s="7" t="n">
        <v>-0.0226</v>
      </c>
    </row>
    <row r="1307">
      <c r="A1307" s="6" t="n">
        <v>45849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3029</v>
      </c>
      <c r="F1307" s="8" t="n">
        <v>3.1859</v>
      </c>
      <c r="G1307" s="4" t="n">
        <v>392.2041</v>
      </c>
      <c r="H1307" s="4" t="n">
        <v>979.0073</v>
      </c>
      <c r="I1307" s="4" t="n">
        <v>11.6725</v>
      </c>
      <c r="J1307" s="4" t="n">
        <v>12.1225</v>
      </c>
      <c r="K1307" s="4" t="n">
        <v>11.535</v>
      </c>
      <c r="L1307" s="4" t="n">
        <v>11.82</v>
      </c>
      <c r="M1307" s="7" t="n">
        <v>0.0126</v>
      </c>
    </row>
    <row r="1308">
      <c r="A1308" s="6" t="n">
        <v>45852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3110</v>
      </c>
      <c r="F1308" s="8" t="n">
        <v>3.2606</v>
      </c>
      <c r="G1308" s="4" t="n">
        <v>555.72</v>
      </c>
      <c r="H1308" s="4" t="n">
        <v>995.9777</v>
      </c>
      <c r="I1308" s="4" t="n">
        <v>11.8175</v>
      </c>
      <c r="J1308" s="4" t="n">
        <v>12.42</v>
      </c>
      <c r="K1308" s="4" t="n">
        <v>11.8175</v>
      </c>
      <c r="L1308" s="4" t="n">
        <v>11.98</v>
      </c>
      <c r="M1308" s="7" t="n">
        <v>0.0138</v>
      </c>
    </row>
    <row r="1309">
      <c r="A1309" s="6" t="n">
        <v>45853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3037</v>
      </c>
      <c r="F1309" s="8" t="n">
        <v>3.2388</v>
      </c>
      <c r="G1309" s="4" t="n">
        <v>420.3285</v>
      </c>
      <c r="H1309" s="4" t="n">
        <v>963.0203</v>
      </c>
      <c r="I1309" s="4" t="n">
        <v>11.98</v>
      </c>
      <c r="J1309" s="4" t="n">
        <v>12.025</v>
      </c>
      <c r="K1309" s="4" t="n">
        <v>11.405</v>
      </c>
      <c r="L1309" s="4" t="n">
        <v>11.48</v>
      </c>
      <c r="M1309" s="7" t="n">
        <v>-0.0417</v>
      </c>
    </row>
    <row r="1310">
      <c r="A1310" s="6" t="n">
        <v>45854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3035</v>
      </c>
      <c r="F1310" s="8" t="n">
        <v>3.1313</v>
      </c>
      <c r="G1310" s="4" t="n">
        <v>435.0497</v>
      </c>
      <c r="H1310" s="4" t="n">
        <v>947.3764</v>
      </c>
      <c r="I1310" s="4" t="n">
        <v>11.48</v>
      </c>
      <c r="J1310" s="4" t="n">
        <v>11.6675</v>
      </c>
      <c r="K1310" s="4" t="n">
        <v>11.1975</v>
      </c>
      <c r="L1310" s="4" t="n">
        <v>11.24</v>
      </c>
      <c r="M1310" s="7" t="n">
        <v>-0.0209</v>
      </c>
    </row>
    <row r="1311">
      <c r="A1311" s="6" t="n">
        <v>45855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3047</v>
      </c>
      <c r="F1311" s="8" t="n">
        <v>3.097</v>
      </c>
      <c r="G1311" s="4" t="n">
        <v>377.6041</v>
      </c>
      <c r="H1311" s="4" t="n">
        <v>952.7151</v>
      </c>
      <c r="I1311" s="4" t="n">
        <v>11.24</v>
      </c>
      <c r="J1311" s="4" t="n">
        <v>11.5425</v>
      </c>
      <c r="K1311" s="4" t="n">
        <v>10.7275</v>
      </c>
      <c r="L1311" s="4" t="n">
        <v>11.24</v>
      </c>
      <c r="M1311" s="7" t="n">
        <v>0</v>
      </c>
    </row>
    <row r="1312">
      <c r="A1312" s="6" t="n">
        <v>45856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3059</v>
      </c>
      <c r="F1312" s="8" t="n">
        <v>3.1067</v>
      </c>
      <c r="G1312" s="4" t="n">
        <v>343.7363</v>
      </c>
      <c r="H1312" s="4" t="n">
        <v>931.1596</v>
      </c>
      <c r="I1312" s="4" t="n">
        <v>11.2425</v>
      </c>
      <c r="J1312" s="4" t="n">
        <v>11.86</v>
      </c>
      <c r="K1312" s="4" t="n">
        <v>9.9</v>
      </c>
      <c r="L1312" s="4" t="n">
        <v>11.39</v>
      </c>
      <c r="M1312" s="7" t="n">
        <v>0.0131</v>
      </c>
    </row>
    <row r="1313">
      <c r="A1313" s="6" t="n">
        <v>45859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3094</v>
      </c>
      <c r="F1313" s="8" t="n">
        <v>3.2152</v>
      </c>
      <c r="G1313" s="4" t="n">
        <v>334.4954</v>
      </c>
      <c r="H1313" s="4" t="n">
        <v>914.7341</v>
      </c>
      <c r="I1313" s="4" t="n">
        <v>11.3925</v>
      </c>
      <c r="J1313" s="4" t="n">
        <v>11.9425</v>
      </c>
      <c r="K1313" s="4" t="n">
        <v>11.0875</v>
      </c>
      <c r="L1313" s="4" t="n">
        <v>11.2</v>
      </c>
      <c r="M1313" s="7" t="n">
        <v>-0.0169</v>
      </c>
    </row>
    <row r="1314">
      <c r="A1314" s="6" t="n">
        <v>45860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3052</v>
      </c>
      <c r="F1314" s="8" t="n">
        <v>3.1096</v>
      </c>
      <c r="G1314" s="4" t="n">
        <v>340.4503</v>
      </c>
      <c r="H1314" s="4" t="n">
        <v>1005.7381</v>
      </c>
      <c r="I1314" s="4" t="n">
        <v>11.2025</v>
      </c>
      <c r="J1314" s="4" t="n">
        <v>11.2275</v>
      </c>
      <c r="K1314" s="4" t="n">
        <v>10.6875</v>
      </c>
      <c r="L1314" s="4" t="n">
        <v>10.75</v>
      </c>
      <c r="M1314" s="7" t="n">
        <v>-0.0404</v>
      </c>
    </row>
    <row r="1315">
      <c r="A1315" s="6" t="n">
        <v>45861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3073</v>
      </c>
      <c r="F1315" s="8" t="n">
        <v>3.0354</v>
      </c>
      <c r="G1315" s="4" t="n">
        <v>349.5987</v>
      </c>
      <c r="H1315" s="4" t="n">
        <v>938.2624</v>
      </c>
      <c r="I1315" s="4" t="n">
        <v>10.7525</v>
      </c>
      <c r="J1315" s="4" t="n">
        <v>10.7525</v>
      </c>
      <c r="K1315" s="4" t="n">
        <v>10.22</v>
      </c>
      <c r="L1315" s="4" t="n">
        <v>10.52</v>
      </c>
      <c r="M1315" s="7" t="n">
        <v>-0.0216</v>
      </c>
    </row>
    <row r="1316">
      <c r="A1316" s="6" t="n">
        <v>45862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3077</v>
      </c>
      <c r="F1316" s="8" t="n">
        <v>3.1889</v>
      </c>
      <c r="G1316" s="4" t="n">
        <v>362.261</v>
      </c>
      <c r="H1316" s="4" t="n">
        <v>1000.6028</v>
      </c>
      <c r="I1316" s="4" t="n">
        <v>10.515</v>
      </c>
      <c r="J1316" s="4" t="n">
        <v>11.105</v>
      </c>
      <c r="K1316" s="4" t="n">
        <v>9.8675</v>
      </c>
      <c r="L1316" s="4" t="n">
        <v>10.72</v>
      </c>
      <c r="M1316" s="7" t="n">
        <v>0.0195</v>
      </c>
    </row>
    <row r="1317">
      <c r="A1317" s="6" t="n">
        <v>45863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3048</v>
      </c>
      <c r="F1317" s="8" t="n">
        <v>3.3213</v>
      </c>
      <c r="G1317" s="4" t="n">
        <v>360.2567</v>
      </c>
      <c r="H1317" s="4" t="n">
        <v>961.2281</v>
      </c>
      <c r="I1317" s="4" t="n">
        <v>10.7225</v>
      </c>
      <c r="J1317" s="4" t="n">
        <v>11.5825</v>
      </c>
      <c r="K1317" s="4" t="n">
        <v>10.6125</v>
      </c>
      <c r="L1317" s="4" t="n">
        <v>11.28</v>
      </c>
      <c r="M1317" s="7" t="n">
        <v>0.052</v>
      </c>
    </row>
    <row r="1318">
      <c r="A1318" s="6" t="n">
        <v>45866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3109</v>
      </c>
      <c r="F1318" s="8" t="n">
        <v>3.4886</v>
      </c>
      <c r="G1318" s="4" t="n">
        <v>347.4843</v>
      </c>
      <c r="H1318" s="4" t="n">
        <v>921.6965</v>
      </c>
      <c r="I1318" s="4" t="n">
        <v>11.275</v>
      </c>
      <c r="J1318" s="4" t="n">
        <v>12.23</v>
      </c>
      <c r="K1318" s="4" t="n">
        <v>10.325</v>
      </c>
      <c r="L1318" s="4" t="n">
        <v>12.06</v>
      </c>
      <c r="M1318" s="7" t="n">
        <v>0.0696</v>
      </c>
    </row>
    <row r="1319">
      <c r="A1319" s="6" t="n">
        <v>45867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3062</v>
      </c>
      <c r="F1319" s="8" t="n">
        <v>3.2054</v>
      </c>
      <c r="G1319" s="4" t="n">
        <v>321.133</v>
      </c>
      <c r="H1319" s="4" t="n">
        <v>947.9450000000001</v>
      </c>
      <c r="I1319" s="4" t="n">
        <v>12.0625</v>
      </c>
      <c r="J1319" s="4" t="n">
        <v>12.3</v>
      </c>
      <c r="K1319" s="4" t="n">
        <v>11.4</v>
      </c>
      <c r="L1319" s="4" t="n">
        <v>11.53</v>
      </c>
      <c r="M1319" s="7" t="n">
        <v>-0.0441</v>
      </c>
    </row>
    <row r="1320">
      <c r="A1320" s="6" t="n">
        <v>45868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3075</v>
      </c>
      <c r="F1320" s="8" t="n">
        <v>3.0534</v>
      </c>
      <c r="G1320" s="4" t="n">
        <v>311.9857</v>
      </c>
      <c r="H1320" s="4" t="n">
        <v>895.2319</v>
      </c>
      <c r="I1320" s="4" t="n">
        <v>11.525</v>
      </c>
      <c r="J1320" s="4" t="n">
        <v>11.775</v>
      </c>
      <c r="K1320" s="4" t="n">
        <v>10.6125</v>
      </c>
      <c r="L1320" s="4" t="n">
        <v>11.21</v>
      </c>
      <c r="M1320" s="7" t="n">
        <v>-0.0273</v>
      </c>
    </row>
    <row r="1321">
      <c r="A1321" s="6" t="n">
        <v>45869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3067</v>
      </c>
      <c r="F1321" s="8" t="n">
        <v>3.5137</v>
      </c>
      <c r="G1321" s="4" t="n">
        <v>366.0717</v>
      </c>
      <c r="H1321" s="4" t="n">
        <v>1079.9232</v>
      </c>
      <c r="I1321" s="4" t="n">
        <v>11.205</v>
      </c>
      <c r="J1321" s="4" t="n">
        <v>12.12</v>
      </c>
      <c r="K1321" s="4" t="n">
        <v>11.205</v>
      </c>
      <c r="L1321" s="4" t="n">
        <v>11.54</v>
      </c>
      <c r="M1321" s="7" t="n">
        <v>0.0299</v>
      </c>
    </row>
    <row r="1322">
      <c r="A1322" s="6" t="n">
        <v>45870</v>
      </c>
      <c r="B1322" s="2" t="inlineStr">
        <is>
          <t>Friday</t>
        </is>
      </c>
      <c r="C1322" s="5" t="n">
        <v>45870</v>
      </c>
      <c r="D1322" s="2" t="inlineStr">
        <is>
          <t>Q2FY26</t>
        </is>
      </c>
      <c r="E1322" s="3" t="n">
        <v>3055</v>
      </c>
      <c r="F1322" s="8" t="n">
        <v>3.3268</v>
      </c>
      <c r="G1322" s="4" t="n">
        <v>355.5477</v>
      </c>
      <c r="H1322" s="4" t="n">
        <v>948.1941</v>
      </c>
      <c r="I1322" s="4" t="n">
        <v>11.5425</v>
      </c>
      <c r="J1322" s="4" t="n">
        <v>12.11</v>
      </c>
      <c r="K1322" s="4" t="n">
        <v>11.4025</v>
      </c>
      <c r="L1322" s="4" t="n">
        <v>11.98</v>
      </c>
      <c r="M1322" s="7" t="n">
        <v>0.0379</v>
      </c>
    </row>
    <row r="1323">
      <c r="A1323" s="6" t="n">
        <v>45873</v>
      </c>
      <c r="B1323" s="2" t="inlineStr">
        <is>
          <t>Monday</t>
        </is>
      </c>
      <c r="C1323" s="5" t="n">
        <v>45870</v>
      </c>
      <c r="D1323" s="2" t="inlineStr">
        <is>
          <t>Q2FY26</t>
        </is>
      </c>
      <c r="E1323" s="3" t="n">
        <v>3116</v>
      </c>
      <c r="F1323" s="8" t="n">
        <v>3.1103</v>
      </c>
      <c r="G1323" s="4" t="n">
        <v>316.9402</v>
      </c>
      <c r="H1323" s="4" t="n">
        <v>833.2</v>
      </c>
      <c r="I1323" s="4" t="n">
        <v>11.975</v>
      </c>
      <c r="J1323" s="4" t="n">
        <v>12.63</v>
      </c>
      <c r="K1323" s="4" t="n">
        <v>11.8025</v>
      </c>
      <c r="L1323" s="4" t="n">
        <v>11.97</v>
      </c>
      <c r="M1323" s="7" t="n">
        <v>-0.0004</v>
      </c>
    </row>
    <row r="1324">
      <c r="A1324" s="6" t="n">
        <v>45874</v>
      </c>
      <c r="B1324" s="2" t="inlineStr">
        <is>
          <t>Tuesday</t>
        </is>
      </c>
      <c r="C1324" s="5" t="n">
        <v>45870</v>
      </c>
      <c r="D1324" s="2" t="inlineStr">
        <is>
          <t>Q2FY26</t>
        </is>
      </c>
      <c r="E1324" s="3" t="n">
        <v>3080</v>
      </c>
      <c r="F1324" s="8" t="n">
        <v>3.0175</v>
      </c>
      <c r="G1324" s="4" t="n">
        <v>290.4521</v>
      </c>
      <c r="H1324" s="4" t="n">
        <v>886.5540999999999</v>
      </c>
      <c r="I1324" s="4" t="n">
        <v>11.9675</v>
      </c>
      <c r="J1324" s="4" t="n">
        <v>12.1775</v>
      </c>
      <c r="K1324" s="4" t="n">
        <v>11.64</v>
      </c>
      <c r="L1324" s="4" t="n">
        <v>11.71</v>
      </c>
      <c r="M1324" s="7" t="n">
        <v>-0.0215</v>
      </c>
    </row>
    <row r="1325">
      <c r="A1325" s="6" t="n">
        <v>45875</v>
      </c>
      <c r="B1325" s="2" t="inlineStr">
        <is>
          <t>Wednesday</t>
        </is>
      </c>
      <c r="C1325" s="5" t="n">
        <v>45870</v>
      </c>
      <c r="D1325" s="2" t="inlineStr">
        <is>
          <t>Q2FY26</t>
        </is>
      </c>
      <c r="E1325" s="3" t="n">
        <v>3093</v>
      </c>
      <c r="F1325" s="8" t="n">
        <v>3.1895</v>
      </c>
      <c r="G1325" s="4" t="n">
        <v>279.2529</v>
      </c>
      <c r="H1325" s="4" t="n">
        <v>891.2297</v>
      </c>
      <c r="I1325" s="4" t="n">
        <v>11.7125</v>
      </c>
      <c r="J1325" s="4" t="n">
        <v>12.0475</v>
      </c>
      <c r="K1325" s="4" t="n">
        <v>10.6575</v>
      </c>
      <c r="L1325" s="4" t="n">
        <v>11.96</v>
      </c>
      <c r="M1325" s="7" t="n">
        <v>0.0211</v>
      </c>
    </row>
    <row r="1326">
      <c r="A1326" s="6" t="n">
        <v>45876</v>
      </c>
      <c r="B1326" s="2" t="inlineStr">
        <is>
          <t>Thursday</t>
        </is>
      </c>
      <c r="C1326" s="5" t="n">
        <v>45870</v>
      </c>
      <c r="D1326" s="2" t="inlineStr">
        <is>
          <t>Q2FY26</t>
        </is>
      </c>
      <c r="E1326" s="3" t="n">
        <v>3079</v>
      </c>
      <c r="F1326" s="8" t="n">
        <v>3.266</v>
      </c>
      <c r="G1326" s="4" t="n">
        <v>320.7598</v>
      </c>
      <c r="H1326" s="4" t="n">
        <v>980.4149</v>
      </c>
      <c r="I1326" s="4" t="n">
        <v>11.96</v>
      </c>
      <c r="J1326" s="4" t="n">
        <v>12.3075</v>
      </c>
      <c r="K1326" s="4" t="n">
        <v>11.555</v>
      </c>
      <c r="L1326" s="4" t="n">
        <v>11.69</v>
      </c>
      <c r="M1326" s="7" t="n">
        <v>-0.0226</v>
      </c>
    </row>
    <row r="1327">
      <c r="A1327" s="6" t="n">
        <v>45877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3057</v>
      </c>
      <c r="F1327" s="8" t="n">
        <v>3.0597</v>
      </c>
      <c r="G1327" s="4" t="n">
        <v>283.8916</v>
      </c>
      <c r="H1327" s="4" t="n">
        <v>1004.4468</v>
      </c>
      <c r="I1327" s="4" t="n">
        <v>11.6875</v>
      </c>
      <c r="J1327" s="4" t="n">
        <v>12.1975</v>
      </c>
      <c r="K1327" s="4" t="n">
        <v>10.8975</v>
      </c>
      <c r="L1327" s="4" t="n">
        <v>12.03</v>
      </c>
      <c r="M1327" s="7" t="n">
        <v>0.0293</v>
      </c>
    </row>
    <row r="1328">
      <c r="A1328" s="6" t="n">
        <v>45880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3109</v>
      </c>
      <c r="F1328" s="8" t="n">
        <v>3.1324</v>
      </c>
      <c r="G1328" s="4" t="n">
        <v>261.2835</v>
      </c>
      <c r="H1328" s="4" t="n">
        <v>811.9379</v>
      </c>
      <c r="I1328" s="4" t="n">
        <v>12.0325</v>
      </c>
      <c r="J1328" s="4" t="n">
        <v>12.73</v>
      </c>
      <c r="K1328" s="4" t="n">
        <v>12.0325</v>
      </c>
      <c r="L1328" s="4" t="n">
        <v>12.22</v>
      </c>
      <c r="M1328" s="7" t="n">
        <v>0.0156</v>
      </c>
    </row>
    <row r="1329">
      <c r="A1329" s="6" t="n">
        <v>45881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3079</v>
      </c>
      <c r="F1329" s="8" t="n">
        <v>2.9755</v>
      </c>
      <c r="G1329" s="4" t="n">
        <v>267.8525</v>
      </c>
      <c r="H1329" s="4" t="n">
        <v>791.0856</v>
      </c>
      <c r="I1329" s="4" t="n">
        <v>12.2175</v>
      </c>
      <c r="J1329" s="4" t="n">
        <v>12.4225</v>
      </c>
      <c r="K1329" s="4" t="n">
        <v>11.595</v>
      </c>
      <c r="L1329" s="4" t="n">
        <v>12.23</v>
      </c>
      <c r="M1329" s="7" t="n">
        <v>0.001</v>
      </c>
    </row>
    <row r="1330">
      <c r="A1330" s="6" t="n">
        <v>45882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3077</v>
      </c>
      <c r="F1330" s="8" t="n">
        <v>3.0575</v>
      </c>
      <c r="G1330" s="4" t="n">
        <v>331.6858</v>
      </c>
      <c r="H1330" s="4" t="n">
        <v>874.5445999999999</v>
      </c>
      <c r="I1330" s="4" t="n">
        <v>12.2325</v>
      </c>
      <c r="J1330" s="4" t="n">
        <v>12.3525</v>
      </c>
      <c r="K1330" s="4" t="n">
        <v>10.7775</v>
      </c>
      <c r="L1330" s="4" t="n">
        <v>12.14</v>
      </c>
      <c r="M1330" s="7" t="n">
        <v>-0.0076</v>
      </c>
    </row>
    <row r="1331">
      <c r="A1331" s="6" t="n">
        <v>45883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3059</v>
      </c>
      <c r="F1331" s="8" t="n">
        <v>2.9005</v>
      </c>
      <c r="G1331" s="4" t="n">
        <v>318.6446</v>
      </c>
      <c r="H1331" s="4" t="n">
        <v>833.4965999999999</v>
      </c>
      <c r="I1331" s="4" t="n">
        <v>12.14</v>
      </c>
      <c r="J1331" s="4" t="n">
        <v>12.47</v>
      </c>
      <c r="K1331" s="4" t="n">
        <v>11.4725</v>
      </c>
      <c r="L1331" s="4" t="n">
        <v>12.36</v>
      </c>
      <c r="M1331" s="7" t="n">
        <v>0.0181</v>
      </c>
    </row>
    <row r="1332">
      <c r="A1332" s="6" t="n">
        <v>45887</v>
      </c>
      <c r="B1332" s="2" t="inlineStr">
        <is>
          <t>Monday</t>
        </is>
      </c>
      <c r="C1332" s="5" t="n">
        <v>45870</v>
      </c>
      <c r="D1332" s="2" t="inlineStr">
        <is>
          <t>Q2FY26</t>
        </is>
      </c>
      <c r="E1332" s="3" t="n">
        <v>3160</v>
      </c>
      <c r="F1332" s="8" t="n">
        <v>3.4634</v>
      </c>
      <c r="G1332" s="4" t="n">
        <v>368.0822</v>
      </c>
      <c r="H1332" s="4" t="n">
        <v>1069.9356</v>
      </c>
      <c r="I1332" s="4" t="n">
        <v>12.355</v>
      </c>
      <c r="J1332" s="4" t="n">
        <v>13.465</v>
      </c>
      <c r="K1332" s="4" t="n">
        <v>11.75</v>
      </c>
      <c r="L1332" s="4" t="n">
        <v>12.34</v>
      </c>
      <c r="M1332" s="7" t="n">
        <v>-0.0012</v>
      </c>
    </row>
    <row r="1333">
      <c r="A1333" s="6" t="n">
        <v>45888</v>
      </c>
      <c r="B1333" s="2" t="inlineStr">
        <is>
          <t>Tuesday</t>
        </is>
      </c>
      <c r="C1333" s="5" t="n">
        <v>45870</v>
      </c>
      <c r="D1333" s="2" t="inlineStr">
        <is>
          <t>Q2FY26</t>
        </is>
      </c>
      <c r="E1333" s="3" t="n">
        <v>3090</v>
      </c>
      <c r="F1333" s="8" t="n">
        <v>3.1269</v>
      </c>
      <c r="G1333" s="4" t="n">
        <v>368.3028</v>
      </c>
      <c r="H1333" s="4" t="n">
        <v>876.3499</v>
      </c>
      <c r="I1333" s="4" t="n">
        <v>12.34</v>
      </c>
      <c r="J1333" s="4" t="n">
        <v>12.34</v>
      </c>
      <c r="K1333" s="4" t="n">
        <v>11.76</v>
      </c>
      <c r="L1333" s="4" t="n">
        <v>11.79</v>
      </c>
      <c r="M1333" s="7" t="n">
        <v>-0.0446</v>
      </c>
    </row>
    <row r="1334">
      <c r="A1334" s="6" t="n">
        <v>45889</v>
      </c>
      <c r="B1334" s="2" t="inlineStr">
        <is>
          <t>Wednesday</t>
        </is>
      </c>
      <c r="C1334" s="5" t="n">
        <v>45870</v>
      </c>
      <c r="D1334" s="2" t="inlineStr">
        <is>
          <t>Q2FY26</t>
        </is>
      </c>
      <c r="E1334" s="3" t="n">
        <v>3076</v>
      </c>
      <c r="F1334" s="8" t="n">
        <v>3.1573</v>
      </c>
      <c r="G1334" s="4" t="n">
        <v>445.1665</v>
      </c>
      <c r="H1334" s="4" t="n">
        <v>961.7086</v>
      </c>
      <c r="I1334" s="4" t="n">
        <v>11.79</v>
      </c>
      <c r="J1334" s="4" t="n">
        <v>11.99</v>
      </c>
      <c r="K1334" s="4" t="n">
        <v>10.185</v>
      </c>
      <c r="L1334" s="4" t="n">
        <v>11.79</v>
      </c>
      <c r="M1334" s="7" t="n">
        <v>0</v>
      </c>
    </row>
    <row r="1335">
      <c r="A1335" s="6" t="n">
        <v>45890</v>
      </c>
      <c r="B1335" s="2" t="inlineStr">
        <is>
          <t>Thursday</t>
        </is>
      </c>
      <c r="C1335" s="5" t="n">
        <v>45870</v>
      </c>
      <c r="D1335" s="2" t="inlineStr">
        <is>
          <t>Q2FY26</t>
        </is>
      </c>
      <c r="E1335" s="3" t="n">
        <v>3080</v>
      </c>
      <c r="F1335" s="8" t="n">
        <v>3.1839</v>
      </c>
      <c r="G1335" s="4" t="n">
        <v>368.3425</v>
      </c>
      <c r="H1335" s="4" t="n">
        <v>970.0094</v>
      </c>
      <c r="I1335" s="4" t="n">
        <v>11.785</v>
      </c>
      <c r="J1335" s="4" t="n">
        <v>11.8925</v>
      </c>
      <c r="K1335" s="4" t="n">
        <v>10.0875</v>
      </c>
      <c r="L1335" s="4" t="n">
        <v>11.37</v>
      </c>
      <c r="M1335" s="7" t="n">
        <v>-0.0352</v>
      </c>
    </row>
    <row r="1336">
      <c r="A1336" s="6" t="n">
        <v>45891</v>
      </c>
      <c r="B1336" s="2" t="inlineStr">
        <is>
          <t>Friday</t>
        </is>
      </c>
      <c r="C1336" s="5" t="n">
        <v>45870</v>
      </c>
      <c r="D1336" s="2" t="inlineStr">
        <is>
          <t>Q2FY26</t>
        </is>
      </c>
      <c r="E1336" s="3" t="n">
        <v>3063</v>
      </c>
      <c r="F1336" s="8" t="n">
        <v>2.8268</v>
      </c>
      <c r="G1336" s="4" t="n">
        <v>435.155</v>
      </c>
      <c r="H1336" s="4" t="n">
        <v>822.4148</v>
      </c>
      <c r="I1336" s="4" t="n">
        <v>11.3725</v>
      </c>
      <c r="J1336" s="4" t="n">
        <v>11.785</v>
      </c>
      <c r="K1336" s="4" t="n">
        <v>10.695</v>
      </c>
      <c r="L1336" s="4" t="n">
        <v>11.73</v>
      </c>
      <c r="M1336" s="7" t="n">
        <v>0.0314</v>
      </c>
    </row>
    <row r="1337">
      <c r="A1337" s="6" t="n">
        <v>45894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3119</v>
      </c>
      <c r="F1337" s="8" t="n">
        <v>2.9223</v>
      </c>
      <c r="G1337" s="4" t="n">
        <v>389.0701</v>
      </c>
      <c r="H1337" s="4" t="n">
        <v>815.8754</v>
      </c>
      <c r="I1337" s="4" t="n">
        <v>11.7275</v>
      </c>
      <c r="J1337" s="4" t="n">
        <v>12.3475</v>
      </c>
      <c r="K1337" s="4" t="n">
        <v>11.545</v>
      </c>
      <c r="L1337" s="4" t="n">
        <v>11.76</v>
      </c>
      <c r="M1337" s="7" t="n">
        <v>0.0028</v>
      </c>
    </row>
    <row r="1338">
      <c r="A1338" s="6" t="n">
        <v>45895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3095</v>
      </c>
      <c r="F1338" s="8" t="n">
        <v>3.537</v>
      </c>
      <c r="G1338" s="4" t="n">
        <v>578.4481</v>
      </c>
      <c r="H1338" s="4" t="n">
        <v>1465.1086</v>
      </c>
      <c r="I1338" s="4" t="n">
        <v>11.7575</v>
      </c>
      <c r="J1338" s="4" t="n">
        <v>12.5475</v>
      </c>
      <c r="K1338" s="4" t="n">
        <v>10.9275</v>
      </c>
      <c r="L1338" s="4" t="n">
        <v>12.19</v>
      </c>
      <c r="M1338" s="7" t="n">
        <v>0.0368</v>
      </c>
    </row>
    <row r="1339">
      <c r="A1339" s="6" t="n">
        <v>45897</v>
      </c>
      <c r="B1339" s="2" t="inlineStr">
        <is>
          <t>Thursday</t>
        </is>
      </c>
      <c r="C1339" s="5" t="n">
        <v>45870</v>
      </c>
      <c r="D1339" s="2" t="inlineStr">
        <is>
          <t>Q2FY26</t>
        </is>
      </c>
      <c r="E1339" s="3" t="n">
        <v>3085</v>
      </c>
      <c r="F1339" s="8" t="n">
        <v>3.3832</v>
      </c>
      <c r="G1339" s="4" t="n">
        <v>399.8069</v>
      </c>
      <c r="H1339" s="4" t="n">
        <v>1027.7447</v>
      </c>
      <c r="I1339" s="4" t="n">
        <v>12.1925</v>
      </c>
      <c r="J1339" s="4" t="n">
        <v>13.145</v>
      </c>
      <c r="K1339" s="4" t="n">
        <v>11.575</v>
      </c>
      <c r="L1339" s="4" t="n">
        <v>12.18</v>
      </c>
      <c r="M1339" s="7" t="n">
        <v>-0.001</v>
      </c>
    </row>
    <row r="1340">
      <c r="A1340" s="6" t="n">
        <v>45898</v>
      </c>
      <c r="B1340" s="2" t="inlineStr">
        <is>
          <t>Friday</t>
        </is>
      </c>
      <c r="C1340" s="5" t="n">
        <v>45870</v>
      </c>
      <c r="D1340" s="2" t="inlineStr">
        <is>
          <t>Q2FY26</t>
        </is>
      </c>
      <c r="E1340" s="3" t="n">
        <v>3110</v>
      </c>
      <c r="F1340" s="8" t="n">
        <v>3.1233</v>
      </c>
      <c r="G1340" s="4" t="n">
        <v>394.1256</v>
      </c>
      <c r="H1340" s="4" t="n">
        <v>909.3681</v>
      </c>
      <c r="I1340" s="4" t="n">
        <v>12.1775</v>
      </c>
      <c r="J1340" s="4" t="n">
        <v>12.2025</v>
      </c>
      <c r="K1340" s="4" t="n">
        <v>11.5925</v>
      </c>
      <c r="L1340" s="4" t="n">
        <v>11.75</v>
      </c>
      <c r="M1340" s="7" t="n">
        <v>-0.0351</v>
      </c>
    </row>
    <row r="1341">
      <c r="A1341" s="6" t="n">
        <v>45901</v>
      </c>
      <c r="B1341" s="2" t="inlineStr">
        <is>
          <t>Monday</t>
        </is>
      </c>
      <c r="C1341" s="5" t="n">
        <v>45901</v>
      </c>
      <c r="D1341" s="2" t="inlineStr">
        <is>
          <t>Q2FY26</t>
        </is>
      </c>
      <c r="E1341" s="3" t="n">
        <v>3168</v>
      </c>
      <c r="F1341" s="8" t="n">
        <v>3.0412</v>
      </c>
      <c r="G1341" s="4" t="n">
        <v>393.6258</v>
      </c>
      <c r="H1341" s="4" t="n">
        <v>847.9942</v>
      </c>
      <c r="I1341" s="4" t="n">
        <v>11.7525</v>
      </c>
      <c r="J1341" s="4" t="n">
        <v>12.195</v>
      </c>
      <c r="K1341" s="4" t="n">
        <v>11.235</v>
      </c>
      <c r="L1341" s="4" t="n">
        <v>11.29</v>
      </c>
      <c r="M1341" s="7" t="n">
        <v>-0.0394</v>
      </c>
    </row>
    <row r="1342">
      <c r="A1342" s="6" t="n">
        <v>45902</v>
      </c>
      <c r="B1342" s="2" t="inlineStr">
        <is>
          <t>Tuesday</t>
        </is>
      </c>
      <c r="C1342" s="5" t="n">
        <v>45901</v>
      </c>
      <c r="D1342" s="2" t="inlineStr">
        <is>
          <t>Q2FY26</t>
        </is>
      </c>
      <c r="E1342" s="3" t="n">
        <v>3148</v>
      </c>
      <c r="F1342" s="8" t="n">
        <v>3.2683</v>
      </c>
      <c r="G1342" s="4" t="n">
        <v>447.2194</v>
      </c>
      <c r="H1342" s="4" t="n">
        <v>932.4472</v>
      </c>
      <c r="I1342" s="4" t="n">
        <v>11.2925</v>
      </c>
      <c r="J1342" s="4" t="n">
        <v>11.7825</v>
      </c>
      <c r="K1342" s="4" t="n">
        <v>10.78</v>
      </c>
      <c r="L1342" s="4" t="n">
        <v>11.4</v>
      </c>
      <c r="M1342" s="7" t="n">
        <v>0.0095</v>
      </c>
    </row>
    <row r="1343">
      <c r="A1343" s="6" t="n">
        <v>45903</v>
      </c>
      <c r="B1343" s="2" t="inlineStr">
        <is>
          <t>Wednesday</t>
        </is>
      </c>
      <c r="C1343" s="5" t="n">
        <v>45901</v>
      </c>
      <c r="D1343" s="2" t="inlineStr">
        <is>
          <t>Q2FY26</t>
        </is>
      </c>
      <c r="E1343" s="3" t="n">
        <v>3152</v>
      </c>
      <c r="F1343" s="8" t="n">
        <v>3.27</v>
      </c>
      <c r="G1343" s="4" t="n">
        <v>470.1723</v>
      </c>
      <c r="H1343" s="4" t="n">
        <v>959.6554</v>
      </c>
      <c r="I1343" s="4" t="n">
        <v>11.4</v>
      </c>
      <c r="J1343" s="4" t="n">
        <v>11.5775</v>
      </c>
      <c r="K1343" s="4" t="n">
        <v>10.85</v>
      </c>
      <c r="L1343" s="4" t="n">
        <v>10.93</v>
      </c>
      <c r="M1343" s="7" t="n">
        <v>-0.0412</v>
      </c>
    </row>
    <row r="1344">
      <c r="A1344" s="6" t="n">
        <v>45904</v>
      </c>
      <c r="B1344" s="2" t="inlineStr">
        <is>
          <t>Thursday</t>
        </is>
      </c>
      <c r="C1344" s="5" t="n">
        <v>45901</v>
      </c>
      <c r="D1344" s="2" t="inlineStr">
        <is>
          <t>Q2FY26</t>
        </is>
      </c>
      <c r="E1344" s="3" t="n">
        <v>3154</v>
      </c>
      <c r="F1344" s="8" t="n">
        <v>3.3628</v>
      </c>
      <c r="G1344" s="4" t="n">
        <v>460.3141</v>
      </c>
      <c r="H1344" s="4" t="n">
        <v>1054.7729</v>
      </c>
      <c r="I1344" s="4" t="n">
        <v>10.93</v>
      </c>
      <c r="J1344" s="4" t="n">
        <v>11.2375</v>
      </c>
      <c r="K1344" s="4" t="n">
        <v>10.4925</v>
      </c>
      <c r="L1344" s="4" t="n">
        <v>10.85</v>
      </c>
      <c r="M1344" s="7" t="n">
        <v>-0.0073</v>
      </c>
    </row>
    <row r="1345">
      <c r="A1345" s="6" t="n">
        <v>45905</v>
      </c>
      <c r="B1345" s="2" t="inlineStr">
        <is>
          <t>Friday</t>
        </is>
      </c>
      <c r="C1345" s="5" t="n">
        <v>45901</v>
      </c>
      <c r="D1345" s="2" t="inlineStr">
        <is>
          <t>Q2FY26</t>
        </is>
      </c>
      <c r="E1345" s="3" t="n">
        <v>3144</v>
      </c>
      <c r="F1345" s="8" t="n">
        <v>2.9537</v>
      </c>
      <c r="G1345" s="4" t="n">
        <v>484.1214</v>
      </c>
      <c r="H1345" s="4" t="n">
        <v>819.3801</v>
      </c>
      <c r="I1345" s="4" t="n">
        <v>10.8525</v>
      </c>
      <c r="J1345" s="4" t="n">
        <v>11.435</v>
      </c>
      <c r="K1345" s="4" t="n">
        <v>9.952500000000001</v>
      </c>
      <c r="L1345" s="4" t="n">
        <v>10.78</v>
      </c>
      <c r="M1345" s="7" t="n">
        <v>-0.0067</v>
      </c>
    </row>
    <row r="1346">
      <c r="A1346" s="6" t="n">
        <v>45908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3152</v>
      </c>
      <c r="F1346" s="8" t="n">
        <v>3.0094</v>
      </c>
      <c r="G1346" s="4" t="n">
        <v>383.2176</v>
      </c>
      <c r="H1346" s="4" t="n">
        <v>808.5907</v>
      </c>
      <c r="I1346" s="4" t="n">
        <v>10.78</v>
      </c>
      <c r="J1346" s="4" t="n">
        <v>11.0825</v>
      </c>
      <c r="K1346" s="4" t="n">
        <v>10.42</v>
      </c>
      <c r="L1346" s="4" t="n">
        <v>10.84</v>
      </c>
      <c r="M1346" s="7" t="n">
        <v>0.0056</v>
      </c>
    </row>
    <row r="1347">
      <c r="A1347" s="6" t="n">
        <v>45909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3124</v>
      </c>
      <c r="F1347" s="8" t="n">
        <v>2.854</v>
      </c>
      <c r="G1347" s="4" t="n">
        <v>353.9666</v>
      </c>
      <c r="H1347" s="4" t="n">
        <v>799.0868</v>
      </c>
      <c r="I1347" s="4" t="n">
        <v>10.8375</v>
      </c>
      <c r="J1347" s="4" t="n">
        <v>11.45</v>
      </c>
      <c r="K1347" s="4" t="n">
        <v>9.852499999999999</v>
      </c>
      <c r="L1347" s="4" t="n">
        <v>10.69</v>
      </c>
      <c r="M1347" s="7" t="n">
        <v>-0.0136</v>
      </c>
    </row>
    <row r="1348">
      <c r="A1348" s="6" t="n">
        <v>45910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3136</v>
      </c>
      <c r="F1348" s="8" t="n">
        <v>3.245</v>
      </c>
      <c r="G1348" s="4" t="n">
        <v>398.9637</v>
      </c>
      <c r="H1348" s="4" t="n">
        <v>1020.414</v>
      </c>
      <c r="I1348" s="4" t="n">
        <v>10.685</v>
      </c>
      <c r="J1348" s="4" t="n">
        <v>10.84</v>
      </c>
      <c r="K1348" s="4" t="n">
        <v>10.2475</v>
      </c>
      <c r="L1348" s="4" t="n">
        <v>10.54</v>
      </c>
      <c r="M1348" s="7" t="n">
        <v>-0.0136</v>
      </c>
    </row>
    <row r="1349">
      <c r="A1349" s="6" t="n">
        <v>45911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3159</v>
      </c>
      <c r="F1349" s="8" t="n">
        <v>3.0696</v>
      </c>
      <c r="G1349" s="4" t="n">
        <v>365.7674</v>
      </c>
      <c r="H1349" s="4" t="n">
        <v>962.0483</v>
      </c>
      <c r="I1349" s="4" t="n">
        <v>10.5375</v>
      </c>
      <c r="J1349" s="4" t="n">
        <v>10.7775</v>
      </c>
      <c r="K1349" s="4" t="n">
        <v>10.1825</v>
      </c>
      <c r="L1349" s="4" t="n">
        <v>10.36</v>
      </c>
      <c r="M1349" s="7" t="n">
        <v>-0.0168</v>
      </c>
    </row>
    <row r="1350">
      <c r="A1350" s="6" t="n">
        <v>45912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3155</v>
      </c>
      <c r="F1350" s="8" t="n">
        <v>2.9538</v>
      </c>
      <c r="G1350" s="4" t="n">
        <v>407.8642</v>
      </c>
      <c r="H1350" s="4" t="n">
        <v>922.4152</v>
      </c>
      <c r="I1350" s="4" t="n">
        <v>10.36</v>
      </c>
      <c r="J1350" s="4" t="n">
        <v>10.36</v>
      </c>
      <c r="K1350" s="4" t="n">
        <v>9.85</v>
      </c>
      <c r="L1350" s="4" t="n">
        <v>10.12</v>
      </c>
      <c r="M1350" s="7" t="n">
        <v>-0.0232</v>
      </c>
    </row>
    <row r="1351">
      <c r="A1351" s="6" t="n">
        <v>45915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3183</v>
      </c>
      <c r="F1351" s="8" t="n">
        <v>3.0013</v>
      </c>
      <c r="G1351" s="4" t="n">
        <v>485.7043</v>
      </c>
      <c r="H1351" s="4" t="n">
        <v>851.0465</v>
      </c>
      <c r="I1351" s="4" t="n">
        <v>10.1225</v>
      </c>
      <c r="J1351" s="4" t="n">
        <v>10.6825</v>
      </c>
      <c r="K1351" s="4" t="n">
        <v>9.9025</v>
      </c>
      <c r="L1351" s="4" t="n">
        <v>10.4</v>
      </c>
      <c r="M1351" s="7" t="n">
        <v>0.0274</v>
      </c>
    </row>
    <row r="1352">
      <c r="A1352" s="6" t="n">
        <v>45916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3168</v>
      </c>
      <c r="F1352" s="8" t="n">
        <v>2.9676</v>
      </c>
      <c r="G1352" s="4" t="n">
        <v>424.4288</v>
      </c>
      <c r="H1352" s="4" t="n">
        <v>910.4846</v>
      </c>
      <c r="I1352" s="4" t="n">
        <v>10.3975</v>
      </c>
      <c r="J1352" s="4" t="n">
        <v>10.5</v>
      </c>
      <c r="K1352" s="4" t="n">
        <v>9.755000000000001</v>
      </c>
      <c r="L1352" s="4" t="n">
        <v>10.27</v>
      </c>
      <c r="M1352" s="7" t="n">
        <v>-0.0123</v>
      </c>
    </row>
    <row r="1353">
      <c r="A1353" s="6" t="n">
        <v>45917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3191</v>
      </c>
      <c r="F1353" s="8" t="n">
        <v>3.2583</v>
      </c>
      <c r="G1353" s="4" t="n">
        <v>466.0407</v>
      </c>
      <c r="H1353" s="4" t="n">
        <v>1010.4126</v>
      </c>
      <c r="I1353" s="4" t="n">
        <v>10.2725</v>
      </c>
      <c r="J1353" s="4" t="n">
        <v>10.3575</v>
      </c>
      <c r="K1353" s="4" t="n">
        <v>9.615</v>
      </c>
      <c r="L1353" s="4" t="n">
        <v>10.25</v>
      </c>
      <c r="M1353" s="7" t="n">
        <v>-0.0022</v>
      </c>
    </row>
    <row r="1354">
      <c r="A1354" s="6" t="n">
        <v>45918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3148</v>
      </c>
      <c r="F1354" s="8" t="n">
        <v>2.9869</v>
      </c>
      <c r="G1354" s="4" t="n">
        <v>427.6819</v>
      </c>
      <c r="H1354" s="4" t="n">
        <v>979.9478</v>
      </c>
      <c r="I1354" s="4" t="n">
        <v>10.2475</v>
      </c>
      <c r="J1354" s="4" t="n">
        <v>10.2475</v>
      </c>
      <c r="K1354" s="4" t="n">
        <v>9.4925</v>
      </c>
      <c r="L1354" s="4" t="n">
        <v>9.890000000000001</v>
      </c>
      <c r="M1354" s="7" t="n">
        <v>-0.0349</v>
      </c>
    </row>
    <row r="1355">
      <c r="A1355" s="6" t="n">
        <v>45919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3139</v>
      </c>
      <c r="F1355" s="8" t="n">
        <v>3.3134</v>
      </c>
      <c r="G1355" s="4" t="n">
        <v>674.6131</v>
      </c>
      <c r="H1355" s="4" t="n">
        <v>1389.0311</v>
      </c>
      <c r="I1355" s="4" t="n">
        <v>9.885</v>
      </c>
      <c r="J1355" s="4" t="n">
        <v>10.255</v>
      </c>
      <c r="K1355" s="4" t="n">
        <v>9.397500000000001</v>
      </c>
      <c r="L1355" s="4" t="n">
        <v>9.970000000000001</v>
      </c>
      <c r="M1355" s="7" t="n">
        <v>0.0086</v>
      </c>
    </row>
    <row r="1356">
      <c r="A1356" s="6" t="n">
        <v>45922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3210</v>
      </c>
      <c r="F1356" s="8" t="n">
        <v>3.344</v>
      </c>
      <c r="G1356" s="4" t="n">
        <v>426.2277</v>
      </c>
      <c r="H1356" s="4" t="n">
        <v>1031.0144</v>
      </c>
      <c r="I1356" s="4" t="n">
        <v>9.967499999999999</v>
      </c>
      <c r="J1356" s="4" t="n">
        <v>10.7325</v>
      </c>
      <c r="K1356" s="4" t="n">
        <v>9.967499999999999</v>
      </c>
      <c r="L1356" s="4" t="n">
        <v>10.56</v>
      </c>
      <c r="M1356" s="7" t="n">
        <v>0.0594</v>
      </c>
    </row>
    <row r="1357">
      <c r="A1357" s="6" t="n">
        <v>45923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3144</v>
      </c>
      <c r="F1357" s="8" t="n">
        <v>3.2075</v>
      </c>
      <c r="G1357" s="4" t="n">
        <v>451.6915</v>
      </c>
      <c r="H1357" s="4" t="n">
        <v>1053.1721</v>
      </c>
      <c r="I1357" s="4" t="n">
        <v>10.5575</v>
      </c>
      <c r="J1357" s="4" t="n">
        <v>10.9025</v>
      </c>
      <c r="K1357" s="4" t="n">
        <v>9.9625</v>
      </c>
      <c r="L1357" s="4" t="n">
        <v>10.63</v>
      </c>
      <c r="M1357" s="7" t="n">
        <v>0.0069</v>
      </c>
    </row>
    <row r="1358">
      <c r="A1358" s="6" t="n">
        <v>45924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3139</v>
      </c>
      <c r="F1358" s="8" t="n">
        <v>3.1104</v>
      </c>
      <c r="G1358" s="4" t="n">
        <v>369.5233</v>
      </c>
      <c r="H1358" s="4" t="n">
        <v>942.9785000000001</v>
      </c>
      <c r="I1358" s="4" t="n">
        <v>10.625</v>
      </c>
      <c r="J1358" s="4" t="n">
        <v>10.8925</v>
      </c>
      <c r="K1358" s="4" t="n">
        <v>10.1125</v>
      </c>
      <c r="L1358" s="4" t="n">
        <v>10.52</v>
      </c>
      <c r="M1358" s="7" t="n">
        <v>-0.009900000000000001</v>
      </c>
    </row>
    <row r="1359">
      <c r="A1359" s="6" t="n">
        <v>45925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3131</v>
      </c>
      <c r="F1359" s="8" t="n">
        <v>3.0602</v>
      </c>
      <c r="G1359" s="4" t="n">
        <v>369.5943</v>
      </c>
      <c r="H1359" s="4" t="n">
        <v>1002.3574</v>
      </c>
      <c r="I1359" s="4" t="n">
        <v>10.5225</v>
      </c>
      <c r="J1359" s="4" t="n">
        <v>10.8975</v>
      </c>
      <c r="K1359" s="4" t="n">
        <v>10.285</v>
      </c>
      <c r="L1359" s="4" t="n">
        <v>10.78</v>
      </c>
      <c r="M1359" s="7" t="n">
        <v>0.0245</v>
      </c>
    </row>
    <row r="1360">
      <c r="A1360" s="6" t="n">
        <v>45926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3151</v>
      </c>
      <c r="F1360" s="8" t="n">
        <v>3.5426</v>
      </c>
      <c r="G1360" s="4" t="n">
        <v>464.2591</v>
      </c>
      <c r="H1360" s="4" t="n">
        <v>973.4973</v>
      </c>
      <c r="I1360" s="4" t="n">
        <v>10.7825</v>
      </c>
      <c r="J1360" s="4" t="n">
        <v>11.6775</v>
      </c>
      <c r="K1360" s="4" t="n">
        <v>10.17</v>
      </c>
      <c r="L1360" s="4" t="n">
        <v>11.43</v>
      </c>
      <c r="M1360" s="7" t="n">
        <v>0.0601</v>
      </c>
    </row>
    <row r="1361">
      <c r="A1361" s="6" t="n">
        <v>45929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3174</v>
      </c>
      <c r="F1361" s="8" t="n">
        <v>3.8195</v>
      </c>
      <c r="G1361" s="4" t="n">
        <v>418.6883</v>
      </c>
      <c r="H1361" s="4" t="n">
        <v>1332.5538</v>
      </c>
      <c r="I1361" s="4" t="n">
        <v>11.425</v>
      </c>
      <c r="J1361" s="4" t="n">
        <v>11.725</v>
      </c>
      <c r="K1361" s="4" t="n">
        <v>10.615</v>
      </c>
      <c r="L1361" s="4" t="n">
        <v>11.37</v>
      </c>
      <c r="M1361" s="7" t="n">
        <v>-0.0048</v>
      </c>
    </row>
    <row r="1362">
      <c r="A1362" s="6" t="n">
        <v>45930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3122</v>
      </c>
      <c r="F1362" s="8" t="n">
        <v>3.2945</v>
      </c>
      <c r="G1362" s="4" t="n">
        <v>362.3117</v>
      </c>
      <c r="H1362" s="4" t="n">
        <v>1025.4459</v>
      </c>
      <c r="I1362" s="4" t="n">
        <v>11.365</v>
      </c>
      <c r="J1362" s="4" t="n">
        <v>11.7875</v>
      </c>
      <c r="K1362" s="4" t="n">
        <v>10.93</v>
      </c>
      <c r="L1362" s="4" t="n">
        <v>11.07</v>
      </c>
      <c r="M1362" s="7" t="n">
        <v>-0.026</v>
      </c>
    </row>
    <row r="1363">
      <c r="A1363" s="6" t="n">
        <v>45931</v>
      </c>
      <c r="B1363" s="2" t="inlineStr">
        <is>
          <t>Wednesday</t>
        </is>
      </c>
      <c r="C1363" s="5" t="n">
        <v>45931</v>
      </c>
      <c r="D1363" s="2" t="inlineStr">
        <is>
          <t>Q3FY26</t>
        </is>
      </c>
      <c r="E1363" s="3" t="n">
        <v>3163</v>
      </c>
      <c r="F1363" s="8" t="n">
        <v>3.0907</v>
      </c>
      <c r="G1363" s="4" t="n">
        <v>379.1258</v>
      </c>
      <c r="H1363" s="4" t="n">
        <v>997.4474</v>
      </c>
      <c r="I1363" s="4" t="n">
        <v>11.065</v>
      </c>
      <c r="J1363" s="4" t="n">
        <v>11.255</v>
      </c>
      <c r="K1363" s="4" t="n">
        <v>10.1525</v>
      </c>
      <c r="L1363" s="4" t="n">
        <v>10.29</v>
      </c>
      <c r="M1363" s="7" t="n">
        <v>-0.07000000000000001</v>
      </c>
    </row>
    <row r="1364">
      <c r="A1364" s="6" t="n">
        <v>45933</v>
      </c>
      <c r="B1364" s="2" t="inlineStr">
        <is>
          <t>Friday</t>
        </is>
      </c>
      <c r="C1364" s="5" t="n">
        <v>45931</v>
      </c>
      <c r="D1364" s="2" t="inlineStr">
        <is>
          <t>Q3FY26</t>
        </is>
      </c>
      <c r="E1364" s="3" t="n">
        <v>3190</v>
      </c>
      <c r="F1364" s="8" t="n">
        <v>3.3557</v>
      </c>
      <c r="G1364" s="4" t="n">
        <v>425.1553</v>
      </c>
      <c r="H1364" s="4" t="n">
        <v>1128.2766</v>
      </c>
      <c r="I1364" s="4" t="n">
        <v>10.2875</v>
      </c>
      <c r="J1364" s="4" t="n">
        <v>10.6225</v>
      </c>
      <c r="K1364" s="4" t="n">
        <v>9.945</v>
      </c>
      <c r="L1364" s="4" t="n">
        <v>10.06</v>
      </c>
      <c r="M1364" s="7" t="n">
        <v>-0.0221</v>
      </c>
    </row>
    <row r="1365">
      <c r="A1365" s="6" t="n">
        <v>45936</v>
      </c>
      <c r="B1365" s="2" t="inlineStr">
        <is>
          <t>Monday</t>
        </is>
      </c>
      <c r="C1365" s="5" t="n">
        <v>45931</v>
      </c>
      <c r="D1365" s="2" t="inlineStr">
        <is>
          <t>Q3FY26</t>
        </is>
      </c>
      <c r="E1365" s="3" t="n">
        <v>3223</v>
      </c>
      <c r="F1365" s="8" t="n">
        <v>3.1651</v>
      </c>
      <c r="G1365" s="4" t="n">
        <v>442.6186</v>
      </c>
      <c r="H1365" s="4" t="n">
        <v>968.7184</v>
      </c>
      <c r="I1365" s="4" t="n">
        <v>10.06</v>
      </c>
      <c r="J1365" s="4" t="n">
        <v>10.5375</v>
      </c>
      <c r="K1365" s="4" t="n">
        <v>9.657500000000001</v>
      </c>
      <c r="L1365" s="4" t="n">
        <v>10.19</v>
      </c>
      <c r="M1365" s="7" t="n">
        <v>0.0129</v>
      </c>
    </row>
    <row r="1366">
      <c r="A1366" s="6" t="n">
        <v>45937</v>
      </c>
      <c r="B1366" s="2" t="inlineStr">
        <is>
          <t>Tuesday</t>
        </is>
      </c>
      <c r="C1366" s="5" t="n">
        <v>45931</v>
      </c>
      <c r="D1366" s="2" t="inlineStr">
        <is>
          <t>Q3FY26</t>
        </is>
      </c>
      <c r="E1366" s="3" t="n">
        <v>3209</v>
      </c>
      <c r="F1366" s="8" t="n">
        <v>3.1022</v>
      </c>
      <c r="G1366" s="4" t="n">
        <v>456.5239</v>
      </c>
      <c r="H1366" s="4" t="n">
        <v>985.7303000000001</v>
      </c>
      <c r="I1366" s="4" t="n">
        <v>10.1925</v>
      </c>
      <c r="J1366" s="4" t="n">
        <v>10.45</v>
      </c>
      <c r="K1366" s="4" t="n">
        <v>10</v>
      </c>
      <c r="L1366" s="4" t="n">
        <v>10.05</v>
      </c>
      <c r="M1366" s="7" t="n">
        <v>-0.014</v>
      </c>
    </row>
    <row r="1367">
      <c r="A1367" s="6" t="n">
        <v>45938</v>
      </c>
      <c r="B1367" s="2" t="inlineStr">
        <is>
          <t>Wednesday</t>
        </is>
      </c>
      <c r="C1367" s="5" t="n">
        <v>45931</v>
      </c>
      <c r="D1367" s="2" t="inlineStr">
        <is>
          <t>Q3FY26</t>
        </is>
      </c>
      <c r="E1367" s="3" t="n">
        <v>3218</v>
      </c>
      <c r="F1367" s="8" t="n">
        <v>3.0955</v>
      </c>
      <c r="G1367" s="4" t="n">
        <v>423.412</v>
      </c>
      <c r="H1367" s="4" t="n">
        <v>896.0256000000001</v>
      </c>
      <c r="I1367" s="4" t="n">
        <v>10.05</v>
      </c>
      <c r="J1367" s="4" t="n">
        <v>10.5225</v>
      </c>
      <c r="K1367" s="4" t="n">
        <v>9.6875</v>
      </c>
      <c r="L1367" s="4" t="n">
        <v>10.31</v>
      </c>
      <c r="M1367" s="7" t="n">
        <v>0.0259</v>
      </c>
    </row>
    <row r="1368">
      <c r="A1368" s="6" t="n">
        <v>45939</v>
      </c>
      <c r="B1368" s="2" t="inlineStr">
        <is>
          <t>Thursday</t>
        </is>
      </c>
      <c r="C1368" s="5" t="n">
        <v>45931</v>
      </c>
      <c r="D1368" s="2" t="inlineStr">
        <is>
          <t>Q3FY26</t>
        </is>
      </c>
      <c r="E1368" s="3" t="n">
        <v>3205</v>
      </c>
      <c r="F1368" s="8" t="n">
        <v>3.0795</v>
      </c>
      <c r="G1368" s="4" t="n">
        <v>406.1889</v>
      </c>
      <c r="H1368" s="4" t="n">
        <v>924.6358</v>
      </c>
      <c r="I1368" s="4" t="n">
        <v>10.3125</v>
      </c>
      <c r="J1368" s="4" t="n">
        <v>10.565</v>
      </c>
      <c r="K1368" s="4" t="n">
        <v>9.9975</v>
      </c>
      <c r="L1368" s="4" t="n">
        <v>10.12</v>
      </c>
      <c r="M1368" s="7" t="n">
        <v>-0.0187</v>
      </c>
    </row>
    <row r="1369">
      <c r="A1369" s="6" t="n">
        <v>45940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3181</v>
      </c>
      <c r="F1369" s="8" t="n">
        <v>3.0937</v>
      </c>
      <c r="G1369" s="4" t="n">
        <v>462.9967</v>
      </c>
      <c r="H1369" s="4" t="n">
        <v>940.0511</v>
      </c>
      <c r="I1369" s="4" t="n">
        <v>10.12</v>
      </c>
      <c r="J1369" s="4" t="n">
        <v>10.3425</v>
      </c>
      <c r="K1369" s="4" t="n">
        <v>9.710000000000001</v>
      </c>
      <c r="L1369" s="4" t="n">
        <v>10.1</v>
      </c>
      <c r="M1369" s="7" t="n">
        <v>-0.002</v>
      </c>
    </row>
    <row r="1370">
      <c r="A1370" s="6" t="n">
        <v>45943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3218</v>
      </c>
      <c r="F1370" s="8" t="n">
        <v>3.0723</v>
      </c>
      <c r="G1370" s="4" t="n">
        <v>437.8485</v>
      </c>
      <c r="H1370" s="4" t="n">
        <v>917.2349</v>
      </c>
      <c r="I1370" s="4" t="n">
        <v>10.1025</v>
      </c>
      <c r="J1370" s="4" t="n">
        <v>11.2575</v>
      </c>
      <c r="K1370" s="4" t="n">
        <v>9.7775</v>
      </c>
      <c r="L1370" s="4" t="n">
        <v>11.01</v>
      </c>
      <c r="M1370" s="7" t="n">
        <v>0.0898</v>
      </c>
    </row>
    <row r="1371">
      <c r="A1371" s="6" t="n">
        <v>45944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3215</v>
      </c>
      <c r="F1371" s="8" t="n">
        <v>3.4685</v>
      </c>
      <c r="G1371" s="4" t="n">
        <v>441.892</v>
      </c>
      <c r="H1371" s="4" t="n">
        <v>1096.6478</v>
      </c>
      <c r="I1371" s="4" t="n">
        <v>11.0075</v>
      </c>
      <c r="J1371" s="4" t="n">
        <v>11.6675</v>
      </c>
      <c r="K1371" s="4" t="n">
        <v>10.0125</v>
      </c>
      <c r="L1371" s="4" t="n">
        <v>11.16</v>
      </c>
      <c r="M1371" s="7" t="n">
        <v>0.0139</v>
      </c>
    </row>
    <row r="1372">
      <c r="A1372" s="6" t="n">
        <v>45945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3198</v>
      </c>
      <c r="F1372" s="8" t="n">
        <v>3.202</v>
      </c>
      <c r="G1372" s="4" t="n">
        <v>412.3762</v>
      </c>
      <c r="H1372" s="4" t="n">
        <v>1007.1649</v>
      </c>
      <c r="I1372" s="4" t="n">
        <v>11.155</v>
      </c>
      <c r="J1372" s="4" t="n">
        <v>11.155</v>
      </c>
      <c r="K1372" s="4" t="n">
        <v>10.4325</v>
      </c>
      <c r="L1372" s="4" t="n">
        <v>10.53</v>
      </c>
      <c r="M1372" s="7" t="n">
        <v>-0.056</v>
      </c>
    </row>
    <row r="1373">
      <c r="A1373" s="6" t="n">
        <v>45946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3215</v>
      </c>
      <c r="F1373" s="8" t="n">
        <v>3.4663</v>
      </c>
      <c r="G1373" s="4" t="n">
        <v>419.6226</v>
      </c>
      <c r="H1373" s="4" t="n">
        <v>1117.1703</v>
      </c>
      <c r="I1373" s="4" t="n">
        <v>10.53</v>
      </c>
      <c r="J1373" s="4" t="n">
        <v>11.0575</v>
      </c>
      <c r="K1373" s="4" t="n">
        <v>10.3825</v>
      </c>
      <c r="L1373" s="4" t="n">
        <v>10.87</v>
      </c>
      <c r="M1373" s="7" t="n">
        <v>0.0323</v>
      </c>
    </row>
    <row r="1374">
      <c r="A1374" s="6" t="n">
        <v>45947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3168</v>
      </c>
      <c r="F1374" s="8" t="n">
        <v>3.4095</v>
      </c>
      <c r="G1374" s="4" t="n">
        <v>405.329</v>
      </c>
      <c r="H1374" s="4" t="n">
        <v>1117.6318</v>
      </c>
      <c r="I1374" s="4" t="n">
        <v>10.865</v>
      </c>
      <c r="J1374" s="4" t="n">
        <v>11.81</v>
      </c>
      <c r="K1374" s="4" t="n">
        <v>9.775</v>
      </c>
      <c r="L1374" s="4" t="n">
        <v>11.63</v>
      </c>
      <c r="M1374" s="7" t="n">
        <v>0.0704</v>
      </c>
    </row>
    <row r="1375">
      <c r="A1375" s="6" t="n">
        <v>45950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3244</v>
      </c>
      <c r="F1375" s="8" t="n">
        <v>3.3703</v>
      </c>
      <c r="G1375" s="4" t="n">
        <v>427.7526</v>
      </c>
      <c r="H1375" s="4" t="n">
        <v>1000.9749</v>
      </c>
      <c r="I1375" s="4" t="n">
        <v>11.625</v>
      </c>
      <c r="J1375" s="4" t="n">
        <v>11.8775</v>
      </c>
      <c r="K1375" s="4" t="n">
        <v>10.6675</v>
      </c>
      <c r="L1375" s="4" t="n">
        <v>11.36</v>
      </c>
      <c r="M1375" s="7" t="n">
        <v>-0.0228</v>
      </c>
    </row>
    <row r="1376">
      <c r="A1376" s="6" t="n">
        <v>45951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3039</v>
      </c>
      <c r="F1376" s="8" t="n">
        <v>0.9045</v>
      </c>
      <c r="G1376" s="4" t="n">
        <v>115.3639</v>
      </c>
      <c r="H1376" s="4" t="n">
        <v>197.1412</v>
      </c>
      <c r="I1376" s="4" t="n">
        <v>11.355</v>
      </c>
      <c r="J1376" s="4" t="n">
        <v>11.595</v>
      </c>
      <c r="K1376" s="4" t="n">
        <v>10.7</v>
      </c>
      <c r="L1376" s="4" t="n">
        <v>11.3</v>
      </c>
      <c r="M1376" s="7" t="n">
        <v>-0.0048</v>
      </c>
    </row>
    <row r="1377">
      <c r="A1377" s="6" t="n">
        <v>45953</v>
      </c>
      <c r="B1377" s="2" t="inlineStr">
        <is>
          <t>Thursday</t>
        </is>
      </c>
      <c r="C1377" s="5" t="n">
        <v>45931</v>
      </c>
      <c r="D1377" s="2" t="inlineStr">
        <is>
          <t>Q3FY26</t>
        </is>
      </c>
      <c r="E1377" s="3" t="n">
        <v>3219</v>
      </c>
      <c r="F1377" s="8" t="n">
        <v>3.582</v>
      </c>
      <c r="G1377" s="4" t="n">
        <v>530.7293</v>
      </c>
      <c r="H1377" s="4" t="n">
        <v>1168.4234</v>
      </c>
      <c r="I1377" s="4" t="n">
        <v>11.2975</v>
      </c>
      <c r="J1377" s="4" t="n">
        <v>12.05</v>
      </c>
      <c r="K1377" s="4" t="n">
        <v>10.7375</v>
      </c>
      <c r="L1377" s="4" t="n">
        <v>11.73</v>
      </c>
      <c r="M1377" s="7" t="n">
        <v>0.0383</v>
      </c>
    </row>
    <row r="1378">
      <c r="A1378" s="6" t="n">
        <v>45954</v>
      </c>
      <c r="B1378" s="2" t="inlineStr">
        <is>
          <t>Friday</t>
        </is>
      </c>
      <c r="C1378" s="5" t="n">
        <v>45931</v>
      </c>
      <c r="D1378" s="2" t="inlineStr">
        <is>
          <t>Q3FY26</t>
        </is>
      </c>
      <c r="E1378" s="3" t="n">
        <v>3188</v>
      </c>
      <c r="F1378" s="8" t="n">
        <v>2.8741</v>
      </c>
      <c r="G1378" s="4" t="n">
        <v>408.3176</v>
      </c>
      <c r="H1378" s="4" t="n">
        <v>891.324</v>
      </c>
      <c r="I1378" s="4" t="n">
        <v>11.7325</v>
      </c>
      <c r="J1378" s="4" t="n">
        <v>11.94</v>
      </c>
      <c r="K1378" s="4" t="n">
        <v>11.4375</v>
      </c>
      <c r="L1378" s="4" t="n">
        <v>11.59</v>
      </c>
      <c r="M1378" s="7" t="n">
        <v>-0.0121</v>
      </c>
    </row>
    <row r="1379">
      <c r="A1379" s="6" t="n">
        <v>45957</v>
      </c>
      <c r="B1379" s="2" t="inlineStr">
        <is>
          <t>Monday</t>
        </is>
      </c>
      <c r="C1379" s="5" t="n">
        <v>45931</v>
      </c>
      <c r="D1379" s="2" t="inlineStr">
        <is>
          <t>Q3FY26</t>
        </is>
      </c>
      <c r="E1379" s="3" t="n">
        <v>3250</v>
      </c>
      <c r="F1379" s="8" t="n">
        <v>3.1712</v>
      </c>
      <c r="G1379" s="4" t="n">
        <v>638.8251</v>
      </c>
      <c r="H1379" s="4" t="n">
        <v>967.548</v>
      </c>
      <c r="I1379" s="4" t="n">
        <v>11.59</v>
      </c>
      <c r="J1379" s="4" t="n">
        <v>12.7275</v>
      </c>
      <c r="K1379" s="4" t="n">
        <v>11.2775</v>
      </c>
      <c r="L1379" s="4" t="n">
        <v>11.86</v>
      </c>
      <c r="M1379" s="7" t="n">
        <v>0.0233</v>
      </c>
    </row>
    <row r="1380">
      <c r="A1380" s="6" t="n">
        <v>45958</v>
      </c>
      <c r="B1380" s="2" t="inlineStr">
        <is>
          <t>Tuesday</t>
        </is>
      </c>
      <c r="C1380" s="5" t="n">
        <v>45931</v>
      </c>
      <c r="D1380" s="2" t="inlineStr">
        <is>
          <t>Q3FY26</t>
        </is>
      </c>
      <c r="E1380" s="3" t="n">
        <v>3240</v>
      </c>
      <c r="F1380" s="8" t="n">
        <v>3.3701</v>
      </c>
      <c r="G1380" s="4" t="n">
        <v>506.0105</v>
      </c>
      <c r="H1380" s="4" t="n">
        <v>1161.5319</v>
      </c>
      <c r="I1380" s="4" t="n">
        <v>11.8575</v>
      </c>
      <c r="J1380" s="4" t="n">
        <v>12.635</v>
      </c>
      <c r="K1380" s="4" t="n">
        <v>10.705</v>
      </c>
      <c r="L1380" s="4" t="n">
        <v>11.95</v>
      </c>
      <c r="M1380" s="7" t="n">
        <v>0.0078</v>
      </c>
    </row>
    <row r="1381">
      <c r="A1381" s="6" t="n">
        <v>45959</v>
      </c>
      <c r="B1381" s="2" t="inlineStr">
        <is>
          <t>Wednesday</t>
        </is>
      </c>
      <c r="C1381" s="5" t="n">
        <v>45931</v>
      </c>
      <c r="D1381" s="2" t="inlineStr">
        <is>
          <t>Q3FY26</t>
        </is>
      </c>
      <c r="E1381" s="3" t="n">
        <v>3205</v>
      </c>
      <c r="F1381" s="8" t="n">
        <v>3.1843</v>
      </c>
      <c r="G1381" s="4" t="n">
        <v>459.5385</v>
      </c>
      <c r="H1381" s="4" t="n">
        <v>1122.9842</v>
      </c>
      <c r="I1381" s="4" t="n">
        <v>11.9525</v>
      </c>
      <c r="J1381" s="4" t="n">
        <v>12.1025</v>
      </c>
      <c r="K1381" s="4" t="n">
        <v>11.2275</v>
      </c>
      <c r="L1381" s="4" t="n">
        <v>11.97</v>
      </c>
      <c r="M1381" s="7" t="n">
        <v>0.0015</v>
      </c>
    </row>
    <row r="1382">
      <c r="A1382" s="6" t="n">
        <v>45960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3180</v>
      </c>
      <c r="F1382" s="8" t="n">
        <v>3.0741</v>
      </c>
      <c r="G1382" s="4" t="n">
        <v>617.6719000000001</v>
      </c>
      <c r="H1382" s="4" t="n">
        <v>1024.8584</v>
      </c>
      <c r="I1382" s="4" t="n">
        <v>11.9725</v>
      </c>
      <c r="J1382" s="4" t="n">
        <v>12.2725</v>
      </c>
      <c r="K1382" s="4" t="n">
        <v>11.705</v>
      </c>
      <c r="L1382" s="4" t="n">
        <v>12.07</v>
      </c>
      <c r="M1382" s="7" t="n">
        <v>0.0081</v>
      </c>
    </row>
    <row r="1383">
      <c r="A1383" s="6" t="n">
        <v>45961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3189</v>
      </c>
      <c r="F1383" s="8" t="n">
        <v>3.2155</v>
      </c>
      <c r="G1383" s="4" t="n">
        <v>443.5779</v>
      </c>
      <c r="H1383" s="4" t="n">
        <v>1103.8657</v>
      </c>
      <c r="I1383" s="4" t="n">
        <v>12.0675</v>
      </c>
      <c r="J1383" s="4" t="n">
        <v>12.2875</v>
      </c>
      <c r="K1383" s="4" t="n">
        <v>11.77</v>
      </c>
      <c r="L1383" s="4" t="n">
        <v>12.15</v>
      </c>
      <c r="M1383" s="7" t="n">
        <v>0.0068</v>
      </c>
    </row>
    <row r="1384">
      <c r="A1384" s="6" t="n">
        <v>45964</v>
      </c>
      <c r="B1384" s="2" t="inlineStr">
        <is>
          <t>Monday</t>
        </is>
      </c>
      <c r="C1384" s="5" t="n">
        <v>45962</v>
      </c>
      <c r="D1384" s="2" t="inlineStr">
        <is>
          <t>Q3FY26</t>
        </is>
      </c>
      <c r="E1384" s="3" t="n">
        <v>3216</v>
      </c>
      <c r="F1384" s="8" t="n">
        <v>3.2492</v>
      </c>
      <c r="G1384" s="4" t="n">
        <v>555.625</v>
      </c>
      <c r="H1384" s="4" t="n">
        <v>992.1102</v>
      </c>
      <c r="I1384" s="4" t="n">
        <v>12.1525</v>
      </c>
      <c r="J1384" s="4" t="n">
        <v>12.94</v>
      </c>
      <c r="K1384" s="4" t="n">
        <v>11.7875</v>
      </c>
      <c r="L1384" s="4" t="n">
        <v>12.67</v>
      </c>
      <c r="M1384" s="7" t="n">
        <v>0.0426</v>
      </c>
    </row>
    <row r="1385">
      <c r="A1385" s="6" t="n">
        <v>45965</v>
      </c>
      <c r="B1385" s="2" t="inlineStr">
        <is>
          <t>Tuesday</t>
        </is>
      </c>
      <c r="C1385" s="5" t="n">
        <v>45962</v>
      </c>
      <c r="D1385" s="2" t="inlineStr">
        <is>
          <t>Q3FY26</t>
        </is>
      </c>
      <c r="E1385" s="3" t="n">
        <v>3183</v>
      </c>
      <c r="F1385" s="8" t="n">
        <v>3.1458</v>
      </c>
      <c r="G1385" s="4" t="n">
        <v>437.7953</v>
      </c>
      <c r="H1385" s="4" t="n">
        <v>1039.8371</v>
      </c>
      <c r="I1385" s="4" t="n">
        <v>12.665</v>
      </c>
      <c r="J1385" s="4" t="n">
        <v>12.935</v>
      </c>
      <c r="K1385" s="4" t="n">
        <v>10.98</v>
      </c>
      <c r="L1385" s="4" t="n">
        <v>12.65</v>
      </c>
      <c r="M1385" s="7" t="n">
        <v>-0.0012</v>
      </c>
    </row>
    <row r="1386">
      <c r="A1386" s="6" t="n">
        <v>45967</v>
      </c>
      <c r="B1386" s="2" t="inlineStr">
        <is>
          <t>Thursday</t>
        </is>
      </c>
      <c r="C1386" s="5" t="n">
        <v>45962</v>
      </c>
      <c r="D1386" s="2" t="inlineStr">
        <is>
          <t>Q3FY26</t>
        </is>
      </c>
      <c r="E1386" s="3" t="n">
        <v>3199</v>
      </c>
      <c r="F1386" s="8" t="n">
        <v>3.6237</v>
      </c>
      <c r="G1386" s="4" t="n">
        <v>418.4814</v>
      </c>
      <c r="H1386" s="4" t="n">
        <v>1144.5444</v>
      </c>
      <c r="I1386" s="4" t="n">
        <v>12.6525</v>
      </c>
      <c r="J1386" s="4" t="n">
        <v>12.865</v>
      </c>
      <c r="K1386" s="4" t="n">
        <v>12.0575</v>
      </c>
      <c r="L1386" s="4" t="n">
        <v>12.41</v>
      </c>
      <c r="M1386" s="7" t="n">
        <v>-0.0192</v>
      </c>
    </row>
    <row r="1387">
      <c r="A1387" s="6" t="n">
        <v>45968</v>
      </c>
      <c r="B1387" s="2" t="inlineStr">
        <is>
          <t>Friday</t>
        </is>
      </c>
      <c r="C1387" s="5" t="n">
        <v>45962</v>
      </c>
      <c r="D1387" s="2" t="inlineStr">
        <is>
          <t>Q3FY26</t>
        </is>
      </c>
      <c r="E1387" s="3" t="n">
        <v>3214</v>
      </c>
      <c r="F1387" s="8" t="n">
        <v>3.3294</v>
      </c>
      <c r="G1387" s="4" t="n">
        <v>436.7499</v>
      </c>
      <c r="H1387" s="4" t="n">
        <v>1183.9089</v>
      </c>
      <c r="I1387" s="4" t="n">
        <v>12.41</v>
      </c>
      <c r="J1387" s="4" t="n">
        <v>12.6675</v>
      </c>
      <c r="K1387" s="4" t="n">
        <v>11.9575</v>
      </c>
      <c r="L1387" s="4" t="n">
        <v>12.56</v>
      </c>
      <c r="M1387" s="7" t="n">
        <v>0.0121</v>
      </c>
    </row>
    <row r="1388">
      <c r="A1388" s="6" t="n">
        <v>45971</v>
      </c>
      <c r="B1388" s="2" t="inlineStr">
        <is>
          <t>Monday</t>
        </is>
      </c>
      <c r="C1388" s="5" t="n">
        <v>45962</v>
      </c>
      <c r="D1388" s="2" t="inlineStr">
        <is>
          <t>Q3FY26</t>
        </is>
      </c>
      <c r="E1388" s="3" t="n">
        <v>3239</v>
      </c>
      <c r="F1388" s="8" t="n">
        <v>3.302</v>
      </c>
      <c r="G1388" s="4" t="n">
        <v>361.6379</v>
      </c>
      <c r="H1388" s="4" t="n">
        <v>1013.1769</v>
      </c>
      <c r="I1388" s="4" t="n">
        <v>12.5575</v>
      </c>
      <c r="J1388" s="4" t="n">
        <v>12.9275</v>
      </c>
      <c r="K1388" s="4" t="n">
        <v>11.405</v>
      </c>
      <c r="L1388" s="4" t="n">
        <v>12.3</v>
      </c>
      <c r="M1388" s="7" t="n">
        <v>-0.0205</v>
      </c>
    </row>
    <row r="1389">
      <c r="A1389" s="6" t="n">
        <v>45972</v>
      </c>
      <c r="B1389" s="2" t="inlineStr">
        <is>
          <t>Tuesday</t>
        </is>
      </c>
      <c r="C1389" s="5" t="n">
        <v>45962</v>
      </c>
      <c r="D1389" s="2" t="inlineStr">
        <is>
          <t>Q3FY26</t>
        </is>
      </c>
      <c r="E1389" s="3" t="n">
        <v>3208</v>
      </c>
      <c r="F1389" s="8" t="n">
        <v>3.2888</v>
      </c>
      <c r="G1389" s="4" t="n">
        <v>511.2226</v>
      </c>
      <c r="H1389" s="4" t="n">
        <v>1043.7546</v>
      </c>
      <c r="I1389" s="4" t="n">
        <v>12.3</v>
      </c>
      <c r="J1389" s="4" t="n">
        <v>13.005</v>
      </c>
      <c r="K1389" s="4" t="n">
        <v>11.9925</v>
      </c>
      <c r="L1389" s="4" t="n">
        <v>12.49</v>
      </c>
      <c r="M1389" s="7" t="n">
        <v>0.0154</v>
      </c>
    </row>
    <row r="1390">
      <c r="A1390" s="6" t="n">
        <v>45973</v>
      </c>
      <c r="B1390" s="2" t="inlineStr">
        <is>
          <t>Wednesday</t>
        </is>
      </c>
      <c r="C1390" s="5" t="n">
        <v>45962</v>
      </c>
      <c r="D1390" s="2" t="inlineStr">
        <is>
          <t>Q3FY26</t>
        </is>
      </c>
      <c r="E1390" s="3" t="n">
        <v>3202</v>
      </c>
      <c r="F1390" s="8" t="n">
        <v>3.4088</v>
      </c>
      <c r="G1390" s="4" t="n">
        <v>491.3224</v>
      </c>
      <c r="H1390" s="4" t="n">
        <v>1159.9245</v>
      </c>
      <c r="I1390" s="4" t="n">
        <v>12.49</v>
      </c>
      <c r="J1390" s="4" t="n">
        <v>12.7125</v>
      </c>
      <c r="K1390" s="4" t="n">
        <v>11.4425</v>
      </c>
      <c r="L1390" s="4" t="n">
        <v>12.11</v>
      </c>
      <c r="M1390" s="7" t="n">
        <v>-0.0304</v>
      </c>
    </row>
    <row r="1391">
      <c r="A1391" s="6" t="n">
        <v>45974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3192</v>
      </c>
      <c r="F1391" s="8" t="n">
        <v>3.3287</v>
      </c>
      <c r="G1391" s="4" t="n">
        <v>515.1712</v>
      </c>
      <c r="H1391" s="4" t="n">
        <v>1106.375</v>
      </c>
      <c r="I1391" s="4" t="n">
        <v>12.11</v>
      </c>
      <c r="J1391" s="4" t="n">
        <v>12.2725</v>
      </c>
      <c r="K1391" s="4" t="n">
        <v>11.23</v>
      </c>
      <c r="L1391" s="4" t="n">
        <v>12.16</v>
      </c>
      <c r="M1391" s="7" t="n">
        <v>0.0041</v>
      </c>
    </row>
    <row r="1392">
      <c r="A1392" s="6" t="n">
        <v>45975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3196</v>
      </c>
      <c r="F1392" s="8" t="n">
        <v>3.1194</v>
      </c>
      <c r="G1392" s="4" t="n">
        <v>561.2019</v>
      </c>
      <c r="H1392" s="4" t="n">
        <v>1123.9708</v>
      </c>
      <c r="I1392" s="4" t="n">
        <v>12.1625</v>
      </c>
      <c r="J1392" s="4" t="n">
        <v>12.445</v>
      </c>
      <c r="K1392" s="4" t="n">
        <v>11.8025</v>
      </c>
      <c r="L1392" s="4" t="n">
        <v>11.94</v>
      </c>
      <c r="M1392" s="7" t="n">
        <v>-0.0183</v>
      </c>
    </row>
    <row r="1393">
      <c r="A1393" s="6" t="n">
        <v>45978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3258</v>
      </c>
      <c r="F1393" s="8" t="n">
        <v>3.1452</v>
      </c>
      <c r="G1393" s="4" t="n">
        <v>474.7758</v>
      </c>
      <c r="H1393" s="4" t="n">
        <v>996.0019</v>
      </c>
      <c r="I1393" s="4" t="n">
        <v>11.9375</v>
      </c>
      <c r="J1393" s="4" t="n">
        <v>12.28</v>
      </c>
      <c r="K1393" s="4" t="n">
        <v>10.895</v>
      </c>
      <c r="L1393" s="4" t="n">
        <v>11.79</v>
      </c>
      <c r="M1393" s="7" t="n">
        <v>-0.0124</v>
      </c>
    </row>
    <row r="1394">
      <c r="A1394" s="6" t="n">
        <v>45979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3236</v>
      </c>
      <c r="F1394" s="8" t="n">
        <v>3.1258</v>
      </c>
      <c r="G1394" s="4" t="n">
        <v>449.5479</v>
      </c>
      <c r="H1394" s="4" t="n">
        <v>1170.6474</v>
      </c>
      <c r="I1394" s="4" t="n">
        <v>11.7875</v>
      </c>
      <c r="J1394" s="4" t="n">
        <v>12.29</v>
      </c>
      <c r="K1394" s="4" t="n">
        <v>10.94</v>
      </c>
      <c r="L1394" s="4" t="n">
        <v>12.1</v>
      </c>
      <c r="M1394" s="7" t="n">
        <v>0.0265</v>
      </c>
    </row>
    <row r="1395">
      <c r="A1395" s="6" t="n">
        <v>45980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3221</v>
      </c>
      <c r="F1395" s="8" t="n">
        <v>3.1383</v>
      </c>
      <c r="G1395" s="4" t="n">
        <v>449.965</v>
      </c>
      <c r="H1395" s="4" t="n">
        <v>980.1009</v>
      </c>
      <c r="I1395" s="4" t="n">
        <v>12.095</v>
      </c>
      <c r="J1395" s="4" t="n">
        <v>12.375</v>
      </c>
      <c r="K1395" s="4" t="n">
        <v>10.765</v>
      </c>
      <c r="L1395" s="4" t="n">
        <v>11.97</v>
      </c>
      <c r="M1395" s="7" t="n">
        <v>-0.0103</v>
      </c>
    </row>
    <row r="1396">
      <c r="A1396" s="6" t="n">
        <v>45981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3207</v>
      </c>
      <c r="F1396" s="8" t="n">
        <v>2.9327</v>
      </c>
      <c r="G1396" s="4" t="n">
        <v>477.2082</v>
      </c>
      <c r="H1396" s="4" t="n">
        <v>966.2832</v>
      </c>
      <c r="I1396" s="4" t="n">
        <v>11.9725</v>
      </c>
      <c r="J1396" s="4" t="n">
        <v>12.3775</v>
      </c>
      <c r="K1396" s="4" t="n">
        <v>11.055</v>
      </c>
      <c r="L1396" s="4" t="n">
        <v>12.14</v>
      </c>
      <c r="M1396" s="7" t="n">
        <v>0.014</v>
      </c>
    </row>
    <row r="1397">
      <c r="A1397" s="6" t="n">
        <v>45982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3182</v>
      </c>
      <c r="F1397" s="8" t="n">
        <v>2.8421</v>
      </c>
      <c r="G1397" s="4" t="n">
        <v>411.0135</v>
      </c>
      <c r="H1397" s="4" t="n">
        <v>908.3623</v>
      </c>
      <c r="I1397" s="4" t="n">
        <v>12.135</v>
      </c>
      <c r="J1397" s="4" t="n">
        <v>13.85</v>
      </c>
      <c r="K1397" s="4" t="n">
        <v>12.135</v>
      </c>
      <c r="L1397" s="4" t="n">
        <v>13.63</v>
      </c>
      <c r="M1397" s="7" t="n">
        <v>0.1232</v>
      </c>
    </row>
    <row r="1398">
      <c r="A1398" s="6" t="n">
        <v>45985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3220</v>
      </c>
      <c r="F1398" s="8" t="n">
        <v>3.3484</v>
      </c>
      <c r="G1398" s="4" t="n">
        <v>453.4237</v>
      </c>
      <c r="H1398" s="4" t="n">
        <v>1542.3067</v>
      </c>
      <c r="I1398" s="4" t="n">
        <v>13.63</v>
      </c>
      <c r="J1398" s="4" t="n">
        <v>13.63</v>
      </c>
      <c r="K1398" s="4" t="n">
        <v>11.9375</v>
      </c>
      <c r="L1398" s="4" t="n">
        <v>13.24</v>
      </c>
      <c r="M1398" s="7" t="n">
        <v>-0.0286</v>
      </c>
    </row>
    <row r="1399">
      <c r="A1399" s="6" t="n">
        <v>45986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3220</v>
      </c>
      <c r="F1399" s="8" t="n">
        <v>2.8622</v>
      </c>
      <c r="G1399" s="4" t="n">
        <v>366.923</v>
      </c>
      <c r="H1399" s="4" t="n">
        <v>877.1353</v>
      </c>
      <c r="I1399" s="4" t="n">
        <v>13.235</v>
      </c>
      <c r="J1399" s="4" t="n">
        <v>13.235</v>
      </c>
      <c r="K1399" s="4" t="n">
        <v>10.855</v>
      </c>
      <c r="L1399" s="4" t="n">
        <v>12.24</v>
      </c>
      <c r="M1399" s="7" t="n">
        <v>-0.0752</v>
      </c>
    </row>
    <row r="1400">
      <c r="A1400" s="6" t="n">
        <v>45987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3200</v>
      </c>
      <c r="F1400" s="8" t="n">
        <v>2.7723</v>
      </c>
      <c r="G1400" s="4" t="n">
        <v>349.6877</v>
      </c>
      <c r="H1400" s="4" t="n">
        <v>947.2501999999999</v>
      </c>
      <c r="I1400" s="4" t="n">
        <v>12.2425</v>
      </c>
      <c r="J1400" s="4" t="n">
        <v>12.5725</v>
      </c>
      <c r="K1400" s="4" t="n">
        <v>11.585</v>
      </c>
      <c r="L1400" s="4" t="n">
        <v>11.97</v>
      </c>
      <c r="M1400" s="7" t="n">
        <v>-0.0223</v>
      </c>
    </row>
    <row r="1401">
      <c r="A1401" s="6" t="n">
        <v>45988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3202</v>
      </c>
      <c r="F1401" s="8" t="n">
        <v>2.7297</v>
      </c>
      <c r="G1401" s="4" t="n">
        <v>359.336</v>
      </c>
      <c r="H1401" s="4" t="n">
        <v>848.1541999999999</v>
      </c>
      <c r="I1401" s="4" t="n">
        <v>11.9675</v>
      </c>
      <c r="J1401" s="4" t="n">
        <v>12.2425</v>
      </c>
      <c r="K1401" s="4" t="n">
        <v>11.5075</v>
      </c>
      <c r="L1401" s="4" t="n">
        <v>11.79</v>
      </c>
      <c r="M1401" s="7" t="n">
        <v>-0.0148</v>
      </c>
    </row>
    <row r="1402">
      <c r="A1402" s="6" t="n">
        <v>45989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3193</v>
      </c>
      <c r="F1402" s="8" t="n">
        <v>2.6826</v>
      </c>
      <c r="G1402" s="4" t="n">
        <v>348.0769</v>
      </c>
      <c r="H1402" s="4" t="n">
        <v>825.6835</v>
      </c>
      <c r="I1402" s="4" t="n">
        <v>11.785</v>
      </c>
      <c r="J1402" s="4" t="n">
        <v>11.785</v>
      </c>
      <c r="K1402" s="4" t="n">
        <v>10.8175</v>
      </c>
      <c r="L1402" s="4" t="n">
        <v>11.62</v>
      </c>
      <c r="M1402" s="7" t="n">
        <v>-0.014</v>
      </c>
    </row>
    <row r="1403">
      <c r="A1403" s="6" t="n">
        <v>45992</v>
      </c>
      <c r="B1403" s="2" t="inlineStr">
        <is>
          <t>Monday</t>
        </is>
      </c>
      <c r="C1403" s="5" t="n">
        <v>45992</v>
      </c>
      <c r="D1403" s="2" t="inlineStr">
        <is>
          <t>Q3FY26</t>
        </is>
      </c>
      <c r="E1403" s="3" t="n">
        <v>3228</v>
      </c>
      <c r="F1403" s="8" t="n">
        <v>3.0659</v>
      </c>
      <c r="G1403" s="4" t="n">
        <v>412.7853</v>
      </c>
      <c r="H1403" s="4" t="n">
        <v>852.163</v>
      </c>
      <c r="I1403" s="4" t="n">
        <v>11.6175</v>
      </c>
      <c r="J1403" s="4" t="n">
        <v>12.01</v>
      </c>
      <c r="K1403" s="4" t="n">
        <v>10.9</v>
      </c>
      <c r="L1403" s="4" t="n">
        <v>11.63</v>
      </c>
      <c r="M1403" s="7" t="n">
        <v>0.0011</v>
      </c>
    </row>
    <row r="1404">
      <c r="A1404" s="6" t="n">
        <v>45993</v>
      </c>
      <c r="B1404" s="2" t="inlineStr">
        <is>
          <t>Tuesday</t>
        </is>
      </c>
      <c r="C1404" s="5" t="n">
        <v>45992</v>
      </c>
      <c r="D1404" s="2" t="inlineStr">
        <is>
          <t>Q3FY26</t>
        </is>
      </c>
      <c r="E1404" s="3" t="n">
        <v>3211</v>
      </c>
      <c r="F1404" s="8" t="n">
        <v>2.8873</v>
      </c>
      <c r="G1404" s="4" t="n">
        <v>487.7782</v>
      </c>
      <c r="H1404" s="4" t="n">
        <v>938.1357</v>
      </c>
      <c r="I1404" s="4" t="n">
        <v>11.625</v>
      </c>
      <c r="J1404" s="4" t="n">
        <v>11.94</v>
      </c>
      <c r="K1404" s="4" t="n">
        <v>11.03</v>
      </c>
      <c r="L1404" s="4" t="n">
        <v>11.23</v>
      </c>
      <c r="M1404" s="7" t="n">
        <v>-0.034</v>
      </c>
    </row>
    <row r="1405">
      <c r="A1405" s="6" t="n">
        <v>45994</v>
      </c>
      <c r="B1405" s="2" t="inlineStr">
        <is>
          <t>Wednesday</t>
        </is>
      </c>
      <c r="C1405" s="5" t="n">
        <v>45992</v>
      </c>
      <c r="D1405" s="2" t="inlineStr">
        <is>
          <t>Q3FY26</t>
        </is>
      </c>
      <c r="E1405" s="3" t="n">
        <v>3227</v>
      </c>
      <c r="F1405" s="8" t="n">
        <v>3.0266</v>
      </c>
      <c r="G1405" s="4" t="n">
        <v>477.0097</v>
      </c>
      <c r="H1405" s="4" t="n">
        <v>933.8169</v>
      </c>
      <c r="I1405" s="4" t="n">
        <v>11.2275</v>
      </c>
      <c r="J1405" s="4" t="n">
        <v>11.3725</v>
      </c>
      <c r="K1405" s="4" t="n">
        <v>10.915</v>
      </c>
      <c r="L1405" s="4" t="n">
        <v>11.21</v>
      </c>
      <c r="M1405" s="7" t="n">
        <v>-0.0016</v>
      </c>
    </row>
    <row r="1406">
      <c r="A1406" s="6" t="n">
        <v>45995</v>
      </c>
      <c r="B1406" s="2" t="inlineStr">
        <is>
          <t>Thursday</t>
        </is>
      </c>
      <c r="C1406" s="5" t="n">
        <v>45992</v>
      </c>
      <c r="D1406" s="2" t="inlineStr">
        <is>
          <t>Q3FY26</t>
        </is>
      </c>
      <c r="E1406" s="3" t="n">
        <v>3224</v>
      </c>
      <c r="F1406" s="8" t="n">
        <v>2.8517</v>
      </c>
      <c r="G1406" s="4" t="n">
        <v>458.1919</v>
      </c>
      <c r="H1406" s="4" t="n">
        <v>883.37</v>
      </c>
      <c r="I1406" s="4" t="n">
        <v>11.2125</v>
      </c>
      <c r="J1406" s="4" t="n">
        <v>11.27</v>
      </c>
      <c r="K1406" s="4" t="n">
        <v>10.58</v>
      </c>
      <c r="L1406" s="4" t="n">
        <v>10.82</v>
      </c>
      <c r="M1406" s="7" t="n">
        <v>-0.035</v>
      </c>
    </row>
    <row r="1407">
      <c r="A1407" s="6" t="n">
        <v>45996</v>
      </c>
      <c r="B1407" s="2" t="inlineStr">
        <is>
          <t>Friday</t>
        </is>
      </c>
      <c r="C1407" s="5" t="n">
        <v>45992</v>
      </c>
      <c r="D1407" s="2" t="inlineStr">
        <is>
          <t>Q3FY26</t>
        </is>
      </c>
      <c r="E1407" s="3" t="n">
        <v>3203</v>
      </c>
      <c r="F1407" s="8" t="n">
        <v>2.7965</v>
      </c>
      <c r="G1407" s="4" t="n">
        <v>438.2451</v>
      </c>
      <c r="H1407" s="4" t="n">
        <v>917.8056</v>
      </c>
      <c r="I1407" s="4" t="n">
        <v>10.8175</v>
      </c>
      <c r="J1407" s="4" t="n">
        <v>10.8675</v>
      </c>
      <c r="K1407" s="4" t="n">
        <v>10.1575</v>
      </c>
      <c r="L1407" s="4" t="n">
        <v>10.32</v>
      </c>
      <c r="M1407" s="7" t="n">
        <v>-0.046</v>
      </c>
    </row>
    <row r="1408">
      <c r="A1408" s="6" t="n">
        <v>45999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3256</v>
      </c>
      <c r="F1408" s="8" t="n">
        <v>3.3702</v>
      </c>
      <c r="G1408" s="4" t="n">
        <v>426.6154</v>
      </c>
      <c r="H1408" s="4" t="n">
        <v>967.5579</v>
      </c>
      <c r="I1408" s="4" t="n">
        <v>10.315</v>
      </c>
      <c r="J1408" s="4" t="n">
        <v>11.61</v>
      </c>
      <c r="K1408" s="4" t="n">
        <v>10.135</v>
      </c>
      <c r="L1408" s="4" t="n">
        <v>11.13</v>
      </c>
      <c r="M1408" s="7" t="n">
        <v>0.079</v>
      </c>
    </row>
    <row r="1409">
      <c r="A1409" s="6" t="n">
        <v>46000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3217</v>
      </c>
      <c r="F1409" s="8" t="n">
        <v>3.4343</v>
      </c>
      <c r="G1409" s="4" t="n">
        <v>463.3656</v>
      </c>
      <c r="H1409" s="4" t="n">
        <v>1061.4828</v>
      </c>
      <c r="I1409" s="4" t="n">
        <v>11.125</v>
      </c>
      <c r="J1409" s="4" t="n">
        <v>11.8825</v>
      </c>
      <c r="K1409" s="4" t="n">
        <v>10.455</v>
      </c>
      <c r="L1409" s="4" t="n">
        <v>10.95</v>
      </c>
      <c r="M1409" s="7" t="n">
        <v>-0.0157</v>
      </c>
    </row>
    <row r="1410">
      <c r="A1410" s="6" t="n">
        <v>46001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3214</v>
      </c>
      <c r="F1410" s="8" t="n">
        <v>3.1032</v>
      </c>
      <c r="G1410" s="4" t="n">
        <v>417.1931</v>
      </c>
      <c r="H1410" s="4" t="n">
        <v>958.2674</v>
      </c>
      <c r="I1410" s="4" t="n">
        <v>10.9525</v>
      </c>
      <c r="J1410" s="4" t="n">
        <v>11.4225</v>
      </c>
      <c r="K1410" s="4" t="n">
        <v>10.49</v>
      </c>
      <c r="L1410" s="4" t="n">
        <v>10.91</v>
      </c>
      <c r="M1410" s="7" t="n">
        <v>-0.0039</v>
      </c>
    </row>
    <row r="1411">
      <c r="A1411" s="6" t="n">
        <v>46002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3214</v>
      </c>
      <c r="F1411" s="8" t="n">
        <v>2.6536</v>
      </c>
      <c r="G1411" s="4" t="n">
        <v>393.5771</v>
      </c>
      <c r="H1411" s="4" t="n">
        <v>793.0078</v>
      </c>
      <c r="I1411" s="4" t="n">
        <v>10.9125</v>
      </c>
      <c r="J1411" s="4" t="n">
        <v>11.1925</v>
      </c>
      <c r="K1411" s="4" t="n">
        <v>10.3175</v>
      </c>
      <c r="L1411" s="4" t="n">
        <v>10.4</v>
      </c>
      <c r="M1411" s="7" t="n">
        <v>-0.047</v>
      </c>
    </row>
    <row r="1412">
      <c r="A1412" s="6" t="n">
        <v>46003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3201</v>
      </c>
      <c r="F1412" s="8" t="n">
        <v>2.7286</v>
      </c>
      <c r="G1412" s="4" t="n">
        <v>427.766</v>
      </c>
      <c r="H1412" s="4" t="n">
        <v>863.9002</v>
      </c>
      <c r="I1412" s="4" t="n">
        <v>10.4</v>
      </c>
      <c r="J1412" s="4" t="n">
        <v>10.4</v>
      </c>
      <c r="K1412" s="4" t="n">
        <v>9.9625</v>
      </c>
      <c r="L1412" s="4" t="n">
        <v>10.11</v>
      </c>
      <c r="M1412" s="7" t="n">
        <v>-0.0279</v>
      </c>
    </row>
    <row r="1413">
      <c r="A1413" s="6" t="n">
        <v>46006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3242</v>
      </c>
      <c r="F1413" s="8" t="n">
        <v>2.8465</v>
      </c>
      <c r="G1413" s="4" t="n">
        <v>433.0548</v>
      </c>
      <c r="H1413" s="4" t="n">
        <v>799.7297</v>
      </c>
      <c r="I1413" s="4" t="n">
        <v>10.1075</v>
      </c>
      <c r="J1413" s="4" t="n">
        <v>10.8425</v>
      </c>
      <c r="K1413" s="4" t="n">
        <v>10.0475</v>
      </c>
      <c r="L1413" s="4" t="n">
        <v>10.25</v>
      </c>
      <c r="M1413" s="7" t="n">
        <v>0.0141</v>
      </c>
    </row>
    <row r="1414">
      <c r="A1414" s="6" t="n">
        <v>46007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3217</v>
      </c>
      <c r="F1414" s="8" t="n">
        <v>2.8266</v>
      </c>
      <c r="G1414" s="4" t="n">
        <v>393.7481</v>
      </c>
      <c r="H1414" s="4" t="n">
        <v>839.8454</v>
      </c>
      <c r="I1414" s="4" t="n">
        <v>10.25</v>
      </c>
      <c r="J1414" s="4" t="n">
        <v>10.4275</v>
      </c>
      <c r="K1414" s="4" t="n">
        <v>9.6625</v>
      </c>
      <c r="L1414" s="4" t="n">
        <v>10.06</v>
      </c>
      <c r="M1414" s="7" t="n">
        <v>-0.0185</v>
      </c>
    </row>
    <row r="1415">
      <c r="A1415" s="6" t="n">
        <v>46008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3231</v>
      </c>
      <c r="F1415" s="8" t="n">
        <v>2.8077</v>
      </c>
      <c r="G1415" s="4" t="n">
        <v>407.5953</v>
      </c>
      <c r="H1415" s="4" t="n">
        <v>851.7975</v>
      </c>
      <c r="I1415" s="4" t="n">
        <v>10.0625</v>
      </c>
      <c r="J1415" s="4" t="n">
        <v>10.1775</v>
      </c>
      <c r="K1415" s="4" t="n">
        <v>9.4825</v>
      </c>
      <c r="L1415" s="4" t="n">
        <v>9.84</v>
      </c>
      <c r="M1415" s="7" t="n">
        <v>-0.0221</v>
      </c>
    </row>
    <row r="1416">
      <c r="A1416" s="6" t="n">
        <v>46009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3215</v>
      </c>
      <c r="F1416" s="8" t="n">
        <v>2.9913</v>
      </c>
      <c r="G1416" s="4" t="n">
        <v>437.9769</v>
      </c>
      <c r="H1416" s="4" t="n">
        <v>878.6532</v>
      </c>
      <c r="I1416" s="4" t="n">
        <v>9.8375</v>
      </c>
      <c r="J1416" s="4" t="n">
        <v>9.9475</v>
      </c>
      <c r="K1416" s="4" t="n">
        <v>9.612500000000001</v>
      </c>
      <c r="L1416" s="4" t="n">
        <v>9.710000000000001</v>
      </c>
      <c r="M1416" s="7" t="n">
        <v>-0.013</v>
      </c>
    </row>
    <row r="1417">
      <c r="A1417" s="6" t="n">
        <v>46010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3220</v>
      </c>
      <c r="F1417" s="8" t="n">
        <v>3.4097</v>
      </c>
      <c r="G1417" s="4" t="n">
        <v>527.7607</v>
      </c>
      <c r="H1417" s="4" t="n">
        <v>1241.4141</v>
      </c>
      <c r="I1417" s="4" t="n">
        <v>9.7075</v>
      </c>
      <c r="J1417" s="4" t="n">
        <v>10.3075</v>
      </c>
      <c r="K1417" s="4" t="n">
        <v>9.435</v>
      </c>
      <c r="L1417" s="4" t="n">
        <v>9.52</v>
      </c>
      <c r="M1417" s="7" t="n">
        <v>-0.0193</v>
      </c>
    </row>
    <row r="1418">
      <c r="A1418" s="6" t="n">
        <v>46013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3289</v>
      </c>
      <c r="F1418" s="8" t="n">
        <v>3.1968</v>
      </c>
      <c r="G1418" s="4" t="n">
        <v>504.3421</v>
      </c>
      <c r="H1418" s="4" t="n">
        <v>974.5845</v>
      </c>
      <c r="I1418" s="4" t="n">
        <v>9.522500000000001</v>
      </c>
      <c r="J1418" s="4" t="n">
        <v>9.897500000000001</v>
      </c>
      <c r="K1418" s="4" t="n">
        <v>8.862500000000001</v>
      </c>
      <c r="L1418" s="4" t="n">
        <v>9.68</v>
      </c>
      <c r="M1418" s="7" t="n">
        <v>0.0165</v>
      </c>
    </row>
    <row r="1419">
      <c r="A1419" s="6" t="n">
        <v>46014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3269</v>
      </c>
      <c r="F1419" s="8" t="n">
        <v>3.0593</v>
      </c>
      <c r="G1419" s="4" t="n">
        <v>466.2163</v>
      </c>
      <c r="H1419" s="4" t="n">
        <v>891.5576</v>
      </c>
      <c r="I1419" s="4" t="n">
        <v>9.675000000000001</v>
      </c>
      <c r="J1419" s="4" t="n">
        <v>9.785</v>
      </c>
      <c r="K1419" s="4" t="n">
        <v>9.3225</v>
      </c>
      <c r="L1419" s="4" t="n">
        <v>9.380000000000001</v>
      </c>
      <c r="M1419" s="7" t="n">
        <v>-0.0305</v>
      </c>
    </row>
    <row r="1420">
      <c r="A1420" s="6" t="n">
        <v>46015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3253</v>
      </c>
      <c r="F1420" s="8" t="n">
        <v>2.8546</v>
      </c>
      <c r="G1420" s="4" t="n">
        <v>430.3732</v>
      </c>
      <c r="H1420" s="4" t="n">
        <v>862.4102</v>
      </c>
      <c r="I1420" s="4" t="n">
        <v>9.3775</v>
      </c>
      <c r="J1420" s="4" t="n">
        <v>9.68</v>
      </c>
      <c r="K1420" s="4" t="n">
        <v>8.8825</v>
      </c>
      <c r="L1420" s="4" t="n">
        <v>9.19</v>
      </c>
      <c r="M1420" s="7" t="n">
        <v>-0.02</v>
      </c>
    </row>
    <row r="1421">
      <c r="A1421" s="6" t="n">
        <v>46017</v>
      </c>
      <c r="B1421" s="2" t="inlineStr">
        <is>
          <t>Friday</t>
        </is>
      </c>
      <c r="C1421" s="5" t="n">
        <v>45992</v>
      </c>
      <c r="D1421" s="2" t="inlineStr">
        <is>
          <t>Q3FY26</t>
        </is>
      </c>
      <c r="E1421" s="3" t="n">
        <v>3254</v>
      </c>
      <c r="F1421" s="8" t="n">
        <v>2.7146</v>
      </c>
      <c r="G1421" s="4" t="n">
        <v>425.0234</v>
      </c>
      <c r="H1421" s="4" t="n">
        <v>815.5379</v>
      </c>
      <c r="I1421" s="4" t="n">
        <v>9.19</v>
      </c>
      <c r="J1421" s="4" t="n">
        <v>9.395</v>
      </c>
      <c r="K1421" s="4" t="n">
        <v>9.02</v>
      </c>
      <c r="L1421" s="4" t="n">
        <v>9.15</v>
      </c>
      <c r="M1421" s="7" t="n">
        <v>-0.0044</v>
      </c>
    </row>
    <row r="1422">
      <c r="A1422" s="6" t="n">
        <v>46020</v>
      </c>
      <c r="B1422" s="2" t="inlineStr">
        <is>
          <t>Monday</t>
        </is>
      </c>
      <c r="C1422" s="5" t="n">
        <v>45992</v>
      </c>
      <c r="D1422" s="2" t="inlineStr">
        <is>
          <t>Q3FY26</t>
        </is>
      </c>
      <c r="E1422" s="3" t="n">
        <v>3299</v>
      </c>
      <c r="F1422" s="8" t="n">
        <v>3.2394</v>
      </c>
      <c r="G1422" s="4" t="n">
        <v>542.4197</v>
      </c>
      <c r="H1422" s="4" t="n">
        <v>1039.279</v>
      </c>
      <c r="I1422" s="4" t="n">
        <v>9.15</v>
      </c>
      <c r="J1422" s="4" t="n">
        <v>9.77</v>
      </c>
      <c r="K1422" s="4" t="n">
        <v>9.047499999999999</v>
      </c>
      <c r="L1422" s="4" t="n">
        <v>9.720000000000001</v>
      </c>
      <c r="M1422" s="7" t="n">
        <v>0.0623</v>
      </c>
    </row>
    <row r="1423">
      <c r="A1423" s="6" t="n">
        <v>46021</v>
      </c>
      <c r="B1423" s="2" t="inlineStr">
        <is>
          <t>Tuesday</t>
        </is>
      </c>
      <c r="C1423" s="5" t="n">
        <v>45992</v>
      </c>
      <c r="D1423" s="2" t="inlineStr">
        <is>
          <t>Q3FY26</t>
        </is>
      </c>
      <c r="E1423" s="3" t="n">
        <v>3247</v>
      </c>
      <c r="F1423" s="8" t="n">
        <v>3.8942</v>
      </c>
      <c r="G1423" s="4" t="n">
        <v>563.1872</v>
      </c>
      <c r="H1423" s="4" t="n">
        <v>1417.9539</v>
      </c>
      <c r="I1423" s="4" t="n">
        <v>9.720000000000001</v>
      </c>
      <c r="J1423" s="4" t="n">
        <v>9.987500000000001</v>
      </c>
      <c r="K1423" s="4" t="n">
        <v>9.5875</v>
      </c>
      <c r="L1423" s="4" t="n">
        <v>9.68</v>
      </c>
      <c r="M1423" s="7" t="n">
        <v>-0.0041</v>
      </c>
    </row>
    <row r="1424">
      <c r="A1424" s="6" t="n">
        <v>46022</v>
      </c>
      <c r="B1424" s="2" t="inlineStr">
        <is>
          <t>Wednesday</t>
        </is>
      </c>
      <c r="C1424" s="5" t="n">
        <v>45992</v>
      </c>
      <c r="D1424" s="2" t="inlineStr">
        <is>
          <t>Q3FY26</t>
        </is>
      </c>
      <c r="E1424" s="3" t="n">
        <v>3256</v>
      </c>
      <c r="F1424" s="8" t="n">
        <v>3.067</v>
      </c>
      <c r="G1424" s="4" t="n">
        <v>766.0712</v>
      </c>
      <c r="H1424" s="4" t="n">
        <v>1006.9576</v>
      </c>
      <c r="I1424" s="4" t="n">
        <v>9.6775</v>
      </c>
      <c r="J1424" s="4" t="n">
        <v>9.73</v>
      </c>
      <c r="K1424" s="4" t="n">
        <v>9.3125</v>
      </c>
      <c r="L1424" s="4" t="n">
        <v>9.48</v>
      </c>
      <c r="M1424" s="7" t="n">
        <v>-0.0204</v>
      </c>
    </row>
    <row r="1425">
      <c r="A1425" s="6" t="n">
        <v>46023</v>
      </c>
      <c r="B1425" s="2" t="inlineStr">
        <is>
          <t>Thursday</t>
        </is>
      </c>
      <c r="C1425" s="5" t="n">
        <v>46023</v>
      </c>
      <c r="D1425" s="2" t="inlineStr">
        <is>
          <t>Q4FY26</t>
        </is>
      </c>
      <c r="E1425" s="3" t="n">
        <v>3227</v>
      </c>
      <c r="F1425" s="8" t="n">
        <v>2.4411</v>
      </c>
      <c r="G1425" s="4" t="n">
        <v>602.3228</v>
      </c>
      <c r="H1425" s="4" t="n">
        <v>802.3239</v>
      </c>
      <c r="I1425" s="4" t="n">
        <v>9.475</v>
      </c>
      <c r="J1425" s="4" t="n">
        <v>9.475</v>
      </c>
      <c r="K1425" s="4" t="n">
        <v>8.720000000000001</v>
      </c>
      <c r="L1425" s="4" t="n">
        <v>9.19</v>
      </c>
      <c r="M1425" s="7" t="n">
        <v>-0.0301</v>
      </c>
    </row>
    <row r="1426">
      <c r="A1426" s="6" t="n">
        <v>46024</v>
      </c>
      <c r="B1426" s="2" t="inlineStr">
        <is>
          <t>Friday</t>
        </is>
      </c>
      <c r="C1426" s="5" t="n">
        <v>46023</v>
      </c>
      <c r="D1426" s="2" t="inlineStr">
        <is>
          <t>Q4FY26</t>
        </is>
      </c>
      <c r="E1426" s="3" t="n">
        <v>3252</v>
      </c>
      <c r="F1426" s="8" t="n">
        <v>3.1153</v>
      </c>
      <c r="G1426" s="4" t="n">
        <v>570.3298</v>
      </c>
      <c r="H1426" s="4" t="n">
        <v>1024.3851</v>
      </c>
      <c r="I1426" s="4" t="n">
        <v>9.185</v>
      </c>
      <c r="J1426" s="4" t="n">
        <v>9.555</v>
      </c>
      <c r="K1426" s="4" t="n">
        <v>8.967499999999999</v>
      </c>
      <c r="L1426" s="4" t="n">
        <v>9.449999999999999</v>
      </c>
      <c r="M1426" s="7" t="n">
        <v>0.0289</v>
      </c>
    </row>
    <row r="1427">
      <c r="A1427" s="6" t="n">
        <v>46027</v>
      </c>
      <c r="B1427" s="2" t="inlineStr">
        <is>
          <t>Monday</t>
        </is>
      </c>
      <c r="C1427" s="5" t="n">
        <v>46023</v>
      </c>
      <c r="D1427" s="2" t="inlineStr">
        <is>
          <t>Q4FY26</t>
        </is>
      </c>
      <c r="E1427" s="3" t="n">
        <v>3262</v>
      </c>
      <c r="F1427" s="8" t="n">
        <v>3.3596</v>
      </c>
      <c r="G1427" s="4" t="n">
        <v>538.7858</v>
      </c>
      <c r="H1427" s="4" t="n">
        <v>1046.0245</v>
      </c>
      <c r="I1427" s="4" t="n">
        <v>9.449999999999999</v>
      </c>
      <c r="J1427" s="4" t="n">
        <v>10.215</v>
      </c>
      <c r="K1427" s="4" t="n">
        <v>9.2925</v>
      </c>
      <c r="L1427" s="4" t="n">
        <v>10.02</v>
      </c>
      <c r="M1427" s="7" t="n">
        <v>0.0603</v>
      </c>
    </row>
    <row r="1428">
      <c r="A1428" s="6" t="n">
        <v>46028</v>
      </c>
      <c r="B1428" s="2" t="inlineStr">
        <is>
          <t>Tuesday</t>
        </is>
      </c>
      <c r="C1428" s="5" t="n">
        <v>46023</v>
      </c>
      <c r="D1428" s="2" t="inlineStr">
        <is>
          <t>Q4FY26</t>
        </is>
      </c>
      <c r="E1428" s="3" t="n">
        <v>3239</v>
      </c>
      <c r="F1428" s="8" t="n">
        <v>3.3227</v>
      </c>
      <c r="G1428" s="4" t="n">
        <v>484.5263</v>
      </c>
      <c r="H1428" s="4" t="n">
        <v>1094.5406</v>
      </c>
      <c r="I1428" s="4" t="n">
        <v>10.0225</v>
      </c>
      <c r="J1428" s="4" t="n">
        <v>10.285</v>
      </c>
      <c r="K1428" s="4" t="n">
        <v>9.647500000000001</v>
      </c>
      <c r="L1428" s="4" t="n">
        <v>10.02</v>
      </c>
      <c r="M1428" s="7" t="n">
        <v>-0.0002</v>
      </c>
    </row>
    <row r="1429">
      <c r="A1429" s="6" t="n">
        <v>46029</v>
      </c>
      <c r="B1429" s="2" t="inlineStr">
        <is>
          <t>Wednesday</t>
        </is>
      </c>
      <c r="C1429" s="5" t="n">
        <v>46023</v>
      </c>
      <c r="D1429" s="2" t="inlineStr">
        <is>
          <t>Q4FY26</t>
        </is>
      </c>
      <c r="E1429" s="3" t="n">
        <v>3250</v>
      </c>
      <c r="F1429" s="8" t="n">
        <v>3.1971</v>
      </c>
      <c r="G1429" s="4" t="n">
        <v>446.2754</v>
      </c>
      <c r="H1429" s="4" t="n">
        <v>1064.6318</v>
      </c>
      <c r="I1429" s="4" t="n">
        <v>10.0175</v>
      </c>
      <c r="J1429" s="4" t="n">
        <v>10.24</v>
      </c>
      <c r="K1429" s="4" t="n">
        <v>9.744999999999999</v>
      </c>
      <c r="L1429" s="4" t="n">
        <v>9.949999999999999</v>
      </c>
      <c r="M1429" s="7" t="n">
        <v>-0.0067</v>
      </c>
    </row>
    <row r="1430">
      <c r="A1430" s="6" t="n">
        <v>46030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3249</v>
      </c>
      <c r="F1430" s="8" t="n">
        <v>3.5427</v>
      </c>
      <c r="G1430" s="4" t="n">
        <v>488.2502</v>
      </c>
      <c r="H1430" s="4" t="n">
        <v>1089.5413</v>
      </c>
      <c r="I1430" s="4" t="n">
        <v>9.949999999999999</v>
      </c>
      <c r="J1430" s="4" t="n">
        <v>10.99</v>
      </c>
      <c r="K1430" s="4" t="n">
        <v>9.475</v>
      </c>
      <c r="L1430" s="4" t="n">
        <v>10.6</v>
      </c>
      <c r="M1430" s="7" t="n">
        <v>0.0653</v>
      </c>
    </row>
    <row r="1431">
      <c r="A1431" s="6" t="n">
        <v>46031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3244</v>
      </c>
      <c r="F1431" s="8" t="n">
        <v>3.3709</v>
      </c>
      <c r="G1431" s="4" t="n">
        <v>622.3166</v>
      </c>
      <c r="H1431" s="4" t="n">
        <v>1067.4684</v>
      </c>
      <c r="I1431" s="4" t="n">
        <v>10.6</v>
      </c>
      <c r="J1431" s="4" t="n">
        <v>11.035</v>
      </c>
      <c r="K1431" s="4" t="n">
        <v>10.2175</v>
      </c>
      <c r="L1431" s="4" t="n">
        <v>10.93</v>
      </c>
      <c r="M1431" s="7" t="n">
        <v>0.0311</v>
      </c>
    </row>
    <row r="1432">
      <c r="A1432" s="6" t="n">
        <v>46034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3240</v>
      </c>
      <c r="F1432" s="8" t="n">
        <v>3.5547</v>
      </c>
      <c r="G1432" s="4" t="n">
        <v>526.8936</v>
      </c>
      <c r="H1432" s="4" t="n">
        <v>1036.9169</v>
      </c>
      <c r="I1432" s="4" t="n">
        <v>10.925</v>
      </c>
      <c r="J1432" s="4" t="n">
        <v>11.945</v>
      </c>
      <c r="K1432" s="4" t="n">
        <v>10.5175</v>
      </c>
      <c r="L1432" s="4" t="n">
        <v>11.37</v>
      </c>
      <c r="M1432" s="7" t="n">
        <v>0.0407</v>
      </c>
    </row>
    <row r="1433">
      <c r="A1433" s="6" t="n">
        <v>46035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3249</v>
      </c>
      <c r="F1433" s="8" t="n">
        <v>2.9942</v>
      </c>
      <c r="G1433" s="4" t="n">
        <v>480.3886</v>
      </c>
      <c r="H1433" s="4" t="n">
        <v>1016.3697</v>
      </c>
      <c r="I1433" s="4" t="n">
        <v>11.3675</v>
      </c>
      <c r="J1433" s="4" t="n">
        <v>11.68</v>
      </c>
      <c r="K1433" s="4" t="n">
        <v>10.6375</v>
      </c>
      <c r="L1433" s="4" t="n">
        <v>11.2</v>
      </c>
      <c r="M1433" s="7" t="n">
        <v>-0.0147</v>
      </c>
    </row>
    <row r="1434">
      <c r="A1434" s="6" t="n">
        <v>46036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3244</v>
      </c>
      <c r="F1434" s="8" t="n">
        <v>3.1139</v>
      </c>
      <c r="G1434" s="4" t="n">
        <v>487.1496</v>
      </c>
      <c r="H1434" s="4" t="n">
        <v>1095.381</v>
      </c>
      <c r="I1434" s="4" t="n">
        <v>11.1975</v>
      </c>
      <c r="J1434" s="4" t="n">
        <v>11.4725</v>
      </c>
      <c r="K1434" s="4" t="n">
        <v>11.0125</v>
      </c>
      <c r="L1434" s="4" t="n">
        <v>11.32</v>
      </c>
      <c r="M1434" s="7" t="n">
        <v>0.0109</v>
      </c>
    </row>
    <row r="1435">
      <c r="A1435" s="6" t="n">
        <v>46038</v>
      </c>
      <c r="B1435" s="2" t="inlineStr">
        <is>
          <t>Friday</t>
        </is>
      </c>
      <c r="C1435" s="5" t="n">
        <v>46023</v>
      </c>
      <c r="D1435" s="2" t="inlineStr">
        <is>
          <t>Q4FY26</t>
        </is>
      </c>
      <c r="E1435" s="3" t="n">
        <v>3276</v>
      </c>
      <c r="F1435" s="8" t="n">
        <v>3.5657</v>
      </c>
      <c r="G1435" s="4" t="n">
        <v>574.1968000000001</v>
      </c>
      <c r="H1435" s="4" t="n">
        <v>1250.6743</v>
      </c>
      <c r="I1435" s="4" t="n">
        <v>11.32</v>
      </c>
      <c r="J1435" s="4" t="n">
        <v>11.575</v>
      </c>
      <c r="K1435" s="4" t="n">
        <v>10.875</v>
      </c>
      <c r="L1435" s="4" t="n">
        <v>11.37</v>
      </c>
      <c r="M1435" s="7" t="n">
        <v>0.0044</v>
      </c>
    </row>
    <row r="1436">
      <c r="A1436" s="6" t="n">
        <v>46041</v>
      </c>
      <c r="B1436" s="2" t="inlineStr">
        <is>
          <t>Monday</t>
        </is>
      </c>
      <c r="C1436" s="5" t="n">
        <v>46023</v>
      </c>
      <c r="D1436" s="2" t="inlineStr">
        <is>
          <t>Q4FY26</t>
        </is>
      </c>
      <c r="E1436" s="3" t="n">
        <v>3297</v>
      </c>
      <c r="F1436" s="8" t="n">
        <v>3.2647</v>
      </c>
      <c r="G1436" s="4" t="n">
        <v>577.575</v>
      </c>
      <c r="H1436" s="4" t="n">
        <v>1110.0274</v>
      </c>
      <c r="I1436" s="4" t="n">
        <v>11.3725</v>
      </c>
      <c r="J1436" s="4" t="n">
        <v>12.125</v>
      </c>
      <c r="K1436" s="4" t="n">
        <v>10.3925</v>
      </c>
      <c r="L1436" s="4" t="n">
        <v>11.83</v>
      </c>
      <c r="M1436" s="7" t="n">
        <v>0.0402</v>
      </c>
    </row>
    <row r="1437">
      <c r="A1437" s="6" t="n">
        <v>46042</v>
      </c>
      <c r="B1437" s="2" t="inlineStr">
        <is>
          <t>Tuesday</t>
        </is>
      </c>
      <c r="C1437" s="5" t="n">
        <v>46023</v>
      </c>
      <c r="D1437" s="2" t="inlineStr">
        <is>
          <t>Q4FY26</t>
        </is>
      </c>
      <c r="E1437" s="3" t="n">
        <v>3310</v>
      </c>
      <c r="F1437" s="8" t="n">
        <v>3.9312</v>
      </c>
      <c r="G1437" s="4" t="n">
        <v>697.0856</v>
      </c>
      <c r="H1437" s="4" t="n">
        <v>1251.5383</v>
      </c>
      <c r="I1437" s="4" t="n">
        <v>11.8275</v>
      </c>
      <c r="J1437" s="4" t="n">
        <v>12.9025</v>
      </c>
      <c r="K1437" s="4" t="n">
        <v>10.995</v>
      </c>
      <c r="L1437" s="4" t="n">
        <v>12.73</v>
      </c>
      <c r="M1437" s="7" t="n">
        <v>0.07630000000000001</v>
      </c>
    </row>
    <row r="1438">
      <c r="A1438" s="6" t="n">
        <v>46043</v>
      </c>
      <c r="B1438" s="2" t="inlineStr">
        <is>
          <t>Wednesday</t>
        </is>
      </c>
      <c r="C1438" s="5" t="n">
        <v>46023</v>
      </c>
      <c r="D1438" s="2" t="inlineStr">
        <is>
          <t>Q4FY26</t>
        </is>
      </c>
      <c r="E1438" s="3" t="n">
        <v>3303</v>
      </c>
      <c r="F1438" s="8" t="n">
        <v>4.257</v>
      </c>
      <c r="G1438" s="4" t="n">
        <v>790.6905</v>
      </c>
      <c r="H1438" s="4" t="n">
        <v>1341.359</v>
      </c>
      <c r="I1438" s="4" t="n">
        <v>12.73</v>
      </c>
      <c r="J1438" s="4" t="n">
        <v>14.43</v>
      </c>
      <c r="K1438" s="4" t="n">
        <v>12.4325</v>
      </c>
      <c r="L1438" s="4" t="n">
        <v>13.78</v>
      </c>
      <c r="M1438" s="7" t="n">
        <v>0.0825</v>
      </c>
    </row>
    <row r="1439">
      <c r="A1439" s="6" t="n">
        <v>46044</v>
      </c>
      <c r="B1439" s="2" t="inlineStr">
        <is>
          <t>Thursday</t>
        </is>
      </c>
      <c r="C1439" s="5" t="n">
        <v>46023</v>
      </c>
      <c r="D1439" s="2" t="inlineStr">
        <is>
          <t>Q4FY26</t>
        </is>
      </c>
      <c r="E1439" s="3" t="n">
        <v>3270</v>
      </c>
      <c r="F1439" s="8" t="n">
        <v>3.7892</v>
      </c>
      <c r="G1439" s="4" t="n">
        <v>678.2796</v>
      </c>
      <c r="H1439" s="4" t="n">
        <v>1295.3289</v>
      </c>
      <c r="I1439" s="4" t="n">
        <v>13.78</v>
      </c>
      <c r="J1439" s="4" t="n">
        <v>14.3275</v>
      </c>
      <c r="K1439" s="4" t="n">
        <v>12.9075</v>
      </c>
      <c r="L1439" s="4" t="n">
        <v>13.35</v>
      </c>
      <c r="M1439" s="7" t="n">
        <v>-0.0312</v>
      </c>
    </row>
    <row r="1440">
      <c r="A1440" s="6" t="n">
        <v>46045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3261</v>
      </c>
      <c r="F1440" s="8" t="n">
        <v>3.6038</v>
      </c>
      <c r="G1440" s="4" t="n">
        <v>560.9484</v>
      </c>
      <c r="H1440" s="4" t="n">
        <v>1193.1412</v>
      </c>
      <c r="I1440" s="4" t="n">
        <v>13.35</v>
      </c>
      <c r="J1440" s="4" t="n">
        <v>14.4325</v>
      </c>
      <c r="K1440" s="4" t="n">
        <v>12.2825</v>
      </c>
      <c r="L1440" s="4" t="n">
        <v>14.19</v>
      </c>
      <c r="M1440" s="7" t="n">
        <v>0.0629</v>
      </c>
    </row>
    <row r="1441">
      <c r="A1441" s="6" t="n">
        <v>46049</v>
      </c>
      <c r="B1441" s="2" t="inlineStr">
        <is>
          <t>Tuesday</t>
        </is>
      </c>
      <c r="C1441" s="5" t="n">
        <v>46023</v>
      </c>
      <c r="D1441" s="2" t="inlineStr">
        <is>
          <t>Q4FY26</t>
        </is>
      </c>
      <c r="E1441" s="3" t="n">
        <v>3318</v>
      </c>
      <c r="F1441" s="8" t="n">
        <v>4.3502</v>
      </c>
      <c r="G1441" s="4" t="n">
        <v>634.2664</v>
      </c>
      <c r="H1441" s="4" t="n">
        <v>1466.4367</v>
      </c>
      <c r="I1441" s="4" t="n">
        <v>14.1925</v>
      </c>
      <c r="J1441" s="4" t="n">
        <v>16.0575</v>
      </c>
      <c r="K1441" s="4" t="n">
        <v>13.9225</v>
      </c>
      <c r="L1441" s="4" t="n">
        <v>14.45</v>
      </c>
      <c r="M1441" s="7" t="n">
        <v>0.0181</v>
      </c>
    </row>
    <row r="1442">
      <c r="A1442" s="6" t="n">
        <v>46050</v>
      </c>
      <c r="B1442" s="2" t="inlineStr">
        <is>
          <t>Wednesday</t>
        </is>
      </c>
      <c r="C1442" s="5" t="n">
        <v>46023</v>
      </c>
      <c r="D1442" s="2" t="inlineStr">
        <is>
          <t>Q4FY26</t>
        </is>
      </c>
      <c r="E1442" s="3" t="n">
        <v>3287</v>
      </c>
      <c r="F1442" s="8" t="n">
        <v>3.7193</v>
      </c>
      <c r="G1442" s="4" t="n">
        <v>619.5368999999999</v>
      </c>
      <c r="H1442" s="4" t="n">
        <v>1393.3051</v>
      </c>
      <c r="I1442" s="4" t="n">
        <v>14.4525</v>
      </c>
      <c r="J1442" s="4" t="n">
        <v>14.51</v>
      </c>
      <c r="K1442" s="4" t="n">
        <v>13.44</v>
      </c>
      <c r="L1442" s="4" t="n">
        <v>13.53</v>
      </c>
      <c r="M1442" s="7" t="n">
        <v>-0.0638</v>
      </c>
    </row>
    <row r="1443">
      <c r="A1443" s="6" t="n">
        <v>46051</v>
      </c>
      <c r="B1443" s="2" t="inlineStr">
        <is>
          <t>Thursday</t>
        </is>
      </c>
      <c r="C1443" s="5" t="n">
        <v>46023</v>
      </c>
      <c r="D1443" s="2" t="inlineStr">
        <is>
          <t>Q4FY26</t>
        </is>
      </c>
      <c r="E1443" s="3" t="n">
        <v>3308</v>
      </c>
      <c r="F1443" s="8" t="n">
        <v>4.0779</v>
      </c>
      <c r="G1443" s="4" t="n">
        <v>686.276</v>
      </c>
      <c r="H1443" s="4" t="n">
        <v>1545.7742</v>
      </c>
      <c r="I1443" s="4" t="n">
        <v>13.525</v>
      </c>
      <c r="J1443" s="4" t="n">
        <v>14.1925</v>
      </c>
      <c r="K1443" s="4" t="n">
        <v>13.0725</v>
      </c>
      <c r="L1443" s="4" t="n">
        <v>13.37</v>
      </c>
      <c r="M1443" s="7" t="n">
        <v>-0.0115</v>
      </c>
    </row>
    <row r="1444">
      <c r="A1444" s="6" t="n">
        <v>46052</v>
      </c>
      <c r="B1444" s="2" t="inlineStr">
        <is>
          <t>Friday</t>
        </is>
      </c>
      <c r="C1444" s="5" t="n">
        <v>46023</v>
      </c>
      <c r="D1444" s="2" t="inlineStr">
        <is>
          <t>Q4FY26</t>
        </is>
      </c>
      <c r="E1444" s="3" t="n">
        <v>3262</v>
      </c>
      <c r="F1444" s="8" t="n">
        <v>4.6815</v>
      </c>
      <c r="G1444" s="4" t="n">
        <v>903.5382</v>
      </c>
      <c r="H1444" s="4" t="n">
        <v>1726.8025</v>
      </c>
      <c r="I1444" s="4" t="n">
        <v>13.37</v>
      </c>
      <c r="J1444" s="4" t="n">
        <v>14.23</v>
      </c>
      <c r="K1444" s="4" t="n">
        <v>12.8825</v>
      </c>
      <c r="L1444" s="4" t="n">
        <v>13.63</v>
      </c>
      <c r="M1444" s="7" t="n">
        <v>0.0194</v>
      </c>
    </row>
    <row r="1445">
      <c r="A1445" s="6" t="n">
        <v>46054</v>
      </c>
      <c r="B1445" s="2" t="inlineStr">
        <is>
          <t>Sunday</t>
        </is>
      </c>
      <c r="C1445" s="5" t="n">
        <v>46054</v>
      </c>
      <c r="D1445" s="2" t="inlineStr">
        <is>
          <t>Q4FY26</t>
        </is>
      </c>
      <c r="E1445" s="3" t="n">
        <v>3229</v>
      </c>
      <c r="F1445" s="8" t="n">
        <v>3.6659</v>
      </c>
      <c r="G1445" s="4" t="n">
        <v>530.8233</v>
      </c>
      <c r="H1445" s="4" t="n">
        <v>1169.8425</v>
      </c>
      <c r="I1445" s="4" t="n">
        <v>13.6325</v>
      </c>
      <c r="J1445" s="4" t="n">
        <v>16.1125</v>
      </c>
      <c r="K1445" s="4" t="n">
        <v>13.3475</v>
      </c>
      <c r="L1445" s="4" t="n">
        <v>15.1</v>
      </c>
      <c r="M1445" s="7" t="n">
        <v>0.1076</v>
      </c>
    </row>
    <row r="1446">
      <c r="A1446" s="6" t="n">
        <v>46055</v>
      </c>
      <c r="B1446" s="2" t="inlineStr">
        <is>
          <t>Monday</t>
        </is>
      </c>
      <c r="C1446" s="5" t="n">
        <v>46054</v>
      </c>
      <c r="D1446" s="2" t="inlineStr">
        <is>
          <t>Q4FY26</t>
        </is>
      </c>
      <c r="E1446" s="3" t="n">
        <v>3289</v>
      </c>
      <c r="F1446" s="8" t="n">
        <v>4.2067</v>
      </c>
      <c r="G1446" s="4" t="n">
        <v>612.4867</v>
      </c>
      <c r="H1446" s="4" t="n">
        <v>1290.2257</v>
      </c>
      <c r="I1446" s="4" t="n">
        <v>15.095</v>
      </c>
      <c r="J1446" s="4" t="n">
        <v>15.5525</v>
      </c>
      <c r="K1446" s="4" t="n">
        <v>13.58</v>
      </c>
      <c r="L1446" s="4" t="n">
        <v>13.87</v>
      </c>
      <c r="M1446" s="7" t="n">
        <v>-0.08119999999999999</v>
      </c>
    </row>
    <row r="1447">
      <c r="A1447" s="6" t="n">
        <v>46056</v>
      </c>
      <c r="B1447" s="2" t="inlineStr">
        <is>
          <t>Tuesday</t>
        </is>
      </c>
      <c r="C1447" s="5" t="n">
        <v>46054</v>
      </c>
      <c r="D1447" s="2" t="inlineStr">
        <is>
          <t>Q4FY26</t>
        </is>
      </c>
      <c r="E1447" s="3" t="n">
        <v>3320</v>
      </c>
      <c r="F1447" s="8" t="n">
        <v>4.7102</v>
      </c>
      <c r="G1447" s="4" t="n">
        <v>762.6395</v>
      </c>
      <c r="H1447" s="4" t="n">
        <v>1740.5595</v>
      </c>
      <c r="I1447" s="4" t="n">
        <v>13.865</v>
      </c>
      <c r="J1447" s="4" t="n">
        <v>15.465</v>
      </c>
      <c r="K1447" s="4" t="n">
        <v>11.85</v>
      </c>
      <c r="L1447" s="4" t="n">
        <v>12.9</v>
      </c>
      <c r="M1447" s="7" t="n">
        <v>-0.0696</v>
      </c>
    </row>
    <row r="1448">
      <c r="A1448" s="6" t="n">
        <v>46057</v>
      </c>
      <c r="B1448" s="2" t="inlineStr">
        <is>
          <t>Wednesday</t>
        </is>
      </c>
      <c r="C1448" s="5" t="n">
        <v>46054</v>
      </c>
      <c r="D1448" s="2" t="inlineStr">
        <is>
          <t>Q4FY26</t>
        </is>
      </c>
      <c r="E1448" s="3" t="n">
        <v>3299</v>
      </c>
      <c r="F1448" s="8" t="n">
        <v>3.959</v>
      </c>
      <c r="G1448" s="4" t="n">
        <v>642.9366</v>
      </c>
      <c r="H1448" s="4" t="n">
        <v>1355.269</v>
      </c>
      <c r="I1448" s="4" t="n">
        <v>12.895</v>
      </c>
      <c r="J1448" s="4" t="n">
        <v>13.145</v>
      </c>
      <c r="K1448" s="4" t="n">
        <v>12.06</v>
      </c>
      <c r="L1448" s="4" t="n">
        <v>12.25</v>
      </c>
      <c r="M1448" s="7" t="n">
        <v>-0.05</v>
      </c>
    </row>
    <row r="1449">
      <c r="A1449" s="6" t="n">
        <v>46058</v>
      </c>
      <c r="B1449" s="2" t="inlineStr">
        <is>
          <t>Thursday</t>
        </is>
      </c>
      <c r="C1449" s="5" t="n">
        <v>46054</v>
      </c>
      <c r="D1449" s="2" t="inlineStr">
        <is>
          <t>Q4FY26</t>
        </is>
      </c>
      <c r="E1449" s="3" t="n">
        <v>3247</v>
      </c>
      <c r="F1449" s="8" t="n">
        <v>3.5129</v>
      </c>
      <c r="G1449" s="4" t="n">
        <v>531.5682</v>
      </c>
      <c r="H1449" s="4" t="n">
        <v>1143.1554</v>
      </c>
      <c r="I1449" s="4" t="n">
        <v>12.2525</v>
      </c>
      <c r="J1449" s="4" t="n">
        <v>12.545</v>
      </c>
      <c r="K1449" s="4" t="n">
        <v>10.935</v>
      </c>
      <c r="L1449" s="4" t="n">
        <v>12.17</v>
      </c>
      <c r="M1449" s="7" t="n">
        <v>-0.0067</v>
      </c>
    </row>
    <row r="1450">
      <c r="A1450" s="6" t="n">
        <v>46059</v>
      </c>
      <c r="B1450" s="2" t="inlineStr">
        <is>
          <t>Friday</t>
        </is>
      </c>
      <c r="C1450" s="5" t="n">
        <v>46054</v>
      </c>
      <c r="D1450" s="2" t="inlineStr">
        <is>
          <t>Q4FY26</t>
        </is>
      </c>
      <c r="E1450" s="3" t="n">
        <v>3245</v>
      </c>
      <c r="F1450" s="8" t="n">
        <v>3.2202</v>
      </c>
      <c r="G1450" s="4" t="n">
        <v>450.9173</v>
      </c>
      <c r="H1450" s="4" t="n">
        <v>1086.5563</v>
      </c>
      <c r="I1450" s="4" t="n">
        <v>12.1675</v>
      </c>
      <c r="J1450" s="4" t="n">
        <v>12.345</v>
      </c>
      <c r="K1450" s="4" t="n">
        <v>11.16</v>
      </c>
      <c r="L1450" s="4" t="n">
        <v>11.94</v>
      </c>
      <c r="M1450" s="7" t="n">
        <v>-0.0187</v>
      </c>
    </row>
    <row r="1451">
      <c r="A1451" s="6" t="n">
        <v>46062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3309</v>
      </c>
      <c r="F1451" s="8" t="n">
        <v>3.5961</v>
      </c>
      <c r="G1451" s="4" t="n">
        <v>524.4948000000001</v>
      </c>
      <c r="H1451" s="4" t="n">
        <v>1149.725</v>
      </c>
      <c r="I1451" s="4" t="n">
        <v>11.94</v>
      </c>
      <c r="J1451" s="4" t="n">
        <v>12.28</v>
      </c>
      <c r="K1451" s="4" t="n">
        <v>10.67</v>
      </c>
      <c r="L1451" s="4" t="n">
        <v>12.19</v>
      </c>
      <c r="M1451" s="7" t="n">
        <v>0.0209</v>
      </c>
    </row>
    <row r="1452">
      <c r="A1452" s="6" t="n">
        <v>46063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3272</v>
      </c>
      <c r="F1452" s="8" t="n">
        <v>3.418</v>
      </c>
      <c r="G1452" s="4" t="n">
        <v>461.0335</v>
      </c>
      <c r="H1452" s="4" t="n">
        <v>1180.6385</v>
      </c>
      <c r="I1452" s="4" t="n">
        <v>12.19</v>
      </c>
      <c r="J1452" s="4" t="n">
        <v>12.19</v>
      </c>
      <c r="K1452" s="4" t="n">
        <v>10.355</v>
      </c>
      <c r="L1452" s="4" t="n">
        <v>11.67</v>
      </c>
      <c r="M1452" s="7" t="n">
        <v>-0.0427</v>
      </c>
    </row>
    <row r="1453">
      <c r="A1453" s="6" t="n">
        <v>46064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3255</v>
      </c>
      <c r="F1453" s="8" t="n">
        <v>3.3024</v>
      </c>
      <c r="G1453" s="4" t="n">
        <v>501.042</v>
      </c>
      <c r="H1453" s="4" t="n">
        <v>1126.2573</v>
      </c>
      <c r="I1453" s="4" t="n">
        <v>11.665</v>
      </c>
      <c r="J1453" s="4" t="n">
        <v>11.7125</v>
      </c>
      <c r="K1453" s="4" t="n">
        <v>10.5575</v>
      </c>
      <c r="L1453" s="4" t="n">
        <v>11.55</v>
      </c>
      <c r="M1453" s="7" t="n">
        <v>-0.009900000000000001</v>
      </c>
    </row>
    <row r="1454">
      <c r="A1454" s="6" t="n">
        <v>46065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3266</v>
      </c>
      <c r="F1454" s="8" t="n">
        <v>3.4544</v>
      </c>
      <c r="G1454" s="4" t="n">
        <v>434.4912</v>
      </c>
      <c r="H1454" s="4" t="n">
        <v>1192.3339</v>
      </c>
      <c r="I1454" s="4" t="n">
        <v>11.5475</v>
      </c>
      <c r="J1454" s="4" t="n">
        <v>12.1075</v>
      </c>
      <c r="K1454" s="4" t="n">
        <v>10.8475</v>
      </c>
      <c r="L1454" s="4" t="n">
        <v>11.73</v>
      </c>
      <c r="M1454" s="7" t="n">
        <v>0.0158</v>
      </c>
    </row>
    <row r="1455">
      <c r="A1455" s="6" t="n">
        <v>46066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3250</v>
      </c>
      <c r="F1455" s="8" t="n">
        <v>3.6538</v>
      </c>
      <c r="G1455" s="4" t="n">
        <v>457.2504</v>
      </c>
      <c r="H1455" s="4" t="n">
        <v>1235.9944</v>
      </c>
      <c r="I1455" s="4" t="n">
        <v>11.725</v>
      </c>
      <c r="J1455" s="4" t="n">
        <v>13.5825</v>
      </c>
      <c r="K1455" s="4" t="n">
        <v>10.9625</v>
      </c>
      <c r="L1455" s="4" t="n">
        <v>13.29</v>
      </c>
      <c r="M1455" s="7" t="n">
        <v>0.1335</v>
      </c>
    </row>
    <row r="1456">
      <c r="A1456" s="6" t="n">
        <v>46069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3270</v>
      </c>
      <c r="F1456" s="8" t="n">
        <v>2.9645</v>
      </c>
      <c r="G1456" s="4" t="n">
        <v>392.1578</v>
      </c>
      <c r="H1456" s="4" t="n">
        <v>894.3636</v>
      </c>
      <c r="I1456" s="4" t="n">
        <v>13.2925</v>
      </c>
      <c r="J1456" s="4" t="n">
        <v>13.8325</v>
      </c>
      <c r="K1456" s="4" t="n">
        <v>13.235</v>
      </c>
      <c r="L1456" s="4" t="n">
        <v>13.33</v>
      </c>
      <c r="M1456" s="7" t="n">
        <v>0.0028</v>
      </c>
    </row>
    <row r="1457">
      <c r="A1457" s="6" t="n">
        <v>46070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3255</v>
      </c>
      <c r="F1457" s="8" t="n">
        <v>2.948</v>
      </c>
      <c r="G1457" s="4" t="n">
        <v>456.7112</v>
      </c>
      <c r="H1457" s="4" t="n">
        <v>956.9063</v>
      </c>
      <c r="I1457" s="4" t="n">
        <v>13.33</v>
      </c>
      <c r="J1457" s="4" t="n">
        <v>13.4775</v>
      </c>
      <c r="K1457" s="4" t="n">
        <v>11.625</v>
      </c>
      <c r="L1457" s="4" t="n">
        <v>12.67</v>
      </c>
      <c r="M1457" s="7" t="n">
        <v>-0.0495</v>
      </c>
    </row>
    <row r="1458">
      <c r="A1458" s="6" t="n">
        <v>46071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3285</v>
      </c>
      <c r="F1458" s="8" t="n">
        <v>2.8397</v>
      </c>
      <c r="G1458" s="4" t="n">
        <v>455.2193</v>
      </c>
      <c r="H1458" s="4" t="n">
        <v>927.6840999999999</v>
      </c>
      <c r="I1458" s="4" t="n">
        <v>12.6725</v>
      </c>
      <c r="J1458" s="4" t="n">
        <v>12.7675</v>
      </c>
      <c r="K1458" s="4" t="n">
        <v>11.3525</v>
      </c>
      <c r="L1458" s="4" t="n">
        <v>12.22</v>
      </c>
      <c r="M1458" s="7" t="n">
        <v>-0.0357</v>
      </c>
    </row>
    <row r="1459">
      <c r="A1459" s="6" t="n">
        <v>46072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3254</v>
      </c>
      <c r="F1459" s="8" t="n">
        <v>2.8074</v>
      </c>
      <c r="G1459" s="4" t="n">
        <v>374.4037</v>
      </c>
      <c r="H1459" s="4" t="n">
        <v>938.1152</v>
      </c>
      <c r="I1459" s="4" t="n">
        <v>12.2225</v>
      </c>
      <c r="J1459" s="4" t="n">
        <v>13.68</v>
      </c>
      <c r="K1459" s="4" t="n">
        <v>9.73</v>
      </c>
      <c r="L1459" s="4" t="n">
        <v>13.46</v>
      </c>
      <c r="M1459" s="7" t="n">
        <v>0.1012</v>
      </c>
    </row>
    <row r="1460">
      <c r="A1460" s="6" t="n">
        <v>46073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3255</v>
      </c>
      <c r="F1460" s="8" t="n">
        <v>2.717</v>
      </c>
      <c r="G1460" s="4" t="n">
        <v>350.9833</v>
      </c>
      <c r="H1460" s="4" t="n">
        <v>926.4379</v>
      </c>
      <c r="I1460" s="4" t="n">
        <v>13.46</v>
      </c>
      <c r="J1460" s="4" t="n">
        <v>14.7825</v>
      </c>
      <c r="K1460" s="4" t="n">
        <v>13.095</v>
      </c>
      <c r="L1460" s="4" t="n">
        <v>14.36</v>
      </c>
      <c r="M1460" s="7" t="n">
        <v>0.0669</v>
      </c>
    </row>
    <row r="1461">
      <c r="A1461" s="6" t="n">
        <v>46076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3288</v>
      </c>
      <c r="F1461" s="8" t="n">
        <v>3.1052</v>
      </c>
      <c r="G1461" s="4" t="n">
        <v>491.2495</v>
      </c>
      <c r="H1461" s="4" t="n">
        <v>1010.5248</v>
      </c>
      <c r="I1461" s="4" t="n">
        <v>14.3625</v>
      </c>
      <c r="J1461" s="4" t="n">
        <v>14.4775</v>
      </c>
      <c r="K1461" s="4" t="n">
        <v>12.7725</v>
      </c>
      <c r="L1461" s="4" t="n">
        <v>14.17</v>
      </c>
      <c r="M1461" s="7" t="n">
        <v>-0.0134</v>
      </c>
    </row>
    <row r="1462">
      <c r="A1462" s="6" t="n">
        <v>46077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3279</v>
      </c>
      <c r="F1462" s="8" t="n">
        <v>3.2472</v>
      </c>
      <c r="G1462" s="4" t="n">
        <v>492.249</v>
      </c>
      <c r="H1462" s="4" t="n">
        <v>1130.046</v>
      </c>
      <c r="I1462" s="4" t="n">
        <v>14.1675</v>
      </c>
      <c r="J1462" s="4" t="n">
        <v>14.9475</v>
      </c>
      <c r="K1462" s="4" t="n">
        <v>12.3475</v>
      </c>
      <c r="L1462" s="4" t="n">
        <v>14.15</v>
      </c>
      <c r="M1462" s="7" t="n">
        <v>-0.0012</v>
      </c>
    </row>
    <row r="1463">
      <c r="A1463" s="6" t="n">
        <v>46078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3291</v>
      </c>
      <c r="F1463" s="8" t="n">
        <v>3.1214</v>
      </c>
      <c r="G1463" s="4" t="n">
        <v>410.5584</v>
      </c>
      <c r="H1463" s="4" t="n">
        <v>1085.0378</v>
      </c>
      <c r="I1463" s="4" t="n">
        <v>14.15</v>
      </c>
      <c r="J1463" s="4" t="n">
        <v>14.15</v>
      </c>
      <c r="K1463" s="4" t="n">
        <v>12.8375</v>
      </c>
      <c r="L1463" s="4" t="n">
        <v>13.49</v>
      </c>
      <c r="M1463" s="7" t="n">
        <v>-0.0466</v>
      </c>
    </row>
    <row r="1464">
      <c r="A1464" s="6" t="n">
        <v>46079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3265</v>
      </c>
      <c r="F1464" s="8" t="n">
        <v>3.0748</v>
      </c>
      <c r="G1464" s="4" t="n">
        <v>451.8234</v>
      </c>
      <c r="H1464" s="4" t="n">
        <v>1086.6576</v>
      </c>
      <c r="I1464" s="4" t="n">
        <v>13.4875</v>
      </c>
      <c r="J1464" s="4" t="n">
        <v>13.605</v>
      </c>
      <c r="K1464" s="4" t="n">
        <v>11.8125</v>
      </c>
      <c r="L1464" s="4" t="n">
        <v>13.06</v>
      </c>
      <c r="M1464" s="7" t="n">
        <v>-0.0317</v>
      </c>
    </row>
    <row r="1465">
      <c r="A1465" s="6" t="n">
        <v>46080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3243</v>
      </c>
      <c r="F1465" s="8" t="n">
        <v>3.4269</v>
      </c>
      <c r="G1465" s="4" t="n">
        <v>545.4188</v>
      </c>
      <c r="H1465" s="4" t="n">
        <v>1449.6274</v>
      </c>
      <c r="I1465" s="4" t="n">
        <v>13.0625</v>
      </c>
      <c r="J1465" s="4" t="n">
        <v>14.035</v>
      </c>
      <c r="K1465" s="4" t="n">
        <v>11.2</v>
      </c>
      <c r="L1465" s="4" t="n">
        <v>13.7</v>
      </c>
      <c r="M1465" s="7" t="n">
        <v>0.0488</v>
      </c>
    </row>
    <row r="1466">
      <c r="A1466" s="6" t="n">
        <v>46083</v>
      </c>
      <c r="B1466" s="2" t="inlineStr">
        <is>
          <t>Monday</t>
        </is>
      </c>
      <c r="C1466" s="5" t="n">
        <v>46082</v>
      </c>
      <c r="D1466" s="2" t="inlineStr">
        <is>
          <t>Q4FY26</t>
        </is>
      </c>
      <c r="E1466" s="3" t="n">
        <v>3304</v>
      </c>
      <c r="F1466" s="8" t="n">
        <v>4.2816</v>
      </c>
      <c r="G1466" s="4" t="n">
        <v>618.7002</v>
      </c>
      <c r="H1466" s="4" t="n">
        <v>1353.7272</v>
      </c>
      <c r="I1466" s="4" t="n">
        <v>13.7025</v>
      </c>
      <c r="J1466" s="4" t="n">
        <v>17.8125</v>
      </c>
      <c r="K1466" s="4" t="n">
        <v>12.825</v>
      </c>
      <c r="L1466" s="4" t="n">
        <v>17.13</v>
      </c>
      <c r="M1466" s="7" t="n">
        <v>0.2501</v>
      </c>
    </row>
    <row r="1467">
      <c r="A1467" s="6" t="n">
        <v>46085</v>
      </c>
      <c r="B1467" s="2" t="inlineStr">
        <is>
          <t>Wednesday</t>
        </is>
      </c>
      <c r="C1467" s="5" t="n">
        <v>46082</v>
      </c>
      <c r="D1467" s="2" t="inlineStr">
        <is>
          <t>Q4FY26</t>
        </is>
      </c>
      <c r="E1467" s="3" t="n">
        <v>3346</v>
      </c>
      <c r="F1467" s="8" t="n">
        <v>4.5564</v>
      </c>
      <c r="G1467" s="4" t="n">
        <v>585.5738</v>
      </c>
      <c r="H1467" s="4" t="n">
        <v>1409.5435</v>
      </c>
      <c r="I1467" s="4" t="n">
        <v>17.13</v>
      </c>
      <c r="J1467" s="4" t="n">
        <v>21.3675</v>
      </c>
      <c r="K1467" s="4" t="n">
        <v>16.9675</v>
      </c>
      <c r="L1467" s="4" t="n">
        <v>21.14</v>
      </c>
      <c r="M1467" s="7" t="n">
        <v>0.2341</v>
      </c>
    </row>
    <row r="1468">
      <c r="A1468" s="6" t="n">
        <v>46086</v>
      </c>
      <c r="B1468" s="2" t="inlineStr">
        <is>
          <t>Thursday</t>
        </is>
      </c>
      <c r="C1468" s="5" t="n">
        <v>46082</v>
      </c>
      <c r="D1468" s="2" t="inlineStr">
        <is>
          <t>Q4FY26</t>
        </is>
      </c>
      <c r="E1468" s="3" t="n">
        <v>3341</v>
      </c>
      <c r="F1468" s="8" t="n">
        <v>3.7648</v>
      </c>
      <c r="G1468" s="4" t="n">
        <v>492.9999</v>
      </c>
      <c r="H1468" s="4" t="n">
        <v>1240.2264</v>
      </c>
      <c r="I1468" s="4" t="n">
        <v>21.14</v>
      </c>
      <c r="J1468" s="4" t="n">
        <v>21.14</v>
      </c>
      <c r="K1468" s="4" t="n">
        <v>17.3025</v>
      </c>
      <c r="L1468" s="4" t="n">
        <v>17.86</v>
      </c>
      <c r="M1468" s="7" t="n">
        <v>-0.1552</v>
      </c>
    </row>
    <row r="1469">
      <c r="A1469" s="6" t="n">
        <v>46087</v>
      </c>
      <c r="B1469" s="2" t="inlineStr">
        <is>
          <t>Friday</t>
        </is>
      </c>
      <c r="C1469" s="5" t="n">
        <v>46082</v>
      </c>
      <c r="D1469" s="2" t="inlineStr">
        <is>
          <t>Q4FY26</t>
        </is>
      </c>
      <c r="E1469" s="3" t="n">
        <v>3303</v>
      </c>
      <c r="F1469" s="8" t="n">
        <v>3.3503</v>
      </c>
      <c r="G1469" s="4" t="n">
        <v>408.3339</v>
      </c>
      <c r="H1469" s="4" t="n">
        <v>1105.5419</v>
      </c>
      <c r="I1469" s="4" t="n">
        <v>17.8575</v>
      </c>
      <c r="J1469" s="4" t="n">
        <v>20.1425</v>
      </c>
      <c r="K1469" s="4" t="n">
        <v>17.1975</v>
      </c>
      <c r="L1469" s="4" t="n">
        <v>19.88</v>
      </c>
      <c r="M1469" s="7" t="n">
        <v>0.1133</v>
      </c>
    </row>
    <row r="1470">
      <c r="A1470" s="6" t="n">
        <v>46090</v>
      </c>
      <c r="B1470" s="2" t="inlineStr">
        <is>
          <t>Monday</t>
        </is>
      </c>
      <c r="C1470" s="5" t="n">
        <v>46082</v>
      </c>
      <c r="D1470" s="2" t="inlineStr">
        <is>
          <t>Q4FY26</t>
        </is>
      </c>
      <c r="E1470" s="3" t="n">
        <v>3379</v>
      </c>
      <c r="F1470" s="8" t="n">
        <v>4.0127</v>
      </c>
      <c r="G1470" s="4" t="n">
        <v>470.9597</v>
      </c>
      <c r="H1470" s="4" t="n">
        <v>1165.9557</v>
      </c>
      <c r="I1470" s="4" t="n">
        <v>19.88</v>
      </c>
      <c r="J1470" s="4" t="n">
        <v>24.4925</v>
      </c>
      <c r="K1470" s="4" t="n">
        <v>19.2175</v>
      </c>
      <c r="L1470" s="4" t="n">
        <v>23.36</v>
      </c>
      <c r="M1470" s="7" t="n">
        <v>0.1751</v>
      </c>
    </row>
    <row r="1471">
      <c r="A1471" s="6" t="n">
        <v>46091</v>
      </c>
      <c r="B1471" s="2" t="inlineStr">
        <is>
          <t>Tuesday</t>
        </is>
      </c>
      <c r="C1471" s="5" t="n">
        <v>46082</v>
      </c>
      <c r="D1471" s="2" t="inlineStr">
        <is>
          <t>Q4FY26</t>
        </is>
      </c>
      <c r="E1471" s="3" t="n">
        <v>3312</v>
      </c>
      <c r="F1471" s="8" t="n">
        <v>3.5186</v>
      </c>
      <c r="G1471" s="4" t="n">
        <v>445.5714</v>
      </c>
      <c r="H1471" s="4" t="n">
        <v>1142.7983</v>
      </c>
      <c r="I1471" s="4" t="n">
        <v>23.3625</v>
      </c>
      <c r="J1471" s="4" t="n">
        <v>23.3625</v>
      </c>
      <c r="K1471" s="4" t="n">
        <v>18.7775</v>
      </c>
      <c r="L1471" s="4" t="n">
        <v>18.91</v>
      </c>
      <c r="M1471" s="7" t="n">
        <v>-0.1906</v>
      </c>
    </row>
    <row r="1472">
      <c r="A1472" s="6" t="n">
        <v>46092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3306</v>
      </c>
      <c r="F1472" s="8" t="n">
        <v>3.61</v>
      </c>
      <c r="G1472" s="4" t="n">
        <v>434.2585</v>
      </c>
      <c r="H1472" s="4" t="n">
        <v>1103.2531</v>
      </c>
      <c r="I1472" s="4" t="n">
        <v>18.905</v>
      </c>
      <c r="J1472" s="4" t="n">
        <v>21.385</v>
      </c>
      <c r="K1472" s="4" t="n">
        <v>17.24</v>
      </c>
      <c r="L1472" s="4" t="n">
        <v>21.06</v>
      </c>
      <c r="M1472" s="7" t="n">
        <v>0.114</v>
      </c>
    </row>
    <row r="1473">
      <c r="A1473" s="6" t="n">
        <v>46093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3313</v>
      </c>
      <c r="F1473" s="8" t="n">
        <v>4.0117</v>
      </c>
      <c r="G1473" s="4" t="n">
        <v>503.4845</v>
      </c>
      <c r="H1473" s="4" t="n">
        <v>1238.9141</v>
      </c>
      <c r="I1473" s="4" t="n">
        <v>21.0625</v>
      </c>
      <c r="J1473" s="4" t="n">
        <v>22.355</v>
      </c>
      <c r="K1473" s="4" t="n">
        <v>20.8225</v>
      </c>
      <c r="L1473" s="4" t="n">
        <v>21.52</v>
      </c>
      <c r="M1473" s="7" t="n">
        <v>0.0217</v>
      </c>
    </row>
    <row r="1474">
      <c r="A1474" s="6" t="n">
        <v>46094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3325</v>
      </c>
      <c r="F1474" s="8" t="n">
        <v>4.1354</v>
      </c>
      <c r="G1474" s="4" t="n">
        <v>527.0804000000001</v>
      </c>
      <c r="H1474" s="4" t="n">
        <v>1215.4753</v>
      </c>
      <c r="I1474" s="4" t="n">
        <v>21.5175</v>
      </c>
      <c r="J1474" s="4" t="n">
        <v>22.8825</v>
      </c>
      <c r="K1474" s="4" t="n">
        <v>21.2475</v>
      </c>
      <c r="L1474" s="4" t="n">
        <v>22.65</v>
      </c>
      <c r="M1474" s="7" t="n">
        <v>0.0526</v>
      </c>
    </row>
    <row r="1475">
      <c r="A1475" s="6" t="n">
        <v>46097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3378</v>
      </c>
      <c r="F1475" s="8" t="n">
        <v>4.1358</v>
      </c>
      <c r="G1475" s="4" t="n">
        <v>548.7988</v>
      </c>
      <c r="H1475" s="4" t="n">
        <v>1249.2428</v>
      </c>
      <c r="I1475" s="4" t="n">
        <v>22.645</v>
      </c>
      <c r="J1475" s="4" t="n">
        <v>22.875</v>
      </c>
      <c r="K1475" s="4" t="n">
        <v>19.82</v>
      </c>
      <c r="L1475" s="4" t="n">
        <v>21.6</v>
      </c>
      <c r="M1475" s="7" t="n">
        <v>-0.0461</v>
      </c>
    </row>
    <row r="1476">
      <c r="A1476" s="6" t="n">
        <v>46098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3331</v>
      </c>
      <c r="F1476" s="8" t="n">
        <v>3.5943</v>
      </c>
      <c r="G1476" s="4" t="n">
        <v>450.1762</v>
      </c>
      <c r="H1476" s="4" t="n">
        <v>1070.8339</v>
      </c>
      <c r="I1476" s="4" t="n">
        <v>21.6025</v>
      </c>
      <c r="J1476" s="4" t="n">
        <v>21.6025</v>
      </c>
      <c r="K1476" s="4" t="n">
        <v>19.6275</v>
      </c>
      <c r="L1476" s="4" t="n">
        <v>19.79</v>
      </c>
      <c r="M1476" s="7" t="n">
        <v>-0.0839</v>
      </c>
    </row>
    <row r="1477">
      <c r="A1477" s="6" t="n">
        <v>46099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3340</v>
      </c>
      <c r="F1477" s="8" t="n">
        <v>3.5543</v>
      </c>
      <c r="G1477" s="4" t="n">
        <v>496.9741</v>
      </c>
      <c r="H1477" s="4" t="n">
        <v>1075.4169</v>
      </c>
      <c r="I1477" s="4" t="n">
        <v>19.79</v>
      </c>
      <c r="J1477" s="4" t="n">
        <v>19.79</v>
      </c>
      <c r="K1477" s="4" t="n">
        <v>18.5925</v>
      </c>
      <c r="L1477" s="4" t="n">
        <v>18.72</v>
      </c>
      <c r="M1477" s="7" t="n">
        <v>-0.0541</v>
      </c>
    </row>
    <row r="1478">
      <c r="A1478" s="6" t="n">
        <v>46100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3312</v>
      </c>
      <c r="F1478" s="8" t="n">
        <v>3.6241</v>
      </c>
      <c r="G1478" s="4" t="n">
        <v>551.2136</v>
      </c>
      <c r="H1478" s="4" t="n">
        <v>1120.9307</v>
      </c>
      <c r="I1478" s="4" t="n">
        <v>18.7225</v>
      </c>
      <c r="J1478" s="4" t="n">
        <v>23.195</v>
      </c>
      <c r="K1478" s="4" t="n">
        <v>18.7225</v>
      </c>
      <c r="L1478" s="4" t="n">
        <v>22.8</v>
      </c>
      <c r="M1478" s="7" t="n">
        <v>0.2178</v>
      </c>
    </row>
    <row r="1479">
      <c r="A1479" s="6" t="n">
        <v>46101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3328</v>
      </c>
      <c r="F1479" s="8" t="n">
        <v>3.7215</v>
      </c>
      <c r="G1479" s="4" t="n">
        <v>586.5075000000001</v>
      </c>
      <c r="H1479" s="4" t="n">
        <v>1402.2816</v>
      </c>
      <c r="I1479" s="4" t="n">
        <v>22.8025</v>
      </c>
      <c r="J1479" s="4" t="n">
        <v>23.1375</v>
      </c>
      <c r="K1479" s="4" t="n">
        <v>21.685</v>
      </c>
      <c r="L1479" s="4" t="n">
        <v>22.81</v>
      </c>
      <c r="M1479" s="7" t="n">
        <v>0.0003</v>
      </c>
    </row>
    <row r="1480">
      <c r="A1480" s="6" t="n">
        <v>46104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3427</v>
      </c>
      <c r="F1480" s="8" t="n">
        <v>4.6078</v>
      </c>
      <c r="G1480" s="4" t="n">
        <v>672.2378</v>
      </c>
      <c r="H1480" s="4" t="n">
        <v>1304.3772</v>
      </c>
      <c r="I1480" s="4" t="n">
        <v>22.8125</v>
      </c>
      <c r="J1480" s="4" t="n">
        <v>27.1725</v>
      </c>
      <c r="K1480" s="4" t="n">
        <v>22.8125</v>
      </c>
      <c r="L1480" s="4" t="n">
        <v>26.73</v>
      </c>
      <c r="M1480" s="7" t="n">
        <v>0.1717</v>
      </c>
    </row>
    <row r="1481">
      <c r="A1481" s="6" t="n">
        <v>46105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3374</v>
      </c>
      <c r="F1481" s="8" t="n">
        <v>3.9719</v>
      </c>
      <c r="G1481" s="4" t="n">
        <v>563.3925</v>
      </c>
      <c r="H1481" s="4" t="n">
        <v>1280.6797</v>
      </c>
      <c r="I1481" s="4" t="n">
        <v>26.73</v>
      </c>
      <c r="J1481" s="4" t="n">
        <v>26.73</v>
      </c>
      <c r="K1481" s="4" t="n">
        <v>24.63</v>
      </c>
      <c r="L1481" s="4" t="n">
        <v>24.74</v>
      </c>
      <c r="M1481" s="7" t="n">
        <v>-0.07439999999999999</v>
      </c>
    </row>
    <row r="1482">
      <c r="A1482" s="6" t="n">
        <v>46106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3373</v>
      </c>
      <c r="F1482" s="8" t="n">
        <v>3.973</v>
      </c>
      <c r="G1482" s="4" t="n">
        <v>547.4996</v>
      </c>
      <c r="H1482" s="4" t="n">
        <v>1263.1443</v>
      </c>
      <c r="I1482" s="4" t="n">
        <v>24.74</v>
      </c>
      <c r="J1482" s="4" t="n">
        <v>25.23</v>
      </c>
      <c r="K1482" s="4" t="n">
        <v>24.135</v>
      </c>
      <c r="L1482" s="4" t="n">
        <v>24.64</v>
      </c>
      <c r="M1482" s="7" t="n">
        <v>-0.004</v>
      </c>
    </row>
    <row r="1483">
      <c r="A1483" s="6" t="n">
        <v>46108</v>
      </c>
      <c r="B1483" s="2" t="inlineStr">
        <is>
          <t>Friday</t>
        </is>
      </c>
      <c r="C1483" s="5" t="n">
        <v>46082</v>
      </c>
      <c r="D1483" s="2" t="inlineStr">
        <is>
          <t>Q4FY26</t>
        </is>
      </c>
      <c r="E1483" s="3" t="n">
        <v>3393</v>
      </c>
      <c r="F1483" s="8" t="n">
        <v>4.8815</v>
      </c>
      <c r="G1483" s="4" t="n">
        <v>665.8313000000001</v>
      </c>
      <c r="H1483" s="4" t="n">
        <v>1571.0782</v>
      </c>
      <c r="I1483" s="4" t="n">
        <v>24.64</v>
      </c>
      <c r="J1483" s="4" t="n">
        <v>27.0875</v>
      </c>
      <c r="K1483" s="4" t="n">
        <v>23.385</v>
      </c>
      <c r="L1483" s="4" t="n">
        <v>26.8</v>
      </c>
      <c r="M1483" s="7" t="n">
        <v>0.0877</v>
      </c>
    </row>
    <row r="1484">
      <c r="A1484" s="6" t="n">
        <v>46111</v>
      </c>
      <c r="B1484" s="2" t="inlineStr">
        <is>
          <t>Monday</t>
        </is>
      </c>
      <c r="C1484" s="5" t="n">
        <v>46082</v>
      </c>
      <c r="D1484" s="2" t="inlineStr">
        <is>
          <t>Q4FY26</t>
        </is>
      </c>
      <c r="E1484" s="3" t="n">
        <v>3418</v>
      </c>
      <c r="F1484" s="8" t="n">
        <v>4.5482</v>
      </c>
      <c r="G1484" s="4" t="n">
        <v>647.4061</v>
      </c>
      <c r="H1484" s="4" t="n">
        <v>1468.6359</v>
      </c>
      <c r="I1484" s="4" t="n">
        <v>26.8025</v>
      </c>
      <c r="J1484" s="4" t="n">
        <v>28.9075</v>
      </c>
      <c r="K1484" s="4" t="n">
        <v>26.8025</v>
      </c>
      <c r="L1484" s="4" t="n">
        <v>27.89</v>
      </c>
      <c r="M1484" s="7" t="n">
        <v>0.0406</v>
      </c>
    </row>
    <row r="1485">
      <c r="A1485" s="6" t="n">
        <v>46113</v>
      </c>
      <c r="B1485" s="2" t="inlineStr">
        <is>
          <t>Wednesday</t>
        </is>
      </c>
      <c r="C1485" s="5" t="n">
        <v>46113</v>
      </c>
      <c r="D1485" s="2" t="inlineStr">
        <is>
          <t>Q1FY27</t>
        </is>
      </c>
      <c r="E1485" s="3" t="n">
        <v>3326</v>
      </c>
      <c r="F1485" s="8" t="n">
        <v>3.8449</v>
      </c>
      <c r="G1485" s="4" t="n">
        <v>541.7539</v>
      </c>
      <c r="H1485" s="4" t="n">
        <v>1272.4224</v>
      </c>
      <c r="I1485" s="4" t="n">
        <v>27.8875</v>
      </c>
      <c r="J1485" s="4" t="n">
        <v>27.8875</v>
      </c>
      <c r="K1485" s="4" t="n">
        <v>23.6475</v>
      </c>
      <c r="L1485" s="4" t="n">
        <v>25.01</v>
      </c>
      <c r="M1485" s="7" t="n">
        <v>-0.1032</v>
      </c>
    </row>
    <row r="1486">
      <c r="A1486" s="6" t="n">
        <v>46114</v>
      </c>
      <c r="B1486" s="2" t="inlineStr">
        <is>
          <t>Thursday</t>
        </is>
      </c>
      <c r="C1486" s="5" t="n">
        <v>46113</v>
      </c>
      <c r="D1486" s="2" t="inlineStr">
        <is>
          <t>Q1FY27</t>
        </is>
      </c>
      <c r="E1486" s="3" t="n">
        <v>3313</v>
      </c>
      <c r="F1486" s="8" t="n">
        <v>3.7187</v>
      </c>
      <c r="G1486" s="4" t="n">
        <v>549.1987</v>
      </c>
      <c r="H1486" s="4" t="n">
        <v>1170.9006</v>
      </c>
      <c r="I1486" s="4" t="n">
        <v>25.01</v>
      </c>
      <c r="J1486" s="4" t="n">
        <v>26.595</v>
      </c>
      <c r="K1486" s="4" t="n">
        <v>25.01</v>
      </c>
      <c r="L1486" s="4" t="n">
        <v>25.52</v>
      </c>
      <c r="M1486" s="7" t="n">
        <v>0.0204</v>
      </c>
    </row>
    <row r="1487">
      <c r="A1487" s="6" t="n">
        <v>46118</v>
      </c>
      <c r="B1487" s="2" t="inlineStr">
        <is>
          <t>Monday</t>
        </is>
      </c>
      <c r="C1487" s="5" t="n">
        <v>46113</v>
      </c>
      <c r="D1487" s="2" t="inlineStr">
        <is>
          <t>Q1FY27</t>
        </is>
      </c>
      <c r="E1487" s="3" t="n">
        <v>3350</v>
      </c>
      <c r="F1487" s="8" t="n">
        <v>3.615</v>
      </c>
      <c r="G1487" s="4" t="n">
        <v>513.687</v>
      </c>
      <c r="H1487" s="4" t="n">
        <v>1161.1539</v>
      </c>
      <c r="I1487" s="4" t="n">
        <v>25.52</v>
      </c>
      <c r="J1487" s="4" t="n">
        <v>26.56</v>
      </c>
      <c r="K1487" s="4" t="n">
        <v>25.0825</v>
      </c>
      <c r="L1487" s="4" t="n">
        <v>25.47</v>
      </c>
      <c r="M1487" s="7" t="n">
        <v>-0.002</v>
      </c>
    </row>
    <row r="1488">
      <c r="A1488" s="6" t="n">
        <v>46119</v>
      </c>
      <c r="B1488" s="2" t="inlineStr">
        <is>
          <t>Tuesday</t>
        </is>
      </c>
      <c r="C1488" s="5" t="n">
        <v>46113</v>
      </c>
      <c r="D1488" s="2" t="inlineStr">
        <is>
          <t>Q1FY27</t>
        </is>
      </c>
      <c r="E1488" s="3" t="n">
        <v>3317</v>
      </c>
      <c r="F1488" s="8" t="n">
        <v>3.2576</v>
      </c>
      <c r="G1488" s="4" t="n">
        <v>421.8967</v>
      </c>
      <c r="H1488" s="4" t="n">
        <v>1104.619</v>
      </c>
      <c r="I1488" s="4" t="n">
        <v>25.4675</v>
      </c>
      <c r="J1488" s="4" t="n">
        <v>26.255</v>
      </c>
      <c r="K1488" s="4" t="n">
        <v>24.545</v>
      </c>
      <c r="L1488" s="4" t="n">
        <v>24.7</v>
      </c>
      <c r="M1488" s="7" t="n">
        <v>-0.0301</v>
      </c>
    </row>
    <row r="1489">
      <c r="A1489" s="6" t="n">
        <v>46120</v>
      </c>
      <c r="B1489" s="2" t="inlineStr">
        <is>
          <t>Wednesday</t>
        </is>
      </c>
      <c r="C1489" s="5" t="n">
        <v>46113</v>
      </c>
      <c r="D1489" s="2" t="inlineStr">
        <is>
          <t>Q1FY27</t>
        </is>
      </c>
      <c r="E1489" s="3" t="n">
        <v>3376</v>
      </c>
      <c r="F1489" s="8" t="n">
        <v>4.3018</v>
      </c>
      <c r="G1489" s="4" t="n">
        <v>683.1709</v>
      </c>
      <c r="H1489" s="4" t="n">
        <v>1659.2619</v>
      </c>
      <c r="I1489" s="4" t="n">
        <v>24.695</v>
      </c>
      <c r="J1489" s="4" t="n">
        <v>24.695</v>
      </c>
      <c r="K1489" s="4" t="n">
        <v>19.305</v>
      </c>
      <c r="L1489" s="4" t="n">
        <v>19.7</v>
      </c>
      <c r="M1489" s="7" t="n">
        <v>-0.2023</v>
      </c>
    </row>
    <row r="1490">
      <c r="A1490" s="6" t="n">
        <v>46121</v>
      </c>
      <c r="B1490" s="2" t="inlineStr">
        <is>
          <t>Thursday</t>
        </is>
      </c>
      <c r="C1490" s="5" t="n">
        <v>46113</v>
      </c>
      <c r="D1490" s="2" t="inlineStr">
        <is>
          <t>Q1FY27</t>
        </is>
      </c>
      <c r="E1490" s="3" t="n">
        <v>3326</v>
      </c>
      <c r="F1490" s="8" t="n">
        <v>3.7488</v>
      </c>
      <c r="G1490" s="4" t="n">
        <v>568.9930000000001</v>
      </c>
      <c r="H1490" s="4" t="n">
        <v>1333.6365</v>
      </c>
      <c r="I1490" s="4" t="n">
        <v>19.6975</v>
      </c>
      <c r="J1490" s="4" t="n">
        <v>20.9425</v>
      </c>
      <c r="K1490" s="4" t="n">
        <v>19.1725</v>
      </c>
      <c r="L1490" s="4" t="n">
        <v>20.43</v>
      </c>
      <c r="M1490" s="7" t="n">
        <v>0.0372</v>
      </c>
    </row>
    <row r="1491">
      <c r="A1491" s="6" t="n">
        <v>46122</v>
      </c>
      <c r="B1491" s="2" t="inlineStr">
        <is>
          <t>Friday</t>
        </is>
      </c>
      <c r="C1491" s="5" t="n">
        <v>46113</v>
      </c>
      <c r="D1491" s="2" t="inlineStr">
        <is>
          <t>Q1FY27</t>
        </is>
      </c>
      <c r="E1491" s="3" t="n">
        <v>3349</v>
      </c>
      <c r="F1491" s="8" t="n">
        <v>3.6072</v>
      </c>
      <c r="G1491" s="4" t="n">
        <v>598.2714</v>
      </c>
      <c r="H1491" s="4" t="n">
        <v>1317.3107</v>
      </c>
      <c r="I1491" s="4" t="n">
        <v>20.4275</v>
      </c>
      <c r="J1491" s="4" t="n">
        <v>20.4275</v>
      </c>
      <c r="K1491" s="4" t="n">
        <v>18.37</v>
      </c>
      <c r="L1491" s="4" t="n">
        <v>18.85</v>
      </c>
      <c r="M1491" s="7" t="n">
        <v>-0.0772</v>
      </c>
    </row>
    <row r="1492">
      <c r="A1492" s="6" t="n">
        <v>46125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3329</v>
      </c>
      <c r="F1492" s="8" t="n">
        <v>3.6071</v>
      </c>
      <c r="G1492" s="4" t="n">
        <v>540.7663</v>
      </c>
      <c r="H1492" s="4" t="n">
        <v>1299.8755</v>
      </c>
      <c r="I1492" s="4" t="n">
        <v>18.85</v>
      </c>
      <c r="J1492" s="4" t="n">
        <v>21.5075</v>
      </c>
      <c r="K1492" s="4" t="n">
        <v>18.1825</v>
      </c>
      <c r="L1492" s="4" t="n">
        <v>20.5</v>
      </c>
      <c r="M1492" s="7" t="n">
        <v>0.08749999999999999</v>
      </c>
    </row>
    <row r="1493">
      <c r="A1493" s="6" t="n">
        <v>46127</v>
      </c>
      <c r="B1493" s="2" t="inlineStr">
        <is>
          <t>Wednesday</t>
        </is>
      </c>
      <c r="C1493" s="5" t="n">
        <v>46113</v>
      </c>
      <c r="D1493" s="2" t="inlineStr">
        <is>
          <t>Q1FY27</t>
        </is>
      </c>
      <c r="E1493" s="3" t="n">
        <v>3367</v>
      </c>
      <c r="F1493" s="8" t="n">
        <v>4.009</v>
      </c>
      <c r="G1493" s="4" t="n">
        <v>603.6492</v>
      </c>
      <c r="H1493" s="4" t="n">
        <v>1453.3045</v>
      </c>
      <c r="I1493" s="4" t="n">
        <v>20.5</v>
      </c>
      <c r="J1493" s="4" t="n">
        <v>20.5</v>
      </c>
      <c r="K1493" s="4" t="n">
        <v>17.3375</v>
      </c>
      <c r="L1493" s="4" t="n">
        <v>18.67</v>
      </c>
      <c r="M1493" s="7" t="n">
        <v>-0.0893</v>
      </c>
    </row>
    <row r="1494">
      <c r="A1494" s="6" t="n">
        <v>46128</v>
      </c>
      <c r="B1494" s="2" t="inlineStr">
        <is>
          <t>Thursday</t>
        </is>
      </c>
      <c r="C1494" s="5" t="n">
        <v>46113</v>
      </c>
      <c r="D1494" s="2" t="inlineStr">
        <is>
          <t>Q1FY27</t>
        </is>
      </c>
      <c r="E1494" s="3" t="n">
        <v>3330</v>
      </c>
      <c r="F1494" s="8" t="n">
        <v>3.9433</v>
      </c>
      <c r="G1494" s="4" t="n">
        <v>580.9558</v>
      </c>
      <c r="H1494" s="4" t="n">
        <v>1527.0934</v>
      </c>
      <c r="I1494" s="4" t="n">
        <v>18.6675</v>
      </c>
      <c r="J1494" s="4" t="n">
        <v>18.6675</v>
      </c>
      <c r="K1494" s="4" t="n">
        <v>16.8325</v>
      </c>
      <c r="L1494" s="4" t="n">
        <v>18.09</v>
      </c>
      <c r="M1494" s="7" t="n">
        <v>-0.0309</v>
      </c>
    </row>
    <row r="1495">
      <c r="A1495" s="6" t="n">
        <v>46129</v>
      </c>
      <c r="B1495" s="2" t="inlineStr">
        <is>
          <t>Friday</t>
        </is>
      </c>
      <c r="C1495" s="5" t="n">
        <v>46113</v>
      </c>
      <c r="D1495" s="2" t="inlineStr">
        <is>
          <t>Q1FY27</t>
        </is>
      </c>
      <c r="E1495" s="3" t="n">
        <v>3356</v>
      </c>
      <c r="F1495" s="8" t="n">
        <v>3.9832</v>
      </c>
      <c r="G1495" s="4" t="n">
        <v>616.2948</v>
      </c>
      <c r="H1495" s="4" t="n">
        <v>1517.0489</v>
      </c>
      <c r="I1495" s="4" t="n">
        <v>18.085</v>
      </c>
      <c r="J1495" s="4" t="n">
        <v>18.47</v>
      </c>
      <c r="K1495" s="4" t="n">
        <v>16.5925</v>
      </c>
      <c r="L1495" s="4" t="n">
        <v>17.21</v>
      </c>
      <c r="M1495" s="7" t="n">
        <v>-0.0484</v>
      </c>
    </row>
    <row r="1496">
      <c r="A1496" s="6" t="n">
        <v>46132</v>
      </c>
      <c r="B1496" s="2" t="inlineStr">
        <is>
          <t>Monday</t>
        </is>
      </c>
      <c r="C1496" s="5" t="n">
        <v>46113</v>
      </c>
      <c r="D1496" s="2" t="inlineStr">
        <is>
          <t>Q1FY27</t>
        </is>
      </c>
      <c r="E1496" s="3" t="n">
        <v>3430</v>
      </c>
      <c r="F1496" s="8" t="n">
        <v>3.7552</v>
      </c>
      <c r="G1496" s="4" t="n">
        <v>535.002</v>
      </c>
      <c r="H1496" s="4" t="n">
        <v>1299.7903</v>
      </c>
      <c r="I1496" s="4" t="n">
        <v>17.205</v>
      </c>
      <c r="J1496" s="4" t="n">
        <v>19.01</v>
      </c>
      <c r="K1496" s="4" t="n">
        <v>16.48</v>
      </c>
      <c r="L1496" s="4" t="n">
        <v>18.79</v>
      </c>
      <c r="M1496" s="7" t="n">
        <v>0.0921</v>
      </c>
    </row>
    <row r="1497">
      <c r="A1497" s="6" t="n">
        <v>46133</v>
      </c>
      <c r="B1497" s="2" t="inlineStr">
        <is>
          <t>Tuesday</t>
        </is>
      </c>
      <c r="C1497" s="5" t="n">
        <v>46113</v>
      </c>
      <c r="D1497" s="2" t="inlineStr">
        <is>
          <t>Q1FY27</t>
        </is>
      </c>
      <c r="E1497" s="3" t="n">
        <v>3440</v>
      </c>
      <c r="F1497" s="8" t="n">
        <v>3.4129</v>
      </c>
      <c r="G1497" s="4" t="n">
        <v>476.3418</v>
      </c>
      <c r="H1497" s="4" t="n">
        <v>1278.2549</v>
      </c>
      <c r="I1497" s="4" t="n">
        <v>18.79</v>
      </c>
      <c r="J1497" s="4" t="n">
        <v>18.79</v>
      </c>
      <c r="K1497" s="4" t="n">
        <v>17.4525</v>
      </c>
      <c r="L1497" s="4" t="n">
        <v>17.53</v>
      </c>
      <c r="M1497" s="7" t="n">
        <v>-0.06710000000000001</v>
      </c>
    </row>
    <row r="1498">
      <c r="A1498" s="6" t="n">
        <v>46134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3402</v>
      </c>
      <c r="F1498" s="8" t="n">
        <v>3.7122</v>
      </c>
      <c r="G1498" s="4" t="n">
        <v>515.2913</v>
      </c>
      <c r="H1498" s="4" t="n">
        <v>1371.1319</v>
      </c>
      <c r="I1498" s="4" t="n">
        <v>17.5325</v>
      </c>
      <c r="J1498" s="4" t="n">
        <v>18.73</v>
      </c>
      <c r="K1498" s="4" t="n">
        <v>17.245</v>
      </c>
      <c r="L1498" s="4" t="n">
        <v>18.3</v>
      </c>
      <c r="M1498" s="7" t="n">
        <v>0.0438</v>
      </c>
    </row>
    <row r="1499">
      <c r="A1499" s="6" t="n">
        <v>46135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3400</v>
      </c>
      <c r="F1499" s="8" t="n">
        <v>3.6379</v>
      </c>
      <c r="G1499" s="4" t="n">
        <v>488.5928</v>
      </c>
      <c r="H1499" s="4" t="n">
        <v>1354.8136</v>
      </c>
      <c r="I1499" s="4" t="n">
        <v>18.3</v>
      </c>
      <c r="J1499" s="4" t="n">
        <v>19.12</v>
      </c>
      <c r="K1499" s="4" t="n">
        <v>17.49</v>
      </c>
      <c r="L1499" s="4" t="n">
        <v>18.59</v>
      </c>
      <c r="M1499" s="7" t="n">
        <v>0.0158</v>
      </c>
    </row>
    <row r="1500">
      <c r="A1500" s="6" t="n">
        <v>46136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3403</v>
      </c>
      <c r="F1500" s="8" t="n">
        <v>3.6546</v>
      </c>
      <c r="G1500" s="4" t="n">
        <v>449.6511</v>
      </c>
      <c r="H1500" s="4" t="n">
        <v>1309.4328</v>
      </c>
      <c r="I1500" s="4" t="n">
        <v>18.59</v>
      </c>
      <c r="J1500" s="4" t="n">
        <v>19.895</v>
      </c>
      <c r="K1500" s="4" t="n">
        <v>18.0625</v>
      </c>
      <c r="L1500" s="4" t="n">
        <v>19.71</v>
      </c>
      <c r="M1500" s="7" t="n">
        <v>0.0602</v>
      </c>
    </row>
    <row r="1501">
      <c r="A1501" s="6" t="n">
        <v>46139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3451</v>
      </c>
      <c r="F1501" s="8" t="n">
        <v>3.6942</v>
      </c>
      <c r="G1501" s="4" t="n">
        <v>461.7399</v>
      </c>
      <c r="H1501" s="4" t="n">
        <v>1312.5564</v>
      </c>
      <c r="I1501" s="4" t="n">
        <v>19.7125</v>
      </c>
      <c r="J1501" s="4" t="n">
        <v>19.7125</v>
      </c>
      <c r="K1501" s="4" t="n">
        <v>18.27</v>
      </c>
      <c r="L1501" s="4" t="n">
        <v>18.38</v>
      </c>
      <c r="M1501" s="7" t="n">
        <v>-0.06759999999999999</v>
      </c>
    </row>
    <row r="1502">
      <c r="A1502" s="6" t="n">
        <v>46140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3383</v>
      </c>
      <c r="F1502" s="8" t="n">
        <v>3.5565</v>
      </c>
      <c r="G1502" s="4" t="n">
        <v>520.5982</v>
      </c>
      <c r="H1502" s="4" t="n">
        <v>1380.8733</v>
      </c>
      <c r="I1502" s="4" t="n">
        <v>18.3775</v>
      </c>
      <c r="J1502" s="4" t="n">
        <v>18.4075</v>
      </c>
      <c r="K1502" s="4" t="n">
        <v>17.2675</v>
      </c>
      <c r="L1502" s="4" t="n">
        <v>18.05</v>
      </c>
      <c r="M1502" s="7" t="n">
        <v>-0.0178</v>
      </c>
    </row>
    <row r="1503">
      <c r="A1503" s="6" t="n">
        <v>46141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3399</v>
      </c>
      <c r="F1503" s="8" t="n">
        <v>3.7114</v>
      </c>
      <c r="G1503" s="4" t="n">
        <v>514.2019</v>
      </c>
      <c r="H1503" s="4" t="n">
        <v>1392.8009</v>
      </c>
      <c r="I1503" s="4" t="n">
        <v>18.0475</v>
      </c>
      <c r="J1503" s="4" t="n">
        <v>18.0475</v>
      </c>
      <c r="K1503" s="4" t="n">
        <v>16.75</v>
      </c>
      <c r="L1503" s="4" t="n">
        <v>17.44</v>
      </c>
      <c r="M1503" s="7" t="n">
        <v>-0.0337</v>
      </c>
    </row>
    <row r="1504">
      <c r="A1504" s="6" t="n">
        <v>46142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3374</v>
      </c>
      <c r="F1504" s="8" t="n">
        <v>3.9483</v>
      </c>
      <c r="G1504" s="4" t="n">
        <v>473.0619</v>
      </c>
      <c r="H1504" s="4" t="n">
        <v>1425.5351</v>
      </c>
      <c r="I1504" s="4" t="n">
        <v>17.4375</v>
      </c>
      <c r="J1504" s="4" t="n">
        <v>19.48</v>
      </c>
      <c r="K1504" s="4" t="n">
        <v>17.185</v>
      </c>
      <c r="L1504" s="4" t="n">
        <v>18.46</v>
      </c>
      <c r="M1504" s="7" t="n">
        <v>0.0586</v>
      </c>
    </row>
    <row r="1505">
      <c r="A1505" s="6" t="n">
        <v>46146</v>
      </c>
      <c r="B1505" s="2" t="inlineStr">
        <is>
          <t>Monday</t>
        </is>
      </c>
      <c r="C1505" s="5" t="n">
        <v>46143</v>
      </c>
      <c r="D1505" s="2" t="inlineStr">
        <is>
          <t>Q1FY27</t>
        </is>
      </c>
      <c r="E1505" s="3" t="n">
        <v>3435</v>
      </c>
      <c r="F1505" s="8" t="n">
        <v>4.099</v>
      </c>
      <c r="G1505" s="4" t="n">
        <v>558.5945</v>
      </c>
      <c r="H1505" s="4" t="n">
        <v>1368.3109</v>
      </c>
      <c r="I1505" s="4" t="n">
        <v>18.46</v>
      </c>
      <c r="J1505" s="4" t="n">
        <v>18.875</v>
      </c>
      <c r="K1505" s="4" t="n">
        <v>16.7475</v>
      </c>
      <c r="L1505" s="4" t="n">
        <v>18.3</v>
      </c>
      <c r="M1505" s="7" t="n">
        <v>-0.008699999999999999</v>
      </c>
    </row>
    <row r="1506">
      <c r="A1506" s="6" t="n">
        <v>46147</v>
      </c>
      <c r="B1506" s="2" t="inlineStr">
        <is>
          <t>Tuesday</t>
        </is>
      </c>
      <c r="C1506" s="5" t="n">
        <v>46143</v>
      </c>
      <c r="D1506" s="2" t="inlineStr">
        <is>
          <t>Q1FY27</t>
        </is>
      </c>
      <c r="E1506" s="3" t="n">
        <v>3397</v>
      </c>
      <c r="F1506" s="8" t="n">
        <v>3.7252</v>
      </c>
      <c r="G1506" s="4" t="n">
        <v>493.9277</v>
      </c>
      <c r="H1506" s="4" t="n">
        <v>1286.2918</v>
      </c>
      <c r="I1506" s="4" t="n">
        <v>18.3</v>
      </c>
      <c r="J1506" s="4" t="n">
        <v>18.8425</v>
      </c>
      <c r="K1506" s="4" t="n">
        <v>17.7125</v>
      </c>
      <c r="L1506" s="4" t="n">
        <v>17.91</v>
      </c>
      <c r="M1506" s="7" t="n">
        <v>-0.0213</v>
      </c>
    </row>
    <row r="1507">
      <c r="A1507" s="6" t="n">
        <v>46148</v>
      </c>
      <c r="B1507" s="2" t="inlineStr">
        <is>
          <t>Wednesday</t>
        </is>
      </c>
      <c r="C1507" s="5" t="n">
        <v>46143</v>
      </c>
      <c r="D1507" s="2" t="inlineStr">
        <is>
          <t>Q1FY27</t>
        </is>
      </c>
      <c r="E1507" s="3" t="n">
        <v>3379</v>
      </c>
      <c r="F1507" s="8" t="n">
        <v>4.0907</v>
      </c>
      <c r="G1507" s="4" t="n">
        <v>585.2508</v>
      </c>
      <c r="H1507" s="4" t="n">
        <v>1516.8161</v>
      </c>
      <c r="I1507" s="4" t="n">
        <v>17.9075</v>
      </c>
      <c r="J1507" s="4" t="n">
        <v>18.0775</v>
      </c>
      <c r="K1507" s="4" t="n">
        <v>16.5775</v>
      </c>
      <c r="L1507" s="4" t="n">
        <v>16.68</v>
      </c>
      <c r="M1507" s="7" t="n">
        <v>-0.06850000000000001</v>
      </c>
    </row>
    <row r="1508">
      <c r="A1508" s="6" t="n">
        <v>46149</v>
      </c>
      <c r="B1508" s="2" t="inlineStr">
        <is>
          <t>Thursday</t>
        </is>
      </c>
      <c r="C1508" s="5" t="n">
        <v>46143</v>
      </c>
      <c r="D1508" s="2" t="inlineStr">
        <is>
          <t>Q1FY27</t>
        </is>
      </c>
      <c r="E1508" s="3" t="n">
        <v>3397</v>
      </c>
      <c r="F1508" s="8" t="n">
        <v>4.1858</v>
      </c>
      <c r="G1508" s="4" t="n">
        <v>557.3841</v>
      </c>
      <c r="H1508" s="4" t="n">
        <v>1535.9859</v>
      </c>
      <c r="I1508" s="4" t="n">
        <v>16.6775</v>
      </c>
      <c r="J1508" s="4" t="n">
        <v>17.195</v>
      </c>
      <c r="K1508" s="4" t="n">
        <v>15.1675</v>
      </c>
      <c r="L1508" s="4" t="n">
        <v>16.62</v>
      </c>
      <c r="M1508" s="7" t="n">
        <v>-0.0034</v>
      </c>
    </row>
    <row r="1509">
      <c r="A1509" s="6" t="n">
        <v>46150</v>
      </c>
      <c r="B1509" s="2" t="inlineStr">
        <is>
          <t>Friday</t>
        </is>
      </c>
      <c r="C1509" s="5" t="n">
        <v>46143</v>
      </c>
      <c r="D1509" s="2" t="inlineStr">
        <is>
          <t>Q1FY27</t>
        </is>
      </c>
      <c r="E1509" s="3" t="n">
        <v>3393</v>
      </c>
      <c r="F1509" s="8" t="n">
        <v>4.1122</v>
      </c>
      <c r="G1509" s="4" t="n">
        <v>515.9102</v>
      </c>
      <c r="H1509" s="4" t="n">
        <v>1476.6921</v>
      </c>
      <c r="I1509" s="4" t="n">
        <v>16.62</v>
      </c>
      <c r="J1509" s="4" t="n">
        <v>17.425</v>
      </c>
      <c r="K1509" s="4" t="n">
        <v>16.1625</v>
      </c>
      <c r="L1509" s="4" t="n">
        <v>16.84</v>
      </c>
      <c r="M1509" s="7" t="n">
        <v>0.0132</v>
      </c>
    </row>
    <row r="1510">
      <c r="A1510" s="6" t="n">
        <v>46153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3427</v>
      </c>
      <c r="F1510" s="8" t="n">
        <v>4.3254</v>
      </c>
      <c r="G1510" s="4" t="n">
        <v>665.2148999999999</v>
      </c>
      <c r="H1510" s="4" t="n">
        <v>1389.8718</v>
      </c>
      <c r="I1510" s="4" t="n">
        <v>16.84</v>
      </c>
      <c r="J1510" s="4" t="n">
        <v>18.9675</v>
      </c>
      <c r="K1510" s="4" t="n">
        <v>16.84</v>
      </c>
      <c r="L1510" s="4" t="n">
        <v>18.55</v>
      </c>
      <c r="M1510" s="7" t="n">
        <v>0.1015</v>
      </c>
    </row>
    <row r="1511">
      <c r="A1511" s="6" t="n">
        <v>46154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3391</v>
      </c>
      <c r="F1511" s="8" t="n">
        <v>4.3457</v>
      </c>
      <c r="G1511" s="4" t="n">
        <v>620.3821</v>
      </c>
      <c r="H1511" s="4" t="n">
        <v>1447.3174</v>
      </c>
      <c r="I1511" s="4" t="n">
        <v>18.5525</v>
      </c>
      <c r="J1511" s="4" t="n">
        <v>19.46</v>
      </c>
      <c r="K1511" s="4" t="n">
        <v>17.63</v>
      </c>
      <c r="L1511" s="4" t="n">
        <v>19.28</v>
      </c>
      <c r="M1511" s="7" t="n">
        <v>0.0392</v>
      </c>
    </row>
    <row r="1512">
      <c r="A1512" s="6" t="n">
        <v>46155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3381</v>
      </c>
      <c r="F1512" s="8" t="n">
        <v>4.2195</v>
      </c>
      <c r="G1512" s="4" t="n">
        <v>659.7734</v>
      </c>
      <c r="H1512" s="4" t="n">
        <v>1386.0495</v>
      </c>
      <c r="I1512" s="4" t="n">
        <v>19.28</v>
      </c>
      <c r="J1512" s="4" t="n">
        <v>20.125</v>
      </c>
      <c r="K1512" s="4" t="n">
        <v>18.3575</v>
      </c>
      <c r="L1512" s="4" t="n">
        <v>19.43</v>
      </c>
      <c r="M1512" s="7" t="n">
        <v>0.0078</v>
      </c>
    </row>
    <row r="1513">
      <c r="A1513" s="6" t="n">
        <v>46156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3378</v>
      </c>
      <c r="F1513" s="8" t="n">
        <v>4.104</v>
      </c>
      <c r="G1513" s="4" t="n">
        <v>566.6091</v>
      </c>
      <c r="H1513" s="4" t="n">
        <v>1430.1767</v>
      </c>
      <c r="I1513" s="4" t="n">
        <v>19.425</v>
      </c>
      <c r="J1513" s="4" t="n">
        <v>19.425</v>
      </c>
      <c r="K1513" s="4" t="n">
        <v>18.3875</v>
      </c>
      <c r="L1513" s="4" t="n">
        <v>18.61</v>
      </c>
      <c r="M1513" s="7" t="n">
        <v>-0.042</v>
      </c>
    </row>
    <row r="1514">
      <c r="A1514" s="6" t="n">
        <v>46157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3370</v>
      </c>
      <c r="F1514" s="8" t="n">
        <v>3.7955</v>
      </c>
      <c r="G1514" s="4" t="n">
        <v>614.6385</v>
      </c>
      <c r="H1514" s="4" t="n">
        <v>1332.2725</v>
      </c>
      <c r="I1514" s="4" t="n">
        <v>18.6125</v>
      </c>
      <c r="J1514" s="4" t="n">
        <v>19.0125</v>
      </c>
      <c r="K1514" s="4" t="n">
        <v>17.4225</v>
      </c>
      <c r="L1514" s="4" t="n">
        <v>18.79</v>
      </c>
      <c r="M1514" s="7" t="n">
        <v>0.0095</v>
      </c>
    </row>
    <row r="1515">
      <c r="A1515" s="6" t="n">
        <v>46160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3417</v>
      </c>
      <c r="F1515" s="8" t="n">
        <v>4.1172</v>
      </c>
      <c r="G1515" s="4" t="n">
        <v>535.9047</v>
      </c>
      <c r="H1515" s="4" t="n">
        <v>1234.503</v>
      </c>
      <c r="I1515" s="4" t="n">
        <v>18.79</v>
      </c>
      <c r="J1515" s="4" t="n">
        <v>20.0575</v>
      </c>
      <c r="K1515" s="4" t="n">
        <v>17.72</v>
      </c>
      <c r="L1515" s="4" t="n">
        <v>19.63</v>
      </c>
      <c r="M1515" s="7" t="n">
        <v>0.0447</v>
      </c>
    </row>
    <row r="1516">
      <c r="A1516" s="6" t="n">
        <v>46161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3359</v>
      </c>
      <c r="F1516" s="8" t="n">
        <v>3.8972</v>
      </c>
      <c r="G1516" s="4" t="n">
        <v>544.9601</v>
      </c>
      <c r="H1516" s="4" t="n">
        <v>1311.1602</v>
      </c>
      <c r="I1516" s="4" t="n">
        <v>19.63</v>
      </c>
      <c r="J1516" s="4" t="n">
        <v>19.63</v>
      </c>
      <c r="K1516" s="4" t="n">
        <v>18.2675</v>
      </c>
      <c r="L1516" s="4" t="n">
        <v>18.68</v>
      </c>
      <c r="M1516" s="7" t="n">
        <v>-0.0484</v>
      </c>
    </row>
    <row r="1517">
      <c r="A1517" s="6" t="n">
        <v>46162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3374</v>
      </c>
      <c r="F1517" s="8" t="n">
        <v>3.4905</v>
      </c>
      <c r="G1517" s="4" t="n">
        <v>459.0192</v>
      </c>
      <c r="H1517" s="4" t="n">
        <v>1145.2498</v>
      </c>
      <c r="I1517" s="4" t="n">
        <v>18.675</v>
      </c>
      <c r="J1517" s="4" t="n">
        <v>19.455</v>
      </c>
      <c r="K1517" s="4" t="n">
        <v>18.0575</v>
      </c>
      <c r="L1517" s="4" t="n">
        <v>18.44</v>
      </c>
      <c r="M1517" s="7" t="n">
        <v>-0.0126</v>
      </c>
    </row>
    <row r="1518">
      <c r="A1518" s="6" t="n">
        <v>46163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3385</v>
      </c>
      <c r="F1518" s="8" t="n">
        <v>3.4301</v>
      </c>
      <c r="G1518" s="4" t="n">
        <v>490.0377</v>
      </c>
      <c r="H1518" s="4" t="n">
        <v>1212.511</v>
      </c>
      <c r="I1518" s="4" t="n">
        <v>18.44</v>
      </c>
      <c r="J1518" s="4" t="n">
        <v>18.44</v>
      </c>
      <c r="K1518" s="4" t="n">
        <v>17.425</v>
      </c>
      <c r="L1518" s="4" t="n">
        <v>17.82</v>
      </c>
      <c r="M1518" s="7" t="n">
        <v>-0.0336</v>
      </c>
    </row>
    <row r="1519">
      <c r="A1519" s="6" t="n">
        <v>46164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3374</v>
      </c>
      <c r="F1519" s="8" t="n">
        <v>3.3645</v>
      </c>
      <c r="G1519" s="4" t="n">
        <v>453.8647</v>
      </c>
      <c r="H1519" s="4" t="n">
        <v>1133.3848</v>
      </c>
      <c r="I1519" s="4" t="n">
        <v>17.8225</v>
      </c>
      <c r="J1519" s="4" t="n">
        <v>19.025</v>
      </c>
      <c r="K1519" s="4" t="n">
        <v>16.465</v>
      </c>
      <c r="L1519" s="4" t="n">
        <v>17.91</v>
      </c>
      <c r="M1519" s="7" t="n">
        <v>0.0049</v>
      </c>
    </row>
    <row r="1520">
      <c r="A1520" s="6" t="n">
        <v>46167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3426</v>
      </c>
      <c r="F1520" s="8" t="n">
        <v>3.444</v>
      </c>
      <c r="G1520" s="4" t="n">
        <v>520.7566</v>
      </c>
      <c r="H1520" s="4" t="n">
        <v>1195.8117</v>
      </c>
      <c r="I1520" s="4" t="n">
        <v>17.91</v>
      </c>
      <c r="J1520" s="4" t="n">
        <v>17.91</v>
      </c>
      <c r="K1520" s="4" t="n">
        <v>16.3925</v>
      </c>
      <c r="L1520" s="4" t="n">
        <v>16.7</v>
      </c>
      <c r="M1520" s="7" t="n">
        <v>-0.06759999999999999</v>
      </c>
    </row>
    <row r="1521">
      <c r="A1521" s="6" t="n">
        <v>46168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3429</v>
      </c>
      <c r="F1521" s="8" t="n">
        <v>3.5596</v>
      </c>
      <c r="G1521" s="4" t="n">
        <v>524.8056</v>
      </c>
      <c r="H1521" s="4" t="n">
        <v>1275.1337</v>
      </c>
      <c r="I1521" s="4" t="n">
        <v>16.7025</v>
      </c>
      <c r="J1521" s="4" t="n">
        <v>16.96</v>
      </c>
      <c r="K1521" s="4" t="n">
        <v>15.3625</v>
      </c>
      <c r="L1521" s="4" t="n">
        <v>16.13</v>
      </c>
      <c r="M1521" s="7" t="n">
        <v>-0.0343</v>
      </c>
    </row>
    <row r="1522">
      <c r="A1522" s="6" t="n">
        <v>46169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3425</v>
      </c>
      <c r="F1522" s="8" t="n">
        <v>3.7352</v>
      </c>
      <c r="G1522" s="4" t="n">
        <v>683.8439</v>
      </c>
      <c r="H1522" s="4" t="n">
        <v>1358.9966</v>
      </c>
      <c r="I1522" s="4" t="n">
        <v>16.1325</v>
      </c>
      <c r="J1522" s="4" t="n">
        <v>16.3275</v>
      </c>
      <c r="K1522" s="4" t="n">
        <v>14.6975</v>
      </c>
      <c r="L1522" s="4" t="n">
        <v>14.98</v>
      </c>
      <c r="M1522" s="7" t="n">
        <v>-0.07140000000000001</v>
      </c>
    </row>
    <row r="1523">
      <c r="A1523" s="6" t="n">
        <v>46171</v>
      </c>
      <c r="B1523" s="2" t="inlineStr">
        <is>
          <t>Friday</t>
        </is>
      </c>
      <c r="C1523" s="5" t="n">
        <v>46143</v>
      </c>
      <c r="D1523" s="2" t="inlineStr">
        <is>
          <t>Q1FY27</t>
        </is>
      </c>
      <c r="E1523" s="3" t="n">
        <v>3426</v>
      </c>
      <c r="F1523" s="8" t="n">
        <v>5.1231</v>
      </c>
      <c r="G1523" s="4" t="n">
        <v>961.6872</v>
      </c>
      <c r="H1523" s="4" t="n">
        <v>2874.5234</v>
      </c>
      <c r="I1523" s="4" t="n">
        <v>14.9825</v>
      </c>
      <c r="J1523" s="4" t="n">
        <v>16.5525</v>
      </c>
      <c r="K1523" s="4" t="n">
        <v>14.5925</v>
      </c>
      <c r="L1523" s="4" t="n">
        <v>16.19</v>
      </c>
      <c r="M1523" s="7" t="n">
        <v>0.0806</v>
      </c>
    </row>
    <row r="1524">
      <c r="A1524" s="6" t="n">
        <v>46174</v>
      </c>
      <c r="B1524" s="2" t="inlineStr">
        <is>
          <t>Monday</t>
        </is>
      </c>
      <c r="C1524" s="5" t="n">
        <v>46174</v>
      </c>
      <c r="D1524" s="2" t="inlineStr">
        <is>
          <t>Q1FY27</t>
        </is>
      </c>
      <c r="E1524" s="3" t="n">
        <v>3459</v>
      </c>
      <c r="F1524" s="8" t="n">
        <v>4.0606</v>
      </c>
      <c r="G1524" s="4" t="n">
        <v>591.1015</v>
      </c>
      <c r="H1524" s="4" t="n">
        <v>1326.7224</v>
      </c>
      <c r="I1524" s="4" t="n">
        <v>16.185</v>
      </c>
      <c r="J1524" s="4" t="n">
        <v>16.9175</v>
      </c>
      <c r="K1524" s="4" t="n">
        <v>13.9125</v>
      </c>
      <c r="L1524" s="4" t="n">
        <v>16.54</v>
      </c>
      <c r="M1524" s="7" t="n">
        <v>0.0219</v>
      </c>
    </row>
    <row r="1525">
      <c r="A1525" s="6" t="n">
        <v>46175</v>
      </c>
      <c r="B1525" s="2" t="inlineStr">
        <is>
          <t>Tuesday</t>
        </is>
      </c>
      <c r="C1525" s="5" t="n">
        <v>46174</v>
      </c>
      <c r="D1525" s="2" t="inlineStr">
        <is>
          <t>Q1FY27</t>
        </is>
      </c>
      <c r="E1525" s="3" t="n">
        <v>3433</v>
      </c>
      <c r="F1525" s="8" t="n">
        <v>4.0028</v>
      </c>
      <c r="G1525" s="4" t="n">
        <v>554.7264</v>
      </c>
      <c r="H1525" s="4" t="n">
        <v>1433.2701</v>
      </c>
      <c r="I1525" s="4" t="n">
        <v>16.5425</v>
      </c>
      <c r="J1525" s="4" t="n">
        <v>16.5425</v>
      </c>
      <c r="K1525" s="4" t="n">
        <v>15.115</v>
      </c>
      <c r="L1525" s="4" t="n">
        <v>15.36</v>
      </c>
      <c r="M1525" s="7" t="n">
        <v>-0.07149999999999999</v>
      </c>
    </row>
    <row r="1526">
      <c r="A1526" s="6" t="n">
        <v>46176</v>
      </c>
      <c r="B1526" s="2" t="inlineStr">
        <is>
          <t>Wednesday</t>
        </is>
      </c>
      <c r="C1526" s="5" t="n">
        <v>46174</v>
      </c>
      <c r="D1526" s="2" t="inlineStr">
        <is>
          <t>Q1FY27</t>
        </is>
      </c>
      <c r="E1526" s="3" t="n">
        <v>3408</v>
      </c>
      <c r="F1526" s="8" t="n">
        <v>3.7886</v>
      </c>
      <c r="G1526" s="4" t="n">
        <v>632.7566</v>
      </c>
      <c r="H1526" s="4" t="n">
        <v>1353.52</v>
      </c>
      <c r="I1526" s="4" t="n">
        <v>15.355</v>
      </c>
      <c r="J1526" s="4" t="n">
        <v>16.98</v>
      </c>
      <c r="K1526" s="4" t="n">
        <v>14.85</v>
      </c>
      <c r="L1526" s="4" t="n">
        <v>16.28</v>
      </c>
      <c r="M1526" s="7" t="n">
        <v>0.0602</v>
      </c>
    </row>
    <row r="1527">
      <c r="A1527" s="6" t="n">
        <v>46177</v>
      </c>
      <c r="B1527" s="2" t="inlineStr">
        <is>
          <t>Thursday</t>
        </is>
      </c>
      <c r="C1527" s="5" t="n">
        <v>46174</v>
      </c>
      <c r="D1527" s="2" t="inlineStr">
        <is>
          <t>Q1FY27</t>
        </is>
      </c>
      <c r="E1527" s="3" t="n">
        <v>3400</v>
      </c>
      <c r="F1527" s="8" t="n">
        <v>3.6985</v>
      </c>
      <c r="G1527" s="4" t="n">
        <v>604.769</v>
      </c>
      <c r="H1527" s="4" t="n">
        <v>1289.8362</v>
      </c>
      <c r="I1527" s="4" t="n">
        <v>16.2775</v>
      </c>
      <c r="J1527" s="4" t="n">
        <v>16.405</v>
      </c>
      <c r="K1527" s="4" t="n">
        <v>15.53</v>
      </c>
      <c r="L1527" s="4" t="n">
        <v>15.89</v>
      </c>
      <c r="M1527" s="7" t="n">
        <v>-0.0238</v>
      </c>
    </row>
    <row r="1528">
      <c r="A1528" s="6" t="n">
        <v>46178</v>
      </c>
      <c r="B1528" s="2" t="inlineStr">
        <is>
          <t>Friday</t>
        </is>
      </c>
      <c r="C1528" s="5" t="n">
        <v>46174</v>
      </c>
      <c r="D1528" s="2" t="inlineStr">
        <is>
          <t>Q1FY27</t>
        </is>
      </c>
      <c r="E1528" s="3" t="n">
        <v>3417</v>
      </c>
      <c r="F1528" s="8" t="n">
        <v>3.674</v>
      </c>
      <c r="G1528" s="4" t="n">
        <v>572.3226</v>
      </c>
      <c r="H1528" s="4" t="n">
        <v>1288.7062</v>
      </c>
      <c r="I1528" s="4" t="n">
        <v>15.885</v>
      </c>
      <c r="J1528" s="4" t="n">
        <v>16.37</v>
      </c>
      <c r="K1528" s="4" t="n">
        <v>13.46</v>
      </c>
      <c r="L1528" s="4" t="n">
        <v>15.79</v>
      </c>
      <c r="M1528" s="7" t="n">
        <v>-0.006</v>
      </c>
    </row>
    <row r="1529">
      <c r="A1529" s="6" t="n">
        <v>46181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3414</v>
      </c>
      <c r="F1529" s="8" t="n">
        <v>3.6738</v>
      </c>
      <c r="G1529" s="4" t="n">
        <v>518.4165</v>
      </c>
      <c r="H1529" s="4" t="n">
        <v>1092.302</v>
      </c>
      <c r="I1529" s="4" t="n">
        <v>15.7875</v>
      </c>
      <c r="J1529" s="4" t="n">
        <v>18.44</v>
      </c>
      <c r="K1529" s="4" t="n">
        <v>15.7875</v>
      </c>
      <c r="L1529" s="4" t="n">
        <v>17.03</v>
      </c>
      <c r="M1529" s="7" t="n">
        <v>0.07870000000000001</v>
      </c>
    </row>
    <row r="1530">
      <c r="A1530" s="6" t="n">
        <v>46182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3402</v>
      </c>
      <c r="F1530" s="8" t="n">
        <v>3.4718</v>
      </c>
      <c r="G1530" s="4" t="n">
        <v>573.3961</v>
      </c>
      <c r="H1530" s="4" t="n">
        <v>1232.028</v>
      </c>
      <c r="I1530" s="4" t="n">
        <v>17.0275</v>
      </c>
      <c r="J1530" s="4" t="n">
        <v>17.0275</v>
      </c>
      <c r="K1530" s="4" t="n">
        <v>15.5225</v>
      </c>
      <c r="L1530" s="4" t="n">
        <v>15.58</v>
      </c>
      <c r="M1530" s="7" t="n">
        <v>-0.08500000000000001</v>
      </c>
    </row>
    <row r="1531">
      <c r="A1531" s="6" t="n">
        <v>46183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3380</v>
      </c>
      <c r="F1531" s="8" t="n">
        <v>3.5485</v>
      </c>
      <c r="G1531" s="4" t="n">
        <v>568.5278</v>
      </c>
      <c r="H1531" s="4" t="n">
        <v>1197.1414</v>
      </c>
      <c r="I1531" s="4" t="n">
        <v>15.575</v>
      </c>
      <c r="J1531" s="4" t="n">
        <v>15.845</v>
      </c>
      <c r="K1531" s="4" t="n">
        <v>14.9025</v>
      </c>
      <c r="L1531" s="4" t="n">
        <v>15.63</v>
      </c>
      <c r="M1531" s="7" t="n">
        <v>0.0035</v>
      </c>
    </row>
    <row r="1532">
      <c r="A1532" s="6" t="n">
        <v>46184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3368</v>
      </c>
      <c r="F1532" s="8" t="n">
        <v>3.5464</v>
      </c>
      <c r="G1532" s="4" t="n">
        <v>522.896</v>
      </c>
      <c r="H1532" s="4" t="n">
        <v>1125.0222</v>
      </c>
      <c r="I1532" s="4" t="n">
        <v>15.6325</v>
      </c>
      <c r="J1532" s="4" t="n">
        <v>15.945</v>
      </c>
      <c r="K1532" s="4" t="n">
        <v>15.1225</v>
      </c>
      <c r="L1532" s="4" t="n">
        <v>15.61</v>
      </c>
      <c r="M1532" s="7" t="n">
        <v>-0.0014</v>
      </c>
    </row>
    <row r="1533">
      <c r="A1533" s="6" t="n">
        <v>46185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3396</v>
      </c>
      <c r="F1533" s="8" t="n">
        <v>3.5489</v>
      </c>
      <c r="G1533" s="4" t="n">
        <v>560.0669</v>
      </c>
      <c r="H1533" s="4" t="n">
        <v>1188.3767</v>
      </c>
      <c r="I1533" s="4" t="n">
        <v>15.6125</v>
      </c>
      <c r="J1533" s="4" t="n">
        <v>15.6125</v>
      </c>
      <c r="K1533" s="4" t="n">
        <v>14.395</v>
      </c>
      <c r="L1533" s="4" t="n">
        <v>14.72</v>
      </c>
      <c r="M1533" s="7" t="n">
        <v>-0.0572</v>
      </c>
    </row>
    <row r="1534">
      <c r="A1534" s="6" t="n">
        <v>46188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3455</v>
      </c>
      <c r="F1534" s="8" t="n">
        <v>4.1923</v>
      </c>
      <c r="G1534" s="4" t="n">
        <v>609.5787</v>
      </c>
      <c r="H1534" s="4" t="n">
        <v>1386.4227</v>
      </c>
      <c r="I1534" s="4" t="n">
        <v>14.7175</v>
      </c>
      <c r="J1534" s="4" t="n">
        <v>14.7175</v>
      </c>
      <c r="K1534" s="4" t="n">
        <v>13.5575</v>
      </c>
      <c r="L1534" s="4" t="n">
        <v>14.35</v>
      </c>
      <c r="M1534" s="7" t="n">
        <v>-0.025</v>
      </c>
    </row>
    <row r="1535">
      <c r="A1535" s="6" t="n">
        <v>46189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3420</v>
      </c>
      <c r="F1535" s="8" t="n">
        <v>3.7369</v>
      </c>
      <c r="G1535" s="4" t="n">
        <v>589.6149</v>
      </c>
      <c r="H1535" s="4" t="n">
        <v>1196.1941</v>
      </c>
      <c r="I1535" s="4" t="n">
        <v>14.3525</v>
      </c>
      <c r="J1535" s="4" t="n">
        <v>14.3525</v>
      </c>
      <c r="K1535" s="4" t="n">
        <v>13.01</v>
      </c>
      <c r="L1535" s="4" t="n">
        <v>13.36</v>
      </c>
      <c r="M1535" s="7" t="n">
        <v>-0.0692</v>
      </c>
    </row>
    <row r="1536">
      <c r="A1536" s="6" t="n">
        <v>46190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3434</v>
      </c>
      <c r="F1536" s="8" t="n">
        <v>3.6952</v>
      </c>
      <c r="G1536" s="4" t="n">
        <v>611.7372</v>
      </c>
      <c r="H1536" s="4" t="n">
        <v>1333.6861</v>
      </c>
      <c r="I1536" s="4" t="n">
        <v>13.3625</v>
      </c>
      <c r="J1536" s="4" t="n">
        <v>13.5325</v>
      </c>
      <c r="K1536" s="4" t="n">
        <v>12.35</v>
      </c>
      <c r="L1536" s="4" t="n">
        <v>13.19</v>
      </c>
      <c r="M1536" s="7" t="n">
        <v>-0.0129</v>
      </c>
    </row>
    <row r="1537">
      <c r="A1537" s="6" t="n">
        <v>46191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3388</v>
      </c>
      <c r="F1537" s="8" t="n">
        <v>3.748</v>
      </c>
      <c r="G1537" s="4" t="n">
        <v>585.7305</v>
      </c>
      <c r="H1537" s="4" t="n">
        <v>1338.7205</v>
      </c>
      <c r="I1537" s="4" t="n">
        <v>13.1875</v>
      </c>
      <c r="J1537" s="4" t="n">
        <v>13.225</v>
      </c>
      <c r="K1537" s="4" t="n">
        <v>11.9925</v>
      </c>
      <c r="L1537" s="4" t="n">
        <v>12.67</v>
      </c>
      <c r="M1537" s="7" t="n">
        <v>-0.0392</v>
      </c>
    </row>
    <row r="1538">
      <c r="A1538" s="6" t="n">
        <v>46192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3403</v>
      </c>
      <c r="F1538" s="8" t="n">
        <v>4.0645</v>
      </c>
      <c r="G1538" s="4" t="n">
        <v>627.8656</v>
      </c>
      <c r="H1538" s="4" t="n">
        <v>1599.8195</v>
      </c>
      <c r="I1538" s="4" t="n">
        <v>12.6725</v>
      </c>
      <c r="J1538" s="4" t="n">
        <v>13.6425</v>
      </c>
      <c r="K1538" s="4" t="n">
        <v>12.07</v>
      </c>
      <c r="L1538" s="4" t="n">
        <v>12.97</v>
      </c>
      <c r="M1538" s="7" t="n">
        <v>0.0235</v>
      </c>
    </row>
    <row r="1539">
      <c r="A1539" s="6" t="n">
        <v>46195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3457</v>
      </c>
      <c r="F1539" s="8" t="n">
        <v>3.7385</v>
      </c>
      <c r="G1539" s="4" t="n">
        <v>485.2753</v>
      </c>
      <c r="H1539" s="4" t="n">
        <v>1189.48</v>
      </c>
      <c r="I1539" s="4" t="n">
        <v>12.97</v>
      </c>
      <c r="J1539" s="4" t="n">
        <v>13.51</v>
      </c>
      <c r="K1539" s="4" t="n">
        <v>12.6475</v>
      </c>
      <c r="L1539" s="4" t="n">
        <v>12.84</v>
      </c>
      <c r="M1539" s="7" t="n">
        <v>-0.01</v>
      </c>
    </row>
    <row r="1540">
      <c r="A1540" s="6" t="n">
        <v>46196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3404</v>
      </c>
      <c r="F1540" s="8" t="n">
        <v>3.901</v>
      </c>
      <c r="G1540" s="4" t="n">
        <v>538.3801999999999</v>
      </c>
      <c r="H1540" s="4" t="n">
        <v>1317.8441</v>
      </c>
      <c r="I1540" s="4" t="n">
        <v>12.8425</v>
      </c>
      <c r="J1540" s="4" t="n">
        <v>14.24</v>
      </c>
      <c r="K1540" s="4" t="n">
        <v>12.43</v>
      </c>
      <c r="L1540" s="4" t="n">
        <v>13.94</v>
      </c>
      <c r="M1540" s="7" t="n">
        <v>0.08550000000000001</v>
      </c>
    </row>
    <row r="1541">
      <c r="A1541" s="6" t="n">
        <v>46197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3417</v>
      </c>
      <c r="F1541" s="8" t="n">
        <v>3.7727</v>
      </c>
      <c r="G1541" s="4" t="n">
        <v>507.8864</v>
      </c>
      <c r="H1541" s="4" t="n">
        <v>1227.7622</v>
      </c>
      <c r="I1541" s="4" t="n">
        <v>13.9425</v>
      </c>
      <c r="J1541" s="4" t="n">
        <v>14.3025</v>
      </c>
      <c r="K1541" s="4" t="n">
        <v>13.295</v>
      </c>
      <c r="L1541" s="4" t="n">
        <v>13.39</v>
      </c>
      <c r="M1541" s="7" t="n">
        <v>-0.0396</v>
      </c>
    </row>
    <row r="1542">
      <c r="A1542" s="6" t="n">
        <v>46198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3428</v>
      </c>
      <c r="F1542" s="8" t="n">
        <v>3.7874</v>
      </c>
      <c r="G1542" s="4" t="n">
        <v>532.2665</v>
      </c>
      <c r="H1542" s="4" t="n">
        <v>1360.5169</v>
      </c>
      <c r="I1542" s="4" t="n">
        <v>13.385</v>
      </c>
      <c r="J1542" s="4" t="n">
        <v>13.385</v>
      </c>
      <c r="K1542" s="4" t="n">
        <v>12.4325</v>
      </c>
      <c r="L1542" s="4" t="n">
        <v>13.05</v>
      </c>
      <c r="M1542" s="7" t="n">
        <v>-0.025</v>
      </c>
    </row>
    <row r="1543">
      <c r="A1543" s="6" t="n">
        <v>46202</v>
      </c>
      <c r="B1543" s="2" t="inlineStr">
        <is>
          <t>Monday</t>
        </is>
      </c>
      <c r="C1543" s="5" t="n">
        <v>46174</v>
      </c>
      <c r="D1543" s="2" t="inlineStr">
        <is>
          <t>Q1FY27</t>
        </is>
      </c>
      <c r="E1543" s="3" t="n">
        <v>3479</v>
      </c>
      <c r="F1543" s="8" t="n">
        <v>4.7268</v>
      </c>
      <c r="G1543" s="4" t="n">
        <v>628.9521999999999</v>
      </c>
      <c r="H1543" s="4" t="n">
        <v>1834.9187</v>
      </c>
      <c r="I1543" s="4" t="n">
        <v>13.05</v>
      </c>
      <c r="J1543" s="4" t="n">
        <v>14.07</v>
      </c>
      <c r="K1543" s="4" t="n">
        <v>12.9175</v>
      </c>
      <c r="L1543" s="4" t="n">
        <v>13.61</v>
      </c>
      <c r="M1543" s="7" t="n">
        <v>0.0429</v>
      </c>
    </row>
    <row r="1544">
      <c r="A1544" s="6" t="n">
        <v>46203</v>
      </c>
      <c r="B1544" s="2" t="inlineStr">
        <is>
          <t>Tuesday</t>
        </is>
      </c>
      <c r="C1544" s="5" t="n">
        <v>46174</v>
      </c>
      <c r="D1544" s="2" t="inlineStr">
        <is>
          <t>Q1FY27</t>
        </is>
      </c>
      <c r="E1544" s="3" t="n">
        <v>3419</v>
      </c>
      <c r="F1544" s="8" t="n">
        <v>4.0259</v>
      </c>
      <c r="G1544" s="4" t="n">
        <v>567.5527</v>
      </c>
      <c r="H1544" s="4" t="n">
        <v>1404.0722</v>
      </c>
      <c r="I1544" s="4" t="n">
        <v>13.61</v>
      </c>
      <c r="J1544" s="4" t="n">
        <v>13.9675</v>
      </c>
      <c r="K1544" s="4" t="n">
        <v>13.1525</v>
      </c>
      <c r="L1544" s="4" t="n">
        <v>13.6</v>
      </c>
      <c r="M1544" s="7" t="n">
        <v>-0.0007</v>
      </c>
    </row>
    <row r="1545">
      <c r="A1545" s="6" t="n">
        <v>46204</v>
      </c>
      <c r="B1545" s="2" t="inlineStr">
        <is>
          <t>Wednesday</t>
        </is>
      </c>
      <c r="C1545" s="5" t="n">
        <v>46204</v>
      </c>
      <c r="D1545" s="2" t="inlineStr">
        <is>
          <t>Q2FY27</t>
        </is>
      </c>
      <c r="E1545" s="3" t="n">
        <v>3430</v>
      </c>
      <c r="F1545" s="8" t="n">
        <v>3.8104</v>
      </c>
      <c r="G1545" s="4" t="n">
        <v>556.1748</v>
      </c>
      <c r="H1545" s="4" t="n">
        <v>1192.4261</v>
      </c>
      <c r="I1545" s="4" t="n">
        <v>13.6</v>
      </c>
      <c r="J1545" s="4" t="n">
        <v>14.0725</v>
      </c>
      <c r="K1545" s="4" t="n">
        <v>13.15</v>
      </c>
      <c r="L1545" s="4" t="n">
        <v>13.24</v>
      </c>
      <c r="M1545" s="7" t="n">
        <v>-0.0265</v>
      </c>
    </row>
    <row r="1546">
      <c r="A1546" s="6" t="n">
        <v>46205</v>
      </c>
      <c r="B1546" s="2" t="inlineStr">
        <is>
          <t>Thursday</t>
        </is>
      </c>
      <c r="C1546" s="5" t="n">
        <v>46204</v>
      </c>
      <c r="D1546" s="2" t="inlineStr">
        <is>
          <t>Q2FY27</t>
        </is>
      </c>
      <c r="E1546" s="3" t="n">
        <v>3463</v>
      </c>
      <c r="F1546" s="8" t="n">
        <v>3.7821</v>
      </c>
      <c r="G1546" s="4" t="n">
        <v>558.6876</v>
      </c>
      <c r="H1546" s="4" t="n">
        <v>1223.7781</v>
      </c>
      <c r="I1546" s="4" t="n">
        <v>13.2425</v>
      </c>
      <c r="J1546" s="4" t="n">
        <v>13.2925</v>
      </c>
      <c r="K1546" s="4" t="n">
        <v>12.1925</v>
      </c>
      <c r="L1546" s="4" t="n">
        <v>12.29</v>
      </c>
      <c r="M1546" s="7" t="n">
        <v>-0.07190000000000001</v>
      </c>
    </row>
    <row r="1547">
      <c r="A1547" s="6" t="n">
        <v>46206</v>
      </c>
      <c r="B1547" s="2" t="inlineStr">
        <is>
          <t>Friday</t>
        </is>
      </c>
      <c r="C1547" s="5" t="n">
        <v>46204</v>
      </c>
      <c r="D1547" s="2" t="inlineStr">
        <is>
          <t>Q2FY27</t>
        </is>
      </c>
      <c r="E1547" s="3" t="n">
        <v>3447</v>
      </c>
      <c r="F1547" s="8" t="n">
        <v>3.8548</v>
      </c>
      <c r="G1547" s="4" t="n">
        <v>605.2305</v>
      </c>
      <c r="H1547" s="4" t="n">
        <v>1316.5367</v>
      </c>
      <c r="I1547" s="4" t="n">
        <v>12.2875</v>
      </c>
      <c r="J1547" s="4" t="n">
        <v>12.2875</v>
      </c>
      <c r="K1547" s="4" t="n">
        <v>11.65</v>
      </c>
      <c r="L1547" s="4" t="n">
        <v>11.8</v>
      </c>
      <c r="M1547" s="7" t="n">
        <v>-0.0397</v>
      </c>
    </row>
    <row r="1548">
      <c r="A1548" s="6" t="n">
        <v>46209</v>
      </c>
      <c r="B1548" s="2" t="inlineStr">
        <is>
          <t>Monday</t>
        </is>
      </c>
      <c r="C1548" s="5" t="n">
        <v>46204</v>
      </c>
      <c r="D1548" s="2" t="inlineStr">
        <is>
          <t>Q2FY27</t>
        </is>
      </c>
      <c r="E1548" s="3" t="n">
        <v>3469</v>
      </c>
      <c r="F1548" s="8" t="n">
        <v>3.572</v>
      </c>
      <c r="G1548" s="4" t="n">
        <v>465.5865</v>
      </c>
      <c r="H1548" s="4" t="n">
        <v>1126.9635</v>
      </c>
      <c r="I1548" s="4" t="n">
        <v>11.7975</v>
      </c>
      <c r="J1548" s="4" t="n">
        <v>12.3575</v>
      </c>
      <c r="K1548" s="4" t="n">
        <v>11.7025</v>
      </c>
      <c r="L1548" s="4" t="n">
        <v>11.82</v>
      </c>
      <c r="M1548" s="7" t="n">
        <v>0.0019</v>
      </c>
    </row>
    <row r="1549">
      <c r="A1549" s="6" t="n">
        <v>46210</v>
      </c>
      <c r="B1549" s="2" t="inlineStr">
        <is>
          <t>Tuesday</t>
        </is>
      </c>
      <c r="C1549" s="5" t="n">
        <v>46204</v>
      </c>
      <c r="D1549" s="2" t="inlineStr">
        <is>
          <t>Q2FY27</t>
        </is>
      </c>
      <c r="E1549" s="3" t="n">
        <v>3394</v>
      </c>
      <c r="F1549" s="8" t="n">
        <v>3.8098</v>
      </c>
      <c r="G1549" s="4" t="n">
        <v>470.7694</v>
      </c>
      <c r="H1549" s="4" t="n">
        <v>1278.9233</v>
      </c>
      <c r="I1549" s="4" t="n">
        <v>11.8175</v>
      </c>
      <c r="J1549" s="4" t="n">
        <v>11.935</v>
      </c>
      <c r="K1549" s="4" t="n">
        <v>11.055</v>
      </c>
      <c r="L1549" s="4" t="n">
        <v>11.65</v>
      </c>
      <c r="M1549" s="7" t="n">
        <v>-0.0142</v>
      </c>
    </row>
    <row r="1550">
      <c r="A1550" s="6" t="n">
        <v>46211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3422</v>
      </c>
      <c r="F1550" s="8" t="n">
        <v>4.4169</v>
      </c>
      <c r="G1550" s="4" t="n">
        <v>567.4156</v>
      </c>
      <c r="H1550" s="4" t="n">
        <v>1383.8965</v>
      </c>
      <c r="I1550" s="4" t="n">
        <v>11.6475</v>
      </c>
      <c r="J1550" s="4" t="n">
        <v>15.16</v>
      </c>
      <c r="K1550" s="4" t="n">
        <v>11.335</v>
      </c>
      <c r="L1550" s="4" t="n">
        <v>14.68</v>
      </c>
      <c r="M1550" s="7" t="n">
        <v>0.2604</v>
      </c>
    </row>
    <row r="1551">
      <c r="A1551" s="6" t="n">
        <v>46212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3421</v>
      </c>
      <c r="F1551" s="8" t="n">
        <v>3.845</v>
      </c>
      <c r="G1551" s="4" t="n">
        <v>527.0558</v>
      </c>
      <c r="H1551" s="4" t="n">
        <v>1244.9875</v>
      </c>
      <c r="I1551" s="4" t="n">
        <v>14.68</v>
      </c>
      <c r="J1551" s="4" t="n">
        <v>14.68</v>
      </c>
      <c r="K1551" s="4" t="n">
        <v>13.0675</v>
      </c>
      <c r="L1551" s="4" t="n">
        <v>13.36</v>
      </c>
      <c r="M1551" s="7" t="n">
        <v>-0.08989999999999999</v>
      </c>
    </row>
    <row r="1552">
      <c r="A1552" s="6" t="n">
        <v>46213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3417</v>
      </c>
      <c r="F1552" s="8" t="n">
        <v>3.7488</v>
      </c>
      <c r="G1552" s="4" t="n">
        <v>462.3087</v>
      </c>
      <c r="H1552" s="4" t="n">
        <v>1221.5767</v>
      </c>
      <c r="I1552" s="4" t="n">
        <v>13.3625</v>
      </c>
      <c r="J1552" s="4" t="n">
        <v>13.3625</v>
      </c>
      <c r="K1552" s="4" t="n">
        <v>12.1275</v>
      </c>
      <c r="L1552" s="4" t="n">
        <v>12.25</v>
      </c>
      <c r="M1552" s="7" t="n">
        <v>-0.0833</v>
      </c>
    </row>
    <row r="1553">
      <c r="A1553" s="6" t="n">
        <v>46216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3451</v>
      </c>
      <c r="F1553" s="8" t="n">
        <v>3.7482</v>
      </c>
      <c r="G1553" s="4" t="n">
        <v>460.5655</v>
      </c>
      <c r="H1553" s="4" t="n">
        <v>1216.8426</v>
      </c>
      <c r="I1553" s="4" t="n">
        <v>12.2525</v>
      </c>
      <c r="J1553" s="4" t="n">
        <v>13.5225</v>
      </c>
      <c r="K1553" s="4" t="n">
        <v>9.475</v>
      </c>
      <c r="L1553" s="4" t="n">
        <v>13.28</v>
      </c>
      <c r="M1553" s="7" t="n">
        <v>0.0839</v>
      </c>
    </row>
    <row r="1554">
      <c r="A1554" s="6" t="n">
        <v>46217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3418</v>
      </c>
      <c r="F1554" s="8" t="n">
        <v>3.6576</v>
      </c>
      <c r="G1554" s="4" t="n">
        <v>431.9373</v>
      </c>
      <c r="H1554" s="4" t="n">
        <v>1207.2396</v>
      </c>
      <c r="I1554" s="4" t="n">
        <v>13.28</v>
      </c>
      <c r="J1554" s="4" t="n">
        <v>13.865</v>
      </c>
      <c r="K1554" s="4" t="n">
        <v>11.6575</v>
      </c>
      <c r="L1554" s="4" t="n">
        <v>13.75</v>
      </c>
      <c r="M1554" s="7" t="n">
        <v>0.0354</v>
      </c>
    </row>
    <row r="1555">
      <c r="A1555" s="6" t="n">
        <v>46218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3409</v>
      </c>
      <c r="F1555" s="8" t="n">
        <v>3.6062</v>
      </c>
      <c r="G1555" s="4" t="n">
        <v>501.8262</v>
      </c>
      <c r="H1555" s="4" t="n">
        <v>1209.4156</v>
      </c>
      <c r="I1555" s="4" t="n">
        <v>13.75</v>
      </c>
      <c r="J1555" s="4" t="n">
        <v>13.8725</v>
      </c>
      <c r="K1555" s="4" t="n">
        <v>13.04</v>
      </c>
      <c r="L1555" s="4" t="n">
        <v>13.27</v>
      </c>
      <c r="M1555" s="7" t="n">
        <v>-0.0349</v>
      </c>
    </row>
    <row r="1556">
      <c r="A1556" s="6" t="n">
        <v>46219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3439</v>
      </c>
      <c r="F1556" s="8" t="n">
        <v>3.5793</v>
      </c>
      <c r="G1556" s="4" t="n">
        <v>421.148</v>
      </c>
      <c r="H1556" s="4" t="n">
        <v>1224.3716</v>
      </c>
      <c r="I1556" s="4" t="n">
        <v>13.27</v>
      </c>
      <c r="J1556" s="4" t="n">
        <v>13.27</v>
      </c>
      <c r="K1556" s="4" t="n">
        <v>12.775</v>
      </c>
      <c r="L1556" s="4" t="n">
        <v>12.88</v>
      </c>
      <c r="M1556" s="7" t="n">
        <v>-0.0294</v>
      </c>
    </row>
    <row r="1557">
      <c r="A1557" s="6" t="n">
        <v>46220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3426</v>
      </c>
      <c r="F1557" s="8" t="n">
        <v>3.4465</v>
      </c>
      <c r="G1557" s="4" t="n">
        <v>456.4711</v>
      </c>
      <c r="H1557" s="4" t="n">
        <v>1144.03</v>
      </c>
      <c r="I1557" s="4" t="n">
        <v>12.8825</v>
      </c>
      <c r="J1557" s="4" t="n">
        <v>13.35</v>
      </c>
      <c r="K1557" s="4" t="n">
        <v>12.81</v>
      </c>
      <c r="L1557" s="4" t="n">
        <v>13.15</v>
      </c>
      <c r="M1557" s="7" t="n">
        <v>0.0208</v>
      </c>
    </row>
    <row r="1558">
      <c r="A1558" s="6" t="n">
        <v>46223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3395</v>
      </c>
      <c r="F1558" s="8" t="n">
        <v>3.4167</v>
      </c>
      <c r="G1558" s="4" t="n">
        <v>427.7709</v>
      </c>
      <c r="H1558" s="4" t="n">
        <v>1077.9545</v>
      </c>
      <c r="I1558" s="4" t="n">
        <v>13.15</v>
      </c>
      <c r="J1558" s="4" t="n">
        <v>13.8425</v>
      </c>
      <c r="K1558" s="4" t="n">
        <v>12.8925</v>
      </c>
      <c r="L1558" s="4" t="n">
        <v>12.98</v>
      </c>
      <c r="M1558" s="7" t="n">
        <v>-0.0129</v>
      </c>
    </row>
    <row r="1559">
      <c r="A1559" s="6" t="n">
        <v>46224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3442</v>
      </c>
      <c r="F1559" s="8" t="n">
        <v>3.5356</v>
      </c>
      <c r="G1559" s="4" t="n">
        <v>429.2945</v>
      </c>
      <c r="H1559" s="4" t="n">
        <v>1133.5033</v>
      </c>
      <c r="I1559" s="4" t="n">
        <v>12.98</v>
      </c>
      <c r="J1559" s="4" t="n">
        <v>13.08</v>
      </c>
      <c r="K1559" s="4" t="n">
        <v>12.0975</v>
      </c>
      <c r="L1559" s="4" t="n">
        <v>12.6</v>
      </c>
      <c r="M1559" s="7" t="n">
        <v>-0.0293</v>
      </c>
    </row>
    <row r="1560">
      <c r="A1560" s="6" t="n">
        <v>46225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3417</v>
      </c>
      <c r="F1560" s="8" t="n">
        <v>3.5321</v>
      </c>
      <c r="G1560" s="4" t="n">
        <v>426.6267</v>
      </c>
      <c r="H1560" s="4" t="n">
        <v>1114.5997</v>
      </c>
      <c r="I1560" s="4" t="n">
        <v>12.6</v>
      </c>
      <c r="J1560" s="4" t="n">
        <v>13.425</v>
      </c>
      <c r="K1560" s="4" t="n">
        <v>11.725</v>
      </c>
      <c r="L1560" s="4" t="n">
        <v>13.29</v>
      </c>
      <c r="M1560" s="7" t="n">
        <v>0.0548</v>
      </c>
    </row>
    <row r="1561">
      <c r="A1561" s="6" t="n">
        <v>46226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3393</v>
      </c>
      <c r="F1561" s="8" t="n">
        <v>3.5892</v>
      </c>
      <c r="G1561" s="4" t="n">
        <v>423.078</v>
      </c>
      <c r="H1561" s="4" t="n">
        <v>1117.4962</v>
      </c>
      <c r="I1561" s="4" t="n">
        <v>13.2925</v>
      </c>
      <c r="J1561" s="4" t="n">
        <v>13.74</v>
      </c>
      <c r="K1561" s="4" t="n">
        <v>12.915</v>
      </c>
      <c r="L1561" s="4" t="n">
        <v>13.48</v>
      </c>
      <c r="M1561" s="7" t="n">
        <v>0.0141</v>
      </c>
    </row>
    <row r="1562">
      <c r="A1562" s="6" t="n">
        <v>46227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3432</v>
      </c>
      <c r="F1562" s="8" t="n">
        <v>3.5416</v>
      </c>
      <c r="G1562" s="4" t="n">
        <v>421.9845</v>
      </c>
      <c r="H1562" s="4" t="n">
        <v>1104.6821</v>
      </c>
      <c r="I1562" s="4" t="n">
        <v>13.475</v>
      </c>
      <c r="J1562" s="4" t="n">
        <v>14.7675</v>
      </c>
      <c r="K1562" s="4" t="n">
        <v>13.18</v>
      </c>
      <c r="L1562" s="4" t="n">
        <v>14.03</v>
      </c>
      <c r="M1562" s="7" t="n">
        <v>0.0412</v>
      </c>
    </row>
    <row r="1563">
      <c r="A1563" s="6" t="n">
        <v>46230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3453</v>
      </c>
      <c r="F1563" s="8" t="n">
        <v>3.3619</v>
      </c>
      <c r="G1563" s="4" t="n">
        <v>394.1544</v>
      </c>
      <c r="H1563" s="4" t="n">
        <v>1064.0384</v>
      </c>
      <c r="I1563" s="4" t="n">
        <v>14.03</v>
      </c>
      <c r="J1563" s="4" t="n">
        <v>14.3325</v>
      </c>
      <c r="K1563" s="4" t="n">
        <v>12.6025</v>
      </c>
      <c r="L1563" s="4" t="n">
        <v>12.66</v>
      </c>
      <c r="M1563" s="7" t="n">
        <v>-0.09760000000000001</v>
      </c>
    </row>
    <row r="1564">
      <c r="A1564" s="6" t="n">
        <v>46231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3413</v>
      </c>
      <c r="F1564" s="8" t="n">
        <v>3.6791</v>
      </c>
      <c r="G1564" s="4" t="n">
        <v>414.1472</v>
      </c>
      <c r="H1564" s="4" t="n">
        <v>1246.6566</v>
      </c>
      <c r="I1564" s="4" t="n">
        <v>12.66</v>
      </c>
      <c r="J1564" s="4" t="n">
        <v>12.82</v>
      </c>
      <c r="K1564" s="4" t="n">
        <v>11.7225</v>
      </c>
      <c r="L1564" s="4" t="n">
        <v>12.56</v>
      </c>
      <c r="M1564" s="7" t="n">
        <v>-0.007900000000000001</v>
      </c>
    </row>
    <row r="1565">
      <c r="A1565" s="6" t="n">
        <v>46232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3446</v>
      </c>
      <c r="F1565" s="8" t="n">
        <v>3.7195</v>
      </c>
      <c r="G1565" s="4" t="n">
        <v>433.304</v>
      </c>
      <c r="H1565" s="4" t="n">
        <v>1280.9999</v>
      </c>
      <c r="I1565" s="4" t="n">
        <v>12.5625</v>
      </c>
      <c r="J1565" s="4" t="n">
        <v>12.5625</v>
      </c>
      <c r="K1565" s="4" t="n">
        <v>11.5625</v>
      </c>
      <c r="L1565" s="4" t="n">
        <v>12.01</v>
      </c>
      <c r="M1565" s="7" t="n">
        <v>-0.044</v>
      </c>
    </row>
    <row r="1566">
      <c r="A1566" s="6" t="n">
        <v>46233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3422</v>
      </c>
      <c r="F1566" s="8" t="n">
        <v>3.7584</v>
      </c>
      <c r="G1566" s="4" t="n">
        <v>395.6355</v>
      </c>
      <c r="H1566" s="4" t="n">
        <v>1251.9558</v>
      </c>
      <c r="I1566" s="4" t="n">
        <v>12.0075</v>
      </c>
      <c r="J1566" s="4" t="n">
        <v>12.3175</v>
      </c>
      <c r="K1566" s="4" t="n">
        <v>11.3025</v>
      </c>
      <c r="L1566" s="4" t="n">
        <v>12.16</v>
      </c>
      <c r="M1566" s="7" t="n">
        <v>0.0127</v>
      </c>
    </row>
    <row r="1567">
      <c r="A1567" s="6" t="n">
        <v>46234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3440</v>
      </c>
      <c r="F1567" s="8" t="n">
        <v>3.7627</v>
      </c>
      <c r="G1567" s="4" t="n">
        <v>436.5692</v>
      </c>
      <c r="H1567" s="4" t="n">
        <v>1312.7478</v>
      </c>
      <c r="I1567" s="4" t="n">
        <v>12.155</v>
      </c>
      <c r="J1567" s="4" t="n">
        <v>12.21</v>
      </c>
      <c r="K1567" s="4" t="n">
        <v>11.645</v>
      </c>
      <c r="L1567" s="4" t="n">
        <v>11.76</v>
      </c>
      <c r="M1567" s="7" t="n">
        <v>-0.0325</v>
      </c>
    </row>
    <row r="1568">
      <c r="A1568" s="6" t="n">
        <v>46237</v>
      </c>
      <c r="B1568" s="2" t="inlineStr">
        <is>
          <t>Monday</t>
        </is>
      </c>
      <c r="C1568" s="5" t="n">
        <v>46235</v>
      </c>
      <c r="D1568" s="2" t="inlineStr">
        <is>
          <t>Q2FY27</t>
        </is>
      </c>
      <c r="E1568" s="3" t="n">
        <v>3514</v>
      </c>
      <c r="F1568" s="8" t="n">
        <v>3.8486</v>
      </c>
      <c r="G1568" s="4" t="n">
        <v>460.9117</v>
      </c>
      <c r="H1568" s="4" t="n">
        <v>1237.754</v>
      </c>
      <c r="I1568" s="4" t="n">
        <v>11.755</v>
      </c>
      <c r="J1568" s="4" t="n">
        <v>12.06</v>
      </c>
      <c r="K1568" s="4" t="n">
        <v>11.695</v>
      </c>
      <c r="L1568" s="4" t="n">
        <v>11.93</v>
      </c>
      <c r="M1568" s="7" t="n">
        <v>0.0149</v>
      </c>
    </row>
    <row r="1569">
      <c r="A1569" s="6" t="n">
        <v>46238</v>
      </c>
      <c r="B1569" s="2" t="inlineStr">
        <is>
          <t>Tuesday</t>
        </is>
      </c>
      <c r="C1569" s="5" t="n">
        <v>46235</v>
      </c>
      <c r="D1569" s="2" t="inlineStr">
        <is>
          <t>Q2FY27</t>
        </is>
      </c>
      <c r="E1569" s="3" t="n">
        <v>3447</v>
      </c>
      <c r="F1569" s="8" t="n">
        <v>3.5162</v>
      </c>
      <c r="G1569" s="4" t="n">
        <v>440.8475</v>
      </c>
      <c r="H1569" s="4" t="n">
        <v>1245.7229</v>
      </c>
      <c r="I1569" s="4" t="n">
        <v>11.925</v>
      </c>
      <c r="J1569" s="4" t="n">
        <v>12.545</v>
      </c>
      <c r="K1569" s="4" t="n">
        <v>11.4275</v>
      </c>
      <c r="L1569" s="4" t="n">
        <v>12.19</v>
      </c>
      <c r="M1569" s="7" t="n">
        <v>0.0222</v>
      </c>
    </row>
    <row r="1570">
      <c r="A1570" s="6" t="n">
        <v>46239</v>
      </c>
      <c r="B1570" s="2" t="inlineStr">
        <is>
          <t>Wednesday</t>
        </is>
      </c>
      <c r="C1570" s="5" t="n">
        <v>46235</v>
      </c>
      <c r="D1570" s="2" t="inlineStr">
        <is>
          <t>Q2FY27</t>
        </is>
      </c>
      <c r="E1570" s="3" t="n">
        <v>3477</v>
      </c>
      <c r="F1570" s="8" t="n">
        <v>3.7497</v>
      </c>
      <c r="G1570" s="4" t="n">
        <v>472.3341</v>
      </c>
      <c r="H1570" s="4" t="n">
        <v>1311.3415</v>
      </c>
      <c r="I1570" s="4" t="n">
        <v>12.19</v>
      </c>
      <c r="J1570" s="4" t="n">
        <v>12.6725</v>
      </c>
      <c r="K1570" s="4" t="n">
        <v>10.805</v>
      </c>
      <c r="L1570" s="4" t="n">
        <v>12.06</v>
      </c>
      <c r="M1570" s="7" t="n">
        <v>-0.0107</v>
      </c>
    </row>
    <row r="1571">
      <c r="A1571" s="6" t="n">
        <v>46240</v>
      </c>
      <c r="B1571" s="2" t="inlineStr">
        <is>
          <t>Thursday</t>
        </is>
      </c>
      <c r="C1571" s="5" t="n">
        <v>46235</v>
      </c>
      <c r="D1571" s="2" t="inlineStr">
        <is>
          <t>Q2FY27</t>
        </is>
      </c>
      <c r="E1571" s="3" t="n">
        <v>3484</v>
      </c>
      <c r="F1571" s="8" t="n">
        <v>3.9626</v>
      </c>
      <c r="G1571" s="4" t="n">
        <v>441.0957</v>
      </c>
      <c r="H1571" s="4" t="n">
        <v>1356.1171</v>
      </c>
      <c r="I1571" s="4" t="n">
        <v>12.06</v>
      </c>
      <c r="J1571" s="4" t="n">
        <v>12.4325</v>
      </c>
      <c r="K1571" s="4" t="n">
        <v>10.095</v>
      </c>
      <c r="L1571" s="4" t="n">
        <v>12.16</v>
      </c>
      <c r="M1571" s="7" t="n">
        <v>0.0083</v>
      </c>
    </row>
    <row r="1572">
      <c r="A1572" s="6" t="n">
        <v>46241</v>
      </c>
      <c r="B1572" s="2" t="inlineStr">
        <is>
          <t>Friday</t>
        </is>
      </c>
      <c r="C1572" s="5" t="n">
        <v>46235</v>
      </c>
      <c r="D1572" s="2" t="inlineStr">
        <is>
          <t>Q2FY27</t>
        </is>
      </c>
      <c r="E1572" s="3" t="n">
        <v>3473</v>
      </c>
      <c r="F1572" s="8" t="n">
        <v>3.5977</v>
      </c>
      <c r="G1572" s="4" t="n">
        <v>416.5946</v>
      </c>
      <c r="H1572" s="4" t="n">
        <v>1185.408</v>
      </c>
      <c r="I1572" s="4" t="n">
        <v>12.1575</v>
      </c>
      <c r="J1572" s="4" t="n">
        <v>12.5475</v>
      </c>
      <c r="K1572" s="4" t="n">
        <v>11.3</v>
      </c>
      <c r="L1572" s="4" t="n">
        <v>12.16</v>
      </c>
      <c r="M1572" s="7" t="n">
        <v>0.0002</v>
      </c>
    </row>
    <row r="1573">
      <c r="A1573" s="6" t="n">
        <v>46244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3564</v>
      </c>
      <c r="F1573" s="8" t="n">
        <v>3.7706</v>
      </c>
      <c r="G1573" s="4" t="n">
        <v>459.7979</v>
      </c>
      <c r="H1573" s="4" t="n">
        <v>1213.4568</v>
      </c>
      <c r="I1573" s="4" t="n">
        <v>12.155</v>
      </c>
      <c r="J1573" s="4" t="n">
        <v>12.915</v>
      </c>
      <c r="K1573" s="4" t="n">
        <v>10.815</v>
      </c>
      <c r="L1573" s="4" t="n">
        <v>12.25</v>
      </c>
      <c r="M1573" s="7" t="n">
        <v>0.0078</v>
      </c>
    </row>
    <row r="1574">
      <c r="A1574" s="6" t="n">
        <v>46245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3483</v>
      </c>
      <c r="F1574" s="8" t="n">
        <v>3.699</v>
      </c>
      <c r="G1574" s="4" t="n">
        <v>489.7986</v>
      </c>
      <c r="H1574" s="4" t="n">
        <v>1210.3577</v>
      </c>
      <c r="I1574" s="4" t="n">
        <v>12.245</v>
      </c>
      <c r="J1574" s="4" t="n">
        <v>12.455</v>
      </c>
      <c r="K1574" s="4" t="n">
        <v>11.1925</v>
      </c>
      <c r="L1574" s="4" t="n">
        <v>11.86</v>
      </c>
      <c r="M1574" s="7" t="n">
        <v>-0.0314</v>
      </c>
    </row>
    <row r="1575">
      <c r="A1575" s="6" t="n">
        <v>46246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3480</v>
      </c>
      <c r="F1575" s="8" t="n">
        <v>3.8377</v>
      </c>
      <c r="G1575" s="4" t="n">
        <v>509.2755</v>
      </c>
      <c r="H1575" s="4" t="n">
        <v>1308.114</v>
      </c>
      <c r="I1575" s="4" t="n">
        <v>11.855</v>
      </c>
      <c r="J1575" s="4" t="n">
        <v>12.09</v>
      </c>
      <c r="K1575" s="4" t="n">
        <v>11.2575</v>
      </c>
      <c r="L1575" s="4" t="n">
        <v>11.69</v>
      </c>
      <c r="M1575" s="7" t="n">
        <v>-0.0139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20" customWidth="1" min="5" max="5"/>
    <col width="22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Securities Traded</t>
        </is>
      </c>
      <c r="D1" s="1" t="inlineStr">
        <is>
          <t>Total No. of Trades (Crs)</t>
        </is>
      </c>
      <c r="E1" s="1" t="inlineStr">
        <is>
          <t>Total Shares Traded (Crs)</t>
        </is>
      </c>
      <c r="F1" s="1" t="inlineStr">
        <is>
          <t>Total Turnover (INR Bn)</t>
        </is>
      </c>
      <c r="G1" s="1" t="inlineStr">
        <is>
          <t>Average Turnover (INR Bn)</t>
        </is>
      </c>
      <c r="H1" s="1" t="inlineStr">
        <is>
          <t>Average Trade Size (INR)</t>
        </is>
      </c>
      <c r="I1" s="1" t="inlineStr">
        <is>
          <t>No. of Trading Days</t>
        </is>
      </c>
    </row>
    <row r="2">
      <c r="A2" s="2" t="inlineStr">
        <is>
          <t>1997-1998</t>
        </is>
      </c>
      <c r="B2" s="3" t="n"/>
      <c r="C2" s="3" t="n">
        <v>5041</v>
      </c>
      <c r="D2" s="4" t="n">
        <v>0.8839</v>
      </c>
      <c r="E2" s="4" t="n">
        <v>371.32</v>
      </c>
      <c r="F2" s="4" t="n">
        <v>868.9915999999999</v>
      </c>
      <c r="G2" s="4" t="n">
        <v>8.9587</v>
      </c>
      <c r="H2" s="3" t="n">
        <v>98318</v>
      </c>
      <c r="I2" s="3" t="n">
        <v>97</v>
      </c>
    </row>
    <row r="3">
      <c r="A3" s="2" t="inlineStr">
        <is>
          <t>1998-1999</t>
        </is>
      </c>
      <c r="B3" s="3" t="n">
        <v>5848</v>
      </c>
      <c r="C3" s="3" t="n">
        <v>4374</v>
      </c>
      <c r="D3" s="4" t="n">
        <v>3.2624</v>
      </c>
      <c r="E3" s="4" t="n">
        <v>1186.14</v>
      </c>
      <c r="F3" s="4" t="n">
        <v>2846.3687</v>
      </c>
      <c r="G3" s="4" t="n">
        <v>12.707</v>
      </c>
      <c r="H3" s="3" t="n">
        <v>87248</v>
      </c>
      <c r="I3" s="3" t="n">
        <v>224</v>
      </c>
    </row>
    <row r="4">
      <c r="A4" s="2" t="inlineStr">
        <is>
          <t>1999-2000</t>
        </is>
      </c>
      <c r="B4" s="3" t="n">
        <v>5889</v>
      </c>
      <c r="C4" s="3" t="n">
        <v>4596</v>
      </c>
      <c r="D4" s="4" t="n">
        <v>7.4075</v>
      </c>
      <c r="E4" s="4" t="n">
        <v>2102.28</v>
      </c>
      <c r="F4" s="4" t="n">
        <v>6864.2855</v>
      </c>
      <c r="G4" s="4" t="n">
        <v>27.2392</v>
      </c>
      <c r="H4" s="3" t="n">
        <v>92667</v>
      </c>
      <c r="I4" s="3" t="n">
        <v>252</v>
      </c>
    </row>
    <row r="5">
      <c r="A5" s="2" t="inlineStr">
        <is>
          <t>2000-2001</t>
        </is>
      </c>
      <c r="B5" s="3" t="n">
        <v>5955</v>
      </c>
      <c r="C5" s="3" t="n">
        <v>4660</v>
      </c>
      <c r="D5" s="4" t="n">
        <v>14.5638</v>
      </c>
      <c r="E5" s="4" t="n">
        <v>2578.99</v>
      </c>
      <c r="F5" s="4" t="n">
        <v>10000.3262</v>
      </c>
      <c r="G5" s="4" t="n">
        <v>39.8419</v>
      </c>
      <c r="H5" s="3" t="n">
        <v>68666</v>
      </c>
      <c r="I5" s="3" t="n">
        <v>251</v>
      </c>
    </row>
    <row r="6">
      <c r="A6" s="2" t="inlineStr">
        <is>
          <t>2001-2002</t>
        </is>
      </c>
      <c r="B6" s="3" t="n">
        <v>5782</v>
      </c>
      <c r="C6" s="3" t="n">
        <v>5746</v>
      </c>
      <c r="D6" s="4" t="n">
        <v>12.7722</v>
      </c>
      <c r="E6" s="4" t="n">
        <v>1821.08</v>
      </c>
      <c r="F6" s="4" t="n">
        <v>3072.9777</v>
      </c>
      <c r="G6" s="4" t="n">
        <v>12.4412</v>
      </c>
      <c r="H6" s="3" t="n">
        <v>24060</v>
      </c>
      <c r="I6" s="3" t="n">
        <v>247</v>
      </c>
    </row>
    <row r="7">
      <c r="A7" s="2" t="inlineStr">
        <is>
          <t>2002-2003</t>
        </is>
      </c>
      <c r="B7" s="3" t="n">
        <v>5650</v>
      </c>
      <c r="C7" s="3" t="n">
        <v>3079</v>
      </c>
      <c r="D7" s="4" t="n">
        <v>14.1308</v>
      </c>
      <c r="E7" s="4" t="n">
        <v>2213.98</v>
      </c>
      <c r="F7" s="4" t="n">
        <v>3140.7313</v>
      </c>
      <c r="G7" s="4" t="n">
        <v>12.5129</v>
      </c>
      <c r="H7" s="3" t="n">
        <v>22227</v>
      </c>
      <c r="I7" s="3" t="n">
        <v>251</v>
      </c>
    </row>
    <row r="8">
      <c r="A8" s="2" t="inlineStr">
        <is>
          <t>2003-2004</t>
        </is>
      </c>
      <c r="B8" s="3" t="n">
        <v>5528</v>
      </c>
      <c r="C8" s="3" t="n">
        <v>2933</v>
      </c>
      <c r="D8" s="4" t="n">
        <v>20.2798</v>
      </c>
      <c r="E8" s="4" t="n">
        <v>3904.44</v>
      </c>
      <c r="F8" s="4" t="n">
        <v>5026.1838</v>
      </c>
      <c r="G8" s="4" t="n">
        <v>19.7881</v>
      </c>
      <c r="H8" s="3" t="n">
        <v>24785</v>
      </c>
      <c r="I8" s="3" t="n">
        <v>254</v>
      </c>
    </row>
    <row r="9">
      <c r="A9" s="2" t="inlineStr">
        <is>
          <t>2004-2005</t>
        </is>
      </c>
      <c r="B9" s="3" t="n">
        <v>4731</v>
      </c>
      <c r="C9" s="3" t="n">
        <v>3010</v>
      </c>
      <c r="D9" s="4" t="n">
        <v>23.741</v>
      </c>
      <c r="E9" s="4" t="n">
        <v>4771.74</v>
      </c>
      <c r="F9" s="4" t="n">
        <v>5187.1565</v>
      </c>
      <c r="G9" s="4" t="n">
        <v>20.5026</v>
      </c>
      <c r="H9" s="3" t="n">
        <v>21849</v>
      </c>
      <c r="I9" s="3" t="n">
        <v>253</v>
      </c>
    </row>
    <row r="10">
      <c r="A10" s="2" t="inlineStr">
        <is>
          <t>2005-2006</t>
        </is>
      </c>
      <c r="B10" s="3" t="n">
        <v>4781</v>
      </c>
      <c r="C10" s="3" t="n">
        <v>3099</v>
      </c>
      <c r="D10" s="4" t="n">
        <v>26.4007</v>
      </c>
      <c r="E10" s="4" t="n">
        <v>6644.56</v>
      </c>
      <c r="F10" s="4" t="n">
        <v>8160.847</v>
      </c>
      <c r="G10" s="4" t="n">
        <v>32.5133</v>
      </c>
      <c r="H10" s="3" t="n">
        <v>30912</v>
      </c>
      <c r="I10" s="3" t="n">
        <v>251</v>
      </c>
    </row>
    <row r="11">
      <c r="A11" s="2" t="inlineStr">
        <is>
          <t>2006-2007</t>
        </is>
      </c>
      <c r="B11" s="3" t="n">
        <v>4821</v>
      </c>
      <c r="C11" s="3" t="n">
        <v>3156</v>
      </c>
      <c r="D11" s="4" t="n">
        <v>34.6222</v>
      </c>
      <c r="E11" s="4" t="n">
        <v>5607.8</v>
      </c>
      <c r="F11" s="4" t="n">
        <v>9561.891100000001</v>
      </c>
      <c r="G11" s="4" t="n">
        <v>38.4012</v>
      </c>
      <c r="H11" s="3" t="n">
        <v>27618</v>
      </c>
      <c r="I11" s="3" t="n">
        <v>249</v>
      </c>
    </row>
    <row r="12">
      <c r="A12" s="2" t="inlineStr">
        <is>
          <t>2007-2008</t>
        </is>
      </c>
      <c r="B12" s="3" t="n">
        <v>4887</v>
      </c>
      <c r="C12" s="3" t="n">
        <v>3280</v>
      </c>
      <c r="D12" s="4" t="n">
        <v>53.034</v>
      </c>
      <c r="E12" s="4" t="n">
        <v>9860.049999999999</v>
      </c>
      <c r="F12" s="4" t="n">
        <v>15788.5541</v>
      </c>
      <c r="G12" s="4" t="n">
        <v>62.9026</v>
      </c>
      <c r="H12" s="3" t="n">
        <v>29771</v>
      </c>
      <c r="I12" s="3" t="n">
        <v>251</v>
      </c>
    </row>
    <row r="13">
      <c r="A13" s="2" t="inlineStr">
        <is>
          <t>2008-2009</t>
        </is>
      </c>
      <c r="B13" s="3" t="n">
        <v>4929</v>
      </c>
      <c r="C13" s="3" t="n">
        <v>3312</v>
      </c>
      <c r="D13" s="4" t="n">
        <v>54.0798</v>
      </c>
      <c r="E13" s="4" t="n">
        <v>7396</v>
      </c>
      <c r="F13" s="4" t="n">
        <v>11000.7377</v>
      </c>
      <c r="G13" s="4" t="n">
        <v>45.2705</v>
      </c>
      <c r="H13" s="3" t="n">
        <v>20342</v>
      </c>
      <c r="I13" s="3" t="n">
        <v>243</v>
      </c>
    </row>
    <row r="14">
      <c r="A14" s="2" t="inlineStr">
        <is>
          <t>2009-2010</t>
        </is>
      </c>
      <c r="B14" s="3" t="n">
        <v>4975</v>
      </c>
      <c r="C14" s="3" t="n">
        <v>3504</v>
      </c>
      <c r="D14" s="4" t="n">
        <v>60.5588</v>
      </c>
      <c r="E14" s="4" t="n">
        <v>11365.1</v>
      </c>
      <c r="F14" s="4" t="n">
        <v>13788.0932</v>
      </c>
      <c r="G14" s="4" t="n">
        <v>56.5086</v>
      </c>
      <c r="H14" s="3" t="n">
        <v>22769</v>
      </c>
      <c r="I14" s="3" t="n">
        <v>244</v>
      </c>
    </row>
    <row r="15">
      <c r="A15" s="2" t="inlineStr">
        <is>
          <t>2010-2011</t>
        </is>
      </c>
      <c r="B15" s="3" t="n">
        <v>5067</v>
      </c>
      <c r="C15" s="3" t="n">
        <v>3749</v>
      </c>
      <c r="D15" s="4" t="n">
        <v>52.8469</v>
      </c>
      <c r="E15" s="4" t="n">
        <v>9907.77</v>
      </c>
      <c r="F15" s="4" t="n">
        <v>11050.2689</v>
      </c>
      <c r="G15" s="4" t="n">
        <v>43.3344</v>
      </c>
      <c r="H15" s="3" t="n">
        <v>20910</v>
      </c>
      <c r="I15" s="3" t="n">
        <v>255</v>
      </c>
    </row>
    <row r="16">
      <c r="A16" s="2" t="inlineStr">
        <is>
          <t>2011-2012</t>
        </is>
      </c>
      <c r="B16" s="3" t="n">
        <v>5133</v>
      </c>
      <c r="C16" s="3" t="n">
        <v>3918</v>
      </c>
      <c r="D16" s="4" t="n">
        <v>39.4395</v>
      </c>
      <c r="E16" s="4" t="n">
        <v>6541.37</v>
      </c>
      <c r="F16" s="4" t="n">
        <v>6674.9758</v>
      </c>
      <c r="G16" s="4" t="n">
        <v>26.8071</v>
      </c>
      <c r="H16" s="3" t="n">
        <v>16925</v>
      </c>
      <c r="I16" s="3" t="n">
        <v>249</v>
      </c>
    </row>
    <row r="17">
      <c r="A17" s="2" t="inlineStr">
        <is>
          <t>2012-2013</t>
        </is>
      </c>
      <c r="B17" s="3" t="n">
        <v>5211</v>
      </c>
      <c r="C17" s="3" t="n">
        <v>4145</v>
      </c>
      <c r="D17" s="4" t="n">
        <v>32.3509</v>
      </c>
      <c r="E17" s="4" t="n">
        <v>5672.18</v>
      </c>
      <c r="F17" s="4" t="n">
        <v>5487.7444</v>
      </c>
      <c r="G17" s="4" t="n">
        <v>21.951</v>
      </c>
      <c r="H17" s="3" t="n">
        <v>16964</v>
      </c>
      <c r="I17" s="3" t="n">
        <v>250</v>
      </c>
    </row>
    <row r="18">
      <c r="A18" s="2" t="inlineStr">
        <is>
          <t>2013-2014</t>
        </is>
      </c>
      <c r="B18" s="3" t="n">
        <v>5336</v>
      </c>
      <c r="C18" s="3" t="n">
        <v>4333</v>
      </c>
      <c r="D18" s="4" t="n">
        <v>36.3211</v>
      </c>
      <c r="E18" s="4" t="n">
        <v>4799.49</v>
      </c>
      <c r="F18" s="4" t="n">
        <v>5216.642</v>
      </c>
      <c r="G18" s="4" t="n">
        <v>20.7834</v>
      </c>
      <c r="H18" s="3" t="n">
        <v>14363</v>
      </c>
      <c r="I18" s="3" t="n">
        <v>251</v>
      </c>
    </row>
    <row r="19">
      <c r="A19" s="2" t="inlineStr">
        <is>
          <t>2014-2015</t>
        </is>
      </c>
      <c r="B19" s="3" t="n">
        <v>5624</v>
      </c>
      <c r="C19" s="3" t="n">
        <v>4814</v>
      </c>
      <c r="D19" s="4" t="n">
        <v>71.1067</v>
      </c>
      <c r="E19" s="4" t="n">
        <v>8567.6</v>
      </c>
      <c r="F19" s="4" t="n">
        <v>8548.4434</v>
      </c>
      <c r="G19" s="4" t="n">
        <v>35.1788</v>
      </c>
      <c r="H19" s="3" t="n">
        <v>12022</v>
      </c>
      <c r="I19" s="3" t="n">
        <v>243</v>
      </c>
    </row>
    <row r="20">
      <c r="A20" s="2" t="inlineStr">
        <is>
          <t>2015-2016</t>
        </is>
      </c>
      <c r="B20" s="3" t="n">
        <v>5911</v>
      </c>
      <c r="C20" s="3" t="n">
        <v>5035</v>
      </c>
      <c r="D20" s="4" t="n">
        <v>41.1689</v>
      </c>
      <c r="E20" s="4" t="n">
        <v>7625.49</v>
      </c>
      <c r="F20" s="4" t="n">
        <v>7400.892</v>
      </c>
      <c r="G20" s="4" t="n">
        <v>29.9631</v>
      </c>
      <c r="H20" s="3" t="n">
        <v>17977</v>
      </c>
      <c r="I20" s="3" t="n">
        <v>247</v>
      </c>
    </row>
    <row r="21">
      <c r="A21" s="2" t="inlineStr">
        <is>
          <t>2016-2017</t>
        </is>
      </c>
      <c r="B21" s="3" t="n">
        <v>5834</v>
      </c>
      <c r="C21" s="3" t="n">
        <v>5086</v>
      </c>
      <c r="D21" s="4" t="n">
        <v>39.185</v>
      </c>
      <c r="E21" s="4" t="n">
        <v>7072.23</v>
      </c>
      <c r="F21" s="4" t="n">
        <v>9982.605799999999</v>
      </c>
      <c r="G21" s="4" t="n">
        <v>40.2524</v>
      </c>
      <c r="H21" s="3" t="n">
        <v>25476</v>
      </c>
      <c r="I21" s="3" t="n">
        <v>248</v>
      </c>
    </row>
    <row r="22">
      <c r="A22" s="2" t="inlineStr">
        <is>
          <t>2017-2018</t>
        </is>
      </c>
      <c r="B22" s="3" t="n">
        <v>5619</v>
      </c>
      <c r="C22" s="3" t="n">
        <v>5212</v>
      </c>
      <c r="D22" s="4" t="n">
        <v>35.8582</v>
      </c>
      <c r="E22" s="4" t="n">
        <v>7716.04</v>
      </c>
      <c r="F22" s="4" t="n">
        <v>10829.6822</v>
      </c>
      <c r="G22" s="4" t="n">
        <v>44.0231</v>
      </c>
      <c r="H22" s="3" t="n">
        <v>30202</v>
      </c>
      <c r="I22" s="3" t="n">
        <v>246</v>
      </c>
    </row>
    <row r="23">
      <c r="A23" s="2" t="inlineStr">
        <is>
          <t>2018-2019</t>
        </is>
      </c>
      <c r="B23" s="3" t="n">
        <v>5262</v>
      </c>
      <c r="C23" s="3" t="n">
        <v>5440</v>
      </c>
      <c r="D23" s="4" t="n">
        <v>31.4523</v>
      </c>
      <c r="E23" s="4" t="n">
        <v>5181.08</v>
      </c>
      <c r="F23" s="4" t="n">
        <v>7755.9008</v>
      </c>
      <c r="G23" s="4" t="n">
        <v>31.2738</v>
      </c>
      <c r="H23" s="3" t="n">
        <v>24660</v>
      </c>
      <c r="I23" s="3" t="n">
        <v>248</v>
      </c>
    </row>
    <row r="24">
      <c r="A24" s="2" t="inlineStr">
        <is>
          <t>2019-2020</t>
        </is>
      </c>
      <c r="B24" s="3" t="n">
        <v>5378</v>
      </c>
      <c r="C24" s="3" t="n">
        <v>5565</v>
      </c>
      <c r="D24" s="4" t="n">
        <v>32.4755</v>
      </c>
      <c r="E24" s="4" t="n">
        <v>5735.46</v>
      </c>
      <c r="F24" s="4" t="n">
        <v>6608.9603</v>
      </c>
      <c r="G24" s="4" t="n">
        <v>26.7569</v>
      </c>
      <c r="H24" s="3" t="n">
        <v>20351</v>
      </c>
      <c r="I24" s="3" t="n">
        <v>247</v>
      </c>
    </row>
    <row r="25">
      <c r="A25" s="2" t="inlineStr">
        <is>
          <t>2020-2021</t>
        </is>
      </c>
      <c r="B25" s="3" t="n">
        <v>5478</v>
      </c>
      <c r="C25" s="3" t="n">
        <v>5681</v>
      </c>
      <c r="D25" s="4" t="n">
        <v>55.0076</v>
      </c>
      <c r="E25" s="4" t="n">
        <v>10456.3</v>
      </c>
      <c r="F25" s="4" t="n">
        <v>10450.8956</v>
      </c>
      <c r="G25" s="4" t="n">
        <v>41.9715</v>
      </c>
      <c r="H25" s="3" t="n">
        <v>19000</v>
      </c>
      <c r="I25" s="3" t="n">
        <v>249</v>
      </c>
    </row>
    <row r="26">
      <c r="A26" s="2" t="inlineStr">
        <is>
          <t>2021-2022</t>
        </is>
      </c>
      <c r="B26" s="3" t="n">
        <v>5618</v>
      </c>
      <c r="C26" s="3" t="n">
        <v>5967</v>
      </c>
      <c r="D26" s="4" t="n">
        <v>79.4867</v>
      </c>
      <c r="E26" s="4" t="n">
        <v>16221.88</v>
      </c>
      <c r="F26" s="4" t="n">
        <v>13382.2531</v>
      </c>
      <c r="G26" s="4" t="n">
        <v>53.9607</v>
      </c>
      <c r="H26" s="3" t="n">
        <v>16836</v>
      </c>
      <c r="I26" s="3" t="n">
        <v>248</v>
      </c>
    </row>
    <row r="27">
      <c r="A27" s="2" t="inlineStr">
        <is>
          <t>2022-2023</t>
        </is>
      </c>
      <c r="B27" s="3" t="n">
        <v>5681</v>
      </c>
      <c r="C27" s="3" t="n">
        <v>6177</v>
      </c>
      <c r="D27" s="4" t="n">
        <v>67.2251</v>
      </c>
      <c r="E27" s="4" t="n">
        <v>13551.98</v>
      </c>
      <c r="F27" s="4" t="n">
        <v>10288.6492</v>
      </c>
      <c r="G27" s="4" t="n">
        <v>41.3199</v>
      </c>
      <c r="H27" s="3" t="n">
        <v>15305</v>
      </c>
      <c r="I27" s="3" t="n">
        <v>249</v>
      </c>
    </row>
    <row r="28">
      <c r="A28" s="2" t="inlineStr">
        <is>
          <t>2023-2024</t>
        </is>
      </c>
      <c r="B28" s="3" t="n">
        <v>5715</v>
      </c>
      <c r="C28" s="3" t="n">
        <v>6535</v>
      </c>
      <c r="D28" s="4" t="n">
        <v>82.6349</v>
      </c>
      <c r="E28" s="4" t="n">
        <v>21207.14</v>
      </c>
      <c r="F28" s="4" t="n">
        <v>16290.3838</v>
      </c>
      <c r="G28" s="4" t="n">
        <v>66.22110000000001</v>
      </c>
      <c r="H28" s="3" t="n">
        <v>19714</v>
      </c>
      <c r="I28" s="3" t="n">
        <v>246</v>
      </c>
    </row>
    <row r="29">
      <c r="A29" s="2" t="inlineStr">
        <is>
          <t>2024-2025</t>
        </is>
      </c>
      <c r="B29" s="3" t="n">
        <v>5923</v>
      </c>
      <c r="C29" s="3" t="n">
        <v>7515</v>
      </c>
      <c r="D29" s="4" t="n">
        <v>103.3094</v>
      </c>
      <c r="E29" s="4" t="n">
        <v>19952.19</v>
      </c>
      <c r="F29" s="4" t="n">
        <v>19339.0684</v>
      </c>
      <c r="G29" s="4" t="n">
        <v>77.6669</v>
      </c>
      <c r="H29" s="3" t="n">
        <v>18720</v>
      </c>
      <c r="I29" s="3" t="n">
        <v>249</v>
      </c>
    </row>
    <row r="30">
      <c r="A30" s="2" t="inlineStr">
        <is>
          <t>2025-2026</t>
        </is>
      </c>
      <c r="B30" s="3" t="n">
        <v>6239</v>
      </c>
      <c r="C30" s="3" t="n">
        <v>8288</v>
      </c>
      <c r="D30" s="4" t="n">
        <v>86.042</v>
      </c>
      <c r="E30" s="4" t="n">
        <v>21682.91</v>
      </c>
      <c r="F30" s="4" t="n">
        <v>19636.4725</v>
      </c>
      <c r="G30" s="4" t="n">
        <v>79.4999</v>
      </c>
      <c r="H30" s="3" t="n">
        <v>22822</v>
      </c>
      <c r="I30" s="3" t="n">
        <v>247</v>
      </c>
    </row>
    <row r="31">
      <c r="A31" s="2" t="inlineStr">
        <is>
          <t>2026-2027</t>
        </is>
      </c>
      <c r="B31" s="3" t="n"/>
      <c r="C31" s="3" t="n">
        <v>7476</v>
      </c>
      <c r="D31" s="4" t="n">
        <v>35.1938</v>
      </c>
      <c r="E31" s="4" t="n">
        <v>6463.48</v>
      </c>
      <c r="F31" s="4" t="n">
        <v>9100.6312</v>
      </c>
      <c r="G31" s="4" t="n">
        <v>100.0069</v>
      </c>
      <c r="H31" s="3" t="n">
        <v>25859</v>
      </c>
      <c r="I31" s="3" t="n">
        <v>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6" customWidth="1" min="6" max="6"/>
    <col width="18" customWidth="1" min="7" max="7"/>
    <col width="22" customWidth="1" min="8" max="8"/>
    <col width="20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Securities Traded</t>
        </is>
      </c>
      <c r="E1" s="1" t="inlineStr">
        <is>
          <t>No. of Trades (Crs)</t>
        </is>
      </c>
      <c r="F1" s="1" t="inlineStr">
        <is>
          <t>Shares Traded (Crs)</t>
        </is>
      </c>
      <c r="G1" s="1" t="inlineStr">
        <is>
          <t>Turnover (INR Bn)</t>
        </is>
      </c>
      <c r="H1" s="1" t="inlineStr">
        <is>
          <t>Average Turnover (INR Bn)</t>
        </is>
      </c>
      <c r="I1" s="1" t="inlineStr">
        <is>
          <t>Average Trade Size (INR)</t>
        </is>
      </c>
      <c r="J1" s="1" t="inlineStr">
        <is>
          <t>No. of Trading Days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3" t="n">
        <v>3210</v>
      </c>
      <c r="E2" s="4" t="n">
        <v>0.1082</v>
      </c>
      <c r="F2" s="4" t="n">
        <v>47.92</v>
      </c>
      <c r="G2" s="4" t="n">
        <v>118.8862</v>
      </c>
      <c r="H2" s="4" t="n">
        <v>7.9257</v>
      </c>
      <c r="I2" s="3" t="n">
        <v>109846</v>
      </c>
      <c r="J2" s="3" t="n">
        <v>15</v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3" t="n">
        <v>3187</v>
      </c>
      <c r="E3" s="4" t="n">
        <v>0.1738</v>
      </c>
      <c r="F3" s="4" t="n">
        <v>73.20999999999999</v>
      </c>
      <c r="G3" s="4" t="n">
        <v>180.7392</v>
      </c>
      <c r="H3" s="4" t="n">
        <v>8.215400000000001</v>
      </c>
      <c r="I3" s="3" t="n">
        <v>103982</v>
      </c>
      <c r="J3" s="3" t="n">
        <v>22</v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3" t="n">
        <v>3263</v>
      </c>
      <c r="E4" s="4" t="n">
        <v>0.1821</v>
      </c>
      <c r="F4" s="4" t="n">
        <v>77.42</v>
      </c>
      <c r="G4" s="4" t="n">
        <v>173.5888</v>
      </c>
      <c r="H4" s="4" t="n">
        <v>8.679399999999999</v>
      </c>
      <c r="I4" s="3" t="n">
        <v>95323</v>
      </c>
      <c r="J4" s="3" t="n">
        <v>20</v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3" t="n">
        <v>3093</v>
      </c>
      <c r="E5" s="4" t="n">
        <v>0.1581</v>
      </c>
      <c r="F5" s="4" t="n">
        <v>60.92</v>
      </c>
      <c r="G5" s="4" t="n">
        <v>164.0306</v>
      </c>
      <c r="H5" s="4" t="n">
        <v>8.6332</v>
      </c>
      <c r="I5" s="3" t="n">
        <v>103740</v>
      </c>
      <c r="J5" s="3" t="n">
        <v>19</v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3" t="n">
        <v>3144</v>
      </c>
      <c r="E6" s="4" t="n">
        <v>0.2616</v>
      </c>
      <c r="F6" s="4" t="n">
        <v>111.85</v>
      </c>
      <c r="G6" s="4" t="n">
        <v>231.7468</v>
      </c>
      <c r="H6" s="4" t="n">
        <v>11.0356</v>
      </c>
      <c r="I6" s="3" t="n">
        <v>88593</v>
      </c>
      <c r="J6" s="3" t="n">
        <v>21</v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3" t="n">
        <v>3306</v>
      </c>
      <c r="E7" s="4" t="n">
        <v>0.3249</v>
      </c>
      <c r="F7" s="4" t="n">
        <v>134.04</v>
      </c>
      <c r="G7" s="4" t="n">
        <v>265.5279</v>
      </c>
      <c r="H7" s="4" t="n">
        <v>13.9752</v>
      </c>
      <c r="I7" s="3" t="n">
        <v>81719</v>
      </c>
      <c r="J7" s="3" t="n">
        <v>19</v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3" t="n">
        <v>2965</v>
      </c>
      <c r="E8" s="4" t="n">
        <v>0.06519999999999999</v>
      </c>
      <c r="F8" s="4" t="n">
        <v>23.83</v>
      </c>
      <c r="G8" s="4" t="n">
        <v>56.179</v>
      </c>
      <c r="H8" s="4" t="n">
        <v>11.2358</v>
      </c>
      <c r="I8" s="3" t="n">
        <v>86200</v>
      </c>
      <c r="J8" s="3" t="n">
        <v>5</v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3" t="n">
        <v>2748</v>
      </c>
      <c r="E9" s="4" t="n">
        <v>0.1656</v>
      </c>
      <c r="F9" s="4" t="n">
        <v>66.08</v>
      </c>
      <c r="G9" s="4" t="n">
        <v>130.9412</v>
      </c>
      <c r="H9" s="4" t="n">
        <v>8.1838</v>
      </c>
      <c r="I9" s="3" t="n">
        <v>79080</v>
      </c>
      <c r="J9" s="3" t="n">
        <v>16</v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3" t="n">
        <v>2714</v>
      </c>
      <c r="E10" s="4" t="n">
        <v>0.2478</v>
      </c>
      <c r="F10" s="4" t="n">
        <v>82.34</v>
      </c>
      <c r="G10" s="4" t="n">
        <v>212.3811</v>
      </c>
      <c r="H10" s="4" t="n">
        <v>9.234</v>
      </c>
      <c r="I10" s="3" t="n">
        <v>85692</v>
      </c>
      <c r="J10" s="3" t="n">
        <v>23</v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3" t="n">
        <v>2592</v>
      </c>
      <c r="E11" s="4" t="n">
        <v>0.2144</v>
      </c>
      <c r="F11" s="4" t="n">
        <v>70.54000000000001</v>
      </c>
      <c r="G11" s="4" t="n">
        <v>182.117</v>
      </c>
      <c r="H11" s="4" t="n">
        <v>9.1059</v>
      </c>
      <c r="I11" s="3" t="n">
        <v>84956</v>
      </c>
      <c r="J11" s="3" t="n">
        <v>20</v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3" t="n">
        <v>2713</v>
      </c>
      <c r="E12" s="4" t="n">
        <v>0.2944</v>
      </c>
      <c r="F12" s="4" t="n">
        <v>108.25</v>
      </c>
      <c r="G12" s="4" t="n">
        <v>276.4671</v>
      </c>
      <c r="H12" s="4" t="n">
        <v>12.5667</v>
      </c>
      <c r="I12" s="3" t="n">
        <v>93919</v>
      </c>
      <c r="J12" s="3" t="n">
        <v>22</v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3" t="n">
        <v>2497</v>
      </c>
      <c r="E13" s="4" t="n">
        <v>0.2235</v>
      </c>
      <c r="F13" s="4" t="n">
        <v>83.63</v>
      </c>
      <c r="G13" s="4" t="n">
        <v>223.6513</v>
      </c>
      <c r="H13" s="4" t="n">
        <v>12.4251</v>
      </c>
      <c r="I13" s="3" t="n">
        <v>100063</v>
      </c>
      <c r="J13" s="3" t="n">
        <v>18</v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3" t="n">
        <v>2748</v>
      </c>
      <c r="E14" s="4" t="n">
        <v>0.2482</v>
      </c>
      <c r="F14" s="4" t="n">
        <v>99.63</v>
      </c>
      <c r="G14" s="4" t="n">
        <v>202.2055</v>
      </c>
      <c r="H14" s="4" t="n">
        <v>10.1103</v>
      </c>
      <c r="I14" s="3" t="n">
        <v>81471</v>
      </c>
      <c r="J14" s="3" t="n">
        <v>20</v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3" t="n">
        <v>2718</v>
      </c>
      <c r="E15" s="4" t="n">
        <v>0.3058</v>
      </c>
      <c r="F15" s="4" t="n">
        <v>111.03</v>
      </c>
      <c r="G15" s="4" t="n">
        <v>266.876</v>
      </c>
      <c r="H15" s="4" t="n">
        <v>12.1307</v>
      </c>
      <c r="I15" s="3" t="n">
        <v>87272</v>
      </c>
      <c r="J15" s="3" t="n">
        <v>22</v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3" t="n">
        <v>2836</v>
      </c>
      <c r="E16" s="4" t="n">
        <v>0.3631</v>
      </c>
      <c r="F16" s="4" t="n">
        <v>132.79</v>
      </c>
      <c r="G16" s="4" t="n">
        <v>325.1586</v>
      </c>
      <c r="H16" s="4" t="n">
        <v>17.1136</v>
      </c>
      <c r="I16" s="3" t="n">
        <v>89541</v>
      </c>
      <c r="J16" s="3" t="n">
        <v>19</v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3" t="n">
        <v>2987</v>
      </c>
      <c r="E17" s="4" t="n">
        <v>0.3844</v>
      </c>
      <c r="F17" s="4" t="n">
        <v>129.11</v>
      </c>
      <c r="G17" s="4" t="n">
        <v>311.4178</v>
      </c>
      <c r="H17" s="4" t="n">
        <v>14.8294</v>
      </c>
      <c r="I17" s="3" t="n">
        <v>81016</v>
      </c>
      <c r="J17" s="3" t="n">
        <v>21</v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3" t="n">
        <v>3192</v>
      </c>
      <c r="E18" s="4" t="n">
        <v>0.4251</v>
      </c>
      <c r="F18" s="4" t="n">
        <v>144.87</v>
      </c>
      <c r="G18" s="4" t="n">
        <v>393.4462</v>
      </c>
      <c r="H18" s="4" t="n">
        <v>20.7077</v>
      </c>
      <c r="I18" s="3" t="n">
        <v>92554</v>
      </c>
      <c r="J18" s="3" t="n">
        <v>19</v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3" t="n">
        <v>2750</v>
      </c>
      <c r="E19" s="4" t="n">
        <v>0.3237</v>
      </c>
      <c r="F19" s="4" t="n">
        <v>87.67</v>
      </c>
      <c r="G19" s="4" t="n">
        <v>270.0271</v>
      </c>
      <c r="H19" s="4" t="n">
        <v>14.212</v>
      </c>
      <c r="I19" s="3" t="n">
        <v>83415</v>
      </c>
      <c r="J19" s="3" t="n">
        <v>19</v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3" t="n">
        <v>2645</v>
      </c>
      <c r="E20" s="4" t="n">
        <v>0.4414</v>
      </c>
      <c r="F20" s="4" t="n">
        <v>143.43</v>
      </c>
      <c r="G20" s="4" t="n">
        <v>362.3534</v>
      </c>
      <c r="H20" s="4" t="n">
        <v>17.2549</v>
      </c>
      <c r="I20" s="3" t="n">
        <v>82086</v>
      </c>
      <c r="J20" s="3" t="n">
        <v>21</v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3" t="n">
        <v>2650</v>
      </c>
      <c r="E21" s="4" t="n">
        <v>0.4384</v>
      </c>
      <c r="F21" s="4" t="n">
        <v>150.51</v>
      </c>
      <c r="G21" s="4" t="n">
        <v>332.3955</v>
      </c>
      <c r="H21" s="4" t="n">
        <v>15.1089</v>
      </c>
      <c r="I21" s="3" t="n">
        <v>75820</v>
      </c>
      <c r="J21" s="3" t="n">
        <v>22</v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3" t="n">
        <v>2852</v>
      </c>
      <c r="E22" s="4" t="n">
        <v>0.5411</v>
      </c>
      <c r="F22" s="4" t="n">
        <v>189.72</v>
      </c>
      <c r="G22" s="4" t="n">
        <v>466.3931</v>
      </c>
      <c r="H22" s="4" t="n">
        <v>21.1997</v>
      </c>
      <c r="I22" s="3" t="n">
        <v>86194</v>
      </c>
      <c r="J22" s="3" t="n">
        <v>22</v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3" t="n">
        <v>3007</v>
      </c>
      <c r="E23" s="4" t="n">
        <v>0.6102</v>
      </c>
      <c r="F23" s="4" t="n">
        <v>199.76</v>
      </c>
      <c r="G23" s="4" t="n">
        <v>499.9716</v>
      </c>
      <c r="H23" s="4" t="n">
        <v>22.726</v>
      </c>
      <c r="I23" s="3" t="n">
        <v>81938</v>
      </c>
      <c r="J23" s="3" t="n">
        <v>22</v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3" t="n">
        <v>3063</v>
      </c>
      <c r="E24" s="4" t="n">
        <v>0.5591</v>
      </c>
      <c r="F24" s="4" t="n">
        <v>174.63</v>
      </c>
      <c r="G24" s="4" t="n">
        <v>465.7772</v>
      </c>
      <c r="H24" s="4" t="n">
        <v>22.1799</v>
      </c>
      <c r="I24" s="3" t="n">
        <v>83304</v>
      </c>
      <c r="J24" s="3" t="n">
        <v>21</v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3" t="n">
        <v>3282</v>
      </c>
      <c r="E25" s="4" t="n">
        <v>0.6584</v>
      </c>
      <c r="F25" s="4" t="n">
        <v>213.46</v>
      </c>
      <c r="G25" s="4" t="n">
        <v>576.9879</v>
      </c>
      <c r="H25" s="4" t="n">
        <v>28.8494</v>
      </c>
      <c r="I25" s="3" t="n">
        <v>87641</v>
      </c>
      <c r="J25" s="3" t="n">
        <v>20</v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3" t="n">
        <v>3149</v>
      </c>
      <c r="E26" s="4" t="n">
        <v>0.5189</v>
      </c>
      <c r="F26" s="4" t="n">
        <v>146.22</v>
      </c>
      <c r="G26" s="4" t="n">
        <v>491.2133</v>
      </c>
      <c r="H26" s="4" t="n">
        <v>24.5607</v>
      </c>
      <c r="I26" s="3" t="n">
        <v>94659</v>
      </c>
      <c r="J26" s="3" t="n">
        <v>20</v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3" t="n">
        <v>3497</v>
      </c>
      <c r="E27" s="4" t="n">
        <v>0.8092</v>
      </c>
      <c r="F27" s="4" t="n">
        <v>233.82</v>
      </c>
      <c r="G27" s="4" t="n">
        <v>784.4755</v>
      </c>
      <c r="H27" s="4" t="n">
        <v>35.658</v>
      </c>
      <c r="I27" s="3" t="n">
        <v>96948</v>
      </c>
      <c r="J27" s="3" t="n">
        <v>22</v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3" t="n">
        <v>3548</v>
      </c>
      <c r="E28" s="4" t="n">
        <v>0.7506</v>
      </c>
      <c r="F28" s="4" t="n">
        <v>194.43</v>
      </c>
      <c r="G28" s="4" t="n">
        <v>745.6356</v>
      </c>
      <c r="H28" s="4" t="n">
        <v>35.5065</v>
      </c>
      <c r="I28" s="3" t="n">
        <v>99337</v>
      </c>
      <c r="J28" s="3" t="n">
        <v>21</v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3" t="n">
        <v>3476</v>
      </c>
      <c r="E29" s="4" t="n">
        <v>0.9516</v>
      </c>
      <c r="F29" s="4" t="n">
        <v>206.17</v>
      </c>
      <c r="G29" s="4" t="n">
        <v>1018.4206</v>
      </c>
      <c r="H29" s="4" t="n">
        <v>48.4962</v>
      </c>
      <c r="I29" s="3" t="n">
        <v>107021</v>
      </c>
      <c r="J29" s="3" t="n">
        <v>21</v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3" t="n">
        <v>3530</v>
      </c>
      <c r="E30" s="4" t="n">
        <v>0.8048</v>
      </c>
      <c r="F30" s="4" t="n">
        <v>162.46</v>
      </c>
      <c r="G30" s="4" t="n">
        <v>850.6347</v>
      </c>
      <c r="H30" s="4" t="n">
        <v>40.5064</v>
      </c>
      <c r="I30" s="3" t="n">
        <v>105695</v>
      </c>
      <c r="J30" s="3" t="n">
        <v>21</v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3" t="n">
        <v>3080</v>
      </c>
      <c r="E31" s="4" t="n">
        <v>0.5904</v>
      </c>
      <c r="F31" s="4" t="n">
        <v>114.39</v>
      </c>
      <c r="G31" s="4" t="n">
        <v>446.0143</v>
      </c>
      <c r="H31" s="4" t="n">
        <v>24.7786</v>
      </c>
      <c r="I31" s="3" t="n">
        <v>75546</v>
      </c>
      <c r="J31" s="3" t="n">
        <v>18</v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3" t="n">
        <v>2950</v>
      </c>
      <c r="E32" s="4" t="n">
        <v>0.8987000000000001</v>
      </c>
      <c r="F32" s="4" t="n">
        <v>129.37</v>
      </c>
      <c r="G32" s="4" t="n">
        <v>578.9138</v>
      </c>
      <c r="H32" s="4" t="n">
        <v>26.3143</v>
      </c>
      <c r="I32" s="3" t="n">
        <v>64418</v>
      </c>
      <c r="J32" s="3" t="n">
        <v>22</v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3" t="n">
        <v>3005</v>
      </c>
      <c r="E33" s="4" t="n">
        <v>1.1091</v>
      </c>
      <c r="F33" s="4" t="n">
        <v>159.85</v>
      </c>
      <c r="G33" s="4" t="n">
        <v>862.7759</v>
      </c>
      <c r="H33" s="4" t="n">
        <v>39.2171</v>
      </c>
      <c r="I33" s="3" t="n">
        <v>77791</v>
      </c>
      <c r="J33" s="3" t="n">
        <v>22</v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3" t="n">
        <v>2921</v>
      </c>
      <c r="E34" s="4" t="n">
        <v>1.0691</v>
      </c>
      <c r="F34" s="4" t="n">
        <v>153.28</v>
      </c>
      <c r="G34" s="4" t="n">
        <v>803.4679</v>
      </c>
      <c r="H34" s="4" t="n">
        <v>38.2604</v>
      </c>
      <c r="I34" s="3" t="n">
        <v>75151</v>
      </c>
      <c r="J34" s="3" t="n">
        <v>21</v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3" t="n">
        <v>2880</v>
      </c>
      <c r="E35" s="4" t="n">
        <v>1.2067</v>
      </c>
      <c r="F35" s="4" t="n">
        <v>179.67</v>
      </c>
      <c r="G35" s="4" t="n">
        <v>925.628</v>
      </c>
      <c r="H35" s="4" t="n">
        <v>42.074</v>
      </c>
      <c r="I35" s="3" t="n">
        <v>76710</v>
      </c>
      <c r="J35" s="3" t="n">
        <v>22</v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3" t="n">
        <v>2794</v>
      </c>
      <c r="E36" s="4" t="n">
        <v>1.2945</v>
      </c>
      <c r="F36" s="4" t="n">
        <v>211.85</v>
      </c>
      <c r="G36" s="4" t="n">
        <v>1144.3227</v>
      </c>
      <c r="H36" s="4" t="n">
        <v>57.2161</v>
      </c>
      <c r="I36" s="3" t="n">
        <v>88396</v>
      </c>
      <c r="J36" s="3" t="n">
        <v>20</v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3" t="n">
        <v>2620</v>
      </c>
      <c r="E37" s="4" t="n">
        <v>1.085</v>
      </c>
      <c r="F37" s="4" t="n">
        <v>173.38</v>
      </c>
      <c r="G37" s="4" t="n">
        <v>763.0432</v>
      </c>
      <c r="H37" s="4" t="n">
        <v>36.3354</v>
      </c>
      <c r="I37" s="3" t="n">
        <v>70327</v>
      </c>
      <c r="J37" s="3" t="n">
        <v>21</v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3" t="n">
        <v>2744</v>
      </c>
      <c r="E38" s="4" t="n">
        <v>1.3105</v>
      </c>
      <c r="F38" s="4" t="n">
        <v>237.11</v>
      </c>
      <c r="G38" s="4" t="n">
        <v>869.7138</v>
      </c>
      <c r="H38" s="4" t="n">
        <v>39.5324</v>
      </c>
      <c r="I38" s="3" t="n">
        <v>66366</v>
      </c>
      <c r="J38" s="3" t="n">
        <v>22</v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3" t="n">
        <v>2791</v>
      </c>
      <c r="E39" s="4" t="n">
        <v>1.4403</v>
      </c>
      <c r="F39" s="4" t="n">
        <v>279.58</v>
      </c>
      <c r="G39" s="4" t="n">
        <v>991.9866</v>
      </c>
      <c r="H39" s="4" t="n">
        <v>49.5993</v>
      </c>
      <c r="I39" s="3" t="n">
        <v>68875</v>
      </c>
      <c r="J39" s="3" t="n">
        <v>20</v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3" t="n">
        <v>2827</v>
      </c>
      <c r="E40" s="4" t="n">
        <v>1.6583</v>
      </c>
      <c r="F40" s="4" t="n">
        <v>337.51</v>
      </c>
      <c r="G40" s="4" t="n">
        <v>1148.4867</v>
      </c>
      <c r="H40" s="4" t="n">
        <v>52.2039</v>
      </c>
      <c r="I40" s="3" t="n">
        <v>69258</v>
      </c>
      <c r="J40" s="3" t="n">
        <v>22</v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3" t="n">
        <v>2826</v>
      </c>
      <c r="E41" s="4" t="n">
        <v>1.6811</v>
      </c>
      <c r="F41" s="4" t="n">
        <v>379.47</v>
      </c>
      <c r="G41" s="4" t="n">
        <v>1014.2706</v>
      </c>
      <c r="H41" s="4" t="n">
        <v>50.7135</v>
      </c>
      <c r="I41" s="3" t="n">
        <v>60335</v>
      </c>
      <c r="J41" s="3" t="n">
        <v>20</v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3" t="n">
        <v>2836</v>
      </c>
      <c r="E42" s="4" t="n">
        <v>1.2201</v>
      </c>
      <c r="F42" s="4" t="n">
        <v>223.53</v>
      </c>
      <c r="G42" s="4" t="n">
        <v>451.7027</v>
      </c>
      <c r="H42" s="4" t="n">
        <v>21.5097</v>
      </c>
      <c r="I42" s="3" t="n">
        <v>37023</v>
      </c>
      <c r="J42" s="3" t="n">
        <v>21</v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3" t="n">
        <v>2297</v>
      </c>
      <c r="E43" s="4" t="n">
        <v>0.9535</v>
      </c>
      <c r="F43" s="4" t="n">
        <v>139.65</v>
      </c>
      <c r="G43" s="4" t="n">
        <v>238.7624</v>
      </c>
      <c r="H43" s="4" t="n">
        <v>12.5664</v>
      </c>
      <c r="I43" s="3" t="n">
        <v>25040</v>
      </c>
      <c r="J43" s="3" t="n">
        <v>19</v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3" t="n">
        <v>2510</v>
      </c>
      <c r="E44" s="4" t="n">
        <v>1.1964</v>
      </c>
      <c r="F44" s="4" t="n">
        <v>181.24</v>
      </c>
      <c r="G44" s="4" t="n">
        <v>318.6829</v>
      </c>
      <c r="H44" s="4" t="n">
        <v>14.4856</v>
      </c>
      <c r="I44" s="3" t="n">
        <v>26637</v>
      </c>
      <c r="J44" s="3" t="n">
        <v>22</v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3" t="n">
        <v>2579</v>
      </c>
      <c r="E45" s="4" t="n">
        <v>1.0478</v>
      </c>
      <c r="F45" s="4" t="n">
        <v>154.11</v>
      </c>
      <c r="G45" s="4" t="n">
        <v>254.5084</v>
      </c>
      <c r="H45" s="4" t="n">
        <v>12.1194</v>
      </c>
      <c r="I45" s="3" t="n">
        <v>24290</v>
      </c>
      <c r="J45" s="3" t="n">
        <v>21</v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3" t="n">
        <v>2602</v>
      </c>
      <c r="E46" s="4" t="n">
        <v>0.7799</v>
      </c>
      <c r="F46" s="4" t="n">
        <v>99.34999999999999</v>
      </c>
      <c r="G46" s="4" t="n">
        <v>172.4401</v>
      </c>
      <c r="H46" s="4" t="n">
        <v>7.8382</v>
      </c>
      <c r="I46" s="3" t="n">
        <v>22110</v>
      </c>
      <c r="J46" s="3" t="n">
        <v>22</v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3" t="n">
        <v>2561</v>
      </c>
      <c r="E47" s="4" t="n">
        <v>0.7907999999999999</v>
      </c>
      <c r="F47" s="4" t="n">
        <v>102.11</v>
      </c>
      <c r="G47" s="4" t="n">
        <v>174.4404</v>
      </c>
      <c r="H47" s="4" t="n">
        <v>8.306699999999999</v>
      </c>
      <c r="I47" s="3" t="n">
        <v>22058</v>
      </c>
      <c r="J47" s="3" t="n">
        <v>21</v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3" t="n">
        <v>2481</v>
      </c>
      <c r="E48" s="4" t="n">
        <v>0.9520999999999999</v>
      </c>
      <c r="F48" s="4" t="n">
        <v>109.71</v>
      </c>
      <c r="G48" s="4" t="n">
        <v>215.9319</v>
      </c>
      <c r="H48" s="4" t="n">
        <v>10.7966</v>
      </c>
      <c r="I48" s="3" t="n">
        <v>22679</v>
      </c>
      <c r="J48" s="3" t="n">
        <v>20</v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3" t="n">
        <v>2563</v>
      </c>
      <c r="E49" s="4" t="n">
        <v>0.998</v>
      </c>
      <c r="F49" s="4" t="n">
        <v>121.61</v>
      </c>
      <c r="G49" s="4" t="n">
        <v>219.2154</v>
      </c>
      <c r="H49" s="4" t="n">
        <v>10.4388</v>
      </c>
      <c r="I49" s="3" t="n">
        <v>21967</v>
      </c>
      <c r="J49" s="3" t="n">
        <v>21</v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3" t="n">
        <v>2732</v>
      </c>
      <c r="E50" s="4" t="n">
        <v>1.0727</v>
      </c>
      <c r="F50" s="4" t="n">
        <v>167.47</v>
      </c>
      <c r="G50" s="4" t="n">
        <v>244.0665</v>
      </c>
      <c r="H50" s="4" t="n">
        <v>12.2033</v>
      </c>
      <c r="I50" s="3" t="n">
        <v>22754</v>
      </c>
      <c r="J50" s="3" t="n">
        <v>20</v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3" t="n">
        <v>3228</v>
      </c>
      <c r="E51" s="4" t="n">
        <v>1.2047</v>
      </c>
      <c r="F51" s="4" t="n">
        <v>192.56</v>
      </c>
      <c r="G51" s="4" t="n">
        <v>300.3331</v>
      </c>
      <c r="H51" s="4" t="n">
        <v>15.807</v>
      </c>
      <c r="I51" s="3" t="n">
        <v>24931</v>
      </c>
      <c r="J51" s="3" t="n">
        <v>19</v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3" t="n">
        <v>2154</v>
      </c>
      <c r="E52" s="4" t="n">
        <v>1.4382</v>
      </c>
      <c r="F52" s="4" t="n">
        <v>210.03</v>
      </c>
      <c r="G52" s="4" t="n">
        <v>391.69</v>
      </c>
      <c r="H52" s="4" t="n">
        <v>17.03</v>
      </c>
      <c r="I52" s="3" t="n">
        <v>27236</v>
      </c>
      <c r="J52" s="3" t="n">
        <v>23</v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3" t="n">
        <v>2238</v>
      </c>
      <c r="E53" s="4" t="n">
        <v>1.2147</v>
      </c>
      <c r="F53" s="4" t="n">
        <v>183.16</v>
      </c>
      <c r="G53" s="4" t="n">
        <v>285.7156</v>
      </c>
      <c r="H53" s="4" t="n">
        <v>14.2858</v>
      </c>
      <c r="I53" s="3" t="n">
        <v>23522</v>
      </c>
      <c r="J53" s="3" t="n">
        <v>20</v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3" t="n">
        <v>2379</v>
      </c>
      <c r="E54" s="4" t="n">
        <v>1.1233</v>
      </c>
      <c r="F54" s="4" t="n">
        <v>160.08</v>
      </c>
      <c r="G54" s="4" t="n">
        <v>257.191</v>
      </c>
      <c r="H54" s="4" t="n">
        <v>13.5364</v>
      </c>
      <c r="I54" s="3" t="n">
        <v>22896</v>
      </c>
      <c r="J54" s="3" t="n">
        <v>19</v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3" t="n">
        <v>2220</v>
      </c>
      <c r="E55" s="4" t="n">
        <v>1.35</v>
      </c>
      <c r="F55" s="4" t="n">
        <v>183.4</v>
      </c>
      <c r="G55" s="4" t="n">
        <v>288.7449</v>
      </c>
      <c r="H55" s="4" t="n">
        <v>13.1248</v>
      </c>
      <c r="I55" s="3" t="n">
        <v>21388</v>
      </c>
      <c r="J55" s="3" t="n">
        <v>22</v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3" t="n">
        <v>2251</v>
      </c>
      <c r="E56" s="4" t="n">
        <v>1.3929</v>
      </c>
      <c r="F56" s="4" t="n">
        <v>217.94</v>
      </c>
      <c r="G56" s="4" t="n">
        <v>281.3779</v>
      </c>
      <c r="H56" s="4" t="n">
        <v>12.7899</v>
      </c>
      <c r="I56" s="3" t="n">
        <v>20202</v>
      </c>
      <c r="J56" s="3" t="n">
        <v>22</v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3" t="n">
        <v>2413</v>
      </c>
      <c r="E57" s="4" t="n">
        <v>1.2916</v>
      </c>
      <c r="F57" s="4" t="n">
        <v>271.28</v>
      </c>
      <c r="G57" s="4" t="n">
        <v>233.1978</v>
      </c>
      <c r="H57" s="4" t="n">
        <v>11.6599</v>
      </c>
      <c r="I57" s="3" t="n">
        <v>18055</v>
      </c>
      <c r="J57" s="3" t="n">
        <v>20</v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3" t="n">
        <v>2591</v>
      </c>
      <c r="E58" s="4" t="n">
        <v>1.4487</v>
      </c>
      <c r="F58" s="4" t="n">
        <v>283.75</v>
      </c>
      <c r="G58" s="4" t="n">
        <v>267.2367</v>
      </c>
      <c r="H58" s="4" t="n">
        <v>11.619</v>
      </c>
      <c r="I58" s="3" t="n">
        <v>18448</v>
      </c>
      <c r="J58" s="3" t="n">
        <v>23</v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3" t="n">
        <v>2460</v>
      </c>
      <c r="E59" s="4" t="n">
        <v>1.1505</v>
      </c>
      <c r="F59" s="4" t="n">
        <v>156.22</v>
      </c>
      <c r="G59" s="4" t="n">
        <v>237.7962</v>
      </c>
      <c r="H59" s="4" t="n">
        <v>11.3236</v>
      </c>
      <c r="I59" s="3" t="n">
        <v>20670</v>
      </c>
      <c r="J59" s="3" t="n">
        <v>21</v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3" t="n">
        <v>2390</v>
      </c>
      <c r="E60" s="4" t="n">
        <v>1.0611</v>
      </c>
      <c r="F60" s="4" t="n">
        <v>156.03</v>
      </c>
      <c r="G60" s="4" t="n">
        <v>244.1007</v>
      </c>
      <c r="H60" s="4" t="n">
        <v>12.205</v>
      </c>
      <c r="I60" s="3" t="n">
        <v>23005</v>
      </c>
      <c r="J60" s="3" t="n">
        <v>20</v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3" t="n">
        <v>2358</v>
      </c>
      <c r="E61" s="4" t="n">
        <v>1.1366</v>
      </c>
      <c r="F61" s="4" t="n">
        <v>158.32</v>
      </c>
      <c r="G61" s="4" t="n">
        <v>276.4095</v>
      </c>
      <c r="H61" s="4" t="n">
        <v>13.1624</v>
      </c>
      <c r="I61" s="3" t="n">
        <v>24319</v>
      </c>
      <c r="J61" s="3" t="n">
        <v>21</v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3" t="n">
        <v>2354</v>
      </c>
      <c r="E62" s="4" t="n">
        <v>0.9625</v>
      </c>
      <c r="F62" s="4" t="n">
        <v>136.25</v>
      </c>
      <c r="G62" s="4" t="n">
        <v>259.8133</v>
      </c>
      <c r="H62" s="4" t="n">
        <v>13.6744</v>
      </c>
      <c r="I62" s="3" t="n">
        <v>26994</v>
      </c>
      <c r="J62" s="3" t="n">
        <v>19</v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3" t="n">
        <v>2436</v>
      </c>
      <c r="E63" s="4" t="n">
        <v>1.2311</v>
      </c>
      <c r="F63" s="4" t="n">
        <v>187.05</v>
      </c>
      <c r="G63" s="4" t="n">
        <v>305.8161</v>
      </c>
      <c r="H63" s="4" t="n">
        <v>14.5627</v>
      </c>
      <c r="I63" s="3" t="n">
        <v>24842</v>
      </c>
      <c r="J63" s="3" t="n">
        <v>21</v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3" t="n">
        <v>2462</v>
      </c>
      <c r="E64" s="4" t="n">
        <v>1.3019</v>
      </c>
      <c r="F64" s="4" t="n">
        <v>193.75</v>
      </c>
      <c r="G64" s="4" t="n">
        <v>308.9813</v>
      </c>
      <c r="H64" s="4" t="n">
        <v>13.434</v>
      </c>
      <c r="I64" s="3" t="n">
        <v>23733</v>
      </c>
      <c r="J64" s="3" t="n">
        <v>23</v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3" t="n">
        <v>2329</v>
      </c>
      <c r="E65" s="4" t="n">
        <v>0.9533</v>
      </c>
      <c r="F65" s="4" t="n">
        <v>143.35</v>
      </c>
      <c r="G65" s="4" t="n">
        <v>234.6095</v>
      </c>
      <c r="H65" s="4" t="n">
        <v>12.3479</v>
      </c>
      <c r="I65" s="3" t="n">
        <v>24610</v>
      </c>
      <c r="J65" s="3" t="n">
        <v>19</v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3" t="n">
        <v>2329</v>
      </c>
      <c r="E66" s="4" t="n">
        <v>0.8506</v>
      </c>
      <c r="F66" s="4" t="n">
        <v>126.64</v>
      </c>
      <c r="G66" s="4" t="n">
        <v>202.6474</v>
      </c>
      <c r="H66" s="4" t="n">
        <v>10.1324</v>
      </c>
      <c r="I66" s="3" t="n">
        <v>23825</v>
      </c>
      <c r="J66" s="3" t="n">
        <v>20</v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3" t="n">
        <v>2185</v>
      </c>
      <c r="E67" s="4" t="n">
        <v>0.9621</v>
      </c>
      <c r="F67" s="4" t="n">
        <v>141.45</v>
      </c>
      <c r="G67" s="4" t="n">
        <v>208.2259</v>
      </c>
      <c r="H67" s="4" t="n">
        <v>10.4113</v>
      </c>
      <c r="I67" s="3" t="n">
        <v>21644</v>
      </c>
      <c r="J67" s="3" t="n">
        <v>20</v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3" t="n">
        <v>2260</v>
      </c>
      <c r="E68" s="4" t="n">
        <v>1.1836</v>
      </c>
      <c r="F68" s="4" t="n">
        <v>216.5</v>
      </c>
      <c r="G68" s="4" t="n">
        <v>225.1045</v>
      </c>
      <c r="H68" s="4" t="n">
        <v>10.7193</v>
      </c>
      <c r="I68" s="3" t="n">
        <v>19019</v>
      </c>
      <c r="J68" s="3" t="n">
        <v>21</v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3" t="n">
        <v>2379</v>
      </c>
      <c r="E69" s="4" t="n">
        <v>1.3885</v>
      </c>
      <c r="F69" s="4" t="n">
        <v>264.94</v>
      </c>
      <c r="G69" s="4" t="n">
        <v>249.3293</v>
      </c>
      <c r="H69" s="4" t="n">
        <v>11.8728</v>
      </c>
      <c r="I69" s="3" t="n">
        <v>17958</v>
      </c>
      <c r="J69" s="3" t="n">
        <v>21</v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3" t="n">
        <v>2461</v>
      </c>
      <c r="E70" s="4" t="n">
        <v>1.7267</v>
      </c>
      <c r="F70" s="4" t="n">
        <v>357.84</v>
      </c>
      <c r="G70" s="4" t="n">
        <v>329.7569</v>
      </c>
      <c r="H70" s="4" t="n">
        <v>14.3373</v>
      </c>
      <c r="I70" s="3" t="n">
        <v>19098</v>
      </c>
      <c r="J70" s="3" t="n">
        <v>23</v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3" t="n">
        <v>2504</v>
      </c>
      <c r="E71" s="4" t="n">
        <v>1.8096</v>
      </c>
      <c r="F71" s="4" t="n">
        <v>464.31</v>
      </c>
      <c r="G71" s="4" t="n">
        <v>363.3432</v>
      </c>
      <c r="H71" s="4" t="n">
        <v>18.1672</v>
      </c>
      <c r="I71" s="3" t="n">
        <v>20079</v>
      </c>
      <c r="J71" s="3" t="n">
        <v>20</v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3" t="n">
        <v>2500</v>
      </c>
      <c r="E72" s="4" t="n">
        <v>1.8037</v>
      </c>
      <c r="F72" s="4" t="n">
        <v>365.67</v>
      </c>
      <c r="G72" s="4" t="n">
        <v>446.9775</v>
      </c>
      <c r="H72" s="4" t="n">
        <v>20.3172</v>
      </c>
      <c r="I72" s="3" t="n">
        <v>24782</v>
      </c>
      <c r="J72" s="3" t="n">
        <v>22</v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3" t="n">
        <v>2434</v>
      </c>
      <c r="E73" s="4" t="n">
        <v>1.8944</v>
      </c>
      <c r="F73" s="4" t="n">
        <v>363.81</v>
      </c>
      <c r="G73" s="4" t="n">
        <v>526.3058</v>
      </c>
      <c r="H73" s="4" t="n">
        <v>22.8829</v>
      </c>
      <c r="I73" s="3" t="n">
        <v>27783</v>
      </c>
      <c r="J73" s="3" t="n">
        <v>23</v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3" t="n">
        <v>2443</v>
      </c>
      <c r="E74" s="4" t="n">
        <v>1.7564</v>
      </c>
      <c r="F74" s="4" t="n">
        <v>331.88</v>
      </c>
      <c r="G74" s="4" t="n">
        <v>450.2916</v>
      </c>
      <c r="H74" s="4" t="n">
        <v>22.5146</v>
      </c>
      <c r="I74" s="3" t="n">
        <v>25638</v>
      </c>
      <c r="J74" s="3" t="n">
        <v>20</v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3" t="n">
        <v>2583</v>
      </c>
      <c r="E75" s="4" t="n">
        <v>2.3286</v>
      </c>
      <c r="F75" s="4" t="n">
        <v>473.55</v>
      </c>
      <c r="G75" s="4" t="n">
        <v>548.1552</v>
      </c>
      <c r="H75" s="4" t="n">
        <v>24.9161</v>
      </c>
      <c r="I75" s="3" t="n">
        <v>23540</v>
      </c>
      <c r="J75" s="3" t="n">
        <v>22</v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3" t="n">
        <v>2572</v>
      </c>
      <c r="E76" s="4" t="n">
        <v>2.2347</v>
      </c>
      <c r="F76" s="4" t="n">
        <v>433.47</v>
      </c>
      <c r="G76" s="4" t="n">
        <v>656.2029</v>
      </c>
      <c r="H76" s="4" t="n">
        <v>31.2478</v>
      </c>
      <c r="I76" s="3" t="n">
        <v>29365</v>
      </c>
      <c r="J76" s="3" t="n">
        <v>21</v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3" t="n">
        <v>2503</v>
      </c>
      <c r="E77" s="4" t="n">
        <v>1.5793</v>
      </c>
      <c r="F77" s="4" t="n">
        <v>243.49</v>
      </c>
      <c r="G77" s="4" t="n">
        <v>514.6351</v>
      </c>
      <c r="H77" s="4" t="n">
        <v>27.0861</v>
      </c>
      <c r="I77" s="3" t="n">
        <v>32586</v>
      </c>
      <c r="J77" s="3" t="n">
        <v>19</v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3" t="n">
        <v>2513</v>
      </c>
      <c r="E78" s="4" t="n">
        <v>1.6121</v>
      </c>
      <c r="F78" s="4" t="n">
        <v>247.53</v>
      </c>
      <c r="G78" s="4" t="n">
        <v>507.8559</v>
      </c>
      <c r="H78" s="4" t="n">
        <v>23.0844</v>
      </c>
      <c r="I78" s="3" t="n">
        <v>31503</v>
      </c>
      <c r="J78" s="3" t="n">
        <v>22</v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3" t="n">
        <v>2445</v>
      </c>
      <c r="E79" s="4" t="n">
        <v>1.5631</v>
      </c>
      <c r="F79" s="4" t="n">
        <v>256.69</v>
      </c>
      <c r="G79" s="4" t="n">
        <v>448.6352</v>
      </c>
      <c r="H79" s="4" t="n">
        <v>22.4318</v>
      </c>
      <c r="I79" s="3" t="n">
        <v>28703</v>
      </c>
      <c r="J79" s="3" t="n">
        <v>20</v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3" t="n">
        <v>2417</v>
      </c>
      <c r="E80" s="4" t="n">
        <v>1.7005</v>
      </c>
      <c r="F80" s="4" t="n">
        <v>259.07</v>
      </c>
      <c r="G80" s="4" t="n">
        <v>459.3756</v>
      </c>
      <c r="H80" s="4" t="n">
        <v>21.875</v>
      </c>
      <c r="I80" s="3" t="n">
        <v>27015</v>
      </c>
      <c r="J80" s="3" t="n">
        <v>21</v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3" t="n">
        <v>2386</v>
      </c>
      <c r="E81" s="4" t="n">
        <v>1.4859</v>
      </c>
      <c r="F81" s="4" t="n">
        <v>191.22</v>
      </c>
      <c r="G81" s="4" t="n">
        <v>369.9004</v>
      </c>
      <c r="H81" s="4" t="n">
        <v>16.8137</v>
      </c>
      <c r="I81" s="3" t="n">
        <v>24895</v>
      </c>
      <c r="J81" s="3" t="n">
        <v>22</v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3" t="n">
        <v>2440</v>
      </c>
      <c r="E82" s="4" t="n">
        <v>1.7468</v>
      </c>
      <c r="F82" s="4" t="n">
        <v>286.24</v>
      </c>
      <c r="G82" s="4" t="n">
        <v>394.4869</v>
      </c>
      <c r="H82" s="4" t="n">
        <v>17.9312</v>
      </c>
      <c r="I82" s="3" t="n">
        <v>22584</v>
      </c>
      <c r="J82" s="3" t="n">
        <v>22</v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3" t="n">
        <v>2486</v>
      </c>
      <c r="E83" s="4" t="n">
        <v>1.7764</v>
      </c>
      <c r="F83" s="4" t="n">
        <v>304.46</v>
      </c>
      <c r="G83" s="4" t="n">
        <v>381.9459</v>
      </c>
      <c r="H83" s="4" t="n">
        <v>17.3612</v>
      </c>
      <c r="I83" s="3" t="n">
        <v>21501</v>
      </c>
      <c r="J83" s="3" t="n">
        <v>22</v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3" t="n">
        <v>2554</v>
      </c>
      <c r="E84" s="4" t="n">
        <v>2.0519</v>
      </c>
      <c r="F84" s="4" t="n">
        <v>369.55</v>
      </c>
      <c r="G84" s="4" t="n">
        <v>396.0301</v>
      </c>
      <c r="H84" s="4" t="n">
        <v>18.0014</v>
      </c>
      <c r="I84" s="3" t="n">
        <v>19301</v>
      </c>
      <c r="J84" s="3" t="n">
        <v>22</v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3" t="n">
        <v>2587</v>
      </c>
      <c r="E85" s="4" t="n">
        <v>1.7351</v>
      </c>
      <c r="F85" s="4" t="n">
        <v>293.09</v>
      </c>
      <c r="G85" s="4" t="n">
        <v>346.0827</v>
      </c>
      <c r="H85" s="4" t="n">
        <v>17.3041</v>
      </c>
      <c r="I85" s="3" t="n">
        <v>19947</v>
      </c>
      <c r="J85" s="3" t="n">
        <v>20</v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3" t="n">
        <v>2628</v>
      </c>
      <c r="E86" s="4" t="n">
        <v>2.0071</v>
      </c>
      <c r="F86" s="4" t="n">
        <v>423.45</v>
      </c>
      <c r="G86" s="4" t="n">
        <v>357.4227</v>
      </c>
      <c r="H86" s="4" t="n">
        <v>17.8711</v>
      </c>
      <c r="I86" s="3" t="n">
        <v>17808</v>
      </c>
      <c r="J86" s="3" t="n">
        <v>20</v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3" t="n">
        <v>2677</v>
      </c>
      <c r="E87" s="4" t="n">
        <v>2.7405</v>
      </c>
      <c r="F87" s="4" t="n">
        <v>626.46</v>
      </c>
      <c r="G87" s="4" t="n">
        <v>502.2567</v>
      </c>
      <c r="H87" s="4" t="n">
        <v>21.8372</v>
      </c>
      <c r="I87" s="3" t="n">
        <v>18328</v>
      </c>
      <c r="J87" s="3" t="n">
        <v>23</v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3" t="n">
        <v>2644</v>
      </c>
      <c r="E88" s="4" t="n">
        <v>2.1997</v>
      </c>
      <c r="F88" s="4" t="n">
        <v>535.2</v>
      </c>
      <c r="G88" s="4" t="n">
        <v>438.8807</v>
      </c>
      <c r="H88" s="4" t="n">
        <v>23.099</v>
      </c>
      <c r="I88" s="3" t="n">
        <v>19952</v>
      </c>
      <c r="J88" s="3" t="n">
        <v>19</v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3" t="n">
        <v>2664</v>
      </c>
      <c r="E89" s="4" t="n">
        <v>2.5111</v>
      </c>
      <c r="F89" s="4" t="n">
        <v>616.26</v>
      </c>
      <c r="G89" s="4" t="n">
        <v>496.8643</v>
      </c>
      <c r="H89" s="4" t="n">
        <v>24.8432</v>
      </c>
      <c r="I89" s="3" t="n">
        <v>19787</v>
      </c>
      <c r="J89" s="3" t="n">
        <v>20</v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3" t="n">
        <v>2701</v>
      </c>
      <c r="E90" s="4" t="n">
        <v>2.2229</v>
      </c>
      <c r="F90" s="4" t="n">
        <v>610.05</v>
      </c>
      <c r="G90" s="4" t="n">
        <v>595.2753</v>
      </c>
      <c r="H90" s="4" t="n">
        <v>27.058</v>
      </c>
      <c r="I90" s="3" t="n">
        <v>26779</v>
      </c>
      <c r="J90" s="3" t="n">
        <v>22</v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3" t="n">
        <v>2686</v>
      </c>
      <c r="E91" s="4" t="n">
        <v>1.3596</v>
      </c>
      <c r="F91" s="4" t="n">
        <v>333.71</v>
      </c>
      <c r="G91" s="4" t="n">
        <v>378.088</v>
      </c>
      <c r="H91" s="4" t="n">
        <v>18.9044</v>
      </c>
      <c r="I91" s="3" t="n">
        <v>27809</v>
      </c>
      <c r="J91" s="3" t="n">
        <v>20</v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3" t="n">
        <v>2708</v>
      </c>
      <c r="E92" s="4" t="n">
        <v>1.7003</v>
      </c>
      <c r="F92" s="4" t="n">
        <v>433.71</v>
      </c>
      <c r="G92" s="4" t="n">
        <v>433.5935</v>
      </c>
      <c r="H92" s="4" t="n">
        <v>19.7088</v>
      </c>
      <c r="I92" s="3" t="n">
        <v>25501</v>
      </c>
      <c r="J92" s="3" t="n">
        <v>22</v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3" t="n">
        <v>2772</v>
      </c>
      <c r="E93" s="4" t="n">
        <v>2.0404</v>
      </c>
      <c r="F93" s="4" t="n">
        <v>633.09</v>
      </c>
      <c r="G93" s="4" t="n">
        <v>584.7891</v>
      </c>
      <c r="H93" s="4" t="n">
        <v>25.4256</v>
      </c>
      <c r="I93" s="3" t="n">
        <v>28662</v>
      </c>
      <c r="J93" s="3" t="n">
        <v>23</v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3" t="n">
        <v>2788</v>
      </c>
      <c r="E94" s="4" t="n">
        <v>2.1887</v>
      </c>
      <c r="F94" s="4" t="n">
        <v>677.21</v>
      </c>
      <c r="G94" s="4" t="n">
        <v>618.9897</v>
      </c>
      <c r="H94" s="4" t="n">
        <v>30.9495</v>
      </c>
      <c r="I94" s="3" t="n">
        <v>28281</v>
      </c>
      <c r="J94" s="3" t="n">
        <v>20</v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3" t="n">
        <v>2792</v>
      </c>
      <c r="E95" s="4" t="n">
        <v>2.7163</v>
      </c>
      <c r="F95" s="4" t="n">
        <v>1015.04</v>
      </c>
      <c r="G95" s="4" t="n">
        <v>759.3279</v>
      </c>
      <c r="H95" s="4" t="n">
        <v>34.5149</v>
      </c>
      <c r="I95" s="3" t="n">
        <v>27955</v>
      </c>
      <c r="J95" s="3" t="n">
        <v>22</v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3" t="n">
        <v>2796</v>
      </c>
      <c r="E96" s="4" t="n">
        <v>2.8434</v>
      </c>
      <c r="F96" s="4" t="n">
        <v>870.55</v>
      </c>
      <c r="G96" s="4" t="n">
        <v>812.913</v>
      </c>
      <c r="H96" s="4" t="n">
        <v>38.7101</v>
      </c>
      <c r="I96" s="3" t="n">
        <v>28590</v>
      </c>
      <c r="J96" s="3" t="n">
        <v>21</v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3" t="n">
        <v>2725</v>
      </c>
      <c r="E97" s="4" t="n">
        <v>1.8347</v>
      </c>
      <c r="F97" s="4" t="n">
        <v>364.96</v>
      </c>
      <c r="G97" s="4" t="n">
        <v>591.0205999999999</v>
      </c>
      <c r="H97" s="4" t="n">
        <v>29.551</v>
      </c>
      <c r="I97" s="3" t="n">
        <v>32214</v>
      </c>
      <c r="J97" s="3" t="n">
        <v>20</v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3" t="n">
        <v>2733</v>
      </c>
      <c r="E98" s="4" t="n">
        <v>1.7145</v>
      </c>
      <c r="F98" s="4" t="n">
        <v>319.42</v>
      </c>
      <c r="G98" s="4" t="n">
        <v>526.9435999999999</v>
      </c>
      <c r="H98" s="4" t="n">
        <v>26.3472</v>
      </c>
      <c r="I98" s="3" t="n">
        <v>30735</v>
      </c>
      <c r="J98" s="3" t="n">
        <v>20</v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3" t="n">
        <v>2739</v>
      </c>
      <c r="E99" s="4" t="n">
        <v>2.3403</v>
      </c>
      <c r="F99" s="4" t="n">
        <v>452.18</v>
      </c>
      <c r="G99" s="4" t="n">
        <v>773.5608</v>
      </c>
      <c r="H99" s="4" t="n">
        <v>35.1619</v>
      </c>
      <c r="I99" s="3" t="n">
        <v>33054</v>
      </c>
      <c r="J99" s="3" t="n">
        <v>22</v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3" t="n">
        <v>2750</v>
      </c>
      <c r="E100" s="4" t="n">
        <v>2.5009</v>
      </c>
      <c r="F100" s="4" t="n">
        <v>491.36</v>
      </c>
      <c r="G100" s="4" t="n">
        <v>793.2664</v>
      </c>
      <c r="H100" s="4" t="n">
        <v>39.6633</v>
      </c>
      <c r="I100" s="3" t="n">
        <v>31720</v>
      </c>
      <c r="J100" s="3" t="n">
        <v>20</v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3" t="n">
        <v>2760</v>
      </c>
      <c r="E101" s="4" t="n">
        <v>2.2216</v>
      </c>
      <c r="F101" s="4" t="n">
        <v>421.08</v>
      </c>
      <c r="G101" s="4" t="n">
        <v>700.7024</v>
      </c>
      <c r="H101" s="4" t="n">
        <v>36.8791</v>
      </c>
      <c r="I101" s="3" t="n">
        <v>31541</v>
      </c>
      <c r="J101" s="3" t="n">
        <v>19</v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3" t="n">
        <v>2791</v>
      </c>
      <c r="E102" s="4" t="n">
        <v>2.9399</v>
      </c>
      <c r="F102" s="4" t="n">
        <v>632.25</v>
      </c>
      <c r="G102" s="4" t="n">
        <v>1187.652</v>
      </c>
      <c r="H102" s="4" t="n">
        <v>53.9842</v>
      </c>
      <c r="I102" s="3" t="n">
        <v>40398</v>
      </c>
      <c r="J102" s="3" t="n">
        <v>22</v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3" t="n">
        <v>2808</v>
      </c>
      <c r="E103" s="4" t="n">
        <v>2.5696</v>
      </c>
      <c r="F103" s="4" t="n">
        <v>478.79</v>
      </c>
      <c r="G103" s="4" t="n">
        <v>874.8732</v>
      </c>
      <c r="H103" s="4" t="n">
        <v>48.6041</v>
      </c>
      <c r="I103" s="3" t="n">
        <v>34048</v>
      </c>
      <c r="J103" s="3" t="n">
        <v>18</v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3" t="n">
        <v>2817</v>
      </c>
      <c r="E104" s="4" t="n">
        <v>3.1078</v>
      </c>
      <c r="F104" s="4" t="n">
        <v>584.83</v>
      </c>
      <c r="G104" s="4" t="n">
        <v>958.197</v>
      </c>
      <c r="H104" s="4" t="n">
        <v>43.5544</v>
      </c>
      <c r="I104" s="3" t="n">
        <v>30832</v>
      </c>
      <c r="J104" s="3" t="n">
        <v>22</v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3" t="n">
        <v>2786</v>
      </c>
      <c r="E105" s="4" t="n">
        <v>2.7476</v>
      </c>
      <c r="F105" s="4" t="n">
        <v>363.91</v>
      </c>
      <c r="G105" s="4" t="n">
        <v>720.1336</v>
      </c>
      <c r="H105" s="4" t="n">
        <v>31.3102</v>
      </c>
      <c r="I105" s="3" t="n">
        <v>26210</v>
      </c>
      <c r="J105" s="3" t="n">
        <v>23</v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3" t="n">
        <v>2779</v>
      </c>
      <c r="E106" s="4" t="n">
        <v>2.1709</v>
      </c>
      <c r="F106" s="4" t="n">
        <v>256.82</v>
      </c>
      <c r="G106" s="4" t="n">
        <v>546.9787</v>
      </c>
      <c r="H106" s="4" t="n">
        <v>26.0466</v>
      </c>
      <c r="I106" s="3" t="n">
        <v>25196</v>
      </c>
      <c r="J106" s="3" t="n">
        <v>21</v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3" t="n">
        <v>2807</v>
      </c>
      <c r="E107" s="4" t="n">
        <v>2.6351</v>
      </c>
      <c r="F107" s="4" t="n">
        <v>364.06</v>
      </c>
      <c r="G107" s="4" t="n">
        <v>630.8419</v>
      </c>
      <c r="H107" s="4" t="n">
        <v>28.6746</v>
      </c>
      <c r="I107" s="3" t="n">
        <v>23940</v>
      </c>
      <c r="J107" s="3" t="n">
        <v>22</v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3" t="n">
        <v>2844</v>
      </c>
      <c r="E108" s="4" t="n">
        <v>2.8187</v>
      </c>
      <c r="F108" s="4" t="n">
        <v>428.07</v>
      </c>
      <c r="G108" s="4" t="n">
        <v>716.2883</v>
      </c>
      <c r="H108" s="4" t="n">
        <v>34.109</v>
      </c>
      <c r="I108" s="3" t="n">
        <v>25413</v>
      </c>
      <c r="J108" s="3" t="n">
        <v>21</v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3" t="n">
        <v>2804</v>
      </c>
      <c r="E109" s="4" t="n">
        <v>2.6362</v>
      </c>
      <c r="F109" s="4" t="n">
        <v>426.78</v>
      </c>
      <c r="G109" s="4" t="n">
        <v>696.2673</v>
      </c>
      <c r="H109" s="4" t="n">
        <v>34.8134</v>
      </c>
      <c r="I109" s="3" t="n">
        <v>26413</v>
      </c>
      <c r="J109" s="3" t="n">
        <v>20</v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3" t="n">
        <v>2828</v>
      </c>
      <c r="E110" s="4" t="n">
        <v>3.4131</v>
      </c>
      <c r="F110" s="4" t="n">
        <v>521.63</v>
      </c>
      <c r="G110" s="4" t="n">
        <v>1018.3955</v>
      </c>
      <c r="H110" s="4" t="n">
        <v>46.2907</v>
      </c>
      <c r="I110" s="3" t="n">
        <v>29838</v>
      </c>
      <c r="J110" s="3" t="n">
        <v>22</v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3" t="n">
        <v>2850</v>
      </c>
      <c r="E111" s="4" t="n">
        <v>3.0633</v>
      </c>
      <c r="F111" s="4" t="n">
        <v>447.38</v>
      </c>
      <c r="G111" s="4" t="n">
        <v>855.1215</v>
      </c>
      <c r="H111" s="4" t="n">
        <v>42.7561</v>
      </c>
      <c r="I111" s="3" t="n">
        <v>27916</v>
      </c>
      <c r="J111" s="3" t="n">
        <v>20</v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3" t="n">
        <v>2866</v>
      </c>
      <c r="E112" s="4" t="n">
        <v>3.2778</v>
      </c>
      <c r="F112" s="4" t="n">
        <v>680.53</v>
      </c>
      <c r="G112" s="4" t="n">
        <v>876.0819</v>
      </c>
      <c r="H112" s="4" t="n">
        <v>43.8041</v>
      </c>
      <c r="I112" s="3" t="n">
        <v>26729</v>
      </c>
      <c r="J112" s="3" t="n">
        <v>20</v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3" t="n">
        <v>2886</v>
      </c>
      <c r="E113" s="4" t="n">
        <v>3.1966</v>
      </c>
      <c r="F113" s="4" t="n">
        <v>595.76</v>
      </c>
      <c r="G113" s="4" t="n">
        <v>888.437</v>
      </c>
      <c r="H113" s="4" t="n">
        <v>46.7598</v>
      </c>
      <c r="I113" s="3" t="n">
        <v>27794</v>
      </c>
      <c r="J113" s="3" t="n">
        <v>19</v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3" t="n">
        <v>2917</v>
      </c>
      <c r="E114" s="4" t="n">
        <v>2.9856</v>
      </c>
      <c r="F114" s="4" t="n">
        <v>459.24</v>
      </c>
      <c r="G114" s="4" t="n">
        <v>780.2752</v>
      </c>
      <c r="H114" s="4" t="n">
        <v>37.156</v>
      </c>
      <c r="I114" s="3" t="n">
        <v>26136</v>
      </c>
      <c r="J114" s="3" t="n">
        <v>21</v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3" t="n">
        <v>2907</v>
      </c>
      <c r="E115" s="4" t="n">
        <v>2.9876</v>
      </c>
      <c r="F115" s="4" t="n">
        <v>442.7</v>
      </c>
      <c r="G115" s="4" t="n">
        <v>786.9279</v>
      </c>
      <c r="H115" s="4" t="n">
        <v>39.3464</v>
      </c>
      <c r="I115" s="3" t="n">
        <v>26340</v>
      </c>
      <c r="J115" s="3" t="n">
        <v>20</v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3" t="n">
        <v>2923</v>
      </c>
      <c r="E116" s="4" t="n">
        <v>3.5837</v>
      </c>
      <c r="F116" s="4" t="n">
        <v>574.78</v>
      </c>
      <c r="G116" s="4" t="n">
        <v>988.2067</v>
      </c>
      <c r="H116" s="4" t="n">
        <v>47.0575</v>
      </c>
      <c r="I116" s="3" t="n">
        <v>27576</v>
      </c>
      <c r="J116" s="3" t="n">
        <v>21</v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3" t="n">
        <v>2940</v>
      </c>
      <c r="E117" s="4" t="n">
        <v>3.3781</v>
      </c>
      <c r="F117" s="4" t="n">
        <v>518.4299999999999</v>
      </c>
      <c r="G117" s="4" t="n">
        <v>952.6835</v>
      </c>
      <c r="H117" s="4" t="n">
        <v>45.3659</v>
      </c>
      <c r="I117" s="3" t="n">
        <v>28202</v>
      </c>
      <c r="J117" s="3" t="n">
        <v>21</v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3" t="n">
        <v>2978</v>
      </c>
      <c r="E118" s="4" t="n">
        <v>4.0994</v>
      </c>
      <c r="F118" s="4" t="n">
        <v>741.11</v>
      </c>
      <c r="G118" s="4" t="n">
        <v>1250.537</v>
      </c>
      <c r="H118" s="4" t="n">
        <v>56.8426</v>
      </c>
      <c r="I118" s="3" t="n">
        <v>30506</v>
      </c>
      <c r="J118" s="3" t="n">
        <v>22</v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3" t="n">
        <v>2999</v>
      </c>
      <c r="E119" s="4" t="n">
        <v>3.8639</v>
      </c>
      <c r="F119" s="4" t="n">
        <v>762.61</v>
      </c>
      <c r="G119" s="4" t="n">
        <v>1060.4142</v>
      </c>
      <c r="H119" s="4" t="n">
        <v>48.2006</v>
      </c>
      <c r="I119" s="3" t="n">
        <v>27444</v>
      </c>
      <c r="J119" s="3" t="n">
        <v>22</v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3" t="n">
        <v>3001</v>
      </c>
      <c r="E120" s="4" t="n">
        <v>4.2834</v>
      </c>
      <c r="F120" s="4" t="n">
        <v>1001.64</v>
      </c>
      <c r="G120" s="4" t="n">
        <v>1231.4386</v>
      </c>
      <c r="H120" s="4" t="n">
        <v>61.5719</v>
      </c>
      <c r="I120" s="3" t="n">
        <v>28750</v>
      </c>
      <c r="J120" s="3" t="n">
        <v>20</v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3" t="n">
        <v>3004</v>
      </c>
      <c r="E121" s="4" t="n">
        <v>5.5636</v>
      </c>
      <c r="F121" s="4" t="n">
        <v>1033.3</v>
      </c>
      <c r="G121" s="4" t="n">
        <v>1990.8872</v>
      </c>
      <c r="H121" s="4" t="n">
        <v>90.4949</v>
      </c>
      <c r="I121" s="3" t="n">
        <v>35785</v>
      </c>
      <c r="J121" s="3" t="n">
        <v>22</v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3" t="n">
        <v>3013</v>
      </c>
      <c r="E122" s="4" t="n">
        <v>5.3358</v>
      </c>
      <c r="F122" s="4" t="n">
        <v>1058</v>
      </c>
      <c r="G122" s="4" t="n">
        <v>1706.2269</v>
      </c>
      <c r="H122" s="4" t="n">
        <v>77.5558</v>
      </c>
      <c r="I122" s="3" t="n">
        <v>31977</v>
      </c>
      <c r="J122" s="3" t="n">
        <v>22</v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3" t="n">
        <v>3041</v>
      </c>
      <c r="E123" s="4" t="n">
        <v>5.4717</v>
      </c>
      <c r="F123" s="4" t="n">
        <v>1289.05</v>
      </c>
      <c r="G123" s="4" t="n">
        <v>1635.1568</v>
      </c>
      <c r="H123" s="4" t="n">
        <v>86.0609</v>
      </c>
      <c r="I123" s="3" t="n">
        <v>29885</v>
      </c>
      <c r="J123" s="3" t="n">
        <v>19</v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3" t="n">
        <v>3052</v>
      </c>
      <c r="E124" s="4" t="n">
        <v>5.8327</v>
      </c>
      <c r="F124" s="4" t="n">
        <v>1180.5</v>
      </c>
      <c r="G124" s="4" t="n">
        <v>1856.4183</v>
      </c>
      <c r="H124" s="4" t="n">
        <v>80.71380000000001</v>
      </c>
      <c r="I124" s="3" t="n">
        <v>31828</v>
      </c>
      <c r="J124" s="3" t="n">
        <v>23</v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3" t="n">
        <v>3044</v>
      </c>
      <c r="E125" s="4" t="n">
        <v>4.5716</v>
      </c>
      <c r="F125" s="4" t="n">
        <v>660.61</v>
      </c>
      <c r="G125" s="4" t="n">
        <v>1219.746</v>
      </c>
      <c r="H125" s="4" t="n">
        <v>58.0831</v>
      </c>
      <c r="I125" s="3" t="n">
        <v>26681</v>
      </c>
      <c r="J125" s="3" t="n">
        <v>21</v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3" t="n">
        <v>3032</v>
      </c>
      <c r="E126" s="4" t="n">
        <v>4.0626</v>
      </c>
      <c r="F126" s="4" t="n">
        <v>597.3200000000001</v>
      </c>
      <c r="G126" s="4" t="n">
        <v>1109.911</v>
      </c>
      <c r="H126" s="4" t="n">
        <v>61.6617</v>
      </c>
      <c r="I126" s="3" t="n">
        <v>27321</v>
      </c>
      <c r="J126" s="3" t="n">
        <v>18</v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3" t="n">
        <v>3010</v>
      </c>
      <c r="E127" s="4" t="n">
        <v>4.748</v>
      </c>
      <c r="F127" s="4" t="n">
        <v>676.72</v>
      </c>
      <c r="G127" s="4" t="n">
        <v>1154.543</v>
      </c>
      <c r="H127" s="4" t="n">
        <v>57.7272</v>
      </c>
      <c r="I127" s="3" t="n">
        <v>24317</v>
      </c>
      <c r="J127" s="3" t="n">
        <v>20</v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3" t="n">
        <v>3043</v>
      </c>
      <c r="E128" s="4" t="n">
        <v>4.8767</v>
      </c>
      <c r="F128" s="4" t="n">
        <v>728.92</v>
      </c>
      <c r="G128" s="4" t="n">
        <v>1216.7009</v>
      </c>
      <c r="H128" s="4" t="n">
        <v>60.835</v>
      </c>
      <c r="I128" s="3" t="n">
        <v>24950</v>
      </c>
      <c r="J128" s="3" t="n">
        <v>20</v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3" t="n">
        <v>3060</v>
      </c>
      <c r="E129" s="4" t="n">
        <v>4.7834</v>
      </c>
      <c r="F129" s="4" t="n">
        <v>609.4299999999999</v>
      </c>
      <c r="G129" s="4" t="n">
        <v>1136.0461</v>
      </c>
      <c r="H129" s="4" t="n">
        <v>54.0974</v>
      </c>
      <c r="I129" s="3" t="n">
        <v>23750</v>
      </c>
      <c r="J129" s="3" t="n">
        <v>21</v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3" t="n">
        <v>3064</v>
      </c>
      <c r="E130" s="4" t="n">
        <v>5.5716</v>
      </c>
      <c r="F130" s="4" t="n">
        <v>751.14</v>
      </c>
      <c r="G130" s="4" t="n">
        <v>1239.1559</v>
      </c>
      <c r="H130" s="4" t="n">
        <v>53.8763</v>
      </c>
      <c r="I130" s="3" t="n">
        <v>22241</v>
      </c>
      <c r="J130" s="3" t="n">
        <v>23</v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3" t="n">
        <v>3053</v>
      </c>
      <c r="E131" s="4" t="n">
        <v>4.4642</v>
      </c>
      <c r="F131" s="4" t="n">
        <v>604.53</v>
      </c>
      <c r="G131" s="4" t="n">
        <v>999.2393</v>
      </c>
      <c r="H131" s="4" t="n">
        <v>49.962</v>
      </c>
      <c r="I131" s="3" t="n">
        <v>22384</v>
      </c>
      <c r="J131" s="3" t="n">
        <v>20</v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3" t="n">
        <v>3082</v>
      </c>
      <c r="E132" s="4" t="n">
        <v>4.5138</v>
      </c>
      <c r="F132" s="4" t="n">
        <v>548.8200000000001</v>
      </c>
      <c r="G132" s="4" t="n">
        <v>1080.8995</v>
      </c>
      <c r="H132" s="4" t="n">
        <v>51.4714</v>
      </c>
      <c r="I132" s="3" t="n">
        <v>23947</v>
      </c>
      <c r="J132" s="3" t="n">
        <v>21</v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3" t="n">
        <v>3047</v>
      </c>
      <c r="E133" s="4" t="n">
        <v>4.3082</v>
      </c>
      <c r="F133" s="4" t="n">
        <v>520.3099999999999</v>
      </c>
      <c r="G133" s="4" t="n">
        <v>782.2721</v>
      </c>
      <c r="H133" s="4" t="n">
        <v>39.1136</v>
      </c>
      <c r="I133" s="3" t="n">
        <v>18158</v>
      </c>
      <c r="J133" s="3" t="n">
        <v>20</v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3" t="n">
        <v>3032</v>
      </c>
      <c r="E134" s="4" t="n">
        <v>3.9848</v>
      </c>
      <c r="F134" s="4" t="n">
        <v>503.57</v>
      </c>
      <c r="G134" s="4" t="n">
        <v>636.9362</v>
      </c>
      <c r="H134" s="4" t="n">
        <v>35.3853</v>
      </c>
      <c r="I134" s="3" t="n">
        <v>15985</v>
      </c>
      <c r="J134" s="3" t="n">
        <v>18</v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3" t="n">
        <v>3031</v>
      </c>
      <c r="E135" s="4" t="n">
        <v>4.8429</v>
      </c>
      <c r="F135" s="4" t="n">
        <v>676.08</v>
      </c>
      <c r="G135" s="4" t="n">
        <v>808.6579</v>
      </c>
      <c r="H135" s="4" t="n">
        <v>38.5075</v>
      </c>
      <c r="I135" s="3" t="n">
        <v>16698</v>
      </c>
      <c r="J135" s="3" t="n">
        <v>21</v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3" t="n">
        <v>3022</v>
      </c>
      <c r="E136" s="4" t="n">
        <v>4.494</v>
      </c>
      <c r="F136" s="4" t="n">
        <v>673.83</v>
      </c>
      <c r="G136" s="4" t="n">
        <v>705.095</v>
      </c>
      <c r="H136" s="4" t="n">
        <v>35.2548</v>
      </c>
      <c r="I136" s="3" t="n">
        <v>15690</v>
      </c>
      <c r="J136" s="3" t="n">
        <v>20</v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3" t="n">
        <v>3050</v>
      </c>
      <c r="E137" s="4" t="n">
        <v>3.5291</v>
      </c>
      <c r="F137" s="4" t="n">
        <v>520.17</v>
      </c>
      <c r="G137" s="4" t="n">
        <v>543.2974</v>
      </c>
      <c r="H137" s="4" t="n">
        <v>28.5946</v>
      </c>
      <c r="I137" s="3" t="n">
        <v>15395</v>
      </c>
      <c r="J137" s="3" t="n">
        <v>19</v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3" t="n">
        <v>3070</v>
      </c>
      <c r="E138" s="4" t="n">
        <v>3.9631</v>
      </c>
      <c r="F138" s="4" t="n">
        <v>582.48</v>
      </c>
      <c r="G138" s="4" t="n">
        <v>697.8944</v>
      </c>
      <c r="H138" s="4" t="n">
        <v>34.8947</v>
      </c>
      <c r="I138" s="3" t="n">
        <v>17610</v>
      </c>
      <c r="J138" s="3" t="n">
        <v>20</v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3" t="n">
        <v>3058</v>
      </c>
      <c r="E139" s="4" t="n">
        <v>4.6889</v>
      </c>
      <c r="F139" s="4" t="n">
        <v>847.27</v>
      </c>
      <c r="G139" s="4" t="n">
        <v>889.4292</v>
      </c>
      <c r="H139" s="4" t="n">
        <v>52.3194</v>
      </c>
      <c r="I139" s="3" t="n">
        <v>18969</v>
      </c>
      <c r="J139" s="3" t="n">
        <v>17</v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3" t="n">
        <v>3092</v>
      </c>
      <c r="E140" s="4" t="n">
        <v>5.5224</v>
      </c>
      <c r="F140" s="4" t="n">
        <v>1182.86</v>
      </c>
      <c r="G140" s="4" t="n">
        <v>1285.417</v>
      </c>
      <c r="H140" s="4" t="n">
        <v>64.2709</v>
      </c>
      <c r="I140" s="3" t="n">
        <v>23277</v>
      </c>
      <c r="J140" s="3" t="n">
        <v>20</v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3" t="n">
        <v>3110</v>
      </c>
      <c r="E141" s="4" t="n">
        <v>6.5575</v>
      </c>
      <c r="F141" s="4" t="n">
        <v>1280.58</v>
      </c>
      <c r="G141" s="4" t="n">
        <v>1591.9472</v>
      </c>
      <c r="H141" s="4" t="n">
        <v>72.3612</v>
      </c>
      <c r="I141" s="3" t="n">
        <v>24277</v>
      </c>
      <c r="J141" s="3" t="n">
        <v>22</v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3" t="n">
        <v>3106</v>
      </c>
      <c r="E142" s="4" t="n">
        <v>5.9463</v>
      </c>
      <c r="F142" s="4" t="n">
        <v>969.55</v>
      </c>
      <c r="G142" s="4" t="n">
        <v>1389.8624</v>
      </c>
      <c r="H142" s="4" t="n">
        <v>60.4288</v>
      </c>
      <c r="I142" s="3" t="n">
        <v>23374</v>
      </c>
      <c r="J142" s="3" t="n">
        <v>23</v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3" t="n">
        <v>3132</v>
      </c>
      <c r="E143" s="4" t="n">
        <v>5.3362</v>
      </c>
      <c r="F143" s="4" t="n">
        <v>958.99</v>
      </c>
      <c r="G143" s="4" t="n">
        <v>1223.1929</v>
      </c>
      <c r="H143" s="4" t="n">
        <v>58.2473</v>
      </c>
      <c r="I143" s="3" t="n">
        <v>22923</v>
      </c>
      <c r="J143" s="3" t="n">
        <v>21</v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3" t="n">
        <v>3168</v>
      </c>
      <c r="E144" s="4" t="n">
        <v>5.1062</v>
      </c>
      <c r="F144" s="4" t="n">
        <v>1067.63</v>
      </c>
      <c r="G144" s="4" t="n">
        <v>1242.199</v>
      </c>
      <c r="H144" s="4" t="n">
        <v>62.11</v>
      </c>
      <c r="I144" s="3" t="n">
        <v>24328</v>
      </c>
      <c r="J144" s="3" t="n">
        <v>20</v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3" t="n">
        <v>3177</v>
      </c>
      <c r="E145" s="4" t="n">
        <v>4.7107</v>
      </c>
      <c r="F145" s="4" t="n">
        <v>901.97</v>
      </c>
      <c r="G145" s="4" t="n">
        <v>1140.0697</v>
      </c>
      <c r="H145" s="4" t="n">
        <v>57.0035</v>
      </c>
      <c r="I145" s="3" t="n">
        <v>24202</v>
      </c>
      <c r="J145" s="3" t="n">
        <v>20</v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3" t="n">
        <v>3194</v>
      </c>
      <c r="E146" s="4" t="n">
        <v>4.5546</v>
      </c>
      <c r="F146" s="4" t="n">
        <v>778.66</v>
      </c>
      <c r="G146" s="4" t="n">
        <v>1051.42</v>
      </c>
      <c r="H146" s="4" t="n">
        <v>52.571</v>
      </c>
      <c r="I146" s="3" t="n">
        <v>23085</v>
      </c>
      <c r="J146" s="3" t="n">
        <v>20</v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3" t="n">
        <v>3202</v>
      </c>
      <c r="E147" s="4" t="n">
        <v>4.5214</v>
      </c>
      <c r="F147" s="4" t="n">
        <v>827.6900000000001</v>
      </c>
      <c r="G147" s="4" t="n">
        <v>980.8249</v>
      </c>
      <c r="H147" s="4" t="n">
        <v>46.7059</v>
      </c>
      <c r="I147" s="3" t="n">
        <v>21693</v>
      </c>
      <c r="J147" s="3" t="n">
        <v>21</v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3" t="n">
        <v>3222</v>
      </c>
      <c r="E148" s="4" t="n">
        <v>5.2783</v>
      </c>
      <c r="F148" s="4" t="n">
        <v>1071.15</v>
      </c>
      <c r="G148" s="4" t="n">
        <v>1170.8448</v>
      </c>
      <c r="H148" s="4" t="n">
        <v>61.6234</v>
      </c>
      <c r="I148" s="3" t="n">
        <v>22183</v>
      </c>
      <c r="J148" s="3" t="n">
        <v>19</v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3" t="n">
        <v>3233</v>
      </c>
      <c r="E149" s="4" t="n">
        <v>3.9799</v>
      </c>
      <c r="F149" s="4" t="n">
        <v>664.08</v>
      </c>
      <c r="G149" s="4" t="n">
        <v>825.0988</v>
      </c>
      <c r="H149" s="4" t="n">
        <v>41.2549</v>
      </c>
      <c r="I149" s="3" t="n">
        <v>20732</v>
      </c>
      <c r="J149" s="3" t="n">
        <v>20</v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3" t="n">
        <v>3262</v>
      </c>
      <c r="E150" s="4" t="n">
        <v>4.3563</v>
      </c>
      <c r="F150" s="4" t="n">
        <v>814.67</v>
      </c>
      <c r="G150" s="4" t="n">
        <v>997.7873</v>
      </c>
      <c r="H150" s="4" t="n">
        <v>47.5137</v>
      </c>
      <c r="I150" s="3" t="n">
        <v>22905</v>
      </c>
      <c r="J150" s="3" t="n">
        <v>21</v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3" t="n">
        <v>3278</v>
      </c>
      <c r="E151" s="4" t="n">
        <v>4.5274</v>
      </c>
      <c r="F151" s="4" t="n">
        <v>857.92</v>
      </c>
      <c r="G151" s="4" t="n">
        <v>939.2923</v>
      </c>
      <c r="H151" s="4" t="n">
        <v>46.9646</v>
      </c>
      <c r="I151" s="3" t="n">
        <v>20747</v>
      </c>
      <c r="J151" s="3" t="n">
        <v>20</v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3" t="n">
        <v>3275</v>
      </c>
      <c r="E152" s="4" t="n">
        <v>4.3147</v>
      </c>
      <c r="F152" s="4" t="n">
        <v>754.64</v>
      </c>
      <c r="G152" s="4" t="n">
        <v>866.8</v>
      </c>
      <c r="H152" s="4" t="n">
        <v>39.4</v>
      </c>
      <c r="I152" s="3" t="n">
        <v>20090</v>
      </c>
      <c r="J152" s="3" t="n">
        <v>22</v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3" t="n">
        <v>3303</v>
      </c>
      <c r="E153" s="4" t="n">
        <v>4.4316</v>
      </c>
      <c r="F153" s="4" t="n">
        <v>789.6900000000001</v>
      </c>
      <c r="G153" s="4" t="n">
        <v>924.9261</v>
      </c>
      <c r="H153" s="4" t="n">
        <v>42.0421</v>
      </c>
      <c r="I153" s="3" t="n">
        <v>20872</v>
      </c>
      <c r="J153" s="3" t="n">
        <v>22</v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3" t="n">
        <v>3338</v>
      </c>
      <c r="E154" s="4" t="n">
        <v>4.5261</v>
      </c>
      <c r="F154" s="4" t="n">
        <v>877.63</v>
      </c>
      <c r="G154" s="4" t="n">
        <v>929.569</v>
      </c>
      <c r="H154" s="4" t="n">
        <v>42.2531</v>
      </c>
      <c r="I154" s="3" t="n">
        <v>20539</v>
      </c>
      <c r="J154" s="3" t="n">
        <v>22</v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3" t="n">
        <v>3353</v>
      </c>
      <c r="E155" s="4" t="n">
        <v>5.1734</v>
      </c>
      <c r="F155" s="4" t="n">
        <v>938.51</v>
      </c>
      <c r="G155" s="4" t="n">
        <v>1128.8191</v>
      </c>
      <c r="H155" s="4" t="n">
        <v>51.31</v>
      </c>
      <c r="I155" s="3" t="n">
        <v>21820</v>
      </c>
      <c r="J155" s="3" t="n">
        <v>22</v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3" t="n">
        <v>3372</v>
      </c>
      <c r="E156" s="4" t="n">
        <v>4.9415</v>
      </c>
      <c r="F156" s="4" t="n">
        <v>1039.87</v>
      </c>
      <c r="G156" s="4" t="n">
        <v>1088.8477</v>
      </c>
      <c r="H156" s="4" t="n">
        <v>51.8499</v>
      </c>
      <c r="I156" s="3" t="n">
        <v>22035</v>
      </c>
      <c r="J156" s="3" t="n">
        <v>21</v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3" t="n">
        <v>3401</v>
      </c>
      <c r="E157" s="4" t="n">
        <v>5.2705</v>
      </c>
      <c r="F157" s="4" t="n">
        <v>1096.97</v>
      </c>
      <c r="G157" s="4" t="n">
        <v>1184.9695</v>
      </c>
      <c r="H157" s="4" t="n">
        <v>56.4271</v>
      </c>
      <c r="I157" s="3" t="n">
        <v>22484</v>
      </c>
      <c r="J157" s="3" t="n">
        <v>21</v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3" t="n">
        <v>3388</v>
      </c>
      <c r="E158" s="4" t="n">
        <v>4.6681</v>
      </c>
      <c r="F158" s="4" t="n">
        <v>950.76</v>
      </c>
      <c r="G158" s="4" t="n">
        <v>1060.0047</v>
      </c>
      <c r="H158" s="4" t="n">
        <v>50.4764</v>
      </c>
      <c r="I158" s="3" t="n">
        <v>22708</v>
      </c>
      <c r="J158" s="3" t="n">
        <v>21</v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3" t="n">
        <v>3392</v>
      </c>
      <c r="E159" s="4" t="n">
        <v>4.1043</v>
      </c>
      <c r="F159" s="4" t="n">
        <v>764.04</v>
      </c>
      <c r="G159" s="4" t="n">
        <v>815.6009</v>
      </c>
      <c r="H159" s="4" t="n">
        <v>37.0728</v>
      </c>
      <c r="I159" s="3" t="n">
        <v>19872</v>
      </c>
      <c r="J159" s="3" t="n">
        <v>22</v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3" t="n">
        <v>3383</v>
      </c>
      <c r="E160" s="4" t="n">
        <v>3.5158</v>
      </c>
      <c r="F160" s="4" t="n">
        <v>627.77</v>
      </c>
      <c r="G160" s="4" t="n">
        <v>698.5755</v>
      </c>
      <c r="H160" s="4" t="n">
        <v>34.9288</v>
      </c>
      <c r="I160" s="3" t="n">
        <v>19870</v>
      </c>
      <c r="J160" s="3" t="n">
        <v>20</v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3" t="n">
        <v>3387</v>
      </c>
      <c r="E161" s="4" t="n">
        <v>3.68</v>
      </c>
      <c r="F161" s="4" t="n">
        <v>576.27</v>
      </c>
      <c r="G161" s="4" t="n">
        <v>688.2983</v>
      </c>
      <c r="H161" s="4" t="n">
        <v>34.4149</v>
      </c>
      <c r="I161" s="3" t="n">
        <v>18704</v>
      </c>
      <c r="J161" s="3" t="n">
        <v>20</v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3" t="n">
        <v>3432</v>
      </c>
      <c r="E162" s="4" t="n">
        <v>3.6936</v>
      </c>
      <c r="F162" s="4" t="n">
        <v>633.7</v>
      </c>
      <c r="G162" s="4" t="n">
        <v>724.5658</v>
      </c>
      <c r="H162" s="4" t="n">
        <v>32.9348</v>
      </c>
      <c r="I162" s="3" t="n">
        <v>19617</v>
      </c>
      <c r="J162" s="3" t="n">
        <v>22</v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3" t="n">
        <v>3403</v>
      </c>
      <c r="E163" s="4" t="n">
        <v>3.2697</v>
      </c>
      <c r="F163" s="4" t="n">
        <v>622.62</v>
      </c>
      <c r="G163" s="4" t="n">
        <v>693.3628</v>
      </c>
      <c r="H163" s="4" t="n">
        <v>38.5202</v>
      </c>
      <c r="I163" s="3" t="n">
        <v>21206</v>
      </c>
      <c r="J163" s="3" t="n">
        <v>18</v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3" t="n">
        <v>3403</v>
      </c>
      <c r="E164" s="4" t="n">
        <v>3.3628</v>
      </c>
      <c r="F164" s="4" t="n">
        <v>538.74</v>
      </c>
      <c r="G164" s="4" t="n">
        <v>594.9425</v>
      </c>
      <c r="H164" s="4" t="n">
        <v>27.0428</v>
      </c>
      <c r="I164" s="3" t="n">
        <v>17693</v>
      </c>
      <c r="J164" s="3" t="n">
        <v>22</v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3" t="n">
        <v>3408</v>
      </c>
      <c r="E165" s="4" t="n">
        <v>3.35</v>
      </c>
      <c r="F165" s="4" t="n">
        <v>570.9299999999999</v>
      </c>
      <c r="G165" s="4" t="n">
        <v>593.373</v>
      </c>
      <c r="H165" s="4" t="n">
        <v>26.9715</v>
      </c>
      <c r="I165" s="3" t="n">
        <v>17713</v>
      </c>
      <c r="J165" s="3" t="n">
        <v>22</v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3" t="n">
        <v>3435</v>
      </c>
      <c r="E166" s="4" t="n">
        <v>3.3711</v>
      </c>
      <c r="F166" s="4" t="n">
        <v>629.6900000000001</v>
      </c>
      <c r="G166" s="4" t="n">
        <v>595.5467</v>
      </c>
      <c r="H166" s="4" t="n">
        <v>28.3594</v>
      </c>
      <c r="I166" s="3" t="n">
        <v>17667</v>
      </c>
      <c r="J166" s="3" t="n">
        <v>21</v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3" t="n">
        <v>3448</v>
      </c>
      <c r="E167" s="4" t="n">
        <v>3.3125</v>
      </c>
      <c r="F167" s="4" t="n">
        <v>563.41</v>
      </c>
      <c r="G167" s="4" t="n">
        <v>533.0075000000001</v>
      </c>
      <c r="H167" s="4" t="n">
        <v>25.3813</v>
      </c>
      <c r="I167" s="3" t="n">
        <v>16091</v>
      </c>
      <c r="J167" s="3" t="n">
        <v>21</v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3" t="n">
        <v>3461</v>
      </c>
      <c r="E168" s="4" t="n">
        <v>3.3358</v>
      </c>
      <c r="F168" s="4" t="n">
        <v>517.48</v>
      </c>
      <c r="G168" s="4" t="n">
        <v>543.5992</v>
      </c>
      <c r="H168" s="4" t="n">
        <v>25.8857</v>
      </c>
      <c r="I168" s="3" t="n">
        <v>16297</v>
      </c>
      <c r="J168" s="3" t="n">
        <v>21</v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3" t="n">
        <v>3470</v>
      </c>
      <c r="E169" s="4" t="n">
        <v>2.7872</v>
      </c>
      <c r="F169" s="4" t="n">
        <v>374.21</v>
      </c>
      <c r="G169" s="4" t="n">
        <v>435.1517</v>
      </c>
      <c r="H169" s="4" t="n">
        <v>22.9027</v>
      </c>
      <c r="I169" s="3" t="n">
        <v>15613</v>
      </c>
      <c r="J169" s="3" t="n">
        <v>19</v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3" t="n">
        <v>3498</v>
      </c>
      <c r="E170" s="4" t="n">
        <v>2.9523</v>
      </c>
      <c r="F170" s="4" t="n">
        <v>463.88</v>
      </c>
      <c r="G170" s="4" t="n">
        <v>438.7212</v>
      </c>
      <c r="H170" s="4" t="n">
        <v>21.9361</v>
      </c>
      <c r="I170" s="3" t="n">
        <v>14861</v>
      </c>
      <c r="J170" s="3" t="n">
        <v>20</v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3" t="n">
        <v>3497</v>
      </c>
      <c r="E171" s="4" t="n">
        <v>2.6916</v>
      </c>
      <c r="F171" s="4" t="n">
        <v>407.14</v>
      </c>
      <c r="G171" s="4" t="n">
        <v>394.9221</v>
      </c>
      <c r="H171" s="4" t="n">
        <v>18.8058</v>
      </c>
      <c r="I171" s="3" t="n">
        <v>14673</v>
      </c>
      <c r="J171" s="3" t="n">
        <v>21</v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3" t="n">
        <v>3526</v>
      </c>
      <c r="E172" s="4" t="n">
        <v>3.5185</v>
      </c>
      <c r="F172" s="4" t="n">
        <v>546.48</v>
      </c>
      <c r="G172" s="4" t="n">
        <v>525.7082</v>
      </c>
      <c r="H172" s="4" t="n">
        <v>23.8958</v>
      </c>
      <c r="I172" s="3" t="n">
        <v>14942</v>
      </c>
      <c r="J172" s="3" t="n">
        <v>22</v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3" t="n">
        <v>3581</v>
      </c>
      <c r="E173" s="4" t="n">
        <v>4.1542</v>
      </c>
      <c r="F173" s="4" t="n">
        <v>682.7</v>
      </c>
      <c r="G173" s="4" t="n">
        <v>699.4692</v>
      </c>
      <c r="H173" s="4" t="n">
        <v>34.9735</v>
      </c>
      <c r="I173" s="3" t="n">
        <v>16838</v>
      </c>
      <c r="J173" s="3" t="n">
        <v>20</v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3" t="n">
        <v>3629</v>
      </c>
      <c r="E174" s="4" t="n">
        <v>3.334</v>
      </c>
      <c r="F174" s="4" t="n">
        <v>624.09</v>
      </c>
      <c r="G174" s="4" t="n">
        <v>627.1717</v>
      </c>
      <c r="H174" s="4" t="n">
        <v>28.5078</v>
      </c>
      <c r="I174" s="3" t="n">
        <v>18812</v>
      </c>
      <c r="J174" s="3" t="n">
        <v>22</v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3" t="n">
        <v>3603</v>
      </c>
      <c r="E175" s="4" t="n">
        <v>2.5333</v>
      </c>
      <c r="F175" s="4" t="n">
        <v>416.05</v>
      </c>
      <c r="G175" s="4" t="n">
        <v>423.0546</v>
      </c>
      <c r="H175" s="4" t="n">
        <v>21.1527</v>
      </c>
      <c r="I175" s="3" t="n">
        <v>16700</v>
      </c>
      <c r="J175" s="3" t="n">
        <v>20</v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3" t="n">
        <v>3558</v>
      </c>
      <c r="E176" s="4" t="n">
        <v>2.6934</v>
      </c>
      <c r="F176" s="4" t="n">
        <v>419.53</v>
      </c>
      <c r="G176" s="4" t="n">
        <v>416.546</v>
      </c>
      <c r="H176" s="4" t="n">
        <v>18.9339</v>
      </c>
      <c r="I176" s="3" t="n">
        <v>15466</v>
      </c>
      <c r="J176" s="3" t="n">
        <v>22</v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3" t="n">
        <v>3571</v>
      </c>
      <c r="E177" s="4" t="n">
        <v>2.549</v>
      </c>
      <c r="F177" s="4" t="n">
        <v>398.8</v>
      </c>
      <c r="G177" s="4" t="n">
        <v>443.1472</v>
      </c>
      <c r="H177" s="4" t="n">
        <v>21.1022</v>
      </c>
      <c r="I177" s="3" t="n">
        <v>17386</v>
      </c>
      <c r="J177" s="3" t="n">
        <v>21</v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3" t="n">
        <v>3604</v>
      </c>
      <c r="E178" s="4" t="n">
        <v>2.8016</v>
      </c>
      <c r="F178" s="4" t="n">
        <v>477.28</v>
      </c>
      <c r="G178" s="4" t="n">
        <v>444.7458</v>
      </c>
      <c r="H178" s="4" t="n">
        <v>20.2157</v>
      </c>
      <c r="I178" s="3" t="n">
        <v>15875</v>
      </c>
      <c r="J178" s="3" t="n">
        <v>22</v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3" t="n">
        <v>3623</v>
      </c>
      <c r="E179" s="4" t="n">
        <v>2.6975</v>
      </c>
      <c r="F179" s="4" t="n">
        <v>416.23</v>
      </c>
      <c r="G179" s="4" t="n">
        <v>427.8882</v>
      </c>
      <c r="H179" s="4" t="n">
        <v>20.3756</v>
      </c>
      <c r="I179" s="3" t="n">
        <v>15863</v>
      </c>
      <c r="J179" s="3" t="n">
        <v>21</v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3" t="n">
        <v>3633</v>
      </c>
      <c r="E180" s="4" t="n">
        <v>2.7761</v>
      </c>
      <c r="F180" s="4" t="n">
        <v>452.09</v>
      </c>
      <c r="G180" s="4" t="n">
        <v>455.0132</v>
      </c>
      <c r="H180" s="4" t="n">
        <v>22.7507</v>
      </c>
      <c r="I180" s="3" t="n">
        <v>16391</v>
      </c>
      <c r="J180" s="3" t="n">
        <v>20</v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3" t="n">
        <v>3651</v>
      </c>
      <c r="E181" s="4" t="n">
        <v>2.9802</v>
      </c>
      <c r="F181" s="4" t="n">
        <v>534.35</v>
      </c>
      <c r="G181" s="4" t="n">
        <v>510.3019</v>
      </c>
      <c r="H181" s="4" t="n">
        <v>24.3001</v>
      </c>
      <c r="I181" s="3" t="n">
        <v>17124</v>
      </c>
      <c r="J181" s="3" t="n">
        <v>21</v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3" t="n">
        <v>3647</v>
      </c>
      <c r="E182" s="4" t="n">
        <v>2.7097</v>
      </c>
      <c r="F182" s="4" t="n">
        <v>475.1</v>
      </c>
      <c r="G182" s="4" t="n">
        <v>477.8296</v>
      </c>
      <c r="H182" s="4" t="n">
        <v>22.7538</v>
      </c>
      <c r="I182" s="3" t="n">
        <v>17634</v>
      </c>
      <c r="J182" s="3" t="n">
        <v>21</v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3" t="n">
        <v>3686</v>
      </c>
      <c r="E183" s="4" t="n">
        <v>2.8503</v>
      </c>
      <c r="F183" s="4" t="n">
        <v>542.35</v>
      </c>
      <c r="G183" s="4" t="n">
        <v>503.7724</v>
      </c>
      <c r="H183" s="4" t="n">
        <v>25.1886</v>
      </c>
      <c r="I183" s="3" t="n">
        <v>17675</v>
      </c>
      <c r="J183" s="3" t="n">
        <v>20</v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3" t="n">
        <v>3722</v>
      </c>
      <c r="E184" s="4" t="n">
        <v>3.1768</v>
      </c>
      <c r="F184" s="4" t="n">
        <v>631.21</v>
      </c>
      <c r="G184" s="4" t="n">
        <v>566.6168</v>
      </c>
      <c r="H184" s="4" t="n">
        <v>24.6355</v>
      </c>
      <c r="I184" s="3" t="n">
        <v>17837</v>
      </c>
      <c r="J184" s="3" t="n">
        <v>23</v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3" t="n">
        <v>3689</v>
      </c>
      <c r="E185" s="4" t="n">
        <v>2.3955</v>
      </c>
      <c r="F185" s="4" t="n">
        <v>458.16</v>
      </c>
      <c r="G185" s="4" t="n">
        <v>421.3795</v>
      </c>
      <c r="H185" s="4" t="n">
        <v>21.069</v>
      </c>
      <c r="I185" s="3" t="n">
        <v>17591</v>
      </c>
      <c r="J185" s="3" t="n">
        <v>20</v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3" t="n">
        <v>3711</v>
      </c>
      <c r="E186" s="4" t="n">
        <v>2.1875</v>
      </c>
      <c r="F186" s="4" t="n">
        <v>451.03</v>
      </c>
      <c r="G186" s="4" t="n">
        <v>397.4492</v>
      </c>
      <c r="H186" s="4" t="n">
        <v>20.9184</v>
      </c>
      <c r="I186" s="3" t="n">
        <v>18169</v>
      </c>
      <c r="J186" s="3" t="n">
        <v>19</v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3" t="n">
        <v>3587</v>
      </c>
      <c r="E187" s="4" t="n">
        <v>2.2016</v>
      </c>
      <c r="F187" s="4" t="n">
        <v>352.67</v>
      </c>
      <c r="G187" s="4" t="n">
        <v>409.8002</v>
      </c>
      <c r="H187" s="4" t="n">
        <v>20.49</v>
      </c>
      <c r="I187" s="3" t="n">
        <v>18614</v>
      </c>
      <c r="J187" s="3" t="n">
        <v>20</v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3" t="n">
        <v>3508</v>
      </c>
      <c r="E188" s="4" t="n">
        <v>2.4137</v>
      </c>
      <c r="F188" s="4" t="n">
        <v>403.49</v>
      </c>
      <c r="G188" s="4" t="n">
        <v>499.9607</v>
      </c>
      <c r="H188" s="4" t="n">
        <v>21.7374</v>
      </c>
      <c r="I188" s="3" t="n">
        <v>20714</v>
      </c>
      <c r="J188" s="3" t="n">
        <v>23</v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3" t="n">
        <v>3471</v>
      </c>
      <c r="E189" s="4" t="n">
        <v>2.4536</v>
      </c>
      <c r="F189" s="4" t="n">
        <v>333.23</v>
      </c>
      <c r="G189" s="4" t="n">
        <v>363.7741</v>
      </c>
      <c r="H189" s="4" t="n">
        <v>18.1887</v>
      </c>
      <c r="I189" s="3" t="n">
        <v>14826</v>
      </c>
      <c r="J189" s="3" t="n">
        <v>20</v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3" t="n">
        <v>3511</v>
      </c>
      <c r="E190" s="4" t="n">
        <v>3.4274</v>
      </c>
      <c r="F190" s="4" t="n">
        <v>376.44</v>
      </c>
      <c r="G190" s="4" t="n">
        <v>415.3512</v>
      </c>
      <c r="H190" s="4" t="n">
        <v>18.0587</v>
      </c>
      <c r="I190" s="3" t="n">
        <v>12119</v>
      </c>
      <c r="J190" s="3" t="n">
        <v>23</v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3" t="n">
        <v>3470</v>
      </c>
      <c r="E191" s="4" t="n">
        <v>3.4023</v>
      </c>
      <c r="F191" s="4" t="n">
        <v>354.12</v>
      </c>
      <c r="G191" s="4" t="n">
        <v>408.7572</v>
      </c>
      <c r="H191" s="4" t="n">
        <v>20.4379</v>
      </c>
      <c r="I191" s="3" t="n">
        <v>12015</v>
      </c>
      <c r="J191" s="3" t="n">
        <v>20</v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3" t="n">
        <v>3566</v>
      </c>
      <c r="E192" s="4" t="n">
        <v>3.1865</v>
      </c>
      <c r="F192" s="4" t="n">
        <v>363.75</v>
      </c>
      <c r="G192" s="4" t="n">
        <v>398.9847</v>
      </c>
      <c r="H192" s="4" t="n">
        <v>19.9492</v>
      </c>
      <c r="I192" s="3" t="n">
        <v>12521</v>
      </c>
      <c r="J192" s="3" t="n">
        <v>20</v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3" t="n">
        <v>3612</v>
      </c>
      <c r="E193" s="4" t="n">
        <v>3.2805</v>
      </c>
      <c r="F193" s="4" t="n">
        <v>401.34</v>
      </c>
      <c r="G193" s="4" t="n">
        <v>410.1841</v>
      </c>
      <c r="H193" s="4" t="n">
        <v>19.5326</v>
      </c>
      <c r="I193" s="3" t="n">
        <v>12504</v>
      </c>
      <c r="J193" s="3" t="n">
        <v>21</v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3" t="n">
        <v>3614</v>
      </c>
      <c r="E194" s="4" t="n">
        <v>3.1476</v>
      </c>
      <c r="F194" s="4" t="n">
        <v>365.48</v>
      </c>
      <c r="G194" s="4" t="n">
        <v>407.6761</v>
      </c>
      <c r="H194" s="4" t="n">
        <v>20.3838</v>
      </c>
      <c r="I194" s="3" t="n">
        <v>12953</v>
      </c>
      <c r="J194" s="3" t="n">
        <v>20</v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3" t="n">
        <v>3656</v>
      </c>
      <c r="E195" s="4" t="n">
        <v>3.2783</v>
      </c>
      <c r="F195" s="4" t="n">
        <v>421.01</v>
      </c>
      <c r="G195" s="4" t="n">
        <v>435.6618</v>
      </c>
      <c r="H195" s="4" t="n">
        <v>20.7458</v>
      </c>
      <c r="I195" s="3" t="n">
        <v>13290</v>
      </c>
      <c r="J195" s="3" t="n">
        <v>21</v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3" t="n">
        <v>3772</v>
      </c>
      <c r="E196" s="4" t="n">
        <v>3.6036</v>
      </c>
      <c r="F196" s="4" t="n">
        <v>469.96</v>
      </c>
      <c r="G196" s="4" t="n">
        <v>496.7304</v>
      </c>
      <c r="H196" s="4" t="n">
        <v>21.597</v>
      </c>
      <c r="I196" s="3" t="n">
        <v>13785</v>
      </c>
      <c r="J196" s="3" t="n">
        <v>23</v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3" t="n">
        <v>3755</v>
      </c>
      <c r="E197" s="4" t="n">
        <v>2.5296</v>
      </c>
      <c r="F197" s="4" t="n">
        <v>307.43</v>
      </c>
      <c r="G197" s="4" t="n">
        <v>348.5165</v>
      </c>
      <c r="H197" s="4" t="n">
        <v>18.343</v>
      </c>
      <c r="I197" s="3" t="n">
        <v>13778</v>
      </c>
      <c r="J197" s="3" t="n">
        <v>19</v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3" t="n">
        <v>3906</v>
      </c>
      <c r="E198" s="4" t="n">
        <v>3.3963</v>
      </c>
      <c r="F198" s="4" t="n">
        <v>650.5700000000001</v>
      </c>
      <c r="G198" s="4" t="n">
        <v>621.245</v>
      </c>
      <c r="H198" s="4" t="n">
        <v>29.5831</v>
      </c>
      <c r="I198" s="3" t="n">
        <v>18292</v>
      </c>
      <c r="J198" s="3" t="n">
        <v>21</v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3" t="n">
        <v>3864</v>
      </c>
      <c r="E199" s="4" t="n">
        <v>4.2342</v>
      </c>
      <c r="F199" s="4" t="n">
        <v>570.4400000000001</v>
      </c>
      <c r="G199" s="4" t="n">
        <v>497.1639</v>
      </c>
      <c r="H199" s="4" t="n">
        <v>27.6202</v>
      </c>
      <c r="I199" s="3" t="n">
        <v>11742</v>
      </c>
      <c r="J199" s="3" t="n">
        <v>18</v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3" t="n">
        <v>3954</v>
      </c>
      <c r="E200" s="4" t="n">
        <v>7.1262</v>
      </c>
      <c r="F200" s="4" t="n">
        <v>824.89</v>
      </c>
      <c r="G200" s="4" t="n">
        <v>921.2192</v>
      </c>
      <c r="H200" s="4" t="n">
        <v>43.8676</v>
      </c>
      <c r="I200" s="3" t="n">
        <v>12928</v>
      </c>
      <c r="J200" s="3" t="n">
        <v>21</v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3" t="n">
        <v>3996</v>
      </c>
      <c r="E201" s="4" t="n">
        <v>6.9987</v>
      </c>
      <c r="F201" s="4" t="n">
        <v>946.3200000000001</v>
      </c>
      <c r="G201" s="4" t="n">
        <v>841.4063</v>
      </c>
      <c r="H201" s="4" t="n">
        <v>40.067</v>
      </c>
      <c r="I201" s="3" t="n">
        <v>12023</v>
      </c>
      <c r="J201" s="3" t="n">
        <v>21</v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3" t="n">
        <v>3996</v>
      </c>
      <c r="E202" s="4" t="n">
        <v>6.3142</v>
      </c>
      <c r="F202" s="4" t="n">
        <v>744.65</v>
      </c>
      <c r="G202" s="4" t="n">
        <v>751.1903</v>
      </c>
      <c r="H202" s="4" t="n">
        <v>34.145</v>
      </c>
      <c r="I202" s="3" t="n">
        <v>11897</v>
      </c>
      <c r="J202" s="3" t="n">
        <v>22</v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3" t="n">
        <v>4020</v>
      </c>
      <c r="E203" s="4" t="n">
        <v>4.9768</v>
      </c>
      <c r="F203" s="4" t="n">
        <v>648.62</v>
      </c>
      <c r="G203" s="4" t="n">
        <v>536.48</v>
      </c>
      <c r="H203" s="4" t="n">
        <v>28.2358</v>
      </c>
      <c r="I203" s="3" t="n">
        <v>10780</v>
      </c>
      <c r="J203" s="3" t="n">
        <v>19</v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3" t="n">
        <v>4071</v>
      </c>
      <c r="E204" s="4" t="n">
        <v>6.9883</v>
      </c>
      <c r="F204" s="4" t="n">
        <v>812.49</v>
      </c>
      <c r="G204" s="4" t="n">
        <v>823.0999</v>
      </c>
      <c r="H204" s="4" t="n">
        <v>37.4136</v>
      </c>
      <c r="I204" s="3" t="n">
        <v>11779</v>
      </c>
      <c r="J204" s="3" t="n">
        <v>22</v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3" t="n">
        <v>4006</v>
      </c>
      <c r="E205" s="4" t="n">
        <v>4.3382</v>
      </c>
      <c r="F205" s="4" t="n">
        <v>517.87</v>
      </c>
      <c r="G205" s="4" t="n">
        <v>510.7801</v>
      </c>
      <c r="H205" s="4" t="n">
        <v>28.3767</v>
      </c>
      <c r="I205" s="3" t="n">
        <v>11775</v>
      </c>
      <c r="J205" s="3" t="n">
        <v>18</v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3" t="n">
        <v>4108</v>
      </c>
      <c r="E206" s="4" t="n">
        <v>5.4488</v>
      </c>
      <c r="F206" s="4" t="n">
        <v>641.05</v>
      </c>
      <c r="G206" s="4" t="n">
        <v>678.9208</v>
      </c>
      <c r="H206" s="4" t="n">
        <v>37.7178</v>
      </c>
      <c r="I206" s="3" t="n">
        <v>12461</v>
      </c>
      <c r="J206" s="3" t="n">
        <v>18</v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3" t="n">
        <v>4131</v>
      </c>
      <c r="E207" s="4" t="n">
        <v>5.9406</v>
      </c>
      <c r="F207" s="4" t="n">
        <v>755.89</v>
      </c>
      <c r="G207" s="4" t="n">
        <v>671.3502</v>
      </c>
      <c r="H207" s="4" t="n">
        <v>30.5159</v>
      </c>
      <c r="I207" s="3" t="n">
        <v>11302</v>
      </c>
      <c r="J207" s="3" t="n">
        <v>22</v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3" t="n">
        <v>4139</v>
      </c>
      <c r="E208" s="4" t="n">
        <v>6.3428</v>
      </c>
      <c r="F208" s="4" t="n">
        <v>666.9400000000001</v>
      </c>
      <c r="G208" s="4" t="n">
        <v>736.8602</v>
      </c>
      <c r="H208" s="4" t="n">
        <v>35.0886</v>
      </c>
      <c r="I208" s="3" t="n">
        <v>11618</v>
      </c>
      <c r="J208" s="3" t="n">
        <v>21</v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3" t="n">
        <v>4109</v>
      </c>
      <c r="E209" s="4" t="n">
        <v>6.4605</v>
      </c>
      <c r="F209" s="4" t="n">
        <v>707.01</v>
      </c>
      <c r="G209" s="4" t="n">
        <v>784.0911</v>
      </c>
      <c r="H209" s="4" t="n">
        <v>39.2046</v>
      </c>
      <c r="I209" s="3" t="n">
        <v>12137</v>
      </c>
      <c r="J209" s="3" t="n">
        <v>20</v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3" t="n">
        <v>4147</v>
      </c>
      <c r="E210" s="4" t="n">
        <v>5.9375</v>
      </c>
      <c r="F210" s="4" t="n">
        <v>731.4299999999999</v>
      </c>
      <c r="G210" s="4" t="n">
        <v>795.8814</v>
      </c>
      <c r="H210" s="4" t="n">
        <v>37.8991</v>
      </c>
      <c r="I210" s="3" t="n">
        <v>13405</v>
      </c>
      <c r="J210" s="3" t="n">
        <v>21</v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3" t="n">
        <v>4056</v>
      </c>
      <c r="E211" s="4" t="n">
        <v>5.3869</v>
      </c>
      <c r="F211" s="4" t="n">
        <v>652.52</v>
      </c>
      <c r="G211" s="4" t="n">
        <v>674.2127</v>
      </c>
      <c r="H211" s="4" t="n">
        <v>35.4849</v>
      </c>
      <c r="I211" s="3" t="n">
        <v>12516</v>
      </c>
      <c r="J211" s="3" t="n">
        <v>19</v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3" t="n">
        <v>4022</v>
      </c>
      <c r="E212" s="4" t="n">
        <v>3.2607</v>
      </c>
      <c r="F212" s="4" t="n">
        <v>483.3</v>
      </c>
      <c r="G212" s="4" t="n">
        <v>606.0461</v>
      </c>
      <c r="H212" s="4" t="n">
        <v>30.3023</v>
      </c>
      <c r="I212" s="3" t="n">
        <v>18587</v>
      </c>
      <c r="J212" s="3" t="n">
        <v>20</v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3" t="n">
        <v>4054</v>
      </c>
      <c r="E213" s="4" t="n">
        <v>2.917</v>
      </c>
      <c r="F213" s="4" t="n">
        <v>556.79</v>
      </c>
      <c r="G213" s="4" t="n">
        <v>603.7021999999999</v>
      </c>
      <c r="H213" s="4" t="n">
        <v>27.441</v>
      </c>
      <c r="I213" s="3" t="n">
        <v>20696</v>
      </c>
      <c r="J213" s="3" t="n">
        <v>22</v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3" t="n">
        <v>4121</v>
      </c>
      <c r="E214" s="4" t="n">
        <v>3.7448</v>
      </c>
      <c r="F214" s="4" t="n">
        <v>709.89</v>
      </c>
      <c r="G214" s="4" t="n">
        <v>702.5367</v>
      </c>
      <c r="H214" s="4" t="n">
        <v>30.5451</v>
      </c>
      <c r="I214" s="3" t="n">
        <v>18761</v>
      </c>
      <c r="J214" s="3" t="n">
        <v>23</v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3" t="n">
        <v>4133</v>
      </c>
      <c r="E215" s="4" t="n">
        <v>3.9268</v>
      </c>
      <c r="F215" s="4" t="n">
        <v>737.01</v>
      </c>
      <c r="G215" s="4" t="n">
        <v>738.2168</v>
      </c>
      <c r="H215" s="4" t="n">
        <v>35.1532</v>
      </c>
      <c r="I215" s="3" t="n">
        <v>18800</v>
      </c>
      <c r="J215" s="3" t="n">
        <v>21</v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3" t="n">
        <v>4030</v>
      </c>
      <c r="E216" s="4" t="n">
        <v>2.7494</v>
      </c>
      <c r="F216" s="4" t="n">
        <v>482.61</v>
      </c>
      <c r="G216" s="4" t="n">
        <v>544.2634</v>
      </c>
      <c r="H216" s="4" t="n">
        <v>27.2132</v>
      </c>
      <c r="I216" s="3" t="n">
        <v>19796</v>
      </c>
      <c r="J216" s="3" t="n">
        <v>20</v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3" t="n">
        <v>4106</v>
      </c>
      <c r="E217" s="4" t="n">
        <v>3.1146</v>
      </c>
      <c r="F217" s="4" t="n">
        <v>613.04</v>
      </c>
      <c r="G217" s="4" t="n">
        <v>581.4283</v>
      </c>
      <c r="H217" s="4" t="n">
        <v>29.0714</v>
      </c>
      <c r="I217" s="3" t="n">
        <v>18668</v>
      </c>
      <c r="J217" s="3" t="n">
        <v>20</v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3" t="n">
        <v>4002</v>
      </c>
      <c r="E218" s="4" t="n">
        <v>2.8633</v>
      </c>
      <c r="F218" s="4" t="n">
        <v>649.9299999999999</v>
      </c>
      <c r="G218" s="4" t="n">
        <v>507.9919</v>
      </c>
      <c r="H218" s="4" t="n">
        <v>26.7364</v>
      </c>
      <c r="I218" s="3" t="n">
        <v>17742</v>
      </c>
      <c r="J218" s="3" t="n">
        <v>19</v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3" t="n">
        <v>4115</v>
      </c>
      <c r="E219" s="4" t="n">
        <v>3.5052</v>
      </c>
      <c r="F219" s="4" t="n">
        <v>845.98</v>
      </c>
      <c r="G219" s="4" t="n">
        <v>617.4136999999999</v>
      </c>
      <c r="H219" s="4" t="n">
        <v>28.0643</v>
      </c>
      <c r="I219" s="3" t="n">
        <v>17615</v>
      </c>
      <c r="J219" s="3" t="n">
        <v>22</v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3" t="n">
        <v>4050</v>
      </c>
      <c r="E220" s="4" t="n">
        <v>3.6041</v>
      </c>
      <c r="F220" s="4" t="n">
        <v>725.22</v>
      </c>
      <c r="G220" s="4" t="n">
        <v>635.7626</v>
      </c>
      <c r="H220" s="4" t="n">
        <v>31.7881</v>
      </c>
      <c r="I220" s="3" t="n">
        <v>17641</v>
      </c>
      <c r="J220" s="3" t="n">
        <v>20</v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3" t="n">
        <v>4055</v>
      </c>
      <c r="E221" s="4" t="n">
        <v>3.1907</v>
      </c>
      <c r="F221" s="4" t="n">
        <v>578.6799999999999</v>
      </c>
      <c r="G221" s="4" t="n">
        <v>571.5835</v>
      </c>
      <c r="H221" s="4" t="n">
        <v>27.2183</v>
      </c>
      <c r="I221" s="3" t="n">
        <v>17915</v>
      </c>
      <c r="J221" s="3" t="n">
        <v>21</v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3" t="n">
        <v>4127</v>
      </c>
      <c r="E222" s="4" t="n">
        <v>2.9054</v>
      </c>
      <c r="F222" s="4" t="n">
        <v>590.52</v>
      </c>
      <c r="G222" s="4" t="n">
        <v>617.7341</v>
      </c>
      <c r="H222" s="4" t="n">
        <v>30.8867</v>
      </c>
      <c r="I222" s="3" t="n">
        <v>21262</v>
      </c>
      <c r="J222" s="3" t="n">
        <v>20</v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3" t="n">
        <v>4018</v>
      </c>
      <c r="E223" s="4" t="n">
        <v>2.6833</v>
      </c>
      <c r="F223" s="4" t="n">
        <v>417.79</v>
      </c>
      <c r="G223" s="4" t="n">
        <v>491.7408</v>
      </c>
      <c r="H223" s="4" t="n">
        <v>27.3189</v>
      </c>
      <c r="I223" s="3" t="n">
        <v>18326</v>
      </c>
      <c r="J223" s="3" t="n">
        <v>18</v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3" t="n">
        <v>4089</v>
      </c>
      <c r="E224" s="4" t="n">
        <v>3.4282</v>
      </c>
      <c r="F224" s="4" t="n">
        <v>483.17</v>
      </c>
      <c r="G224" s="4" t="n">
        <v>595.2069</v>
      </c>
      <c r="H224" s="4" t="n">
        <v>27.0549</v>
      </c>
      <c r="I224" s="3" t="n">
        <v>17363</v>
      </c>
      <c r="J224" s="3" t="n">
        <v>22</v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3" t="n">
        <v>4113</v>
      </c>
      <c r="E225" s="4" t="n">
        <v>3.592</v>
      </c>
      <c r="F225" s="4" t="n">
        <v>597.25</v>
      </c>
      <c r="G225" s="4" t="n">
        <v>607.3995</v>
      </c>
      <c r="H225" s="4" t="n">
        <v>27.6091</v>
      </c>
      <c r="I225" s="3" t="n">
        <v>16910</v>
      </c>
      <c r="J225" s="3" t="n">
        <v>22</v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3" t="n">
        <v>4127</v>
      </c>
      <c r="E226" s="4" t="n">
        <v>3.4836</v>
      </c>
      <c r="F226" s="4" t="n">
        <v>644.8200000000001</v>
      </c>
      <c r="G226" s="4" t="n">
        <v>680.3253</v>
      </c>
      <c r="H226" s="4" t="n">
        <v>34.0163</v>
      </c>
      <c r="I226" s="3" t="n">
        <v>19530</v>
      </c>
      <c r="J226" s="3" t="n">
        <v>20</v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3" t="n">
        <v>4194</v>
      </c>
      <c r="E227" s="4" t="n">
        <v>3.6714</v>
      </c>
      <c r="F227" s="4" t="n">
        <v>558.96</v>
      </c>
      <c r="G227" s="4" t="n">
        <v>740.8392</v>
      </c>
      <c r="H227" s="4" t="n">
        <v>33.6745</v>
      </c>
      <c r="I227" s="3" t="n">
        <v>20179</v>
      </c>
      <c r="J227" s="3" t="n">
        <v>22</v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3" t="n">
        <v>4200</v>
      </c>
      <c r="E228" s="4" t="n">
        <v>3.5384</v>
      </c>
      <c r="F228" s="4" t="n">
        <v>612.9400000000001</v>
      </c>
      <c r="G228" s="4" t="n">
        <v>759.1529</v>
      </c>
      <c r="H228" s="4" t="n">
        <v>37.9576</v>
      </c>
      <c r="I228" s="3" t="n">
        <v>21455</v>
      </c>
      <c r="J228" s="3" t="n">
        <v>20</v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3" t="n">
        <v>4201</v>
      </c>
      <c r="E229" s="4" t="n">
        <v>3.1934</v>
      </c>
      <c r="F229" s="4" t="n">
        <v>598.35</v>
      </c>
      <c r="G229" s="4" t="n">
        <v>645.0991</v>
      </c>
      <c r="H229" s="4" t="n">
        <v>33.9526</v>
      </c>
      <c r="I229" s="3" t="n">
        <v>20201</v>
      </c>
      <c r="J229" s="3" t="n">
        <v>19</v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3" t="n">
        <v>4174</v>
      </c>
      <c r="E230" s="4" t="n">
        <v>3.4315</v>
      </c>
      <c r="F230" s="4" t="n">
        <v>554.28</v>
      </c>
      <c r="G230" s="4" t="n">
        <v>701.7809</v>
      </c>
      <c r="H230" s="4" t="n">
        <v>33.4181</v>
      </c>
      <c r="I230" s="3" t="n">
        <v>20451</v>
      </c>
      <c r="J230" s="3" t="n">
        <v>21</v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3" t="n">
        <v>4122</v>
      </c>
      <c r="E231" s="4" t="n">
        <v>2.6783</v>
      </c>
      <c r="F231" s="4" t="n">
        <v>440.79</v>
      </c>
      <c r="G231" s="4" t="n">
        <v>539.054</v>
      </c>
      <c r="H231" s="4" t="n">
        <v>24.5025</v>
      </c>
      <c r="I231" s="3" t="n">
        <v>20127</v>
      </c>
      <c r="J231" s="3" t="n">
        <v>22</v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3" t="n">
        <v>4230</v>
      </c>
      <c r="E232" s="4" t="n">
        <v>3.1329</v>
      </c>
      <c r="F232" s="4" t="n">
        <v>555.58</v>
      </c>
      <c r="G232" s="4" t="n">
        <v>647.6418</v>
      </c>
      <c r="H232" s="4" t="n">
        <v>30.8401</v>
      </c>
      <c r="I232" s="3" t="n">
        <v>20673</v>
      </c>
      <c r="J232" s="3" t="n">
        <v>21</v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3" t="n">
        <v>4235</v>
      </c>
      <c r="E233" s="4" t="n">
        <v>3.0743</v>
      </c>
      <c r="F233" s="4" t="n">
        <v>604.42</v>
      </c>
      <c r="G233" s="4" t="n">
        <v>683.2981</v>
      </c>
      <c r="H233" s="4" t="n">
        <v>35.9631</v>
      </c>
      <c r="I233" s="3" t="n">
        <v>22227</v>
      </c>
      <c r="J233" s="3" t="n">
        <v>19</v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3" t="n">
        <v>4361</v>
      </c>
      <c r="E234" s="4" t="n">
        <v>3.2776</v>
      </c>
      <c r="F234" s="4" t="n">
        <v>1003.88</v>
      </c>
      <c r="G234" s="4" t="n">
        <v>2891.0673</v>
      </c>
      <c r="H234" s="4" t="n">
        <v>131.4122</v>
      </c>
      <c r="I234" s="3" t="n">
        <v>88208</v>
      </c>
      <c r="J234" s="3" t="n">
        <v>22</v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3" t="n">
        <v>4233</v>
      </c>
      <c r="E235" s="4" t="n">
        <v>2.8735</v>
      </c>
      <c r="F235" s="4" t="n">
        <v>577.78</v>
      </c>
      <c r="G235" s="4" t="n">
        <v>750.704</v>
      </c>
      <c r="H235" s="4" t="n">
        <v>41.7058</v>
      </c>
      <c r="I235" s="3" t="n">
        <v>26125</v>
      </c>
      <c r="J235" s="3" t="n">
        <v>18</v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3" t="n">
        <v>4298</v>
      </c>
      <c r="E236" s="4" t="n">
        <v>3.1488</v>
      </c>
      <c r="F236" s="4" t="n">
        <v>633.39</v>
      </c>
      <c r="G236" s="4" t="n">
        <v>911.0562</v>
      </c>
      <c r="H236" s="4" t="n">
        <v>41.4116</v>
      </c>
      <c r="I236" s="3" t="n">
        <v>28934</v>
      </c>
      <c r="J236" s="3" t="n">
        <v>22</v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3" t="n">
        <v>4188</v>
      </c>
      <c r="E237" s="4" t="n">
        <v>2.6069</v>
      </c>
      <c r="F237" s="4" t="n">
        <v>545.77</v>
      </c>
      <c r="G237" s="4" t="n">
        <v>859.3452</v>
      </c>
      <c r="H237" s="4" t="n">
        <v>40.9212</v>
      </c>
      <c r="I237" s="3" t="n">
        <v>32965</v>
      </c>
      <c r="J237" s="3" t="n">
        <v>21</v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3" t="n">
        <v>4203</v>
      </c>
      <c r="E238" s="4" t="n">
        <v>3.2129</v>
      </c>
      <c r="F238" s="4" t="n">
        <v>713.9400000000001</v>
      </c>
      <c r="G238" s="4" t="n">
        <v>883.9524</v>
      </c>
      <c r="H238" s="4" t="n">
        <v>42.093</v>
      </c>
      <c r="I238" s="3" t="n">
        <v>27513</v>
      </c>
      <c r="J238" s="3" t="n">
        <v>21</v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3" t="n">
        <v>4156</v>
      </c>
      <c r="E239" s="4" t="n">
        <v>2.7593</v>
      </c>
      <c r="F239" s="4" t="n">
        <v>583.09</v>
      </c>
      <c r="G239" s="4" t="n">
        <v>790.6446999999999</v>
      </c>
      <c r="H239" s="4" t="n">
        <v>37.6497</v>
      </c>
      <c r="I239" s="3" t="n">
        <v>28655</v>
      </c>
      <c r="J239" s="3" t="n">
        <v>21</v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3" t="n">
        <v>4093</v>
      </c>
      <c r="E240" s="4" t="n">
        <v>2.9522</v>
      </c>
      <c r="F240" s="4" t="n">
        <v>578.15</v>
      </c>
      <c r="G240" s="4" t="n">
        <v>843.4914</v>
      </c>
      <c r="H240" s="4" t="n">
        <v>40.1663</v>
      </c>
      <c r="I240" s="3" t="n">
        <v>28572</v>
      </c>
      <c r="J240" s="3" t="n">
        <v>21</v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3" t="n">
        <v>4095</v>
      </c>
      <c r="E241" s="4" t="n">
        <v>2.8728</v>
      </c>
      <c r="F241" s="4" t="n">
        <v>526.8200000000001</v>
      </c>
      <c r="G241" s="4" t="n">
        <v>779.966</v>
      </c>
      <c r="H241" s="4" t="n">
        <v>38.9983</v>
      </c>
      <c r="I241" s="3" t="n">
        <v>27151</v>
      </c>
      <c r="J241" s="3" t="n">
        <v>20</v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3" t="n">
        <v>4197</v>
      </c>
      <c r="E242" s="4" t="n">
        <v>3.7199</v>
      </c>
      <c r="F242" s="4" t="n">
        <v>748.3200000000001</v>
      </c>
      <c r="G242" s="4" t="n">
        <v>1227.0858</v>
      </c>
      <c r="H242" s="4" t="n">
        <v>55.7766</v>
      </c>
      <c r="I242" s="3" t="n">
        <v>32988</v>
      </c>
      <c r="J242" s="3" t="n">
        <v>22</v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3" t="n">
        <v>4124</v>
      </c>
      <c r="E243" s="4" t="n">
        <v>3.018</v>
      </c>
      <c r="F243" s="4" t="n">
        <v>693.0700000000001</v>
      </c>
      <c r="G243" s="4" t="n">
        <v>956.8937</v>
      </c>
      <c r="H243" s="4" t="n">
        <v>47.8447</v>
      </c>
      <c r="I243" s="3" t="n">
        <v>31707</v>
      </c>
      <c r="J243" s="3" t="n">
        <v>20</v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3" t="n">
        <v>4293</v>
      </c>
      <c r="E244" s="4" t="n">
        <v>3.9601</v>
      </c>
      <c r="F244" s="4" t="n">
        <v>1009.4</v>
      </c>
      <c r="G244" s="4" t="n">
        <v>1225.3746</v>
      </c>
      <c r="H244" s="4" t="n">
        <v>55.6988</v>
      </c>
      <c r="I244" s="3" t="n">
        <v>30943</v>
      </c>
      <c r="J244" s="3" t="n">
        <v>22</v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3" t="n">
        <v>4217</v>
      </c>
      <c r="E245" s="4" t="n">
        <v>2.6545</v>
      </c>
      <c r="F245" s="4" t="n">
        <v>566.13</v>
      </c>
      <c r="G245" s="4" t="n">
        <v>817.5823</v>
      </c>
      <c r="H245" s="4" t="n">
        <v>43.0306</v>
      </c>
      <c r="I245" s="3" t="n">
        <v>30801</v>
      </c>
      <c r="J245" s="3" t="n">
        <v>19</v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3" t="n">
        <v>4204</v>
      </c>
      <c r="E246" s="4" t="n">
        <v>2.0794</v>
      </c>
      <c r="F246" s="4" t="n">
        <v>540.1799999999999</v>
      </c>
      <c r="G246" s="4" t="n">
        <v>783.5859</v>
      </c>
      <c r="H246" s="4" t="n">
        <v>41.2414</v>
      </c>
      <c r="I246" s="3" t="n">
        <v>37684</v>
      </c>
      <c r="J246" s="3" t="n">
        <v>19</v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3" t="n">
        <v>4211</v>
      </c>
      <c r="E247" s="4" t="n">
        <v>2.3387</v>
      </c>
      <c r="F247" s="4" t="n">
        <v>473.31</v>
      </c>
      <c r="G247" s="4" t="n">
        <v>716.2966</v>
      </c>
      <c r="H247" s="4" t="n">
        <v>34.1094</v>
      </c>
      <c r="I247" s="3" t="n">
        <v>30628</v>
      </c>
      <c r="J247" s="3" t="n">
        <v>21</v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3" t="n">
        <v>4175</v>
      </c>
      <c r="E248" s="4" t="n">
        <v>2.5802</v>
      </c>
      <c r="F248" s="4" t="n">
        <v>513.33</v>
      </c>
      <c r="G248" s="4" t="n">
        <v>753.605</v>
      </c>
      <c r="H248" s="4" t="n">
        <v>34.2548</v>
      </c>
      <c r="I248" s="3" t="n">
        <v>29208</v>
      </c>
      <c r="J248" s="3" t="n">
        <v>22</v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3" t="n">
        <v>4188</v>
      </c>
      <c r="E249" s="4" t="n">
        <v>1.9118</v>
      </c>
      <c r="F249" s="4" t="n">
        <v>410.6</v>
      </c>
      <c r="G249" s="4" t="n">
        <v>641.6259</v>
      </c>
      <c r="H249" s="4" t="n">
        <v>30.5536</v>
      </c>
      <c r="I249" s="3" t="n">
        <v>33562</v>
      </c>
      <c r="J249" s="3" t="n">
        <v>21</v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3" t="n">
        <v>4234</v>
      </c>
      <c r="E250" s="4" t="n">
        <v>2.4283</v>
      </c>
      <c r="F250" s="4" t="n">
        <v>418.52</v>
      </c>
      <c r="G250" s="4" t="n">
        <v>651.6848</v>
      </c>
      <c r="H250" s="4" t="n">
        <v>29.622</v>
      </c>
      <c r="I250" s="3" t="n">
        <v>26837</v>
      </c>
      <c r="J250" s="3" t="n">
        <v>22</v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3" t="n">
        <v>4322</v>
      </c>
      <c r="E251" s="4" t="n">
        <v>2.9227</v>
      </c>
      <c r="F251" s="4" t="n">
        <v>455.97</v>
      </c>
      <c r="G251" s="4" t="n">
        <v>678.956</v>
      </c>
      <c r="H251" s="4" t="n">
        <v>32.3312</v>
      </c>
      <c r="I251" s="3" t="n">
        <v>23231</v>
      </c>
      <c r="J251" s="3" t="n">
        <v>21</v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3" t="n">
        <v>4233</v>
      </c>
      <c r="E252" s="4" t="n">
        <v>2.9769</v>
      </c>
      <c r="F252" s="4" t="n">
        <v>387.42</v>
      </c>
      <c r="G252" s="4" t="n">
        <v>624.7671</v>
      </c>
      <c r="H252" s="4" t="n">
        <v>34.7093</v>
      </c>
      <c r="I252" s="3" t="n">
        <v>20988</v>
      </c>
      <c r="J252" s="3" t="n">
        <v>18</v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3" t="n">
        <v>4282</v>
      </c>
      <c r="E253" s="4" t="n">
        <v>3.3729</v>
      </c>
      <c r="F253" s="4" t="n">
        <v>439.3</v>
      </c>
      <c r="G253" s="4" t="n">
        <v>663.8471</v>
      </c>
      <c r="H253" s="4" t="n">
        <v>31.6118</v>
      </c>
      <c r="I253" s="3" t="n">
        <v>19682</v>
      </c>
      <c r="J253" s="3" t="n">
        <v>21</v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3" t="n">
        <v>4193</v>
      </c>
      <c r="E254" s="4" t="n">
        <v>2.5531</v>
      </c>
      <c r="F254" s="4" t="n">
        <v>380.77</v>
      </c>
      <c r="G254" s="4" t="n">
        <v>590.6384</v>
      </c>
      <c r="H254" s="4" t="n">
        <v>29.5319</v>
      </c>
      <c r="I254" s="3" t="n">
        <v>23135</v>
      </c>
      <c r="J254" s="3" t="n">
        <v>20</v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3" t="n">
        <v>4204</v>
      </c>
      <c r="E255" s="4" t="n">
        <v>2.4907</v>
      </c>
      <c r="F255" s="4" t="n">
        <v>380.61</v>
      </c>
      <c r="G255" s="4" t="n">
        <v>504.8291</v>
      </c>
      <c r="H255" s="4" t="n">
        <v>25.2415</v>
      </c>
      <c r="I255" s="3" t="n">
        <v>20269</v>
      </c>
      <c r="J255" s="3" t="n">
        <v>20</v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3" t="n">
        <v>4311</v>
      </c>
      <c r="E256" s="4" t="n">
        <v>2.7465</v>
      </c>
      <c r="F256" s="4" t="n">
        <v>388.52</v>
      </c>
      <c r="G256" s="4" t="n">
        <v>613.3233</v>
      </c>
      <c r="H256" s="4" t="n">
        <v>26.6662</v>
      </c>
      <c r="I256" s="3" t="n">
        <v>22332</v>
      </c>
      <c r="J256" s="3" t="n">
        <v>23</v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3" t="n">
        <v>4271</v>
      </c>
      <c r="E257" s="4" t="n">
        <v>2.5715</v>
      </c>
      <c r="F257" s="4" t="n">
        <v>422.31</v>
      </c>
      <c r="G257" s="4" t="n">
        <v>506.5569</v>
      </c>
      <c r="H257" s="4" t="n">
        <v>25.3278</v>
      </c>
      <c r="I257" s="3" t="n">
        <v>19699</v>
      </c>
      <c r="J257" s="3" t="n">
        <v>20</v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3" t="n">
        <v>4372</v>
      </c>
      <c r="E258" s="4" t="n">
        <v>2.5591</v>
      </c>
      <c r="F258" s="4" t="n">
        <v>510.42</v>
      </c>
      <c r="G258" s="4" t="n">
        <v>809.7705999999999</v>
      </c>
      <c r="H258" s="4" t="n">
        <v>42.6195</v>
      </c>
      <c r="I258" s="3" t="n">
        <v>31644</v>
      </c>
      <c r="J258" s="3" t="n">
        <v>19</v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3" t="n">
        <v>4296</v>
      </c>
      <c r="E259" s="4" t="n">
        <v>2.546</v>
      </c>
      <c r="F259" s="4" t="n">
        <v>769.37</v>
      </c>
      <c r="G259" s="4" t="n">
        <v>558.6781</v>
      </c>
      <c r="H259" s="4" t="n">
        <v>29.4041</v>
      </c>
      <c r="I259" s="3" t="n">
        <v>21944</v>
      </c>
      <c r="J259" s="3" t="n">
        <v>19</v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3" t="n">
        <v>4335</v>
      </c>
      <c r="E260" s="4" t="n">
        <v>2.8265</v>
      </c>
      <c r="F260" s="4" t="n">
        <v>423.42</v>
      </c>
      <c r="G260" s="4" t="n">
        <v>581.7162</v>
      </c>
      <c r="H260" s="4" t="n">
        <v>26.4416</v>
      </c>
      <c r="I260" s="3" t="n">
        <v>20581</v>
      </c>
      <c r="J260" s="3" t="n">
        <v>22</v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3" t="n">
        <v>4276</v>
      </c>
      <c r="E261" s="4" t="n">
        <v>2.0821</v>
      </c>
      <c r="F261" s="4" t="n">
        <v>374.54</v>
      </c>
      <c r="G261" s="4" t="n">
        <v>469.581</v>
      </c>
      <c r="H261" s="4" t="n">
        <v>24.7148</v>
      </c>
      <c r="I261" s="3" t="n">
        <v>22554</v>
      </c>
      <c r="J261" s="3" t="n">
        <v>19</v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3" t="n">
        <v>4328</v>
      </c>
      <c r="E262" s="4" t="n">
        <v>2.1861</v>
      </c>
      <c r="F262" s="4" t="n">
        <v>389.42</v>
      </c>
      <c r="G262" s="4" t="n">
        <v>482.486</v>
      </c>
      <c r="H262" s="4" t="n">
        <v>20.9777</v>
      </c>
      <c r="I262" s="3" t="n">
        <v>22071</v>
      </c>
      <c r="J262" s="3" t="n">
        <v>23</v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3" t="n">
        <v>4280</v>
      </c>
      <c r="E263" s="4" t="n">
        <v>2.4775</v>
      </c>
      <c r="F263" s="4" t="n">
        <v>377.94</v>
      </c>
      <c r="G263" s="4" t="n">
        <v>508.0454</v>
      </c>
      <c r="H263" s="4" t="n">
        <v>25.4023</v>
      </c>
      <c r="I263" s="3" t="n">
        <v>20507</v>
      </c>
      <c r="J263" s="3" t="n">
        <v>20</v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3" t="n">
        <v>4321</v>
      </c>
      <c r="E264" s="4" t="n">
        <v>2.6176</v>
      </c>
      <c r="F264" s="4" t="n">
        <v>386.17</v>
      </c>
      <c r="G264" s="4" t="n">
        <v>526.9046</v>
      </c>
      <c r="H264" s="4" t="n">
        <v>27.7318</v>
      </c>
      <c r="I264" s="3" t="n">
        <v>20129</v>
      </c>
      <c r="J264" s="3" t="n">
        <v>19</v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3" t="n">
        <v>4458</v>
      </c>
      <c r="E265" s="4" t="n">
        <v>2.3225</v>
      </c>
      <c r="F265" s="4" t="n">
        <v>457.97</v>
      </c>
      <c r="G265" s="4" t="n">
        <v>566.2234</v>
      </c>
      <c r="H265" s="4" t="n">
        <v>28.3112</v>
      </c>
      <c r="I265" s="3" t="n">
        <v>24381</v>
      </c>
      <c r="J265" s="3" t="n">
        <v>20</v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3" t="n">
        <v>4439</v>
      </c>
      <c r="E266" s="4" t="n">
        <v>2.6222</v>
      </c>
      <c r="F266" s="4" t="n">
        <v>576.0599999999999</v>
      </c>
      <c r="G266" s="4" t="n">
        <v>544.4461</v>
      </c>
      <c r="H266" s="4" t="n">
        <v>27.2223</v>
      </c>
      <c r="I266" s="3" t="n">
        <v>20763</v>
      </c>
      <c r="J266" s="3" t="n">
        <v>20</v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3" t="n">
        <v>4477</v>
      </c>
      <c r="E267" s="4" t="n">
        <v>2.4799</v>
      </c>
      <c r="F267" s="4" t="n">
        <v>422.49</v>
      </c>
      <c r="G267" s="4" t="n">
        <v>435.6012</v>
      </c>
      <c r="H267" s="4" t="n">
        <v>20.7429</v>
      </c>
      <c r="I267" s="3" t="n">
        <v>17566</v>
      </c>
      <c r="J267" s="3" t="n">
        <v>21</v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3" t="n">
        <v>4446</v>
      </c>
      <c r="E268" s="4" t="n">
        <v>3.1929</v>
      </c>
      <c r="F268" s="4" t="n">
        <v>461.97</v>
      </c>
      <c r="G268" s="4" t="n">
        <v>558.4577</v>
      </c>
      <c r="H268" s="4" t="n">
        <v>24.2808</v>
      </c>
      <c r="I268" s="3" t="n">
        <v>17491</v>
      </c>
      <c r="J268" s="3" t="n">
        <v>23</v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3" t="n">
        <v>4368</v>
      </c>
      <c r="E269" s="4" t="n">
        <v>3.0706</v>
      </c>
      <c r="F269" s="4" t="n">
        <v>488.37</v>
      </c>
      <c r="G269" s="4" t="n">
        <v>557.0999</v>
      </c>
      <c r="H269" s="4" t="n">
        <v>27.855</v>
      </c>
      <c r="I269" s="3" t="n">
        <v>18143</v>
      </c>
      <c r="J269" s="3" t="n">
        <v>20</v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3" t="n">
        <v>4330</v>
      </c>
      <c r="E270" s="4" t="n">
        <v>4.0516</v>
      </c>
      <c r="F270" s="4" t="n">
        <v>607.74</v>
      </c>
      <c r="G270" s="4" t="n">
        <v>819.7207</v>
      </c>
      <c r="H270" s="4" t="n">
        <v>39.0343</v>
      </c>
      <c r="I270" s="3" t="n">
        <v>20233</v>
      </c>
      <c r="J270" s="3" t="n">
        <v>21</v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3" t="n">
        <v>4149</v>
      </c>
      <c r="E271" s="4" t="n">
        <v>3.4913</v>
      </c>
      <c r="F271" s="4" t="n">
        <v>388.85</v>
      </c>
      <c r="G271" s="4" t="n">
        <v>444.7634</v>
      </c>
      <c r="H271" s="4" t="n">
        <v>24.7091</v>
      </c>
      <c r="I271" s="3" t="n">
        <v>12740</v>
      </c>
      <c r="J271" s="3" t="n">
        <v>18</v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3" t="n">
        <v>4127</v>
      </c>
      <c r="E272" s="4" t="n">
        <v>3.1429</v>
      </c>
      <c r="F272" s="4" t="n">
        <v>508.3</v>
      </c>
      <c r="G272" s="4" t="n">
        <v>650.1899</v>
      </c>
      <c r="H272" s="4" t="n">
        <v>34.2205</v>
      </c>
      <c r="I272" s="3" t="n">
        <v>20688</v>
      </c>
      <c r="J272" s="3" t="n">
        <v>19</v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3" t="n">
        <v>4378</v>
      </c>
      <c r="E273" s="4" t="n">
        <v>5.5577</v>
      </c>
      <c r="F273" s="4" t="n">
        <v>1082.35</v>
      </c>
      <c r="G273" s="4" t="n">
        <v>1101.927</v>
      </c>
      <c r="H273" s="4" t="n">
        <v>50.0876</v>
      </c>
      <c r="I273" s="3" t="n">
        <v>19828</v>
      </c>
      <c r="J273" s="3" t="n">
        <v>22</v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3" t="n">
        <v>4531</v>
      </c>
      <c r="E274" s="4" t="n">
        <v>5.137</v>
      </c>
      <c r="F274" s="4" t="n">
        <v>985.14</v>
      </c>
      <c r="G274" s="4" t="n">
        <v>800.9274</v>
      </c>
      <c r="H274" s="4" t="n">
        <v>34.8229</v>
      </c>
      <c r="I274" s="3" t="n">
        <v>15592</v>
      </c>
      <c r="J274" s="3" t="n">
        <v>23</v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3" t="n">
        <v>4511</v>
      </c>
      <c r="E275" s="4" t="n">
        <v>4.8421</v>
      </c>
      <c r="F275" s="4" t="n">
        <v>996.71</v>
      </c>
      <c r="G275" s="4" t="n">
        <v>930.7999</v>
      </c>
      <c r="H275" s="4" t="n">
        <v>44.3238</v>
      </c>
      <c r="I275" s="3" t="n">
        <v>19223</v>
      </c>
      <c r="J275" s="3" t="n">
        <v>21</v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3" t="n">
        <v>4520</v>
      </c>
      <c r="E276" s="4" t="n">
        <v>4.0271</v>
      </c>
      <c r="F276" s="4" t="n">
        <v>788.27</v>
      </c>
      <c r="G276" s="4" t="n">
        <v>700.2527</v>
      </c>
      <c r="H276" s="4" t="n">
        <v>31.8297</v>
      </c>
      <c r="I276" s="3" t="n">
        <v>17389</v>
      </c>
      <c r="J276" s="3" t="n">
        <v>22</v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3" t="n">
        <v>4485</v>
      </c>
      <c r="E277" s="4" t="n">
        <v>3.6428</v>
      </c>
      <c r="F277" s="4" t="n">
        <v>545.24</v>
      </c>
      <c r="G277" s="4" t="n">
        <v>578.6631</v>
      </c>
      <c r="H277" s="4" t="n">
        <v>27.5554</v>
      </c>
      <c r="I277" s="3" t="n">
        <v>15886</v>
      </c>
      <c r="J277" s="3" t="n">
        <v>21</v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3" t="n">
        <v>4491</v>
      </c>
      <c r="E278" s="4" t="n">
        <v>4.122</v>
      </c>
      <c r="F278" s="4" t="n">
        <v>683.35</v>
      </c>
      <c r="G278" s="4" t="n">
        <v>706.7589</v>
      </c>
      <c r="H278" s="4" t="n">
        <v>35.3379</v>
      </c>
      <c r="I278" s="3" t="n">
        <v>17146</v>
      </c>
      <c r="J278" s="3" t="n">
        <v>20</v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3" t="n">
        <v>4678</v>
      </c>
      <c r="E279" s="4" t="n">
        <v>5.3879</v>
      </c>
      <c r="F279" s="4" t="n">
        <v>1302.56</v>
      </c>
      <c r="G279" s="4" t="n">
        <v>994.148</v>
      </c>
      <c r="H279" s="4" t="n">
        <v>45.1885</v>
      </c>
      <c r="I279" s="3" t="n">
        <v>18452</v>
      </c>
      <c r="J279" s="3" t="n">
        <v>22</v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3" t="n">
        <v>4640</v>
      </c>
      <c r="E280" s="4" t="n">
        <v>5.0718</v>
      </c>
      <c r="F280" s="4" t="n">
        <v>1150.54</v>
      </c>
      <c r="G280" s="4" t="n">
        <v>1040.6322</v>
      </c>
      <c r="H280" s="4" t="n">
        <v>52.0316</v>
      </c>
      <c r="I280" s="3" t="n">
        <v>20519</v>
      </c>
      <c r="J280" s="3" t="n">
        <v>20</v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3" t="n">
        <v>4643</v>
      </c>
      <c r="E281" s="4" t="n">
        <v>5.3286</v>
      </c>
      <c r="F281" s="4" t="n">
        <v>1011.11</v>
      </c>
      <c r="G281" s="4" t="n">
        <v>1449.5451</v>
      </c>
      <c r="H281" s="4" t="n">
        <v>72.4773</v>
      </c>
      <c r="I281" s="3" t="n">
        <v>27204</v>
      </c>
      <c r="J281" s="3" t="n">
        <v>20</v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3" t="n">
        <v>4798</v>
      </c>
      <c r="E282" s="4" t="n">
        <v>5.2564</v>
      </c>
      <c r="F282" s="4" t="n">
        <v>1013.88</v>
      </c>
      <c r="G282" s="4" t="n">
        <v>1052.288</v>
      </c>
      <c r="H282" s="4" t="n">
        <v>50.109</v>
      </c>
      <c r="I282" s="3" t="n">
        <v>20020</v>
      </c>
      <c r="J282" s="3" t="n">
        <v>21</v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3" t="n">
        <v>4677</v>
      </c>
      <c r="E283" s="4" t="n">
        <v>4.1448</v>
      </c>
      <c r="F283" s="4" t="n">
        <v>658.6</v>
      </c>
      <c r="G283" s="4" t="n">
        <v>828.7945</v>
      </c>
      <c r="H283" s="4" t="n">
        <v>43.6208</v>
      </c>
      <c r="I283" s="3" t="n">
        <v>19997</v>
      </c>
      <c r="J283" s="3" t="n">
        <v>19</v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3" t="n">
        <v>4761</v>
      </c>
      <c r="E284" s="4" t="n">
        <v>5.9743</v>
      </c>
      <c r="F284" s="4" t="n">
        <v>1109.98</v>
      </c>
      <c r="G284" s="4" t="n">
        <v>1125.0059</v>
      </c>
      <c r="H284" s="4" t="n">
        <v>56.2503</v>
      </c>
      <c r="I284" s="3" t="n">
        <v>18831</v>
      </c>
      <c r="J284" s="3" t="n">
        <v>20</v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3" t="n">
        <v>4831</v>
      </c>
      <c r="E285" s="4" t="n">
        <v>7.813</v>
      </c>
      <c r="F285" s="4" t="n">
        <v>1847.71</v>
      </c>
      <c r="G285" s="4" t="n">
        <v>1499.4581</v>
      </c>
      <c r="H285" s="4" t="n">
        <v>68.1572</v>
      </c>
      <c r="I285" s="3" t="n">
        <v>19192</v>
      </c>
      <c r="J285" s="3" t="n">
        <v>22</v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3" t="n">
        <v>4816</v>
      </c>
      <c r="E286" s="4" t="n">
        <v>7.1506</v>
      </c>
      <c r="F286" s="4" t="n">
        <v>1418.31</v>
      </c>
      <c r="G286" s="4" t="n">
        <v>1160.3475</v>
      </c>
      <c r="H286" s="4" t="n">
        <v>55.2546</v>
      </c>
      <c r="I286" s="3" t="n">
        <v>16228</v>
      </c>
      <c r="J286" s="3" t="n">
        <v>21</v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3" t="n">
        <v>4796</v>
      </c>
      <c r="E287" s="4" t="n">
        <v>6.3181</v>
      </c>
      <c r="F287" s="4" t="n">
        <v>1207.2</v>
      </c>
      <c r="G287" s="4" t="n">
        <v>1091.8109</v>
      </c>
      <c r="H287" s="4" t="n">
        <v>51.991</v>
      </c>
      <c r="I287" s="3" t="n">
        <v>17281</v>
      </c>
      <c r="J287" s="3" t="n">
        <v>21</v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3" t="n">
        <v>4785</v>
      </c>
      <c r="E288" s="4" t="n">
        <v>6.0494</v>
      </c>
      <c r="F288" s="4" t="n">
        <v>1312.56</v>
      </c>
      <c r="G288" s="4" t="n">
        <v>1289.7485</v>
      </c>
      <c r="H288" s="4" t="n">
        <v>61.4166</v>
      </c>
      <c r="I288" s="3" t="n">
        <v>21321</v>
      </c>
      <c r="J288" s="3" t="n">
        <v>21</v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3" t="n">
        <v>4802</v>
      </c>
      <c r="E289" s="4" t="n">
        <v>7.2428</v>
      </c>
      <c r="F289" s="4" t="n">
        <v>1158.98</v>
      </c>
      <c r="G289" s="4" t="n">
        <v>1337.2855</v>
      </c>
      <c r="H289" s="4" t="n">
        <v>66.8643</v>
      </c>
      <c r="I289" s="3" t="n">
        <v>18464</v>
      </c>
      <c r="J289" s="3" t="n">
        <v>20</v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3" t="n">
        <v>4800</v>
      </c>
      <c r="E290" s="4" t="n">
        <v>6.4008</v>
      </c>
      <c r="F290" s="4" t="n">
        <v>1026.33</v>
      </c>
      <c r="G290" s="4" t="n">
        <v>970.6569</v>
      </c>
      <c r="H290" s="4" t="n">
        <v>48.5328</v>
      </c>
      <c r="I290" s="3" t="n">
        <v>15165</v>
      </c>
      <c r="J290" s="3" t="n">
        <v>20</v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3" t="n">
        <v>4900</v>
      </c>
      <c r="E291" s="4" t="n">
        <v>6.9818</v>
      </c>
      <c r="F291" s="4" t="n">
        <v>1900.41</v>
      </c>
      <c r="G291" s="4" t="n">
        <v>978.9691</v>
      </c>
      <c r="H291" s="4" t="n">
        <v>42.5639</v>
      </c>
      <c r="I291" s="3" t="n">
        <v>14022</v>
      </c>
      <c r="J291" s="3" t="n">
        <v>23</v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3" t="n">
        <v>4893</v>
      </c>
      <c r="E292" s="4" t="n">
        <v>8.395799999999999</v>
      </c>
      <c r="F292" s="4" t="n">
        <v>1995.02</v>
      </c>
      <c r="G292" s="4" t="n">
        <v>1072.9371</v>
      </c>
      <c r="H292" s="4" t="n">
        <v>53.6469</v>
      </c>
      <c r="I292" s="3" t="n">
        <v>12780</v>
      </c>
      <c r="J292" s="3" t="n">
        <v>20</v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3" t="n">
        <v>4846</v>
      </c>
      <c r="E293" s="4" t="n">
        <v>6.6239</v>
      </c>
      <c r="F293" s="4" t="n">
        <v>1337.52</v>
      </c>
      <c r="G293" s="4" t="n">
        <v>962.4887</v>
      </c>
      <c r="H293" s="4" t="n">
        <v>48.1244</v>
      </c>
      <c r="I293" s="3" t="n">
        <v>14531</v>
      </c>
      <c r="J293" s="3" t="n">
        <v>20</v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3" t="n">
        <v>4901</v>
      </c>
      <c r="E294" s="4" t="n">
        <v>6.3915</v>
      </c>
      <c r="F294" s="4" t="n">
        <v>1249.26</v>
      </c>
      <c r="G294" s="4" t="n">
        <v>1064.7504</v>
      </c>
      <c r="H294" s="4" t="n">
        <v>50.7024</v>
      </c>
      <c r="I294" s="3" t="n">
        <v>16659</v>
      </c>
      <c r="J294" s="3" t="n">
        <v>21</v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3" t="n">
        <v>4828</v>
      </c>
      <c r="E295" s="4" t="n">
        <v>6.5294</v>
      </c>
      <c r="F295" s="4" t="n">
        <v>1325.11</v>
      </c>
      <c r="G295" s="4" t="n">
        <v>1008.2984</v>
      </c>
      <c r="H295" s="4" t="n">
        <v>53.0683</v>
      </c>
      <c r="I295" s="3" t="n">
        <v>15443</v>
      </c>
      <c r="J295" s="3" t="n">
        <v>19</v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3" t="n">
        <v>4811</v>
      </c>
      <c r="E296" s="4" t="n">
        <v>6.3984</v>
      </c>
      <c r="F296" s="4" t="n">
        <v>994.74</v>
      </c>
      <c r="G296" s="4" t="n">
        <v>880.3482</v>
      </c>
      <c r="H296" s="4" t="n">
        <v>41.9213</v>
      </c>
      <c r="I296" s="3" t="n">
        <v>13759</v>
      </c>
      <c r="J296" s="3" t="n">
        <v>21</v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3" t="n">
        <v>4797</v>
      </c>
      <c r="E297" s="4" t="n">
        <v>5.3132</v>
      </c>
      <c r="F297" s="4" t="n">
        <v>888.64</v>
      </c>
      <c r="G297" s="4" t="n">
        <v>626.614</v>
      </c>
      <c r="H297" s="4" t="n">
        <v>28.4825</v>
      </c>
      <c r="I297" s="3" t="n">
        <v>11794</v>
      </c>
      <c r="J297" s="3" t="n">
        <v>22</v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3" t="n">
        <v>4799</v>
      </c>
      <c r="E298" s="4" t="n">
        <v>4.9388</v>
      </c>
      <c r="F298" s="4" t="n">
        <v>833.53</v>
      </c>
      <c r="G298" s="4" t="n">
        <v>676.7954999999999</v>
      </c>
      <c r="H298" s="4" t="n">
        <v>32.2284</v>
      </c>
      <c r="I298" s="3" t="n">
        <v>13704</v>
      </c>
      <c r="J298" s="3" t="n">
        <v>21</v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3" t="n">
        <v>4885</v>
      </c>
      <c r="E299" s="4" t="n">
        <v>5.8238</v>
      </c>
      <c r="F299" s="4" t="n">
        <v>1249.73</v>
      </c>
      <c r="G299" s="4" t="n">
        <v>1127.9131</v>
      </c>
      <c r="H299" s="4" t="n">
        <v>56.3957</v>
      </c>
      <c r="I299" s="3" t="n">
        <v>19368</v>
      </c>
      <c r="J299" s="3" t="n">
        <v>20</v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3" t="n">
        <v>4923</v>
      </c>
      <c r="E300" s="4" t="n">
        <v>7.1929</v>
      </c>
      <c r="F300" s="4" t="n">
        <v>1449.89</v>
      </c>
      <c r="G300" s="4" t="n">
        <v>1181.3264</v>
      </c>
      <c r="H300" s="4" t="n">
        <v>53.6967</v>
      </c>
      <c r="I300" s="3" t="n">
        <v>16424</v>
      </c>
      <c r="J300" s="3" t="n">
        <v>22</v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3" t="n">
        <v>4891</v>
      </c>
      <c r="E301" s="4" t="n">
        <v>4.5453</v>
      </c>
      <c r="F301" s="4" t="n">
        <v>913.65</v>
      </c>
      <c r="G301" s="4" t="n">
        <v>840.6098</v>
      </c>
      <c r="H301" s="4" t="n">
        <v>44.2426</v>
      </c>
      <c r="I301" s="3" t="n">
        <v>18495</v>
      </c>
      <c r="J301" s="3" t="n">
        <v>19</v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3" t="n">
        <v>4994</v>
      </c>
      <c r="E302" s="4" t="n">
        <v>5.4698</v>
      </c>
      <c r="F302" s="4" t="n">
        <v>1107.28</v>
      </c>
      <c r="G302" s="4" t="n">
        <v>916.8373</v>
      </c>
      <c r="H302" s="4" t="n">
        <v>43.6589</v>
      </c>
      <c r="I302" s="3" t="n">
        <v>16762</v>
      </c>
      <c r="J302" s="3" t="n">
        <v>21</v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3" t="n">
        <v>5012</v>
      </c>
      <c r="E303" s="4" t="n">
        <v>6.1644</v>
      </c>
      <c r="F303" s="4" t="n">
        <v>1578.1</v>
      </c>
      <c r="G303" s="4" t="n">
        <v>867.8937</v>
      </c>
      <c r="H303" s="4" t="n">
        <v>39.4497</v>
      </c>
      <c r="I303" s="3" t="n">
        <v>14080</v>
      </c>
      <c r="J303" s="3" t="n">
        <v>22</v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3" t="n">
        <v>4991</v>
      </c>
      <c r="E304" s="4" t="n">
        <v>4.9149</v>
      </c>
      <c r="F304" s="4" t="n">
        <v>1299.91</v>
      </c>
      <c r="G304" s="4" t="n">
        <v>681.0337</v>
      </c>
      <c r="H304" s="4" t="n">
        <v>32.4302</v>
      </c>
      <c r="I304" s="3" t="n">
        <v>13857</v>
      </c>
      <c r="J304" s="3" t="n">
        <v>21</v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3" t="n">
        <v>4996</v>
      </c>
      <c r="E305" s="4" t="n">
        <v>5.1614</v>
      </c>
      <c r="F305" s="4" t="n">
        <v>893.4400000000001</v>
      </c>
      <c r="G305" s="4" t="n">
        <v>710.5896</v>
      </c>
      <c r="H305" s="4" t="n">
        <v>35.5295</v>
      </c>
      <c r="I305" s="3" t="n">
        <v>13768</v>
      </c>
      <c r="J305" s="3" t="n">
        <v>20</v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3" t="n">
        <v>5130</v>
      </c>
      <c r="E306" s="4" t="n">
        <v>4.7728</v>
      </c>
      <c r="F306" s="4" t="n">
        <v>1017.96</v>
      </c>
      <c r="G306" s="4" t="n">
        <v>770.3895</v>
      </c>
      <c r="H306" s="4" t="n">
        <v>36.6852</v>
      </c>
      <c r="I306" s="3" t="n">
        <v>16142</v>
      </c>
      <c r="J306" s="3" t="n">
        <v>21</v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3" t="n">
        <v>4969</v>
      </c>
      <c r="E307" s="4" t="n">
        <v>3.4717</v>
      </c>
      <c r="F307" s="4" t="n">
        <v>789.9299999999999</v>
      </c>
      <c r="G307" s="4" t="n">
        <v>515.9512</v>
      </c>
      <c r="H307" s="4" t="n">
        <v>30.3501</v>
      </c>
      <c r="I307" s="3" t="n">
        <v>14862</v>
      </c>
      <c r="J307" s="3" t="n">
        <v>17</v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3" t="n">
        <v>5050</v>
      </c>
      <c r="E308" s="4" t="n">
        <v>4.9999</v>
      </c>
      <c r="F308" s="4" t="n">
        <v>1089.3</v>
      </c>
      <c r="G308" s="4" t="n">
        <v>815.8706</v>
      </c>
      <c r="H308" s="4" t="n">
        <v>37.085</v>
      </c>
      <c r="I308" s="3" t="n">
        <v>16318</v>
      </c>
      <c r="J308" s="3" t="n">
        <v>22</v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3" t="n">
        <v>5087</v>
      </c>
      <c r="E309" s="4" t="n">
        <v>5.4149</v>
      </c>
      <c r="F309" s="4" t="n">
        <v>1323.75</v>
      </c>
      <c r="G309" s="4" t="n">
        <v>1082.9007</v>
      </c>
      <c r="H309" s="4" t="n">
        <v>51.5667</v>
      </c>
      <c r="I309" s="3" t="n">
        <v>19999</v>
      </c>
      <c r="J309" s="3" t="n">
        <v>21</v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3" t="n">
        <v>5113</v>
      </c>
      <c r="E310" s="4" t="n">
        <v>5.883</v>
      </c>
      <c r="F310" s="4" t="n">
        <v>1260.95</v>
      </c>
      <c r="G310" s="4" t="n">
        <v>976.4361</v>
      </c>
      <c r="H310" s="4" t="n">
        <v>46.497</v>
      </c>
      <c r="I310" s="3" t="n">
        <v>16598</v>
      </c>
      <c r="J310" s="3" t="n">
        <v>21</v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3" t="n">
        <v>5177</v>
      </c>
      <c r="E311" s="4" t="n">
        <v>6.954</v>
      </c>
      <c r="F311" s="4" t="n">
        <v>1979.31</v>
      </c>
      <c r="G311" s="4" t="n">
        <v>1513.1794</v>
      </c>
      <c r="H311" s="4" t="n">
        <v>68.7809</v>
      </c>
      <c r="I311" s="3" t="n">
        <v>21760</v>
      </c>
      <c r="J311" s="3" t="n">
        <v>22</v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3" t="n">
        <v>5192</v>
      </c>
      <c r="E312" s="4" t="n">
        <v>6.637</v>
      </c>
      <c r="F312" s="4" t="n">
        <v>2060.65</v>
      </c>
      <c r="G312" s="4" t="n">
        <v>1241.3876</v>
      </c>
      <c r="H312" s="4" t="n">
        <v>62.0694</v>
      </c>
      <c r="I312" s="3" t="n">
        <v>18704</v>
      </c>
      <c r="J312" s="3" t="n">
        <v>20</v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3" t="n">
        <v>5207</v>
      </c>
      <c r="E313" s="4" t="n">
        <v>5.9881</v>
      </c>
      <c r="F313" s="4" t="n">
        <v>1369.48</v>
      </c>
      <c r="G313" s="4" t="n">
        <v>1000.3449</v>
      </c>
      <c r="H313" s="4" t="n">
        <v>50.0172</v>
      </c>
      <c r="I313" s="3" t="n">
        <v>16706</v>
      </c>
      <c r="J313" s="3" t="n">
        <v>20</v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3" t="n">
        <v>5245</v>
      </c>
      <c r="E314" s="4" t="n">
        <v>6.2483</v>
      </c>
      <c r="F314" s="4" t="n">
        <v>1736.58</v>
      </c>
      <c r="G314" s="4" t="n">
        <v>1112.7322</v>
      </c>
      <c r="H314" s="4" t="n">
        <v>52.9872</v>
      </c>
      <c r="I314" s="3" t="n">
        <v>17809</v>
      </c>
      <c r="J314" s="3" t="n">
        <v>21</v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3" t="n">
        <v>5340</v>
      </c>
      <c r="E315" s="4" t="n">
        <v>8.4831</v>
      </c>
      <c r="F315" s="4" t="n">
        <v>2465.53</v>
      </c>
      <c r="G315" s="4" t="n">
        <v>1938.8535</v>
      </c>
      <c r="H315" s="4" t="n">
        <v>96.9427</v>
      </c>
      <c r="I315" s="3" t="n">
        <v>22856</v>
      </c>
      <c r="J315" s="3" t="n">
        <v>20</v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3" t="n">
        <v>5429</v>
      </c>
      <c r="E316" s="4" t="n">
        <v>10.8765</v>
      </c>
      <c r="F316" s="4" t="n">
        <v>2989.25</v>
      </c>
      <c r="G316" s="4" t="n">
        <v>2158.4955</v>
      </c>
      <c r="H316" s="4" t="n">
        <v>98.1134</v>
      </c>
      <c r="I316" s="3" t="n">
        <v>19846</v>
      </c>
      <c r="J316" s="3" t="n">
        <v>22</v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3" t="n">
        <v>5466</v>
      </c>
      <c r="E317" s="4" t="n">
        <v>10.5871</v>
      </c>
      <c r="F317" s="4" t="n">
        <v>2660.39</v>
      </c>
      <c r="G317" s="4" t="n">
        <v>2210.64</v>
      </c>
      <c r="H317" s="4" t="n">
        <v>105.2686</v>
      </c>
      <c r="I317" s="3" t="n">
        <v>20881</v>
      </c>
      <c r="J317" s="3" t="n">
        <v>21</v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3" t="n">
        <v>5451</v>
      </c>
      <c r="E318" s="4" t="n">
        <v>7.0915</v>
      </c>
      <c r="F318" s="4" t="n">
        <v>1482.02</v>
      </c>
      <c r="G318" s="4" t="n">
        <v>1723.5921</v>
      </c>
      <c r="H318" s="4" t="n">
        <v>90.7154</v>
      </c>
      <c r="I318" s="3" t="n">
        <v>24306</v>
      </c>
      <c r="J318" s="3" t="n">
        <v>19</v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3" t="n">
        <v>5419</v>
      </c>
      <c r="E319" s="4" t="n">
        <v>7.6649</v>
      </c>
      <c r="F319" s="4" t="n">
        <v>1883.99</v>
      </c>
      <c r="G319" s="4" t="n">
        <v>1527.6743</v>
      </c>
      <c r="H319" s="4" t="n">
        <v>76.3837</v>
      </c>
      <c r="I319" s="3" t="n">
        <v>19931</v>
      </c>
      <c r="J319" s="3" t="n">
        <v>20</v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3" t="n">
        <v>5476</v>
      </c>
      <c r="E320" s="4" t="n">
        <v>8.711600000000001</v>
      </c>
      <c r="F320" s="4" t="n">
        <v>1762.58</v>
      </c>
      <c r="G320" s="4" t="n">
        <v>1695.9224</v>
      </c>
      <c r="H320" s="4" t="n">
        <v>77.0874</v>
      </c>
      <c r="I320" s="3" t="n">
        <v>19468</v>
      </c>
      <c r="J320" s="3" t="n">
        <v>22</v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3" t="n">
        <v>5617</v>
      </c>
      <c r="E321" s="4" t="n">
        <v>10.8027</v>
      </c>
      <c r="F321" s="4" t="n">
        <v>2014.61</v>
      </c>
      <c r="G321" s="4" t="n">
        <v>2270.0157</v>
      </c>
      <c r="H321" s="4" t="n">
        <v>119.4745</v>
      </c>
      <c r="I321" s="3" t="n">
        <v>21014</v>
      </c>
      <c r="J321" s="3" t="n">
        <v>19</v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3" t="n">
        <v>5703</v>
      </c>
      <c r="E322" s="4" t="n">
        <v>12.103</v>
      </c>
      <c r="F322" s="4" t="n">
        <v>2425.37</v>
      </c>
      <c r="G322" s="4" t="n">
        <v>2351.4812</v>
      </c>
      <c r="H322" s="4" t="n">
        <v>106.8855</v>
      </c>
      <c r="I322" s="3" t="n">
        <v>19429</v>
      </c>
      <c r="J322" s="3" t="n">
        <v>22</v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3" t="n">
        <v>5789</v>
      </c>
      <c r="E323" s="4" t="n">
        <v>10.432</v>
      </c>
      <c r="F323" s="4" t="n">
        <v>1854.15</v>
      </c>
      <c r="G323" s="4" t="n">
        <v>2093.4801</v>
      </c>
      <c r="H323" s="4" t="n">
        <v>99.6895</v>
      </c>
      <c r="I323" s="3" t="n">
        <v>20068</v>
      </c>
      <c r="J323" s="3" t="n">
        <v>21</v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3" t="n">
        <v>5869</v>
      </c>
      <c r="E324" s="4" t="n">
        <v>9.402100000000001</v>
      </c>
      <c r="F324" s="4" t="n">
        <v>1753.63</v>
      </c>
      <c r="G324" s="4" t="n">
        <v>1806.8175</v>
      </c>
      <c r="H324" s="4" t="n">
        <v>86.0389</v>
      </c>
      <c r="I324" s="3" t="n">
        <v>19218</v>
      </c>
      <c r="J324" s="3" t="n">
        <v>21</v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3" t="n">
        <v>5830</v>
      </c>
      <c r="E325" s="4" t="n">
        <v>8.646599999999999</v>
      </c>
      <c r="F325" s="4" t="n">
        <v>1670.97</v>
      </c>
      <c r="G325" s="4" t="n">
        <v>1614.6292</v>
      </c>
      <c r="H325" s="4" t="n">
        <v>73.3922</v>
      </c>
      <c r="I325" s="3" t="n">
        <v>18674</v>
      </c>
      <c r="J325" s="3" t="n">
        <v>22</v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3" t="n">
        <v>5822</v>
      </c>
      <c r="E326" s="4" t="n">
        <v>7.0304</v>
      </c>
      <c r="F326" s="4" t="n">
        <v>1263.29</v>
      </c>
      <c r="G326" s="4" t="n">
        <v>1202.6495</v>
      </c>
      <c r="H326" s="4" t="n">
        <v>63.2973</v>
      </c>
      <c r="I326" s="3" t="n">
        <v>17107</v>
      </c>
      <c r="J326" s="3" t="n">
        <v>19</v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3" t="n">
        <v>5938</v>
      </c>
      <c r="E327" s="4" t="n">
        <v>7.6263</v>
      </c>
      <c r="F327" s="4" t="n">
        <v>1619.85</v>
      </c>
      <c r="G327" s="4" t="n">
        <v>1398.7767</v>
      </c>
      <c r="H327" s="4" t="n">
        <v>66.6084</v>
      </c>
      <c r="I327" s="3" t="n">
        <v>18342</v>
      </c>
      <c r="J327" s="3" t="n">
        <v>21</v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3" t="n">
        <v>5950</v>
      </c>
      <c r="E328" s="4" t="n">
        <v>7.9657</v>
      </c>
      <c r="F328" s="4" t="n">
        <v>1406.33</v>
      </c>
      <c r="G328" s="4" t="n">
        <v>1312.3774</v>
      </c>
      <c r="H328" s="4" t="n">
        <v>57.0599</v>
      </c>
      <c r="I328" s="3" t="n">
        <v>16476</v>
      </c>
      <c r="J328" s="3" t="n">
        <v>23</v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3" t="n">
        <v>5860</v>
      </c>
      <c r="E329" s="4" t="n">
        <v>6.6863</v>
      </c>
      <c r="F329" s="4" t="n">
        <v>1023.6</v>
      </c>
      <c r="G329" s="4" t="n">
        <v>994.8715999999999</v>
      </c>
      <c r="H329" s="4" t="n">
        <v>49.7436</v>
      </c>
      <c r="I329" s="3" t="n">
        <v>14880</v>
      </c>
      <c r="J329" s="3" t="n">
        <v>20</v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3" t="n">
        <v>5919</v>
      </c>
      <c r="E330" s="4" t="n">
        <v>6.2377</v>
      </c>
      <c r="F330" s="4" t="n">
        <v>1273.82</v>
      </c>
      <c r="G330" s="4" t="n">
        <v>1070.3728</v>
      </c>
      <c r="H330" s="4" t="n">
        <v>56.3354</v>
      </c>
      <c r="I330" s="3" t="n">
        <v>17160</v>
      </c>
      <c r="J330" s="3" t="n">
        <v>19</v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3" t="n">
        <v>5903</v>
      </c>
      <c r="E331" s="4" t="n">
        <v>6.2277</v>
      </c>
      <c r="F331" s="4" t="n">
        <v>1161.8</v>
      </c>
      <c r="G331" s="4" t="n">
        <v>1129.1048</v>
      </c>
      <c r="H331" s="4" t="n">
        <v>59.4266</v>
      </c>
      <c r="I331" s="3" t="n">
        <v>18131</v>
      </c>
      <c r="J331" s="3" t="n">
        <v>19</v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3" t="n">
        <v>5980</v>
      </c>
      <c r="E332" s="4" t="n">
        <v>7.2777</v>
      </c>
      <c r="F332" s="4" t="n">
        <v>1608.69</v>
      </c>
      <c r="G332" s="4" t="n">
        <v>1582.575</v>
      </c>
      <c r="H332" s="4" t="n">
        <v>75.36069999999999</v>
      </c>
      <c r="I332" s="3" t="n">
        <v>21746</v>
      </c>
      <c r="J332" s="3" t="n">
        <v>21</v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3" t="n">
        <v>6042</v>
      </c>
      <c r="E333" s="4" t="n">
        <v>7.2459</v>
      </c>
      <c r="F333" s="4" t="n">
        <v>1875.61</v>
      </c>
      <c r="G333" s="4" t="n">
        <v>1668.2102</v>
      </c>
      <c r="H333" s="4" t="n">
        <v>79.43859999999999</v>
      </c>
      <c r="I333" s="3" t="n">
        <v>23023</v>
      </c>
      <c r="J333" s="3" t="n">
        <v>21</v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3" t="n">
        <v>6172</v>
      </c>
      <c r="E334" s="4" t="n">
        <v>7.622</v>
      </c>
      <c r="F334" s="4" t="n">
        <v>1845.23</v>
      </c>
      <c r="G334" s="4" t="n">
        <v>1653.5352</v>
      </c>
      <c r="H334" s="4" t="n">
        <v>71.89279999999999</v>
      </c>
      <c r="I334" s="3" t="n">
        <v>21695</v>
      </c>
      <c r="J334" s="3" t="n">
        <v>23</v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3" t="n">
        <v>6191</v>
      </c>
      <c r="E335" s="4" t="n">
        <v>6.8051</v>
      </c>
      <c r="F335" s="4" t="n">
        <v>1698.21</v>
      </c>
      <c r="G335" s="4" t="n">
        <v>1742.6605</v>
      </c>
      <c r="H335" s="4" t="n">
        <v>91.71899999999999</v>
      </c>
      <c r="I335" s="3" t="n">
        <v>25609</v>
      </c>
      <c r="J335" s="3" t="n">
        <v>19</v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3" t="n">
        <v>6277</v>
      </c>
      <c r="E336" s="4" t="n">
        <v>8.4122</v>
      </c>
      <c r="F336" s="4" t="n">
        <v>2567.32</v>
      </c>
      <c r="G336" s="4" t="n">
        <v>1703.5267</v>
      </c>
      <c r="H336" s="4" t="n">
        <v>77.43300000000001</v>
      </c>
      <c r="I336" s="3" t="n">
        <v>20251</v>
      </c>
      <c r="J336" s="3" t="n">
        <v>22</v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3" t="n">
        <v>6308</v>
      </c>
      <c r="E337" s="4" t="n">
        <v>7.3433</v>
      </c>
      <c r="F337" s="4" t="n">
        <v>2022.29</v>
      </c>
      <c r="G337" s="4" t="n">
        <v>1609.1027</v>
      </c>
      <c r="H337" s="4" t="n">
        <v>76.62390000000001</v>
      </c>
      <c r="I337" s="3" t="n">
        <v>21913</v>
      </c>
      <c r="J337" s="3" t="n">
        <v>21</v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3" t="n">
        <v>6279</v>
      </c>
      <c r="E338" s="4" t="n">
        <v>6.3099</v>
      </c>
      <c r="F338" s="4" t="n">
        <v>1614.93</v>
      </c>
      <c r="G338" s="4" t="n">
        <v>1576.2267</v>
      </c>
      <c r="H338" s="4" t="n">
        <v>82.9593</v>
      </c>
      <c r="I338" s="3" t="n">
        <v>24981</v>
      </c>
      <c r="J338" s="3" t="n">
        <v>19</v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3" t="n">
        <v>6433</v>
      </c>
      <c r="E339" s="4" t="n">
        <v>6.6919</v>
      </c>
      <c r="F339" s="4" t="n">
        <v>1931.65</v>
      </c>
      <c r="G339" s="4" t="n">
        <v>1554.272</v>
      </c>
      <c r="H339" s="4" t="n">
        <v>70.64870000000001</v>
      </c>
      <c r="I339" s="3" t="n">
        <v>23227</v>
      </c>
      <c r="J339" s="3" t="n">
        <v>22</v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3" t="n">
        <v>6436</v>
      </c>
      <c r="E340" s="4" t="n">
        <v>7.4901</v>
      </c>
      <c r="F340" s="4" t="n">
        <v>1833.73</v>
      </c>
      <c r="G340" s="4" t="n">
        <v>1810.5842</v>
      </c>
      <c r="H340" s="4" t="n">
        <v>90.5292</v>
      </c>
      <c r="I340" s="3" t="n">
        <v>24173</v>
      </c>
      <c r="J340" s="3" t="n">
        <v>20</v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3" t="n">
        <v>6407</v>
      </c>
      <c r="E341" s="4" t="n">
        <v>7.0803</v>
      </c>
      <c r="F341" s="4" t="n">
        <v>1779.65</v>
      </c>
      <c r="G341" s="4" t="n">
        <v>1825.3368</v>
      </c>
      <c r="H341" s="4" t="n">
        <v>86.9208</v>
      </c>
      <c r="I341" s="3" t="n">
        <v>25781</v>
      </c>
      <c r="J341" s="3" t="n">
        <v>21</v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3" t="n">
        <v>6520</v>
      </c>
      <c r="E342" s="4" t="n">
        <v>7.5359</v>
      </c>
      <c r="F342" s="4" t="n">
        <v>1743.8</v>
      </c>
      <c r="G342" s="4" t="n">
        <v>1781.3377</v>
      </c>
      <c r="H342" s="4" t="n">
        <v>93.7546</v>
      </c>
      <c r="I342" s="3" t="n">
        <v>23639</v>
      </c>
      <c r="J342" s="3" t="n">
        <v>19</v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3" t="n">
        <v>6509</v>
      </c>
      <c r="E343" s="4" t="n">
        <v>7.7318</v>
      </c>
      <c r="F343" s="4" t="n">
        <v>1810.51</v>
      </c>
      <c r="G343" s="4" t="n">
        <v>1864.6166</v>
      </c>
      <c r="H343" s="4" t="n">
        <v>93.2308</v>
      </c>
      <c r="I343" s="3" t="n">
        <v>24117</v>
      </c>
      <c r="J343" s="3" t="n">
        <v>20</v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3" t="n">
        <v>6467</v>
      </c>
      <c r="E344" s="4" t="n">
        <v>7.7003</v>
      </c>
      <c r="F344" s="4" t="n">
        <v>1333.68</v>
      </c>
      <c r="G344" s="4" t="n">
        <v>2013.2658</v>
      </c>
      <c r="H344" s="4" t="n">
        <v>105.9614</v>
      </c>
      <c r="I344" s="3" t="n">
        <v>26146</v>
      </c>
      <c r="J344" s="3" t="n">
        <v>19</v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3" t="n">
        <v>6607</v>
      </c>
      <c r="E345" s="4" t="n">
        <v>7.9593</v>
      </c>
      <c r="F345" s="4" t="n">
        <v>1442.05</v>
      </c>
      <c r="G345" s="4" t="n">
        <v>2095.3022</v>
      </c>
      <c r="H345" s="4" t="n">
        <v>99.77630000000001</v>
      </c>
      <c r="I345" s="3" t="n">
        <v>26326</v>
      </c>
      <c r="J345" s="3" t="n">
        <v>21</v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3" t="n">
        <v>6613</v>
      </c>
      <c r="E346" s="4" t="n">
        <v>8.829599999999999</v>
      </c>
      <c r="F346" s="4" t="n">
        <v>1389.81</v>
      </c>
      <c r="G346" s="4" t="n">
        <v>2270.1816</v>
      </c>
      <c r="H346" s="4" t="n">
        <v>98.70350000000001</v>
      </c>
      <c r="I346" s="3" t="n">
        <v>25712</v>
      </c>
      <c r="J346" s="3" t="n">
        <v>23</v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3" t="n">
        <v>6178</v>
      </c>
      <c r="E347" s="4" t="n">
        <v>2.9729</v>
      </c>
      <c r="F347" s="4" t="n">
        <v>487.43</v>
      </c>
      <c r="G347" s="4" t="n">
        <v>857.265</v>
      </c>
      <c r="H347" s="4" t="n">
        <v>107.1581</v>
      </c>
      <c r="I347" s="3" t="n">
        <v>28837</v>
      </c>
      <c r="J347" s="3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4" customWidth="1" min="6" max="6"/>
    <col width="18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Companies Traded</t>
        </is>
      </c>
      <c r="F1" s="1" t="inlineStr">
        <is>
          <t>No. of Trades (Crs)</t>
        </is>
      </c>
      <c r="G1" s="1" t="inlineStr">
        <is>
          <t>No. of Shares Traded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2556</v>
      </c>
      <c r="F2" s="8" t="n">
        <v>0.1546</v>
      </c>
      <c r="G2" s="4" t="n">
        <v>14.2093</v>
      </c>
      <c r="H2" s="4" t="n">
        <v>18.8494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2655</v>
      </c>
      <c r="F3" s="8" t="n">
        <v>0.1763</v>
      </c>
      <c r="G3" s="4" t="n">
        <v>15.1094</v>
      </c>
      <c r="H3" s="4" t="n">
        <v>21.8876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2831</v>
      </c>
      <c r="F4" s="8" t="n">
        <v>0.1989</v>
      </c>
      <c r="G4" s="4" t="n">
        <v>15.2071</v>
      </c>
      <c r="H4" s="4" t="n">
        <v>23.503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2749</v>
      </c>
      <c r="F5" s="8" t="n">
        <v>0.2637</v>
      </c>
      <c r="G5" s="4" t="n">
        <v>16.8528</v>
      </c>
      <c r="H5" s="4" t="n">
        <v>25.6514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2821</v>
      </c>
      <c r="F6" s="8" t="n">
        <v>0.2027</v>
      </c>
      <c r="G6" s="4" t="n">
        <v>22.9422</v>
      </c>
      <c r="H6" s="4" t="n">
        <v>26.2093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2839</v>
      </c>
      <c r="F7" s="8" t="n">
        <v>0.2044</v>
      </c>
      <c r="G7" s="4" t="n">
        <v>24.7883</v>
      </c>
      <c r="H7" s="4" t="n">
        <v>22.5763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2850</v>
      </c>
      <c r="F8" s="8" t="n">
        <v>0.2315</v>
      </c>
      <c r="G8" s="4" t="n">
        <v>26.8221</v>
      </c>
      <c r="H8" s="4" t="n">
        <v>40.7167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2762</v>
      </c>
      <c r="F9" s="8" t="n">
        <v>0.1926</v>
      </c>
      <c r="G9" s="4" t="n">
        <v>18.8464</v>
      </c>
      <c r="H9" s="4" t="n">
        <v>21.9187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2847</v>
      </c>
      <c r="F10" s="8" t="n">
        <v>0.2246</v>
      </c>
      <c r="G10" s="4" t="n">
        <v>24.1907</v>
      </c>
      <c r="H10" s="4" t="n">
        <v>28.1229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2926</v>
      </c>
      <c r="F11" s="8" t="n">
        <v>0.21</v>
      </c>
      <c r="G11" s="4" t="n">
        <v>24.4017</v>
      </c>
      <c r="H11" s="4" t="n">
        <v>23.3941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2779</v>
      </c>
      <c r="F12" s="8" t="n">
        <v>0.1915</v>
      </c>
      <c r="G12" s="4" t="n">
        <v>26.8339</v>
      </c>
      <c r="H12" s="4" t="n">
        <v>21.9262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2780</v>
      </c>
      <c r="F13" s="8" t="n">
        <v>0.1802</v>
      </c>
      <c r="G13" s="4" t="n">
        <v>22.7124</v>
      </c>
      <c r="H13" s="4" t="n">
        <v>26.9285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2817</v>
      </c>
      <c r="F14" s="8" t="n">
        <v>0.1682</v>
      </c>
      <c r="G14" s="4" t="n">
        <v>24.1888</v>
      </c>
      <c r="H14" s="4" t="n">
        <v>26.8122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2785</v>
      </c>
      <c r="F15" s="8" t="n">
        <v>0.1875</v>
      </c>
      <c r="G15" s="4" t="n">
        <v>19.9239</v>
      </c>
      <c r="H15" s="4" t="n">
        <v>24.9318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2877</v>
      </c>
      <c r="F16" s="8" t="n">
        <v>0.1613</v>
      </c>
      <c r="G16" s="4" t="n">
        <v>20.2553</v>
      </c>
      <c r="H16" s="4" t="n">
        <v>20.148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2803</v>
      </c>
      <c r="F17" s="8" t="n">
        <v>0.1615</v>
      </c>
      <c r="G17" s="4" t="n">
        <v>19.0808</v>
      </c>
      <c r="H17" s="4" t="n">
        <v>22.4933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2773</v>
      </c>
      <c r="F18" s="8" t="n">
        <v>0.1793</v>
      </c>
      <c r="G18" s="4" t="n">
        <v>20.9621</v>
      </c>
      <c r="H18" s="4" t="n">
        <v>22.0755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2841</v>
      </c>
      <c r="F19" s="8" t="n">
        <v>0.2026</v>
      </c>
      <c r="G19" s="4" t="n">
        <v>31.5334</v>
      </c>
      <c r="H19" s="4" t="n">
        <v>26.6185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2848</v>
      </c>
      <c r="F20" s="8" t="n">
        <v>0.1931</v>
      </c>
      <c r="G20" s="4" t="n">
        <v>23.608</v>
      </c>
      <c r="H20" s="4" t="n">
        <v>23.4183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2829</v>
      </c>
      <c r="F21" s="8" t="n">
        <v>0.1617</v>
      </c>
      <c r="G21" s="4" t="n">
        <v>20.2452</v>
      </c>
      <c r="H21" s="4" t="n">
        <v>21.5087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2708</v>
      </c>
      <c r="F22" s="8" t="n">
        <v>0.1786</v>
      </c>
      <c r="G22" s="4" t="n">
        <v>22.7432</v>
      </c>
      <c r="H22" s="4" t="n">
        <v>20.5749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2698</v>
      </c>
      <c r="F23" s="8" t="n">
        <v>0.1767</v>
      </c>
      <c r="G23" s="4" t="n">
        <v>18.5583</v>
      </c>
      <c r="H23" s="4" t="n">
        <v>31.4578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2739</v>
      </c>
      <c r="F24" s="8" t="n">
        <v>0.1743</v>
      </c>
      <c r="G24" s="4" t="n">
        <v>19.6544</v>
      </c>
      <c r="H24" s="4" t="n">
        <v>29.1702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2859</v>
      </c>
      <c r="F25" s="8" t="n">
        <v>0.1493</v>
      </c>
      <c r="G25" s="4" t="n">
        <v>25.2185</v>
      </c>
      <c r="H25" s="4" t="n">
        <v>25.2113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2686</v>
      </c>
      <c r="F26" s="8" t="n">
        <v>0.1616</v>
      </c>
      <c r="G26" s="4" t="n">
        <v>23.4426</v>
      </c>
      <c r="H26" s="4" t="n">
        <v>32.4339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2785</v>
      </c>
      <c r="F27" s="8" t="n">
        <v>0.1768</v>
      </c>
      <c r="G27" s="4" t="n">
        <v>32.457</v>
      </c>
      <c r="H27" s="4" t="n">
        <v>27.6852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2705</v>
      </c>
      <c r="F28" s="8" t="n">
        <v>0.1639</v>
      </c>
      <c r="G28" s="4" t="n">
        <v>19.9116</v>
      </c>
      <c r="H28" s="4" t="n">
        <v>22.959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2728</v>
      </c>
      <c r="F29" s="8" t="n">
        <v>0.1493</v>
      </c>
      <c r="G29" s="4" t="n">
        <v>21.3283</v>
      </c>
      <c r="H29" s="4" t="n">
        <v>19.8974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2722</v>
      </c>
      <c r="F30" s="8" t="n">
        <v>0.1785</v>
      </c>
      <c r="G30" s="4" t="n">
        <v>23.1142</v>
      </c>
      <c r="H30" s="4" t="n">
        <v>23.3726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2688</v>
      </c>
      <c r="F31" s="8" t="n">
        <v>0.1528</v>
      </c>
      <c r="G31" s="4" t="n">
        <v>39.5832</v>
      </c>
      <c r="H31" s="4" t="n">
        <v>106.5502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2726</v>
      </c>
      <c r="F32" s="8" t="n">
        <v>0.1434</v>
      </c>
      <c r="G32" s="4" t="n">
        <v>26.671</v>
      </c>
      <c r="H32" s="4" t="n">
        <v>20.2486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2629</v>
      </c>
      <c r="F33" s="8" t="n">
        <v>0.1416</v>
      </c>
      <c r="G33" s="4" t="n">
        <v>22.5313</v>
      </c>
      <c r="H33" s="4" t="n">
        <v>19.2961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2688</v>
      </c>
      <c r="F34" s="8" t="n">
        <v>0.1646</v>
      </c>
      <c r="G34" s="4" t="n">
        <v>22.4598</v>
      </c>
      <c r="H34" s="4" t="n">
        <v>21.7499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2778</v>
      </c>
      <c r="F35" s="8" t="n">
        <v>0.1637</v>
      </c>
      <c r="G35" s="4" t="n">
        <v>34.8918</v>
      </c>
      <c r="H35" s="4" t="n">
        <v>115.962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2704</v>
      </c>
      <c r="F36" s="8" t="n">
        <v>0.1512</v>
      </c>
      <c r="G36" s="4" t="n">
        <v>19.7905</v>
      </c>
      <c r="H36" s="4" t="n">
        <v>21.0815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2745</v>
      </c>
      <c r="F37" s="8" t="n">
        <v>0.1697</v>
      </c>
      <c r="G37" s="4" t="n">
        <v>31.8516</v>
      </c>
      <c r="H37" s="4" t="n">
        <v>30.2683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2753</v>
      </c>
      <c r="F38" s="8" t="n">
        <v>0.1922</v>
      </c>
      <c r="G38" s="4" t="n">
        <v>60.2484</v>
      </c>
      <c r="H38" s="4" t="n">
        <v>37.3438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2877</v>
      </c>
      <c r="F39" s="8" t="n">
        <v>0.1977</v>
      </c>
      <c r="G39" s="4" t="n">
        <v>33.2941</v>
      </c>
      <c r="H39" s="4" t="n">
        <v>28.6139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2858</v>
      </c>
      <c r="F40" s="8" t="n">
        <v>0.2069</v>
      </c>
      <c r="G40" s="4" t="n">
        <v>41.824</v>
      </c>
      <c r="H40" s="4" t="n">
        <v>102.4373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2904</v>
      </c>
      <c r="F41" s="8" t="n">
        <v>0.1917</v>
      </c>
      <c r="G41" s="4" t="n">
        <v>42.6835</v>
      </c>
      <c r="H41" s="4" t="n">
        <v>42.3009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2852</v>
      </c>
      <c r="F42" s="8" t="n">
        <v>0.1963</v>
      </c>
      <c r="G42" s="4" t="n">
        <v>38.5191</v>
      </c>
      <c r="H42" s="4" t="n">
        <v>47.8182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2952</v>
      </c>
      <c r="F43" s="8" t="n">
        <v>0.2215</v>
      </c>
      <c r="G43" s="4" t="n">
        <v>51.7139</v>
      </c>
      <c r="H43" s="4" t="n">
        <v>32.6294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3067</v>
      </c>
      <c r="F44" s="8" t="n">
        <v>0.2518</v>
      </c>
      <c r="G44" s="4" t="n">
        <v>56.0079</v>
      </c>
      <c r="H44" s="4" t="n">
        <v>39.9795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2993</v>
      </c>
      <c r="F45" s="8" t="n">
        <v>0.2051</v>
      </c>
      <c r="G45" s="4" t="n">
        <v>56.1942</v>
      </c>
      <c r="H45" s="4" t="n">
        <v>34.2118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2946</v>
      </c>
      <c r="F46" s="8" t="n">
        <v>0.2284</v>
      </c>
      <c r="G46" s="4" t="n">
        <v>42.5503</v>
      </c>
      <c r="H46" s="4" t="n">
        <v>29.283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2914</v>
      </c>
      <c r="F47" s="8" t="n">
        <v>0.2256</v>
      </c>
      <c r="G47" s="4" t="n">
        <v>71.00790000000001</v>
      </c>
      <c r="H47" s="4" t="n">
        <v>33.3952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2878</v>
      </c>
      <c r="F48" s="8" t="n">
        <v>0.2313</v>
      </c>
      <c r="G48" s="4" t="n">
        <v>52.0951</v>
      </c>
      <c r="H48" s="4" t="n">
        <v>33.4792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2985</v>
      </c>
      <c r="F49" s="8" t="n">
        <v>0.2505</v>
      </c>
      <c r="G49" s="4" t="n">
        <v>38.555</v>
      </c>
      <c r="H49" s="4" t="n">
        <v>29.5992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2956</v>
      </c>
      <c r="F50" s="8" t="n">
        <v>0.2752</v>
      </c>
      <c r="G50" s="4" t="n">
        <v>47.1883</v>
      </c>
      <c r="H50" s="4" t="n">
        <v>38.883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2973</v>
      </c>
      <c r="F51" s="8" t="n">
        <v>0.2365</v>
      </c>
      <c r="G51" s="4" t="n">
        <v>33.9531</v>
      </c>
      <c r="H51" s="4" t="n">
        <v>34.6789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3007</v>
      </c>
      <c r="F52" s="8" t="n">
        <v>0.2764</v>
      </c>
      <c r="G52" s="4" t="n">
        <v>50.6285</v>
      </c>
      <c r="H52" s="4" t="n">
        <v>33.0274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3041</v>
      </c>
      <c r="F53" s="8" t="n">
        <v>0.3283</v>
      </c>
      <c r="G53" s="4" t="n">
        <v>49.4454</v>
      </c>
      <c r="H53" s="4" t="n">
        <v>47.2187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3198</v>
      </c>
      <c r="F54" s="8" t="n">
        <v>0.3308</v>
      </c>
      <c r="G54" s="4" t="n">
        <v>52.6614</v>
      </c>
      <c r="H54" s="4" t="n">
        <v>45.5984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3121</v>
      </c>
      <c r="F55" s="8" t="n">
        <v>0.3056</v>
      </c>
      <c r="G55" s="4" t="n">
        <v>58.4964</v>
      </c>
      <c r="H55" s="4" t="n">
        <v>225.0317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3126</v>
      </c>
      <c r="F56" s="8" t="n">
        <v>0.3363</v>
      </c>
      <c r="G56" s="4" t="n">
        <v>66.2602</v>
      </c>
      <c r="H56" s="4" t="n">
        <v>75.8839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3052</v>
      </c>
      <c r="F57" s="8" t="n">
        <v>0.2937</v>
      </c>
      <c r="G57" s="4" t="n">
        <v>55.9564</v>
      </c>
      <c r="H57" s="4" t="n">
        <v>37.1795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3133</v>
      </c>
      <c r="F58" s="8" t="n">
        <v>0.2803</v>
      </c>
      <c r="G58" s="4" t="n">
        <v>49.6325</v>
      </c>
      <c r="H58" s="4" t="n">
        <v>38.5213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3168</v>
      </c>
      <c r="F59" s="8" t="n">
        <v>0.2554</v>
      </c>
      <c r="G59" s="4" t="n">
        <v>50.122</v>
      </c>
      <c r="H59" s="4" t="n">
        <v>42.2758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3158</v>
      </c>
      <c r="F60" s="8" t="n">
        <v>0.2325</v>
      </c>
      <c r="G60" s="4" t="n">
        <v>43.5745</v>
      </c>
      <c r="H60" s="4" t="n">
        <v>29.8805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3164</v>
      </c>
      <c r="F61" s="8" t="n">
        <v>0.2407</v>
      </c>
      <c r="G61" s="4" t="n">
        <v>65.2376</v>
      </c>
      <c r="H61" s="4" t="n">
        <v>31.0181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3152</v>
      </c>
      <c r="F62" s="8" t="n">
        <v>0.2355</v>
      </c>
      <c r="G62" s="4" t="n">
        <v>54.4605</v>
      </c>
      <c r="H62" s="4" t="n">
        <v>33.9406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3158</v>
      </c>
      <c r="F63" s="8" t="n">
        <v>0.2179</v>
      </c>
      <c r="G63" s="4" t="n">
        <v>61.0331</v>
      </c>
      <c r="H63" s="4" t="n">
        <v>31.5754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3236</v>
      </c>
      <c r="F64" s="8" t="n">
        <v>0.2265</v>
      </c>
      <c r="G64" s="4" t="n">
        <v>42.7487</v>
      </c>
      <c r="H64" s="4" t="n">
        <v>37.2402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3155</v>
      </c>
      <c r="F65" s="8" t="n">
        <v>0.2305</v>
      </c>
      <c r="G65" s="4" t="n">
        <v>34.0287</v>
      </c>
      <c r="H65" s="4" t="n">
        <v>37.1053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3164</v>
      </c>
      <c r="F66" s="8" t="n">
        <v>0.2334</v>
      </c>
      <c r="G66" s="4" t="n">
        <v>41.6929</v>
      </c>
      <c r="H66" s="4" t="n">
        <v>38.5718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3089</v>
      </c>
      <c r="F67" s="8" t="n">
        <v>0.2009</v>
      </c>
      <c r="G67" s="4" t="n">
        <v>59.8284</v>
      </c>
      <c r="H67" s="4" t="n">
        <v>29.2004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3070</v>
      </c>
      <c r="F68" s="8" t="n">
        <v>0.2234</v>
      </c>
      <c r="G68" s="4" t="n">
        <v>57.8912</v>
      </c>
      <c r="H68" s="4" t="n">
        <v>34.5895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3129</v>
      </c>
      <c r="F69" s="8" t="n">
        <v>0.203</v>
      </c>
      <c r="G69" s="4" t="n">
        <v>34.4688</v>
      </c>
      <c r="H69" s="4" t="n">
        <v>31.931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3061</v>
      </c>
      <c r="F70" s="8" t="n">
        <v>0.2088</v>
      </c>
      <c r="G70" s="4" t="n">
        <v>28.5898</v>
      </c>
      <c r="H70" s="4" t="n">
        <v>30.9297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3022</v>
      </c>
      <c r="F71" s="8" t="n">
        <v>0.2197</v>
      </c>
      <c r="G71" s="4" t="n">
        <v>48.8284</v>
      </c>
      <c r="H71" s="4" t="n">
        <v>35.8319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3017</v>
      </c>
      <c r="F72" s="8" t="n">
        <v>0.2163</v>
      </c>
      <c r="G72" s="4" t="n">
        <v>41.1768</v>
      </c>
      <c r="H72" s="4" t="n">
        <v>34.1956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3060</v>
      </c>
      <c r="F73" s="8" t="n">
        <v>0.2115</v>
      </c>
      <c r="G73" s="4" t="n">
        <v>39.3344</v>
      </c>
      <c r="H73" s="4" t="n">
        <v>33.4641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3160</v>
      </c>
      <c r="F74" s="8" t="n">
        <v>0.2439</v>
      </c>
      <c r="G74" s="4" t="n">
        <v>38.465</v>
      </c>
      <c r="H74" s="4" t="n">
        <v>37.3531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3089</v>
      </c>
      <c r="F75" s="8" t="n">
        <v>0.2192</v>
      </c>
      <c r="G75" s="4" t="n">
        <v>37.9497</v>
      </c>
      <c r="H75" s="4" t="n">
        <v>39.1414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3064</v>
      </c>
      <c r="F76" s="8" t="n">
        <v>0.2355</v>
      </c>
      <c r="G76" s="4" t="n">
        <v>37.2077</v>
      </c>
      <c r="H76" s="4" t="n">
        <v>37.6222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3075</v>
      </c>
      <c r="F77" s="8" t="n">
        <v>0.2517</v>
      </c>
      <c r="G77" s="4" t="n">
        <v>30.9055</v>
      </c>
      <c r="H77" s="4" t="n">
        <v>35.8692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3050</v>
      </c>
      <c r="F78" s="8" t="n">
        <v>0.2304</v>
      </c>
      <c r="G78" s="4" t="n">
        <v>41.0121</v>
      </c>
      <c r="H78" s="4" t="n">
        <v>37.3566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3129</v>
      </c>
      <c r="F79" s="8" t="n">
        <v>0.2241</v>
      </c>
      <c r="G79" s="4" t="n">
        <v>32.1126</v>
      </c>
      <c r="H79" s="4" t="n">
        <v>33.699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3064</v>
      </c>
      <c r="F80" s="8" t="n">
        <v>0.2094</v>
      </c>
      <c r="G80" s="4" t="n">
        <v>39.8725</v>
      </c>
      <c r="H80" s="4" t="n">
        <v>32.0205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3108</v>
      </c>
      <c r="F81" s="8" t="n">
        <v>0.2133</v>
      </c>
      <c r="G81" s="4" t="n">
        <v>43.9055</v>
      </c>
      <c r="H81" s="4" t="n">
        <v>35.7203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3048</v>
      </c>
      <c r="F82" s="8" t="n">
        <v>0.2164</v>
      </c>
      <c r="G82" s="4" t="n">
        <v>36.5463</v>
      </c>
      <c r="H82" s="4" t="n">
        <v>37.411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3100</v>
      </c>
      <c r="F83" s="8" t="n">
        <v>0.225</v>
      </c>
      <c r="G83" s="4" t="n">
        <v>37.8348</v>
      </c>
      <c r="H83" s="4" t="n">
        <v>35.1404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3072</v>
      </c>
      <c r="F84" s="8" t="n">
        <v>0.2124</v>
      </c>
      <c r="G84" s="4" t="n">
        <v>73.58199999999999</v>
      </c>
      <c r="H84" s="4" t="n">
        <v>154.0346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3043</v>
      </c>
      <c r="F85" s="8" t="n">
        <v>0.2084</v>
      </c>
      <c r="G85" s="4" t="n">
        <v>30.3061</v>
      </c>
      <c r="H85" s="4" t="n">
        <v>34.706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3058</v>
      </c>
      <c r="F86" s="8" t="n">
        <v>0.2038</v>
      </c>
      <c r="G86" s="4" t="n">
        <v>33.1121</v>
      </c>
      <c r="H86" s="4" t="n">
        <v>38.8161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3086</v>
      </c>
      <c r="F87" s="8" t="n">
        <v>0.2102</v>
      </c>
      <c r="G87" s="4" t="n">
        <v>34.1613</v>
      </c>
      <c r="H87" s="4" t="n">
        <v>34.541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3111</v>
      </c>
      <c r="F88" s="8" t="n">
        <v>0.2208</v>
      </c>
      <c r="G88" s="4" t="n">
        <v>57.2876</v>
      </c>
      <c r="H88" s="4" t="n">
        <v>37.5064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3206</v>
      </c>
      <c r="F89" s="8" t="n">
        <v>0.2638</v>
      </c>
      <c r="G89" s="4" t="n">
        <v>45.9702</v>
      </c>
      <c r="H89" s="4" t="n">
        <v>40.8211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3176</v>
      </c>
      <c r="F90" s="8" t="n">
        <v>0.2199</v>
      </c>
      <c r="G90" s="4" t="n">
        <v>38.5483</v>
      </c>
      <c r="H90" s="4" t="n">
        <v>34.2878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3139</v>
      </c>
      <c r="F91" s="8" t="n">
        <v>0.2274</v>
      </c>
      <c r="G91" s="4" t="n">
        <v>48.6559</v>
      </c>
      <c r="H91" s="4" t="n">
        <v>42.8842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3127</v>
      </c>
      <c r="F92" s="8" t="n">
        <v>0.2518</v>
      </c>
      <c r="G92" s="4" t="n">
        <v>60.3697</v>
      </c>
      <c r="H92" s="4" t="n">
        <v>39.5386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3124</v>
      </c>
      <c r="F93" s="8" t="n">
        <v>0.2551</v>
      </c>
      <c r="G93" s="4" t="n">
        <v>47.1243</v>
      </c>
      <c r="H93" s="4" t="n">
        <v>39.8535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3196</v>
      </c>
      <c r="F94" s="8" t="n">
        <v>0.2155</v>
      </c>
      <c r="G94" s="4" t="n">
        <v>39.8155</v>
      </c>
      <c r="H94" s="4" t="n">
        <v>32.4705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3206</v>
      </c>
      <c r="F95" s="8" t="n">
        <v>0.2016</v>
      </c>
      <c r="G95" s="4" t="n">
        <v>41.4835</v>
      </c>
      <c r="H95" s="4" t="n">
        <v>31.5072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3206</v>
      </c>
      <c r="F96" s="8" t="n">
        <v>0.2111</v>
      </c>
      <c r="G96" s="4" t="n">
        <v>46.55</v>
      </c>
      <c r="H96" s="4" t="n">
        <v>33.989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3172</v>
      </c>
      <c r="F97" s="8" t="n">
        <v>0.2292</v>
      </c>
      <c r="G97" s="4" t="n">
        <v>44.9621</v>
      </c>
      <c r="H97" s="4" t="n">
        <v>37.1232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3241</v>
      </c>
      <c r="F98" s="8" t="n">
        <v>0.2241</v>
      </c>
      <c r="G98" s="4" t="n">
        <v>42.285</v>
      </c>
      <c r="H98" s="4" t="n">
        <v>35.4211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3309</v>
      </c>
      <c r="F99" s="8" t="n">
        <v>0.2462</v>
      </c>
      <c r="G99" s="4" t="n">
        <v>51.6977</v>
      </c>
      <c r="H99" s="4" t="n">
        <v>42.2035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3220</v>
      </c>
      <c r="F100" s="8" t="n">
        <v>0.2141</v>
      </c>
      <c r="G100" s="4" t="n">
        <v>42.6742</v>
      </c>
      <c r="H100" s="4" t="n">
        <v>52.0957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3308</v>
      </c>
      <c r="F101" s="8" t="n">
        <v>0.2521</v>
      </c>
      <c r="G101" s="4" t="n">
        <v>41.5945</v>
      </c>
      <c r="H101" s="4" t="n">
        <v>38.2606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3293</v>
      </c>
      <c r="F102" s="8" t="n">
        <v>0.2106</v>
      </c>
      <c r="G102" s="4" t="n">
        <v>41.9252</v>
      </c>
      <c r="H102" s="4" t="n">
        <v>36.7705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3336</v>
      </c>
      <c r="F103" s="8" t="n">
        <v>0.2302</v>
      </c>
      <c r="G103" s="4" t="n">
        <v>70.8766</v>
      </c>
      <c r="H103" s="4" t="n">
        <v>42.9877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3279</v>
      </c>
      <c r="F104" s="8" t="n">
        <v>0.3338</v>
      </c>
      <c r="G104" s="4" t="n">
        <v>63.7182</v>
      </c>
      <c r="H104" s="4" t="n">
        <v>50.9813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3066</v>
      </c>
      <c r="F105" s="8" t="n">
        <v>0.1996</v>
      </c>
      <c r="G105" s="4" t="n">
        <v>52.6166</v>
      </c>
      <c r="H105" s="4" t="n">
        <v>35.0092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3078</v>
      </c>
      <c r="F106" s="8" t="n">
        <v>0.1714</v>
      </c>
      <c r="G106" s="4" t="n">
        <v>34.6201</v>
      </c>
      <c r="H106" s="4" t="n">
        <v>32.9985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3110</v>
      </c>
      <c r="F107" s="8" t="n">
        <v>0.1788</v>
      </c>
      <c r="G107" s="4" t="n">
        <v>58.6632</v>
      </c>
      <c r="H107" s="4" t="n">
        <v>29.6587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3157</v>
      </c>
      <c r="F108" s="8" t="n">
        <v>0.2008</v>
      </c>
      <c r="G108" s="4" t="n">
        <v>66.22629999999999</v>
      </c>
      <c r="H108" s="4" t="n">
        <v>35.151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3180</v>
      </c>
      <c r="F109" s="8" t="n">
        <v>0.1622</v>
      </c>
      <c r="G109" s="4" t="n">
        <v>43.0206</v>
      </c>
      <c r="H109" s="4" t="n">
        <v>26.5372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3134</v>
      </c>
      <c r="F110" s="8" t="n">
        <v>0.1574</v>
      </c>
      <c r="G110" s="4" t="n">
        <v>31.2347</v>
      </c>
      <c r="H110" s="4" t="n">
        <v>26.2837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3092</v>
      </c>
      <c r="F111" s="8" t="n">
        <v>0.1609</v>
      </c>
      <c r="G111" s="4" t="n">
        <v>31.2678</v>
      </c>
      <c r="H111" s="4" t="n">
        <v>25.661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3119</v>
      </c>
      <c r="F112" s="8" t="n">
        <v>0.1702</v>
      </c>
      <c r="G112" s="4" t="n">
        <v>30.0702</v>
      </c>
      <c r="H112" s="4" t="n">
        <v>33.0291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3133</v>
      </c>
      <c r="F113" s="8" t="n">
        <v>0.1567</v>
      </c>
      <c r="G113" s="4" t="n">
        <v>30.3202</v>
      </c>
      <c r="H113" s="4" t="n">
        <v>31.6993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3213</v>
      </c>
      <c r="F114" s="8" t="n">
        <v>0.2145</v>
      </c>
      <c r="G114" s="4" t="n">
        <v>35.2078</v>
      </c>
      <c r="H114" s="4" t="n">
        <v>37.6962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3192</v>
      </c>
      <c r="F115" s="8" t="n">
        <v>0.164</v>
      </c>
      <c r="G115" s="4" t="n">
        <v>35.9207</v>
      </c>
      <c r="H115" s="4" t="n">
        <v>27.5049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3195</v>
      </c>
      <c r="F116" s="8" t="n">
        <v>0.1506</v>
      </c>
      <c r="G116" s="4" t="n">
        <v>23.5475</v>
      </c>
      <c r="H116" s="4" t="n">
        <v>31.3368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3139</v>
      </c>
      <c r="F117" s="8" t="n">
        <v>0.1805</v>
      </c>
      <c r="G117" s="4" t="n">
        <v>24.4935</v>
      </c>
      <c r="H117" s="4" t="n">
        <v>28.2135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3172</v>
      </c>
      <c r="F118" s="8" t="n">
        <v>0.1956</v>
      </c>
      <c r="G118" s="4" t="n">
        <v>35.0477</v>
      </c>
      <c r="H118" s="4" t="n">
        <v>56.3403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3208</v>
      </c>
      <c r="F119" s="8" t="n">
        <v>0.2624</v>
      </c>
      <c r="G119" s="4" t="n">
        <v>32.5178</v>
      </c>
      <c r="H119" s="4" t="n">
        <v>33.6979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3045</v>
      </c>
      <c r="F120" s="8" t="n">
        <v>0.2179</v>
      </c>
      <c r="G120" s="4" t="n">
        <v>33.0527</v>
      </c>
      <c r="H120" s="4" t="n">
        <v>31.2608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3050</v>
      </c>
      <c r="F121" s="8" t="n">
        <v>0.1935</v>
      </c>
      <c r="G121" s="4" t="n">
        <v>33.2873</v>
      </c>
      <c r="H121" s="4" t="n">
        <v>29.8533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3078</v>
      </c>
      <c r="F122" s="8" t="n">
        <v>0.1893</v>
      </c>
      <c r="G122" s="4" t="n">
        <v>33.6026</v>
      </c>
      <c r="H122" s="4" t="n">
        <v>28.9122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3080</v>
      </c>
      <c r="F123" s="8" t="n">
        <v>0.1864</v>
      </c>
      <c r="G123" s="4" t="n">
        <v>39.5013</v>
      </c>
      <c r="H123" s="4" t="n">
        <v>30.0577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3145</v>
      </c>
      <c r="F124" s="8" t="n">
        <v>0.1971</v>
      </c>
      <c r="G124" s="4" t="n">
        <v>33.4766</v>
      </c>
      <c r="H124" s="4" t="n">
        <v>32.611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3069</v>
      </c>
      <c r="F125" s="8" t="n">
        <v>0.1686</v>
      </c>
      <c r="G125" s="4" t="n">
        <v>23.555</v>
      </c>
      <c r="H125" s="4" t="n">
        <v>23.313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3027</v>
      </c>
      <c r="F126" s="8" t="n">
        <v>0.1485</v>
      </c>
      <c r="G126" s="4" t="n">
        <v>27.0149</v>
      </c>
      <c r="H126" s="4" t="n">
        <v>33.4274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3085</v>
      </c>
      <c r="F127" s="8" t="n">
        <v>0.233</v>
      </c>
      <c r="G127" s="4" t="n">
        <v>28.8017</v>
      </c>
      <c r="H127" s="4" t="n">
        <v>43.9271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3206</v>
      </c>
      <c r="F128" s="8" t="n">
        <v>0.1892</v>
      </c>
      <c r="G128" s="4" t="n">
        <v>26.4199</v>
      </c>
      <c r="H128" s="4" t="n">
        <v>27.6911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3135</v>
      </c>
      <c r="F129" s="8" t="n">
        <v>0.1692</v>
      </c>
      <c r="G129" s="4" t="n">
        <v>26.3376</v>
      </c>
      <c r="H129" s="4" t="n">
        <v>28.0654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3162</v>
      </c>
      <c r="F130" s="8" t="n">
        <v>0.1682</v>
      </c>
      <c r="G130" s="4" t="n">
        <v>25.7287</v>
      </c>
      <c r="H130" s="4" t="n">
        <v>26.6001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3131</v>
      </c>
      <c r="F131" s="8" t="n">
        <v>0.1863</v>
      </c>
      <c r="G131" s="4" t="n">
        <v>25.4921</v>
      </c>
      <c r="H131" s="4" t="n">
        <v>30.4434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3144</v>
      </c>
      <c r="F132" s="8" t="n">
        <v>0.1669</v>
      </c>
      <c r="G132" s="4" t="n">
        <v>22.8656</v>
      </c>
      <c r="H132" s="4" t="n">
        <v>26.7016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3190</v>
      </c>
      <c r="F133" s="8" t="n">
        <v>0.1983</v>
      </c>
      <c r="G133" s="4" t="n">
        <v>21.5215</v>
      </c>
      <c r="H133" s="4" t="n">
        <v>27.6974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3104</v>
      </c>
      <c r="F134" s="8" t="n">
        <v>0.1566</v>
      </c>
      <c r="G134" s="4" t="n">
        <v>20.5849</v>
      </c>
      <c r="H134" s="4" t="n">
        <v>22.0122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3138</v>
      </c>
      <c r="F135" s="8" t="n">
        <v>0.1487</v>
      </c>
      <c r="G135" s="4" t="n">
        <v>20.9394</v>
      </c>
      <c r="H135" s="4" t="n">
        <v>21.1885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3080</v>
      </c>
      <c r="F136" s="8" t="n">
        <v>0.1801</v>
      </c>
      <c r="G136" s="4" t="n">
        <v>28.1424</v>
      </c>
      <c r="H136" s="4" t="n">
        <v>38.6535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3085</v>
      </c>
      <c r="F137" s="8" t="n">
        <v>0.1564</v>
      </c>
      <c r="G137" s="4" t="n">
        <v>19.3356</v>
      </c>
      <c r="H137" s="4" t="n">
        <v>21.8303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3082</v>
      </c>
      <c r="F138" s="8" t="n">
        <v>0.1513</v>
      </c>
      <c r="G138" s="4" t="n">
        <v>22.4773</v>
      </c>
      <c r="H138" s="4" t="n">
        <v>22.3854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3131</v>
      </c>
      <c r="F139" s="8" t="n">
        <v>0.149</v>
      </c>
      <c r="G139" s="4" t="n">
        <v>27.1881</v>
      </c>
      <c r="H139" s="4" t="n">
        <v>23.3232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3118</v>
      </c>
      <c r="F140" s="8" t="n">
        <v>0.1764</v>
      </c>
      <c r="G140" s="4" t="n">
        <v>29.0682</v>
      </c>
      <c r="H140" s="4" t="n">
        <v>27.2747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3068</v>
      </c>
      <c r="F141" s="8" t="n">
        <v>0.1643</v>
      </c>
      <c r="G141" s="4" t="n">
        <v>29.8205</v>
      </c>
      <c r="H141" s="4" t="n">
        <v>24.0428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3128</v>
      </c>
      <c r="F142" s="8" t="n">
        <v>0.1685</v>
      </c>
      <c r="G142" s="4" t="n">
        <v>36.4236</v>
      </c>
      <c r="H142" s="4" t="n">
        <v>28.6009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3139</v>
      </c>
      <c r="F143" s="8" t="n">
        <v>0.1839</v>
      </c>
      <c r="G143" s="4" t="n">
        <v>35.4834</v>
      </c>
      <c r="H143" s="4" t="n">
        <v>26.748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3125</v>
      </c>
      <c r="F144" s="8" t="n">
        <v>0.1681</v>
      </c>
      <c r="G144" s="4" t="n">
        <v>23.6591</v>
      </c>
      <c r="H144" s="4" t="n">
        <v>25.1113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3040</v>
      </c>
      <c r="F145" s="8" t="n">
        <v>0.1845</v>
      </c>
      <c r="G145" s="4" t="n">
        <v>26.7369</v>
      </c>
      <c r="H145" s="4" t="n">
        <v>40.1197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3041</v>
      </c>
      <c r="F146" s="8" t="n">
        <v>0.171</v>
      </c>
      <c r="G146" s="4" t="n">
        <v>22.632</v>
      </c>
      <c r="H146" s="4" t="n">
        <v>25.0198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3002</v>
      </c>
      <c r="F147" s="8" t="n">
        <v>0.1728</v>
      </c>
      <c r="G147" s="4" t="n">
        <v>25.5848</v>
      </c>
      <c r="H147" s="4" t="n">
        <v>21.2267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3100</v>
      </c>
      <c r="F148" s="8" t="n">
        <v>0.196</v>
      </c>
      <c r="G148" s="4" t="n">
        <v>25.5495</v>
      </c>
      <c r="H148" s="4" t="n">
        <v>26.1879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3132</v>
      </c>
      <c r="F149" s="8" t="n">
        <v>0.1787</v>
      </c>
      <c r="G149" s="4" t="n">
        <v>23.25</v>
      </c>
      <c r="H149" s="4" t="n">
        <v>26.5429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3072</v>
      </c>
      <c r="F150" s="8" t="n">
        <v>0.1718</v>
      </c>
      <c r="G150" s="4" t="n">
        <v>24.8236</v>
      </c>
      <c r="H150" s="4" t="n">
        <v>41.3585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3137</v>
      </c>
      <c r="F151" s="8" t="n">
        <v>0.1841</v>
      </c>
      <c r="G151" s="4" t="n">
        <v>25.238</v>
      </c>
      <c r="H151" s="4" t="n">
        <v>33.2521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3085</v>
      </c>
      <c r="F152" s="8" t="n">
        <v>0.1917</v>
      </c>
      <c r="G152" s="4" t="n">
        <v>23.4791</v>
      </c>
      <c r="H152" s="4" t="n">
        <v>30.8637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3205</v>
      </c>
      <c r="F153" s="8" t="n">
        <v>0.1829</v>
      </c>
      <c r="G153" s="4" t="n">
        <v>27.0591</v>
      </c>
      <c r="H153" s="4" t="n">
        <v>33.241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3183</v>
      </c>
      <c r="F154" s="8" t="n">
        <v>0.2336</v>
      </c>
      <c r="G154" s="4" t="n">
        <v>34.1532</v>
      </c>
      <c r="H154" s="4" t="n">
        <v>43.2033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3220</v>
      </c>
      <c r="F155" s="8" t="n">
        <v>0.2317</v>
      </c>
      <c r="G155" s="4" t="n">
        <v>34.2839</v>
      </c>
      <c r="H155" s="4" t="n">
        <v>42.872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3164</v>
      </c>
      <c r="F156" s="8" t="n">
        <v>0.1902</v>
      </c>
      <c r="G156" s="4" t="n">
        <v>34.4265</v>
      </c>
      <c r="H156" s="4" t="n">
        <v>31.0802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3141</v>
      </c>
      <c r="F157" s="8" t="n">
        <v>0.1856</v>
      </c>
      <c r="G157" s="4" t="n">
        <v>31.6415</v>
      </c>
      <c r="H157" s="4" t="n">
        <v>41.162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2685</v>
      </c>
      <c r="F158" s="8" t="n">
        <v>0.0711</v>
      </c>
      <c r="G158" s="4" t="n">
        <v>17.4841</v>
      </c>
      <c r="H158" s="4" t="n">
        <v>7.8089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3290</v>
      </c>
      <c r="F159" s="8" t="n">
        <v>0.2296</v>
      </c>
      <c r="G159" s="4" t="n">
        <v>49.9326</v>
      </c>
      <c r="H159" s="4" t="n">
        <v>41.7798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3261</v>
      </c>
      <c r="F160" s="8" t="n">
        <v>0.2337</v>
      </c>
      <c r="G160" s="4" t="n">
        <v>38.3157</v>
      </c>
      <c r="H160" s="4" t="n">
        <v>36.0452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3219</v>
      </c>
      <c r="F161" s="8" t="n">
        <v>0.2616</v>
      </c>
      <c r="G161" s="4" t="n">
        <v>45.5088</v>
      </c>
      <c r="H161" s="4" t="n">
        <v>42.7333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3287</v>
      </c>
      <c r="F162" s="8" t="n">
        <v>0.2593</v>
      </c>
      <c r="G162" s="4" t="n">
        <v>46.3011</v>
      </c>
      <c r="H162" s="4" t="n">
        <v>37.2004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3335</v>
      </c>
      <c r="F163" s="8" t="n">
        <v>0.2304</v>
      </c>
      <c r="G163" s="4" t="n">
        <v>38.8023</v>
      </c>
      <c r="H163" s="4" t="n">
        <v>44.1948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3332</v>
      </c>
      <c r="F164" s="8" t="n">
        <v>0.2118</v>
      </c>
      <c r="G164" s="4" t="n">
        <v>40.682</v>
      </c>
      <c r="H164" s="4" t="n">
        <v>37.0735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3254</v>
      </c>
      <c r="F165" s="8" t="n">
        <v>0.2322</v>
      </c>
      <c r="G165" s="4" t="n">
        <v>47.5799</v>
      </c>
      <c r="H165" s="4" t="n">
        <v>39.7354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3191</v>
      </c>
      <c r="F166" s="8" t="n">
        <v>0.1865</v>
      </c>
      <c r="G166" s="4" t="n">
        <v>34.0919</v>
      </c>
      <c r="H166" s="4" t="n">
        <v>29.4183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3271</v>
      </c>
      <c r="F167" s="8" t="n">
        <v>0.2592</v>
      </c>
      <c r="G167" s="4" t="n">
        <v>40.7606</v>
      </c>
      <c r="H167" s="4" t="n">
        <v>41.0056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3394</v>
      </c>
      <c r="F168" s="8" t="n">
        <v>0.2241</v>
      </c>
      <c r="G168" s="4" t="n">
        <v>42.6228</v>
      </c>
      <c r="H168" s="4" t="n">
        <v>31.2351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3399</v>
      </c>
      <c r="F169" s="8" t="n">
        <v>0.2252</v>
      </c>
      <c r="G169" s="4" t="n">
        <v>47.3494</v>
      </c>
      <c r="H169" s="4" t="n">
        <v>53.8208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3378</v>
      </c>
      <c r="F170" s="8" t="n">
        <v>0.2617</v>
      </c>
      <c r="G170" s="4" t="n">
        <v>53.5027</v>
      </c>
      <c r="H170" s="4" t="n">
        <v>74.5073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3383</v>
      </c>
      <c r="F171" s="8" t="n">
        <v>0.2576</v>
      </c>
      <c r="G171" s="4" t="n">
        <v>51.5251</v>
      </c>
      <c r="H171" s="4" t="n">
        <v>49.0309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3500</v>
      </c>
      <c r="F172" s="8" t="n">
        <v>0.263</v>
      </c>
      <c r="G172" s="4" t="n">
        <v>53.0805</v>
      </c>
      <c r="H172" s="4" t="n">
        <v>39.1522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3443</v>
      </c>
      <c r="F173" s="8" t="n">
        <v>0.2521</v>
      </c>
      <c r="G173" s="4" t="n">
        <v>69.2794</v>
      </c>
      <c r="H173" s="4" t="n">
        <v>40.4833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3454</v>
      </c>
      <c r="F174" s="8" t="n">
        <v>0.2536</v>
      </c>
      <c r="G174" s="4" t="n">
        <v>80.79949999999999</v>
      </c>
      <c r="H174" s="4" t="n">
        <v>50.6818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3361</v>
      </c>
      <c r="F175" s="8" t="n">
        <v>0.2465</v>
      </c>
      <c r="G175" s="4" t="n">
        <v>71.9169</v>
      </c>
      <c r="H175" s="4" t="n">
        <v>38.7661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3416</v>
      </c>
      <c r="F176" s="8" t="n">
        <v>0.2385</v>
      </c>
      <c r="G176" s="4" t="n">
        <v>65.31870000000001</v>
      </c>
      <c r="H176" s="4" t="n">
        <v>43.0604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3527</v>
      </c>
      <c r="F177" s="8" t="n">
        <v>0.2406</v>
      </c>
      <c r="G177" s="4" t="n">
        <v>68.2482</v>
      </c>
      <c r="H177" s="4" t="n">
        <v>41.8201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3461</v>
      </c>
      <c r="F178" s="8" t="n">
        <v>0.233</v>
      </c>
      <c r="G178" s="4" t="n">
        <v>66.2377</v>
      </c>
      <c r="H178" s="4" t="n">
        <v>40.6904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3499</v>
      </c>
      <c r="F179" s="8" t="n">
        <v>0.2321</v>
      </c>
      <c r="G179" s="4" t="n">
        <v>57.842</v>
      </c>
      <c r="H179" s="4" t="n">
        <v>39.3414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3446</v>
      </c>
      <c r="F180" s="8" t="n">
        <v>0.219</v>
      </c>
      <c r="G180" s="4" t="n">
        <v>56.0127</v>
      </c>
      <c r="H180" s="4" t="n">
        <v>38.6579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3452</v>
      </c>
      <c r="F181" s="8" t="n">
        <v>0.2127</v>
      </c>
      <c r="G181" s="4" t="n">
        <v>50.7686</v>
      </c>
      <c r="H181" s="4" t="n">
        <v>53.8484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3501</v>
      </c>
      <c r="F182" s="8" t="n">
        <v>0.3605</v>
      </c>
      <c r="G182" s="4" t="n">
        <v>64.9389</v>
      </c>
      <c r="H182" s="4" t="n">
        <v>59.5496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3382</v>
      </c>
      <c r="F183" s="8" t="n">
        <v>0.2828</v>
      </c>
      <c r="G183" s="4" t="n">
        <v>54.7216</v>
      </c>
      <c r="H183" s="4" t="n">
        <v>50.1752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3369</v>
      </c>
      <c r="F184" s="8" t="n">
        <v>0.2819</v>
      </c>
      <c r="G184" s="4" t="n">
        <v>64.8938</v>
      </c>
      <c r="H184" s="4" t="n">
        <v>37.8432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3423</v>
      </c>
      <c r="F185" s="8" t="n">
        <v>0.2561</v>
      </c>
      <c r="G185" s="4" t="n">
        <v>68.4866</v>
      </c>
      <c r="H185" s="4" t="n">
        <v>59.4525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3500</v>
      </c>
      <c r="F186" s="8" t="n">
        <v>0.2151</v>
      </c>
      <c r="G186" s="4" t="n">
        <v>54.5354</v>
      </c>
      <c r="H186" s="4" t="n">
        <v>33.8674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3483</v>
      </c>
      <c r="F187" s="8" t="n">
        <v>0.2136</v>
      </c>
      <c r="G187" s="4" t="n">
        <v>47.8834</v>
      </c>
      <c r="H187" s="4" t="n">
        <v>35.3147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3420</v>
      </c>
      <c r="F188" s="8" t="n">
        <v>0.2063</v>
      </c>
      <c r="G188" s="4" t="n">
        <v>47.1838</v>
      </c>
      <c r="H188" s="4" t="n">
        <v>43.2974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3485</v>
      </c>
      <c r="F189" s="8" t="n">
        <v>0.2121</v>
      </c>
      <c r="G189" s="4" t="n">
        <v>65.4101</v>
      </c>
      <c r="H189" s="4" t="n">
        <v>39.5519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3420</v>
      </c>
      <c r="F190" s="8" t="n">
        <v>0.1954</v>
      </c>
      <c r="G190" s="4" t="n">
        <v>48.2392</v>
      </c>
      <c r="H190" s="4" t="n">
        <v>30.1468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3565</v>
      </c>
      <c r="F191" s="8" t="n">
        <v>0.2627</v>
      </c>
      <c r="G191" s="4" t="n">
        <v>80.3124</v>
      </c>
      <c r="H191" s="4" t="n">
        <v>44.0211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3552</v>
      </c>
      <c r="F192" s="8" t="n">
        <v>0.2641</v>
      </c>
      <c r="G192" s="4" t="n">
        <v>67.60590000000001</v>
      </c>
      <c r="H192" s="4" t="n">
        <v>49.3862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3560</v>
      </c>
      <c r="F193" s="8" t="n">
        <v>0.293</v>
      </c>
      <c r="G193" s="4" t="n">
        <v>84.2805</v>
      </c>
      <c r="H193" s="4" t="n">
        <v>65.14400000000001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3533</v>
      </c>
      <c r="F194" s="8" t="n">
        <v>0.2792</v>
      </c>
      <c r="G194" s="4" t="n">
        <v>83.70359999999999</v>
      </c>
      <c r="H194" s="4" t="n">
        <v>56.7413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3604</v>
      </c>
      <c r="F195" s="8" t="n">
        <v>0.2823</v>
      </c>
      <c r="G195" s="4" t="n">
        <v>61.8707</v>
      </c>
      <c r="H195" s="4" t="n">
        <v>55.217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3609</v>
      </c>
      <c r="F196" s="8" t="n">
        <v>0.2665</v>
      </c>
      <c r="G196" s="4" t="n">
        <v>62.6904</v>
      </c>
      <c r="H196" s="4" t="n">
        <v>50.4394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3580</v>
      </c>
      <c r="F197" s="8" t="n">
        <v>0.2679</v>
      </c>
      <c r="G197" s="4" t="n">
        <v>59.4278</v>
      </c>
      <c r="H197" s="4" t="n">
        <v>48.5367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3530</v>
      </c>
      <c r="F198" s="8" t="n">
        <v>0.3009</v>
      </c>
      <c r="G198" s="4" t="n">
        <v>68.8493</v>
      </c>
      <c r="H198" s="4" t="n">
        <v>82.3689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3461</v>
      </c>
      <c r="F199" s="8" t="n">
        <v>0.2177</v>
      </c>
      <c r="G199" s="4" t="n">
        <v>41.1883</v>
      </c>
      <c r="H199" s="4" t="n">
        <v>56.8441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3482</v>
      </c>
      <c r="F200" s="8" t="n">
        <v>0.2604</v>
      </c>
      <c r="G200" s="4" t="n">
        <v>77.258</v>
      </c>
      <c r="H200" s="4" t="n">
        <v>50.9603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3499</v>
      </c>
      <c r="F201" s="8" t="n">
        <v>0.2706</v>
      </c>
      <c r="G201" s="4" t="n">
        <v>57.468</v>
      </c>
      <c r="H201" s="4" t="n">
        <v>78.72929999999999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3464</v>
      </c>
      <c r="F202" s="8" t="n">
        <v>0.1934</v>
      </c>
      <c r="G202" s="4" t="n">
        <v>45.352</v>
      </c>
      <c r="H202" s="4" t="n">
        <v>35.7675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3482</v>
      </c>
      <c r="F203" s="8" t="n">
        <v>0.2167</v>
      </c>
      <c r="G203" s="4" t="n">
        <v>43.0819</v>
      </c>
      <c r="H203" s="4" t="n">
        <v>44.5644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3500</v>
      </c>
      <c r="F204" s="8" t="n">
        <v>0.271</v>
      </c>
      <c r="G204" s="4" t="n">
        <v>48.5707</v>
      </c>
      <c r="H204" s="4" t="n">
        <v>54.79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3414</v>
      </c>
      <c r="F205" s="8" t="n">
        <v>0.2734</v>
      </c>
      <c r="G205" s="4" t="n">
        <v>51.2515</v>
      </c>
      <c r="H205" s="4" t="n">
        <v>52.5116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3422</v>
      </c>
      <c r="F206" s="8" t="n">
        <v>0.2598</v>
      </c>
      <c r="G206" s="4" t="n">
        <v>45.4548</v>
      </c>
      <c r="H206" s="4" t="n">
        <v>47.2985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3364</v>
      </c>
      <c r="F207" s="8" t="n">
        <v>0.2287</v>
      </c>
      <c r="G207" s="4" t="n">
        <v>38.9942</v>
      </c>
      <c r="H207" s="4" t="n">
        <v>40.1949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3314</v>
      </c>
      <c r="F208" s="8" t="n">
        <v>0.2279</v>
      </c>
      <c r="G208" s="4" t="n">
        <v>42.332</v>
      </c>
      <c r="H208" s="4" t="n">
        <v>54.0489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3360</v>
      </c>
      <c r="F209" s="8" t="n">
        <v>0.24</v>
      </c>
      <c r="G209" s="4" t="n">
        <v>42.6213</v>
      </c>
      <c r="H209" s="4" t="n">
        <v>42.9209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3426</v>
      </c>
      <c r="F210" s="8" t="n">
        <v>0.282</v>
      </c>
      <c r="G210" s="4" t="n">
        <v>46.4762</v>
      </c>
      <c r="H210" s="4" t="n">
        <v>51.828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3430</v>
      </c>
      <c r="F211" s="8" t="n">
        <v>0.3352</v>
      </c>
      <c r="G211" s="4" t="n">
        <v>54.2603</v>
      </c>
      <c r="H211" s="4" t="n">
        <v>68.6788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3446</v>
      </c>
      <c r="F212" s="8" t="n">
        <v>0.2986</v>
      </c>
      <c r="G212" s="4" t="n">
        <v>52.8685</v>
      </c>
      <c r="H212" s="4" t="n">
        <v>61.5826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3414</v>
      </c>
      <c r="F213" s="8" t="n">
        <v>0.2543</v>
      </c>
      <c r="G213" s="4" t="n">
        <v>48.4386</v>
      </c>
      <c r="H213" s="4" t="n">
        <v>65.438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3446</v>
      </c>
      <c r="F214" s="8" t="n">
        <v>0.265</v>
      </c>
      <c r="G214" s="4" t="n">
        <v>49.9415</v>
      </c>
      <c r="H214" s="4" t="n">
        <v>55.7569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3532</v>
      </c>
      <c r="F215" s="8" t="n">
        <v>0.2549</v>
      </c>
      <c r="G215" s="4" t="n">
        <v>40.3428</v>
      </c>
      <c r="H215" s="4" t="n">
        <v>54.0475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3477</v>
      </c>
      <c r="F216" s="8" t="n">
        <v>0.2386</v>
      </c>
      <c r="G216" s="4" t="n">
        <v>49.0956</v>
      </c>
      <c r="H216" s="4" t="n">
        <v>65.0551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3442</v>
      </c>
      <c r="F217" s="8" t="n">
        <v>0.2253</v>
      </c>
      <c r="G217" s="4" t="n">
        <v>34.3228</v>
      </c>
      <c r="H217" s="4" t="n">
        <v>48.258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3417</v>
      </c>
      <c r="F218" s="8" t="n">
        <v>0.2373</v>
      </c>
      <c r="G218" s="4" t="n">
        <v>48.8762</v>
      </c>
      <c r="H218" s="4" t="n">
        <v>46.3099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3424</v>
      </c>
      <c r="F219" s="8" t="n">
        <v>0.226</v>
      </c>
      <c r="G219" s="4" t="n">
        <v>44.108</v>
      </c>
      <c r="H219" s="4" t="n">
        <v>48.8138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3500</v>
      </c>
      <c r="F220" s="8" t="n">
        <v>0.2299</v>
      </c>
      <c r="G220" s="4" t="n">
        <v>39.1306</v>
      </c>
      <c r="H220" s="4" t="n">
        <v>44.4506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3447</v>
      </c>
      <c r="F221" s="8" t="n">
        <v>0.2226</v>
      </c>
      <c r="G221" s="4" t="n">
        <v>43.3812</v>
      </c>
      <c r="H221" s="4" t="n">
        <v>49.3274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3409</v>
      </c>
      <c r="F222" s="8" t="n">
        <v>0.2313</v>
      </c>
      <c r="G222" s="4" t="n">
        <v>48.2686</v>
      </c>
      <c r="H222" s="4" t="n">
        <v>47.7476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3417</v>
      </c>
      <c r="F223" s="8" t="n">
        <v>0.2469</v>
      </c>
      <c r="G223" s="4" t="n">
        <v>57.0128</v>
      </c>
      <c r="H223" s="4" t="n">
        <v>47.1736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3412</v>
      </c>
      <c r="F224" s="8" t="n">
        <v>0.2786</v>
      </c>
      <c r="G224" s="4" t="n">
        <v>63.9807</v>
      </c>
      <c r="H224" s="4" t="n">
        <v>56.7156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3467</v>
      </c>
      <c r="F225" s="8" t="n">
        <v>0.2569</v>
      </c>
      <c r="G225" s="4" t="n">
        <v>53.4375</v>
      </c>
      <c r="H225" s="4" t="n">
        <v>47.2906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3377</v>
      </c>
      <c r="F226" s="8" t="n">
        <v>0.2303</v>
      </c>
      <c r="G226" s="4" t="n">
        <v>49.6278</v>
      </c>
      <c r="H226" s="4" t="n">
        <v>45.2058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3400</v>
      </c>
      <c r="F227" s="8" t="n">
        <v>0.3928</v>
      </c>
      <c r="G227" s="4" t="n">
        <v>70.6335</v>
      </c>
      <c r="H227" s="4" t="n">
        <v>406.9808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3409</v>
      </c>
      <c r="F228" s="8" t="n">
        <v>0.2903</v>
      </c>
      <c r="G228" s="4" t="n">
        <v>57.0407</v>
      </c>
      <c r="H228" s="4" t="n">
        <v>74.7959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3389</v>
      </c>
      <c r="F229" s="8" t="n">
        <v>0.3318</v>
      </c>
      <c r="G229" s="4" t="n">
        <v>59.8596</v>
      </c>
      <c r="H229" s="4" t="n">
        <v>64.0885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3555</v>
      </c>
      <c r="F230" s="8" t="n">
        <v>0.2816</v>
      </c>
      <c r="G230" s="4" t="n">
        <v>53.6444</v>
      </c>
      <c r="H230" s="4" t="n">
        <v>51.0827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3472</v>
      </c>
      <c r="F231" s="8" t="n">
        <v>0.2887</v>
      </c>
      <c r="G231" s="4" t="n">
        <v>60.3366</v>
      </c>
      <c r="H231" s="4" t="n">
        <v>53.6201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3476</v>
      </c>
      <c r="F232" s="8" t="n">
        <v>0.2996</v>
      </c>
      <c r="G232" s="4" t="n">
        <v>56.0616</v>
      </c>
      <c r="H232" s="4" t="n">
        <v>57.5109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3479</v>
      </c>
      <c r="F233" s="8" t="n">
        <v>0.2744</v>
      </c>
      <c r="G233" s="4" t="n">
        <v>59.8672</v>
      </c>
      <c r="H233" s="4" t="n">
        <v>68.5514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3430</v>
      </c>
      <c r="F234" s="8" t="n">
        <v>0.3037</v>
      </c>
      <c r="G234" s="4" t="n">
        <v>56.7561</v>
      </c>
      <c r="H234" s="4" t="n">
        <v>54.6296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3662</v>
      </c>
      <c r="F235" s="8" t="n">
        <v>0.2325</v>
      </c>
      <c r="G235" s="4" t="n">
        <v>44.6588</v>
      </c>
      <c r="H235" s="4" t="n">
        <v>42.2192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3472</v>
      </c>
      <c r="F236" s="8" t="n">
        <v>0.2761</v>
      </c>
      <c r="G236" s="4" t="n">
        <v>58.9529</v>
      </c>
      <c r="H236" s="4" t="n">
        <v>49.7425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3477</v>
      </c>
      <c r="F237" s="8" t="n">
        <v>0.2066</v>
      </c>
      <c r="G237" s="4" t="n">
        <v>45.5371</v>
      </c>
      <c r="H237" s="4" t="n">
        <v>39.0977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3495</v>
      </c>
      <c r="F238" s="8" t="n">
        <v>0.2726</v>
      </c>
      <c r="G238" s="4" t="n">
        <v>65.7055</v>
      </c>
      <c r="H238" s="4" t="n">
        <v>97.8347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3567</v>
      </c>
      <c r="F239" s="8" t="n">
        <v>0.2639</v>
      </c>
      <c r="G239" s="4" t="n">
        <v>43.4824</v>
      </c>
      <c r="H239" s="4" t="n">
        <v>48.2415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3443</v>
      </c>
      <c r="F240" s="8" t="n">
        <v>0.2149</v>
      </c>
      <c r="G240" s="4" t="n">
        <v>37.6049</v>
      </c>
      <c r="H240" s="4" t="n">
        <v>36.9964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3416</v>
      </c>
      <c r="F241" s="8" t="n">
        <v>0.2345</v>
      </c>
      <c r="G241" s="4" t="n">
        <v>43.1706</v>
      </c>
      <c r="H241" s="4" t="n">
        <v>84.5977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3474</v>
      </c>
      <c r="F242" s="8" t="n">
        <v>0.2541</v>
      </c>
      <c r="G242" s="4" t="n">
        <v>41.0495</v>
      </c>
      <c r="H242" s="4" t="n">
        <v>41.7913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3438</v>
      </c>
      <c r="F243" s="8" t="n">
        <v>0.2856</v>
      </c>
      <c r="G243" s="4" t="n">
        <v>50.0079</v>
      </c>
      <c r="H243" s="4" t="n">
        <v>48.7076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3600</v>
      </c>
      <c r="F244" s="8" t="n">
        <v>0.2388</v>
      </c>
      <c r="G244" s="4" t="n">
        <v>38.3665</v>
      </c>
      <c r="H244" s="4" t="n">
        <v>40.2086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3514</v>
      </c>
      <c r="F245" s="8" t="n">
        <v>0.1935</v>
      </c>
      <c r="G245" s="4" t="n">
        <v>35.3378</v>
      </c>
      <c r="H245" s="4" t="n">
        <v>41.7078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3454</v>
      </c>
      <c r="F246" s="8" t="n">
        <v>0.2186</v>
      </c>
      <c r="G246" s="4" t="n">
        <v>39.2098</v>
      </c>
      <c r="H246" s="4" t="n">
        <v>36.0504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3435</v>
      </c>
      <c r="F247" s="8" t="n">
        <v>0.2618</v>
      </c>
      <c r="G247" s="4" t="n">
        <v>60.4212</v>
      </c>
      <c r="H247" s="4" t="n">
        <v>45.5263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3433</v>
      </c>
      <c r="F248" s="8" t="n">
        <v>0.2094</v>
      </c>
      <c r="G248" s="4" t="n">
        <v>52.611</v>
      </c>
      <c r="H248" s="4" t="n">
        <v>42.2381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3466</v>
      </c>
      <c r="F249" s="8" t="n">
        <v>0.2357</v>
      </c>
      <c r="G249" s="4" t="n">
        <v>33.0069</v>
      </c>
      <c r="H249" s="4" t="n">
        <v>37.8143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3367</v>
      </c>
      <c r="F250" s="8" t="n">
        <v>0.2099</v>
      </c>
      <c r="G250" s="4" t="n">
        <v>38.0737</v>
      </c>
      <c r="H250" s="4" t="n">
        <v>34.11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3363</v>
      </c>
      <c r="F251" s="8" t="n">
        <v>0.1998</v>
      </c>
      <c r="G251" s="4" t="n">
        <v>36.5349</v>
      </c>
      <c r="H251" s="4" t="n">
        <v>36.4145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3460</v>
      </c>
      <c r="F252" s="8" t="n">
        <v>0.2224</v>
      </c>
      <c r="G252" s="4" t="n">
        <v>36.1262</v>
      </c>
      <c r="H252" s="4" t="n">
        <v>44.444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3363</v>
      </c>
      <c r="F253" s="8" t="n">
        <v>0.208</v>
      </c>
      <c r="G253" s="4" t="n">
        <v>40.3265</v>
      </c>
      <c r="H253" s="4" t="n">
        <v>38.2058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3444</v>
      </c>
      <c r="F254" s="8" t="n">
        <v>0.217</v>
      </c>
      <c r="G254" s="4" t="n">
        <v>29.9203</v>
      </c>
      <c r="H254" s="4" t="n">
        <v>42.606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3386</v>
      </c>
      <c r="F255" s="8" t="n">
        <v>0.2244</v>
      </c>
      <c r="G255" s="4" t="n">
        <v>39.3451</v>
      </c>
      <c r="H255" s="4" t="n">
        <v>64.30800000000001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3389</v>
      </c>
      <c r="F256" s="8" t="n">
        <v>0.2133</v>
      </c>
      <c r="G256" s="4" t="n">
        <v>33.8127</v>
      </c>
      <c r="H256" s="4" t="n">
        <v>40.1962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3464</v>
      </c>
      <c r="F257" s="8" t="n">
        <v>0.3479</v>
      </c>
      <c r="G257" s="4" t="n">
        <v>51.6832</v>
      </c>
      <c r="H257" s="4" t="n">
        <v>57.8015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3330</v>
      </c>
      <c r="F258" s="8" t="n">
        <v>0.2001</v>
      </c>
      <c r="G258" s="4" t="n">
        <v>31.5524</v>
      </c>
      <c r="H258" s="4" t="n">
        <v>39.9306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3340</v>
      </c>
      <c r="F259" s="8" t="n">
        <v>0.1887</v>
      </c>
      <c r="G259" s="4" t="n">
        <v>29.3806</v>
      </c>
      <c r="H259" s="4" t="n">
        <v>43.5331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3338</v>
      </c>
      <c r="F260" s="8" t="n">
        <v>0.1848</v>
      </c>
      <c r="G260" s="4" t="n">
        <v>26.458</v>
      </c>
      <c r="H260" s="4" t="n">
        <v>38.8347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3453</v>
      </c>
      <c r="F261" s="8" t="n">
        <v>0.2255</v>
      </c>
      <c r="G261" s="4" t="n">
        <v>29.08</v>
      </c>
      <c r="H261" s="4" t="n">
        <v>39.0945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3322</v>
      </c>
      <c r="F262" s="8" t="n">
        <v>0.201</v>
      </c>
      <c r="G262" s="4" t="n">
        <v>27.9187</v>
      </c>
      <c r="H262" s="4" t="n">
        <v>39.3429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3354</v>
      </c>
      <c r="F263" s="8" t="n">
        <v>0.2081</v>
      </c>
      <c r="G263" s="4" t="n">
        <v>30.5261</v>
      </c>
      <c r="H263" s="4" t="n">
        <v>49.5549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3366</v>
      </c>
      <c r="F264" s="8" t="n">
        <v>0.2108</v>
      </c>
      <c r="G264" s="4" t="n">
        <v>31.8783</v>
      </c>
      <c r="H264" s="4" t="n">
        <v>38.5212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3483</v>
      </c>
      <c r="F265" s="8" t="n">
        <v>0.1975</v>
      </c>
      <c r="G265" s="4" t="n">
        <v>31.0053</v>
      </c>
      <c r="H265" s="4" t="n">
        <v>40.3578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3368</v>
      </c>
      <c r="F266" s="8" t="n">
        <v>0.1997</v>
      </c>
      <c r="G266" s="4" t="n">
        <v>32.013</v>
      </c>
      <c r="H266" s="4" t="n">
        <v>37.3926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3394</v>
      </c>
      <c r="F267" s="8" t="n">
        <v>0.236</v>
      </c>
      <c r="G267" s="4" t="n">
        <v>34.3701</v>
      </c>
      <c r="H267" s="4" t="n">
        <v>45.4167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3403</v>
      </c>
      <c r="F268" s="8" t="n">
        <v>0.2272</v>
      </c>
      <c r="G268" s="4" t="n">
        <v>38.38</v>
      </c>
      <c r="H268" s="4" t="n">
        <v>45.9007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3378</v>
      </c>
      <c r="F269" s="8" t="n">
        <v>0.2327</v>
      </c>
      <c r="G269" s="4" t="n">
        <v>48.2781</v>
      </c>
      <c r="H269" s="4" t="n">
        <v>46.9388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3462</v>
      </c>
      <c r="F270" s="8" t="n">
        <v>0.251</v>
      </c>
      <c r="G270" s="4" t="n">
        <v>43.8093</v>
      </c>
      <c r="H270" s="4" t="n">
        <v>46.9111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3403</v>
      </c>
      <c r="F271" s="8" t="n">
        <v>0.2918</v>
      </c>
      <c r="G271" s="4" t="n">
        <v>60.7582</v>
      </c>
      <c r="H271" s="4" t="n">
        <v>59.6351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3363</v>
      </c>
      <c r="F272" s="8" t="n">
        <v>0.2314</v>
      </c>
      <c r="G272" s="4" t="n">
        <v>35.5363</v>
      </c>
      <c r="H272" s="4" t="n">
        <v>44.4351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3379</v>
      </c>
      <c r="F273" s="8" t="n">
        <v>0.2545</v>
      </c>
      <c r="G273" s="4" t="n">
        <v>40.8743</v>
      </c>
      <c r="H273" s="4" t="n">
        <v>46.2582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3438</v>
      </c>
      <c r="F274" s="8" t="n">
        <v>0.2701</v>
      </c>
      <c r="G274" s="4" t="n">
        <v>52.8842</v>
      </c>
      <c r="H274" s="4" t="n">
        <v>88.8732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3626</v>
      </c>
      <c r="F275" s="8" t="n">
        <v>0.3229</v>
      </c>
      <c r="G275" s="4" t="n">
        <v>58.1061</v>
      </c>
      <c r="H275" s="4" t="n">
        <v>64.06319999999999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3515</v>
      </c>
      <c r="F276" s="8" t="n">
        <v>0.342</v>
      </c>
      <c r="G276" s="4" t="n">
        <v>70.209</v>
      </c>
      <c r="H276" s="4" t="n">
        <v>57.5875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3508</v>
      </c>
      <c r="F277" s="8" t="n">
        <v>0.3556</v>
      </c>
      <c r="G277" s="4" t="n">
        <v>94.7452</v>
      </c>
      <c r="H277" s="4" t="n">
        <v>66.6125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3545</v>
      </c>
      <c r="F278" s="8" t="n">
        <v>0.3279</v>
      </c>
      <c r="G278" s="4" t="n">
        <v>69.8674</v>
      </c>
      <c r="H278" s="4" t="n">
        <v>60.2044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3651</v>
      </c>
      <c r="F279" s="8" t="n">
        <v>0.2841</v>
      </c>
      <c r="G279" s="4" t="n">
        <v>51.2035</v>
      </c>
      <c r="H279" s="4" t="n">
        <v>56.4007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3522</v>
      </c>
      <c r="F280" s="8" t="n">
        <v>0.2795</v>
      </c>
      <c r="G280" s="4" t="n">
        <v>48.042</v>
      </c>
      <c r="H280" s="4" t="n">
        <v>50.1849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3515</v>
      </c>
      <c r="F281" s="8" t="n">
        <v>0.2744</v>
      </c>
      <c r="G281" s="4" t="n">
        <v>46.5821</v>
      </c>
      <c r="H281" s="4" t="n">
        <v>59.0603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3523</v>
      </c>
      <c r="F282" s="8" t="n">
        <v>0.2846</v>
      </c>
      <c r="G282" s="4" t="n">
        <v>45.5665</v>
      </c>
      <c r="H282" s="4" t="n">
        <v>54.6141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3551</v>
      </c>
      <c r="F283" s="8" t="n">
        <v>0.2981</v>
      </c>
      <c r="G283" s="4" t="n">
        <v>47.3025</v>
      </c>
      <c r="H283" s="4" t="n">
        <v>53.3771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3685</v>
      </c>
      <c r="F284" s="8" t="n">
        <v>0.3162</v>
      </c>
      <c r="G284" s="4" t="n">
        <v>52.5265</v>
      </c>
      <c r="H284" s="4" t="n">
        <v>55.0266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3537</v>
      </c>
      <c r="F285" s="8" t="n">
        <v>0.325</v>
      </c>
      <c r="G285" s="4" t="n">
        <v>55.1324</v>
      </c>
      <c r="H285" s="4" t="n">
        <v>52.3669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3536</v>
      </c>
      <c r="F286" s="8" t="n">
        <v>0.3112</v>
      </c>
      <c r="G286" s="4" t="n">
        <v>54.7229</v>
      </c>
      <c r="H286" s="4" t="n">
        <v>49.9756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3529</v>
      </c>
      <c r="F287" s="8" t="n">
        <v>0.3137</v>
      </c>
      <c r="G287" s="4" t="n">
        <v>55.3136</v>
      </c>
      <c r="H287" s="4" t="n">
        <v>52.3893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3516</v>
      </c>
      <c r="F288" s="8" t="n">
        <v>0.3234</v>
      </c>
      <c r="G288" s="4" t="n">
        <v>71.95650000000001</v>
      </c>
      <c r="H288" s="4" t="n">
        <v>53.8662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3697</v>
      </c>
      <c r="F289" s="8" t="n">
        <v>0.317</v>
      </c>
      <c r="G289" s="4" t="n">
        <v>54.8394</v>
      </c>
      <c r="H289" s="4" t="n">
        <v>53.1621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3551</v>
      </c>
      <c r="F290" s="8" t="n">
        <v>0.2944</v>
      </c>
      <c r="G290" s="4" t="n">
        <v>51.5324</v>
      </c>
      <c r="H290" s="4" t="n">
        <v>45.338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3562</v>
      </c>
      <c r="F291" s="8" t="n">
        <v>0.3243</v>
      </c>
      <c r="G291" s="4" t="n">
        <v>66.4903</v>
      </c>
      <c r="H291" s="4" t="n">
        <v>54.5216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3615</v>
      </c>
      <c r="F292" s="8" t="n">
        <v>0.3416</v>
      </c>
      <c r="G292" s="4" t="n">
        <v>68.1524</v>
      </c>
      <c r="H292" s="4" t="n">
        <v>58.0134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3587</v>
      </c>
      <c r="F293" s="8" t="n">
        <v>0.3461</v>
      </c>
      <c r="G293" s="4" t="n">
        <v>81.4633</v>
      </c>
      <c r="H293" s="4" t="n">
        <v>61.3051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3776</v>
      </c>
      <c r="F294" s="8" t="n">
        <v>0.4042</v>
      </c>
      <c r="G294" s="4" t="n">
        <v>94.4607</v>
      </c>
      <c r="H294" s="4" t="n">
        <v>74.7056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3637</v>
      </c>
      <c r="F295" s="8" t="n">
        <v>0.3855</v>
      </c>
      <c r="G295" s="4" t="n">
        <v>83.8044</v>
      </c>
      <c r="H295" s="4" t="n">
        <v>62.6315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3596</v>
      </c>
      <c r="F296" s="8" t="n">
        <v>0.4742</v>
      </c>
      <c r="G296" s="4" t="n">
        <v>112.3664</v>
      </c>
      <c r="H296" s="4" t="n">
        <v>92.1942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3627</v>
      </c>
      <c r="F297" s="8" t="n">
        <v>0.3333</v>
      </c>
      <c r="G297" s="4" t="n">
        <v>74.449</v>
      </c>
      <c r="H297" s="4" t="n">
        <v>55.4341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3593</v>
      </c>
      <c r="F298" s="8" t="n">
        <v>0.3944</v>
      </c>
      <c r="G298" s="4" t="n">
        <v>120.3563</v>
      </c>
      <c r="H298" s="4" t="n">
        <v>59.6385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3782</v>
      </c>
      <c r="F299" s="8" t="n">
        <v>0.421</v>
      </c>
      <c r="G299" s="4" t="n">
        <v>94.2158</v>
      </c>
      <c r="H299" s="4" t="n">
        <v>64.1052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3665</v>
      </c>
      <c r="F300" s="8" t="n">
        <v>0.3607</v>
      </c>
      <c r="G300" s="4" t="n">
        <v>72.2366</v>
      </c>
      <c r="H300" s="4" t="n">
        <v>78.5291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3681</v>
      </c>
      <c r="F301" s="8" t="n">
        <v>0.357</v>
      </c>
      <c r="G301" s="4" t="n">
        <v>85.12990000000001</v>
      </c>
      <c r="H301" s="4" t="n">
        <v>63.5984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3659</v>
      </c>
      <c r="F302" s="8" t="n">
        <v>0.3688</v>
      </c>
      <c r="G302" s="4" t="n">
        <v>74.4525</v>
      </c>
      <c r="H302" s="4" t="n">
        <v>57.8603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3614</v>
      </c>
      <c r="F303" s="8" t="n">
        <v>0.461</v>
      </c>
      <c r="G303" s="4" t="n">
        <v>130.6985</v>
      </c>
      <c r="H303" s="4" t="n">
        <v>88.1872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3748</v>
      </c>
      <c r="F304" s="8" t="n">
        <v>0.3486</v>
      </c>
      <c r="G304" s="4" t="n">
        <v>95.10720000000001</v>
      </c>
      <c r="H304" s="4" t="n">
        <v>62.5404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3663</v>
      </c>
      <c r="F305" s="8" t="n">
        <v>0.3372</v>
      </c>
      <c r="G305" s="4" t="n">
        <v>88.4118</v>
      </c>
      <c r="H305" s="4" t="n">
        <v>54.9828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3657</v>
      </c>
      <c r="F306" s="8" t="n">
        <v>0.3249</v>
      </c>
      <c r="G306" s="4" t="n">
        <v>96.16889999999999</v>
      </c>
      <c r="H306" s="4" t="n">
        <v>129.2763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3599</v>
      </c>
      <c r="F307" s="8" t="n">
        <v>0.298</v>
      </c>
      <c r="G307" s="4" t="n">
        <v>62.3246</v>
      </c>
      <c r="H307" s="4" t="n">
        <v>44.2879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3603</v>
      </c>
      <c r="F308" s="8" t="n">
        <v>0.2829</v>
      </c>
      <c r="G308" s="4" t="n">
        <v>74.48690000000001</v>
      </c>
      <c r="H308" s="4" t="n">
        <v>50.717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3750</v>
      </c>
      <c r="F309" s="8" t="n">
        <v>0.3152</v>
      </c>
      <c r="G309" s="4" t="n">
        <v>67.233</v>
      </c>
      <c r="H309" s="4" t="n">
        <v>50.2196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3625</v>
      </c>
      <c r="F310" s="8" t="n">
        <v>0.3136</v>
      </c>
      <c r="G310" s="4" t="n">
        <v>83.94070000000001</v>
      </c>
      <c r="H310" s="4" t="n">
        <v>135.0837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3633</v>
      </c>
      <c r="F311" s="8" t="n">
        <v>0.326</v>
      </c>
      <c r="G311" s="4" t="n">
        <v>70.2341</v>
      </c>
      <c r="H311" s="4" t="n">
        <v>56.288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3608</v>
      </c>
      <c r="F312" s="8" t="n">
        <v>0.2866</v>
      </c>
      <c r="G312" s="4" t="n">
        <v>65.9435</v>
      </c>
      <c r="H312" s="4" t="n">
        <v>44.6215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3637</v>
      </c>
      <c r="F313" s="8" t="n">
        <v>0.3408</v>
      </c>
      <c r="G313" s="4" t="n">
        <v>68.01260000000001</v>
      </c>
      <c r="H313" s="4" t="n">
        <v>50.9297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3803</v>
      </c>
      <c r="F314" s="8" t="n">
        <v>0.3712</v>
      </c>
      <c r="G314" s="4" t="n">
        <v>75.8749</v>
      </c>
      <c r="H314" s="4" t="n">
        <v>56.102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3676</v>
      </c>
      <c r="F315" s="8" t="n">
        <v>0.4003</v>
      </c>
      <c r="G315" s="4" t="n">
        <v>86.2313</v>
      </c>
      <c r="H315" s="4" t="n">
        <v>59.754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3618</v>
      </c>
      <c r="F316" s="8" t="n">
        <v>0.3386</v>
      </c>
      <c r="G316" s="4" t="n">
        <v>61.9287</v>
      </c>
      <c r="H316" s="4" t="n">
        <v>52.0276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3597</v>
      </c>
      <c r="F317" s="8" t="n">
        <v>0.3227</v>
      </c>
      <c r="G317" s="4" t="n">
        <v>82.7741</v>
      </c>
      <c r="H317" s="4" t="n">
        <v>47.3942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3624</v>
      </c>
      <c r="F318" s="8" t="n">
        <v>0.292</v>
      </c>
      <c r="G318" s="4" t="n">
        <v>73.29340000000001</v>
      </c>
      <c r="H318" s="4" t="n">
        <v>43.9921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3773</v>
      </c>
      <c r="F319" s="8" t="n">
        <v>0.3347</v>
      </c>
      <c r="G319" s="4" t="n">
        <v>71.2337</v>
      </c>
      <c r="H319" s="4" t="n">
        <v>85.0086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3637</v>
      </c>
      <c r="F320" s="8" t="n">
        <v>0.3222</v>
      </c>
      <c r="G320" s="4" t="n">
        <v>56.522</v>
      </c>
      <c r="H320" s="4" t="n">
        <v>46.7174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3621</v>
      </c>
      <c r="F321" s="8" t="n">
        <v>0.3044</v>
      </c>
      <c r="G321" s="4" t="n">
        <v>51.3497</v>
      </c>
      <c r="H321" s="4" t="n">
        <v>45.0376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3621</v>
      </c>
      <c r="F322" s="8" t="n">
        <v>0.3329</v>
      </c>
      <c r="G322" s="4" t="n">
        <v>54.3257</v>
      </c>
      <c r="H322" s="4" t="n">
        <v>49.2972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3593</v>
      </c>
      <c r="F323" s="8" t="n">
        <v>0.3324</v>
      </c>
      <c r="G323" s="4" t="n">
        <v>63.3328</v>
      </c>
      <c r="H323" s="4" t="n">
        <v>58.4082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3775</v>
      </c>
      <c r="F324" s="8" t="n">
        <v>0.366</v>
      </c>
      <c r="G324" s="4" t="n">
        <v>80.3241</v>
      </c>
      <c r="H324" s="4" t="n">
        <v>81.93519999999999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3622</v>
      </c>
      <c r="F325" s="8" t="n">
        <v>0.3596</v>
      </c>
      <c r="G325" s="4" t="n">
        <v>65.17910000000001</v>
      </c>
      <c r="H325" s="4" t="n">
        <v>65.58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3689</v>
      </c>
      <c r="F326" s="8" t="n">
        <v>0.3369</v>
      </c>
      <c r="G326" s="4" t="n">
        <v>62.3269</v>
      </c>
      <c r="H326" s="4" t="n">
        <v>49.998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3627</v>
      </c>
      <c r="F327" s="8" t="n">
        <v>0.3566</v>
      </c>
      <c r="G327" s="4" t="n">
        <v>77.29170000000001</v>
      </c>
      <c r="H327" s="4" t="n">
        <v>52.6404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3803</v>
      </c>
      <c r="F328" s="8" t="n">
        <v>0.344</v>
      </c>
      <c r="G328" s="4" t="n">
        <v>64.32680000000001</v>
      </c>
      <c r="H328" s="4" t="n">
        <v>52.6458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3662</v>
      </c>
      <c r="F329" s="8" t="n">
        <v>0.3656</v>
      </c>
      <c r="G329" s="4" t="n">
        <v>67.93040000000001</v>
      </c>
      <c r="H329" s="4" t="n">
        <v>54.3798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3589</v>
      </c>
      <c r="F330" s="8" t="n">
        <v>0.346</v>
      </c>
      <c r="G330" s="4" t="n">
        <v>64.9783</v>
      </c>
      <c r="H330" s="4" t="n">
        <v>49.9717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3581</v>
      </c>
      <c r="F331" s="8" t="n">
        <v>0.3502</v>
      </c>
      <c r="G331" s="4" t="n">
        <v>65.188</v>
      </c>
      <c r="H331" s="4" t="n">
        <v>54.1056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3630</v>
      </c>
      <c r="F332" s="8" t="n">
        <v>0.3468</v>
      </c>
      <c r="G332" s="4" t="n">
        <v>59.9609</v>
      </c>
      <c r="H332" s="4" t="n">
        <v>59.8006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3790</v>
      </c>
      <c r="F333" s="8" t="n">
        <v>0.3414</v>
      </c>
      <c r="G333" s="4" t="n">
        <v>55.9997</v>
      </c>
      <c r="H333" s="4" t="n">
        <v>50.7432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3673</v>
      </c>
      <c r="F334" s="8" t="n">
        <v>0.3223</v>
      </c>
      <c r="G334" s="4" t="n">
        <v>69.05629999999999</v>
      </c>
      <c r="H334" s="4" t="n">
        <v>49.541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3662</v>
      </c>
      <c r="F335" s="8" t="n">
        <v>0.3939</v>
      </c>
      <c r="G335" s="4" t="n">
        <v>103.1219</v>
      </c>
      <c r="H335" s="4" t="n">
        <v>63.1087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3652</v>
      </c>
      <c r="F336" s="8" t="n">
        <v>0.3426</v>
      </c>
      <c r="G336" s="4" t="n">
        <v>97.7687</v>
      </c>
      <c r="H336" s="4" t="n">
        <v>74.0027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3589</v>
      </c>
      <c r="F337" s="8" t="n">
        <v>0.3059</v>
      </c>
      <c r="G337" s="4" t="n">
        <v>94.99679999999999</v>
      </c>
      <c r="H337" s="4" t="n">
        <v>47.8998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3780</v>
      </c>
      <c r="F338" s="8" t="n">
        <v>0.3323</v>
      </c>
      <c r="G338" s="4" t="n">
        <v>81.98139999999999</v>
      </c>
      <c r="H338" s="4" t="n">
        <v>59.9162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3656</v>
      </c>
      <c r="F339" s="8" t="n">
        <v>0.3691</v>
      </c>
      <c r="G339" s="4" t="n">
        <v>57.1839</v>
      </c>
      <c r="H339" s="4" t="n">
        <v>50.277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3609</v>
      </c>
      <c r="F340" s="8" t="n">
        <v>0.3749</v>
      </c>
      <c r="G340" s="4" t="n">
        <v>55.1888</v>
      </c>
      <c r="H340" s="4" t="n">
        <v>58.9176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3597</v>
      </c>
      <c r="F341" s="8" t="n">
        <v>0.2757</v>
      </c>
      <c r="G341" s="4" t="n">
        <v>50.4928</v>
      </c>
      <c r="H341" s="4" t="n">
        <v>43.3716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3641</v>
      </c>
      <c r="F342" s="8" t="n">
        <v>0.2944</v>
      </c>
      <c r="G342" s="4" t="n">
        <v>52.6382</v>
      </c>
      <c r="H342" s="4" t="n">
        <v>55.6082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3711</v>
      </c>
      <c r="F343" s="8" t="n">
        <v>0.2802</v>
      </c>
      <c r="G343" s="4" t="n">
        <v>42.0566</v>
      </c>
      <c r="H343" s="4" t="n">
        <v>38.4431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3567</v>
      </c>
      <c r="F344" s="8" t="n">
        <v>0.2821</v>
      </c>
      <c r="G344" s="4" t="n">
        <v>41.9418</v>
      </c>
      <c r="H344" s="4" t="n">
        <v>44.1814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3577</v>
      </c>
      <c r="F345" s="8" t="n">
        <v>0.258</v>
      </c>
      <c r="G345" s="4" t="n">
        <v>51.0951</v>
      </c>
      <c r="H345" s="4" t="n">
        <v>61.6061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3609</v>
      </c>
      <c r="F346" s="8" t="n">
        <v>0.2967</v>
      </c>
      <c r="G346" s="4" t="n">
        <v>40.9176</v>
      </c>
      <c r="H346" s="4" t="n">
        <v>52.0119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3673</v>
      </c>
      <c r="F347" s="8" t="n">
        <v>0.3322</v>
      </c>
      <c r="G347" s="4" t="n">
        <v>53.5786</v>
      </c>
      <c r="H347" s="4" t="n">
        <v>57.4614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3599</v>
      </c>
      <c r="F348" s="8" t="n">
        <v>0.2655</v>
      </c>
      <c r="G348" s="4" t="n">
        <v>43.8099</v>
      </c>
      <c r="H348" s="4" t="n">
        <v>42.5666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3575</v>
      </c>
      <c r="F349" s="8" t="n">
        <v>0.2394</v>
      </c>
      <c r="G349" s="4" t="n">
        <v>43.5688</v>
      </c>
      <c r="H349" s="4" t="n">
        <v>48.664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3591</v>
      </c>
      <c r="F350" s="8" t="n">
        <v>0.2443</v>
      </c>
      <c r="G350" s="4" t="n">
        <v>46.799</v>
      </c>
      <c r="H350" s="4" t="n">
        <v>40.4584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3604</v>
      </c>
      <c r="F351" s="8" t="n">
        <v>0.2385</v>
      </c>
      <c r="G351" s="4" t="n">
        <v>38.724</v>
      </c>
      <c r="H351" s="4" t="n">
        <v>46.2196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3772</v>
      </c>
      <c r="F352" s="8" t="n">
        <v>0.2658</v>
      </c>
      <c r="G352" s="4" t="n">
        <v>43.5209</v>
      </c>
      <c r="H352" s="4" t="n">
        <v>44.5972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3601</v>
      </c>
      <c r="F353" s="8" t="n">
        <v>0.263</v>
      </c>
      <c r="G353" s="4" t="n">
        <v>42.7475</v>
      </c>
      <c r="H353" s="4" t="n">
        <v>62.2124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3592</v>
      </c>
      <c r="F354" s="8" t="n">
        <v>0.248</v>
      </c>
      <c r="G354" s="4" t="n">
        <v>44.9866</v>
      </c>
      <c r="H354" s="4" t="n">
        <v>43.4036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3595</v>
      </c>
      <c r="F355" s="8" t="n">
        <v>0.2502</v>
      </c>
      <c r="G355" s="4" t="n">
        <v>56.8766</v>
      </c>
      <c r="H355" s="4" t="n">
        <v>51.2833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3591</v>
      </c>
      <c r="F356" s="8" t="n">
        <v>0.2895</v>
      </c>
      <c r="G356" s="4" t="n">
        <v>54.2189</v>
      </c>
      <c r="H356" s="4" t="n">
        <v>48.0295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3780</v>
      </c>
      <c r="F357" s="8" t="n">
        <v>0.2628</v>
      </c>
      <c r="G357" s="4" t="n">
        <v>41.8732</v>
      </c>
      <c r="H357" s="4" t="n">
        <v>39.6516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3611</v>
      </c>
      <c r="F358" s="8" t="n">
        <v>0.267</v>
      </c>
      <c r="G358" s="4" t="n">
        <v>50.1508</v>
      </c>
      <c r="H358" s="4" t="n">
        <v>49.576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3643</v>
      </c>
      <c r="F359" s="8" t="n">
        <v>0.2548</v>
      </c>
      <c r="G359" s="4" t="n">
        <v>67.4332</v>
      </c>
      <c r="H359" s="4" t="n">
        <v>38.144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3641</v>
      </c>
      <c r="F360" s="8" t="n">
        <v>0.2495</v>
      </c>
      <c r="G360" s="4" t="n">
        <v>58.9698</v>
      </c>
      <c r="H360" s="4" t="n">
        <v>81.0758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3724</v>
      </c>
      <c r="F361" s="8" t="n">
        <v>0.266</v>
      </c>
      <c r="G361" s="4" t="n">
        <v>47.9828</v>
      </c>
      <c r="H361" s="4" t="n">
        <v>38.9869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3686</v>
      </c>
      <c r="F362" s="8" t="n">
        <v>0.3036</v>
      </c>
      <c r="G362" s="4" t="n">
        <v>75.5804</v>
      </c>
      <c r="H362" s="4" t="n">
        <v>60.7359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3728</v>
      </c>
      <c r="F363" s="8" t="n">
        <v>0.3177</v>
      </c>
      <c r="G363" s="4" t="n">
        <v>75.0177</v>
      </c>
      <c r="H363" s="4" t="n">
        <v>74.4609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3701</v>
      </c>
      <c r="F364" s="8" t="n">
        <v>0.34</v>
      </c>
      <c r="G364" s="4" t="n">
        <v>110.3572</v>
      </c>
      <c r="H364" s="4" t="n">
        <v>76.0462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3688</v>
      </c>
      <c r="F365" s="8" t="n">
        <v>0.3654</v>
      </c>
      <c r="G365" s="4" t="n">
        <v>93.3926</v>
      </c>
      <c r="H365" s="4" t="n">
        <v>61.164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3803</v>
      </c>
      <c r="F366" s="8" t="n">
        <v>0.3099</v>
      </c>
      <c r="G366" s="4" t="n">
        <v>66.0295</v>
      </c>
      <c r="H366" s="4" t="n">
        <v>64.9534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3667</v>
      </c>
      <c r="F367" s="8" t="n">
        <v>0.2742</v>
      </c>
      <c r="G367" s="4" t="n">
        <v>53.9063</v>
      </c>
      <c r="H367" s="4" t="n">
        <v>50.1216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3682</v>
      </c>
      <c r="F368" s="8" t="n">
        <v>0.248</v>
      </c>
      <c r="G368" s="4" t="n">
        <v>55.9869</v>
      </c>
      <c r="H368" s="4" t="n">
        <v>62.3387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3703</v>
      </c>
      <c r="F369" s="8" t="n">
        <v>0.2663</v>
      </c>
      <c r="G369" s="4" t="n">
        <v>52.7862</v>
      </c>
      <c r="H369" s="4" t="n">
        <v>118.226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3688</v>
      </c>
      <c r="F370" s="8" t="n">
        <v>0.2808</v>
      </c>
      <c r="G370" s="4" t="n">
        <v>74.1722</v>
      </c>
      <c r="H370" s="4" t="n">
        <v>65.2617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3839</v>
      </c>
      <c r="F371" s="8" t="n">
        <v>0.3233</v>
      </c>
      <c r="G371" s="4" t="n">
        <v>49.4311</v>
      </c>
      <c r="H371" s="4" t="n">
        <v>52.0973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3736</v>
      </c>
      <c r="F372" s="8" t="n">
        <v>0.3227</v>
      </c>
      <c r="G372" s="4" t="n">
        <v>50.9459</v>
      </c>
      <c r="H372" s="4" t="n">
        <v>66.5898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3706</v>
      </c>
      <c r="F373" s="8" t="n">
        <v>0.3143</v>
      </c>
      <c r="G373" s="4" t="n">
        <v>59.5803</v>
      </c>
      <c r="H373" s="4" t="n">
        <v>97.17440000000001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3720</v>
      </c>
      <c r="F374" s="8" t="n">
        <v>0.2953</v>
      </c>
      <c r="G374" s="4" t="n">
        <v>72.8656</v>
      </c>
      <c r="H374" s="4" t="n">
        <v>50.4273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3695</v>
      </c>
      <c r="F375" s="8" t="n">
        <v>0.3012</v>
      </c>
      <c r="G375" s="4" t="n">
        <v>53.6353</v>
      </c>
      <c r="H375" s="4" t="n">
        <v>57.3869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3866</v>
      </c>
      <c r="F376" s="8" t="n">
        <v>0.3017</v>
      </c>
      <c r="G376" s="4" t="n">
        <v>50.4799</v>
      </c>
      <c r="H376" s="4" t="n">
        <v>56.4144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3772</v>
      </c>
      <c r="F377" s="8" t="n">
        <v>0.3264</v>
      </c>
      <c r="G377" s="4" t="n">
        <v>70.0399</v>
      </c>
      <c r="H377" s="4" t="n">
        <v>90.1099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3732</v>
      </c>
      <c r="F378" s="8" t="n">
        <v>0.3609</v>
      </c>
      <c r="G378" s="4" t="n">
        <v>64.3062</v>
      </c>
      <c r="H378" s="4" t="n">
        <v>59.868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3768</v>
      </c>
      <c r="F379" s="8" t="n">
        <v>0.3421</v>
      </c>
      <c r="G379" s="4" t="n">
        <v>57.6858</v>
      </c>
      <c r="H379" s="4" t="n">
        <v>56.9742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3762</v>
      </c>
      <c r="F380" s="8" t="n">
        <v>0.3586</v>
      </c>
      <c r="G380" s="4" t="n">
        <v>60.0951</v>
      </c>
      <c r="H380" s="4" t="n">
        <v>60.3038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3924</v>
      </c>
      <c r="F381" s="8" t="n">
        <v>0.3734</v>
      </c>
      <c r="G381" s="4" t="n">
        <v>77.0586</v>
      </c>
      <c r="H381" s="4" t="n">
        <v>127.0545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3790</v>
      </c>
      <c r="F382" s="8" t="n">
        <v>0.3322</v>
      </c>
      <c r="G382" s="4" t="n">
        <v>69.8858</v>
      </c>
      <c r="H382" s="4" t="n">
        <v>54.7341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3778</v>
      </c>
      <c r="F383" s="8" t="n">
        <v>0.3997</v>
      </c>
      <c r="G383" s="4" t="n">
        <v>67.78360000000001</v>
      </c>
      <c r="H383" s="4" t="n">
        <v>62.9854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3803</v>
      </c>
      <c r="F384" s="8" t="n">
        <v>0.3791</v>
      </c>
      <c r="G384" s="4" t="n">
        <v>57.482</v>
      </c>
      <c r="H384" s="4" t="n">
        <v>62.9554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3929</v>
      </c>
      <c r="F385" s="8" t="n">
        <v>0.4264</v>
      </c>
      <c r="G385" s="4" t="n">
        <v>75.349</v>
      </c>
      <c r="H385" s="4" t="n">
        <v>71.791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3797</v>
      </c>
      <c r="F386" s="8" t="n">
        <v>0.4522</v>
      </c>
      <c r="G386" s="4" t="n">
        <v>66.1122</v>
      </c>
      <c r="H386" s="4" t="n">
        <v>75.15009999999999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3733</v>
      </c>
      <c r="F387" s="8" t="n">
        <v>0.4573</v>
      </c>
      <c r="G387" s="4" t="n">
        <v>63.4206</v>
      </c>
      <c r="H387" s="4" t="n">
        <v>140.8197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3738</v>
      </c>
      <c r="F388" s="8" t="n">
        <v>0.3786</v>
      </c>
      <c r="G388" s="4" t="n">
        <v>48.5902</v>
      </c>
      <c r="H388" s="4" t="n">
        <v>55.2663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3759</v>
      </c>
      <c r="F389" s="8" t="n">
        <v>0.3696</v>
      </c>
      <c r="G389" s="4" t="n">
        <v>51.7307</v>
      </c>
      <c r="H389" s="4" t="n">
        <v>54.1432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3845</v>
      </c>
      <c r="F390" s="8" t="n">
        <v>0.3799</v>
      </c>
      <c r="G390" s="4" t="n">
        <v>45.5717</v>
      </c>
      <c r="H390" s="4" t="n">
        <v>55.8603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3729</v>
      </c>
      <c r="F391" s="8" t="n">
        <v>0.3095</v>
      </c>
      <c r="G391" s="4" t="n">
        <v>45.846</v>
      </c>
      <c r="H391" s="4" t="n">
        <v>48.2743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3667</v>
      </c>
      <c r="F392" s="8" t="n">
        <v>0.2822</v>
      </c>
      <c r="G392" s="4" t="n">
        <v>42.1406</v>
      </c>
      <c r="H392" s="4" t="n">
        <v>45.8828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3686</v>
      </c>
      <c r="F393" s="8" t="n">
        <v>0.3273</v>
      </c>
      <c r="G393" s="4" t="n">
        <v>46.0367</v>
      </c>
      <c r="H393" s="4" t="n">
        <v>47.0557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3682</v>
      </c>
      <c r="F394" s="8" t="n">
        <v>0.3844</v>
      </c>
      <c r="G394" s="4" t="n">
        <v>45.71</v>
      </c>
      <c r="H394" s="4" t="n">
        <v>54.2553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3785</v>
      </c>
      <c r="F395" s="8" t="n">
        <v>0.2567</v>
      </c>
      <c r="G395" s="4" t="n">
        <v>38.7379</v>
      </c>
      <c r="H395" s="4" t="n">
        <v>40.9515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3701</v>
      </c>
      <c r="F396" s="8" t="n">
        <v>0.2573</v>
      </c>
      <c r="G396" s="4" t="n">
        <v>35.482</v>
      </c>
      <c r="H396" s="4" t="n">
        <v>38.8487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3693</v>
      </c>
      <c r="F397" s="8" t="n">
        <v>0.2737</v>
      </c>
      <c r="G397" s="4" t="n">
        <v>35.4786</v>
      </c>
      <c r="H397" s="4" t="n">
        <v>39.4683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3423</v>
      </c>
      <c r="F398" s="8" t="n">
        <v>0.1248</v>
      </c>
      <c r="G398" s="4" t="n">
        <v>14.3245</v>
      </c>
      <c r="H398" s="4" t="n">
        <v>10.8525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3864</v>
      </c>
      <c r="F399" s="8" t="n">
        <v>0.3115</v>
      </c>
      <c r="G399" s="4" t="n">
        <v>48.5773</v>
      </c>
      <c r="H399" s="4" t="n">
        <v>50.2535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3777</v>
      </c>
      <c r="F400" s="8" t="n">
        <v>0.3036</v>
      </c>
      <c r="G400" s="4" t="n">
        <v>51.3367</v>
      </c>
      <c r="H400" s="4" t="n">
        <v>54.9575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3750</v>
      </c>
      <c r="F401" s="8" t="n">
        <v>0.3226</v>
      </c>
      <c r="G401" s="4" t="n">
        <v>49.8743</v>
      </c>
      <c r="H401" s="4" t="n">
        <v>49.2881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3741</v>
      </c>
      <c r="F402" s="8" t="n">
        <v>0.2976</v>
      </c>
      <c r="G402" s="4" t="n">
        <v>43.7861</v>
      </c>
      <c r="H402" s="4" t="n">
        <v>41.7792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3761</v>
      </c>
      <c r="F403" s="8" t="n">
        <v>0.2863</v>
      </c>
      <c r="G403" s="4" t="n">
        <v>48.7175</v>
      </c>
      <c r="H403" s="4" t="n">
        <v>51.9461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3849</v>
      </c>
      <c r="F404" s="8" t="n">
        <v>0.3162</v>
      </c>
      <c r="G404" s="4" t="n">
        <v>50.2359</v>
      </c>
      <c r="H404" s="4" t="n">
        <v>44.0655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3753</v>
      </c>
      <c r="F405" s="8" t="n">
        <v>0.3072</v>
      </c>
      <c r="G405" s="4" t="n">
        <v>50.8074</v>
      </c>
      <c r="H405" s="4" t="n">
        <v>46.7647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3728</v>
      </c>
      <c r="F406" s="8" t="n">
        <v>0.2978</v>
      </c>
      <c r="G406" s="4" t="n">
        <v>46.447</v>
      </c>
      <c r="H406" s="4" t="n">
        <v>52.5575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3713</v>
      </c>
      <c r="F407" s="8" t="n">
        <v>0.3797</v>
      </c>
      <c r="G407" s="4" t="n">
        <v>56.5214</v>
      </c>
      <c r="H407" s="4" t="n">
        <v>67.6541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3" t="n">
        <v>3874</v>
      </c>
      <c r="F408" s="8" t="n">
        <v>0.4352</v>
      </c>
      <c r="G408" s="4" t="n">
        <v>62.6258</v>
      </c>
      <c r="H408" s="4" t="n">
        <v>55.6785</v>
      </c>
      <c r="I408" s="4" t="n">
        <v>14.8575</v>
      </c>
      <c r="J408" s="4" t="n">
        <v>18.0825</v>
      </c>
      <c r="K408" s="4" t="n">
        <v>13.5625</v>
      </c>
      <c r="L408" s="4" t="n">
        <v>17.52</v>
      </c>
      <c r="M408" s="7" t="n">
        <v>0.1792</v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3" t="n">
        <v>3709</v>
      </c>
      <c r="F409" s="8" t="n">
        <v>0.3446</v>
      </c>
      <c r="G409" s="4" t="n">
        <v>55.2029</v>
      </c>
      <c r="H409" s="4" t="n">
        <v>62.9234</v>
      </c>
      <c r="I409" s="4" t="n">
        <v>17.52</v>
      </c>
      <c r="J409" s="4" t="n">
        <v>20.025</v>
      </c>
      <c r="K409" s="4" t="n">
        <v>16.7925</v>
      </c>
      <c r="L409" s="4" t="n">
        <v>18.015</v>
      </c>
      <c r="M409" s="7" t="n">
        <v>0.0283</v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3" t="n">
        <v>3718</v>
      </c>
      <c r="F410" s="8" t="n">
        <v>0.3137</v>
      </c>
      <c r="G410" s="4" t="n">
        <v>62.8016</v>
      </c>
      <c r="H410" s="4" t="n">
        <v>51.2988</v>
      </c>
      <c r="I410" s="4" t="n">
        <v>18.015</v>
      </c>
      <c r="J410" s="4" t="n">
        <v>18.015</v>
      </c>
      <c r="K410" s="4" t="n">
        <v>15.5775</v>
      </c>
      <c r="L410" s="4" t="n">
        <v>17.095</v>
      </c>
      <c r="M410" s="7" t="n">
        <v>-0.0511</v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3" t="n">
        <v>3716</v>
      </c>
      <c r="F411" s="8" t="n">
        <v>0.308</v>
      </c>
      <c r="G411" s="4" t="n">
        <v>53.6359</v>
      </c>
      <c r="H411" s="4" t="n">
        <v>47.2973</v>
      </c>
      <c r="I411" s="4" t="n">
        <v>17.095</v>
      </c>
      <c r="J411" s="4" t="n">
        <v>18.0725</v>
      </c>
      <c r="K411" s="4" t="n">
        <v>16.0025</v>
      </c>
      <c r="L411" s="4" t="n">
        <v>16.6625</v>
      </c>
      <c r="M411" s="7" t="n">
        <v>-0.0253</v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3" t="n">
        <v>3688</v>
      </c>
      <c r="F412" s="8" t="n">
        <v>0.4742</v>
      </c>
      <c r="G412" s="4" t="n">
        <v>81.3142</v>
      </c>
      <c r="H412" s="4" t="n">
        <v>63.042</v>
      </c>
      <c r="I412" s="4" t="n">
        <v>16.6625</v>
      </c>
      <c r="J412" s="4" t="n">
        <v>21.3925</v>
      </c>
      <c r="K412" s="4" t="n">
        <v>16.05</v>
      </c>
      <c r="L412" s="4" t="n">
        <v>20.8025</v>
      </c>
      <c r="M412" s="7" t="n">
        <v>0.2485</v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3" t="n">
        <v>3868</v>
      </c>
      <c r="F413" s="8" t="n">
        <v>0.4539</v>
      </c>
      <c r="G413" s="4" t="n">
        <v>88.3265</v>
      </c>
      <c r="H413" s="4" t="n">
        <v>56.0457</v>
      </c>
      <c r="I413" s="4" t="n">
        <v>20.8025</v>
      </c>
      <c r="J413" s="4" t="n">
        <v>23.82</v>
      </c>
      <c r="K413" s="4" t="n">
        <v>18.8925</v>
      </c>
      <c r="L413" s="4" t="n">
        <v>20.83</v>
      </c>
      <c r="M413" s="7" t="n">
        <v>0.0013</v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3" t="n">
        <v>3704</v>
      </c>
      <c r="F414" s="8" t="n">
        <v>0.3363</v>
      </c>
      <c r="G414" s="4" t="n">
        <v>52.0776</v>
      </c>
      <c r="H414" s="4" t="n">
        <v>44.9839</v>
      </c>
      <c r="I414" s="4" t="n">
        <v>20.83</v>
      </c>
      <c r="J414" s="4" t="n">
        <v>21.965</v>
      </c>
      <c r="K414" s="4" t="n">
        <v>18.8075</v>
      </c>
      <c r="L414" s="4" t="n">
        <v>21.1675</v>
      </c>
      <c r="M414" s="7" t="n">
        <v>0.0162</v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3" t="n">
        <v>3679</v>
      </c>
      <c r="F415" s="8" t="n">
        <v>0.276</v>
      </c>
      <c r="G415" s="4" t="n">
        <v>62.9377</v>
      </c>
      <c r="H415" s="4" t="n">
        <v>53.9409</v>
      </c>
      <c r="I415" s="4" t="n">
        <v>21.1675</v>
      </c>
      <c r="J415" s="4" t="n">
        <v>21.1675</v>
      </c>
      <c r="K415" s="4" t="n">
        <v>18.935</v>
      </c>
      <c r="L415" s="4" t="n">
        <v>19.4475</v>
      </c>
      <c r="M415" s="7" t="n">
        <v>-0.0813</v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3" t="n">
        <v>3693</v>
      </c>
      <c r="F416" s="8" t="n">
        <v>0.2567</v>
      </c>
      <c r="G416" s="4" t="n">
        <v>51.6035</v>
      </c>
      <c r="H416" s="4" t="n">
        <v>41.1062</v>
      </c>
      <c r="I416" s="4" t="n">
        <v>19.4475</v>
      </c>
      <c r="J416" s="4" t="n">
        <v>22.965</v>
      </c>
      <c r="K416" s="4" t="n">
        <v>18.0025</v>
      </c>
      <c r="L416" s="4" t="n">
        <v>18.0875</v>
      </c>
      <c r="M416" s="7" t="n">
        <v>-0.0699</v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3" t="n">
        <v>3675</v>
      </c>
      <c r="F417" s="8" t="n">
        <v>0.2853</v>
      </c>
      <c r="G417" s="4" t="n">
        <v>73.3145</v>
      </c>
      <c r="H417" s="4" t="n">
        <v>42.1036</v>
      </c>
      <c r="I417" s="4" t="n">
        <v>18.0875</v>
      </c>
      <c r="J417" s="4" t="n">
        <v>18.8325</v>
      </c>
      <c r="K417" s="4" t="n">
        <v>17.21</v>
      </c>
      <c r="L417" s="4" t="n">
        <v>18.455</v>
      </c>
      <c r="M417" s="7" t="n">
        <v>0.0203</v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3" t="n">
        <v>3888</v>
      </c>
      <c r="F418" s="8" t="n">
        <v>0.302</v>
      </c>
      <c r="G418" s="4" t="n">
        <v>86.2629</v>
      </c>
      <c r="H418" s="4" t="n">
        <v>41.4029</v>
      </c>
      <c r="I418" s="4" t="n">
        <v>18.455</v>
      </c>
      <c r="J418" s="4" t="n">
        <v>20.4775</v>
      </c>
      <c r="K418" s="4" t="n">
        <v>18.3</v>
      </c>
      <c r="L418" s="4" t="n">
        <v>20.0775</v>
      </c>
      <c r="M418" s="7" t="n">
        <v>0.08790000000000001</v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3" t="n">
        <v>3685</v>
      </c>
      <c r="F419" s="8" t="n">
        <v>0.278</v>
      </c>
      <c r="G419" s="4" t="n">
        <v>71.46639999999999</v>
      </c>
      <c r="H419" s="4" t="n">
        <v>39.8983</v>
      </c>
      <c r="I419" s="4" t="n">
        <v>20.0775</v>
      </c>
      <c r="J419" s="4" t="n">
        <v>20.0775</v>
      </c>
      <c r="K419" s="4" t="n">
        <v>18.2425</v>
      </c>
      <c r="L419" s="4" t="n">
        <v>18.46</v>
      </c>
      <c r="M419" s="7" t="n">
        <v>-0.0806</v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3" t="n">
        <v>3690</v>
      </c>
      <c r="F420" s="8" t="n">
        <v>0.2859</v>
      </c>
      <c r="G420" s="4" t="n">
        <v>68.9529</v>
      </c>
      <c r="H420" s="4" t="n">
        <v>46.1006</v>
      </c>
      <c r="I420" s="4" t="n">
        <v>18.46</v>
      </c>
      <c r="J420" s="4" t="n">
        <v>18.46</v>
      </c>
      <c r="K420" s="4" t="n">
        <v>16.565</v>
      </c>
      <c r="L420" s="4" t="n">
        <v>17.265</v>
      </c>
      <c r="M420" s="7" t="n">
        <v>-0.06469999999999999</v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3" t="n">
        <v>3652</v>
      </c>
      <c r="F421" s="8" t="n">
        <v>0.3036</v>
      </c>
      <c r="G421" s="4" t="n">
        <v>102.4799</v>
      </c>
      <c r="H421" s="4" t="n">
        <v>50.8831</v>
      </c>
      <c r="I421" s="4" t="n">
        <v>17.265</v>
      </c>
      <c r="J421" s="4" t="n">
        <v>17.435</v>
      </c>
      <c r="K421" s="4" t="n">
        <v>15.54</v>
      </c>
      <c r="L421" s="4" t="n">
        <v>16.6025</v>
      </c>
      <c r="M421" s="7" t="n">
        <v>-0.0384</v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3" t="n">
        <v>3636</v>
      </c>
      <c r="F422" s="8" t="n">
        <v>0.3251</v>
      </c>
      <c r="G422" s="4" t="n">
        <v>102.4096</v>
      </c>
      <c r="H422" s="4" t="n">
        <v>42.6707</v>
      </c>
      <c r="I422" s="4" t="n">
        <v>16.6025</v>
      </c>
      <c r="J422" s="4" t="n">
        <v>16.9325</v>
      </c>
      <c r="K422" s="4" t="n">
        <v>15.21</v>
      </c>
      <c r="L422" s="4" t="n">
        <v>16.06</v>
      </c>
      <c r="M422" s="7" t="n">
        <v>-0.0327</v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3" t="n">
        <v>3911</v>
      </c>
      <c r="F423" s="8" t="n">
        <v>0.3354</v>
      </c>
      <c r="G423" s="4" t="n">
        <v>97.02330000000001</v>
      </c>
      <c r="H423" s="4" t="n">
        <v>51.7526</v>
      </c>
      <c r="I423" s="4" t="n">
        <v>16.06</v>
      </c>
      <c r="J423" s="4" t="n">
        <v>16.86</v>
      </c>
      <c r="K423" s="4" t="n">
        <v>14.675</v>
      </c>
      <c r="L423" s="4" t="n">
        <v>16.57</v>
      </c>
      <c r="M423" s="7" t="n">
        <v>0.0318</v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3" t="n">
        <v>3705</v>
      </c>
      <c r="F424" s="8" t="n">
        <v>0.2969</v>
      </c>
      <c r="G424" s="4" t="n">
        <v>83.6245</v>
      </c>
      <c r="H424" s="4" t="n">
        <v>43.9031</v>
      </c>
      <c r="I424" s="4" t="n">
        <v>16.57</v>
      </c>
      <c r="J424" s="4" t="n">
        <v>17.33</v>
      </c>
      <c r="K424" s="4" t="n">
        <v>13.9375</v>
      </c>
      <c r="L424" s="4" t="n">
        <v>16.9525</v>
      </c>
      <c r="M424" s="7" t="n">
        <v>0.0231</v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3" t="n">
        <v>3721</v>
      </c>
      <c r="F425" s="8" t="n">
        <v>0.2972</v>
      </c>
      <c r="G425" s="4" t="n">
        <v>74.82989999999999</v>
      </c>
      <c r="H425" s="4" t="n">
        <v>41.4174</v>
      </c>
      <c r="I425" s="4" t="n">
        <v>16.9525</v>
      </c>
      <c r="J425" s="4" t="n">
        <v>17.7125</v>
      </c>
      <c r="K425" s="4" t="n">
        <v>15.7675</v>
      </c>
      <c r="L425" s="4" t="n">
        <v>17.2175</v>
      </c>
      <c r="M425" s="7" t="n">
        <v>0.0156</v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3" t="n">
        <v>3700</v>
      </c>
      <c r="F426" s="8" t="n">
        <v>0.3117</v>
      </c>
      <c r="G426" s="4" t="n">
        <v>100.7776</v>
      </c>
      <c r="H426" s="4" t="n">
        <v>44.5492</v>
      </c>
      <c r="I426" s="4" t="n">
        <v>17.2175</v>
      </c>
      <c r="J426" s="4" t="n">
        <v>17.2175</v>
      </c>
      <c r="K426" s="4" t="n">
        <v>15.2625</v>
      </c>
      <c r="L426" s="4" t="n">
        <v>15.895</v>
      </c>
      <c r="M426" s="7" t="n">
        <v>-0.07679999999999999</v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3" t="n">
        <v>3689</v>
      </c>
      <c r="F427" s="8" t="n">
        <v>0.3807</v>
      </c>
      <c r="G427" s="4" t="n">
        <v>83.5487</v>
      </c>
      <c r="H427" s="4" t="n">
        <v>48.416</v>
      </c>
      <c r="I427" s="4" t="n">
        <v>15.895</v>
      </c>
      <c r="J427" s="4" t="n">
        <v>16.9075</v>
      </c>
      <c r="K427" s="4" t="n">
        <v>13.76</v>
      </c>
      <c r="L427" s="4" t="n">
        <v>16.3375</v>
      </c>
      <c r="M427" s="7" t="n">
        <v>0.0278</v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3" t="n">
        <v>3875</v>
      </c>
      <c r="F428" s="8" t="n">
        <v>0.4524</v>
      </c>
      <c r="G428" s="4" t="n">
        <v>78.872</v>
      </c>
      <c r="H428" s="4" t="n">
        <v>65.2439</v>
      </c>
      <c r="I428" s="4" t="n">
        <v>16.3375</v>
      </c>
      <c r="J428" s="4" t="n">
        <v>20.135</v>
      </c>
      <c r="K428" s="4" t="n">
        <v>16.3375</v>
      </c>
      <c r="L428" s="4" t="n">
        <v>18.965</v>
      </c>
      <c r="M428" s="7" t="n">
        <v>0.1608</v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3" t="n">
        <v>3701</v>
      </c>
      <c r="F429" s="8" t="n">
        <v>0.2983</v>
      </c>
      <c r="G429" s="4" t="n">
        <v>60.5167</v>
      </c>
      <c r="H429" s="4" t="n">
        <v>37.5852</v>
      </c>
      <c r="I429" s="4" t="n">
        <v>18.965</v>
      </c>
      <c r="J429" s="4" t="n">
        <v>18.965</v>
      </c>
      <c r="K429" s="4" t="n">
        <v>16.6275</v>
      </c>
      <c r="L429" s="4" t="n">
        <v>17.5375</v>
      </c>
      <c r="M429" s="7" t="n">
        <v>-0.07530000000000001</v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3" t="n">
        <v>3730</v>
      </c>
      <c r="F430" s="8" t="n">
        <v>0.2581</v>
      </c>
      <c r="G430" s="4" t="n">
        <v>67.0928</v>
      </c>
      <c r="H430" s="4" t="n">
        <v>33.3809</v>
      </c>
      <c r="I430" s="4" t="n">
        <v>17.5375</v>
      </c>
      <c r="J430" s="4" t="n">
        <v>17.5375</v>
      </c>
      <c r="K430" s="4" t="n">
        <v>15.69</v>
      </c>
      <c r="L430" s="4" t="n">
        <v>16.58</v>
      </c>
      <c r="M430" s="7" t="n">
        <v>-0.0546</v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3" t="n">
        <v>3741</v>
      </c>
      <c r="F431" s="8" t="n">
        <v>0.2668</v>
      </c>
      <c r="G431" s="4" t="n">
        <v>67.8716</v>
      </c>
      <c r="H431" s="4" t="n">
        <v>33.2973</v>
      </c>
      <c r="I431" s="4" t="n">
        <v>16.58</v>
      </c>
      <c r="J431" s="4" t="n">
        <v>16.58</v>
      </c>
      <c r="K431" s="4" t="n">
        <v>15.68</v>
      </c>
      <c r="L431" s="4" t="n">
        <v>15.825</v>
      </c>
      <c r="M431" s="7" t="n">
        <v>-0.0455</v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3" t="n">
        <v>3704</v>
      </c>
      <c r="F432" s="8" t="n">
        <v>0.2706</v>
      </c>
      <c r="G432" s="4" t="n">
        <v>74.5689</v>
      </c>
      <c r="H432" s="4" t="n">
        <v>32.59</v>
      </c>
      <c r="I432" s="4" t="n">
        <v>15.825</v>
      </c>
      <c r="J432" s="4" t="n">
        <v>16.6525</v>
      </c>
      <c r="K432" s="4" t="n">
        <v>15.3325</v>
      </c>
      <c r="L432" s="4" t="n">
        <v>16.1475</v>
      </c>
      <c r="M432" s="7" t="n">
        <v>0.0204</v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3" t="n">
        <v>3891</v>
      </c>
      <c r="F433" s="8" t="n">
        <v>0.2855</v>
      </c>
      <c r="G433" s="4" t="n">
        <v>91.8629</v>
      </c>
      <c r="H433" s="4" t="n">
        <v>34.591</v>
      </c>
      <c r="I433" s="4" t="n">
        <v>16.1475</v>
      </c>
      <c r="J433" s="4" t="n">
        <v>17.2775</v>
      </c>
      <c r="K433" s="4" t="n">
        <v>15.2625</v>
      </c>
      <c r="L433" s="4" t="n">
        <v>17.1175</v>
      </c>
      <c r="M433" s="7" t="n">
        <v>0.0601</v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3" t="n">
        <v>3716</v>
      </c>
      <c r="F434" s="8" t="n">
        <v>0.2844</v>
      </c>
      <c r="G434" s="4" t="n">
        <v>91.8792</v>
      </c>
      <c r="H434" s="4" t="n">
        <v>35.0743</v>
      </c>
      <c r="I434" s="4" t="n">
        <v>17.1175</v>
      </c>
      <c r="J434" s="4" t="n">
        <v>17.1175</v>
      </c>
      <c r="K434" s="4" t="n">
        <v>15.2075</v>
      </c>
      <c r="L434" s="4" t="n">
        <v>16.475</v>
      </c>
      <c r="M434" s="7" t="n">
        <v>-0.0375</v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3" t="n">
        <v>3738</v>
      </c>
      <c r="F435" s="8" t="n">
        <v>0.3113</v>
      </c>
      <c r="G435" s="4" t="n">
        <v>113.054</v>
      </c>
      <c r="H435" s="4" t="n">
        <v>40.5736</v>
      </c>
      <c r="I435" s="4" t="n">
        <v>16.475</v>
      </c>
      <c r="J435" s="4" t="n">
        <v>16.8625</v>
      </c>
      <c r="K435" s="4" t="n">
        <v>15.8</v>
      </c>
      <c r="L435" s="4" t="n">
        <v>16.2425</v>
      </c>
      <c r="M435" s="7" t="n">
        <v>-0.0141</v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3" t="n">
        <v>3716</v>
      </c>
      <c r="F436" s="8" t="n">
        <v>0.3136</v>
      </c>
      <c r="G436" s="4" t="n">
        <v>97.42740000000001</v>
      </c>
      <c r="H436" s="4" t="n">
        <v>39.0796</v>
      </c>
      <c r="I436" s="4" t="n">
        <v>16.2425</v>
      </c>
      <c r="J436" s="4" t="n">
        <v>16.7875</v>
      </c>
      <c r="K436" s="4" t="n">
        <v>15.2925</v>
      </c>
      <c r="L436" s="4" t="n">
        <v>16.565</v>
      </c>
      <c r="M436" s="7" t="n">
        <v>0.0199</v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3" t="n">
        <v>3738</v>
      </c>
      <c r="F437" s="8" t="n">
        <v>0.3063</v>
      </c>
      <c r="G437" s="4" t="n">
        <v>98.05070000000001</v>
      </c>
      <c r="H437" s="4" t="n">
        <v>39.4086</v>
      </c>
      <c r="I437" s="4" t="n">
        <v>16.565</v>
      </c>
      <c r="J437" s="4" t="n">
        <v>16.7675</v>
      </c>
      <c r="K437" s="4" t="n">
        <v>15.4</v>
      </c>
      <c r="L437" s="4" t="n">
        <v>16.2225</v>
      </c>
      <c r="M437" s="7" t="n">
        <v>-0.0207</v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3" t="n">
        <v>3972</v>
      </c>
      <c r="F438" s="8" t="n">
        <v>0.3442</v>
      </c>
      <c r="G438" s="4" t="n">
        <v>103.5491</v>
      </c>
      <c r="H438" s="4" t="n">
        <v>47.3927</v>
      </c>
      <c r="I438" s="4" t="n">
        <v>16.2225</v>
      </c>
      <c r="J438" s="4" t="n">
        <v>16.81</v>
      </c>
      <c r="K438" s="4" t="n">
        <v>15.4525</v>
      </c>
      <c r="L438" s="4" t="n">
        <v>16.4525</v>
      </c>
      <c r="M438" s="7" t="n">
        <v>0.0142</v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3" t="n">
        <v>3772</v>
      </c>
      <c r="F439" s="8" t="n">
        <v>0.4053</v>
      </c>
      <c r="G439" s="4" t="n">
        <v>151.2513</v>
      </c>
      <c r="H439" s="4" t="n">
        <v>51.964</v>
      </c>
      <c r="I439" s="4" t="n">
        <v>16.4525</v>
      </c>
      <c r="J439" s="4" t="n">
        <v>16.675</v>
      </c>
      <c r="K439" s="4" t="n">
        <v>15.71</v>
      </c>
      <c r="L439" s="4" t="n">
        <v>16.12</v>
      </c>
      <c r="M439" s="7" t="n">
        <v>-0.0202</v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3" t="n">
        <v>3774</v>
      </c>
      <c r="F440" s="8" t="n">
        <v>0.3672</v>
      </c>
      <c r="G440" s="4" t="n">
        <v>116.086</v>
      </c>
      <c r="H440" s="4" t="n">
        <v>46.733</v>
      </c>
      <c r="I440" s="4" t="n">
        <v>16.12</v>
      </c>
      <c r="J440" s="4" t="n">
        <v>17.38</v>
      </c>
      <c r="K440" s="4" t="n">
        <v>15.0875</v>
      </c>
      <c r="L440" s="4" t="n">
        <v>17.2275</v>
      </c>
      <c r="M440" s="7" t="n">
        <v>0.0687</v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3" t="n">
        <v>3752</v>
      </c>
      <c r="F441" s="8" t="n">
        <v>0.3646</v>
      </c>
      <c r="G441" s="4" t="n">
        <v>102.6627</v>
      </c>
      <c r="H441" s="4" t="n">
        <v>46.8165</v>
      </c>
      <c r="I441" s="4" t="n">
        <v>17.2275</v>
      </c>
      <c r="J441" s="4" t="n">
        <v>18.4175</v>
      </c>
      <c r="K441" s="4" t="n">
        <v>16.4</v>
      </c>
      <c r="L441" s="4" t="n">
        <v>17.9775</v>
      </c>
      <c r="M441" s="7" t="n">
        <v>0.0435</v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3" t="n">
        <v>3776</v>
      </c>
      <c r="F442" s="8" t="n">
        <v>0.4028</v>
      </c>
      <c r="G442" s="4" t="n">
        <v>104.4464</v>
      </c>
      <c r="H442" s="4" t="n">
        <v>54.8981</v>
      </c>
      <c r="I442" s="4" t="n">
        <v>17.9775</v>
      </c>
      <c r="J442" s="4" t="n">
        <v>18.09</v>
      </c>
      <c r="K442" s="4" t="n">
        <v>16.86</v>
      </c>
      <c r="L442" s="4" t="n">
        <v>17.6025</v>
      </c>
      <c r="M442" s="7" t="n">
        <v>-0.0209</v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3" t="n">
        <v>4045</v>
      </c>
      <c r="F443" s="8" t="n">
        <v>0.4206</v>
      </c>
      <c r="G443" s="4" t="n">
        <v>101.1485</v>
      </c>
      <c r="H443" s="4" t="n">
        <v>70.35809999999999</v>
      </c>
      <c r="I443" s="4" t="n">
        <v>17.6025</v>
      </c>
      <c r="J443" s="4" t="n">
        <v>18.39</v>
      </c>
      <c r="K443" s="4" t="n">
        <v>15.8425</v>
      </c>
      <c r="L443" s="4" t="n">
        <v>17.6775</v>
      </c>
      <c r="M443" s="7" t="n">
        <v>0.0043</v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3" t="n">
        <v>3799</v>
      </c>
      <c r="F444" s="8" t="n">
        <v>0.4508</v>
      </c>
      <c r="G444" s="4" t="n">
        <v>130.224</v>
      </c>
      <c r="H444" s="4" t="n">
        <v>55.3877</v>
      </c>
      <c r="I444" s="4" t="n">
        <v>17.6775</v>
      </c>
      <c r="J444" s="4" t="n">
        <v>18.2475</v>
      </c>
      <c r="K444" s="4" t="n">
        <v>16.4375</v>
      </c>
      <c r="L444" s="4" t="n">
        <v>17.7575</v>
      </c>
      <c r="M444" s="7" t="n">
        <v>0.0045</v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3" t="n">
        <v>3833</v>
      </c>
      <c r="F445" s="8" t="n">
        <v>0.4657</v>
      </c>
      <c r="G445" s="4" t="n">
        <v>156.7025</v>
      </c>
      <c r="H445" s="4" t="n">
        <v>55.5066</v>
      </c>
      <c r="I445" s="4" t="n">
        <v>17.7575</v>
      </c>
      <c r="J445" s="4" t="n">
        <v>17.925</v>
      </c>
      <c r="K445" s="4" t="n">
        <v>16.5475</v>
      </c>
      <c r="L445" s="4" t="n">
        <v>17.1825</v>
      </c>
      <c r="M445" s="7" t="n">
        <v>-0.0324</v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3" t="n">
        <v>3789</v>
      </c>
      <c r="F446" s="8" t="n">
        <v>0.4104</v>
      </c>
      <c r="G446" s="4" t="n">
        <v>115.6348</v>
      </c>
      <c r="H446" s="4" t="n">
        <v>51.9808</v>
      </c>
      <c r="I446" s="4" t="n">
        <v>17.1825</v>
      </c>
      <c r="J446" s="4" t="n">
        <v>17.525</v>
      </c>
      <c r="K446" s="4" t="n">
        <v>16.6075</v>
      </c>
      <c r="L446" s="4" t="n">
        <v>16.705</v>
      </c>
      <c r="M446" s="7" t="n">
        <v>-0.0278</v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3" t="n">
        <v>3788</v>
      </c>
      <c r="F447" s="8" t="n">
        <v>0.3929</v>
      </c>
      <c r="G447" s="4" t="n">
        <v>103.4475</v>
      </c>
      <c r="H447" s="4" t="n">
        <v>50.1861</v>
      </c>
      <c r="I447" s="4" t="n">
        <v>16.705</v>
      </c>
      <c r="J447" s="4" t="n">
        <v>17.1</v>
      </c>
      <c r="K447" s="4" t="n">
        <v>15.3425</v>
      </c>
      <c r="L447" s="4" t="n">
        <v>16.555</v>
      </c>
      <c r="M447" s="7" t="n">
        <v>-0.008999999999999999</v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3" t="n">
        <v>4022</v>
      </c>
      <c r="F448" s="8" t="n">
        <v>0.4414</v>
      </c>
      <c r="G448" s="4" t="n">
        <v>123.319</v>
      </c>
      <c r="H448" s="4" t="n">
        <v>54.882</v>
      </c>
      <c r="I448" s="4" t="n">
        <v>16.555</v>
      </c>
      <c r="J448" s="4" t="n">
        <v>17.5475</v>
      </c>
      <c r="K448" s="4" t="n">
        <v>16.2675</v>
      </c>
      <c r="L448" s="4" t="n">
        <v>16.765</v>
      </c>
      <c r="M448" s="7" t="n">
        <v>0.0127</v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3" t="n">
        <v>3814</v>
      </c>
      <c r="F449" s="8" t="n">
        <v>0.469</v>
      </c>
      <c r="G449" s="4" t="n">
        <v>103.2553</v>
      </c>
      <c r="H449" s="4" t="n">
        <v>53.8633</v>
      </c>
      <c r="I449" s="4" t="n">
        <v>16.765</v>
      </c>
      <c r="J449" s="4" t="n">
        <v>17.875</v>
      </c>
      <c r="K449" s="4" t="n">
        <v>16.765</v>
      </c>
      <c r="L449" s="4" t="n">
        <v>17.78</v>
      </c>
      <c r="M449" s="7" t="n">
        <v>0.0605</v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3" t="n">
        <v>3778</v>
      </c>
      <c r="F450" s="8" t="n">
        <v>0.4186</v>
      </c>
      <c r="G450" s="4" t="n">
        <v>84.50449999999999</v>
      </c>
      <c r="H450" s="4" t="n">
        <v>63.9029</v>
      </c>
      <c r="I450" s="4" t="n">
        <v>17.78</v>
      </c>
      <c r="J450" s="4" t="n">
        <v>18.4475</v>
      </c>
      <c r="K450" s="4" t="n">
        <v>15.94</v>
      </c>
      <c r="L450" s="4" t="n">
        <v>17.8175</v>
      </c>
      <c r="M450" s="7" t="n">
        <v>0.0021</v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3" t="n">
        <v>3750</v>
      </c>
      <c r="F451" s="8" t="n">
        <v>0.3816</v>
      </c>
      <c r="G451" s="4" t="n">
        <v>75.4233</v>
      </c>
      <c r="H451" s="4" t="n">
        <v>46.7764</v>
      </c>
      <c r="I451" s="4" t="n">
        <v>17.8175</v>
      </c>
      <c r="J451" s="4" t="n">
        <v>18.45</v>
      </c>
      <c r="K451" s="4" t="n">
        <v>17.32</v>
      </c>
      <c r="L451" s="4" t="n">
        <v>17.79</v>
      </c>
      <c r="M451" s="7" t="n">
        <v>-0.0015</v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3" t="n">
        <v>3719</v>
      </c>
      <c r="F452" s="8" t="n">
        <v>0.4635</v>
      </c>
      <c r="G452" s="4" t="n">
        <v>87.554</v>
      </c>
      <c r="H452" s="4" t="n">
        <v>54.1095</v>
      </c>
      <c r="I452" s="4" t="n">
        <v>17.79</v>
      </c>
      <c r="J452" s="4" t="n">
        <v>19.605</v>
      </c>
      <c r="K452" s="4" t="n">
        <v>16.9825</v>
      </c>
      <c r="L452" s="4" t="n">
        <v>18.8875</v>
      </c>
      <c r="M452" s="7" t="n">
        <v>0.0617</v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3" t="n">
        <v>4020</v>
      </c>
      <c r="F453" s="8" t="n">
        <v>0.5647</v>
      </c>
      <c r="G453" s="4" t="n">
        <v>94.0449</v>
      </c>
      <c r="H453" s="4" t="n">
        <v>62.1474</v>
      </c>
      <c r="I453" s="4" t="n">
        <v>18.8875</v>
      </c>
      <c r="J453" s="4" t="n">
        <v>23.9</v>
      </c>
      <c r="K453" s="4" t="n">
        <v>18.8875</v>
      </c>
      <c r="L453" s="4" t="n">
        <v>22.825</v>
      </c>
      <c r="M453" s="7" t="n">
        <v>0.2085</v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3" t="n">
        <v>3751</v>
      </c>
      <c r="F454" s="8" t="n">
        <v>0.4686</v>
      </c>
      <c r="G454" s="4" t="n">
        <v>62.7524</v>
      </c>
      <c r="H454" s="4" t="n">
        <v>55.8105</v>
      </c>
      <c r="I454" s="4" t="n">
        <v>22.825</v>
      </c>
      <c r="J454" s="4" t="n">
        <v>24.1375</v>
      </c>
      <c r="K454" s="4" t="n">
        <v>21.18</v>
      </c>
      <c r="L454" s="4" t="n">
        <v>21.3575</v>
      </c>
      <c r="M454" s="7" t="n">
        <v>-0.0643</v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3" t="n">
        <v>3756</v>
      </c>
      <c r="F455" s="8" t="n">
        <v>0.4499</v>
      </c>
      <c r="G455" s="4" t="n">
        <v>65.7593</v>
      </c>
      <c r="H455" s="4" t="n">
        <v>53.2449</v>
      </c>
      <c r="I455" s="4" t="n">
        <v>21.3575</v>
      </c>
      <c r="J455" s="4" t="n">
        <v>23.8675</v>
      </c>
      <c r="K455" s="4" t="n">
        <v>20.4425</v>
      </c>
      <c r="L455" s="4" t="n">
        <v>21.065</v>
      </c>
      <c r="M455" s="7" t="n">
        <v>-0.0137</v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3" t="n">
        <v>3747</v>
      </c>
      <c r="F456" s="8" t="n">
        <v>0.3904</v>
      </c>
      <c r="G456" s="4" t="n">
        <v>62.7616</v>
      </c>
      <c r="H456" s="4" t="n">
        <v>55.1345</v>
      </c>
      <c r="I456" s="4" t="n">
        <v>21.065</v>
      </c>
      <c r="J456" s="4" t="n">
        <v>21.32</v>
      </c>
      <c r="K456" s="4" t="n">
        <v>20.2825</v>
      </c>
      <c r="L456" s="4" t="n">
        <v>20.695</v>
      </c>
      <c r="M456" s="7" t="n">
        <v>-0.0176</v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3" t="n">
        <v>4003</v>
      </c>
      <c r="F457" s="8" t="n">
        <v>0.3238</v>
      </c>
      <c r="G457" s="4" t="n">
        <v>50.4982</v>
      </c>
      <c r="H457" s="4" t="n">
        <v>41.8282</v>
      </c>
      <c r="I457" s="4" t="n">
        <v>20.695</v>
      </c>
      <c r="J457" s="4" t="n">
        <v>22.11</v>
      </c>
      <c r="K457" s="4" t="n">
        <v>20.695</v>
      </c>
      <c r="L457" s="4" t="n">
        <v>21.9525</v>
      </c>
      <c r="M457" s="7" t="n">
        <v>0.0608</v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3" t="n">
        <v>3711</v>
      </c>
      <c r="F458" s="8" t="n">
        <v>0.3764</v>
      </c>
      <c r="G458" s="4" t="n">
        <v>81.61450000000001</v>
      </c>
      <c r="H458" s="4" t="n">
        <v>61.0426</v>
      </c>
      <c r="I458" s="4" t="n">
        <v>21.9525</v>
      </c>
      <c r="J458" s="4" t="n">
        <v>22.07</v>
      </c>
      <c r="K458" s="4" t="n">
        <v>19.745</v>
      </c>
      <c r="L458" s="4" t="n">
        <v>19.9775</v>
      </c>
      <c r="M458" s="7" t="n">
        <v>-0.09</v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3" t="n">
        <v>3737</v>
      </c>
      <c r="F459" s="8" t="n">
        <v>0.2995</v>
      </c>
      <c r="G459" s="4" t="n">
        <v>68.89060000000001</v>
      </c>
      <c r="H459" s="4" t="n">
        <v>45.9593</v>
      </c>
      <c r="I459" s="4" t="n">
        <v>19.9775</v>
      </c>
      <c r="J459" s="4" t="n">
        <v>19.9775</v>
      </c>
      <c r="K459" s="4" t="n">
        <v>18.5475</v>
      </c>
      <c r="L459" s="4" t="n">
        <v>18.65</v>
      </c>
      <c r="M459" s="7" t="n">
        <v>-0.0664</v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3" t="n">
        <v>3731</v>
      </c>
      <c r="F460" s="8" t="n">
        <v>0.3205</v>
      </c>
      <c r="G460" s="4" t="n">
        <v>86.5432</v>
      </c>
      <c r="H460" s="4" t="n">
        <v>44.4153</v>
      </c>
      <c r="I460" s="4" t="n">
        <v>18.65</v>
      </c>
      <c r="J460" s="4" t="n">
        <v>19.595</v>
      </c>
      <c r="K460" s="4" t="n">
        <v>17.4075</v>
      </c>
      <c r="L460" s="4" t="n">
        <v>19.16</v>
      </c>
      <c r="M460" s="7" t="n">
        <v>0.0273</v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3" t="n">
        <v>3708</v>
      </c>
      <c r="F461" s="8" t="n">
        <v>0.3204</v>
      </c>
      <c r="G461" s="4" t="n">
        <v>80.4089</v>
      </c>
      <c r="H461" s="4" t="n">
        <v>44.4693</v>
      </c>
      <c r="I461" s="4" t="n">
        <v>19.16</v>
      </c>
      <c r="J461" s="4" t="n">
        <v>19.7775</v>
      </c>
      <c r="K461" s="4" t="n">
        <v>18.595</v>
      </c>
      <c r="L461" s="4" t="n">
        <v>18.8975</v>
      </c>
      <c r="M461" s="7" t="n">
        <v>-0.0137</v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3" t="n">
        <v>3934</v>
      </c>
      <c r="F462" s="8" t="n">
        <v>0.346</v>
      </c>
      <c r="G462" s="4" t="n">
        <v>70.97329999999999</v>
      </c>
      <c r="H462" s="4" t="n">
        <v>51.4557</v>
      </c>
      <c r="I462" s="4" t="n">
        <v>18.8975</v>
      </c>
      <c r="J462" s="4" t="n">
        <v>21.0825</v>
      </c>
      <c r="K462" s="4" t="n">
        <v>18.1825</v>
      </c>
      <c r="L462" s="4" t="n">
        <v>20.4375</v>
      </c>
      <c r="M462" s="7" t="n">
        <v>0.0815</v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3" t="n">
        <v>3690</v>
      </c>
      <c r="F463" s="8" t="n">
        <v>0.3672</v>
      </c>
      <c r="G463" s="4" t="n">
        <v>70.35850000000001</v>
      </c>
      <c r="H463" s="4" t="n">
        <v>49.9102</v>
      </c>
      <c r="I463" s="4" t="n">
        <v>20.4375</v>
      </c>
      <c r="J463" s="4" t="n">
        <v>20.9375</v>
      </c>
      <c r="K463" s="4" t="n">
        <v>19.555</v>
      </c>
      <c r="L463" s="4" t="n">
        <v>19.685</v>
      </c>
      <c r="M463" s="7" t="n">
        <v>-0.0368</v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3" t="n">
        <v>3710</v>
      </c>
      <c r="F464" s="8" t="n">
        <v>0.2753</v>
      </c>
      <c r="G464" s="4" t="n">
        <v>49.8009</v>
      </c>
      <c r="H464" s="4" t="n">
        <v>39.7906</v>
      </c>
      <c r="I464" s="4" t="n">
        <v>19.685</v>
      </c>
      <c r="J464" s="4" t="n">
        <v>19.685</v>
      </c>
      <c r="K464" s="4" t="n">
        <v>17.885</v>
      </c>
      <c r="L464" s="4" t="n">
        <v>18.555</v>
      </c>
      <c r="M464" s="7" t="n">
        <v>-0.0574</v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3" t="n">
        <v>3713</v>
      </c>
      <c r="F465" s="8" t="n">
        <v>0.2986</v>
      </c>
      <c r="G465" s="4" t="n">
        <v>57.0543</v>
      </c>
      <c r="H465" s="4" t="n">
        <v>52.132</v>
      </c>
      <c r="I465" s="4" t="n">
        <v>18.555</v>
      </c>
      <c r="J465" s="4" t="n">
        <v>18.925</v>
      </c>
      <c r="K465" s="4" t="n">
        <v>16.8</v>
      </c>
      <c r="L465" s="4" t="n">
        <v>17.71</v>
      </c>
      <c r="M465" s="7" t="n">
        <v>-0.0455</v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3" t="n">
        <v>3684</v>
      </c>
      <c r="F466" s="8" t="n">
        <v>0.3238</v>
      </c>
      <c r="G466" s="4" t="n">
        <v>57.4012</v>
      </c>
      <c r="H466" s="4" t="n">
        <v>48.9269</v>
      </c>
      <c r="I466" s="4" t="n">
        <v>17.71</v>
      </c>
      <c r="J466" s="4" t="n">
        <v>19.5325</v>
      </c>
      <c r="K466" s="4" t="n">
        <v>16.855</v>
      </c>
      <c r="L466" s="4" t="n">
        <v>18.68</v>
      </c>
      <c r="M466" s="7" t="n">
        <v>0.0548</v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3" t="n">
        <v>3947</v>
      </c>
      <c r="F467" s="8" t="n">
        <v>0.4441</v>
      </c>
      <c r="G467" s="4" t="n">
        <v>64.3648</v>
      </c>
      <c r="H467" s="4" t="n">
        <v>52.3084</v>
      </c>
      <c r="I467" s="4" t="n">
        <v>18.68</v>
      </c>
      <c r="J467" s="4" t="n">
        <v>23.535</v>
      </c>
      <c r="K467" s="4" t="n">
        <v>18.68</v>
      </c>
      <c r="L467" s="4" t="n">
        <v>22.9775</v>
      </c>
      <c r="M467" s="7" t="n">
        <v>0.2301</v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3" t="n">
        <v>3755</v>
      </c>
      <c r="F468" s="8" t="n">
        <v>0.3883</v>
      </c>
      <c r="G468" s="4" t="n">
        <v>75.4062</v>
      </c>
      <c r="H468" s="4" t="n">
        <v>69.54430000000001</v>
      </c>
      <c r="I468" s="4" t="n">
        <v>22.9775</v>
      </c>
      <c r="J468" s="4" t="n">
        <v>23.14</v>
      </c>
      <c r="K468" s="4" t="n">
        <v>20.435</v>
      </c>
      <c r="L468" s="4" t="n">
        <v>20.6125</v>
      </c>
      <c r="M468" s="7" t="n">
        <v>-0.1029</v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3" t="n">
        <v>3729</v>
      </c>
      <c r="F469" s="8" t="n">
        <v>0.31</v>
      </c>
      <c r="G469" s="4" t="n">
        <v>71.8188</v>
      </c>
      <c r="H469" s="4" t="n">
        <v>40.7232</v>
      </c>
      <c r="I469" s="4" t="n">
        <v>20.6125</v>
      </c>
      <c r="J469" s="4" t="n">
        <v>21.02</v>
      </c>
      <c r="K469" s="4" t="n">
        <v>19.3525</v>
      </c>
      <c r="L469" s="4" t="n">
        <v>20.5925</v>
      </c>
      <c r="M469" s="7" t="n">
        <v>-0.001</v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3" t="n">
        <v>3734</v>
      </c>
      <c r="F470" s="8" t="n">
        <v>0.2472</v>
      </c>
      <c r="G470" s="4" t="n">
        <v>43.579</v>
      </c>
      <c r="H470" s="4" t="n">
        <v>33.8377</v>
      </c>
      <c r="I470" s="4" t="n">
        <v>20.5925</v>
      </c>
      <c r="J470" s="4" t="n">
        <v>22.37</v>
      </c>
      <c r="K470" s="4" t="n">
        <v>19.4625</v>
      </c>
      <c r="L470" s="4" t="n">
        <v>22.005</v>
      </c>
      <c r="M470" s="7" t="n">
        <v>0.06859999999999999</v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3" t="n">
        <v>3717</v>
      </c>
      <c r="F471" s="8" t="n">
        <v>0.2372</v>
      </c>
      <c r="G471" s="4" t="n">
        <v>50.4253</v>
      </c>
      <c r="H471" s="4" t="n">
        <v>36.9189</v>
      </c>
      <c r="I471" s="4" t="n">
        <v>22.005</v>
      </c>
      <c r="J471" s="4" t="n">
        <v>23.21</v>
      </c>
      <c r="K471" s="4" t="n">
        <v>21.635</v>
      </c>
      <c r="L471" s="4" t="n">
        <v>22.165</v>
      </c>
      <c r="M471" s="7" t="n">
        <v>0.0073</v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3" t="n">
        <v>3893</v>
      </c>
      <c r="F472" s="8" t="n">
        <v>0.299</v>
      </c>
      <c r="G472" s="4" t="n">
        <v>70.9123</v>
      </c>
      <c r="H472" s="4" t="n">
        <v>43.3106</v>
      </c>
      <c r="I472" s="4" t="n">
        <v>22.165</v>
      </c>
      <c r="J472" s="4" t="n">
        <v>23.755</v>
      </c>
      <c r="K472" s="4" t="n">
        <v>20.57</v>
      </c>
      <c r="L472" s="4" t="n">
        <v>22.9025</v>
      </c>
      <c r="M472" s="7" t="n">
        <v>0.0333</v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3" t="n">
        <v>3732</v>
      </c>
      <c r="F473" s="8" t="n">
        <v>0.3343</v>
      </c>
      <c r="G473" s="4" t="n">
        <v>56.3417</v>
      </c>
      <c r="H473" s="4" t="n">
        <v>58.981</v>
      </c>
      <c r="I473" s="4" t="n">
        <v>22.9025</v>
      </c>
      <c r="J473" s="4" t="n">
        <v>27.815</v>
      </c>
      <c r="K473" s="4" t="n">
        <v>22.9025</v>
      </c>
      <c r="L473" s="4" t="n">
        <v>26.6625</v>
      </c>
      <c r="M473" s="7" t="n">
        <v>0.1642</v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3" t="n">
        <v>3742</v>
      </c>
      <c r="F474" s="8" t="n">
        <v>0.2342</v>
      </c>
      <c r="G474" s="4" t="n">
        <v>70.9383</v>
      </c>
      <c r="H474" s="4" t="n">
        <v>34.1484</v>
      </c>
      <c r="I474" s="4" t="n">
        <v>26.6625</v>
      </c>
      <c r="J474" s="4" t="n">
        <v>26.6625</v>
      </c>
      <c r="K474" s="4" t="n">
        <v>23.9075</v>
      </c>
      <c r="L474" s="4" t="n">
        <v>24.5425</v>
      </c>
      <c r="M474" s="7" t="n">
        <v>-0.0795</v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3" t="n">
        <v>3831</v>
      </c>
      <c r="F475" s="8" t="n">
        <v>0.5713</v>
      </c>
      <c r="G475" s="4" t="n">
        <v>87.0894</v>
      </c>
      <c r="H475" s="4" t="n">
        <v>66.7852</v>
      </c>
      <c r="I475" s="4" t="n">
        <v>24.5425</v>
      </c>
      <c r="J475" s="4" t="n">
        <v>33.9725</v>
      </c>
      <c r="K475" s="4" t="n">
        <v>24.5425</v>
      </c>
      <c r="L475" s="4" t="n">
        <v>31.9825</v>
      </c>
      <c r="M475" s="7" t="n">
        <v>0.3031</v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3" t="n">
        <v>3734</v>
      </c>
      <c r="F476" s="8" t="n">
        <v>0.3257</v>
      </c>
      <c r="G476" s="4" t="n">
        <v>63.5608</v>
      </c>
      <c r="H476" s="4" t="n">
        <v>48.8438</v>
      </c>
      <c r="I476" s="4" t="n">
        <v>31.9825</v>
      </c>
      <c r="J476" s="4" t="n">
        <v>31.9825</v>
      </c>
      <c r="K476" s="4" t="n">
        <v>26.15</v>
      </c>
      <c r="L476" s="4" t="n">
        <v>26.74</v>
      </c>
      <c r="M476" s="7" t="n">
        <v>-0.1639</v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3" t="n">
        <v>3880</v>
      </c>
      <c r="F477" s="8" t="n">
        <v>0.3049</v>
      </c>
      <c r="G477" s="4" t="n">
        <v>60.0541</v>
      </c>
      <c r="H477" s="4" t="n">
        <v>38.9853</v>
      </c>
      <c r="I477" s="4" t="n">
        <v>26.74</v>
      </c>
      <c r="J477" s="4" t="n">
        <v>29.785</v>
      </c>
      <c r="K477" s="4" t="n">
        <v>26.74</v>
      </c>
      <c r="L477" s="4" t="n">
        <v>28.57</v>
      </c>
      <c r="M477" s="7" t="n">
        <v>0.0684</v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3" t="n">
        <v>3764</v>
      </c>
      <c r="F478" s="8" t="n">
        <v>0.2966</v>
      </c>
      <c r="G478" s="4" t="n">
        <v>61.2721</v>
      </c>
      <c r="H478" s="4" t="n">
        <v>47.6317</v>
      </c>
      <c r="I478" s="4" t="n">
        <v>28.57</v>
      </c>
      <c r="J478" s="4" t="n">
        <v>30.8425</v>
      </c>
      <c r="K478" s="4" t="n">
        <v>28.57</v>
      </c>
      <c r="L478" s="4" t="n">
        <v>29.2325</v>
      </c>
      <c r="M478" s="7" t="n">
        <v>0.0232</v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3" t="n">
        <v>3714</v>
      </c>
      <c r="F479" s="8" t="n">
        <v>0.244</v>
      </c>
      <c r="G479" s="4" t="n">
        <v>52.1922</v>
      </c>
      <c r="H479" s="4" t="n">
        <v>44.8101</v>
      </c>
      <c r="I479" s="4" t="n">
        <v>29.2325</v>
      </c>
      <c r="J479" s="4" t="n">
        <v>29.2325</v>
      </c>
      <c r="K479" s="4" t="n">
        <v>27.2225</v>
      </c>
      <c r="L479" s="4" t="n">
        <v>28.155</v>
      </c>
      <c r="M479" s="7" t="n">
        <v>-0.0369</v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3" t="n">
        <v>3749</v>
      </c>
      <c r="F480" s="8" t="n">
        <v>0.3045</v>
      </c>
      <c r="G480" s="4" t="n">
        <v>58.2932</v>
      </c>
      <c r="H480" s="4" t="n">
        <v>44.5182</v>
      </c>
      <c r="I480" s="4" t="n">
        <v>28.155</v>
      </c>
      <c r="J480" s="4" t="n">
        <v>29.925</v>
      </c>
      <c r="K480" s="4" t="n">
        <v>27.2225</v>
      </c>
      <c r="L480" s="4" t="n">
        <v>27.9575</v>
      </c>
      <c r="M480" s="7" t="n">
        <v>-0.007</v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3" t="n">
        <v>3921</v>
      </c>
      <c r="F481" s="8" t="n">
        <v>0.5004999999999999</v>
      </c>
      <c r="G481" s="4" t="n">
        <v>61.7208</v>
      </c>
      <c r="H481" s="4" t="n">
        <v>70.0172</v>
      </c>
      <c r="I481" s="4" t="n">
        <v>27.9575</v>
      </c>
      <c r="J481" s="4" t="n">
        <v>30.2775</v>
      </c>
      <c r="K481" s="4" t="n">
        <v>27.9575</v>
      </c>
      <c r="L481" s="4" t="n">
        <v>29.33</v>
      </c>
      <c r="M481" s="7" t="n">
        <v>0.0491</v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3" t="n">
        <v>3745</v>
      </c>
      <c r="F482" s="8" t="n">
        <v>0.3539</v>
      </c>
      <c r="G482" s="4" t="n">
        <v>51.6215</v>
      </c>
      <c r="H482" s="4" t="n">
        <v>51.7093</v>
      </c>
      <c r="I482" s="4" t="n">
        <v>29.33</v>
      </c>
      <c r="J482" s="4" t="n">
        <v>30.0575</v>
      </c>
      <c r="K482" s="4" t="n">
        <v>27.1125</v>
      </c>
      <c r="L482" s="4" t="n">
        <v>28.5875</v>
      </c>
      <c r="M482" s="7" t="n">
        <v>-0.0253</v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3" t="n">
        <v>3723</v>
      </c>
      <c r="F483" s="8" t="n">
        <v>0.3102</v>
      </c>
      <c r="G483" s="4" t="n">
        <v>56.2081</v>
      </c>
      <c r="H483" s="4" t="n">
        <v>48.1163</v>
      </c>
      <c r="I483" s="4" t="n">
        <v>28.5875</v>
      </c>
      <c r="J483" s="4" t="n">
        <v>28.5875</v>
      </c>
      <c r="K483" s="4" t="n">
        <v>27.305</v>
      </c>
      <c r="L483" s="4" t="n">
        <v>27.4675</v>
      </c>
      <c r="M483" s="7" t="n">
        <v>-0.0392</v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3" t="n">
        <v>3757</v>
      </c>
      <c r="F484" s="8" t="n">
        <v>0.3008</v>
      </c>
      <c r="G484" s="4" t="n">
        <v>50.3217</v>
      </c>
      <c r="H484" s="4" t="n">
        <v>74.80500000000001</v>
      </c>
      <c r="I484" s="4" t="n">
        <v>27.4675</v>
      </c>
      <c r="J484" s="4" t="n">
        <v>27.4675</v>
      </c>
      <c r="K484" s="4" t="n">
        <v>22.9625</v>
      </c>
      <c r="L484" s="4" t="n">
        <v>25.5825</v>
      </c>
      <c r="M484" s="7" t="n">
        <v>-0.06859999999999999</v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3" t="n">
        <v>3720</v>
      </c>
      <c r="F485" s="8" t="n">
        <v>0.253</v>
      </c>
      <c r="G485" s="4" t="n">
        <v>53.6449</v>
      </c>
      <c r="H485" s="4" t="n">
        <v>42.9794</v>
      </c>
      <c r="I485" s="4" t="n">
        <v>25.5825</v>
      </c>
      <c r="J485" s="4" t="n">
        <v>25.8725</v>
      </c>
      <c r="K485" s="4" t="n">
        <v>24.58</v>
      </c>
      <c r="L485" s="4" t="n">
        <v>25.345</v>
      </c>
      <c r="M485" s="7" t="n">
        <v>-0.009299999999999999</v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3" t="n">
        <v>3888</v>
      </c>
      <c r="F486" s="8" t="n">
        <v>0.2738</v>
      </c>
      <c r="G486" s="4" t="n">
        <v>56.5339</v>
      </c>
      <c r="H486" s="4" t="n">
        <v>41.0984</v>
      </c>
      <c r="I486" s="4" t="n">
        <v>25.345</v>
      </c>
      <c r="J486" s="4" t="n">
        <v>26.2125</v>
      </c>
      <c r="K486" s="4" t="n">
        <v>25.09</v>
      </c>
      <c r="L486" s="4" t="n">
        <v>25.6775</v>
      </c>
      <c r="M486" s="7" t="n">
        <v>0.0131</v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3" t="n">
        <v>3756</v>
      </c>
      <c r="F487" s="8" t="n">
        <v>0.3115</v>
      </c>
      <c r="G487" s="4" t="n">
        <v>60.409</v>
      </c>
      <c r="H487" s="4" t="n">
        <v>41.4174</v>
      </c>
      <c r="I487" s="4" t="n">
        <v>25.6775</v>
      </c>
      <c r="J487" s="4" t="n">
        <v>27.5425</v>
      </c>
      <c r="K487" s="4" t="n">
        <v>23.6575</v>
      </c>
      <c r="L487" s="4" t="n">
        <v>26.73</v>
      </c>
      <c r="M487" s="7" t="n">
        <v>0.041</v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3" t="n">
        <v>3809</v>
      </c>
      <c r="F488" s="8" t="n">
        <v>0.2652</v>
      </c>
      <c r="G488" s="4" t="n">
        <v>64.7711</v>
      </c>
      <c r="H488" s="4" t="n">
        <v>36.7015</v>
      </c>
      <c r="I488" s="4" t="n">
        <v>26.73</v>
      </c>
      <c r="J488" s="4" t="n">
        <v>26.73</v>
      </c>
      <c r="K488" s="4" t="n">
        <v>24.0125</v>
      </c>
      <c r="L488" s="4" t="n">
        <v>24.1175</v>
      </c>
      <c r="M488" s="7" t="n">
        <v>-0.0977</v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3" t="n">
        <v>3794</v>
      </c>
      <c r="F489" s="8" t="n">
        <v>0.299</v>
      </c>
      <c r="G489" s="4" t="n">
        <v>53.9665</v>
      </c>
      <c r="H489" s="4" t="n">
        <v>41.5994</v>
      </c>
      <c r="I489" s="4" t="n">
        <v>24.1175</v>
      </c>
      <c r="J489" s="4" t="n">
        <v>24.1175</v>
      </c>
      <c r="K489" s="4" t="n">
        <v>20.77</v>
      </c>
      <c r="L489" s="4" t="n">
        <v>22.61</v>
      </c>
      <c r="M489" s="7" t="n">
        <v>-0.0625</v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3" t="n">
        <v>3942</v>
      </c>
      <c r="F490" s="8" t="n">
        <v>0.2924</v>
      </c>
      <c r="G490" s="4" t="n">
        <v>52.1274</v>
      </c>
      <c r="H490" s="4" t="n">
        <v>39.9182</v>
      </c>
      <c r="I490" s="4" t="n">
        <v>22.61</v>
      </c>
      <c r="J490" s="4" t="n">
        <v>24.7125</v>
      </c>
      <c r="K490" s="4" t="n">
        <v>22.61</v>
      </c>
      <c r="L490" s="4" t="n">
        <v>24.6225</v>
      </c>
      <c r="M490" s="7" t="n">
        <v>0.089</v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3" t="n">
        <v>3774</v>
      </c>
      <c r="F491" s="8" t="n">
        <v>0.2836</v>
      </c>
      <c r="G491" s="4" t="n">
        <v>53.7053</v>
      </c>
      <c r="H491" s="4" t="n">
        <v>40.1593</v>
      </c>
      <c r="I491" s="4" t="n">
        <v>24.6225</v>
      </c>
      <c r="J491" s="4" t="n">
        <v>25.1575</v>
      </c>
      <c r="K491" s="4" t="n">
        <v>23.76</v>
      </c>
      <c r="L491" s="4" t="n">
        <v>24.07</v>
      </c>
      <c r="M491" s="7" t="n">
        <v>-0.0224</v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3" t="n">
        <v>3806</v>
      </c>
      <c r="F492" s="8" t="n">
        <v>0.2827</v>
      </c>
      <c r="G492" s="4" t="n">
        <v>56.7706</v>
      </c>
      <c r="H492" s="4" t="n">
        <v>45.3871</v>
      </c>
      <c r="I492" s="4" t="n">
        <v>24.07</v>
      </c>
      <c r="J492" s="4" t="n">
        <v>24.975</v>
      </c>
      <c r="K492" s="4" t="n">
        <v>20.455</v>
      </c>
      <c r="L492" s="4" t="n">
        <v>24.7475</v>
      </c>
      <c r="M492" s="7" t="n">
        <v>0.0281</v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3" t="n">
        <v>3785</v>
      </c>
      <c r="F493" s="8" t="n">
        <v>0.2715</v>
      </c>
      <c r="G493" s="4" t="n">
        <v>57.922</v>
      </c>
      <c r="H493" s="4" t="n">
        <v>114.3193</v>
      </c>
      <c r="I493" s="4" t="n">
        <v>24.7475</v>
      </c>
      <c r="J493" s="4" t="n">
        <v>25.53</v>
      </c>
      <c r="K493" s="4" t="n">
        <v>23.8125</v>
      </c>
      <c r="L493" s="4" t="n">
        <v>23.93</v>
      </c>
      <c r="M493" s="7" t="n">
        <v>-0.033</v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3" t="n">
        <v>3805</v>
      </c>
      <c r="F494" s="8" t="n">
        <v>0.2882</v>
      </c>
      <c r="G494" s="4" t="n">
        <v>61.4114</v>
      </c>
      <c r="H494" s="4" t="n">
        <v>49.6612</v>
      </c>
      <c r="I494" s="4" t="n">
        <v>23.93</v>
      </c>
      <c r="J494" s="4" t="n">
        <v>24.2725</v>
      </c>
      <c r="K494" s="4" t="n">
        <v>22.91</v>
      </c>
      <c r="L494" s="4" t="n">
        <v>23.43</v>
      </c>
      <c r="M494" s="7" t="n">
        <v>-0.0209</v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3" t="n">
        <v>3942</v>
      </c>
      <c r="F495" s="8" t="n">
        <v>0.3265</v>
      </c>
      <c r="G495" s="4" t="n">
        <v>58.5446</v>
      </c>
      <c r="H495" s="4" t="n">
        <v>48.7027</v>
      </c>
      <c r="I495" s="4" t="n">
        <v>23.43</v>
      </c>
      <c r="J495" s="4" t="n">
        <v>24.2125</v>
      </c>
      <c r="K495" s="4" t="n">
        <v>19.59</v>
      </c>
      <c r="L495" s="4" t="n">
        <v>22.61</v>
      </c>
      <c r="M495" s="7" t="n">
        <v>-0.035</v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3" t="n">
        <v>3787</v>
      </c>
      <c r="F496" s="8" t="n">
        <v>0.3438</v>
      </c>
      <c r="G496" s="4" t="n">
        <v>87.0979</v>
      </c>
      <c r="H496" s="4" t="n">
        <v>53.8337</v>
      </c>
      <c r="I496" s="4" t="n">
        <v>22.61</v>
      </c>
      <c r="J496" s="4" t="n">
        <v>22.61</v>
      </c>
      <c r="K496" s="4" t="n">
        <v>21.1025</v>
      </c>
      <c r="L496" s="4" t="n">
        <v>21.3025</v>
      </c>
      <c r="M496" s="7" t="n">
        <v>-0.0578</v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3" t="n">
        <v>3758</v>
      </c>
      <c r="F497" s="8" t="n">
        <v>0.3002</v>
      </c>
      <c r="G497" s="4" t="n">
        <v>70.4725</v>
      </c>
      <c r="H497" s="4" t="n">
        <v>46.229</v>
      </c>
      <c r="I497" s="4" t="n">
        <v>21.3025</v>
      </c>
      <c r="J497" s="4" t="n">
        <v>21.3025</v>
      </c>
      <c r="K497" s="4" t="n">
        <v>19.73</v>
      </c>
      <c r="L497" s="4" t="n">
        <v>20.61</v>
      </c>
      <c r="M497" s="7" t="n">
        <v>-0.0325</v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3" t="n">
        <v>3737</v>
      </c>
      <c r="F498" s="8" t="n">
        <v>0.2895</v>
      </c>
      <c r="G498" s="4" t="n">
        <v>70.2685</v>
      </c>
      <c r="H498" s="4" t="n">
        <v>41.1358</v>
      </c>
      <c r="I498" s="4" t="n">
        <v>20.61</v>
      </c>
      <c r="J498" s="4" t="n">
        <v>20.9425</v>
      </c>
      <c r="K498" s="4" t="n">
        <v>20.2125</v>
      </c>
      <c r="L498" s="4" t="n">
        <v>20.56</v>
      </c>
      <c r="M498" s="7" t="n">
        <v>-0.0024</v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3" t="n">
        <v>3733</v>
      </c>
      <c r="F499" s="8" t="n">
        <v>0.2998</v>
      </c>
      <c r="G499" s="4" t="n">
        <v>70.86369999999999</v>
      </c>
      <c r="H499" s="4" t="n">
        <v>42.7888</v>
      </c>
      <c r="I499" s="4" t="n">
        <v>20.56</v>
      </c>
      <c r="J499" s="4" t="n">
        <v>20.855</v>
      </c>
      <c r="K499" s="4" t="n">
        <v>18.12</v>
      </c>
      <c r="L499" s="4" t="n">
        <v>18.435</v>
      </c>
      <c r="M499" s="7" t="n">
        <v>-0.1034</v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3" t="n">
        <v>3958</v>
      </c>
      <c r="F500" s="8" t="n">
        <v>0.39</v>
      </c>
      <c r="G500" s="4" t="n">
        <v>80.07810000000001</v>
      </c>
      <c r="H500" s="4" t="n">
        <v>61.7955</v>
      </c>
      <c r="I500" s="4" t="n">
        <v>18.435</v>
      </c>
      <c r="J500" s="4" t="n">
        <v>18.825</v>
      </c>
      <c r="K500" s="4" t="n">
        <v>17.5925</v>
      </c>
      <c r="L500" s="4" t="n">
        <v>17.9075</v>
      </c>
      <c r="M500" s="7" t="n">
        <v>-0.0286</v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3" t="n">
        <v>3791</v>
      </c>
      <c r="F501" s="8" t="n">
        <v>0.3708</v>
      </c>
      <c r="G501" s="4" t="n">
        <v>83.6341</v>
      </c>
      <c r="H501" s="4" t="n">
        <v>57.3849</v>
      </c>
      <c r="I501" s="4" t="n">
        <v>17.9075</v>
      </c>
      <c r="J501" s="4" t="n">
        <v>18.63</v>
      </c>
      <c r="K501" s="4" t="n">
        <v>16.79</v>
      </c>
      <c r="L501" s="4" t="n">
        <v>18.4875</v>
      </c>
      <c r="M501" s="7" t="n">
        <v>0.0324</v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3" t="n">
        <v>3793</v>
      </c>
      <c r="F502" s="8" t="n">
        <v>0.3984</v>
      </c>
      <c r="G502" s="4" t="n">
        <v>108.2418</v>
      </c>
      <c r="H502" s="4" t="n">
        <v>59.6059</v>
      </c>
      <c r="I502" s="4" t="n">
        <v>18.4875</v>
      </c>
      <c r="J502" s="4" t="n">
        <v>19.2825</v>
      </c>
      <c r="K502" s="4" t="n">
        <v>16.81</v>
      </c>
      <c r="L502" s="4" t="n">
        <v>19.0225</v>
      </c>
      <c r="M502" s="7" t="n">
        <v>0.0289</v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3" t="n">
        <v>3781</v>
      </c>
      <c r="F503" s="8" t="n">
        <v>0.4416</v>
      </c>
      <c r="G503" s="4" t="n">
        <v>113.055</v>
      </c>
      <c r="H503" s="4" t="n">
        <v>88.91330000000001</v>
      </c>
      <c r="I503" s="4" t="n">
        <v>19.0225</v>
      </c>
      <c r="J503" s="4" t="n">
        <v>19.49</v>
      </c>
      <c r="K503" s="4" t="n">
        <v>17.7175</v>
      </c>
      <c r="L503" s="4" t="n">
        <v>18.9975</v>
      </c>
      <c r="M503" s="7" t="n">
        <v>-0.0013</v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3" t="n">
        <v>3757</v>
      </c>
      <c r="F504" s="8" t="n">
        <v>0.3565</v>
      </c>
      <c r="G504" s="4" t="n">
        <v>78.8464</v>
      </c>
      <c r="H504" s="4" t="n">
        <v>66.9389</v>
      </c>
      <c r="I504" s="4" t="n">
        <v>18.9975</v>
      </c>
      <c r="J504" s="4" t="n">
        <v>20.0875</v>
      </c>
      <c r="K504" s="4" t="n">
        <v>17.53</v>
      </c>
      <c r="L504" s="4" t="n">
        <v>17.6875</v>
      </c>
      <c r="M504" s="7" t="n">
        <v>-0.06900000000000001</v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3" t="n">
        <v>3939</v>
      </c>
      <c r="F505" s="8" t="n">
        <v>0.3804</v>
      </c>
      <c r="G505" s="4" t="n">
        <v>66.80329999999999</v>
      </c>
      <c r="H505" s="4" t="n">
        <v>52.2755</v>
      </c>
      <c r="I505" s="4" t="n">
        <v>17.6875</v>
      </c>
      <c r="J505" s="4" t="n">
        <v>19.145</v>
      </c>
      <c r="K505" s="4" t="n">
        <v>16.6425</v>
      </c>
      <c r="L505" s="4" t="n">
        <v>18.27</v>
      </c>
      <c r="M505" s="7" t="n">
        <v>0.0329</v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3" t="n">
        <v>3762</v>
      </c>
      <c r="F506" s="8" t="n">
        <v>0.3736</v>
      </c>
      <c r="G506" s="4" t="n">
        <v>57.2313</v>
      </c>
      <c r="H506" s="4" t="n">
        <v>52.0992</v>
      </c>
      <c r="I506" s="4" t="n">
        <v>18.27</v>
      </c>
      <c r="J506" s="4" t="n">
        <v>18.6725</v>
      </c>
      <c r="K506" s="4" t="n">
        <v>15.085</v>
      </c>
      <c r="L506" s="4" t="n">
        <v>18.1575</v>
      </c>
      <c r="M506" s="7" t="n">
        <v>-0.0062</v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3" t="n">
        <v>3772</v>
      </c>
      <c r="F507" s="8" t="n">
        <v>0.3157</v>
      </c>
      <c r="G507" s="4" t="n">
        <v>58.2743</v>
      </c>
      <c r="H507" s="4" t="n">
        <v>41.9936</v>
      </c>
      <c r="I507" s="4" t="n">
        <v>18.1575</v>
      </c>
      <c r="J507" s="4" t="n">
        <v>18.4025</v>
      </c>
      <c r="K507" s="4" t="n">
        <v>16.1925</v>
      </c>
      <c r="L507" s="4" t="n">
        <v>17.785</v>
      </c>
      <c r="M507" s="7" t="n">
        <v>-0.0205</v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3" t="n">
        <v>3954</v>
      </c>
      <c r="F508" s="8" t="n">
        <v>0.3849</v>
      </c>
      <c r="G508" s="4" t="n">
        <v>57.7839</v>
      </c>
      <c r="H508" s="4" t="n">
        <v>52.0249</v>
      </c>
      <c r="I508" s="4" t="n">
        <v>17.785</v>
      </c>
      <c r="J508" s="4" t="n">
        <v>20.4825</v>
      </c>
      <c r="K508" s="4" t="n">
        <v>17.785</v>
      </c>
      <c r="L508" s="4" t="n">
        <v>19.335</v>
      </c>
      <c r="M508" s="7" t="n">
        <v>0.0872</v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3" t="n">
        <v>3821</v>
      </c>
      <c r="F509" s="8" t="n">
        <v>0.3728</v>
      </c>
      <c r="G509" s="4" t="n">
        <v>63.285</v>
      </c>
      <c r="H509" s="4" t="n">
        <v>54.7841</v>
      </c>
      <c r="I509" s="4" t="n">
        <v>19.335</v>
      </c>
      <c r="J509" s="4" t="n">
        <v>20.8075</v>
      </c>
      <c r="K509" s="4" t="n">
        <v>14.6275</v>
      </c>
      <c r="L509" s="4" t="n">
        <v>19.775</v>
      </c>
      <c r="M509" s="7" t="n">
        <v>0.0228</v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3" t="n">
        <v>3795</v>
      </c>
      <c r="F510" s="8" t="n">
        <v>0.3264</v>
      </c>
      <c r="G510" s="4" t="n">
        <v>49.8272</v>
      </c>
      <c r="H510" s="4" t="n">
        <v>43.1381</v>
      </c>
      <c r="I510" s="4" t="n">
        <v>19.775</v>
      </c>
      <c r="J510" s="4" t="n">
        <v>20.265</v>
      </c>
      <c r="K510" s="4" t="n">
        <v>17.835</v>
      </c>
      <c r="L510" s="4" t="n">
        <v>18.6725</v>
      </c>
      <c r="M510" s="7" t="n">
        <v>-0.0558</v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3" t="n">
        <v>3777</v>
      </c>
      <c r="F511" s="8" t="n">
        <v>0.3056</v>
      </c>
      <c r="G511" s="4" t="n">
        <v>77.4774</v>
      </c>
      <c r="H511" s="4" t="n">
        <v>61.5605</v>
      </c>
      <c r="I511" s="4" t="n">
        <v>18.6725</v>
      </c>
      <c r="J511" s="4" t="n">
        <v>18.6725</v>
      </c>
      <c r="K511" s="4" t="n">
        <v>13.35</v>
      </c>
      <c r="L511" s="4" t="n">
        <v>17.8525</v>
      </c>
      <c r="M511" s="7" t="n">
        <v>-0.0439</v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3" t="n">
        <v>3794</v>
      </c>
      <c r="F512" s="8" t="n">
        <v>0.291</v>
      </c>
      <c r="G512" s="4" t="n">
        <v>68.8004</v>
      </c>
      <c r="H512" s="4" t="n">
        <v>51.6566</v>
      </c>
      <c r="I512" s="4" t="n">
        <v>17.8525</v>
      </c>
      <c r="J512" s="4" t="n">
        <v>18.76</v>
      </c>
      <c r="K512" s="4" t="n">
        <v>17.8125</v>
      </c>
      <c r="L512" s="4" t="n">
        <v>18.3525</v>
      </c>
      <c r="M512" s="7" t="n">
        <v>0.028</v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3" t="n">
        <v>3931</v>
      </c>
      <c r="F513" s="8" t="n">
        <v>0.3355</v>
      </c>
      <c r="G513" s="4" t="n">
        <v>64.3476</v>
      </c>
      <c r="H513" s="4" t="n">
        <v>42.7319</v>
      </c>
      <c r="I513" s="4" t="n">
        <v>18.3525</v>
      </c>
      <c r="J513" s="4" t="n">
        <v>21.755</v>
      </c>
      <c r="K513" s="4" t="n">
        <v>18.3525</v>
      </c>
      <c r="L513" s="4" t="n">
        <v>21.2575</v>
      </c>
      <c r="M513" s="7" t="n">
        <v>0.1583</v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3" t="n">
        <v>3755</v>
      </c>
      <c r="F514" s="8" t="n">
        <v>0.2711</v>
      </c>
      <c r="G514" s="4" t="n">
        <v>54.8781</v>
      </c>
      <c r="H514" s="4" t="n">
        <v>41.1413</v>
      </c>
      <c r="I514" s="4" t="n">
        <v>21.2575</v>
      </c>
      <c r="J514" s="4" t="n">
        <v>21.2575</v>
      </c>
      <c r="K514" s="4" t="n">
        <v>19.005</v>
      </c>
      <c r="L514" s="4" t="n">
        <v>19.1875</v>
      </c>
      <c r="M514" s="7" t="n">
        <v>-0.0974</v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3" t="n">
        <v>3742</v>
      </c>
      <c r="F515" s="8" t="n">
        <v>0.3043</v>
      </c>
      <c r="G515" s="4" t="n">
        <v>55.8193</v>
      </c>
      <c r="H515" s="4" t="n">
        <v>49.4677</v>
      </c>
      <c r="I515" s="4" t="n">
        <v>19.1875</v>
      </c>
      <c r="J515" s="4" t="n">
        <v>21.365</v>
      </c>
      <c r="K515" s="4" t="n">
        <v>19.1875</v>
      </c>
      <c r="L515" s="4" t="n">
        <v>20.605</v>
      </c>
      <c r="M515" s="7" t="n">
        <v>0.07389999999999999</v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3" t="n">
        <v>3746</v>
      </c>
      <c r="F516" s="8" t="n">
        <v>0.2998</v>
      </c>
      <c r="G516" s="4" t="n">
        <v>53.6998</v>
      </c>
      <c r="H516" s="4" t="n">
        <v>42.1432</v>
      </c>
      <c r="I516" s="4" t="n">
        <v>20.605</v>
      </c>
      <c r="J516" s="4" t="n">
        <v>20.605</v>
      </c>
      <c r="K516" s="4" t="n">
        <v>19.0225</v>
      </c>
      <c r="L516" s="4" t="n">
        <v>19.3775</v>
      </c>
      <c r="M516" s="7" t="n">
        <v>-0.0596</v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3" t="n">
        <v>3736</v>
      </c>
      <c r="F517" s="8" t="n">
        <v>0.311</v>
      </c>
      <c r="G517" s="4" t="n">
        <v>62.1729</v>
      </c>
      <c r="H517" s="4" t="n">
        <v>45.8544</v>
      </c>
      <c r="I517" s="4" t="n">
        <v>19.3775</v>
      </c>
      <c r="J517" s="4" t="n">
        <v>19.6475</v>
      </c>
      <c r="K517" s="4" t="n">
        <v>18.2075</v>
      </c>
      <c r="L517" s="4" t="n">
        <v>19.415</v>
      </c>
      <c r="M517" s="7" t="n">
        <v>0.0019</v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3" t="n">
        <v>3916</v>
      </c>
      <c r="F518" s="8" t="n">
        <v>0.3011</v>
      </c>
      <c r="G518" s="4" t="n">
        <v>54.483</v>
      </c>
      <c r="H518" s="4" t="n">
        <v>38.8651</v>
      </c>
      <c r="I518" s="4" t="n">
        <v>19.415</v>
      </c>
      <c r="J518" s="4" t="n">
        <v>21.0625</v>
      </c>
      <c r="K518" s="4" t="n">
        <v>19.415</v>
      </c>
      <c r="L518" s="4" t="n">
        <v>20.2825</v>
      </c>
      <c r="M518" s="7" t="n">
        <v>0.0447</v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3" t="n">
        <v>3756</v>
      </c>
      <c r="F519" s="8" t="n">
        <v>0.3251</v>
      </c>
      <c r="G519" s="4" t="n">
        <v>62.8718</v>
      </c>
      <c r="H519" s="4" t="n">
        <v>137.025</v>
      </c>
      <c r="I519" s="4" t="n">
        <v>20.2825</v>
      </c>
      <c r="J519" s="4" t="n">
        <v>22.3875</v>
      </c>
      <c r="K519" s="4" t="n">
        <v>18.4275</v>
      </c>
      <c r="L519" s="4" t="n">
        <v>21.8775</v>
      </c>
      <c r="M519" s="7" t="n">
        <v>0.0786</v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3" t="n">
        <v>3712</v>
      </c>
      <c r="F520" s="8" t="n">
        <v>0.2991</v>
      </c>
      <c r="G520" s="4" t="n">
        <v>42.3521</v>
      </c>
      <c r="H520" s="4" t="n">
        <v>40.7456</v>
      </c>
      <c r="I520" s="4" t="n">
        <v>21.8775</v>
      </c>
      <c r="J520" s="4" t="n">
        <v>21.8775</v>
      </c>
      <c r="K520" s="4" t="n">
        <v>19.615</v>
      </c>
      <c r="L520" s="4" t="n">
        <v>20.2925</v>
      </c>
      <c r="M520" s="7" t="n">
        <v>-0.07240000000000001</v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3" t="n">
        <v>3719</v>
      </c>
      <c r="F521" s="8" t="n">
        <v>0.3618</v>
      </c>
      <c r="G521" s="4" t="n">
        <v>55.3892</v>
      </c>
      <c r="H521" s="4" t="n">
        <v>43.7378</v>
      </c>
      <c r="I521" s="4" t="n">
        <v>20.2925</v>
      </c>
      <c r="J521" s="4" t="n">
        <v>21.81</v>
      </c>
      <c r="K521" s="4" t="n">
        <v>19.3325</v>
      </c>
      <c r="L521" s="4" t="n">
        <v>21.25</v>
      </c>
      <c r="M521" s="7" t="n">
        <v>0.0472</v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3" t="n">
        <v>3880</v>
      </c>
      <c r="F522" s="8" t="n">
        <v>0.3584</v>
      </c>
      <c r="G522" s="4" t="n">
        <v>50.3948</v>
      </c>
      <c r="H522" s="4" t="n">
        <v>41.8367</v>
      </c>
      <c r="I522" s="4" t="n">
        <v>21.25</v>
      </c>
      <c r="J522" s="4" t="n">
        <v>22.52</v>
      </c>
      <c r="K522" s="4" t="n">
        <v>18.96</v>
      </c>
      <c r="L522" s="4" t="n">
        <v>22.0325</v>
      </c>
      <c r="M522" s="7" t="n">
        <v>0.0368</v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3" t="n">
        <v>3758</v>
      </c>
      <c r="F523" s="8" t="n">
        <v>0.3027</v>
      </c>
      <c r="G523" s="4" t="n">
        <v>36.9416</v>
      </c>
      <c r="H523" s="4" t="n">
        <v>35.4862</v>
      </c>
      <c r="I523" s="4" t="n">
        <v>22.0325</v>
      </c>
      <c r="J523" s="4" t="n">
        <v>22.515</v>
      </c>
      <c r="K523" s="4" t="n">
        <v>21.2175</v>
      </c>
      <c r="L523" s="4" t="n">
        <v>22.3025</v>
      </c>
      <c r="M523" s="7" t="n">
        <v>0.0123</v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3" t="n">
        <v>3800</v>
      </c>
      <c r="F524" s="8" t="n">
        <v>0.3969</v>
      </c>
      <c r="G524" s="4" t="n">
        <v>55.3943</v>
      </c>
      <c r="H524" s="4" t="n">
        <v>45.2152</v>
      </c>
      <c r="I524" s="4" t="n">
        <v>22.3025</v>
      </c>
      <c r="J524" s="4" t="n">
        <v>24.1875</v>
      </c>
      <c r="K524" s="4" t="n">
        <v>20.4825</v>
      </c>
      <c r="L524" s="4" t="n">
        <v>22.8025</v>
      </c>
      <c r="M524" s="7" t="n">
        <v>0.0224</v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3" t="n">
        <v>3731</v>
      </c>
      <c r="F525" s="8" t="n">
        <v>0.3573</v>
      </c>
      <c r="G525" s="4" t="n">
        <v>45.532</v>
      </c>
      <c r="H525" s="4" t="n">
        <v>39.729</v>
      </c>
      <c r="I525" s="4" t="n">
        <v>22.8025</v>
      </c>
      <c r="J525" s="4" t="n">
        <v>25.315</v>
      </c>
      <c r="K525" s="4" t="n">
        <v>21.15</v>
      </c>
      <c r="L525" s="4" t="n">
        <v>24.265</v>
      </c>
      <c r="M525" s="7" t="n">
        <v>0.0641</v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3" t="n">
        <v>3738</v>
      </c>
      <c r="F526" s="8" t="n">
        <v>0.3397</v>
      </c>
      <c r="G526" s="4" t="n">
        <v>51.1633</v>
      </c>
      <c r="H526" s="4" t="n">
        <v>40.9336</v>
      </c>
      <c r="I526" s="4" t="n">
        <v>24.265</v>
      </c>
      <c r="J526" s="4" t="n">
        <v>24.265</v>
      </c>
      <c r="K526" s="4" t="n">
        <v>20.9675</v>
      </c>
      <c r="L526" s="4" t="n">
        <v>23.485</v>
      </c>
      <c r="M526" s="7" t="n">
        <v>-0.0321</v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3" t="n">
        <v>3847</v>
      </c>
      <c r="F527" s="8" t="n">
        <v>0.2433</v>
      </c>
      <c r="G527" s="4" t="n">
        <v>52.4804</v>
      </c>
      <c r="H527" s="4" t="n">
        <v>31.2998</v>
      </c>
      <c r="I527" s="4" t="n">
        <v>23.485</v>
      </c>
      <c r="J527" s="4" t="n">
        <v>24.7125</v>
      </c>
      <c r="K527" s="4" t="n">
        <v>21.275</v>
      </c>
      <c r="L527" s="4" t="n">
        <v>24.5275</v>
      </c>
      <c r="M527" s="7" t="n">
        <v>0.0444</v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3" t="n">
        <v>3741</v>
      </c>
      <c r="F528" s="8" t="n">
        <v>0.2869</v>
      </c>
      <c r="G528" s="4" t="n">
        <v>49.8058</v>
      </c>
      <c r="H528" s="4" t="n">
        <v>37.2294</v>
      </c>
      <c r="I528" s="4" t="n">
        <v>24.5275</v>
      </c>
      <c r="J528" s="4" t="n">
        <v>24.84</v>
      </c>
      <c r="K528" s="4" t="n">
        <v>17.095</v>
      </c>
      <c r="L528" s="4" t="n">
        <v>22.7425</v>
      </c>
      <c r="M528" s="7" t="n">
        <v>-0.0728</v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3" t="n">
        <v>3762</v>
      </c>
      <c r="F529" s="8" t="n">
        <v>0.3079</v>
      </c>
      <c r="G529" s="4" t="n">
        <v>54.8394</v>
      </c>
      <c r="H529" s="4" t="n">
        <v>37.4206</v>
      </c>
      <c r="I529" s="4" t="n">
        <v>22.7425</v>
      </c>
      <c r="J529" s="4" t="n">
        <v>23.06</v>
      </c>
      <c r="K529" s="4" t="n">
        <v>21.34</v>
      </c>
      <c r="L529" s="4" t="n">
        <v>22.295</v>
      </c>
      <c r="M529" s="7" t="n">
        <v>-0.0197</v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3" t="n">
        <v>3695</v>
      </c>
      <c r="F530" s="8" t="n">
        <v>0.3106</v>
      </c>
      <c r="G530" s="4" t="n">
        <v>42.954</v>
      </c>
      <c r="H530" s="4" t="n">
        <v>38.5659</v>
      </c>
      <c r="I530" s="4" t="n">
        <v>22.295</v>
      </c>
      <c r="J530" s="4" t="n">
        <v>25.1475</v>
      </c>
      <c r="K530" s="4" t="n">
        <v>22.295</v>
      </c>
      <c r="L530" s="4" t="n">
        <v>24.5575</v>
      </c>
      <c r="M530" s="7" t="n">
        <v>0.1015</v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3" t="n">
        <v>3707</v>
      </c>
      <c r="F531" s="8" t="n">
        <v>0.2584</v>
      </c>
      <c r="G531" s="4" t="n">
        <v>48.955</v>
      </c>
      <c r="H531" s="4" t="n">
        <v>34.2558</v>
      </c>
      <c r="I531" s="4" t="n">
        <v>24.5575</v>
      </c>
      <c r="J531" s="4" t="n">
        <v>24.5575</v>
      </c>
      <c r="K531" s="4" t="n">
        <v>22.4425</v>
      </c>
      <c r="L531" s="4" t="n">
        <v>23.1</v>
      </c>
      <c r="M531" s="7" t="n">
        <v>-0.0594</v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3" t="n">
        <v>3812</v>
      </c>
      <c r="F532" s="8" t="n">
        <v>0.2868</v>
      </c>
      <c r="G532" s="4" t="n">
        <v>43.1242</v>
      </c>
      <c r="H532" s="4" t="n">
        <v>35.6508</v>
      </c>
      <c r="I532" s="4" t="n">
        <v>23.1</v>
      </c>
      <c r="J532" s="4" t="n">
        <v>23.975</v>
      </c>
      <c r="K532" s="4" t="n">
        <v>20.5</v>
      </c>
      <c r="L532" s="4" t="n">
        <v>23.3975</v>
      </c>
      <c r="M532" s="7" t="n">
        <v>0.0129</v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3" t="n">
        <v>3673</v>
      </c>
      <c r="F533" s="8" t="n">
        <v>0.2651</v>
      </c>
      <c r="G533" s="4" t="n">
        <v>36.5461</v>
      </c>
      <c r="H533" s="4" t="n">
        <v>29.8599</v>
      </c>
      <c r="I533" s="4" t="n">
        <v>23.3975</v>
      </c>
      <c r="J533" s="4" t="n">
        <v>25.99</v>
      </c>
      <c r="K533" s="4" t="n">
        <v>23.155</v>
      </c>
      <c r="L533" s="4" t="n">
        <v>25.635</v>
      </c>
      <c r="M533" s="7" t="n">
        <v>0.0956</v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3" t="n">
        <v>3679</v>
      </c>
      <c r="F534" s="8" t="n">
        <v>0.2865</v>
      </c>
      <c r="G534" s="4" t="n">
        <v>37.8509</v>
      </c>
      <c r="H534" s="4" t="n">
        <v>32.2287</v>
      </c>
      <c r="I534" s="4" t="n">
        <v>25.635</v>
      </c>
      <c r="J534" s="4" t="n">
        <v>25.635</v>
      </c>
      <c r="K534" s="4" t="n">
        <v>24.3625</v>
      </c>
      <c r="L534" s="4" t="n">
        <v>25.2825</v>
      </c>
      <c r="M534" s="7" t="n">
        <v>-0.0138</v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3" t="n">
        <v>3659</v>
      </c>
      <c r="F535" s="8" t="n">
        <v>0.3215</v>
      </c>
      <c r="G535" s="4" t="n">
        <v>43.4732</v>
      </c>
      <c r="H535" s="4" t="n">
        <v>35.811</v>
      </c>
      <c r="I535" s="4" t="n">
        <v>25.2825</v>
      </c>
      <c r="J535" s="4" t="n">
        <v>25.2825</v>
      </c>
      <c r="K535" s="4" t="n">
        <v>22.535</v>
      </c>
      <c r="L535" s="4" t="n">
        <v>22.7175</v>
      </c>
      <c r="M535" s="7" t="n">
        <v>-0.1015</v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3" t="n">
        <v>3694</v>
      </c>
      <c r="F536" s="8" t="n">
        <v>0.2552</v>
      </c>
      <c r="G536" s="4" t="n">
        <v>38.1755</v>
      </c>
      <c r="H536" s="4" t="n">
        <v>32.1691</v>
      </c>
      <c r="I536" s="4" t="n">
        <v>22.7175</v>
      </c>
      <c r="J536" s="4" t="n">
        <v>22.7175</v>
      </c>
      <c r="K536" s="4" t="n">
        <v>21.2</v>
      </c>
      <c r="L536" s="4" t="n">
        <v>21.48</v>
      </c>
      <c r="M536" s="7" t="n">
        <v>-0.0545</v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3" t="n">
        <v>3876</v>
      </c>
      <c r="F537" s="8" t="n">
        <v>0.2524</v>
      </c>
      <c r="G537" s="4" t="n">
        <v>41.5939</v>
      </c>
      <c r="H537" s="4" t="n">
        <v>34.0504</v>
      </c>
      <c r="I537" s="4" t="n">
        <v>21.48</v>
      </c>
      <c r="J537" s="4" t="n">
        <v>21.48</v>
      </c>
      <c r="K537" s="4" t="n">
        <v>19.72</v>
      </c>
      <c r="L537" s="4" t="n">
        <v>19.98</v>
      </c>
      <c r="M537" s="7" t="n">
        <v>-0.0698</v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3" t="n">
        <v>3715</v>
      </c>
      <c r="F538" s="8" t="n">
        <v>0.2817</v>
      </c>
      <c r="G538" s="4" t="n">
        <v>50.4447</v>
      </c>
      <c r="H538" s="4" t="n">
        <v>38.2296</v>
      </c>
      <c r="I538" s="4" t="n">
        <v>19.98</v>
      </c>
      <c r="J538" s="4" t="n">
        <v>20.75</v>
      </c>
      <c r="K538" s="4" t="n">
        <v>19.68</v>
      </c>
      <c r="L538" s="4" t="n">
        <v>20.4775</v>
      </c>
      <c r="M538" s="7" t="n">
        <v>0.0249</v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3" t="n">
        <v>3692</v>
      </c>
      <c r="F539" s="8" t="n">
        <v>0.2604</v>
      </c>
      <c r="G539" s="4" t="n">
        <v>44.363</v>
      </c>
      <c r="H539" s="4" t="n">
        <v>40.4747</v>
      </c>
      <c r="I539" s="4" t="n">
        <v>20.4775</v>
      </c>
      <c r="J539" s="4" t="n">
        <v>21.3375</v>
      </c>
      <c r="K539" s="4" t="n">
        <v>18.23</v>
      </c>
      <c r="L539" s="4" t="n">
        <v>20.845</v>
      </c>
      <c r="M539" s="7" t="n">
        <v>0.0179</v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3" t="n">
        <v>3660</v>
      </c>
      <c r="F540" s="8" t="n">
        <v>0.2408</v>
      </c>
      <c r="G540" s="4" t="n">
        <v>51.1024</v>
      </c>
      <c r="H540" s="4" t="n">
        <v>30.4543</v>
      </c>
      <c r="I540" s="4" t="n">
        <v>20.845</v>
      </c>
      <c r="J540" s="4" t="n">
        <v>20.9975</v>
      </c>
      <c r="K540" s="4" t="n">
        <v>18.3825</v>
      </c>
      <c r="L540" s="4" t="n">
        <v>20.32</v>
      </c>
      <c r="M540" s="7" t="n">
        <v>-0.0252</v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3" t="n">
        <v>3684</v>
      </c>
      <c r="F541" s="8" t="n">
        <v>0.2525</v>
      </c>
      <c r="G541" s="4" t="n">
        <v>45.3678</v>
      </c>
      <c r="H541" s="4" t="n">
        <v>32.1122</v>
      </c>
      <c r="I541" s="4" t="n">
        <v>20.32</v>
      </c>
      <c r="J541" s="4" t="n">
        <v>20.32</v>
      </c>
      <c r="K541" s="4" t="n">
        <v>18.735</v>
      </c>
      <c r="L541" s="4" t="n">
        <v>19.975</v>
      </c>
      <c r="M541" s="7" t="n">
        <v>-0.017</v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3" t="n">
        <v>3811</v>
      </c>
      <c r="F542" s="8" t="n">
        <v>0.2352</v>
      </c>
      <c r="G542" s="4" t="n">
        <v>46.2938</v>
      </c>
      <c r="H542" s="4" t="n">
        <v>25.7353</v>
      </c>
      <c r="I542" s="4" t="n">
        <v>19.975</v>
      </c>
      <c r="J542" s="4" t="n">
        <v>20.6825</v>
      </c>
      <c r="K542" s="4" t="n">
        <v>18.65</v>
      </c>
      <c r="L542" s="4" t="n">
        <v>20.2025</v>
      </c>
      <c r="M542" s="7" t="n">
        <v>0.0114</v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3" t="n">
        <v>3659</v>
      </c>
      <c r="F543" s="8" t="n">
        <v>0.2288</v>
      </c>
      <c r="G543" s="4" t="n">
        <v>39.6701</v>
      </c>
      <c r="H543" s="4" t="n">
        <v>25.9336</v>
      </c>
      <c r="I543" s="4" t="n">
        <v>20.2025</v>
      </c>
      <c r="J543" s="4" t="n">
        <v>21.07</v>
      </c>
      <c r="K543" s="4" t="n">
        <v>19.4325</v>
      </c>
      <c r="L543" s="4" t="n">
        <v>20.425</v>
      </c>
      <c r="M543" s="7" t="n">
        <v>0.011</v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3" t="n">
        <v>3662</v>
      </c>
      <c r="F544" s="8" t="n">
        <v>0.2416</v>
      </c>
      <c r="G544" s="4" t="n">
        <v>39.362</v>
      </c>
      <c r="H544" s="4" t="n">
        <v>29.5031</v>
      </c>
      <c r="I544" s="4" t="n">
        <v>20.425</v>
      </c>
      <c r="J544" s="4" t="n">
        <v>20.6875</v>
      </c>
      <c r="K544" s="4" t="n">
        <v>19.3875</v>
      </c>
      <c r="L544" s="4" t="n">
        <v>19.8375</v>
      </c>
      <c r="M544" s="7" t="n">
        <v>-0.0288</v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3" t="n">
        <v>3678</v>
      </c>
      <c r="F545" s="8" t="n">
        <v>0.2174</v>
      </c>
      <c r="G545" s="4" t="n">
        <v>59.0057</v>
      </c>
      <c r="H545" s="4" t="n">
        <v>34.322</v>
      </c>
      <c r="I545" s="4" t="n">
        <v>19.8375</v>
      </c>
      <c r="J545" s="4" t="n">
        <v>19.8375</v>
      </c>
      <c r="K545" s="4" t="n">
        <v>18.155</v>
      </c>
      <c r="L545" s="4" t="n">
        <v>19.14</v>
      </c>
      <c r="M545" s="7" t="n">
        <v>-0.0352</v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3" t="n">
        <v>3671</v>
      </c>
      <c r="F546" s="8" t="n">
        <v>0.2159</v>
      </c>
      <c r="G546" s="4" t="n">
        <v>33.3099</v>
      </c>
      <c r="H546" s="4" t="n">
        <v>26.0288</v>
      </c>
      <c r="I546" s="4" t="n">
        <v>19.14</v>
      </c>
      <c r="J546" s="4" t="n">
        <v>19.755</v>
      </c>
      <c r="K546" s="4" t="n">
        <v>18.255</v>
      </c>
      <c r="L546" s="4" t="n">
        <v>19.575</v>
      </c>
      <c r="M546" s="7" t="n">
        <v>0.0227</v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3" t="n">
        <v>3873</v>
      </c>
      <c r="F547" s="8" t="n">
        <v>0.2814</v>
      </c>
      <c r="G547" s="4" t="n">
        <v>42.5523</v>
      </c>
      <c r="H547" s="4" t="n">
        <v>32.1213</v>
      </c>
      <c r="I547" s="4" t="n">
        <v>19.575</v>
      </c>
      <c r="J547" s="4" t="n">
        <v>22.8025</v>
      </c>
      <c r="K547" s="4" t="n">
        <v>19.575</v>
      </c>
      <c r="L547" s="4" t="n">
        <v>22.365</v>
      </c>
      <c r="M547" s="7" t="n">
        <v>0.1425</v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3" t="n">
        <v>3703</v>
      </c>
      <c r="F548" s="8" t="n">
        <v>0.2561</v>
      </c>
      <c r="G548" s="4" t="n">
        <v>38.3794</v>
      </c>
      <c r="H548" s="4" t="n">
        <v>27.6987</v>
      </c>
      <c r="I548" s="4" t="n">
        <v>22.365</v>
      </c>
      <c r="J548" s="4" t="n">
        <v>22.635</v>
      </c>
      <c r="K548" s="4" t="n">
        <v>18.9475</v>
      </c>
      <c r="L548" s="4" t="n">
        <v>21.8875</v>
      </c>
      <c r="M548" s="7" t="n">
        <v>-0.0214</v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3" t="n">
        <v>3664</v>
      </c>
      <c r="F549" s="8" t="n">
        <v>0.197</v>
      </c>
      <c r="G549" s="4" t="n">
        <v>34.1108</v>
      </c>
      <c r="H549" s="4" t="n">
        <v>22.7905</v>
      </c>
      <c r="I549" s="4" t="n">
        <v>21.8875</v>
      </c>
      <c r="J549" s="4" t="n">
        <v>22.365</v>
      </c>
      <c r="K549" s="4" t="n">
        <v>20.95</v>
      </c>
      <c r="L549" s="4" t="n">
        <v>22.1475</v>
      </c>
      <c r="M549" s="7" t="n">
        <v>0.0119</v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3" t="n">
        <v>3710</v>
      </c>
      <c r="F550" s="8" t="n">
        <v>0.3028</v>
      </c>
      <c r="G550" s="4" t="n">
        <v>45.4735</v>
      </c>
      <c r="H550" s="4" t="n">
        <v>31.5526</v>
      </c>
      <c r="I550" s="4" t="n">
        <v>22.1475</v>
      </c>
      <c r="J550" s="4" t="n">
        <v>28.13</v>
      </c>
      <c r="K550" s="4" t="n">
        <v>19.7475</v>
      </c>
      <c r="L550" s="4" t="n">
        <v>22.8675</v>
      </c>
      <c r="M550" s="7" t="n">
        <v>0.0325</v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3" t="n">
        <v>3673</v>
      </c>
      <c r="F551" s="8" t="n">
        <v>0.2996</v>
      </c>
      <c r="G551" s="4" t="n">
        <v>41.7703</v>
      </c>
      <c r="H551" s="4" t="n">
        <v>35.3309</v>
      </c>
      <c r="I551" s="4" t="n">
        <v>22.8675</v>
      </c>
      <c r="J551" s="4" t="n">
        <v>23.69</v>
      </c>
      <c r="K551" s="4" t="n">
        <v>18.0225</v>
      </c>
      <c r="L551" s="4" t="n">
        <v>22.7575</v>
      </c>
      <c r="M551" s="7" t="n">
        <v>-0.0048</v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3" t="n">
        <v>3839</v>
      </c>
      <c r="F552" s="8" t="n">
        <v>0.3318</v>
      </c>
      <c r="G552" s="4" t="n">
        <v>44.0955</v>
      </c>
      <c r="H552" s="4" t="n">
        <v>32.9256</v>
      </c>
      <c r="I552" s="4" t="n">
        <v>22.7575</v>
      </c>
      <c r="J552" s="4" t="n">
        <v>23.635</v>
      </c>
      <c r="K552" s="4" t="n">
        <v>16.0025</v>
      </c>
      <c r="L552" s="4" t="n">
        <v>22.4125</v>
      </c>
      <c r="M552" s="7" t="n">
        <v>-0.0152</v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3" t="n">
        <v>3717</v>
      </c>
      <c r="F553" s="8" t="n">
        <v>0.2469</v>
      </c>
      <c r="G553" s="4" t="n">
        <v>44.2276</v>
      </c>
      <c r="H553" s="4" t="n">
        <v>28.3727</v>
      </c>
      <c r="I553" s="4" t="n">
        <v>22.4125</v>
      </c>
      <c r="J553" s="4" t="n">
        <v>22.4125</v>
      </c>
      <c r="K553" s="4" t="n">
        <v>20.48</v>
      </c>
      <c r="L553" s="4" t="n">
        <v>21.1425</v>
      </c>
      <c r="M553" s="7" t="n">
        <v>-0.0567</v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3" t="n">
        <v>3674</v>
      </c>
      <c r="F554" s="8" t="n">
        <v>0.208</v>
      </c>
      <c r="G554" s="4" t="n">
        <v>33.8174</v>
      </c>
      <c r="H554" s="4" t="n">
        <v>25.054</v>
      </c>
      <c r="I554" s="4" t="n">
        <v>21.1425</v>
      </c>
      <c r="J554" s="4" t="n">
        <v>21.785</v>
      </c>
      <c r="K554" s="4" t="n">
        <v>19.32</v>
      </c>
      <c r="L554" s="4" t="n">
        <v>21.3</v>
      </c>
      <c r="M554" s="7" t="n">
        <v>0.0074</v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3" t="n">
        <v>3678</v>
      </c>
      <c r="F555" s="8" t="n">
        <v>0.2016</v>
      </c>
      <c r="G555" s="4" t="n">
        <v>33.0754</v>
      </c>
      <c r="H555" s="4" t="n">
        <v>23.9228</v>
      </c>
      <c r="I555" s="4" t="n">
        <v>21.3</v>
      </c>
      <c r="J555" s="4" t="n">
        <v>21.71</v>
      </c>
      <c r="K555" s="4" t="n">
        <v>18.355</v>
      </c>
      <c r="L555" s="4" t="n">
        <v>20.88</v>
      </c>
      <c r="M555" s="7" t="n">
        <v>-0.0197</v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3" t="n">
        <v>3712</v>
      </c>
      <c r="F556" s="8" t="n">
        <v>0.2094</v>
      </c>
      <c r="G556" s="4" t="n">
        <v>35.8785</v>
      </c>
      <c r="H556" s="4" t="n">
        <v>23.4696</v>
      </c>
      <c r="I556" s="4" t="n">
        <v>20.88</v>
      </c>
      <c r="J556" s="4" t="n">
        <v>21.2725</v>
      </c>
      <c r="K556" s="4" t="n">
        <v>18.6825</v>
      </c>
      <c r="L556" s="4" t="n">
        <v>20.55</v>
      </c>
      <c r="M556" s="7" t="n">
        <v>-0.0158</v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3" t="n">
        <v>3829</v>
      </c>
      <c r="F557" s="8" t="n">
        <v>0.2402</v>
      </c>
      <c r="G557" s="4" t="n">
        <v>35.3079</v>
      </c>
      <c r="H557" s="4" t="n">
        <v>25.5956</v>
      </c>
      <c r="I557" s="4" t="n">
        <v>20.55</v>
      </c>
      <c r="J557" s="4" t="n">
        <v>21.12</v>
      </c>
      <c r="K557" s="4" t="n">
        <v>19.545</v>
      </c>
      <c r="L557" s="4" t="n">
        <v>21.005</v>
      </c>
      <c r="M557" s="7" t="n">
        <v>0.0221</v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3" t="n">
        <v>3666</v>
      </c>
      <c r="F558" s="8" t="n">
        <v>0.2123</v>
      </c>
      <c r="G558" s="4" t="n">
        <v>36.9199</v>
      </c>
      <c r="H558" s="4" t="n">
        <v>24.3985</v>
      </c>
      <c r="I558" s="4" t="n">
        <v>21.005</v>
      </c>
      <c r="J558" s="4" t="n">
        <v>21.68</v>
      </c>
      <c r="K558" s="4" t="n">
        <v>20.5125</v>
      </c>
      <c r="L558" s="4" t="n">
        <v>21.45</v>
      </c>
      <c r="M558" s="7" t="n">
        <v>0.0212</v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3" t="n">
        <v>3692</v>
      </c>
      <c r="F559" s="8" t="n">
        <v>0.2181</v>
      </c>
      <c r="G559" s="4" t="n">
        <v>33.4478</v>
      </c>
      <c r="H559" s="4" t="n">
        <v>25.9207</v>
      </c>
      <c r="I559" s="4" t="n">
        <v>21.45</v>
      </c>
      <c r="J559" s="4" t="n">
        <v>22.085</v>
      </c>
      <c r="K559" s="4" t="n">
        <v>21.45</v>
      </c>
      <c r="L559" s="4" t="n">
        <v>21.9</v>
      </c>
      <c r="M559" s="7" t="n">
        <v>0.021</v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3" t="n">
        <v>3654</v>
      </c>
      <c r="F560" s="8" t="n">
        <v>0.2155</v>
      </c>
      <c r="G560" s="4" t="n">
        <v>31.096</v>
      </c>
      <c r="H560" s="4" t="n">
        <v>22.8935</v>
      </c>
      <c r="I560" s="4" t="n">
        <v>21.9</v>
      </c>
      <c r="J560" s="4" t="n">
        <v>22.2725</v>
      </c>
      <c r="K560" s="4" t="n">
        <v>21.5375</v>
      </c>
      <c r="L560" s="4" t="n">
        <v>21.84</v>
      </c>
      <c r="M560" s="7" t="n">
        <v>-0.0027</v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3" t="n">
        <v>3661</v>
      </c>
      <c r="F561" s="8" t="n">
        <v>0.2156</v>
      </c>
      <c r="G561" s="4" t="n">
        <v>31.3608</v>
      </c>
      <c r="H561" s="4" t="n">
        <v>24.8242</v>
      </c>
      <c r="I561" s="4" t="n">
        <v>21.84</v>
      </c>
      <c r="J561" s="4" t="n">
        <v>22.43</v>
      </c>
      <c r="K561" s="4" t="n">
        <v>21.1425</v>
      </c>
      <c r="L561" s="4" t="n">
        <v>21.25</v>
      </c>
      <c r="M561" s="7" t="n">
        <v>-0.027</v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3" t="n">
        <v>3823</v>
      </c>
      <c r="F562" s="8" t="n">
        <v>0.1796</v>
      </c>
      <c r="G562" s="4" t="n">
        <v>26.1785</v>
      </c>
      <c r="H562" s="4" t="n">
        <v>22.081</v>
      </c>
      <c r="I562" s="4" t="n">
        <v>21.25</v>
      </c>
      <c r="J562" s="4" t="n">
        <v>22.2475</v>
      </c>
      <c r="K562" s="4" t="n">
        <v>20.9225</v>
      </c>
      <c r="L562" s="4" t="n">
        <v>20.9725</v>
      </c>
      <c r="M562" s="7" t="n">
        <v>-0.0131</v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3" t="n">
        <v>3688</v>
      </c>
      <c r="F563" s="8" t="n">
        <v>0.2204</v>
      </c>
      <c r="G563" s="4" t="n">
        <v>36.3148</v>
      </c>
      <c r="H563" s="4" t="n">
        <v>24.2947</v>
      </c>
      <c r="I563" s="4" t="n">
        <v>20.9725</v>
      </c>
      <c r="J563" s="4" t="n">
        <v>20.9925</v>
      </c>
      <c r="K563" s="4" t="n">
        <v>20.235</v>
      </c>
      <c r="L563" s="4" t="n">
        <v>20.7875</v>
      </c>
      <c r="M563" s="7" t="n">
        <v>-0.008800000000000001</v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3" t="n">
        <v>3676</v>
      </c>
      <c r="F564" s="8" t="n">
        <v>0.2145</v>
      </c>
      <c r="G564" s="4" t="n">
        <v>33.4861</v>
      </c>
      <c r="H564" s="4" t="n">
        <v>27.1931</v>
      </c>
      <c r="I564" s="4" t="n">
        <v>20.7875</v>
      </c>
      <c r="J564" s="4" t="n">
        <v>20.7875</v>
      </c>
      <c r="K564" s="4" t="n">
        <v>19.8225</v>
      </c>
      <c r="L564" s="4" t="n">
        <v>20.2675</v>
      </c>
      <c r="M564" s="7" t="n">
        <v>-0.025</v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3" t="n">
        <v>3722</v>
      </c>
      <c r="F565" s="8" t="n">
        <v>0.2414</v>
      </c>
      <c r="G565" s="4" t="n">
        <v>30.8108</v>
      </c>
      <c r="H565" s="4" t="n">
        <v>28.4423</v>
      </c>
      <c r="I565" s="4" t="n">
        <v>20.2675</v>
      </c>
      <c r="J565" s="4" t="n">
        <v>20.2675</v>
      </c>
      <c r="K565" s="4" t="n">
        <v>19.0125</v>
      </c>
      <c r="L565" s="4" t="n">
        <v>19.2025</v>
      </c>
      <c r="M565" s="7" t="n">
        <v>-0.0525</v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3" t="n">
        <v>3691</v>
      </c>
      <c r="F566" s="8" t="n">
        <v>0.2196</v>
      </c>
      <c r="G566" s="4" t="n">
        <v>31.7762</v>
      </c>
      <c r="H566" s="4" t="n">
        <v>25.4261</v>
      </c>
      <c r="I566" s="4" t="n">
        <v>19.2025</v>
      </c>
      <c r="J566" s="4" t="n">
        <v>19.2025</v>
      </c>
      <c r="K566" s="4" t="n">
        <v>18.22</v>
      </c>
      <c r="L566" s="4" t="n">
        <v>18.395</v>
      </c>
      <c r="M566" s="7" t="n">
        <v>-0.0421</v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3" t="n">
        <v>3799</v>
      </c>
      <c r="F567" s="8" t="n">
        <v>0.2365</v>
      </c>
      <c r="G567" s="4" t="n">
        <v>37.8952</v>
      </c>
      <c r="H567" s="4" t="n">
        <v>27.7546</v>
      </c>
      <c r="I567" s="4" t="n">
        <v>18.395</v>
      </c>
      <c r="J567" s="4" t="n">
        <v>19.215</v>
      </c>
      <c r="K567" s="4" t="n">
        <v>16.6475</v>
      </c>
      <c r="L567" s="4" t="n">
        <v>18.3675</v>
      </c>
      <c r="M567" s="7" t="n">
        <v>-0.0015</v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3" t="n">
        <v>3703</v>
      </c>
      <c r="F568" s="8" t="n">
        <v>0.2314</v>
      </c>
      <c r="G568" s="4" t="n">
        <v>36.9713</v>
      </c>
      <c r="H568" s="4" t="n">
        <v>28.4423</v>
      </c>
      <c r="I568" s="4" t="n">
        <v>18.3675</v>
      </c>
      <c r="J568" s="4" t="n">
        <v>18.6375</v>
      </c>
      <c r="K568" s="4" t="n">
        <v>17.3</v>
      </c>
      <c r="L568" s="4" t="n">
        <v>18.5475</v>
      </c>
      <c r="M568" s="7" t="n">
        <v>0.0098</v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3" t="n">
        <v>3697</v>
      </c>
      <c r="F569" s="8" t="n">
        <v>0.2217</v>
      </c>
      <c r="G569" s="4" t="n">
        <v>36.9221</v>
      </c>
      <c r="H569" s="4" t="n">
        <v>22.8797</v>
      </c>
      <c r="I569" s="4" t="n">
        <v>18.5475</v>
      </c>
      <c r="J569" s="4" t="n">
        <v>18.7625</v>
      </c>
      <c r="K569" s="4" t="n">
        <v>17.735</v>
      </c>
      <c r="L569" s="4" t="n">
        <v>18.52</v>
      </c>
      <c r="M569" s="7" t="n">
        <v>-0.0015</v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3" t="n">
        <v>3703</v>
      </c>
      <c r="F570" s="8" t="n">
        <v>0.2315</v>
      </c>
      <c r="G570" s="4" t="n">
        <v>37.2415</v>
      </c>
      <c r="H570" s="4" t="n">
        <v>23.8105</v>
      </c>
      <c r="I570" s="4" t="n">
        <v>18.52</v>
      </c>
      <c r="J570" s="4" t="n">
        <v>18.69</v>
      </c>
      <c r="K570" s="4" t="n">
        <v>17.75</v>
      </c>
      <c r="L570" s="4" t="n">
        <v>18.34</v>
      </c>
      <c r="M570" s="7" t="n">
        <v>-0.0097</v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3" t="n">
        <v>3670</v>
      </c>
      <c r="F571" s="8" t="n">
        <v>0.2148</v>
      </c>
      <c r="G571" s="4" t="n">
        <v>32.5521</v>
      </c>
      <c r="H571" s="4" t="n">
        <v>23.7238</v>
      </c>
      <c r="I571" s="4" t="n">
        <v>18.34</v>
      </c>
      <c r="J571" s="4" t="n">
        <v>18.34</v>
      </c>
      <c r="K571" s="4" t="n">
        <v>17.53</v>
      </c>
      <c r="L571" s="4" t="n">
        <v>17.5975</v>
      </c>
      <c r="M571" s="7" t="n">
        <v>-0.0405</v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3" t="n">
        <v>3859</v>
      </c>
      <c r="F572" s="8" t="n">
        <v>0.2357</v>
      </c>
      <c r="G572" s="4" t="n">
        <v>47.2844</v>
      </c>
      <c r="H572" s="4" t="n">
        <v>118.1796</v>
      </c>
      <c r="I572" s="4" t="n">
        <v>17.5975</v>
      </c>
      <c r="J572" s="4" t="n">
        <v>18.1825</v>
      </c>
      <c r="K572" s="4" t="n">
        <v>16.47</v>
      </c>
      <c r="L572" s="4" t="n">
        <v>17.16</v>
      </c>
      <c r="M572" s="7" t="n">
        <v>-0.0249</v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3" t="n">
        <v>3697</v>
      </c>
      <c r="F573" s="8" t="n">
        <v>0.2358</v>
      </c>
      <c r="G573" s="4" t="n">
        <v>46.8265</v>
      </c>
      <c r="H573" s="4" t="n">
        <v>28.2902</v>
      </c>
      <c r="I573" s="4" t="n">
        <v>17.16</v>
      </c>
      <c r="J573" s="4" t="n">
        <v>17.6675</v>
      </c>
      <c r="K573" s="4" t="n">
        <v>16.3525</v>
      </c>
      <c r="L573" s="4" t="n">
        <v>17.2025</v>
      </c>
      <c r="M573" s="7" t="n">
        <v>0.0025</v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3" t="n">
        <v>3740</v>
      </c>
      <c r="F574" s="8" t="n">
        <v>0.2618</v>
      </c>
      <c r="G574" s="4" t="n">
        <v>42.0537</v>
      </c>
      <c r="H574" s="4" t="n">
        <v>31.3937</v>
      </c>
      <c r="I574" s="4" t="n">
        <v>17.2025</v>
      </c>
      <c r="J574" s="4" t="n">
        <v>17.2725</v>
      </c>
      <c r="K574" s="4" t="n">
        <v>15.6575</v>
      </c>
      <c r="L574" s="4" t="n">
        <v>16.8225</v>
      </c>
      <c r="M574" s="7" t="n">
        <v>-0.0221</v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3" t="n">
        <v>3730</v>
      </c>
      <c r="F575" s="8" t="n">
        <v>0.242</v>
      </c>
      <c r="G575" s="4" t="n">
        <v>46.9514</v>
      </c>
      <c r="H575" s="4" t="n">
        <v>28.8932</v>
      </c>
      <c r="I575" s="4" t="n">
        <v>16.8225</v>
      </c>
      <c r="J575" s="4" t="n">
        <v>17.2075</v>
      </c>
      <c r="K575" s="4" t="n">
        <v>15.9725</v>
      </c>
      <c r="L575" s="4" t="n">
        <v>16.8575</v>
      </c>
      <c r="M575" s="7" t="n">
        <v>0.0021</v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3" t="n">
        <v>3713</v>
      </c>
      <c r="F576" s="8" t="n">
        <v>0.2465</v>
      </c>
      <c r="G576" s="4" t="n">
        <v>44.1449</v>
      </c>
      <c r="H576" s="4" t="n">
        <v>29.8579</v>
      </c>
      <c r="I576" s="4" t="n">
        <v>16.8575</v>
      </c>
      <c r="J576" s="4" t="n">
        <v>16.9625</v>
      </c>
      <c r="K576" s="4" t="n">
        <v>16.1625</v>
      </c>
      <c r="L576" s="4" t="n">
        <v>16.65</v>
      </c>
      <c r="M576" s="7" t="n">
        <v>-0.0123</v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3" t="n">
        <v>3853</v>
      </c>
      <c r="F577" s="8" t="n">
        <v>0.2482</v>
      </c>
      <c r="G577" s="4" t="n">
        <v>46.5541</v>
      </c>
      <c r="H577" s="4" t="n">
        <v>30.3902</v>
      </c>
      <c r="I577" s="4" t="n">
        <v>16.65</v>
      </c>
      <c r="J577" s="4" t="n">
        <v>17.9075</v>
      </c>
      <c r="K577" s="4" t="n">
        <v>16.1775</v>
      </c>
      <c r="L577" s="4" t="n">
        <v>17.68</v>
      </c>
      <c r="M577" s="7" t="n">
        <v>0.0619</v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3" t="n">
        <v>3696</v>
      </c>
      <c r="F578" s="8" t="n">
        <v>0.2355</v>
      </c>
      <c r="G578" s="4" t="n">
        <v>43.2309</v>
      </c>
      <c r="H578" s="4" t="n">
        <v>30.2002</v>
      </c>
      <c r="I578" s="4" t="n">
        <v>17.68</v>
      </c>
      <c r="J578" s="4" t="n">
        <v>18.2675</v>
      </c>
      <c r="K578" s="4" t="n">
        <v>17.355</v>
      </c>
      <c r="L578" s="4" t="n">
        <v>18.17</v>
      </c>
      <c r="M578" s="7" t="n">
        <v>0.0277</v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3" t="n">
        <v>3682</v>
      </c>
      <c r="F579" s="8" t="n">
        <v>0.2351</v>
      </c>
      <c r="G579" s="4" t="n">
        <v>45.0631</v>
      </c>
      <c r="H579" s="4" t="n">
        <v>27.6324</v>
      </c>
      <c r="I579" s="4" t="n">
        <v>18.17</v>
      </c>
      <c r="J579" s="4" t="n">
        <v>18.635</v>
      </c>
      <c r="K579" s="4" t="n">
        <v>17.7525</v>
      </c>
      <c r="L579" s="4" t="n">
        <v>18.13</v>
      </c>
      <c r="M579" s="7" t="n">
        <v>-0.0022</v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3" t="n">
        <v>3705</v>
      </c>
      <c r="F580" s="8" t="n">
        <v>0.2692</v>
      </c>
      <c r="G580" s="4" t="n">
        <v>47.0866</v>
      </c>
      <c r="H580" s="4" t="n">
        <v>33.5623</v>
      </c>
      <c r="I580" s="4" t="n">
        <v>18.13</v>
      </c>
      <c r="J580" s="4" t="n">
        <v>18.13</v>
      </c>
      <c r="K580" s="4" t="n">
        <v>16.8375</v>
      </c>
      <c r="L580" s="4" t="n">
        <v>17.0125</v>
      </c>
      <c r="M580" s="7" t="n">
        <v>-0.0616</v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3" t="n">
        <v>3718</v>
      </c>
      <c r="F581" s="8" t="n">
        <v>0.3018</v>
      </c>
      <c r="G581" s="4" t="n">
        <v>52.8425</v>
      </c>
      <c r="H581" s="4" t="n">
        <v>39.5233</v>
      </c>
      <c r="I581" s="4" t="n">
        <v>17.0125</v>
      </c>
      <c r="J581" s="4" t="n">
        <v>18.645</v>
      </c>
      <c r="K581" s="4" t="n">
        <v>16.49</v>
      </c>
      <c r="L581" s="4" t="n">
        <v>16.55</v>
      </c>
      <c r="M581" s="7" t="n">
        <v>-0.0272</v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3" t="n">
        <v>3923</v>
      </c>
      <c r="F582" s="8" t="n">
        <v>0.3239</v>
      </c>
      <c r="G582" s="4" t="n">
        <v>70.8125</v>
      </c>
      <c r="H582" s="4" t="n">
        <v>135.9108</v>
      </c>
      <c r="I582" s="4" t="n">
        <v>16.55</v>
      </c>
      <c r="J582" s="4" t="n">
        <v>17.625</v>
      </c>
      <c r="K582" s="4" t="n">
        <v>15.8925</v>
      </c>
      <c r="L582" s="4" t="n">
        <v>17.485</v>
      </c>
      <c r="M582" s="7" t="n">
        <v>0.0565</v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3" t="n">
        <v>3747</v>
      </c>
      <c r="F583" s="8" t="n">
        <v>0.2979</v>
      </c>
      <c r="G583" s="4" t="n">
        <v>73.47450000000001</v>
      </c>
      <c r="H583" s="4" t="n">
        <v>46.84</v>
      </c>
      <c r="I583" s="4" t="n">
        <v>17.485</v>
      </c>
      <c r="J583" s="4" t="n">
        <v>18.755</v>
      </c>
      <c r="K583" s="4" t="n">
        <v>17.485</v>
      </c>
      <c r="L583" s="4" t="n">
        <v>18.53</v>
      </c>
      <c r="M583" s="7" t="n">
        <v>0.0598</v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3" t="n">
        <v>3739</v>
      </c>
      <c r="F584" s="8" t="n">
        <v>0.2859</v>
      </c>
      <c r="G584" s="4" t="n">
        <v>124.1151</v>
      </c>
      <c r="H584" s="4" t="n">
        <v>69.319</v>
      </c>
      <c r="I584" s="4" t="n">
        <v>18.53</v>
      </c>
      <c r="J584" s="4" t="n">
        <v>19.1725</v>
      </c>
      <c r="K584" s="4" t="n">
        <v>17.95</v>
      </c>
      <c r="L584" s="4" t="n">
        <v>18.45</v>
      </c>
      <c r="M584" s="7" t="n">
        <v>-0.0043</v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3" t="n">
        <v>3711</v>
      </c>
      <c r="F585" s="8" t="n">
        <v>0.2856</v>
      </c>
      <c r="G585" s="4" t="n">
        <v>54.4371</v>
      </c>
      <c r="H585" s="4" t="n">
        <v>41.6982</v>
      </c>
      <c r="I585" s="4" t="n">
        <v>18.45</v>
      </c>
      <c r="J585" s="4" t="n">
        <v>21.06</v>
      </c>
      <c r="K585" s="4" t="n">
        <v>17.625</v>
      </c>
      <c r="L585" s="4" t="n">
        <v>19.2575</v>
      </c>
      <c r="M585" s="7" t="n">
        <v>0.0438</v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3" t="n">
        <v>3760</v>
      </c>
      <c r="F586" s="8" t="n">
        <v>0.2745</v>
      </c>
      <c r="G586" s="4" t="n">
        <v>52.5436</v>
      </c>
      <c r="H586" s="4" t="n">
        <v>36.4712</v>
      </c>
      <c r="I586" s="4" t="n">
        <v>19.2575</v>
      </c>
      <c r="J586" s="4" t="n">
        <v>19.39</v>
      </c>
      <c r="K586" s="4" t="n">
        <v>18.0075</v>
      </c>
      <c r="L586" s="4" t="n">
        <v>18.915</v>
      </c>
      <c r="M586" s="7" t="n">
        <v>-0.0178</v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3" t="n">
        <v>3950</v>
      </c>
      <c r="F587" s="8" t="n">
        <v>0.2468</v>
      </c>
      <c r="G587" s="4" t="n">
        <v>52.9181</v>
      </c>
      <c r="H587" s="4" t="n">
        <v>34.0659</v>
      </c>
      <c r="I587" s="4" t="n">
        <v>18.915</v>
      </c>
      <c r="J587" s="4" t="n">
        <v>20.18</v>
      </c>
      <c r="K587" s="4" t="n">
        <v>17.78</v>
      </c>
      <c r="L587" s="4" t="n">
        <v>19.3025</v>
      </c>
      <c r="M587" s="7" t="n">
        <v>0.0205</v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3" t="n">
        <v>3803</v>
      </c>
      <c r="F588" s="8" t="n">
        <v>0.2548</v>
      </c>
      <c r="G588" s="4" t="n">
        <v>50.5023</v>
      </c>
      <c r="H588" s="4" t="n">
        <v>42.8363</v>
      </c>
      <c r="I588" s="4" t="n">
        <v>19.3025</v>
      </c>
      <c r="J588" s="4" t="n">
        <v>20.77</v>
      </c>
      <c r="K588" s="4" t="n">
        <v>18.8575</v>
      </c>
      <c r="L588" s="4" t="n">
        <v>19.5875</v>
      </c>
      <c r="M588" s="7" t="n">
        <v>0.0148</v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3" t="n">
        <v>3782</v>
      </c>
      <c r="F589" s="8" t="n">
        <v>0.2475</v>
      </c>
      <c r="G589" s="4" t="n">
        <v>46.7306</v>
      </c>
      <c r="H589" s="4" t="n">
        <v>35.425</v>
      </c>
      <c r="I589" s="4" t="n">
        <v>19.5875</v>
      </c>
      <c r="J589" s="4" t="n">
        <v>19.5875</v>
      </c>
      <c r="K589" s="4" t="n">
        <v>18.2</v>
      </c>
      <c r="L589" s="4" t="n">
        <v>18.355</v>
      </c>
      <c r="M589" s="7" t="n">
        <v>-0.0629</v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3" t="n">
        <v>3803</v>
      </c>
      <c r="F590" s="8" t="n">
        <v>0.2478</v>
      </c>
      <c r="G590" s="4" t="n">
        <v>53.5297</v>
      </c>
      <c r="H590" s="4" t="n">
        <v>43.4855</v>
      </c>
      <c r="I590" s="4" t="n">
        <v>18.355</v>
      </c>
      <c r="J590" s="4" t="n">
        <v>18.525</v>
      </c>
      <c r="K590" s="4" t="n">
        <v>17.41</v>
      </c>
      <c r="L590" s="4" t="n">
        <v>17.6075</v>
      </c>
      <c r="M590" s="7" t="n">
        <v>-0.0407</v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3" t="n">
        <v>3975</v>
      </c>
      <c r="F591" s="8" t="n">
        <v>0.3038</v>
      </c>
      <c r="G591" s="4" t="n">
        <v>82.00660000000001</v>
      </c>
      <c r="H591" s="4" t="n">
        <v>155.6984</v>
      </c>
      <c r="I591" s="4" t="n">
        <v>17.6075</v>
      </c>
      <c r="J591" s="4" t="n">
        <v>18.355</v>
      </c>
      <c r="K591" s="4" t="n">
        <v>17.005</v>
      </c>
      <c r="L591" s="4" t="n">
        <v>17.685</v>
      </c>
      <c r="M591" s="7" t="n">
        <v>0.0044</v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3" t="n">
        <v>3836</v>
      </c>
      <c r="F592" s="8" t="n">
        <v>0.3042</v>
      </c>
      <c r="G592" s="4" t="n">
        <v>56.9551</v>
      </c>
      <c r="H592" s="4" t="n">
        <v>41.4511</v>
      </c>
      <c r="I592" s="4" t="n">
        <v>17.685</v>
      </c>
      <c r="J592" s="4" t="n">
        <v>17.7875</v>
      </c>
      <c r="K592" s="4" t="n">
        <v>16.5475</v>
      </c>
      <c r="L592" s="4" t="n">
        <v>17.6775</v>
      </c>
      <c r="M592" s="7" t="n">
        <v>-0.0004</v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3" t="n">
        <v>3791</v>
      </c>
      <c r="F593" s="8" t="n">
        <v>0.311</v>
      </c>
      <c r="G593" s="4" t="n">
        <v>70.89570000000001</v>
      </c>
      <c r="H593" s="4" t="n">
        <v>102.4261</v>
      </c>
      <c r="I593" s="4" t="n">
        <v>17.6775</v>
      </c>
      <c r="J593" s="4" t="n">
        <v>18.44</v>
      </c>
      <c r="K593" s="4" t="n">
        <v>16.715</v>
      </c>
      <c r="L593" s="4" t="n">
        <v>17.35</v>
      </c>
      <c r="M593" s="7" t="n">
        <v>-0.0185</v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3" t="n">
        <v>3772</v>
      </c>
      <c r="F594" s="8" t="n">
        <v>0.3521</v>
      </c>
      <c r="G594" s="4" t="n">
        <v>68.7931</v>
      </c>
      <c r="H594" s="4" t="n">
        <v>53.0067</v>
      </c>
      <c r="I594" s="4" t="n">
        <v>17.35</v>
      </c>
      <c r="J594" s="4" t="n">
        <v>18.5675</v>
      </c>
      <c r="K594" s="4" t="n">
        <v>16.875</v>
      </c>
      <c r="L594" s="4" t="n">
        <v>18.285</v>
      </c>
      <c r="M594" s="7" t="n">
        <v>0.0539</v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3" t="n">
        <v>3985</v>
      </c>
      <c r="F595" s="8" t="n">
        <v>0.3174</v>
      </c>
      <c r="G595" s="4" t="n">
        <v>66.5519</v>
      </c>
      <c r="H595" s="4" t="n">
        <v>42.3186</v>
      </c>
      <c r="I595" s="4" t="n">
        <v>18.285</v>
      </c>
      <c r="J595" s="4" t="n">
        <v>19.295</v>
      </c>
      <c r="K595" s="4" t="n">
        <v>17.2</v>
      </c>
      <c r="L595" s="4" t="n">
        <v>19.0375</v>
      </c>
      <c r="M595" s="7" t="n">
        <v>0.0412</v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3" t="n">
        <v>3803</v>
      </c>
      <c r="F596" s="8" t="n">
        <v>0.2914</v>
      </c>
      <c r="G596" s="4" t="n">
        <v>56.9625</v>
      </c>
      <c r="H596" s="4" t="n">
        <v>45.6583</v>
      </c>
      <c r="I596" s="4" t="n">
        <v>19.0375</v>
      </c>
      <c r="J596" s="4" t="n">
        <v>19.59</v>
      </c>
      <c r="K596" s="4" t="n">
        <v>18.1775</v>
      </c>
      <c r="L596" s="4" t="n">
        <v>19.05</v>
      </c>
      <c r="M596" s="7" t="n">
        <v>0.0007</v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3" t="n">
        <v>3848</v>
      </c>
      <c r="F597" s="8" t="n">
        <v>0.2851</v>
      </c>
      <c r="G597" s="4" t="n">
        <v>53.7877</v>
      </c>
      <c r="H597" s="4" t="n">
        <v>37.0207</v>
      </c>
      <c r="I597" s="4" t="n">
        <v>19.05</v>
      </c>
      <c r="J597" s="4" t="n">
        <v>19.3425</v>
      </c>
      <c r="K597" s="4" t="n">
        <v>17.9875</v>
      </c>
      <c r="L597" s="4" t="n">
        <v>18.43</v>
      </c>
      <c r="M597" s="7" t="n">
        <v>-0.0325</v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3" t="n">
        <v>3803</v>
      </c>
      <c r="F598" s="8" t="n">
        <v>0.3013</v>
      </c>
      <c r="G598" s="4" t="n">
        <v>59.2877</v>
      </c>
      <c r="H598" s="4" t="n">
        <v>39.7949</v>
      </c>
      <c r="I598" s="4" t="n">
        <v>18.43</v>
      </c>
      <c r="J598" s="4" t="n">
        <v>20.215</v>
      </c>
      <c r="K598" s="4" t="n">
        <v>17.275</v>
      </c>
      <c r="L598" s="4" t="n">
        <v>19.57</v>
      </c>
      <c r="M598" s="7" t="n">
        <v>0.0619</v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3" t="n">
        <v>3831</v>
      </c>
      <c r="F599" s="8" t="n">
        <v>0.2851</v>
      </c>
      <c r="G599" s="4" t="n">
        <v>50.4837</v>
      </c>
      <c r="H599" s="4" t="n">
        <v>38.6766</v>
      </c>
      <c r="I599" s="4" t="n">
        <v>19.57</v>
      </c>
      <c r="J599" s="4" t="n">
        <v>19.57</v>
      </c>
      <c r="K599" s="4" t="n">
        <v>15.825</v>
      </c>
      <c r="L599" s="4" t="n">
        <v>18.215</v>
      </c>
      <c r="M599" s="7" t="n">
        <v>-0.0692</v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3" t="n">
        <v>3976</v>
      </c>
      <c r="F600" s="8" t="n">
        <v>0.308</v>
      </c>
      <c r="G600" s="4" t="n">
        <v>48.7857</v>
      </c>
      <c r="H600" s="4" t="n">
        <v>43.1256</v>
      </c>
      <c r="I600" s="4" t="n">
        <v>18.215</v>
      </c>
      <c r="J600" s="4" t="n">
        <v>21.205</v>
      </c>
      <c r="K600" s="4" t="n">
        <v>18.215</v>
      </c>
      <c r="L600" s="4" t="n">
        <v>19.8225</v>
      </c>
      <c r="M600" s="7" t="n">
        <v>0.0883</v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3" t="n">
        <v>3837</v>
      </c>
      <c r="F601" s="8" t="n">
        <v>0.2998</v>
      </c>
      <c r="G601" s="4" t="n">
        <v>56.1536</v>
      </c>
      <c r="H601" s="4" t="n">
        <v>42.6842</v>
      </c>
      <c r="I601" s="4" t="n">
        <v>19.8225</v>
      </c>
      <c r="J601" s="4" t="n">
        <v>19.8225</v>
      </c>
      <c r="K601" s="4" t="n">
        <v>17.2575</v>
      </c>
      <c r="L601" s="4" t="n">
        <v>18.7</v>
      </c>
      <c r="M601" s="7" t="n">
        <v>-0.0566</v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3" t="n">
        <v>3862</v>
      </c>
      <c r="F602" s="8" t="n">
        <v>0.3222</v>
      </c>
      <c r="G602" s="4" t="n">
        <v>75.3947</v>
      </c>
      <c r="H602" s="4" t="n">
        <v>62.1023</v>
      </c>
      <c r="I602" s="4" t="n">
        <v>18.7</v>
      </c>
      <c r="J602" s="4" t="n">
        <v>20.9875</v>
      </c>
      <c r="K602" s="4" t="n">
        <v>18.105</v>
      </c>
      <c r="L602" s="4" t="n">
        <v>19.8725</v>
      </c>
      <c r="M602" s="7" t="n">
        <v>0.06270000000000001</v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3" t="n">
        <v>3837</v>
      </c>
      <c r="F603" s="8" t="n">
        <v>0.3114</v>
      </c>
      <c r="G603" s="4" t="n">
        <v>66.6041</v>
      </c>
      <c r="H603" s="4" t="n">
        <v>42.7685</v>
      </c>
      <c r="I603" s="4" t="n">
        <v>19.8725</v>
      </c>
      <c r="J603" s="4" t="n">
        <v>20.1425</v>
      </c>
      <c r="K603" s="4" t="n">
        <v>17.4025</v>
      </c>
      <c r="L603" s="4" t="n">
        <v>19.55</v>
      </c>
      <c r="M603" s="7" t="n">
        <v>-0.0162</v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3" t="n">
        <v>3982</v>
      </c>
      <c r="F604" s="8" t="n">
        <v>0.3196</v>
      </c>
      <c r="G604" s="4" t="n">
        <v>90.6533</v>
      </c>
      <c r="H604" s="4" t="n">
        <v>49.4242</v>
      </c>
      <c r="I604" s="4" t="n">
        <v>19.55</v>
      </c>
      <c r="J604" s="4" t="n">
        <v>20.29</v>
      </c>
      <c r="K604" s="4" t="n">
        <v>19.45</v>
      </c>
      <c r="L604" s="4" t="n">
        <v>19.6625</v>
      </c>
      <c r="M604" s="7" t="n">
        <v>0.0058</v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3" t="n">
        <v>3846</v>
      </c>
      <c r="F605" s="8" t="n">
        <v>0.3351</v>
      </c>
      <c r="G605" s="4" t="n">
        <v>83.334</v>
      </c>
      <c r="H605" s="4" t="n">
        <v>61.076</v>
      </c>
      <c r="I605" s="4" t="n">
        <v>19.6625</v>
      </c>
      <c r="J605" s="4" t="n">
        <v>20</v>
      </c>
      <c r="K605" s="4" t="n">
        <v>18.645</v>
      </c>
      <c r="L605" s="4" t="n">
        <v>19.525</v>
      </c>
      <c r="M605" s="7" t="n">
        <v>-0.007</v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3" t="n">
        <v>3816</v>
      </c>
      <c r="F606" s="8" t="n">
        <v>0.3115</v>
      </c>
      <c r="G606" s="4" t="n">
        <v>77.7838</v>
      </c>
      <c r="H606" s="4" t="n">
        <v>50.7314</v>
      </c>
      <c r="I606" s="4" t="n">
        <v>19.525</v>
      </c>
      <c r="J606" s="4" t="n">
        <v>20.175</v>
      </c>
      <c r="K606" s="4" t="n">
        <v>18.2775</v>
      </c>
      <c r="L606" s="4" t="n">
        <v>19.3675</v>
      </c>
      <c r="M606" s="7" t="n">
        <v>-0.0081</v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3" t="n">
        <v>3837</v>
      </c>
      <c r="F607" s="8" t="n">
        <v>0.331</v>
      </c>
      <c r="G607" s="4" t="n">
        <v>77.2985</v>
      </c>
      <c r="H607" s="4" t="n">
        <v>47.1963</v>
      </c>
      <c r="I607" s="4" t="n">
        <v>19.3675</v>
      </c>
      <c r="J607" s="4" t="n">
        <v>19.3675</v>
      </c>
      <c r="K607" s="4" t="n">
        <v>17.3025</v>
      </c>
      <c r="L607" s="4" t="n">
        <v>18.305</v>
      </c>
      <c r="M607" s="7" t="n">
        <v>-0.0549</v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3" t="n">
        <v>3843</v>
      </c>
      <c r="F608" s="8" t="n">
        <v>0.3303</v>
      </c>
      <c r="G608" s="4" t="n">
        <v>74.65009999999999</v>
      </c>
      <c r="H608" s="4" t="n">
        <v>46.9261</v>
      </c>
      <c r="I608" s="4" t="n">
        <v>18.305</v>
      </c>
      <c r="J608" s="4" t="n">
        <v>18.51</v>
      </c>
      <c r="K608" s="4" t="n">
        <v>16.545</v>
      </c>
      <c r="L608" s="4" t="n">
        <v>17.7175</v>
      </c>
      <c r="M608" s="7" t="n">
        <v>-0.0321</v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3" t="n">
        <v>4049</v>
      </c>
      <c r="F609" s="8" t="n">
        <v>0.345</v>
      </c>
      <c r="G609" s="4" t="n">
        <v>68.0782</v>
      </c>
      <c r="H609" s="4" t="n">
        <v>49.5498</v>
      </c>
      <c r="I609" s="4" t="n">
        <v>17.7175</v>
      </c>
      <c r="J609" s="4" t="n">
        <v>18.3825</v>
      </c>
      <c r="K609" s="4" t="n">
        <v>16.3925</v>
      </c>
      <c r="L609" s="4" t="n">
        <v>17.9375</v>
      </c>
      <c r="M609" s="7" t="n">
        <v>0.0124</v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3" t="n">
        <v>3886</v>
      </c>
      <c r="F610" s="8" t="n">
        <v>0.3259</v>
      </c>
      <c r="G610" s="4" t="n">
        <v>76.0159</v>
      </c>
      <c r="H610" s="4" t="n">
        <v>74.31789999999999</v>
      </c>
      <c r="I610" s="4" t="n">
        <v>17.9375</v>
      </c>
      <c r="J610" s="4" t="n">
        <v>17.9375</v>
      </c>
      <c r="K610" s="4" t="n">
        <v>16.8575</v>
      </c>
      <c r="L610" s="4" t="n">
        <v>17.47</v>
      </c>
      <c r="M610" s="7" t="n">
        <v>-0.0261</v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3" t="n">
        <v>3866</v>
      </c>
      <c r="F611" s="8" t="n">
        <v>0.3617</v>
      </c>
      <c r="G611" s="4" t="n">
        <v>67.97839999999999</v>
      </c>
      <c r="H611" s="4" t="n">
        <v>56.5128</v>
      </c>
      <c r="I611" s="4" t="n">
        <v>17.47</v>
      </c>
      <c r="J611" s="4" t="n">
        <v>18.565</v>
      </c>
      <c r="K611" s="4" t="n">
        <v>17.26</v>
      </c>
      <c r="L611" s="4" t="n">
        <v>18.2775</v>
      </c>
      <c r="M611" s="7" t="n">
        <v>0.0462</v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3" t="n">
        <v>3871</v>
      </c>
      <c r="F612" s="8" t="n">
        <v>0.3547</v>
      </c>
      <c r="G612" s="4" t="n">
        <v>74.1534</v>
      </c>
      <c r="H612" s="4" t="n">
        <v>59.496</v>
      </c>
      <c r="I612" s="4" t="n">
        <v>18.2775</v>
      </c>
      <c r="J612" s="4" t="n">
        <v>19.215</v>
      </c>
      <c r="K612" s="4" t="n">
        <v>16.78</v>
      </c>
      <c r="L612" s="4" t="n">
        <v>18.3925</v>
      </c>
      <c r="M612" s="7" t="n">
        <v>0.0063</v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3" t="n">
        <v>3854</v>
      </c>
      <c r="F613" s="8" t="n">
        <v>0.4299</v>
      </c>
      <c r="G613" s="4" t="n">
        <v>63.7357</v>
      </c>
      <c r="H613" s="4" t="n">
        <v>56.1949</v>
      </c>
      <c r="I613" s="4" t="n">
        <v>18.3925</v>
      </c>
      <c r="J613" s="4" t="n">
        <v>20.2425</v>
      </c>
      <c r="K613" s="4" t="n">
        <v>18.3</v>
      </c>
      <c r="L613" s="4" t="n">
        <v>19.8225</v>
      </c>
      <c r="M613" s="7" t="n">
        <v>0.07770000000000001</v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3" t="n">
        <v>4006</v>
      </c>
      <c r="F614" s="8" t="n">
        <v>0.3508</v>
      </c>
      <c r="G614" s="4" t="n">
        <v>83.07380000000001</v>
      </c>
      <c r="H614" s="4" t="n">
        <v>162.2258</v>
      </c>
      <c r="I614" s="4" t="n">
        <v>19.8225</v>
      </c>
      <c r="J614" s="4" t="n">
        <v>21.205</v>
      </c>
      <c r="K614" s="4" t="n">
        <v>16.4725</v>
      </c>
      <c r="L614" s="4" t="n">
        <v>19.94</v>
      </c>
      <c r="M614" s="7" t="n">
        <v>0.0059</v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3" t="n">
        <v>3866</v>
      </c>
      <c r="F615" s="8" t="n">
        <v>0.3036</v>
      </c>
      <c r="G615" s="4" t="n">
        <v>57.9593</v>
      </c>
      <c r="H615" s="4" t="n">
        <v>42.4484</v>
      </c>
      <c r="I615" s="4" t="n">
        <v>19.94</v>
      </c>
      <c r="J615" s="4" t="n">
        <v>19.94</v>
      </c>
      <c r="K615" s="4" t="n">
        <v>18.1125</v>
      </c>
      <c r="L615" s="4" t="n">
        <v>18.7975</v>
      </c>
      <c r="M615" s="7" t="n">
        <v>-0.0573</v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3" t="n">
        <v>3837</v>
      </c>
      <c r="F616" s="8" t="n">
        <v>0.313</v>
      </c>
      <c r="G616" s="4" t="n">
        <v>55.6702</v>
      </c>
      <c r="H616" s="4" t="n">
        <v>40.9664</v>
      </c>
      <c r="I616" s="4" t="n">
        <v>18.7975</v>
      </c>
      <c r="J616" s="4" t="n">
        <v>20.29</v>
      </c>
      <c r="K616" s="4" t="n">
        <v>18.305</v>
      </c>
      <c r="L616" s="4" t="n">
        <v>19.325</v>
      </c>
      <c r="M616" s="7" t="n">
        <v>0.0281</v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3" t="n">
        <v>3843</v>
      </c>
      <c r="F617" s="8" t="n">
        <v>0.302</v>
      </c>
      <c r="G617" s="4" t="n">
        <v>59.4443</v>
      </c>
      <c r="H617" s="4" t="n">
        <v>39.9514</v>
      </c>
      <c r="I617" s="4" t="n">
        <v>19.325</v>
      </c>
      <c r="J617" s="4" t="n">
        <v>20.1375</v>
      </c>
      <c r="K617" s="4" t="n">
        <v>17.4075</v>
      </c>
      <c r="L617" s="4" t="n">
        <v>18.815</v>
      </c>
      <c r="M617" s="7" t="n">
        <v>-0.0264</v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3" t="n">
        <v>3874</v>
      </c>
      <c r="F618" s="8" t="n">
        <v>0.3264</v>
      </c>
      <c r="G618" s="4" t="n">
        <v>49.6198</v>
      </c>
      <c r="H618" s="4" t="n">
        <v>39.9056</v>
      </c>
      <c r="I618" s="4" t="n">
        <v>18.815</v>
      </c>
      <c r="J618" s="4" t="n">
        <v>20.8125</v>
      </c>
      <c r="K618" s="4" t="n">
        <v>17.345</v>
      </c>
      <c r="L618" s="4" t="n">
        <v>20.5925</v>
      </c>
      <c r="M618" s="7" t="n">
        <v>0.0945</v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3" t="n">
        <v>3996</v>
      </c>
      <c r="F619" s="8" t="n">
        <v>0.4139</v>
      </c>
      <c r="G619" s="4" t="n">
        <v>54.5524</v>
      </c>
      <c r="H619" s="4" t="n">
        <v>46.7796</v>
      </c>
      <c r="I619" s="4" t="n">
        <v>20.5925</v>
      </c>
      <c r="J619" s="4" t="n">
        <v>22.8975</v>
      </c>
      <c r="K619" s="4" t="n">
        <v>18.805</v>
      </c>
      <c r="L619" s="4" t="n">
        <v>21.8925</v>
      </c>
      <c r="M619" s="7" t="n">
        <v>0.0631</v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3" t="n">
        <v>3802</v>
      </c>
      <c r="F620" s="8" t="n">
        <v>0.2963</v>
      </c>
      <c r="G620" s="4" t="n">
        <v>49.7542</v>
      </c>
      <c r="H620" s="4" t="n">
        <v>38.4384</v>
      </c>
      <c r="I620" s="4" t="n">
        <v>21.8925</v>
      </c>
      <c r="J620" s="4" t="n">
        <v>22.2925</v>
      </c>
      <c r="K620" s="4" t="n">
        <v>20.7875</v>
      </c>
      <c r="L620" s="4" t="n">
        <v>21.5675</v>
      </c>
      <c r="M620" s="7" t="n">
        <v>-0.0148</v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3" t="n">
        <v>3811</v>
      </c>
      <c r="F621" s="8" t="n">
        <v>0.2657</v>
      </c>
      <c r="G621" s="4" t="n">
        <v>44.3304</v>
      </c>
      <c r="H621" s="4" t="n">
        <v>43.5357</v>
      </c>
      <c r="I621" s="4" t="n">
        <v>21.5675</v>
      </c>
      <c r="J621" s="4" t="n">
        <v>22.3625</v>
      </c>
      <c r="K621" s="4" t="n">
        <v>21.49</v>
      </c>
      <c r="L621" s="4" t="n">
        <v>22.095</v>
      </c>
      <c r="M621" s="7" t="n">
        <v>0.0245</v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3" t="n">
        <v>3828</v>
      </c>
      <c r="F622" s="8" t="n">
        <v>0.2658</v>
      </c>
      <c r="G622" s="4" t="n">
        <v>49.8221</v>
      </c>
      <c r="H622" s="4" t="n">
        <v>31.5801</v>
      </c>
      <c r="I622" s="4" t="n">
        <v>22.095</v>
      </c>
      <c r="J622" s="4" t="n">
        <v>22.2875</v>
      </c>
      <c r="K622" s="4" t="n">
        <v>21.065</v>
      </c>
      <c r="L622" s="4" t="n">
        <v>21.3025</v>
      </c>
      <c r="M622" s="7" t="n">
        <v>-0.0359</v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3" t="n">
        <v>3795</v>
      </c>
      <c r="F623" s="8" t="n">
        <v>0.2771</v>
      </c>
      <c r="G623" s="4" t="n">
        <v>50.0077</v>
      </c>
      <c r="H623" s="4" t="n">
        <v>39.1985</v>
      </c>
      <c r="I623" s="4" t="n">
        <v>21.3025</v>
      </c>
      <c r="J623" s="4" t="n">
        <v>21.9875</v>
      </c>
      <c r="K623" s="4" t="n">
        <v>19.6975</v>
      </c>
      <c r="L623" s="4" t="n">
        <v>19.9675</v>
      </c>
      <c r="M623" s="7" t="n">
        <v>-0.06270000000000001</v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3" t="n">
        <v>3962</v>
      </c>
      <c r="F624" s="8" t="n">
        <v>0.2949</v>
      </c>
      <c r="G624" s="4" t="n">
        <v>46.9911</v>
      </c>
      <c r="H624" s="4" t="n">
        <v>37.7685</v>
      </c>
      <c r="I624" s="4" t="n">
        <v>19.9675</v>
      </c>
      <c r="J624" s="4" t="n">
        <v>21.68</v>
      </c>
      <c r="K624" s="4" t="n">
        <v>19.9675</v>
      </c>
      <c r="L624" s="4" t="n">
        <v>21.365</v>
      </c>
      <c r="M624" s="7" t="n">
        <v>0.07000000000000001</v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3" t="n">
        <v>3812</v>
      </c>
      <c r="F625" s="8" t="n">
        <v>0.2164</v>
      </c>
      <c r="G625" s="4" t="n">
        <v>43.2407</v>
      </c>
      <c r="H625" s="4" t="n">
        <v>28.2489</v>
      </c>
      <c r="I625" s="4" t="n">
        <v>21.365</v>
      </c>
      <c r="J625" s="4" t="n">
        <v>21.365</v>
      </c>
      <c r="K625" s="4" t="n">
        <v>19.4475</v>
      </c>
      <c r="L625" s="4" t="n">
        <v>19.57</v>
      </c>
      <c r="M625" s="7" t="n">
        <v>-0.08400000000000001</v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3" t="n">
        <v>3863</v>
      </c>
      <c r="F626" s="8" t="n">
        <v>0.2663</v>
      </c>
      <c r="G626" s="4" t="n">
        <v>47.9922</v>
      </c>
      <c r="H626" s="4" t="n">
        <v>35.0645</v>
      </c>
      <c r="I626" s="4" t="n">
        <v>19.57</v>
      </c>
      <c r="J626" s="4" t="n">
        <v>20.02</v>
      </c>
      <c r="K626" s="4" t="n">
        <v>18.585</v>
      </c>
      <c r="L626" s="4" t="n">
        <v>19.315</v>
      </c>
      <c r="M626" s="7" t="n">
        <v>-0.013</v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3" t="n">
        <v>3825</v>
      </c>
      <c r="F627" s="8" t="n">
        <v>0.2442</v>
      </c>
      <c r="G627" s="4" t="n">
        <v>48.5799</v>
      </c>
      <c r="H627" s="4" t="n">
        <v>32.1714</v>
      </c>
      <c r="I627" s="4" t="n">
        <v>19.315</v>
      </c>
      <c r="J627" s="4" t="n">
        <v>19.725</v>
      </c>
      <c r="K627" s="4" t="n">
        <v>18.6875</v>
      </c>
      <c r="L627" s="4" t="n">
        <v>18.8125</v>
      </c>
      <c r="M627" s="7" t="n">
        <v>-0.026</v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3" t="n">
        <v>3997</v>
      </c>
      <c r="F628" s="8" t="n">
        <v>0.2644</v>
      </c>
      <c r="G628" s="4" t="n">
        <v>49.8659</v>
      </c>
      <c r="H628" s="4" t="n">
        <v>34.051</v>
      </c>
      <c r="I628" s="4" t="n">
        <v>18.8125</v>
      </c>
      <c r="J628" s="4" t="n">
        <v>20.34</v>
      </c>
      <c r="K628" s="4" t="n">
        <v>18.8125</v>
      </c>
      <c r="L628" s="4" t="n">
        <v>19.6225</v>
      </c>
      <c r="M628" s="7" t="n">
        <v>0.0431</v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3" t="n">
        <v>3826</v>
      </c>
      <c r="F629" s="8" t="n">
        <v>0.2735</v>
      </c>
      <c r="G629" s="4" t="n">
        <v>73.9357</v>
      </c>
      <c r="H629" s="4" t="n">
        <v>134.9222</v>
      </c>
      <c r="I629" s="4" t="n">
        <v>19.6225</v>
      </c>
      <c r="J629" s="4" t="n">
        <v>20.8175</v>
      </c>
      <c r="K629" s="4" t="n">
        <v>19.09</v>
      </c>
      <c r="L629" s="4" t="n">
        <v>20.49</v>
      </c>
      <c r="M629" s="7" t="n">
        <v>0.0442</v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3" t="n">
        <v>3857</v>
      </c>
      <c r="F630" s="8" t="n">
        <v>0.2451</v>
      </c>
      <c r="G630" s="4" t="n">
        <v>48.5817</v>
      </c>
      <c r="H630" s="4" t="n">
        <v>29.3292</v>
      </c>
      <c r="I630" s="4" t="n">
        <v>20.49</v>
      </c>
      <c r="J630" s="4" t="n">
        <v>20.885</v>
      </c>
      <c r="K630" s="4" t="n">
        <v>19.885</v>
      </c>
      <c r="L630" s="4" t="n">
        <v>20.175</v>
      </c>
      <c r="M630" s="7" t="n">
        <v>-0.0154</v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3" t="n">
        <v>3807</v>
      </c>
      <c r="F631" s="8" t="n">
        <v>0.2352</v>
      </c>
      <c r="G631" s="4" t="n">
        <v>43.1871</v>
      </c>
      <c r="H631" s="4" t="n">
        <v>26.0654</v>
      </c>
      <c r="I631" s="4" t="n">
        <v>20.175</v>
      </c>
      <c r="J631" s="4" t="n">
        <v>20.9425</v>
      </c>
      <c r="K631" s="4" t="n">
        <v>18.4025</v>
      </c>
      <c r="L631" s="4" t="n">
        <v>20.29</v>
      </c>
      <c r="M631" s="7" t="n">
        <v>0.0057</v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3" t="n">
        <v>3847</v>
      </c>
      <c r="F632" s="8" t="n">
        <v>0.2313</v>
      </c>
      <c r="G632" s="4" t="n">
        <v>40.0902</v>
      </c>
      <c r="H632" s="4" t="n">
        <v>27.8816</v>
      </c>
      <c r="I632" s="4" t="n">
        <v>20.29</v>
      </c>
      <c r="J632" s="4" t="n">
        <v>20.63</v>
      </c>
      <c r="K632" s="4" t="n">
        <v>18.075</v>
      </c>
      <c r="L632" s="4" t="n">
        <v>18.2575</v>
      </c>
      <c r="M632" s="7" t="n">
        <v>-0.1002</v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3" t="n">
        <v>3967</v>
      </c>
      <c r="F633" s="8" t="n">
        <v>0.2446</v>
      </c>
      <c r="G633" s="4" t="n">
        <v>65.372</v>
      </c>
      <c r="H633" s="4" t="n">
        <v>127.4908</v>
      </c>
      <c r="I633" s="4" t="n">
        <v>18.2575</v>
      </c>
      <c r="J633" s="4" t="n">
        <v>19.0775</v>
      </c>
      <c r="K633" s="4" t="n">
        <v>18.2575</v>
      </c>
      <c r="L633" s="4" t="n">
        <v>18.4175</v>
      </c>
      <c r="M633" s="7" t="n">
        <v>0.008800000000000001</v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3" t="n">
        <v>3816</v>
      </c>
      <c r="F634" s="8" t="n">
        <v>0.2479</v>
      </c>
      <c r="G634" s="4" t="n">
        <v>59.1634</v>
      </c>
      <c r="H634" s="4" t="n">
        <v>42.006</v>
      </c>
      <c r="I634" s="4" t="n">
        <v>18.4175</v>
      </c>
      <c r="J634" s="4" t="n">
        <v>18.4175</v>
      </c>
      <c r="K634" s="4" t="n">
        <v>16.575</v>
      </c>
      <c r="L634" s="4" t="n">
        <v>17.4525</v>
      </c>
      <c r="M634" s="7" t="n">
        <v>-0.0524</v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3" t="n">
        <v>3816</v>
      </c>
      <c r="F635" s="8" t="n">
        <v>0.2376</v>
      </c>
      <c r="G635" s="4" t="n">
        <v>50.8232</v>
      </c>
      <c r="H635" s="4" t="n">
        <v>30.8092</v>
      </c>
      <c r="I635" s="4" t="n">
        <v>17.4525</v>
      </c>
      <c r="J635" s="4" t="n">
        <v>17.555</v>
      </c>
      <c r="K635" s="4" t="n">
        <v>16.2275</v>
      </c>
      <c r="L635" s="4" t="n">
        <v>17.4875</v>
      </c>
      <c r="M635" s="7" t="n">
        <v>0.002</v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3" t="n">
        <v>3797</v>
      </c>
      <c r="F636" s="8" t="n">
        <v>0.2349</v>
      </c>
      <c r="G636" s="4" t="n">
        <v>51.4284</v>
      </c>
      <c r="H636" s="4" t="n">
        <v>29.0488</v>
      </c>
      <c r="I636" s="4" t="n">
        <v>17.4875</v>
      </c>
      <c r="J636" s="4" t="n">
        <v>17.7625</v>
      </c>
      <c r="K636" s="4" t="n">
        <v>15.5675</v>
      </c>
      <c r="L636" s="4" t="n">
        <v>17.2325</v>
      </c>
      <c r="M636" s="7" t="n">
        <v>-0.0146</v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3" t="n">
        <v>3793</v>
      </c>
      <c r="F637" s="8" t="n">
        <v>0.2474</v>
      </c>
      <c r="G637" s="4" t="n">
        <v>44.4616</v>
      </c>
      <c r="H637" s="4" t="n">
        <v>36.8826</v>
      </c>
      <c r="I637" s="4" t="n">
        <v>17.2325</v>
      </c>
      <c r="J637" s="4" t="n">
        <v>17.4275</v>
      </c>
      <c r="K637" s="4" t="n">
        <v>16.585</v>
      </c>
      <c r="L637" s="4" t="n">
        <v>17.28</v>
      </c>
      <c r="M637" s="7" t="n">
        <v>0.0028</v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3" t="n">
        <v>3721</v>
      </c>
      <c r="F638" s="8" t="n">
        <v>0.1183</v>
      </c>
      <c r="G638" s="4" t="n">
        <v>17.9498</v>
      </c>
      <c r="H638" s="4" t="n">
        <v>10.334</v>
      </c>
      <c r="I638" s="4" t="n">
        <v>17.28</v>
      </c>
      <c r="J638" s="4" t="n">
        <v>17.6725</v>
      </c>
      <c r="K638" s="4" t="n">
        <v>17.07</v>
      </c>
      <c r="L638" s="4" t="n">
        <v>17.4225</v>
      </c>
      <c r="M638" s="7" t="n">
        <v>0.008200000000000001</v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3" t="n">
        <v>3759</v>
      </c>
      <c r="F639" s="8" t="n">
        <v>0.2281</v>
      </c>
      <c r="G639" s="4" t="n">
        <v>58.4995</v>
      </c>
      <c r="H639" s="4" t="n">
        <v>81.2843</v>
      </c>
      <c r="I639" s="4" t="n">
        <v>17.4225</v>
      </c>
      <c r="J639" s="4" t="n">
        <v>17.6175</v>
      </c>
      <c r="K639" s="4" t="n">
        <v>16.49</v>
      </c>
      <c r="L639" s="4" t="n">
        <v>16.88</v>
      </c>
      <c r="M639" s="7" t="n">
        <v>-0.0311</v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3" t="n">
        <v>3828</v>
      </c>
      <c r="F640" s="8" t="n">
        <v>0.2506</v>
      </c>
      <c r="G640" s="4" t="n">
        <v>44.3965</v>
      </c>
      <c r="H640" s="4" t="n">
        <v>33.639</v>
      </c>
      <c r="I640" s="4" t="n">
        <v>16.88</v>
      </c>
      <c r="J640" s="4" t="n">
        <v>17.07</v>
      </c>
      <c r="K640" s="4" t="n">
        <v>14.79</v>
      </c>
      <c r="L640" s="4" t="n">
        <v>16.5975</v>
      </c>
      <c r="M640" s="7" t="n">
        <v>-0.0167</v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3" t="n">
        <v>3827</v>
      </c>
      <c r="F641" s="8" t="n">
        <v>0.2221</v>
      </c>
      <c r="G641" s="4" t="n">
        <v>37.5593</v>
      </c>
      <c r="H641" s="4" t="n">
        <v>31.3228</v>
      </c>
      <c r="I641" s="4" t="n">
        <v>16.5975</v>
      </c>
      <c r="J641" s="4" t="n">
        <v>17.0375</v>
      </c>
      <c r="K641" s="4" t="n">
        <v>15.8475</v>
      </c>
      <c r="L641" s="4" t="n">
        <v>15.9225</v>
      </c>
      <c r="M641" s="7" t="n">
        <v>-0.0407</v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3" t="n">
        <v>3992</v>
      </c>
      <c r="F642" s="8" t="n">
        <v>0.2423</v>
      </c>
      <c r="G642" s="4" t="n">
        <v>41.5342</v>
      </c>
      <c r="H642" s="4" t="n">
        <v>32.2896</v>
      </c>
      <c r="I642" s="4" t="n">
        <v>15.9225</v>
      </c>
      <c r="J642" s="4" t="n">
        <v>16.63</v>
      </c>
      <c r="K642" s="4" t="n">
        <v>15.07</v>
      </c>
      <c r="L642" s="4" t="n">
        <v>15.8025</v>
      </c>
      <c r="M642" s="7" t="n">
        <v>-0.0075</v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3" t="n">
        <v>3847</v>
      </c>
      <c r="F643" s="8" t="n">
        <v>0.2449</v>
      </c>
      <c r="G643" s="4" t="n">
        <v>52.5401</v>
      </c>
      <c r="H643" s="4" t="n">
        <v>73.5968</v>
      </c>
      <c r="I643" s="4" t="n">
        <v>15.8025</v>
      </c>
      <c r="J643" s="4" t="n">
        <v>16.2025</v>
      </c>
      <c r="K643" s="4" t="n">
        <v>15.1075</v>
      </c>
      <c r="L643" s="4" t="n">
        <v>16.13</v>
      </c>
      <c r="M643" s="7" t="n">
        <v>0.0207</v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3" t="n">
        <v>3855</v>
      </c>
      <c r="F644" s="8" t="n">
        <v>0.2235</v>
      </c>
      <c r="G644" s="4" t="n">
        <v>49.5318</v>
      </c>
      <c r="H644" s="4" t="n">
        <v>33.456</v>
      </c>
      <c r="I644" s="4" t="n">
        <v>16.13</v>
      </c>
      <c r="J644" s="4" t="n">
        <v>16.855</v>
      </c>
      <c r="K644" s="4" t="n">
        <v>14.68</v>
      </c>
      <c r="L644" s="4" t="n">
        <v>16.6625</v>
      </c>
      <c r="M644" s="7" t="n">
        <v>0.033</v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3" t="n">
        <v>3835</v>
      </c>
      <c r="F645" s="8" t="n">
        <v>0.2346</v>
      </c>
      <c r="G645" s="4" t="n">
        <v>48.4997</v>
      </c>
      <c r="H645" s="4" t="n">
        <v>67.77670000000001</v>
      </c>
      <c r="I645" s="4" t="n">
        <v>16.6625</v>
      </c>
      <c r="J645" s="4" t="n">
        <v>16.7325</v>
      </c>
      <c r="K645" s="4" t="n">
        <v>14.985</v>
      </c>
      <c r="L645" s="4" t="n">
        <v>15.9425</v>
      </c>
      <c r="M645" s="7" t="n">
        <v>-0.0432</v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3" t="n">
        <v>3841</v>
      </c>
      <c r="F646" s="8" t="n">
        <v>0.2527</v>
      </c>
      <c r="G646" s="4" t="n">
        <v>48.0945</v>
      </c>
      <c r="H646" s="4" t="n">
        <v>37.4197</v>
      </c>
      <c r="I646" s="4" t="n">
        <v>15.9425</v>
      </c>
      <c r="J646" s="4" t="n">
        <v>16.2075</v>
      </c>
      <c r="K646" s="4" t="n">
        <v>15.4825</v>
      </c>
      <c r="L646" s="4" t="n">
        <v>15.655</v>
      </c>
      <c r="M646" s="7" t="n">
        <v>-0.018</v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3" t="n">
        <v>4012</v>
      </c>
      <c r="F647" s="8" t="n">
        <v>0.2818</v>
      </c>
      <c r="G647" s="4" t="n">
        <v>59.935</v>
      </c>
      <c r="H647" s="4" t="n">
        <v>41.8102</v>
      </c>
      <c r="I647" s="4" t="n">
        <v>15.655</v>
      </c>
      <c r="J647" s="4" t="n">
        <v>16.355</v>
      </c>
      <c r="K647" s="4" t="n">
        <v>15.2775</v>
      </c>
      <c r="L647" s="4" t="n">
        <v>15.585</v>
      </c>
      <c r="M647" s="7" t="n">
        <v>-0.0045</v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3" t="n">
        <v>3926</v>
      </c>
      <c r="F648" s="8" t="n">
        <v>0.3014</v>
      </c>
      <c r="G648" s="4" t="n">
        <v>58.4102</v>
      </c>
      <c r="H648" s="4" t="n">
        <v>44.6101</v>
      </c>
      <c r="I648" s="4" t="n">
        <v>15.585</v>
      </c>
      <c r="J648" s="4" t="n">
        <v>16.0675</v>
      </c>
      <c r="K648" s="4" t="n">
        <v>15.0175</v>
      </c>
      <c r="L648" s="4" t="n">
        <v>15.915</v>
      </c>
      <c r="M648" s="7" t="n">
        <v>0.0212</v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3" t="n">
        <v>3857</v>
      </c>
      <c r="F649" s="8" t="n">
        <v>0.2793</v>
      </c>
      <c r="G649" s="4" t="n">
        <v>50.4972</v>
      </c>
      <c r="H649" s="4" t="n">
        <v>43.3302</v>
      </c>
      <c r="I649" s="4" t="n">
        <v>15.915</v>
      </c>
      <c r="J649" s="4" t="n">
        <v>16.2925</v>
      </c>
      <c r="K649" s="4" t="n">
        <v>15.4925</v>
      </c>
      <c r="L649" s="4" t="n">
        <v>15.5675</v>
      </c>
      <c r="M649" s="7" t="n">
        <v>-0.0218</v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3" t="n">
        <v>3879</v>
      </c>
      <c r="F650" s="8" t="n">
        <v>0.3237</v>
      </c>
      <c r="G650" s="4" t="n">
        <v>53.7283</v>
      </c>
      <c r="H650" s="4" t="n">
        <v>57.3893</v>
      </c>
      <c r="I650" s="4" t="n">
        <v>15.5675</v>
      </c>
      <c r="J650" s="4" t="n">
        <v>15.5675</v>
      </c>
      <c r="K650" s="4" t="n">
        <v>14.2775</v>
      </c>
      <c r="L650" s="4" t="n">
        <v>14.405</v>
      </c>
      <c r="M650" s="7" t="n">
        <v>-0.0747</v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3" t="n">
        <v>4065</v>
      </c>
      <c r="F651" s="8" t="n">
        <v>0.2807</v>
      </c>
      <c r="G651" s="4" t="n">
        <v>53.9316</v>
      </c>
      <c r="H651" s="4" t="n">
        <v>65.7071</v>
      </c>
      <c r="I651" s="4" t="n">
        <v>14.405</v>
      </c>
      <c r="J651" s="4" t="n">
        <v>15.27</v>
      </c>
      <c r="K651" s="4" t="n">
        <v>12.555</v>
      </c>
      <c r="L651" s="4" t="n">
        <v>14.91</v>
      </c>
      <c r="M651" s="7" t="n">
        <v>0.0351</v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3" t="n">
        <v>3904</v>
      </c>
      <c r="F652" s="8" t="n">
        <v>0.2448</v>
      </c>
      <c r="G652" s="4" t="n">
        <v>44.0877</v>
      </c>
      <c r="H652" s="4" t="n">
        <v>40.8428</v>
      </c>
      <c r="I652" s="4" t="n">
        <v>14.91</v>
      </c>
      <c r="J652" s="4" t="n">
        <v>15.015</v>
      </c>
      <c r="K652" s="4" t="n">
        <v>13.8275</v>
      </c>
      <c r="L652" s="4" t="n">
        <v>14.635</v>
      </c>
      <c r="M652" s="7" t="n">
        <v>-0.0184</v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3" t="n">
        <v>3906</v>
      </c>
      <c r="F653" s="8" t="n">
        <v>0.2908</v>
      </c>
      <c r="G653" s="4" t="n">
        <v>55.4192</v>
      </c>
      <c r="H653" s="4" t="n">
        <v>43.6466</v>
      </c>
      <c r="I653" s="4" t="n">
        <v>14.635</v>
      </c>
      <c r="J653" s="4" t="n">
        <v>15.5325</v>
      </c>
      <c r="K653" s="4" t="n">
        <v>13.9275</v>
      </c>
      <c r="L653" s="4" t="n">
        <v>15.1</v>
      </c>
      <c r="M653" s="7" t="n">
        <v>0.0318</v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3" t="n">
        <v>3868</v>
      </c>
      <c r="F654" s="8" t="n">
        <v>0.2538</v>
      </c>
      <c r="G654" s="4" t="n">
        <v>50.3248</v>
      </c>
      <c r="H654" s="4" t="n">
        <v>44.541</v>
      </c>
      <c r="I654" s="4" t="n">
        <v>15.1</v>
      </c>
      <c r="J654" s="4" t="n">
        <v>16.2625</v>
      </c>
      <c r="K654" s="4" t="n">
        <v>13.09</v>
      </c>
      <c r="L654" s="4" t="n">
        <v>14.8775</v>
      </c>
      <c r="M654" s="7" t="n">
        <v>-0.0147</v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3" t="n">
        <v>3885</v>
      </c>
      <c r="F655" s="8" t="n">
        <v>0.2492</v>
      </c>
      <c r="G655" s="4" t="n">
        <v>44.6364</v>
      </c>
      <c r="H655" s="4" t="n">
        <v>37.9764</v>
      </c>
      <c r="I655" s="4" t="n">
        <v>14.8775</v>
      </c>
      <c r="J655" s="4" t="n">
        <v>15.6925</v>
      </c>
      <c r="K655" s="4" t="n">
        <v>13.86</v>
      </c>
      <c r="L655" s="4" t="n">
        <v>14.39</v>
      </c>
      <c r="M655" s="7" t="n">
        <v>-0.0328</v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3" t="n">
        <v>4065</v>
      </c>
      <c r="F656" s="8" t="n">
        <v>0.2407</v>
      </c>
      <c r="G656" s="4" t="n">
        <v>47.671</v>
      </c>
      <c r="H656" s="4" t="n">
        <v>30.308</v>
      </c>
      <c r="I656" s="4" t="n">
        <v>14.39</v>
      </c>
      <c r="J656" s="4" t="n">
        <v>15.5475</v>
      </c>
      <c r="K656" s="4" t="n">
        <v>13.3625</v>
      </c>
      <c r="L656" s="4" t="n">
        <v>14.7975</v>
      </c>
      <c r="M656" s="7" t="n">
        <v>0.0283</v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3" t="n">
        <v>3879</v>
      </c>
      <c r="F657" s="8" t="n">
        <v>0.2227</v>
      </c>
      <c r="G657" s="4" t="n">
        <v>50.2027</v>
      </c>
      <c r="H657" s="4" t="n">
        <v>35.7714</v>
      </c>
      <c r="I657" s="4" t="n">
        <v>14.7975</v>
      </c>
      <c r="J657" s="4" t="n">
        <v>16.2725</v>
      </c>
      <c r="K657" s="4" t="n">
        <v>13.32</v>
      </c>
      <c r="L657" s="4" t="n">
        <v>13.8425</v>
      </c>
      <c r="M657" s="7" t="n">
        <v>-0.0645</v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3" t="n">
        <v>3887</v>
      </c>
      <c r="F658" s="8" t="n">
        <v>0.2414</v>
      </c>
      <c r="G658" s="4" t="n">
        <v>46.9875</v>
      </c>
      <c r="H658" s="4" t="n">
        <v>36.0743</v>
      </c>
      <c r="I658" s="4" t="n">
        <v>13.8425</v>
      </c>
      <c r="J658" s="4" t="n">
        <v>14.3275</v>
      </c>
      <c r="K658" s="4" t="n">
        <v>11.875</v>
      </c>
      <c r="L658" s="4" t="n">
        <v>14.0425</v>
      </c>
      <c r="M658" s="7" t="n">
        <v>0.0144</v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3" t="n">
        <v>3922</v>
      </c>
      <c r="F659" s="8" t="n">
        <v>0.2471</v>
      </c>
      <c r="G659" s="4" t="n">
        <v>49.8812</v>
      </c>
      <c r="H659" s="4" t="n">
        <v>37.0388</v>
      </c>
      <c r="I659" s="4" t="n">
        <v>14.0425</v>
      </c>
      <c r="J659" s="4" t="n">
        <v>14.0425</v>
      </c>
      <c r="K659" s="4" t="n">
        <v>12.9975</v>
      </c>
      <c r="L659" s="4" t="n">
        <v>13.4775</v>
      </c>
      <c r="M659" s="7" t="n">
        <v>-0.0402</v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3" t="n">
        <v>3903</v>
      </c>
      <c r="F660" s="8" t="n">
        <v>0.266</v>
      </c>
      <c r="G660" s="4" t="n">
        <v>64.26260000000001</v>
      </c>
      <c r="H660" s="4" t="n">
        <v>36.4981</v>
      </c>
      <c r="I660" s="4" t="n">
        <v>13.4775</v>
      </c>
      <c r="J660" s="4" t="n">
        <v>15.7725</v>
      </c>
      <c r="K660" s="4" t="n">
        <v>12.7725</v>
      </c>
      <c r="L660" s="4" t="n">
        <v>13.3325</v>
      </c>
      <c r="M660" s="7" t="n">
        <v>-0.0108</v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3" t="n">
        <v>4110</v>
      </c>
      <c r="F661" s="8" t="n">
        <v>0.2659</v>
      </c>
      <c r="G661" s="4" t="n">
        <v>56.8789</v>
      </c>
      <c r="H661" s="4" t="n">
        <v>36.3678</v>
      </c>
      <c r="I661" s="4" t="n">
        <v>13.3325</v>
      </c>
      <c r="J661" s="4" t="n">
        <v>14.0575</v>
      </c>
      <c r="K661" s="4" t="n">
        <v>12.41</v>
      </c>
      <c r="L661" s="4" t="n">
        <v>13.565</v>
      </c>
      <c r="M661" s="7" t="n">
        <v>0.0174</v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3" t="n">
        <v>3911</v>
      </c>
      <c r="F662" s="8" t="n">
        <v>0.2693</v>
      </c>
      <c r="G662" s="4" t="n">
        <v>63.4745</v>
      </c>
      <c r="H662" s="4" t="n">
        <v>35.6841</v>
      </c>
      <c r="I662" s="4" t="n">
        <v>13.565</v>
      </c>
      <c r="J662" s="4" t="n">
        <v>14.62</v>
      </c>
      <c r="K662" s="4" t="n">
        <v>12.4075</v>
      </c>
      <c r="L662" s="4" t="n">
        <v>13.615</v>
      </c>
      <c r="M662" s="7" t="n">
        <v>0.0037</v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3" t="n">
        <v>3867</v>
      </c>
      <c r="F663" s="8" t="n">
        <v>0.2554</v>
      </c>
      <c r="G663" s="4" t="n">
        <v>58.2815</v>
      </c>
      <c r="H663" s="4" t="n">
        <v>36.9804</v>
      </c>
      <c r="I663" s="4" t="n">
        <v>13.615</v>
      </c>
      <c r="J663" s="4" t="n">
        <v>14.05</v>
      </c>
      <c r="K663" s="4" t="n">
        <v>12.7525</v>
      </c>
      <c r="L663" s="4" t="n">
        <v>13.8075</v>
      </c>
      <c r="M663" s="7" t="n">
        <v>0.0141</v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3" t="n">
        <v>3904</v>
      </c>
      <c r="F664" s="8" t="n">
        <v>0.2551</v>
      </c>
      <c r="G664" s="4" t="n">
        <v>52.3531</v>
      </c>
      <c r="H664" s="4" t="n">
        <v>38.1676</v>
      </c>
      <c r="I664" s="4" t="n">
        <v>13.8075</v>
      </c>
      <c r="J664" s="4" t="n">
        <v>14.23</v>
      </c>
      <c r="K664" s="4" t="n">
        <v>12.985</v>
      </c>
      <c r="L664" s="4" t="n">
        <v>13.36</v>
      </c>
      <c r="M664" s="7" t="n">
        <v>-0.0324</v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3" t="n">
        <v>3885</v>
      </c>
      <c r="F665" s="8" t="n">
        <v>0.244</v>
      </c>
      <c r="G665" s="4" t="n">
        <v>58.1683</v>
      </c>
      <c r="H665" s="4" t="n">
        <v>38.0004</v>
      </c>
      <c r="I665" s="4" t="n">
        <v>13.36</v>
      </c>
      <c r="J665" s="4" t="n">
        <v>14.0925</v>
      </c>
      <c r="K665" s="4" t="n">
        <v>12.96</v>
      </c>
      <c r="L665" s="4" t="n">
        <v>13.45</v>
      </c>
      <c r="M665" s="7" t="n">
        <v>0.0067</v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3" t="n">
        <v>4066</v>
      </c>
      <c r="F666" s="8" t="n">
        <v>0.2844</v>
      </c>
      <c r="G666" s="4" t="n">
        <v>75.3047</v>
      </c>
      <c r="H666" s="4" t="n">
        <v>41.984</v>
      </c>
      <c r="I666" s="4" t="n">
        <v>13.45</v>
      </c>
      <c r="J666" s="4" t="n">
        <v>14.4175</v>
      </c>
      <c r="K666" s="4" t="n">
        <v>13.45</v>
      </c>
      <c r="L666" s="4" t="n">
        <v>13.7325</v>
      </c>
      <c r="M666" s="7" t="n">
        <v>0.021</v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3" t="n">
        <v>3905</v>
      </c>
      <c r="F667" s="8" t="n">
        <v>0.2511</v>
      </c>
      <c r="G667" s="4" t="n">
        <v>62.946</v>
      </c>
      <c r="H667" s="4" t="n">
        <v>39.2554</v>
      </c>
      <c r="I667" s="4" t="n">
        <v>13.7325</v>
      </c>
      <c r="J667" s="4" t="n">
        <v>14.2525</v>
      </c>
      <c r="K667" s="4" t="n">
        <v>12.18</v>
      </c>
      <c r="L667" s="4" t="n">
        <v>14.0425</v>
      </c>
      <c r="M667" s="7" t="n">
        <v>0.0226</v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3" t="n">
        <v>3931</v>
      </c>
      <c r="F668" s="8" t="n">
        <v>0.2527</v>
      </c>
      <c r="G668" s="4" t="n">
        <v>64.4186</v>
      </c>
      <c r="H668" s="4" t="n">
        <v>33.1616</v>
      </c>
      <c r="I668" s="4" t="n">
        <v>14.0425</v>
      </c>
      <c r="J668" s="4" t="n">
        <v>14.4625</v>
      </c>
      <c r="K668" s="4" t="n">
        <v>13.795</v>
      </c>
      <c r="L668" s="4" t="n">
        <v>14.0775</v>
      </c>
      <c r="M668" s="7" t="n">
        <v>0.0025</v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3" t="n">
        <v>3882</v>
      </c>
      <c r="F669" s="8" t="n">
        <v>0.2465</v>
      </c>
      <c r="G669" s="4" t="n">
        <v>60.6422</v>
      </c>
      <c r="H669" s="4" t="n">
        <v>53.7846</v>
      </c>
      <c r="I669" s="4" t="n">
        <v>14.0775</v>
      </c>
      <c r="J669" s="4" t="n">
        <v>14.89</v>
      </c>
      <c r="K669" s="4" t="n">
        <v>13.26</v>
      </c>
      <c r="L669" s="4" t="n">
        <v>13.3975</v>
      </c>
      <c r="M669" s="7" t="n">
        <v>-0.0483</v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3" t="n">
        <v>3927</v>
      </c>
      <c r="F670" s="8" t="n">
        <v>0.3057</v>
      </c>
      <c r="G670" s="4" t="n">
        <v>87.33320000000001</v>
      </c>
      <c r="H670" s="4" t="n">
        <v>41.6717</v>
      </c>
      <c r="I670" s="4" t="n">
        <v>13.3975</v>
      </c>
      <c r="J670" s="4" t="n">
        <v>13.9625</v>
      </c>
      <c r="K670" s="4" t="n">
        <v>11.9125</v>
      </c>
      <c r="L670" s="4" t="n">
        <v>13.4775</v>
      </c>
      <c r="M670" s="7" t="n">
        <v>0.006</v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3" t="n">
        <v>4048</v>
      </c>
      <c r="F671" s="8" t="n">
        <v>0.2678</v>
      </c>
      <c r="G671" s="4" t="n">
        <v>72.9028</v>
      </c>
      <c r="H671" s="4" t="n">
        <v>34.1286</v>
      </c>
      <c r="I671" s="4" t="n">
        <v>13.4775</v>
      </c>
      <c r="J671" s="4" t="n">
        <v>14.15</v>
      </c>
      <c r="K671" s="4" t="n">
        <v>12.5275</v>
      </c>
      <c r="L671" s="4" t="n">
        <v>13.3175</v>
      </c>
      <c r="M671" s="7" t="n">
        <v>-0.0119</v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3" t="n">
        <v>3913</v>
      </c>
      <c r="F672" s="8" t="n">
        <v>0.2537</v>
      </c>
      <c r="G672" s="4" t="n">
        <v>75.1056</v>
      </c>
      <c r="H672" s="4" t="n">
        <v>47.5008</v>
      </c>
      <c r="I672" s="4" t="n">
        <v>13.3175</v>
      </c>
      <c r="J672" s="4" t="n">
        <v>13.5775</v>
      </c>
      <c r="K672" s="4" t="n">
        <v>11.4325</v>
      </c>
      <c r="L672" s="4" t="n">
        <v>12.8825</v>
      </c>
      <c r="M672" s="7" t="n">
        <v>-0.0327</v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3" t="n">
        <v>3958</v>
      </c>
      <c r="F673" s="8" t="n">
        <v>0.2952</v>
      </c>
      <c r="G673" s="4" t="n">
        <v>113.8943</v>
      </c>
      <c r="H673" s="4" t="n">
        <v>42.9135</v>
      </c>
      <c r="I673" s="4" t="n">
        <v>12.8825</v>
      </c>
      <c r="J673" s="4" t="n">
        <v>13.0825</v>
      </c>
      <c r="K673" s="4" t="n">
        <v>11.5275</v>
      </c>
      <c r="L673" s="4" t="n">
        <v>12.885</v>
      </c>
      <c r="M673" s="7" t="n">
        <v>0.0002</v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3" t="n">
        <v>3941</v>
      </c>
      <c r="F674" s="8" t="n">
        <v>0.2736</v>
      </c>
      <c r="G674" s="4" t="n">
        <v>90.0718</v>
      </c>
      <c r="H674" s="4" t="n">
        <v>53.0292</v>
      </c>
      <c r="I674" s="4" t="n">
        <v>12.885</v>
      </c>
      <c r="J674" s="4" t="n">
        <v>13.8825</v>
      </c>
      <c r="K674" s="4" t="n">
        <v>12.5875</v>
      </c>
      <c r="L674" s="4" t="n">
        <v>13.7325</v>
      </c>
      <c r="M674" s="7" t="n">
        <v>0.0658</v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3" t="n">
        <v>3915</v>
      </c>
      <c r="F675" s="8" t="n">
        <v>0.3125</v>
      </c>
      <c r="G675" s="4" t="n">
        <v>74.1746</v>
      </c>
      <c r="H675" s="4" t="n">
        <v>41.3075</v>
      </c>
      <c r="I675" s="4" t="n">
        <v>13.7325</v>
      </c>
      <c r="J675" s="4" t="n">
        <v>14.22</v>
      </c>
      <c r="K675" s="4" t="n">
        <v>12.4925</v>
      </c>
      <c r="L675" s="4" t="n">
        <v>14.07</v>
      </c>
      <c r="M675" s="7" t="n">
        <v>0.0246</v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3" t="n">
        <v>4052</v>
      </c>
      <c r="F676" s="8" t="n">
        <v>0.2799</v>
      </c>
      <c r="G676" s="4" t="n">
        <v>77.86490000000001</v>
      </c>
      <c r="H676" s="4" t="n">
        <v>34.4419</v>
      </c>
      <c r="I676" s="4" t="n">
        <v>14.07</v>
      </c>
      <c r="J676" s="4" t="n">
        <v>14.4875</v>
      </c>
      <c r="K676" s="4" t="n">
        <v>13.5</v>
      </c>
      <c r="L676" s="4" t="n">
        <v>13.5525</v>
      </c>
      <c r="M676" s="7" t="n">
        <v>-0.0368</v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3" t="n">
        <v>3909</v>
      </c>
      <c r="F677" s="8" t="n">
        <v>0.2703</v>
      </c>
      <c r="G677" s="4" t="n">
        <v>69.2017</v>
      </c>
      <c r="H677" s="4" t="n">
        <v>43.7445</v>
      </c>
      <c r="I677" s="4" t="n">
        <v>13.5525</v>
      </c>
      <c r="J677" s="4" t="n">
        <v>14.9225</v>
      </c>
      <c r="K677" s="4" t="n">
        <v>13.04</v>
      </c>
      <c r="L677" s="4" t="n">
        <v>13.78</v>
      </c>
      <c r="M677" s="7" t="n">
        <v>0.0168</v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3" t="n">
        <v>3921</v>
      </c>
      <c r="F678" s="8" t="n">
        <v>0.3574</v>
      </c>
      <c r="G678" s="4" t="n">
        <v>91.14570000000001</v>
      </c>
      <c r="H678" s="4" t="n">
        <v>43.5381</v>
      </c>
      <c r="I678" s="4" t="n">
        <v>13.78</v>
      </c>
      <c r="J678" s="4" t="n">
        <v>16.01</v>
      </c>
      <c r="K678" s="4" t="n">
        <v>12.4625</v>
      </c>
      <c r="L678" s="4" t="n">
        <v>15.5625</v>
      </c>
      <c r="M678" s="7" t="n">
        <v>0.1294</v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3" t="n">
        <v>3918</v>
      </c>
      <c r="F679" s="8" t="n">
        <v>0.3745</v>
      </c>
      <c r="G679" s="4" t="n">
        <v>86.4319</v>
      </c>
      <c r="H679" s="4" t="n">
        <v>43.4801</v>
      </c>
      <c r="I679" s="4" t="n">
        <v>15.5625</v>
      </c>
      <c r="J679" s="4" t="n">
        <v>16.3</v>
      </c>
      <c r="K679" s="4" t="n">
        <v>14.44</v>
      </c>
      <c r="L679" s="4" t="n">
        <v>15.1875</v>
      </c>
      <c r="M679" s="7" t="n">
        <v>-0.0241</v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3" t="n">
        <v>3992</v>
      </c>
      <c r="F680" s="8" t="n">
        <v>0.4099</v>
      </c>
      <c r="G680" s="4" t="n">
        <v>79.1998</v>
      </c>
      <c r="H680" s="4" t="n">
        <v>43.983</v>
      </c>
      <c r="I680" s="4" t="n">
        <v>15.1875</v>
      </c>
      <c r="J680" s="4" t="n">
        <v>16.48</v>
      </c>
      <c r="K680" s="4" t="n">
        <v>14.4825</v>
      </c>
      <c r="L680" s="4" t="n">
        <v>16.16</v>
      </c>
      <c r="M680" s="7" t="n">
        <v>0.064</v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3" t="n">
        <v>4039</v>
      </c>
      <c r="F681" s="8" t="n">
        <v>0.2976</v>
      </c>
      <c r="G681" s="4" t="n">
        <v>70.9572</v>
      </c>
      <c r="H681" s="4" t="n">
        <v>35.1178</v>
      </c>
      <c r="I681" s="4" t="n">
        <v>16.16</v>
      </c>
      <c r="J681" s="4" t="n">
        <v>17.23</v>
      </c>
      <c r="K681" s="4" t="n">
        <v>14.3075</v>
      </c>
      <c r="L681" s="4" t="n">
        <v>15.9325</v>
      </c>
      <c r="M681" s="7" t="n">
        <v>-0.0141</v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3" t="n">
        <v>3890</v>
      </c>
      <c r="F682" s="8" t="n">
        <v>0.255</v>
      </c>
      <c r="G682" s="4" t="n">
        <v>57.4769</v>
      </c>
      <c r="H682" s="4" t="n">
        <v>31.7623</v>
      </c>
      <c r="I682" s="4" t="n">
        <v>15.9325</v>
      </c>
      <c r="J682" s="4" t="n">
        <v>16.1325</v>
      </c>
      <c r="K682" s="4" t="n">
        <v>14.925</v>
      </c>
      <c r="L682" s="4" t="n">
        <v>15.29</v>
      </c>
      <c r="M682" s="7" t="n">
        <v>-0.0403</v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3" t="n">
        <v>3877</v>
      </c>
      <c r="F683" s="8" t="n">
        <v>0.224</v>
      </c>
      <c r="G683" s="4" t="n">
        <v>53.1657</v>
      </c>
      <c r="H683" s="4" t="n">
        <v>29.9388</v>
      </c>
      <c r="I683" s="4" t="n">
        <v>15.29</v>
      </c>
      <c r="J683" s="4" t="n">
        <v>15.6475</v>
      </c>
      <c r="K683" s="4" t="n">
        <v>15.2725</v>
      </c>
      <c r="L683" s="4" t="n">
        <v>15.395</v>
      </c>
      <c r="M683" s="7" t="n">
        <v>0.0069</v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3" t="n">
        <v>3907</v>
      </c>
      <c r="F684" s="8" t="n">
        <v>0.2241</v>
      </c>
      <c r="G684" s="4" t="n">
        <v>47.2292</v>
      </c>
      <c r="H684" s="4" t="n">
        <v>27.3564</v>
      </c>
      <c r="I684" s="4" t="n">
        <v>15.395</v>
      </c>
      <c r="J684" s="4" t="n">
        <v>15.77</v>
      </c>
      <c r="K684" s="4" t="n">
        <v>14.71</v>
      </c>
      <c r="L684" s="4" t="n">
        <v>14.8125</v>
      </c>
      <c r="M684" s="7" t="n">
        <v>-0.0378</v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3" t="n">
        <v>3871</v>
      </c>
      <c r="F685" s="8" t="n">
        <v>0.2297</v>
      </c>
      <c r="G685" s="4" t="n">
        <v>58.1184</v>
      </c>
      <c r="H685" s="4" t="n">
        <v>29.6256</v>
      </c>
      <c r="I685" s="4" t="n">
        <v>14.8125</v>
      </c>
      <c r="J685" s="4" t="n">
        <v>15.115</v>
      </c>
      <c r="K685" s="4" t="n">
        <v>14.2825</v>
      </c>
      <c r="L685" s="4" t="n">
        <v>14.8675</v>
      </c>
      <c r="M685" s="7" t="n">
        <v>0.0037</v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3" t="n">
        <v>4068</v>
      </c>
      <c r="F686" s="8" t="n">
        <v>0.2464</v>
      </c>
      <c r="G686" s="4" t="n">
        <v>60.6261</v>
      </c>
      <c r="H686" s="4" t="n">
        <v>33.9527</v>
      </c>
      <c r="I686" s="4" t="n">
        <v>14.8675</v>
      </c>
      <c r="J686" s="4" t="n">
        <v>15.4525</v>
      </c>
      <c r="K686" s="4" t="n">
        <v>14.5675</v>
      </c>
      <c r="L686" s="4" t="n">
        <v>14.685</v>
      </c>
      <c r="M686" s="7" t="n">
        <v>-0.0123</v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3" t="n">
        <v>3954</v>
      </c>
      <c r="F687" s="8" t="n">
        <v>0.2081</v>
      </c>
      <c r="G687" s="4" t="n">
        <v>60.8473</v>
      </c>
      <c r="H687" s="4" t="n">
        <v>28.7269</v>
      </c>
      <c r="I687" s="4" t="n">
        <v>14.685</v>
      </c>
      <c r="J687" s="4" t="n">
        <v>14.99</v>
      </c>
      <c r="K687" s="4" t="n">
        <v>14.305</v>
      </c>
      <c r="L687" s="4" t="n">
        <v>14.385</v>
      </c>
      <c r="M687" s="7" t="n">
        <v>-0.0204</v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3" t="n">
        <v>3900</v>
      </c>
      <c r="F688" s="8" t="n">
        <v>0.2432</v>
      </c>
      <c r="G688" s="4" t="n">
        <v>59.8694</v>
      </c>
      <c r="H688" s="4" t="n">
        <v>30.8514</v>
      </c>
      <c r="I688" s="4" t="n">
        <v>14.385</v>
      </c>
      <c r="J688" s="4" t="n">
        <v>15.6825</v>
      </c>
      <c r="K688" s="4" t="n">
        <v>14.33</v>
      </c>
      <c r="L688" s="4" t="n">
        <v>15.1975</v>
      </c>
      <c r="M688" s="7" t="n">
        <v>0.0565</v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3" t="n">
        <v>3916</v>
      </c>
      <c r="F689" s="8" t="n">
        <v>0.2374</v>
      </c>
      <c r="G689" s="4" t="n">
        <v>74.6816</v>
      </c>
      <c r="H689" s="4" t="n">
        <v>33.7772</v>
      </c>
      <c r="I689" s="4" t="n">
        <v>15.1975</v>
      </c>
      <c r="J689" s="4" t="n">
        <v>15.6</v>
      </c>
      <c r="K689" s="4" t="n">
        <v>14.8125</v>
      </c>
      <c r="L689" s="4" t="n">
        <v>14.9825</v>
      </c>
      <c r="M689" s="7" t="n">
        <v>-0.0141</v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3" t="n">
        <v>3931</v>
      </c>
      <c r="F690" s="8" t="n">
        <v>0.2349</v>
      </c>
      <c r="G690" s="4" t="n">
        <v>52.8658</v>
      </c>
      <c r="H690" s="4" t="n">
        <v>31.4471</v>
      </c>
      <c r="I690" s="4" t="n">
        <v>14.9825</v>
      </c>
      <c r="J690" s="4" t="n">
        <v>15.4375</v>
      </c>
      <c r="K690" s="4" t="n">
        <v>14.6225</v>
      </c>
      <c r="L690" s="4" t="n">
        <v>15.025</v>
      </c>
      <c r="M690" s="7" t="n">
        <v>0.0028</v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3" t="n">
        <v>4072</v>
      </c>
      <c r="F691" s="8" t="n">
        <v>0.217</v>
      </c>
      <c r="G691" s="4" t="n">
        <v>60.3678</v>
      </c>
      <c r="H691" s="4" t="n">
        <v>29.4863</v>
      </c>
      <c r="I691" s="4" t="n">
        <v>15.025</v>
      </c>
      <c r="J691" s="4" t="n">
        <v>15.3775</v>
      </c>
      <c r="K691" s="4" t="n">
        <v>14.53</v>
      </c>
      <c r="L691" s="4" t="n">
        <v>14.6525</v>
      </c>
      <c r="M691" s="7" t="n">
        <v>-0.0248</v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3" t="n">
        <v>3930</v>
      </c>
      <c r="F692" s="8" t="n">
        <v>0.202</v>
      </c>
      <c r="G692" s="4" t="n">
        <v>42.0556</v>
      </c>
      <c r="H692" s="4" t="n">
        <v>26.1953</v>
      </c>
      <c r="I692" s="4" t="n">
        <v>14.6525</v>
      </c>
      <c r="J692" s="4" t="n">
        <v>15.935</v>
      </c>
      <c r="K692" s="4" t="n">
        <v>14.5625</v>
      </c>
      <c r="L692" s="4" t="n">
        <v>15.51</v>
      </c>
      <c r="M692" s="7" t="n">
        <v>0.0585</v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3" t="n">
        <v>3894</v>
      </c>
      <c r="F693" s="8" t="n">
        <v>0.2115</v>
      </c>
      <c r="G693" s="4" t="n">
        <v>47.3359</v>
      </c>
      <c r="H693" s="4" t="n">
        <v>29.4771</v>
      </c>
      <c r="I693" s="4" t="n">
        <v>15.51</v>
      </c>
      <c r="J693" s="4" t="n">
        <v>16.225</v>
      </c>
      <c r="K693" s="4" t="n">
        <v>15.115</v>
      </c>
      <c r="L693" s="4" t="n">
        <v>15.435</v>
      </c>
      <c r="M693" s="7" t="n">
        <v>-0.0048</v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3" t="n">
        <v>3913</v>
      </c>
      <c r="F694" s="8" t="n">
        <v>0.219</v>
      </c>
      <c r="G694" s="4" t="n">
        <v>46.1892</v>
      </c>
      <c r="H694" s="4" t="n">
        <v>26.4972</v>
      </c>
      <c r="I694" s="4" t="n">
        <v>15.435</v>
      </c>
      <c r="J694" s="4" t="n">
        <v>16.0425</v>
      </c>
      <c r="K694" s="4" t="n">
        <v>14.4175</v>
      </c>
      <c r="L694" s="4" t="n">
        <v>15.275</v>
      </c>
      <c r="M694" s="7" t="n">
        <v>-0.0104</v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3" t="n">
        <v>3901</v>
      </c>
      <c r="F695" s="8" t="n">
        <v>0.2155</v>
      </c>
      <c r="G695" s="4" t="n">
        <v>76.4456</v>
      </c>
      <c r="H695" s="4" t="n">
        <v>38.911</v>
      </c>
      <c r="I695" s="4" t="n">
        <v>15.275</v>
      </c>
      <c r="J695" s="4" t="n">
        <v>15.6025</v>
      </c>
      <c r="K695" s="4" t="n">
        <v>14.395</v>
      </c>
      <c r="L695" s="4" t="n">
        <v>14.46</v>
      </c>
      <c r="M695" s="7" t="n">
        <v>-0.0534</v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3" t="n">
        <v>4037</v>
      </c>
      <c r="F696" s="8" t="n">
        <v>0.2196</v>
      </c>
      <c r="G696" s="4" t="n">
        <v>67.4633</v>
      </c>
      <c r="H696" s="4" t="n">
        <v>30.525</v>
      </c>
      <c r="I696" s="4" t="n">
        <v>14.46</v>
      </c>
      <c r="J696" s="4" t="n">
        <v>15.3625</v>
      </c>
      <c r="K696" s="4" t="n">
        <v>14.46</v>
      </c>
      <c r="L696" s="4" t="n">
        <v>15.0225</v>
      </c>
      <c r="M696" s="7" t="n">
        <v>0.0389</v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3" t="n">
        <v>3907</v>
      </c>
      <c r="F697" s="8" t="n">
        <v>0.2081</v>
      </c>
      <c r="G697" s="4" t="n">
        <v>130.5358</v>
      </c>
      <c r="H697" s="4" t="n">
        <v>42.4638</v>
      </c>
      <c r="I697" s="4" t="n">
        <v>15.0225</v>
      </c>
      <c r="J697" s="4" t="n">
        <v>15.31</v>
      </c>
      <c r="K697" s="4" t="n">
        <v>13.84</v>
      </c>
      <c r="L697" s="4" t="n">
        <v>14.59</v>
      </c>
      <c r="M697" s="7" t="n">
        <v>-0.0288</v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3" t="n">
        <v>3901</v>
      </c>
      <c r="F698" s="8" t="n">
        <v>0.1972</v>
      </c>
      <c r="G698" s="4" t="n">
        <v>49.0982</v>
      </c>
      <c r="H698" s="4" t="n">
        <v>27.2007</v>
      </c>
      <c r="I698" s="4" t="n">
        <v>14.59</v>
      </c>
      <c r="J698" s="4" t="n">
        <v>14.75</v>
      </c>
      <c r="K698" s="4" t="n">
        <v>12.4725</v>
      </c>
      <c r="L698" s="4" t="n">
        <v>14.3725</v>
      </c>
      <c r="M698" s="7" t="n">
        <v>-0.0149</v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3" t="n">
        <v>3881</v>
      </c>
      <c r="F699" s="8" t="n">
        <v>0.2024</v>
      </c>
      <c r="G699" s="4" t="n">
        <v>121.2114</v>
      </c>
      <c r="H699" s="4" t="n">
        <v>29.925</v>
      </c>
      <c r="I699" s="4" t="n">
        <v>14.3725</v>
      </c>
      <c r="J699" s="4" t="n">
        <v>14.8325</v>
      </c>
      <c r="K699" s="4" t="n">
        <v>13.8925</v>
      </c>
      <c r="L699" s="4" t="n">
        <v>13.96</v>
      </c>
      <c r="M699" s="7" t="n">
        <v>-0.0287</v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3" t="n">
        <v>3904</v>
      </c>
      <c r="F700" s="8" t="n">
        <v>0.2119</v>
      </c>
      <c r="G700" s="4" t="n">
        <v>49.9781</v>
      </c>
      <c r="H700" s="4" t="n">
        <v>26.9129</v>
      </c>
      <c r="I700" s="4" t="n">
        <v>13.96</v>
      </c>
      <c r="J700" s="4" t="n">
        <v>14.185</v>
      </c>
      <c r="K700" s="4" t="n">
        <v>11.6425</v>
      </c>
      <c r="L700" s="4" t="n">
        <v>13.7875</v>
      </c>
      <c r="M700" s="7" t="n">
        <v>-0.0124</v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3" t="n">
        <v>4092</v>
      </c>
      <c r="F701" s="8" t="n">
        <v>0.2331</v>
      </c>
      <c r="G701" s="4" t="n">
        <v>55.5734</v>
      </c>
      <c r="H701" s="4" t="n">
        <v>27.2595</v>
      </c>
      <c r="I701" s="4" t="n">
        <v>13.7875</v>
      </c>
      <c r="J701" s="4" t="n">
        <v>14.26</v>
      </c>
      <c r="K701" s="4" t="n">
        <v>13.48</v>
      </c>
      <c r="L701" s="4" t="n">
        <v>13.6175</v>
      </c>
      <c r="M701" s="7" t="n">
        <v>-0.0123</v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3" t="n">
        <v>3920</v>
      </c>
      <c r="F702" s="8" t="n">
        <v>0.2157</v>
      </c>
      <c r="G702" s="4" t="n">
        <v>41.24</v>
      </c>
      <c r="H702" s="4" t="n">
        <v>29.4749</v>
      </c>
      <c r="I702" s="4" t="n">
        <v>13.6175</v>
      </c>
      <c r="J702" s="4" t="n">
        <v>13.81</v>
      </c>
      <c r="K702" s="4" t="n">
        <v>13.3</v>
      </c>
      <c r="L702" s="4" t="n">
        <v>13.6575</v>
      </c>
      <c r="M702" s="7" t="n">
        <v>0.0029</v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3" t="n">
        <v>3890</v>
      </c>
      <c r="F703" s="8" t="n">
        <v>0.2321</v>
      </c>
      <c r="G703" s="4" t="n">
        <v>45.0123</v>
      </c>
      <c r="H703" s="4" t="n">
        <v>28.9844</v>
      </c>
      <c r="I703" s="4" t="n">
        <v>13.6575</v>
      </c>
      <c r="J703" s="4" t="n">
        <v>15.4225</v>
      </c>
      <c r="K703" s="4" t="n">
        <v>13.5175</v>
      </c>
      <c r="L703" s="4" t="n">
        <v>14.655</v>
      </c>
      <c r="M703" s="7" t="n">
        <v>0.073</v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3" t="n">
        <v>3909</v>
      </c>
      <c r="F704" s="8" t="n">
        <v>0.375</v>
      </c>
      <c r="G704" s="4" t="n">
        <v>59.2033</v>
      </c>
      <c r="H704" s="4" t="n">
        <v>46.9995</v>
      </c>
      <c r="I704" s="4" t="n">
        <v>14.655</v>
      </c>
      <c r="J704" s="4" t="n">
        <v>18.0125</v>
      </c>
      <c r="K704" s="4" t="n">
        <v>14.5825</v>
      </c>
      <c r="L704" s="4" t="n">
        <v>17.32</v>
      </c>
      <c r="M704" s="7" t="n">
        <v>0.1818</v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3" t="n">
        <v>4051</v>
      </c>
      <c r="F705" s="8" t="n">
        <v>0.3143</v>
      </c>
      <c r="G705" s="4" t="n">
        <v>52.475</v>
      </c>
      <c r="H705" s="4" t="n">
        <v>48.3435</v>
      </c>
      <c r="I705" s="4" t="n">
        <v>17.32</v>
      </c>
      <c r="J705" s="4" t="n">
        <v>19.39</v>
      </c>
      <c r="K705" s="4" t="n">
        <v>17.29</v>
      </c>
      <c r="L705" s="4" t="n">
        <v>17.71</v>
      </c>
      <c r="M705" s="7" t="n">
        <v>0.0225</v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3" t="n">
        <v>3897</v>
      </c>
      <c r="F706" s="8" t="n">
        <v>0.2704</v>
      </c>
      <c r="G706" s="4" t="n">
        <v>46.8169</v>
      </c>
      <c r="H706" s="4" t="n">
        <v>33.6222</v>
      </c>
      <c r="I706" s="4" t="n">
        <v>17.71</v>
      </c>
      <c r="J706" s="4" t="n">
        <v>18.3675</v>
      </c>
      <c r="K706" s="4" t="n">
        <v>16.565</v>
      </c>
      <c r="L706" s="4" t="n">
        <v>16.875</v>
      </c>
      <c r="M706" s="7" t="n">
        <v>-0.0471</v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3" t="n">
        <v>3891</v>
      </c>
      <c r="F707" s="8" t="n">
        <v>0.4029</v>
      </c>
      <c r="G707" s="4" t="n">
        <v>66.3656</v>
      </c>
      <c r="H707" s="4" t="n">
        <v>82.56829999999999</v>
      </c>
      <c r="I707" s="4" t="n">
        <v>16.875</v>
      </c>
      <c r="J707" s="4" t="n">
        <v>18.54</v>
      </c>
      <c r="K707" s="4" t="n">
        <v>14.8475</v>
      </c>
      <c r="L707" s="4" t="n">
        <v>16.78</v>
      </c>
      <c r="M707" s="7" t="n">
        <v>-0.0056</v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3" t="n">
        <v>3878</v>
      </c>
      <c r="F708" s="8" t="n">
        <v>0.3018</v>
      </c>
      <c r="G708" s="4" t="n">
        <v>38.4165</v>
      </c>
      <c r="H708" s="4" t="n">
        <v>36.5218</v>
      </c>
      <c r="I708" s="4" t="n">
        <v>16.78</v>
      </c>
      <c r="J708" s="4" t="n">
        <v>17.7675</v>
      </c>
      <c r="K708" s="4" t="n">
        <v>15.5075</v>
      </c>
      <c r="L708" s="4" t="n">
        <v>15.7325</v>
      </c>
      <c r="M708" s="7" t="n">
        <v>-0.0624</v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3" t="n">
        <v>3944</v>
      </c>
      <c r="F709" s="8" t="n">
        <v>0.3244</v>
      </c>
      <c r="G709" s="4" t="n">
        <v>57.0356</v>
      </c>
      <c r="H709" s="4" t="n">
        <v>40.3226</v>
      </c>
      <c r="I709" s="4" t="n">
        <v>15.7325</v>
      </c>
      <c r="J709" s="4" t="n">
        <v>15.7575</v>
      </c>
      <c r="K709" s="4" t="n">
        <v>14.27</v>
      </c>
      <c r="L709" s="4" t="n">
        <v>14.3975</v>
      </c>
      <c r="M709" s="7" t="n">
        <v>-0.0849</v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3" t="n">
        <v>4036</v>
      </c>
      <c r="F710" s="8" t="n">
        <v>0.2786</v>
      </c>
      <c r="G710" s="4" t="n">
        <v>58.9007</v>
      </c>
      <c r="H710" s="4" t="n">
        <v>30.7771</v>
      </c>
      <c r="I710" s="4" t="n">
        <v>14.3975</v>
      </c>
      <c r="J710" s="4" t="n">
        <v>15.205</v>
      </c>
      <c r="K710" s="4" t="n">
        <v>14.185</v>
      </c>
      <c r="L710" s="4" t="n">
        <v>14.6875</v>
      </c>
      <c r="M710" s="7" t="n">
        <v>0.0201</v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3" t="n">
        <v>3924</v>
      </c>
      <c r="F711" s="8" t="n">
        <v>0.2909</v>
      </c>
      <c r="G711" s="4" t="n">
        <v>46.5091</v>
      </c>
      <c r="H711" s="4" t="n">
        <v>37.2092</v>
      </c>
      <c r="I711" s="4" t="n">
        <v>14.6875</v>
      </c>
      <c r="J711" s="4" t="n">
        <v>14.875</v>
      </c>
      <c r="K711" s="4" t="n">
        <v>13.665</v>
      </c>
      <c r="L711" s="4" t="n">
        <v>14.125</v>
      </c>
      <c r="M711" s="7" t="n">
        <v>-0.0383</v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3" t="n">
        <v>3926</v>
      </c>
      <c r="F712" s="8" t="n">
        <v>0.2718</v>
      </c>
      <c r="G712" s="4" t="n">
        <v>48.3388</v>
      </c>
      <c r="H712" s="4" t="n">
        <v>34.2019</v>
      </c>
      <c r="I712" s="4" t="n">
        <v>14.125</v>
      </c>
      <c r="J712" s="4" t="n">
        <v>14.2475</v>
      </c>
      <c r="K712" s="4" t="n">
        <v>13.535</v>
      </c>
      <c r="L712" s="4" t="n">
        <v>13.595</v>
      </c>
      <c r="M712" s="7" t="n">
        <v>-0.0375</v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3" t="n">
        <v>3889</v>
      </c>
      <c r="F713" s="8" t="n">
        <v>0.2508</v>
      </c>
      <c r="G713" s="4" t="n">
        <v>43.3682</v>
      </c>
      <c r="H713" s="4" t="n">
        <v>30.9226</v>
      </c>
      <c r="I713" s="4" t="n">
        <v>13.595</v>
      </c>
      <c r="J713" s="4" t="n">
        <v>13.815</v>
      </c>
      <c r="K713" s="4" t="n">
        <v>12.0625</v>
      </c>
      <c r="L713" s="4" t="n">
        <v>13.04</v>
      </c>
      <c r="M713" s="7" t="n">
        <v>-0.0408</v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3" t="n">
        <v>3844</v>
      </c>
      <c r="F714" s="8" t="n">
        <v>0.2334</v>
      </c>
      <c r="G714" s="4" t="n">
        <v>40.5606</v>
      </c>
      <c r="H714" s="4" t="n">
        <v>29.1827</v>
      </c>
      <c r="I714" s="4" t="n">
        <v>13.04</v>
      </c>
      <c r="J714" s="4" t="n">
        <v>13.2775</v>
      </c>
      <c r="K714" s="4" t="n">
        <v>12.2075</v>
      </c>
      <c r="L714" s="4" t="n">
        <v>12.745</v>
      </c>
      <c r="M714" s="7" t="n">
        <v>-0.0226</v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3" t="n">
        <v>4034</v>
      </c>
      <c r="F715" s="8" t="n">
        <v>0.2243</v>
      </c>
      <c r="G715" s="4" t="n">
        <v>44.071</v>
      </c>
      <c r="H715" s="4" t="n">
        <v>28.7579</v>
      </c>
      <c r="I715" s="4" t="n">
        <v>12.745</v>
      </c>
      <c r="J715" s="4" t="n">
        <v>14.095</v>
      </c>
      <c r="K715" s="4" t="n">
        <v>11.83</v>
      </c>
      <c r="L715" s="4" t="n">
        <v>13.68</v>
      </c>
      <c r="M715" s="7" t="n">
        <v>0.07340000000000001</v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3" t="n">
        <v>3873</v>
      </c>
      <c r="F716" s="8" t="n">
        <v>0.2374</v>
      </c>
      <c r="G716" s="4" t="n">
        <v>46.6777</v>
      </c>
      <c r="H716" s="4" t="n">
        <v>30.9774</v>
      </c>
      <c r="I716" s="4" t="n">
        <v>13.68</v>
      </c>
      <c r="J716" s="4" t="n">
        <v>13.68</v>
      </c>
      <c r="K716" s="4" t="n">
        <v>12.4525</v>
      </c>
      <c r="L716" s="4" t="n">
        <v>13.4525</v>
      </c>
      <c r="M716" s="7" t="n">
        <v>-0.0166</v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3" t="n">
        <v>3842</v>
      </c>
      <c r="F717" s="8" t="n">
        <v>0.2134</v>
      </c>
      <c r="G717" s="4" t="n">
        <v>37.0819</v>
      </c>
      <c r="H717" s="4" t="n">
        <v>23.5833</v>
      </c>
      <c r="I717" s="4" t="n">
        <v>13.4525</v>
      </c>
      <c r="J717" s="4" t="n">
        <v>13.4525</v>
      </c>
      <c r="K717" s="4" t="n">
        <v>11.28</v>
      </c>
      <c r="L717" s="4" t="n">
        <v>12.86</v>
      </c>
      <c r="M717" s="7" t="n">
        <v>-0.044</v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3" t="n">
        <v>3864</v>
      </c>
      <c r="F718" s="8" t="n">
        <v>0.2395</v>
      </c>
      <c r="G718" s="4" t="n">
        <v>39.0873</v>
      </c>
      <c r="H718" s="4" t="n">
        <v>60.2931</v>
      </c>
      <c r="I718" s="4" t="n">
        <v>12.86</v>
      </c>
      <c r="J718" s="4" t="n">
        <v>13.1625</v>
      </c>
      <c r="K718" s="4" t="n">
        <v>10.1725</v>
      </c>
      <c r="L718" s="4" t="n">
        <v>12.89</v>
      </c>
      <c r="M718" s="7" t="n">
        <v>0.0023</v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3" t="n">
        <v>3829</v>
      </c>
      <c r="F719" s="8" t="n">
        <v>0.2237</v>
      </c>
      <c r="G719" s="4" t="n">
        <v>37.4596</v>
      </c>
      <c r="H719" s="4" t="n">
        <v>28.895</v>
      </c>
      <c r="I719" s="4" t="n">
        <v>12.89</v>
      </c>
      <c r="J719" s="4" t="n">
        <v>13.52</v>
      </c>
      <c r="K719" s="4" t="n">
        <v>10.8025</v>
      </c>
      <c r="L719" s="4" t="n">
        <v>13.085</v>
      </c>
      <c r="M719" s="7" t="n">
        <v>0.0151</v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3" t="n">
        <v>4026</v>
      </c>
      <c r="F720" s="8" t="n">
        <v>0.2366</v>
      </c>
      <c r="G720" s="4" t="n">
        <v>42.2261</v>
      </c>
      <c r="H720" s="4" t="n">
        <v>27.1043</v>
      </c>
      <c r="I720" s="4" t="n">
        <v>13.085</v>
      </c>
      <c r="J720" s="4" t="n">
        <v>13.7075</v>
      </c>
      <c r="K720" s="4" t="n">
        <v>10.9225</v>
      </c>
      <c r="L720" s="4" t="n">
        <v>13.3825</v>
      </c>
      <c r="M720" s="7" t="n">
        <v>0.0227</v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3" t="n">
        <v>3870</v>
      </c>
      <c r="F721" s="8" t="n">
        <v>0.2108</v>
      </c>
      <c r="G721" s="4" t="n">
        <v>36.71</v>
      </c>
      <c r="H721" s="4" t="n">
        <v>23.7171</v>
      </c>
      <c r="I721" s="4" t="n">
        <v>13.3825</v>
      </c>
      <c r="J721" s="4" t="n">
        <v>14.295</v>
      </c>
      <c r="K721" s="4" t="n">
        <v>13.3825</v>
      </c>
      <c r="L721" s="4" t="n">
        <v>14.0075</v>
      </c>
      <c r="M721" s="7" t="n">
        <v>0.0467</v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3" t="n">
        <v>3868</v>
      </c>
      <c r="F722" s="8" t="n">
        <v>0.2502</v>
      </c>
      <c r="G722" s="4" t="n">
        <v>38.5339</v>
      </c>
      <c r="H722" s="4" t="n">
        <v>26.9049</v>
      </c>
      <c r="I722" s="4" t="n">
        <v>14.0075</v>
      </c>
      <c r="J722" s="4" t="n">
        <v>15.915</v>
      </c>
      <c r="K722" s="4" t="n">
        <v>12.3775</v>
      </c>
      <c r="L722" s="4" t="n">
        <v>15.5875</v>
      </c>
      <c r="M722" s="7" t="n">
        <v>0.1128</v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3" t="n">
        <v>3832</v>
      </c>
      <c r="F723" s="8" t="n">
        <v>0.2467</v>
      </c>
      <c r="G723" s="4" t="n">
        <v>39.4936</v>
      </c>
      <c r="H723" s="4" t="n">
        <v>26.92</v>
      </c>
      <c r="I723" s="4" t="n">
        <v>15.5875</v>
      </c>
      <c r="J723" s="4" t="n">
        <v>16.01</v>
      </c>
      <c r="K723" s="4" t="n">
        <v>14.5175</v>
      </c>
      <c r="L723" s="4" t="n">
        <v>15.075</v>
      </c>
      <c r="M723" s="7" t="n">
        <v>-0.0329</v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3" t="n">
        <v>3844</v>
      </c>
      <c r="F724" s="8" t="n">
        <v>0.2416</v>
      </c>
      <c r="G724" s="4" t="n">
        <v>57.7683</v>
      </c>
      <c r="H724" s="4" t="n">
        <v>57.027</v>
      </c>
      <c r="I724" s="4" t="n">
        <v>15.075</v>
      </c>
      <c r="J724" s="4" t="n">
        <v>15.1425</v>
      </c>
      <c r="K724" s="4" t="n">
        <v>14.0075</v>
      </c>
      <c r="L724" s="4" t="n">
        <v>14.185</v>
      </c>
      <c r="M724" s="7" t="n">
        <v>-0.059</v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3" t="n">
        <v>3991</v>
      </c>
      <c r="F725" s="8" t="n">
        <v>0.2488</v>
      </c>
      <c r="G725" s="4" t="n">
        <v>38.5905</v>
      </c>
      <c r="H725" s="4" t="n">
        <v>25.7899</v>
      </c>
      <c r="I725" s="4" t="n">
        <v>14.185</v>
      </c>
      <c r="J725" s="4" t="n">
        <v>15.0975</v>
      </c>
      <c r="K725" s="4" t="n">
        <v>13.75</v>
      </c>
      <c r="L725" s="4" t="n">
        <v>13.875</v>
      </c>
      <c r="M725" s="7" t="n">
        <v>-0.0219</v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3" t="n">
        <v>3861</v>
      </c>
      <c r="F726" s="8" t="n">
        <v>0.2337</v>
      </c>
      <c r="G726" s="4" t="n">
        <v>36.2262</v>
      </c>
      <c r="H726" s="4" t="n">
        <v>28.9133</v>
      </c>
      <c r="I726" s="4" t="n">
        <v>13.875</v>
      </c>
      <c r="J726" s="4" t="n">
        <v>14.5675</v>
      </c>
      <c r="K726" s="4" t="n">
        <v>13.5</v>
      </c>
      <c r="L726" s="4" t="n">
        <v>14.02</v>
      </c>
      <c r="M726" s="7" t="n">
        <v>0.0105</v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3" t="n">
        <v>3886</v>
      </c>
      <c r="F727" s="8" t="n">
        <v>0.2281</v>
      </c>
      <c r="G727" s="4" t="n">
        <v>51.6264</v>
      </c>
      <c r="H727" s="4" t="n">
        <v>36.6282</v>
      </c>
      <c r="I727" s="4" t="n">
        <v>14.02</v>
      </c>
      <c r="J727" s="4" t="n">
        <v>14.02</v>
      </c>
      <c r="K727" s="4" t="n">
        <v>12.275</v>
      </c>
      <c r="L727" s="4" t="n">
        <v>12.995</v>
      </c>
      <c r="M727" s="7" t="n">
        <v>-0.0731</v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3" t="n">
        <v>3860</v>
      </c>
      <c r="F728" s="8" t="n">
        <v>0.2124</v>
      </c>
      <c r="G728" s="4" t="n">
        <v>45.4608</v>
      </c>
      <c r="H728" s="4" t="n">
        <v>80.97880000000001</v>
      </c>
      <c r="I728" s="4" t="n">
        <v>12.995</v>
      </c>
      <c r="J728" s="4" t="n">
        <v>13.55</v>
      </c>
      <c r="K728" s="4" t="n">
        <v>11.1</v>
      </c>
      <c r="L728" s="4" t="n">
        <v>12.97</v>
      </c>
      <c r="M728" s="7" t="n">
        <v>-0.0019</v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3" t="n">
        <v>3886</v>
      </c>
      <c r="F729" s="8" t="n">
        <v>0.2401</v>
      </c>
      <c r="G729" s="4" t="n">
        <v>53.7861</v>
      </c>
      <c r="H729" s="4" t="n">
        <v>34.3047</v>
      </c>
      <c r="I729" s="4" t="n">
        <v>12.97</v>
      </c>
      <c r="J729" s="4" t="n">
        <v>12.97</v>
      </c>
      <c r="K729" s="4" t="n">
        <v>11.98</v>
      </c>
      <c r="L729" s="4" t="n">
        <v>12.18</v>
      </c>
      <c r="M729" s="7" t="n">
        <v>-0.0609</v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3" t="n">
        <v>4049</v>
      </c>
      <c r="F730" s="8" t="n">
        <v>0.2594</v>
      </c>
      <c r="G730" s="4" t="n">
        <v>54.3745</v>
      </c>
      <c r="H730" s="4" t="n">
        <v>32.838</v>
      </c>
      <c r="I730" s="4" t="n">
        <v>12.18</v>
      </c>
      <c r="J730" s="4" t="n">
        <v>12.4725</v>
      </c>
      <c r="K730" s="4" t="n">
        <v>11.8375</v>
      </c>
      <c r="L730" s="4" t="n">
        <v>12.2675</v>
      </c>
      <c r="M730" s="7" t="n">
        <v>0.0072</v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3" t="n">
        <v>3897</v>
      </c>
      <c r="F731" s="8" t="n">
        <v>0.2096</v>
      </c>
      <c r="G731" s="4" t="n">
        <v>42.9091</v>
      </c>
      <c r="H731" s="4" t="n">
        <v>32.6447</v>
      </c>
      <c r="I731" s="4" t="n">
        <v>12.2675</v>
      </c>
      <c r="J731" s="4" t="n">
        <v>12.8475</v>
      </c>
      <c r="K731" s="4" t="n">
        <v>11.8975</v>
      </c>
      <c r="L731" s="4" t="n">
        <v>12.45</v>
      </c>
      <c r="M731" s="7" t="n">
        <v>0.0149</v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3" t="n">
        <v>3917</v>
      </c>
      <c r="F732" s="8" t="n">
        <v>0.234</v>
      </c>
      <c r="G732" s="4" t="n">
        <v>44.0914</v>
      </c>
      <c r="H732" s="4" t="n">
        <v>32.0924</v>
      </c>
      <c r="I732" s="4" t="n">
        <v>12.45</v>
      </c>
      <c r="J732" s="4" t="n">
        <v>12.8425</v>
      </c>
      <c r="K732" s="4" t="n">
        <v>11.78</v>
      </c>
      <c r="L732" s="4" t="n">
        <v>12.725</v>
      </c>
      <c r="M732" s="7" t="n">
        <v>0.0221</v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3" t="n">
        <v>3884</v>
      </c>
      <c r="F733" s="8" t="n">
        <v>0.2362</v>
      </c>
      <c r="G733" s="4" t="n">
        <v>41.2864</v>
      </c>
      <c r="H733" s="4" t="n">
        <v>28.19</v>
      </c>
      <c r="I733" s="4" t="n">
        <v>12.725</v>
      </c>
      <c r="J733" s="4" t="n">
        <v>13.8175</v>
      </c>
      <c r="K733" s="4" t="n">
        <v>12.725</v>
      </c>
      <c r="L733" s="4" t="n">
        <v>13.4125</v>
      </c>
      <c r="M733" s="7" t="n">
        <v>0.054</v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3" t="n">
        <v>4028</v>
      </c>
      <c r="F734" s="8" t="n">
        <v>0.2734</v>
      </c>
      <c r="G734" s="4" t="n">
        <v>67.4126</v>
      </c>
      <c r="H734" s="4" t="n">
        <v>94.1876</v>
      </c>
      <c r="I734" s="4" t="n">
        <v>13.4125</v>
      </c>
      <c r="J734" s="4" t="n">
        <v>16.4275</v>
      </c>
      <c r="K734" s="4" t="n">
        <v>13.4125</v>
      </c>
      <c r="L734" s="4" t="n">
        <v>16.215</v>
      </c>
      <c r="M734" s="7" t="n">
        <v>0.2089</v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3" t="n">
        <v>3914</v>
      </c>
      <c r="F735" s="8" t="n">
        <v>0.2526</v>
      </c>
      <c r="G735" s="4" t="n">
        <v>47.4979</v>
      </c>
      <c r="H735" s="4" t="n">
        <v>34.8295</v>
      </c>
      <c r="I735" s="4" t="n">
        <v>16.215</v>
      </c>
      <c r="J735" s="4" t="n">
        <v>16.6425</v>
      </c>
      <c r="K735" s="4" t="n">
        <v>15.0025</v>
      </c>
      <c r="L735" s="4" t="n">
        <v>16.2175</v>
      </c>
      <c r="M735" s="7" t="n">
        <v>0.0002</v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3" t="n">
        <v>3928</v>
      </c>
      <c r="F736" s="8" t="n">
        <v>0.215</v>
      </c>
      <c r="G736" s="4" t="n">
        <v>42.4245</v>
      </c>
      <c r="H736" s="4" t="n">
        <v>27.8802</v>
      </c>
      <c r="I736" s="4" t="n">
        <v>16.2175</v>
      </c>
      <c r="J736" s="4" t="n">
        <v>16.505</v>
      </c>
      <c r="K736" s="4" t="n">
        <v>14.5175</v>
      </c>
      <c r="L736" s="4" t="n">
        <v>16.295</v>
      </c>
      <c r="M736" s="7" t="n">
        <v>0.0048</v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3" t="n">
        <v>3926</v>
      </c>
      <c r="F737" s="8" t="n">
        <v>0.2403</v>
      </c>
      <c r="G737" s="4" t="n">
        <v>48.3207</v>
      </c>
      <c r="H737" s="4" t="n">
        <v>30.4649</v>
      </c>
      <c r="I737" s="4" t="n">
        <v>16.295</v>
      </c>
      <c r="J737" s="4" t="n">
        <v>17.355</v>
      </c>
      <c r="K737" s="4" t="n">
        <v>13.95</v>
      </c>
      <c r="L737" s="4" t="n">
        <v>16.2175</v>
      </c>
      <c r="M737" s="7" t="n">
        <v>-0.0048</v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3" t="n">
        <v>3892</v>
      </c>
      <c r="F738" s="8" t="n">
        <v>0.2109</v>
      </c>
      <c r="G738" s="4" t="n">
        <v>42.2188</v>
      </c>
      <c r="H738" s="4" t="n">
        <v>28.549</v>
      </c>
      <c r="I738" s="4" t="n">
        <v>16.2175</v>
      </c>
      <c r="J738" s="4" t="n">
        <v>16.2175</v>
      </c>
      <c r="K738" s="4" t="n">
        <v>14.6</v>
      </c>
      <c r="L738" s="4" t="n">
        <v>14.7675</v>
      </c>
      <c r="M738" s="7" t="n">
        <v>-0.08939999999999999</v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3" t="n">
        <v>4067</v>
      </c>
      <c r="F739" s="8" t="n">
        <v>0.2338</v>
      </c>
      <c r="G739" s="4" t="n">
        <v>41.773</v>
      </c>
      <c r="H739" s="4" t="n">
        <v>33.0002</v>
      </c>
      <c r="I739" s="4" t="n">
        <v>14.7675</v>
      </c>
      <c r="J739" s="4" t="n">
        <v>17.22</v>
      </c>
      <c r="K739" s="4" t="n">
        <v>14.52</v>
      </c>
      <c r="L739" s="4" t="n">
        <v>16.0075</v>
      </c>
      <c r="M739" s="7" t="n">
        <v>0.08400000000000001</v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3" t="n">
        <v>3921</v>
      </c>
      <c r="F740" s="8" t="n">
        <v>0.1987</v>
      </c>
      <c r="G740" s="4" t="n">
        <v>41.1877</v>
      </c>
      <c r="H740" s="4" t="n">
        <v>25.8167</v>
      </c>
      <c r="I740" s="4" t="n">
        <v>16.0075</v>
      </c>
      <c r="J740" s="4" t="n">
        <v>16.035</v>
      </c>
      <c r="K740" s="4" t="n">
        <v>14.0825</v>
      </c>
      <c r="L740" s="4" t="n">
        <v>15.0825</v>
      </c>
      <c r="M740" s="7" t="n">
        <v>-0.0578</v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3" t="n">
        <v>3917</v>
      </c>
      <c r="F741" s="8" t="n">
        <v>0.1798</v>
      </c>
      <c r="G741" s="4" t="n">
        <v>40.9428</v>
      </c>
      <c r="H741" s="4" t="n">
        <v>22.9881</v>
      </c>
      <c r="I741" s="4" t="n">
        <v>15.0825</v>
      </c>
      <c r="J741" s="4" t="n">
        <v>15.0925</v>
      </c>
      <c r="K741" s="4" t="n">
        <v>14.2425</v>
      </c>
      <c r="L741" s="4" t="n">
        <v>14.8075</v>
      </c>
      <c r="M741" s="7" t="n">
        <v>-0.0182</v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3" t="n">
        <v>3932</v>
      </c>
      <c r="F742" s="8" t="n">
        <v>0.1839</v>
      </c>
      <c r="G742" s="4" t="n">
        <v>44.8955</v>
      </c>
      <c r="H742" s="4" t="n">
        <v>25.2166</v>
      </c>
      <c r="I742" s="4" t="n">
        <v>14.8075</v>
      </c>
      <c r="J742" s="4" t="n">
        <v>15.0575</v>
      </c>
      <c r="K742" s="4" t="n">
        <v>13.9025</v>
      </c>
      <c r="L742" s="4" t="n">
        <v>14.49</v>
      </c>
      <c r="M742" s="7" t="n">
        <v>-0.0214</v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3" t="n">
        <v>3934</v>
      </c>
      <c r="F743" s="8" t="n">
        <v>0.2238</v>
      </c>
      <c r="G743" s="4" t="n">
        <v>47.1267</v>
      </c>
      <c r="H743" s="4" t="n">
        <v>31.4682</v>
      </c>
      <c r="I743" s="4" t="n">
        <v>14.49</v>
      </c>
      <c r="J743" s="4" t="n">
        <v>15.43</v>
      </c>
      <c r="K743" s="4" t="n">
        <v>14.2025</v>
      </c>
      <c r="L743" s="4" t="n">
        <v>15.24</v>
      </c>
      <c r="M743" s="7" t="n">
        <v>0.0518</v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3" t="n">
        <v>4105</v>
      </c>
      <c r="F744" s="8" t="n">
        <v>0.2424</v>
      </c>
      <c r="G744" s="4" t="n">
        <v>48.5523</v>
      </c>
      <c r="H744" s="4" t="n">
        <v>28.9142</v>
      </c>
      <c r="I744" s="4" t="n">
        <v>15.24</v>
      </c>
      <c r="J744" s="4" t="n">
        <v>16.0925</v>
      </c>
      <c r="K744" s="4" t="n">
        <v>15.0975</v>
      </c>
      <c r="L744" s="4" t="n">
        <v>15.445</v>
      </c>
      <c r="M744" s="7" t="n">
        <v>0.0135</v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3" t="n">
        <v>3976</v>
      </c>
      <c r="F745" s="8" t="n">
        <v>0.2269</v>
      </c>
      <c r="G745" s="4" t="n">
        <v>50.1284</v>
      </c>
      <c r="H745" s="4" t="n">
        <v>30.1759</v>
      </c>
      <c r="I745" s="4" t="n">
        <v>15.445</v>
      </c>
      <c r="J745" s="4" t="n">
        <v>15.6075</v>
      </c>
      <c r="K745" s="4" t="n">
        <v>14.865</v>
      </c>
      <c r="L745" s="4" t="n">
        <v>15.1</v>
      </c>
      <c r="M745" s="7" t="n">
        <v>-0.0223</v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3" t="n">
        <v>3940</v>
      </c>
      <c r="F746" s="8" t="n">
        <v>0.2335</v>
      </c>
      <c r="G746" s="4" t="n">
        <v>58.3841</v>
      </c>
      <c r="H746" s="4" t="n">
        <v>35.5901</v>
      </c>
      <c r="I746" s="4" t="n">
        <v>15.1</v>
      </c>
      <c r="J746" s="4" t="n">
        <v>15.1</v>
      </c>
      <c r="K746" s="4" t="n">
        <v>13.32</v>
      </c>
      <c r="L746" s="4" t="n">
        <v>13.6275</v>
      </c>
      <c r="M746" s="7" t="n">
        <v>-0.0975</v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3" t="n">
        <v>4016</v>
      </c>
      <c r="F747" s="8" t="n">
        <v>0.2383</v>
      </c>
      <c r="G747" s="4" t="n">
        <v>63.559</v>
      </c>
      <c r="H747" s="4" t="n">
        <v>43.6311</v>
      </c>
      <c r="I747" s="4" t="n">
        <v>13.6275</v>
      </c>
      <c r="J747" s="4" t="n">
        <v>13.6275</v>
      </c>
      <c r="K747" s="4" t="n">
        <v>12.0725</v>
      </c>
      <c r="L747" s="4" t="n">
        <v>12.935</v>
      </c>
      <c r="M747" s="7" t="n">
        <v>-0.0508</v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3" t="n">
        <v>4036</v>
      </c>
      <c r="F748" s="8" t="n">
        <v>0.204</v>
      </c>
      <c r="G748" s="4" t="n">
        <v>49.2481</v>
      </c>
      <c r="H748" s="4" t="n">
        <v>24.8614</v>
      </c>
      <c r="I748" s="4" t="n">
        <v>12.935</v>
      </c>
      <c r="J748" s="4" t="n">
        <v>13.49</v>
      </c>
      <c r="K748" s="4" t="n">
        <v>12.465</v>
      </c>
      <c r="L748" s="4" t="n">
        <v>12.585</v>
      </c>
      <c r="M748" s="7" t="n">
        <v>-0.0271</v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3" t="n">
        <v>3970</v>
      </c>
      <c r="F749" s="8" t="n">
        <v>0.2021</v>
      </c>
      <c r="G749" s="4" t="n">
        <v>48.3543</v>
      </c>
      <c r="H749" s="4" t="n">
        <v>25.9457</v>
      </c>
      <c r="I749" s="4" t="n">
        <v>12.585</v>
      </c>
      <c r="J749" s="4" t="n">
        <v>12.805</v>
      </c>
      <c r="K749" s="4" t="n">
        <v>12.0525</v>
      </c>
      <c r="L749" s="4" t="n">
        <v>12.4125</v>
      </c>
      <c r="M749" s="7" t="n">
        <v>-0.0137</v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3" t="n">
        <v>3926</v>
      </c>
      <c r="F750" s="8" t="n">
        <v>0.1957</v>
      </c>
      <c r="G750" s="4" t="n">
        <v>46.9431</v>
      </c>
      <c r="H750" s="4" t="n">
        <v>25.6918</v>
      </c>
      <c r="I750" s="4" t="n">
        <v>12.4125</v>
      </c>
      <c r="J750" s="4" t="n">
        <v>12.57</v>
      </c>
      <c r="K750" s="4" t="n">
        <v>11.65</v>
      </c>
      <c r="L750" s="4" t="n">
        <v>11.7975</v>
      </c>
      <c r="M750" s="7" t="n">
        <v>-0.0495</v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3" t="n">
        <v>4066</v>
      </c>
      <c r="F751" s="8" t="n">
        <v>0.1906</v>
      </c>
      <c r="G751" s="4" t="n">
        <v>40.3574</v>
      </c>
      <c r="H751" s="4" t="n">
        <v>29.0132</v>
      </c>
      <c r="I751" s="4" t="n">
        <v>11.7975</v>
      </c>
      <c r="J751" s="4" t="n">
        <v>12.5625</v>
      </c>
      <c r="K751" s="4" t="n">
        <v>11.7975</v>
      </c>
      <c r="L751" s="4" t="n">
        <v>12.2725</v>
      </c>
      <c r="M751" s="7" t="n">
        <v>0.0403</v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3" t="n">
        <v>3931</v>
      </c>
      <c r="F752" s="8" t="n">
        <v>0.197</v>
      </c>
      <c r="G752" s="4" t="n">
        <v>44.3755</v>
      </c>
      <c r="H752" s="4" t="n">
        <v>31.0586</v>
      </c>
      <c r="I752" s="4" t="n">
        <v>12.2725</v>
      </c>
      <c r="J752" s="4" t="n">
        <v>12.2725</v>
      </c>
      <c r="K752" s="4" t="n">
        <v>11.665</v>
      </c>
      <c r="L752" s="4" t="n">
        <v>11.975</v>
      </c>
      <c r="M752" s="7" t="n">
        <v>-0.0242</v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3" t="n">
        <v>3878</v>
      </c>
      <c r="F753" s="8" t="n">
        <v>0.2108</v>
      </c>
      <c r="G753" s="4" t="n">
        <v>43.9092</v>
      </c>
      <c r="H753" s="4" t="n">
        <v>32.2627</v>
      </c>
      <c r="I753" s="4" t="n">
        <v>11.975</v>
      </c>
      <c r="J753" s="4" t="n">
        <v>12.395</v>
      </c>
      <c r="K753" s="4" t="n">
        <v>11.975</v>
      </c>
      <c r="L753" s="4" t="n">
        <v>12.2725</v>
      </c>
      <c r="M753" s="7" t="n">
        <v>0.0248</v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3" t="n">
        <v>3900</v>
      </c>
      <c r="F754" s="8" t="n">
        <v>0.1922</v>
      </c>
      <c r="G754" s="4" t="n">
        <v>44.2999</v>
      </c>
      <c r="H754" s="4" t="n">
        <v>29.2486</v>
      </c>
      <c r="I754" s="4" t="n">
        <v>12.2725</v>
      </c>
      <c r="J754" s="4" t="n">
        <v>12.51</v>
      </c>
      <c r="K754" s="4" t="n">
        <v>11.84</v>
      </c>
      <c r="L754" s="4" t="n">
        <v>11.9075</v>
      </c>
      <c r="M754" s="7" t="n">
        <v>-0.0297</v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3" t="n">
        <v>4057</v>
      </c>
      <c r="F755" s="8" t="n">
        <v>0.2268</v>
      </c>
      <c r="G755" s="4" t="n">
        <v>47.1822</v>
      </c>
      <c r="H755" s="4" t="n">
        <v>45.3171</v>
      </c>
      <c r="I755" s="4" t="n">
        <v>11.9075</v>
      </c>
      <c r="J755" s="4" t="n">
        <v>13.2725</v>
      </c>
      <c r="K755" s="4" t="n">
        <v>11.9075</v>
      </c>
      <c r="L755" s="4" t="n">
        <v>12.265</v>
      </c>
      <c r="M755" s="7" t="n">
        <v>0.03</v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3" t="n">
        <v>3922</v>
      </c>
      <c r="F756" s="8" t="n">
        <v>0.1987</v>
      </c>
      <c r="G756" s="4" t="n">
        <v>43.4085</v>
      </c>
      <c r="H756" s="4" t="n">
        <v>32.3717</v>
      </c>
      <c r="I756" s="4" t="n">
        <v>12.265</v>
      </c>
      <c r="J756" s="4" t="n">
        <v>12.525</v>
      </c>
      <c r="K756" s="4" t="n">
        <v>11.8625</v>
      </c>
      <c r="L756" s="4" t="n">
        <v>12.075</v>
      </c>
      <c r="M756" s="7" t="n">
        <v>-0.0155</v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3" t="n">
        <v>3905</v>
      </c>
      <c r="F757" s="8" t="n">
        <v>0.2055</v>
      </c>
      <c r="G757" s="4" t="n">
        <v>47.3976</v>
      </c>
      <c r="H757" s="4" t="n">
        <v>30.5816</v>
      </c>
      <c r="I757" s="4" t="n">
        <v>12.075</v>
      </c>
      <c r="J757" s="4" t="n">
        <v>12.47</v>
      </c>
      <c r="K757" s="4" t="n">
        <v>11.1075</v>
      </c>
      <c r="L757" s="4" t="n">
        <v>12.1525</v>
      </c>
      <c r="M757" s="7" t="n">
        <v>0.0064</v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3" t="n">
        <v>3907</v>
      </c>
      <c r="F758" s="8" t="n">
        <v>0.1981</v>
      </c>
      <c r="G758" s="4" t="n">
        <v>35.4691</v>
      </c>
      <c r="H758" s="4" t="n">
        <v>26.7725</v>
      </c>
      <c r="I758" s="4" t="n">
        <v>12.1525</v>
      </c>
      <c r="J758" s="4" t="n">
        <v>12.3975</v>
      </c>
      <c r="K758" s="4" t="n">
        <v>11.58</v>
      </c>
      <c r="L758" s="4" t="n">
        <v>11.94</v>
      </c>
      <c r="M758" s="7" t="n">
        <v>-0.0175</v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3" t="n">
        <v>3864</v>
      </c>
      <c r="F759" s="8" t="n">
        <v>0.1894</v>
      </c>
      <c r="G759" s="4" t="n">
        <v>52.7807</v>
      </c>
      <c r="H759" s="4" t="n">
        <v>25.2033</v>
      </c>
      <c r="I759" s="4" t="n">
        <v>11.94</v>
      </c>
      <c r="J759" s="4" t="n">
        <v>12.04</v>
      </c>
      <c r="K759" s="4" t="n">
        <v>11.52</v>
      </c>
      <c r="L759" s="4" t="n">
        <v>11.63</v>
      </c>
      <c r="M759" s="7" t="n">
        <v>-0.026</v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3" t="n">
        <v>4022</v>
      </c>
      <c r="F760" s="8" t="n">
        <v>0.2006</v>
      </c>
      <c r="G760" s="4" t="n">
        <v>44.9083</v>
      </c>
      <c r="H760" s="4" t="n">
        <v>27.4069</v>
      </c>
      <c r="I760" s="4" t="n">
        <v>11.63</v>
      </c>
      <c r="J760" s="4" t="n">
        <v>12.205</v>
      </c>
      <c r="K760" s="4" t="n">
        <v>11.58</v>
      </c>
      <c r="L760" s="4" t="n">
        <v>11.6675</v>
      </c>
      <c r="M760" s="7" t="n">
        <v>0.0032</v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3" t="n">
        <v>3919</v>
      </c>
      <c r="F761" s="8" t="n">
        <v>0.2117</v>
      </c>
      <c r="G761" s="4" t="n">
        <v>50.777</v>
      </c>
      <c r="H761" s="4" t="n">
        <v>33.3865</v>
      </c>
      <c r="I761" s="4" t="n">
        <v>11.6675</v>
      </c>
      <c r="J761" s="4" t="n">
        <v>11.8125</v>
      </c>
      <c r="K761" s="4" t="n">
        <v>11.425</v>
      </c>
      <c r="L761" s="4" t="n">
        <v>11.52</v>
      </c>
      <c r="M761" s="7" t="n">
        <v>-0.0126</v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3" t="n">
        <v>3861</v>
      </c>
      <c r="F762" s="8" t="n">
        <v>0.2092</v>
      </c>
      <c r="G762" s="4" t="n">
        <v>47.1025</v>
      </c>
      <c r="H762" s="4" t="n">
        <v>29.1347</v>
      </c>
      <c r="I762" s="4" t="n">
        <v>11.52</v>
      </c>
      <c r="J762" s="4" t="n">
        <v>11.8975</v>
      </c>
      <c r="K762" s="4" t="n">
        <v>11.2975</v>
      </c>
      <c r="L762" s="4" t="n">
        <v>11.6525</v>
      </c>
      <c r="M762" s="7" t="n">
        <v>0.0115</v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3" t="n">
        <v>3896</v>
      </c>
      <c r="F763" s="8" t="n">
        <v>0.2076</v>
      </c>
      <c r="G763" s="4" t="n">
        <v>52.1305</v>
      </c>
      <c r="H763" s="4" t="n">
        <v>30.9992</v>
      </c>
      <c r="I763" s="4" t="n">
        <v>11.6525</v>
      </c>
      <c r="J763" s="4" t="n">
        <v>12.02</v>
      </c>
      <c r="K763" s="4" t="n">
        <v>10.96</v>
      </c>
      <c r="L763" s="4" t="n">
        <v>11.425</v>
      </c>
      <c r="M763" s="7" t="n">
        <v>-0.0195</v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3" t="n">
        <v>3904</v>
      </c>
      <c r="F764" s="8" t="n">
        <v>0.2317</v>
      </c>
      <c r="G764" s="4" t="n">
        <v>51.2823</v>
      </c>
      <c r="H764" s="4" t="n">
        <v>36.6955</v>
      </c>
      <c r="I764" s="4" t="n">
        <v>11.425</v>
      </c>
      <c r="J764" s="4" t="n">
        <v>11.5425</v>
      </c>
      <c r="K764" s="4" t="n">
        <v>10.7875</v>
      </c>
      <c r="L764" s="4" t="n">
        <v>10.9475</v>
      </c>
      <c r="M764" s="7" t="n">
        <v>-0.0418</v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3" t="n">
        <v>4105</v>
      </c>
      <c r="F765" s="8" t="n">
        <v>0.2195</v>
      </c>
      <c r="G765" s="4" t="n">
        <v>50.985</v>
      </c>
      <c r="H765" s="4" t="n">
        <v>42.8927</v>
      </c>
      <c r="I765" s="4" t="n">
        <v>10.9475</v>
      </c>
      <c r="J765" s="4" t="n">
        <v>12.0625</v>
      </c>
      <c r="K765" s="4" t="n">
        <v>10.9475</v>
      </c>
      <c r="L765" s="4" t="n">
        <v>11.8975</v>
      </c>
      <c r="M765" s="7" t="n">
        <v>0.0868</v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3" t="n">
        <v>3921</v>
      </c>
      <c r="F766" s="8" t="n">
        <v>0.2006</v>
      </c>
      <c r="G766" s="4" t="n">
        <v>46.0243</v>
      </c>
      <c r="H766" s="4" t="n">
        <v>33.5516</v>
      </c>
      <c r="I766" s="4" t="n">
        <v>11.8975</v>
      </c>
      <c r="J766" s="4" t="n">
        <v>12.25</v>
      </c>
      <c r="K766" s="4" t="n">
        <v>11.13</v>
      </c>
      <c r="L766" s="4" t="n">
        <v>11.84</v>
      </c>
      <c r="M766" s="7" t="n">
        <v>-0.0048</v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3" t="n">
        <v>3934</v>
      </c>
      <c r="F767" s="8" t="n">
        <v>0.2105</v>
      </c>
      <c r="G767" s="4" t="n">
        <v>63.9833</v>
      </c>
      <c r="H767" s="4" t="n">
        <v>33.9458</v>
      </c>
      <c r="I767" s="4" t="n">
        <v>11.84</v>
      </c>
      <c r="J767" s="4" t="n">
        <v>12.03</v>
      </c>
      <c r="K767" s="4" t="n">
        <v>11.185</v>
      </c>
      <c r="L767" s="4" t="n">
        <v>11.7325</v>
      </c>
      <c r="M767" s="7" t="n">
        <v>-0.0091</v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3" t="n">
        <v>3918</v>
      </c>
      <c r="F768" s="8" t="n">
        <v>0.2095</v>
      </c>
      <c r="G768" s="4" t="n">
        <v>48.2653</v>
      </c>
      <c r="H768" s="4" t="n">
        <v>31.1006</v>
      </c>
      <c r="I768" s="4" t="n">
        <v>11.7325</v>
      </c>
      <c r="J768" s="4" t="n">
        <v>12.375</v>
      </c>
      <c r="K768" s="4" t="n">
        <v>11.53</v>
      </c>
      <c r="L768" s="4" t="n">
        <v>12.295</v>
      </c>
      <c r="M768" s="7" t="n">
        <v>0.0479</v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3" t="n">
        <v>4082</v>
      </c>
      <c r="F769" s="8" t="n">
        <v>0.2366</v>
      </c>
      <c r="G769" s="4" t="n">
        <v>50.9446</v>
      </c>
      <c r="H769" s="4" t="n">
        <v>34.6847</v>
      </c>
      <c r="I769" s="4" t="n">
        <v>12.295</v>
      </c>
      <c r="J769" s="4" t="n">
        <v>12.91</v>
      </c>
      <c r="K769" s="4" t="n">
        <v>11.7225</v>
      </c>
      <c r="L769" s="4" t="n">
        <v>12.635</v>
      </c>
      <c r="M769" s="7" t="n">
        <v>0.0277</v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3" t="n">
        <v>3935</v>
      </c>
      <c r="F770" s="8" t="n">
        <v>0.244</v>
      </c>
      <c r="G770" s="4" t="n">
        <v>48.1453</v>
      </c>
      <c r="H770" s="4" t="n">
        <v>36.1179</v>
      </c>
      <c r="I770" s="4" t="n">
        <v>12.635</v>
      </c>
      <c r="J770" s="4" t="n">
        <v>12.815</v>
      </c>
      <c r="K770" s="4" t="n">
        <v>11.6575</v>
      </c>
      <c r="L770" s="4" t="n">
        <v>12.6775</v>
      </c>
      <c r="M770" s="7" t="n">
        <v>0.0034</v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3" t="n">
        <v>3904</v>
      </c>
      <c r="F771" s="8" t="n">
        <v>0.2128</v>
      </c>
      <c r="G771" s="4" t="n">
        <v>42.461</v>
      </c>
      <c r="H771" s="4" t="n">
        <v>28.0425</v>
      </c>
      <c r="I771" s="4" t="n">
        <v>12.6775</v>
      </c>
      <c r="J771" s="4" t="n">
        <v>13.2975</v>
      </c>
      <c r="K771" s="4" t="n">
        <v>11.5425</v>
      </c>
      <c r="L771" s="4" t="n">
        <v>13.0825</v>
      </c>
      <c r="M771" s="7" t="n">
        <v>0.0319</v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3" t="n">
        <v>3891</v>
      </c>
      <c r="F772" s="8" t="n">
        <v>0.2121</v>
      </c>
      <c r="G772" s="4" t="n">
        <v>54.1522</v>
      </c>
      <c r="H772" s="4" t="n">
        <v>32.6185</v>
      </c>
      <c r="I772" s="4" t="n">
        <v>13.0825</v>
      </c>
      <c r="J772" s="4" t="n">
        <v>13.74</v>
      </c>
      <c r="K772" s="4" t="n">
        <v>12.815</v>
      </c>
      <c r="L772" s="4" t="n">
        <v>13.215</v>
      </c>
      <c r="M772" s="7" t="n">
        <v>0.0101</v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3" t="n">
        <v>3886</v>
      </c>
      <c r="F773" s="8" t="n">
        <v>0.2219</v>
      </c>
      <c r="G773" s="4" t="n">
        <v>47.2429</v>
      </c>
      <c r="H773" s="4" t="n">
        <v>32.4535</v>
      </c>
      <c r="I773" s="4" t="n">
        <v>13.215</v>
      </c>
      <c r="J773" s="4" t="n">
        <v>13.51</v>
      </c>
      <c r="K773" s="4" t="n">
        <v>12.7375</v>
      </c>
      <c r="L773" s="4" t="n">
        <v>12.8525</v>
      </c>
      <c r="M773" s="7" t="n">
        <v>-0.0274</v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3" t="n">
        <v>4096</v>
      </c>
      <c r="F774" s="8" t="n">
        <v>0.2333</v>
      </c>
      <c r="G774" s="4" t="n">
        <v>42.3568</v>
      </c>
      <c r="H774" s="4" t="n">
        <v>34.1183</v>
      </c>
      <c r="I774" s="4" t="n">
        <v>12.8525</v>
      </c>
      <c r="J774" s="4" t="n">
        <v>13.615</v>
      </c>
      <c r="K774" s="4" t="n">
        <v>12.5375</v>
      </c>
      <c r="L774" s="4" t="n">
        <v>13.1725</v>
      </c>
      <c r="M774" s="7" t="n">
        <v>0.0249</v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3" t="n">
        <v>3927</v>
      </c>
      <c r="F775" s="8" t="n">
        <v>0.2249</v>
      </c>
      <c r="G775" s="4" t="n">
        <v>48.2249</v>
      </c>
      <c r="H775" s="4" t="n">
        <v>31.8829</v>
      </c>
      <c r="I775" s="4" t="n">
        <v>13.1725</v>
      </c>
      <c r="J775" s="4" t="n">
        <v>13.485</v>
      </c>
      <c r="K775" s="4" t="n">
        <v>11.71</v>
      </c>
      <c r="L775" s="4" t="n">
        <v>13.2925</v>
      </c>
      <c r="M775" s="7" t="n">
        <v>0.0091</v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3" t="n">
        <v>3877</v>
      </c>
      <c r="F776" s="8" t="n">
        <v>0.2312</v>
      </c>
      <c r="G776" s="4" t="n">
        <v>44.1131</v>
      </c>
      <c r="H776" s="4" t="n">
        <v>32.8075</v>
      </c>
      <c r="I776" s="4" t="n">
        <v>13.2925</v>
      </c>
      <c r="J776" s="4" t="n">
        <v>13.58</v>
      </c>
      <c r="K776" s="4" t="n">
        <v>11.895</v>
      </c>
      <c r="L776" s="4" t="n">
        <v>13.105</v>
      </c>
      <c r="M776" s="7" t="n">
        <v>-0.0141</v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3" t="n">
        <v>3834</v>
      </c>
      <c r="F777" s="8" t="n">
        <v>0.2264</v>
      </c>
      <c r="G777" s="4" t="n">
        <v>41.5462</v>
      </c>
      <c r="H777" s="4" t="n">
        <v>32.4686</v>
      </c>
      <c r="I777" s="4" t="n">
        <v>13.105</v>
      </c>
      <c r="J777" s="4" t="n">
        <v>13.105</v>
      </c>
      <c r="K777" s="4" t="n">
        <v>11.1375</v>
      </c>
      <c r="L777" s="4" t="n">
        <v>12.795</v>
      </c>
      <c r="M777" s="7" t="n">
        <v>-0.0237</v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3" t="n">
        <v>3835</v>
      </c>
      <c r="F778" s="8" t="n">
        <v>0.2223</v>
      </c>
      <c r="G778" s="4" t="n">
        <v>38.5423</v>
      </c>
      <c r="H778" s="4" t="n">
        <v>32.7949</v>
      </c>
      <c r="I778" s="4" t="n">
        <v>12.795</v>
      </c>
      <c r="J778" s="4" t="n">
        <v>12.82</v>
      </c>
      <c r="K778" s="4" t="n">
        <v>11.6875</v>
      </c>
      <c r="L778" s="4" t="n">
        <v>12.3025</v>
      </c>
      <c r="M778" s="7" t="n">
        <v>-0.0385</v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3" t="n">
        <v>4054</v>
      </c>
      <c r="F779" s="8" t="n">
        <v>0.2432</v>
      </c>
      <c r="G779" s="4" t="n">
        <v>51.1765</v>
      </c>
      <c r="H779" s="4" t="n">
        <v>40.0652</v>
      </c>
      <c r="I779" s="4" t="n">
        <v>12.3025</v>
      </c>
      <c r="J779" s="4" t="n">
        <v>12.82</v>
      </c>
      <c r="K779" s="4" t="n">
        <v>11.555</v>
      </c>
      <c r="L779" s="4" t="n">
        <v>12.57</v>
      </c>
      <c r="M779" s="7" t="n">
        <v>0.0217</v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3" t="n">
        <v>3897</v>
      </c>
      <c r="F780" s="8" t="n">
        <v>0.2357</v>
      </c>
      <c r="G780" s="4" t="n">
        <v>49.1837</v>
      </c>
      <c r="H780" s="4" t="n">
        <v>42.7318</v>
      </c>
      <c r="I780" s="4" t="n">
        <v>12.57</v>
      </c>
      <c r="J780" s="4" t="n">
        <v>13.075</v>
      </c>
      <c r="K780" s="4" t="n">
        <v>12.3175</v>
      </c>
      <c r="L780" s="4" t="n">
        <v>12.605</v>
      </c>
      <c r="M780" s="7" t="n">
        <v>0.0028</v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3" t="n">
        <v>3864</v>
      </c>
      <c r="F781" s="8" t="n">
        <v>0.2463</v>
      </c>
      <c r="G781" s="4" t="n">
        <v>51.3881</v>
      </c>
      <c r="H781" s="4" t="n">
        <v>40.9552</v>
      </c>
      <c r="I781" s="4" t="n">
        <v>12.605</v>
      </c>
      <c r="J781" s="4" t="n">
        <v>13.4375</v>
      </c>
      <c r="K781" s="4" t="n">
        <v>12.41</v>
      </c>
      <c r="L781" s="4" t="n">
        <v>13.1125</v>
      </c>
      <c r="M781" s="7" t="n">
        <v>0.0403</v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3" t="n">
        <v>3860</v>
      </c>
      <c r="F782" s="8" t="n">
        <v>0.2237</v>
      </c>
      <c r="G782" s="4" t="n">
        <v>48.5979</v>
      </c>
      <c r="H782" s="4" t="n">
        <v>35.4483</v>
      </c>
      <c r="I782" s="4" t="n">
        <v>13.1125</v>
      </c>
      <c r="J782" s="4" t="n">
        <v>13.1325</v>
      </c>
      <c r="K782" s="4" t="n">
        <v>8.182499999999999</v>
      </c>
      <c r="L782" s="4" t="n">
        <v>12.52</v>
      </c>
      <c r="M782" s="7" t="n">
        <v>-0.0452</v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3" t="n">
        <v>3893</v>
      </c>
      <c r="F783" s="8" t="n">
        <v>0.229</v>
      </c>
      <c r="G783" s="4" t="n">
        <v>49.3853</v>
      </c>
      <c r="H783" s="4" t="n">
        <v>49.8676</v>
      </c>
      <c r="I783" s="4" t="n">
        <v>12.52</v>
      </c>
      <c r="J783" s="4" t="n">
        <v>12.8575</v>
      </c>
      <c r="K783" s="4" t="n">
        <v>11.7</v>
      </c>
      <c r="L783" s="4" t="n">
        <v>11.9</v>
      </c>
      <c r="M783" s="7" t="n">
        <v>-0.0495</v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3" t="n">
        <v>4076</v>
      </c>
      <c r="F784" s="8" t="n">
        <v>0.2377</v>
      </c>
      <c r="G784" s="4" t="n">
        <v>56.0799</v>
      </c>
      <c r="H784" s="4" t="n">
        <v>36.4895</v>
      </c>
      <c r="I784" s="4" t="n">
        <v>11.9</v>
      </c>
      <c r="J784" s="4" t="n">
        <v>12.4925</v>
      </c>
      <c r="K784" s="4" t="n">
        <v>8.807499999999999</v>
      </c>
      <c r="L784" s="4" t="n">
        <v>12.2975</v>
      </c>
      <c r="M784" s="7" t="n">
        <v>0.0334</v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3" t="n">
        <v>3877</v>
      </c>
      <c r="F785" s="8" t="n">
        <v>0.2218</v>
      </c>
      <c r="G785" s="4" t="n">
        <v>51.4409</v>
      </c>
      <c r="H785" s="4" t="n">
        <v>40.3527</v>
      </c>
      <c r="I785" s="4" t="n">
        <v>12.2975</v>
      </c>
      <c r="J785" s="4" t="n">
        <v>12.38</v>
      </c>
      <c r="K785" s="4" t="n">
        <v>11.7675</v>
      </c>
      <c r="L785" s="4" t="n">
        <v>12.01</v>
      </c>
      <c r="M785" s="7" t="n">
        <v>-0.0234</v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3" t="n">
        <v>3892</v>
      </c>
      <c r="F786" s="8" t="n">
        <v>0.257</v>
      </c>
      <c r="G786" s="4" t="n">
        <v>65.07299999999999</v>
      </c>
      <c r="H786" s="4" t="n">
        <v>60.4802</v>
      </c>
      <c r="I786" s="4" t="n">
        <v>12.01</v>
      </c>
      <c r="J786" s="4" t="n">
        <v>12.4675</v>
      </c>
      <c r="K786" s="4" t="n">
        <v>11.58</v>
      </c>
      <c r="L786" s="4" t="n">
        <v>11.9725</v>
      </c>
      <c r="M786" s="7" t="n">
        <v>-0.0031</v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3" t="n">
        <v>3940</v>
      </c>
      <c r="F787" s="8" t="n">
        <v>0.242</v>
      </c>
      <c r="G787" s="4" t="n">
        <v>52.6446</v>
      </c>
      <c r="H787" s="4" t="n">
        <v>38.7841</v>
      </c>
      <c r="I787" s="4" t="n">
        <v>11.9725</v>
      </c>
      <c r="J787" s="4" t="n">
        <v>11.9725</v>
      </c>
      <c r="K787" s="4" t="n">
        <v>11.22</v>
      </c>
      <c r="L787" s="4" t="n">
        <v>11.5975</v>
      </c>
      <c r="M787" s="7" t="n">
        <v>-0.0313</v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3" t="n">
        <v>3973</v>
      </c>
      <c r="F788" s="8" t="n">
        <v>0.2386</v>
      </c>
      <c r="G788" s="4" t="n">
        <v>50.2997</v>
      </c>
      <c r="H788" s="4" t="n">
        <v>35.7881</v>
      </c>
      <c r="I788" s="4" t="n">
        <v>11.5975</v>
      </c>
      <c r="J788" s="4" t="n">
        <v>11.735</v>
      </c>
      <c r="K788" s="4" t="n">
        <v>10.86</v>
      </c>
      <c r="L788" s="4" t="n">
        <v>11.125</v>
      </c>
      <c r="M788" s="7" t="n">
        <v>-0.0407</v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3" t="n">
        <v>4128</v>
      </c>
      <c r="F789" s="8" t="n">
        <v>0.2605</v>
      </c>
      <c r="G789" s="4" t="n">
        <v>59.6338</v>
      </c>
      <c r="H789" s="4" t="n">
        <v>42.4143</v>
      </c>
      <c r="I789" s="4" t="n">
        <v>11.125</v>
      </c>
      <c r="J789" s="4" t="n">
        <v>11.335</v>
      </c>
      <c r="K789" s="4" t="n">
        <v>10.3225</v>
      </c>
      <c r="L789" s="4" t="n">
        <v>11.1375</v>
      </c>
      <c r="M789" s="7" t="n">
        <v>0.0011</v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3" t="n">
        <v>3939</v>
      </c>
      <c r="F790" s="8" t="n">
        <v>0.2535</v>
      </c>
      <c r="G790" s="4" t="n">
        <v>57.453</v>
      </c>
      <c r="H790" s="4" t="n">
        <v>40.7525</v>
      </c>
      <c r="I790" s="4" t="n">
        <v>11.1375</v>
      </c>
      <c r="J790" s="4" t="n">
        <v>11.6175</v>
      </c>
      <c r="K790" s="4" t="n">
        <v>10.465</v>
      </c>
      <c r="L790" s="4" t="n">
        <v>11.38</v>
      </c>
      <c r="M790" s="7" t="n">
        <v>0.0218</v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3" t="n">
        <v>4006</v>
      </c>
      <c r="F791" s="8" t="n">
        <v>0.2812</v>
      </c>
      <c r="G791" s="4" t="n">
        <v>98.2915</v>
      </c>
      <c r="H791" s="4" t="n">
        <v>44.6884</v>
      </c>
      <c r="I791" s="4" t="n">
        <v>11.38</v>
      </c>
      <c r="J791" s="4" t="n">
        <v>11.5375</v>
      </c>
      <c r="K791" s="4" t="n">
        <v>9.637499999999999</v>
      </c>
      <c r="L791" s="4" t="n">
        <v>11.4425</v>
      </c>
      <c r="M791" s="7" t="n">
        <v>0.0055</v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3" t="n">
        <v>3963</v>
      </c>
      <c r="F792" s="8" t="n">
        <v>0.263</v>
      </c>
      <c r="G792" s="4" t="n">
        <v>70.33150000000001</v>
      </c>
      <c r="H792" s="4" t="n">
        <v>42.3566</v>
      </c>
      <c r="I792" s="4" t="n">
        <v>11.4425</v>
      </c>
      <c r="J792" s="4" t="n">
        <v>11.5675</v>
      </c>
      <c r="K792" s="4" t="n">
        <v>10.13</v>
      </c>
      <c r="L792" s="4" t="n">
        <v>11.2575</v>
      </c>
      <c r="M792" s="7" t="n">
        <v>-0.0162</v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3" t="n">
        <v>3942</v>
      </c>
      <c r="F793" s="8" t="n">
        <v>0.269</v>
      </c>
      <c r="G793" s="4" t="n">
        <v>69.34220000000001</v>
      </c>
      <c r="H793" s="4" t="n">
        <v>107.95</v>
      </c>
      <c r="I793" s="4" t="n">
        <v>11.2575</v>
      </c>
      <c r="J793" s="4" t="n">
        <v>11.2975</v>
      </c>
      <c r="K793" s="4" t="n">
        <v>10.3075</v>
      </c>
      <c r="L793" s="4" t="n">
        <v>11.12</v>
      </c>
      <c r="M793" s="7" t="n">
        <v>-0.0122</v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3" t="n">
        <v>4160</v>
      </c>
      <c r="F794" s="8" t="n">
        <v>0.2483</v>
      </c>
      <c r="G794" s="4" t="n">
        <v>70.012</v>
      </c>
      <c r="H794" s="4" t="n">
        <v>37.7429</v>
      </c>
      <c r="I794" s="4" t="n">
        <v>11.12</v>
      </c>
      <c r="J794" s="4" t="n">
        <v>11.8025</v>
      </c>
      <c r="K794" s="4" t="n">
        <v>10.5825</v>
      </c>
      <c r="L794" s="4" t="n">
        <v>11.245</v>
      </c>
      <c r="M794" s="7" t="n">
        <v>0.0112</v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3" t="n">
        <v>3994</v>
      </c>
      <c r="F795" s="8" t="n">
        <v>0.2582</v>
      </c>
      <c r="G795" s="4" t="n">
        <v>69.9029</v>
      </c>
      <c r="H795" s="4" t="n">
        <v>45.2019</v>
      </c>
      <c r="I795" s="4" t="n">
        <v>11.245</v>
      </c>
      <c r="J795" s="4" t="n">
        <v>11.25</v>
      </c>
      <c r="K795" s="4" t="n">
        <v>9.99</v>
      </c>
      <c r="L795" s="4" t="n">
        <v>11.11</v>
      </c>
      <c r="M795" s="7" t="n">
        <v>-0.012</v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3" t="n">
        <v>3979</v>
      </c>
      <c r="F796" s="8" t="n">
        <v>0.2586</v>
      </c>
      <c r="G796" s="4" t="n">
        <v>69.1426</v>
      </c>
      <c r="H796" s="4" t="n">
        <v>45.2687</v>
      </c>
      <c r="I796" s="4" t="n">
        <v>11.11</v>
      </c>
      <c r="J796" s="4" t="n">
        <v>11.3675</v>
      </c>
      <c r="K796" s="4" t="n">
        <v>10.6325</v>
      </c>
      <c r="L796" s="4" t="n">
        <v>11.1625</v>
      </c>
      <c r="M796" s="7" t="n">
        <v>0.0047</v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3" t="n">
        <v>3952</v>
      </c>
      <c r="F797" s="8" t="n">
        <v>0.2659</v>
      </c>
      <c r="G797" s="4" t="n">
        <v>62.6434</v>
      </c>
      <c r="H797" s="4" t="n">
        <v>43.4749</v>
      </c>
      <c r="I797" s="4" t="n">
        <v>11.1625</v>
      </c>
      <c r="J797" s="4" t="n">
        <v>11.37</v>
      </c>
      <c r="K797" s="4" t="n">
        <v>9.692500000000001</v>
      </c>
      <c r="L797" s="4" t="n">
        <v>11.08</v>
      </c>
      <c r="M797" s="7" t="n">
        <v>-0.0074</v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3" t="n">
        <v>3948</v>
      </c>
      <c r="F798" s="8" t="n">
        <v>0.2785</v>
      </c>
      <c r="G798" s="4" t="n">
        <v>67.2153</v>
      </c>
      <c r="H798" s="4" t="n">
        <v>44.4569</v>
      </c>
      <c r="I798" s="4" t="n">
        <v>11.08</v>
      </c>
      <c r="J798" s="4" t="n">
        <v>11.08</v>
      </c>
      <c r="K798" s="4" t="n">
        <v>10.5575</v>
      </c>
      <c r="L798" s="4" t="n">
        <v>10.84</v>
      </c>
      <c r="M798" s="7" t="n">
        <v>-0.0217</v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3" t="n">
        <v>4120</v>
      </c>
      <c r="F799" s="8" t="n">
        <v>0.2736</v>
      </c>
      <c r="G799" s="4" t="n">
        <v>65.53789999999999</v>
      </c>
      <c r="H799" s="4" t="n">
        <v>60.6229</v>
      </c>
      <c r="I799" s="4" t="n">
        <v>10.84</v>
      </c>
      <c r="J799" s="4" t="n">
        <v>11.4975</v>
      </c>
      <c r="K799" s="4" t="n">
        <v>10.33</v>
      </c>
      <c r="L799" s="4" t="n">
        <v>11.225</v>
      </c>
      <c r="M799" s="7" t="n">
        <v>0.0355</v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3" t="n">
        <v>3890</v>
      </c>
      <c r="F800" s="8" t="n">
        <v>0.2554</v>
      </c>
      <c r="G800" s="4" t="n">
        <v>57.9772</v>
      </c>
      <c r="H800" s="4" t="n">
        <v>116.6975</v>
      </c>
      <c r="I800" s="4" t="n">
        <v>11.225</v>
      </c>
      <c r="J800" s="4" t="n">
        <v>11.4375</v>
      </c>
      <c r="K800" s="4" t="n">
        <v>10.5675</v>
      </c>
      <c r="L800" s="4" t="n">
        <v>11.1325</v>
      </c>
      <c r="M800" s="7" t="n">
        <v>-0.008200000000000001</v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3" t="n">
        <v>3926</v>
      </c>
      <c r="F801" s="8" t="n">
        <v>0.2746</v>
      </c>
      <c r="G801" s="4" t="n">
        <v>60.8491</v>
      </c>
      <c r="H801" s="4" t="n">
        <v>52.4028</v>
      </c>
      <c r="I801" s="4" t="n">
        <v>11.1325</v>
      </c>
      <c r="J801" s="4" t="n">
        <v>11.4325</v>
      </c>
      <c r="K801" s="4" t="n">
        <v>10.77</v>
      </c>
      <c r="L801" s="4" t="n">
        <v>11.2925</v>
      </c>
      <c r="M801" s="7" t="n">
        <v>0.0144</v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3" t="n">
        <v>3938</v>
      </c>
      <c r="F802" s="8" t="n">
        <v>0.2632</v>
      </c>
      <c r="G802" s="4" t="n">
        <v>63.2141</v>
      </c>
      <c r="H802" s="4" t="n">
        <v>48.861</v>
      </c>
      <c r="I802" s="4" t="n">
        <v>11.2925</v>
      </c>
      <c r="J802" s="4" t="n">
        <v>11.7125</v>
      </c>
      <c r="K802" s="4" t="n">
        <v>10.6925</v>
      </c>
      <c r="L802" s="4" t="n">
        <v>11.5475</v>
      </c>
      <c r="M802" s="7" t="n">
        <v>0.0226</v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3" t="n">
        <v>3877</v>
      </c>
      <c r="F803" s="8" t="n">
        <v>0.2742</v>
      </c>
      <c r="G803" s="4" t="n">
        <v>61.3293</v>
      </c>
      <c r="H803" s="4" t="n">
        <v>46.8173</v>
      </c>
      <c r="I803" s="4" t="n">
        <v>11.5475</v>
      </c>
      <c r="J803" s="4" t="n">
        <v>11.8375</v>
      </c>
      <c r="K803" s="4" t="n">
        <v>11.1425</v>
      </c>
      <c r="L803" s="4" t="n">
        <v>11.235</v>
      </c>
      <c r="M803" s="7" t="n">
        <v>-0.0271</v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3" t="n">
        <v>4091</v>
      </c>
      <c r="F804" s="8" t="n">
        <v>0.2223</v>
      </c>
      <c r="G804" s="4" t="n">
        <v>52.9097</v>
      </c>
      <c r="H804" s="4" t="n">
        <v>34.991</v>
      </c>
      <c r="I804" s="4" t="n">
        <v>11.235</v>
      </c>
      <c r="J804" s="4" t="n">
        <v>11.925</v>
      </c>
      <c r="K804" s="4" t="n">
        <v>11.235</v>
      </c>
      <c r="L804" s="4" t="n">
        <v>11.395</v>
      </c>
      <c r="M804" s="7" t="n">
        <v>0.0142</v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3" t="n">
        <v>3930</v>
      </c>
      <c r="F805" s="8" t="n">
        <v>0.2104</v>
      </c>
      <c r="G805" s="4" t="n">
        <v>49.9621</v>
      </c>
      <c r="H805" s="4" t="n">
        <v>31.3907</v>
      </c>
      <c r="I805" s="4" t="n">
        <v>11.395</v>
      </c>
      <c r="J805" s="4" t="n">
        <v>11.4225</v>
      </c>
      <c r="K805" s="4" t="n">
        <v>10.6925</v>
      </c>
      <c r="L805" s="4" t="n">
        <v>10.7775</v>
      </c>
      <c r="M805" s="7" t="n">
        <v>-0.0542</v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3" t="n">
        <v>3914</v>
      </c>
      <c r="F806" s="8" t="n">
        <v>0.2349</v>
      </c>
      <c r="G806" s="4" t="n">
        <v>51.0892</v>
      </c>
      <c r="H806" s="4" t="n">
        <v>48.8965</v>
      </c>
      <c r="I806" s="4" t="n">
        <v>10.7775</v>
      </c>
      <c r="J806" s="4" t="n">
        <v>11.535</v>
      </c>
      <c r="K806" s="4" t="n">
        <v>10.6525</v>
      </c>
      <c r="L806" s="4" t="n">
        <v>10.8875</v>
      </c>
      <c r="M806" s="7" t="n">
        <v>0.0102</v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3" t="n">
        <v>3939</v>
      </c>
      <c r="F807" s="8" t="n">
        <v>0.289</v>
      </c>
      <c r="G807" s="4" t="n">
        <v>63.9876</v>
      </c>
      <c r="H807" s="4" t="n">
        <v>73.3417</v>
      </c>
      <c r="I807" s="4" t="n">
        <v>10.8875</v>
      </c>
      <c r="J807" s="4" t="n">
        <v>11.215</v>
      </c>
      <c r="K807" s="4" t="n">
        <v>10.07</v>
      </c>
      <c r="L807" s="4" t="n">
        <v>10.8</v>
      </c>
      <c r="M807" s="7" t="n">
        <v>-0.008</v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3" t="n">
        <v>4164</v>
      </c>
      <c r="F808" s="8" t="n">
        <v>0.2724</v>
      </c>
      <c r="G808" s="4" t="n">
        <v>66.967</v>
      </c>
      <c r="H808" s="4" t="n">
        <v>41.6236</v>
      </c>
      <c r="I808" s="4" t="n">
        <v>10.8</v>
      </c>
      <c r="J808" s="4" t="n">
        <v>12.03</v>
      </c>
      <c r="K808" s="4" t="n">
        <v>10.8</v>
      </c>
      <c r="L808" s="4" t="n">
        <v>11.54</v>
      </c>
      <c r="M808" s="7" t="n">
        <v>0.06850000000000001</v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3" t="n">
        <v>3923</v>
      </c>
      <c r="F809" s="8" t="n">
        <v>0.2455</v>
      </c>
      <c r="G809" s="4" t="n">
        <v>72.95440000000001</v>
      </c>
      <c r="H809" s="4" t="n">
        <v>43.1069</v>
      </c>
      <c r="I809" s="4" t="n">
        <v>11.54</v>
      </c>
      <c r="J809" s="4" t="n">
        <v>11.99</v>
      </c>
      <c r="K809" s="4" t="n">
        <v>11.5225</v>
      </c>
      <c r="L809" s="4" t="n">
        <v>11.7</v>
      </c>
      <c r="M809" s="7" t="n">
        <v>0.0139</v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3" t="n">
        <v>3902</v>
      </c>
      <c r="F810" s="8" t="n">
        <v>0.264</v>
      </c>
      <c r="G810" s="4" t="n">
        <v>53.9301</v>
      </c>
      <c r="H810" s="4" t="n">
        <v>40.3128</v>
      </c>
      <c r="I810" s="4" t="n">
        <v>11.7</v>
      </c>
      <c r="J810" s="4" t="n">
        <v>12.21</v>
      </c>
      <c r="K810" s="4" t="n">
        <v>11.5675</v>
      </c>
      <c r="L810" s="4" t="n">
        <v>11.8825</v>
      </c>
      <c r="M810" s="7" t="n">
        <v>0.0156</v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3" t="n">
        <v>3887</v>
      </c>
      <c r="F811" s="8" t="n">
        <v>0.269</v>
      </c>
      <c r="G811" s="4" t="n">
        <v>64.9126</v>
      </c>
      <c r="H811" s="4" t="n">
        <v>50.8314</v>
      </c>
      <c r="I811" s="4" t="n">
        <v>11.8825</v>
      </c>
      <c r="J811" s="4" t="n">
        <v>12.205</v>
      </c>
      <c r="K811" s="4" t="n">
        <v>11.7775</v>
      </c>
      <c r="L811" s="4" t="n">
        <v>11.84</v>
      </c>
      <c r="M811" s="7" t="n">
        <v>-0.0036</v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3" t="n">
        <v>3866</v>
      </c>
      <c r="F812" s="8" t="n">
        <v>0.2879</v>
      </c>
      <c r="G812" s="4" t="n">
        <v>57.6809</v>
      </c>
      <c r="H812" s="4" t="n">
        <v>49.4493</v>
      </c>
      <c r="I812" s="4" t="n">
        <v>11.84</v>
      </c>
      <c r="J812" s="4" t="n">
        <v>12.0725</v>
      </c>
      <c r="K812" s="4" t="n">
        <v>11.08</v>
      </c>
      <c r="L812" s="4" t="n">
        <v>11.5325</v>
      </c>
      <c r="M812" s="7" t="n">
        <v>-0.026</v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3" t="n">
        <v>4118</v>
      </c>
      <c r="F813" s="8" t="n">
        <v>0.2701</v>
      </c>
      <c r="G813" s="4" t="n">
        <v>48.8313</v>
      </c>
      <c r="H813" s="4" t="n">
        <v>42.2989</v>
      </c>
      <c r="I813" s="4" t="n">
        <v>11.5325</v>
      </c>
      <c r="J813" s="4" t="n">
        <v>12.01</v>
      </c>
      <c r="K813" s="4" t="n">
        <v>11.36</v>
      </c>
      <c r="L813" s="4" t="n">
        <v>11.4625</v>
      </c>
      <c r="M813" s="7" t="n">
        <v>-0.0061</v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3" t="n">
        <v>3903</v>
      </c>
      <c r="F814" s="8" t="n">
        <v>0.2585</v>
      </c>
      <c r="G814" s="4" t="n">
        <v>51.8075</v>
      </c>
      <c r="H814" s="4" t="n">
        <v>44.3528</v>
      </c>
      <c r="I814" s="4" t="n">
        <v>11.4625</v>
      </c>
      <c r="J814" s="4" t="n">
        <v>11.4625</v>
      </c>
      <c r="K814" s="4" t="n">
        <v>10.945</v>
      </c>
      <c r="L814" s="4" t="n">
        <v>11.0125</v>
      </c>
      <c r="M814" s="7" t="n">
        <v>-0.0393</v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3" t="n">
        <v>3868</v>
      </c>
      <c r="F815" s="8" t="n">
        <v>0.27</v>
      </c>
      <c r="G815" s="4" t="n">
        <v>53.2021</v>
      </c>
      <c r="H815" s="4" t="n">
        <v>51.7638</v>
      </c>
      <c r="I815" s="4" t="n">
        <v>11.0125</v>
      </c>
      <c r="J815" s="4" t="n">
        <v>11.2</v>
      </c>
      <c r="K815" s="4" t="n">
        <v>10.72</v>
      </c>
      <c r="L815" s="4" t="n">
        <v>10.935</v>
      </c>
      <c r="M815" s="7" t="n">
        <v>-0.007</v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3" t="n">
        <v>3860</v>
      </c>
      <c r="F816" s="8" t="n">
        <v>0.2967</v>
      </c>
      <c r="G816" s="4" t="n">
        <v>56.3864</v>
      </c>
      <c r="H816" s="4" t="n">
        <v>51.0967</v>
      </c>
      <c r="I816" s="4" t="n">
        <v>10.935</v>
      </c>
      <c r="J816" s="4" t="n">
        <v>11.1725</v>
      </c>
      <c r="K816" s="4" t="n">
        <v>10.695</v>
      </c>
      <c r="L816" s="4" t="n">
        <v>10.9375</v>
      </c>
      <c r="M816" s="7" t="n">
        <v>0.0002</v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3" t="n">
        <v>3838</v>
      </c>
      <c r="F817" s="8" t="n">
        <v>0.2839</v>
      </c>
      <c r="G817" s="4" t="n">
        <v>49.551</v>
      </c>
      <c r="H817" s="4" t="n">
        <v>45.1575</v>
      </c>
      <c r="I817" s="4" t="n">
        <v>10.9375</v>
      </c>
      <c r="J817" s="4" t="n">
        <v>10.9375</v>
      </c>
      <c r="K817" s="4" t="n">
        <v>10.6125</v>
      </c>
      <c r="L817" s="4" t="n">
        <v>10.6825</v>
      </c>
      <c r="M817" s="7" t="n">
        <v>-0.0233</v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3" t="n">
        <v>4148</v>
      </c>
      <c r="F818" s="8" t="n">
        <v>0.2909</v>
      </c>
      <c r="G818" s="4" t="n">
        <v>56.3278</v>
      </c>
      <c r="H818" s="4" t="n">
        <v>44.3976</v>
      </c>
      <c r="I818" s="4" t="n">
        <v>10.6825</v>
      </c>
      <c r="J818" s="4" t="n">
        <v>11.3975</v>
      </c>
      <c r="K818" s="4" t="n">
        <v>9.8575</v>
      </c>
      <c r="L818" s="4" t="n">
        <v>11.315</v>
      </c>
      <c r="M818" s="7" t="n">
        <v>0.0592</v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3" t="n">
        <v>3857</v>
      </c>
      <c r="F819" s="8" t="n">
        <v>0.2802</v>
      </c>
      <c r="G819" s="4" t="n">
        <v>63.1591</v>
      </c>
      <c r="H819" s="4" t="n">
        <v>47.5013</v>
      </c>
      <c r="I819" s="4" t="n">
        <v>11.315</v>
      </c>
      <c r="J819" s="4" t="n">
        <v>12.02</v>
      </c>
      <c r="K819" s="4" t="n">
        <v>11.0675</v>
      </c>
      <c r="L819" s="4" t="n">
        <v>11.71</v>
      </c>
      <c r="M819" s="7" t="n">
        <v>0.0349</v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3" t="n">
        <v>3826</v>
      </c>
      <c r="F820" s="8" t="n">
        <v>0.253</v>
      </c>
      <c r="G820" s="4" t="n">
        <v>55.7007</v>
      </c>
      <c r="H820" s="4" t="n">
        <v>39.9857</v>
      </c>
      <c r="I820" s="4" t="n">
        <v>11.71</v>
      </c>
      <c r="J820" s="4" t="n">
        <v>11.9375</v>
      </c>
      <c r="K820" s="4" t="n">
        <v>11.54</v>
      </c>
      <c r="L820" s="4" t="n">
        <v>11.6</v>
      </c>
      <c r="M820" s="7" t="n">
        <v>-0.0094</v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3" t="n">
        <v>3775</v>
      </c>
      <c r="F821" s="8" t="n">
        <v>0.2619</v>
      </c>
      <c r="G821" s="4" t="n">
        <v>59.3478</v>
      </c>
      <c r="H821" s="4" t="n">
        <v>41.9548</v>
      </c>
      <c r="I821" s="4" t="n">
        <v>11.6</v>
      </c>
      <c r="J821" s="4" t="n">
        <v>12.255</v>
      </c>
      <c r="K821" s="4" t="n">
        <v>11.37</v>
      </c>
      <c r="L821" s="4" t="n">
        <v>11.785</v>
      </c>
      <c r="M821" s="7" t="n">
        <v>0.0159</v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3" t="n">
        <v>3799</v>
      </c>
      <c r="F822" s="8" t="n">
        <v>0.2993</v>
      </c>
      <c r="G822" s="4" t="n">
        <v>63.1726</v>
      </c>
      <c r="H822" s="4" t="n">
        <v>53.1961</v>
      </c>
      <c r="I822" s="4" t="n">
        <v>11.785</v>
      </c>
      <c r="J822" s="4" t="n">
        <v>12.0325</v>
      </c>
      <c r="K822" s="4" t="n">
        <v>11.06</v>
      </c>
      <c r="L822" s="4" t="n">
        <v>11.485</v>
      </c>
      <c r="M822" s="7" t="n">
        <v>-0.0255</v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3" t="n">
        <v>4141</v>
      </c>
      <c r="F823" s="8" t="n">
        <v>0.3107</v>
      </c>
      <c r="G823" s="4" t="n">
        <v>78.27209999999999</v>
      </c>
      <c r="H823" s="4" t="n">
        <v>49.0256</v>
      </c>
      <c r="I823" s="4" t="n">
        <v>11.485</v>
      </c>
      <c r="J823" s="4" t="n">
        <v>11.995</v>
      </c>
      <c r="K823" s="4" t="n">
        <v>10.5375</v>
      </c>
      <c r="L823" s="4" t="n">
        <v>11.6525</v>
      </c>
      <c r="M823" s="7" t="n">
        <v>0.0146</v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3" t="n">
        <v>3978</v>
      </c>
      <c r="F824" s="8" t="n">
        <v>0.2966</v>
      </c>
      <c r="G824" s="4" t="n">
        <v>62.9669</v>
      </c>
      <c r="H824" s="4" t="n">
        <v>48.2675</v>
      </c>
      <c r="I824" s="4" t="n">
        <v>11.6525</v>
      </c>
      <c r="J824" s="4" t="n">
        <v>11.6525</v>
      </c>
      <c r="K824" s="4" t="n">
        <v>10.1125</v>
      </c>
      <c r="L824" s="4" t="n">
        <v>10.2425</v>
      </c>
      <c r="M824" s="7" t="n">
        <v>-0.121</v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3" t="n">
        <v>4025</v>
      </c>
      <c r="F825" s="8" t="n">
        <v>0.284</v>
      </c>
      <c r="G825" s="4" t="n">
        <v>68.2761</v>
      </c>
      <c r="H825" s="4" t="n">
        <v>45.3461</v>
      </c>
      <c r="I825" s="4" t="n">
        <v>10.2425</v>
      </c>
      <c r="J825" s="4" t="n">
        <v>10.8625</v>
      </c>
      <c r="K825" s="4" t="n">
        <v>10.2175</v>
      </c>
      <c r="L825" s="4" t="n">
        <v>10.4575</v>
      </c>
      <c r="M825" s="7" t="n">
        <v>0.021</v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3" t="n">
        <v>3969</v>
      </c>
      <c r="F826" s="8" t="n">
        <v>0.2851</v>
      </c>
      <c r="G826" s="4" t="n">
        <v>63.1708</v>
      </c>
      <c r="H826" s="4" t="n">
        <v>44.3576</v>
      </c>
      <c r="I826" s="4" t="n">
        <v>10.4575</v>
      </c>
      <c r="J826" s="4" t="n">
        <v>10.9825</v>
      </c>
      <c r="K826" s="4" t="n">
        <v>9.887499999999999</v>
      </c>
      <c r="L826" s="4" t="n">
        <v>10.5125</v>
      </c>
      <c r="M826" s="7" t="n">
        <v>0.0053</v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3" t="n">
        <v>3969</v>
      </c>
      <c r="F827" s="8" t="n">
        <v>0.2933</v>
      </c>
      <c r="G827" s="4" t="n">
        <v>50.407</v>
      </c>
      <c r="H827" s="4" t="n">
        <v>49.9507</v>
      </c>
      <c r="I827" s="4" t="n">
        <v>10.5125</v>
      </c>
      <c r="J827" s="4" t="n">
        <v>10.81</v>
      </c>
      <c r="K827" s="4" t="n">
        <v>10.035</v>
      </c>
      <c r="L827" s="4" t="n">
        <v>10.135</v>
      </c>
      <c r="M827" s="7" t="n">
        <v>-0.0359</v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3" t="n">
        <v>4207</v>
      </c>
      <c r="F828" s="8" t="n">
        <v>0.31</v>
      </c>
      <c r="G828" s="4" t="n">
        <v>63.9203</v>
      </c>
      <c r="H828" s="4" t="n">
        <v>52.4591</v>
      </c>
      <c r="I828" s="4" t="n">
        <v>10.135</v>
      </c>
      <c r="J828" s="4" t="n">
        <v>11.1875</v>
      </c>
      <c r="K828" s="4" t="n">
        <v>10.135</v>
      </c>
      <c r="L828" s="4" t="n">
        <v>10.4125</v>
      </c>
      <c r="M828" s="7" t="n">
        <v>0.0274</v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3" t="n">
        <v>4044</v>
      </c>
      <c r="F829" s="8" t="n">
        <v>0.3201</v>
      </c>
      <c r="G829" s="4" t="n">
        <v>81.8326</v>
      </c>
      <c r="H829" s="4" t="n">
        <v>64.4447</v>
      </c>
      <c r="I829" s="4" t="n">
        <v>10.4125</v>
      </c>
      <c r="J829" s="4" t="n">
        <v>10.7025</v>
      </c>
      <c r="K829" s="4" t="n">
        <v>10.195</v>
      </c>
      <c r="L829" s="4" t="n">
        <v>10.2825</v>
      </c>
      <c r="M829" s="7" t="n">
        <v>-0.0125</v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3" t="n">
        <v>4042</v>
      </c>
      <c r="F830" s="8" t="n">
        <v>0.3366</v>
      </c>
      <c r="G830" s="4" t="n">
        <v>77.7949</v>
      </c>
      <c r="H830" s="4" t="n">
        <v>50.968</v>
      </c>
      <c r="I830" s="4" t="n">
        <v>10.2825</v>
      </c>
      <c r="J830" s="4" t="n">
        <v>11.805</v>
      </c>
      <c r="K830" s="4" t="n">
        <v>9.949999999999999</v>
      </c>
      <c r="L830" s="4" t="n">
        <v>11.2775</v>
      </c>
      <c r="M830" s="7" t="n">
        <v>0.0968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4031</v>
      </c>
      <c r="F831" s="8" t="n">
        <v>0.3292</v>
      </c>
      <c r="G831" s="4" t="n">
        <v>62.1534</v>
      </c>
      <c r="H831" s="4" t="n">
        <v>55.244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4007</v>
      </c>
      <c r="F832" s="8" t="n">
        <v>0.3143</v>
      </c>
      <c r="G832" s="4" t="n">
        <v>79.92910000000001</v>
      </c>
      <c r="H832" s="4" t="n">
        <v>54.7708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3" t="n">
        <v>4239</v>
      </c>
      <c r="F833" s="8" t="n">
        <v>0.3485</v>
      </c>
      <c r="G833" s="4" t="n">
        <v>85.31</v>
      </c>
      <c r="H833" s="4" t="n">
        <v>98.06829999999999</v>
      </c>
      <c r="I833" s="4" t="n">
        <v>10.5725</v>
      </c>
      <c r="J833" s="4" t="n">
        <v>11.4175</v>
      </c>
      <c r="K833" s="4" t="n">
        <v>10.4025</v>
      </c>
      <c r="L833" s="4" t="n">
        <v>11.1025</v>
      </c>
      <c r="M833" s="7" t="n">
        <v>0.0501</v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3" t="n">
        <v>4083</v>
      </c>
      <c r="F834" s="8" t="n">
        <v>0.3163</v>
      </c>
      <c r="G834" s="4" t="n">
        <v>85.7017</v>
      </c>
      <c r="H834" s="4" t="n">
        <v>62.5391</v>
      </c>
      <c r="I834" s="4" t="n">
        <v>11.1025</v>
      </c>
      <c r="J834" s="4" t="n">
        <v>11.53</v>
      </c>
      <c r="K834" s="4" t="n">
        <v>11.1025</v>
      </c>
      <c r="L834" s="4" t="n">
        <v>11.325</v>
      </c>
      <c r="M834" s="7" t="n">
        <v>0.02</v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3" t="n">
        <v>4026</v>
      </c>
      <c r="F835" s="8" t="n">
        <v>0.3051</v>
      </c>
      <c r="G835" s="4" t="n">
        <v>107.555</v>
      </c>
      <c r="H835" s="4" t="n">
        <v>54.3206</v>
      </c>
      <c r="I835" s="4" t="n">
        <v>11.325</v>
      </c>
      <c r="J835" s="4" t="n">
        <v>11.765</v>
      </c>
      <c r="K835" s="4" t="n">
        <v>10.485</v>
      </c>
      <c r="L835" s="4" t="n">
        <v>11.14</v>
      </c>
      <c r="M835" s="7" t="n">
        <v>-0.0163</v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3" t="n">
        <v>4055</v>
      </c>
      <c r="F836" s="8" t="n">
        <v>0.3202</v>
      </c>
      <c r="G836" s="4" t="n">
        <v>101.9347</v>
      </c>
      <c r="H836" s="4" t="n">
        <v>63.2598</v>
      </c>
      <c r="I836" s="4" t="n">
        <v>11.14</v>
      </c>
      <c r="J836" s="4" t="n">
        <v>11.91</v>
      </c>
      <c r="K836" s="4" t="n">
        <v>10.6275</v>
      </c>
      <c r="L836" s="4" t="n">
        <v>11.4</v>
      </c>
      <c r="M836" s="7" t="n">
        <v>0.0233</v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3" t="n">
        <v>4038</v>
      </c>
      <c r="F837" s="8" t="n">
        <v>0.3202</v>
      </c>
      <c r="G837" s="4" t="n">
        <v>90.17959999999999</v>
      </c>
      <c r="H837" s="4" t="n">
        <v>48.9479</v>
      </c>
      <c r="I837" s="4" t="n">
        <v>11.4</v>
      </c>
      <c r="J837" s="4" t="n">
        <v>11.865</v>
      </c>
      <c r="K837" s="4" t="n">
        <v>11.355</v>
      </c>
      <c r="L837" s="4" t="n">
        <v>11.5225</v>
      </c>
      <c r="M837" s="7" t="n">
        <v>0.0107</v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3" t="n">
        <v>4208</v>
      </c>
      <c r="F838" s="8" t="n">
        <v>0.3324</v>
      </c>
      <c r="G838" s="4" t="n">
        <v>99.4136</v>
      </c>
      <c r="H838" s="4" t="n">
        <v>57.1981</v>
      </c>
      <c r="I838" s="4" t="n">
        <v>11.5225</v>
      </c>
      <c r="J838" s="4" t="n">
        <v>12.755</v>
      </c>
      <c r="K838" s="4" t="n">
        <v>10.4775</v>
      </c>
      <c r="L838" s="4" t="n">
        <v>11.995</v>
      </c>
      <c r="M838" s="7" t="n">
        <v>0.041</v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4053</v>
      </c>
      <c r="F839" s="8" t="n">
        <v>0.3068</v>
      </c>
      <c r="G839" s="4" t="n">
        <v>145.1973</v>
      </c>
      <c r="H839" s="4" t="n">
        <v>193.3561</v>
      </c>
      <c r="I839" s="4" t="n">
        <v>11.995</v>
      </c>
      <c r="J839" s="4" t="n">
        <v>12.6825</v>
      </c>
      <c r="K839" s="4" t="n">
        <v>11.995</v>
      </c>
      <c r="L839" s="4" t="n">
        <v>12.125</v>
      </c>
      <c r="M839" s="7" t="n">
        <v>0.0108</v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4026</v>
      </c>
      <c r="F840" s="8" t="n">
        <v>0.2916</v>
      </c>
      <c r="G840" s="4" t="n">
        <v>65.9954</v>
      </c>
      <c r="H840" s="4" t="n">
        <v>42.9802</v>
      </c>
      <c r="I840" s="4" t="n">
        <v>12.125</v>
      </c>
      <c r="J840" s="4" t="n">
        <v>12.665</v>
      </c>
      <c r="K840" s="4" t="n">
        <v>12.1125</v>
      </c>
      <c r="L840" s="4" t="n">
        <v>12.24</v>
      </c>
      <c r="M840" s="7" t="n">
        <v>0.0095</v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4019</v>
      </c>
      <c r="F841" s="8" t="n">
        <v>0.3309</v>
      </c>
      <c r="G841" s="4" t="n">
        <v>86.4774</v>
      </c>
      <c r="H841" s="4" t="n">
        <v>74.8689</v>
      </c>
      <c r="I841" s="4" t="n">
        <v>12.24</v>
      </c>
      <c r="J841" s="4" t="n">
        <v>12.4925</v>
      </c>
      <c r="K841" s="4" t="n">
        <v>10.7875</v>
      </c>
      <c r="L841" s="4" t="n">
        <v>12.1425</v>
      </c>
      <c r="M841" s="7" t="n">
        <v>-0.008</v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4223</v>
      </c>
      <c r="F842" s="8" t="n">
        <v>0.2988</v>
      </c>
      <c r="G842" s="4" t="n">
        <v>66.6944</v>
      </c>
      <c r="H842" s="4" t="n">
        <v>42.9327</v>
      </c>
      <c r="I842" s="4" t="n">
        <v>12.1425</v>
      </c>
      <c r="J842" s="4" t="n">
        <v>12.59</v>
      </c>
      <c r="K842" s="4" t="n">
        <v>11.1725</v>
      </c>
      <c r="L842" s="4" t="n">
        <v>11.96</v>
      </c>
      <c r="M842" s="7" t="n">
        <v>-0.015</v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4103</v>
      </c>
      <c r="F843" s="8" t="n">
        <v>0.2912</v>
      </c>
      <c r="G843" s="4" t="n">
        <v>85.58110000000001</v>
      </c>
      <c r="H843" s="4" t="n">
        <v>46.4708</v>
      </c>
      <c r="I843" s="4" t="n">
        <v>11.96</v>
      </c>
      <c r="J843" s="4" t="n">
        <v>12.085</v>
      </c>
      <c r="K843" s="4" t="n">
        <v>11.59</v>
      </c>
      <c r="L843" s="4" t="n">
        <v>11.7475</v>
      </c>
      <c r="M843" s="7" t="n">
        <v>-0.0178</v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4060</v>
      </c>
      <c r="F844" s="8" t="n">
        <v>0.3082</v>
      </c>
      <c r="G844" s="4" t="n">
        <v>93.5898</v>
      </c>
      <c r="H844" s="4" t="n">
        <v>52.5877</v>
      </c>
      <c r="I844" s="4" t="n">
        <v>11.7475</v>
      </c>
      <c r="J844" s="4" t="n">
        <v>11.885</v>
      </c>
      <c r="K844" s="4" t="n">
        <v>10.3075</v>
      </c>
      <c r="L844" s="4" t="n">
        <v>11.7275</v>
      </c>
      <c r="M844" s="7" t="n">
        <v>-0.0017</v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4083</v>
      </c>
      <c r="F845" s="8" t="n">
        <v>0.3108</v>
      </c>
      <c r="G845" s="4" t="n">
        <v>92.7658</v>
      </c>
      <c r="H845" s="4" t="n">
        <v>80.90260000000001</v>
      </c>
      <c r="I845" s="4" t="n">
        <v>11.7275</v>
      </c>
      <c r="J845" s="4" t="n">
        <v>12.235</v>
      </c>
      <c r="K845" s="4" t="n">
        <v>10.1975</v>
      </c>
      <c r="L845" s="4" t="n">
        <v>11.7</v>
      </c>
      <c r="M845" s="7" t="n">
        <v>-0.0023</v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3" t="n">
        <v>4054</v>
      </c>
      <c r="F846" s="8" t="n">
        <v>0.3197</v>
      </c>
      <c r="G846" s="4" t="n">
        <v>81.68380000000001</v>
      </c>
      <c r="H846" s="4" t="n">
        <v>82.5784</v>
      </c>
      <c r="I846" s="4" t="n">
        <v>11.7</v>
      </c>
      <c r="J846" s="4" t="n">
        <v>12.2425</v>
      </c>
      <c r="K846" s="4" t="n">
        <v>9.98</v>
      </c>
      <c r="L846" s="4" t="n">
        <v>12.0825</v>
      </c>
      <c r="M846" s="7" t="n">
        <v>0.0327</v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3" t="n">
        <v>4204</v>
      </c>
      <c r="F847" s="8" t="n">
        <v>0.2958</v>
      </c>
      <c r="G847" s="4" t="n">
        <v>106.1288</v>
      </c>
      <c r="H847" s="4" t="n">
        <v>81.904</v>
      </c>
      <c r="I847" s="4" t="n">
        <v>12.0825</v>
      </c>
      <c r="J847" s="4" t="n">
        <v>12.72</v>
      </c>
      <c r="K847" s="4" t="n">
        <v>9.5</v>
      </c>
      <c r="L847" s="4" t="n">
        <v>12.3975</v>
      </c>
      <c r="M847" s="7" t="n">
        <v>0.0261</v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3" t="n">
        <v>4045</v>
      </c>
      <c r="F848" s="8" t="n">
        <v>0.2956</v>
      </c>
      <c r="G848" s="4" t="n">
        <v>83.7071</v>
      </c>
      <c r="H848" s="4" t="n">
        <v>70.01600000000001</v>
      </c>
      <c r="I848" s="4" t="n">
        <v>12.3975</v>
      </c>
      <c r="J848" s="4" t="n">
        <v>12.4625</v>
      </c>
      <c r="K848" s="4" t="n">
        <v>10.6475</v>
      </c>
      <c r="L848" s="4" t="n">
        <v>12.225</v>
      </c>
      <c r="M848" s="7" t="n">
        <v>-0.0139</v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3" t="n">
        <v>4073</v>
      </c>
      <c r="F849" s="8" t="n">
        <v>0.3116</v>
      </c>
      <c r="G849" s="4" t="n">
        <v>99.1143</v>
      </c>
      <c r="H849" s="4" t="n">
        <v>57.637</v>
      </c>
      <c r="I849" s="4" t="n">
        <v>12.225</v>
      </c>
      <c r="J849" s="4" t="n">
        <v>12.2425</v>
      </c>
      <c r="K849" s="4" t="n">
        <v>11.4625</v>
      </c>
      <c r="L849" s="4" t="n">
        <v>11.8</v>
      </c>
      <c r="M849" s="7" t="n">
        <v>-0.0348</v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3" t="n">
        <v>4039</v>
      </c>
      <c r="F850" s="8" t="n">
        <v>0.3499</v>
      </c>
      <c r="G850" s="4" t="n">
        <v>100.5831</v>
      </c>
      <c r="H850" s="4" t="n">
        <v>77.1835</v>
      </c>
      <c r="I850" s="4" t="n">
        <v>11.8</v>
      </c>
      <c r="J850" s="4" t="n">
        <v>12.28</v>
      </c>
      <c r="K850" s="4" t="n">
        <v>11.76</v>
      </c>
      <c r="L850" s="4" t="n">
        <v>12.0625</v>
      </c>
      <c r="M850" s="7" t="n">
        <v>0.0222</v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4075</v>
      </c>
      <c r="F851" s="8" t="n">
        <v>0.3899</v>
      </c>
      <c r="G851" s="4" t="n">
        <v>151.1164</v>
      </c>
      <c r="H851" s="4" t="n">
        <v>133.2764</v>
      </c>
      <c r="I851" s="4" t="n">
        <v>12.0625</v>
      </c>
      <c r="J851" s="4" t="n">
        <v>12.18</v>
      </c>
      <c r="K851" s="4" t="n">
        <v>10.4075</v>
      </c>
      <c r="L851" s="4" t="n">
        <v>11.365</v>
      </c>
      <c r="M851" s="7" t="n">
        <v>-0.0578</v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4290</v>
      </c>
      <c r="F852" s="8" t="n">
        <v>0.3888</v>
      </c>
      <c r="G852" s="4" t="n">
        <v>113.7687</v>
      </c>
      <c r="H852" s="4" t="n">
        <v>68.24469999999999</v>
      </c>
      <c r="I852" s="4" t="n">
        <v>11.365</v>
      </c>
      <c r="J852" s="4" t="n">
        <v>11.5425</v>
      </c>
      <c r="K852" s="4" t="n">
        <v>10.86</v>
      </c>
      <c r="L852" s="4" t="n">
        <v>10.9625</v>
      </c>
      <c r="M852" s="7" t="n">
        <v>-0.0354</v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4125</v>
      </c>
      <c r="F853" s="8" t="n">
        <v>0.3768</v>
      </c>
      <c r="G853" s="4" t="n">
        <v>107.7351</v>
      </c>
      <c r="H853" s="4" t="n">
        <v>62.8865</v>
      </c>
      <c r="I853" s="4" t="n">
        <v>10.9625</v>
      </c>
      <c r="J853" s="4" t="n">
        <v>11.085</v>
      </c>
      <c r="K853" s="4" t="n">
        <v>9.365</v>
      </c>
      <c r="L853" s="4" t="n">
        <v>10.815</v>
      </c>
      <c r="M853" s="7" t="n">
        <v>-0.0135</v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4084</v>
      </c>
      <c r="F854" s="8" t="n">
        <v>0.3577</v>
      </c>
      <c r="G854" s="4" t="n">
        <v>110.045</v>
      </c>
      <c r="H854" s="4" t="n">
        <v>69.2552</v>
      </c>
      <c r="I854" s="4" t="n">
        <v>10.815</v>
      </c>
      <c r="J854" s="4" t="n">
        <v>10.975</v>
      </c>
      <c r="K854" s="4" t="n">
        <v>9.805</v>
      </c>
      <c r="L854" s="4" t="n">
        <v>10.6775</v>
      </c>
      <c r="M854" s="7" t="n">
        <v>-0.0127</v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4113</v>
      </c>
      <c r="F855" s="8" t="n">
        <v>0.3445</v>
      </c>
      <c r="G855" s="4" t="n">
        <v>125.8421</v>
      </c>
      <c r="H855" s="4" t="n">
        <v>59.1851</v>
      </c>
      <c r="I855" s="4" t="n">
        <v>10.6775</v>
      </c>
      <c r="J855" s="4" t="n">
        <v>11.025</v>
      </c>
      <c r="K855" s="4" t="n">
        <v>9.800000000000001</v>
      </c>
      <c r="L855" s="4" t="n">
        <v>10.8725</v>
      </c>
      <c r="M855" s="7" t="n">
        <v>0.0183</v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4165</v>
      </c>
      <c r="F856" s="8" t="n">
        <v>0.3551</v>
      </c>
      <c r="G856" s="4" t="n">
        <v>124.8438</v>
      </c>
      <c r="H856" s="4" t="n">
        <v>68.8415</v>
      </c>
      <c r="I856" s="4" t="n">
        <v>10.8725</v>
      </c>
      <c r="J856" s="4" t="n">
        <v>10.97</v>
      </c>
      <c r="K856" s="4" t="n">
        <v>10.0775</v>
      </c>
      <c r="L856" s="4" t="n">
        <v>10.78</v>
      </c>
      <c r="M856" s="7" t="n">
        <v>-0.008500000000000001</v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4269</v>
      </c>
      <c r="F857" s="8" t="n">
        <v>0.3866</v>
      </c>
      <c r="G857" s="4" t="n">
        <v>123.6762</v>
      </c>
      <c r="H857" s="4" t="n">
        <v>70.661</v>
      </c>
      <c r="I857" s="4" t="n">
        <v>10.78</v>
      </c>
      <c r="J857" s="4" t="n">
        <v>11.5</v>
      </c>
      <c r="K857" s="4" t="n">
        <v>10.3375</v>
      </c>
      <c r="L857" s="4" t="n">
        <v>11.3475</v>
      </c>
      <c r="M857" s="7" t="n">
        <v>0.0526</v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3" t="n">
        <v>4089</v>
      </c>
      <c r="F858" s="8" t="n">
        <v>0.4978</v>
      </c>
      <c r="G858" s="4" t="n">
        <v>158.7979</v>
      </c>
      <c r="H858" s="4" t="n">
        <v>93.19370000000001</v>
      </c>
      <c r="I858" s="4" t="n">
        <v>11.3475</v>
      </c>
      <c r="J858" s="4" t="n">
        <v>12.0225</v>
      </c>
      <c r="K858" s="4" t="n">
        <v>10.7125</v>
      </c>
      <c r="L858" s="4" t="n">
        <v>11.69</v>
      </c>
      <c r="M858" s="7" t="n">
        <v>0.0302</v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3" t="n">
        <v>4097</v>
      </c>
      <c r="F859" s="8" t="n">
        <v>0.3522</v>
      </c>
      <c r="G859" s="4" t="n">
        <v>123.5874</v>
      </c>
      <c r="H859" s="4" t="n">
        <v>61.4664</v>
      </c>
      <c r="I859" s="4" t="n">
        <v>11.69</v>
      </c>
      <c r="J859" s="4" t="n">
        <v>12.0475</v>
      </c>
      <c r="K859" s="4" t="n">
        <v>11.535</v>
      </c>
      <c r="L859" s="4" t="n">
        <v>11.8275</v>
      </c>
      <c r="M859" s="7" t="n">
        <v>0.0118</v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3" t="n">
        <v>4125</v>
      </c>
      <c r="F860" s="8" t="n">
        <v>0.287</v>
      </c>
      <c r="G860" s="4" t="n">
        <v>98.27979999999999</v>
      </c>
      <c r="H860" s="4" t="n">
        <v>52.2839</v>
      </c>
      <c r="I860" s="4" t="n">
        <v>11.8275</v>
      </c>
      <c r="J860" s="4" t="n">
        <v>12.0425</v>
      </c>
      <c r="K860" s="4" t="n">
        <v>11.21</v>
      </c>
      <c r="L860" s="4" t="n">
        <v>11.3175</v>
      </c>
      <c r="M860" s="7" t="n">
        <v>-0.0431</v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3" t="n">
        <v>4095</v>
      </c>
      <c r="F861" s="8" t="n">
        <v>0.3135</v>
      </c>
      <c r="G861" s="4" t="n">
        <v>128.5599</v>
      </c>
      <c r="H861" s="4" t="n">
        <v>55.5211</v>
      </c>
      <c r="I861" s="4" t="n">
        <v>11.3175</v>
      </c>
      <c r="J861" s="4" t="n">
        <v>11.32</v>
      </c>
      <c r="K861" s="4" t="n">
        <v>10.0725</v>
      </c>
      <c r="L861" s="4" t="n">
        <v>10.9025</v>
      </c>
      <c r="M861" s="7" t="n">
        <v>-0.0367</v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3" t="n">
        <v>4272</v>
      </c>
      <c r="F862" s="8" t="n">
        <v>0.3207</v>
      </c>
      <c r="G862" s="4" t="n">
        <v>110.4851</v>
      </c>
      <c r="H862" s="4" t="n">
        <v>54.0045</v>
      </c>
      <c r="I862" s="4" t="n">
        <v>10.9025</v>
      </c>
      <c r="J862" s="4" t="n">
        <v>11.4075</v>
      </c>
      <c r="K862" s="4" t="n">
        <v>10.45</v>
      </c>
      <c r="L862" s="4" t="n">
        <v>10.835</v>
      </c>
      <c r="M862" s="7" t="n">
        <v>-0.0062</v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4105</v>
      </c>
      <c r="F863" s="8" t="n">
        <v>0.3076</v>
      </c>
      <c r="G863" s="4" t="n">
        <v>79.7197</v>
      </c>
      <c r="H863" s="4" t="n">
        <v>54.2541</v>
      </c>
      <c r="I863" s="4" t="n">
        <v>10.835</v>
      </c>
      <c r="J863" s="4" t="n">
        <v>11.47</v>
      </c>
      <c r="K863" s="4" t="n">
        <v>10.835</v>
      </c>
      <c r="L863" s="4" t="n">
        <v>11.1275</v>
      </c>
      <c r="M863" s="7" t="n">
        <v>0.027</v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4075</v>
      </c>
      <c r="F864" s="8" t="n">
        <v>0.3069</v>
      </c>
      <c r="G864" s="4" t="n">
        <v>78.4053</v>
      </c>
      <c r="H864" s="4" t="n">
        <v>51.0835</v>
      </c>
      <c r="I864" s="4" t="n">
        <v>11.1275</v>
      </c>
      <c r="J864" s="4" t="n">
        <v>11.39</v>
      </c>
      <c r="K864" s="4" t="n">
        <v>10.62</v>
      </c>
      <c r="L864" s="4" t="n">
        <v>10.8175</v>
      </c>
      <c r="M864" s="7" t="n">
        <v>-0.0279</v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4086</v>
      </c>
      <c r="F865" s="8" t="n">
        <v>0.2888</v>
      </c>
      <c r="G865" s="4" t="n">
        <v>85.45010000000001</v>
      </c>
      <c r="H865" s="4" t="n">
        <v>48.8154</v>
      </c>
      <c r="I865" s="4" t="n">
        <v>10.8175</v>
      </c>
      <c r="J865" s="4" t="n">
        <v>11.0725</v>
      </c>
      <c r="K865" s="4" t="n">
        <v>10.3925</v>
      </c>
      <c r="L865" s="4" t="n">
        <v>10.66</v>
      </c>
      <c r="M865" s="7" t="n">
        <v>-0.0146</v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3" t="n">
        <v>4258</v>
      </c>
      <c r="F866" s="8" t="n">
        <v>0.2781</v>
      </c>
      <c r="G866" s="4" t="n">
        <v>68.1001</v>
      </c>
      <c r="H866" s="4" t="n">
        <v>43.6669</v>
      </c>
      <c r="I866" s="4" t="n">
        <v>10.66</v>
      </c>
      <c r="J866" s="4" t="n">
        <v>11.305</v>
      </c>
      <c r="K866" s="4" t="n">
        <v>10.2725</v>
      </c>
      <c r="L866" s="4" t="n">
        <v>10.9</v>
      </c>
      <c r="M866" s="7" t="n">
        <v>0.0225</v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3" t="n">
        <v>4091</v>
      </c>
      <c r="F867" s="8" t="n">
        <v>0.249</v>
      </c>
      <c r="G867" s="4" t="n">
        <v>70.8468</v>
      </c>
      <c r="H867" s="4" t="n">
        <v>47.1245</v>
      </c>
      <c r="I867" s="4" t="n">
        <v>10.9</v>
      </c>
      <c r="J867" s="4" t="n">
        <v>11.29</v>
      </c>
      <c r="K867" s="4" t="n">
        <v>9.2475</v>
      </c>
      <c r="L867" s="4" t="n">
        <v>11.185</v>
      </c>
      <c r="M867" s="7" t="n">
        <v>0.0261</v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3" t="n">
        <v>4090</v>
      </c>
      <c r="F868" s="8" t="n">
        <v>0.2676</v>
      </c>
      <c r="G868" s="4" t="n">
        <v>68.85850000000001</v>
      </c>
      <c r="H868" s="4" t="n">
        <v>42.9264</v>
      </c>
      <c r="I868" s="4" t="n">
        <v>11.185</v>
      </c>
      <c r="J868" s="4" t="n">
        <v>11.8225</v>
      </c>
      <c r="K868" s="4" t="n">
        <v>9.390000000000001</v>
      </c>
      <c r="L868" s="4" t="n">
        <v>11.585</v>
      </c>
      <c r="M868" s="7" t="n">
        <v>0.0358</v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3" t="n">
        <v>4102</v>
      </c>
      <c r="F869" s="8" t="n">
        <v>0.2924</v>
      </c>
      <c r="G869" s="4" t="n">
        <v>73.277</v>
      </c>
      <c r="H869" s="4" t="n">
        <v>55.0057</v>
      </c>
      <c r="I869" s="4" t="n">
        <v>11.585</v>
      </c>
      <c r="J869" s="4" t="n">
        <v>13.0225</v>
      </c>
      <c r="K869" s="4" t="n">
        <v>9.397500000000001</v>
      </c>
      <c r="L869" s="4" t="n">
        <v>12.8225</v>
      </c>
      <c r="M869" s="7" t="n">
        <v>0.1068</v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3" t="n">
        <v>4077</v>
      </c>
      <c r="F870" s="8" t="n">
        <v>0.2759</v>
      </c>
      <c r="G870" s="4" t="n">
        <v>59.2296</v>
      </c>
      <c r="H870" s="4" t="n">
        <v>49.691</v>
      </c>
      <c r="I870" s="4" t="n">
        <v>12.8225</v>
      </c>
      <c r="J870" s="4" t="n">
        <v>12.8225</v>
      </c>
      <c r="K870" s="4" t="n">
        <v>11.3075</v>
      </c>
      <c r="L870" s="4" t="n">
        <v>11.4525</v>
      </c>
      <c r="M870" s="7" t="n">
        <v>-0.1068</v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4312</v>
      </c>
      <c r="F871" s="8" t="n">
        <v>0.313</v>
      </c>
      <c r="G871" s="4" t="n">
        <v>68.24590000000001</v>
      </c>
      <c r="H871" s="4" t="n">
        <v>46.5221</v>
      </c>
      <c r="I871" s="4" t="n">
        <v>11.4525</v>
      </c>
      <c r="J871" s="4" t="n">
        <v>12.4075</v>
      </c>
      <c r="K871" s="4" t="n">
        <v>10.775</v>
      </c>
      <c r="L871" s="4" t="n">
        <v>11.7875</v>
      </c>
      <c r="M871" s="7" t="n">
        <v>0.0293</v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4124</v>
      </c>
      <c r="F872" s="8" t="n">
        <v>0.3031</v>
      </c>
      <c r="G872" s="4" t="n">
        <v>81.9469</v>
      </c>
      <c r="H872" s="4" t="n">
        <v>49.5671</v>
      </c>
      <c r="I872" s="4" t="n">
        <v>11.7875</v>
      </c>
      <c r="J872" s="4" t="n">
        <v>12.22</v>
      </c>
      <c r="K872" s="4" t="n">
        <v>11.115</v>
      </c>
      <c r="L872" s="4" t="n">
        <v>11.655</v>
      </c>
      <c r="M872" s="7" t="n">
        <v>-0.0112</v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4080</v>
      </c>
      <c r="F873" s="8" t="n">
        <v>0.2759</v>
      </c>
      <c r="G873" s="4" t="n">
        <v>78.5874</v>
      </c>
      <c r="H873" s="4" t="n">
        <v>43.8098</v>
      </c>
      <c r="I873" s="4" t="n">
        <v>11.655</v>
      </c>
      <c r="J873" s="4" t="n">
        <v>11.655</v>
      </c>
      <c r="K873" s="4" t="n">
        <v>10.8425</v>
      </c>
      <c r="L873" s="4" t="n">
        <v>10.94</v>
      </c>
      <c r="M873" s="7" t="n">
        <v>-0.0613</v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4108</v>
      </c>
      <c r="F874" s="8" t="n">
        <v>0.2963</v>
      </c>
      <c r="G874" s="4" t="n">
        <v>68.55500000000001</v>
      </c>
      <c r="H874" s="4" t="n">
        <v>48.6321</v>
      </c>
      <c r="I874" s="4" t="n">
        <v>10.94</v>
      </c>
      <c r="J874" s="4" t="n">
        <v>10.94</v>
      </c>
      <c r="K874" s="4" t="n">
        <v>9.73</v>
      </c>
      <c r="L874" s="4" t="n">
        <v>10.3</v>
      </c>
      <c r="M874" s="7" t="n">
        <v>-0.0585</v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4266</v>
      </c>
      <c r="F875" s="8" t="n">
        <v>0.3229</v>
      </c>
      <c r="G875" s="4" t="n">
        <v>73.917</v>
      </c>
      <c r="H875" s="4" t="n">
        <v>44.7846</v>
      </c>
      <c r="I875" s="4" t="n">
        <v>10.3</v>
      </c>
      <c r="J875" s="4" t="n">
        <v>11.6325</v>
      </c>
      <c r="K875" s="4" t="n">
        <v>10.12</v>
      </c>
      <c r="L875" s="4" t="n">
        <v>11.4</v>
      </c>
      <c r="M875" s="7" t="n">
        <v>0.1068</v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4113</v>
      </c>
      <c r="F876" s="8" t="n">
        <v>0.2574</v>
      </c>
      <c r="G876" s="4" t="n">
        <v>60.9198</v>
      </c>
      <c r="H876" s="4" t="n">
        <v>41.0968</v>
      </c>
      <c r="I876" s="4" t="n">
        <v>11.4</v>
      </c>
      <c r="J876" s="4" t="n">
        <v>11.4</v>
      </c>
      <c r="K876" s="4" t="n">
        <v>10.855</v>
      </c>
      <c r="L876" s="4" t="n">
        <v>11.27</v>
      </c>
      <c r="M876" s="7" t="n">
        <v>-0.0114</v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4148</v>
      </c>
      <c r="F877" s="8" t="n">
        <v>0.2748</v>
      </c>
      <c r="G877" s="4" t="n">
        <v>75.7176</v>
      </c>
      <c r="H877" s="4" t="n">
        <v>67.96729999999999</v>
      </c>
      <c r="I877" s="4" t="n">
        <v>11.27</v>
      </c>
      <c r="J877" s="4" t="n">
        <v>11.3225</v>
      </c>
      <c r="K877" s="4" t="n">
        <v>10.39</v>
      </c>
      <c r="L877" s="4" t="n">
        <v>10.985</v>
      </c>
      <c r="M877" s="7" t="n">
        <v>-0.0253</v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4106</v>
      </c>
      <c r="F878" s="8" t="n">
        <v>0.2629</v>
      </c>
      <c r="G878" s="4" t="n">
        <v>61.692</v>
      </c>
      <c r="H878" s="4" t="n">
        <v>43.702</v>
      </c>
      <c r="I878" s="4" t="n">
        <v>10.985</v>
      </c>
      <c r="J878" s="4" t="n">
        <v>11.1175</v>
      </c>
      <c r="K878" s="4" t="n">
        <v>10.565</v>
      </c>
      <c r="L878" s="4" t="n">
        <v>10.6175</v>
      </c>
      <c r="M878" s="7" t="n">
        <v>-0.0335</v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4127</v>
      </c>
      <c r="F879" s="8" t="n">
        <v>0.3148</v>
      </c>
      <c r="G879" s="4" t="n">
        <v>64.0626</v>
      </c>
      <c r="H879" s="4" t="n">
        <v>57.3458</v>
      </c>
      <c r="I879" s="4" t="n">
        <v>10.6175</v>
      </c>
      <c r="J879" s="4" t="n">
        <v>11.025</v>
      </c>
      <c r="K879" s="4" t="n">
        <v>10.4025</v>
      </c>
      <c r="L879" s="4" t="n">
        <v>10.6175</v>
      </c>
      <c r="M879" s="7" t="n">
        <v>0</v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4297</v>
      </c>
      <c r="F880" s="8" t="n">
        <v>0.3057</v>
      </c>
      <c r="G880" s="4" t="n">
        <v>67.5145</v>
      </c>
      <c r="H880" s="4" t="n">
        <v>47.2374</v>
      </c>
      <c r="I880" s="4" t="n">
        <v>10.6175</v>
      </c>
      <c r="J880" s="4" t="n">
        <v>11.1525</v>
      </c>
      <c r="K880" s="4" t="n">
        <v>9.1525</v>
      </c>
      <c r="L880" s="4" t="n">
        <v>11.07</v>
      </c>
      <c r="M880" s="7" t="n">
        <v>0.0426</v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3" t="n">
        <v>4123</v>
      </c>
      <c r="F881" s="8" t="n">
        <v>0.2969</v>
      </c>
      <c r="G881" s="4" t="n">
        <v>68.9751</v>
      </c>
      <c r="H881" s="4" t="n">
        <v>49.3477</v>
      </c>
      <c r="I881" s="4" t="n">
        <v>11.07</v>
      </c>
      <c r="J881" s="4" t="n">
        <v>11.07</v>
      </c>
      <c r="K881" s="4" t="n">
        <v>10.4275</v>
      </c>
      <c r="L881" s="4" t="n">
        <v>10.695</v>
      </c>
      <c r="M881" s="7" t="n">
        <v>-0.0339</v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3" t="n">
        <v>4153</v>
      </c>
      <c r="F882" s="8" t="n">
        <v>0.3157</v>
      </c>
      <c r="G882" s="4" t="n">
        <v>73.4413</v>
      </c>
      <c r="H882" s="4" t="n">
        <v>48.3281</v>
      </c>
      <c r="I882" s="4" t="n">
        <v>10.695</v>
      </c>
      <c r="J882" s="4" t="n">
        <v>11.17</v>
      </c>
      <c r="K882" s="4" t="n">
        <v>10.485</v>
      </c>
      <c r="L882" s="4" t="n">
        <v>10.965</v>
      </c>
      <c r="M882" s="7" t="n">
        <v>0.0252</v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3" t="n">
        <v>4135</v>
      </c>
      <c r="F883" s="8" t="n">
        <v>0.2722</v>
      </c>
      <c r="G883" s="4" t="n">
        <v>71.6108</v>
      </c>
      <c r="H883" s="4" t="n">
        <v>53.602</v>
      </c>
      <c r="I883" s="4" t="n">
        <v>10.965</v>
      </c>
      <c r="J883" s="4" t="n">
        <v>11.2125</v>
      </c>
      <c r="K883" s="4" t="n">
        <v>10.0475</v>
      </c>
      <c r="L883" s="4" t="n">
        <v>10.8975</v>
      </c>
      <c r="M883" s="7" t="n">
        <v>-0.0062</v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3" t="n">
        <v>4123</v>
      </c>
      <c r="F884" s="8" t="n">
        <v>0.3109</v>
      </c>
      <c r="G884" s="4" t="n">
        <v>82.2367</v>
      </c>
      <c r="H884" s="4" t="n">
        <v>70.3034</v>
      </c>
      <c r="I884" s="4" t="n">
        <v>10.8975</v>
      </c>
      <c r="J884" s="4" t="n">
        <v>11.09</v>
      </c>
      <c r="K884" s="4" t="n">
        <v>10.075</v>
      </c>
      <c r="L884" s="4" t="n">
        <v>10.8175</v>
      </c>
      <c r="M884" s="7" t="n">
        <v>-0.0073</v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3" t="n">
        <v>4290</v>
      </c>
      <c r="F885" s="8" t="n">
        <v>0.3775</v>
      </c>
      <c r="G885" s="4" t="n">
        <v>71.0265</v>
      </c>
      <c r="H885" s="4" t="n">
        <v>49.3503</v>
      </c>
      <c r="I885" s="4" t="n">
        <v>10.8175</v>
      </c>
      <c r="J885" s="4" t="n">
        <v>11.3575</v>
      </c>
      <c r="K885" s="4" t="n">
        <v>8.824999999999999</v>
      </c>
      <c r="L885" s="4" t="n">
        <v>10.905</v>
      </c>
      <c r="M885" s="7" t="n">
        <v>0.0081</v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3" t="n">
        <v>4090</v>
      </c>
      <c r="F886" s="8" t="n">
        <v>0.3181</v>
      </c>
      <c r="G886" s="4" t="n">
        <v>61.8957</v>
      </c>
      <c r="H886" s="4" t="n">
        <v>43.3135</v>
      </c>
      <c r="I886" s="4" t="n">
        <v>10.905</v>
      </c>
      <c r="J886" s="4" t="n">
        <v>12.1775</v>
      </c>
      <c r="K886" s="4" t="n">
        <v>9.965</v>
      </c>
      <c r="L886" s="4" t="n">
        <v>11.3125</v>
      </c>
      <c r="M886" s="7" t="n">
        <v>0.0374</v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3" t="n">
        <v>4110</v>
      </c>
      <c r="F887" s="8" t="n">
        <v>0.3825</v>
      </c>
      <c r="G887" s="4" t="n">
        <v>63.184</v>
      </c>
      <c r="H887" s="4" t="n">
        <v>55.4899</v>
      </c>
      <c r="I887" s="4" t="n">
        <v>11.3125</v>
      </c>
      <c r="J887" s="4" t="n">
        <v>12.7</v>
      </c>
      <c r="K887" s="4" t="n">
        <v>11.3125</v>
      </c>
      <c r="L887" s="4" t="n">
        <v>11.73</v>
      </c>
      <c r="M887" s="7" t="n">
        <v>0.0369</v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3" t="n">
        <v>4106</v>
      </c>
      <c r="F888" s="8" t="n">
        <v>0.2954</v>
      </c>
      <c r="G888" s="4" t="n">
        <v>55.9983</v>
      </c>
      <c r="H888" s="4" t="n">
        <v>51.0648</v>
      </c>
      <c r="I888" s="4" t="n">
        <v>11.73</v>
      </c>
      <c r="J888" s="4" t="n">
        <v>12.305</v>
      </c>
      <c r="K888" s="4" t="n">
        <v>10.6725</v>
      </c>
      <c r="L888" s="4" t="n">
        <v>10.905</v>
      </c>
      <c r="M888" s="7" t="n">
        <v>-0.0703</v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3" t="n">
        <v>4231</v>
      </c>
      <c r="F889" s="8" t="n">
        <v>0.2539</v>
      </c>
      <c r="G889" s="4" t="n">
        <v>57.4654</v>
      </c>
      <c r="H889" s="4" t="n">
        <v>38.3841</v>
      </c>
      <c r="I889" s="4" t="n">
        <v>10.905</v>
      </c>
      <c r="J889" s="4" t="n">
        <v>12.1925</v>
      </c>
      <c r="K889" s="4" t="n">
        <v>10.905</v>
      </c>
      <c r="L889" s="4" t="n">
        <v>11.49</v>
      </c>
      <c r="M889" s="7" t="n">
        <v>0.0536</v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3" t="n">
        <v>4030</v>
      </c>
      <c r="F890" s="8" t="n">
        <v>0.2378</v>
      </c>
      <c r="G890" s="4" t="n">
        <v>62.4649</v>
      </c>
      <c r="H890" s="4" t="n">
        <v>50.4959</v>
      </c>
      <c r="I890" s="4" t="n">
        <v>11.49</v>
      </c>
      <c r="J890" s="4" t="n">
        <v>12.285</v>
      </c>
      <c r="K890" s="4" t="n">
        <v>11.2625</v>
      </c>
      <c r="L890" s="4" t="n">
        <v>11.825</v>
      </c>
      <c r="M890" s="7" t="n">
        <v>0.0292</v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4097</v>
      </c>
      <c r="F891" s="8" t="n">
        <v>0.2608</v>
      </c>
      <c r="G891" s="4" t="n">
        <v>76.43810000000001</v>
      </c>
      <c r="H891" s="4" t="n">
        <v>39.7768</v>
      </c>
      <c r="I891" s="4" t="n">
        <v>11.825</v>
      </c>
      <c r="J891" s="4" t="n">
        <v>12.195</v>
      </c>
      <c r="K891" s="4" t="n">
        <v>11.825</v>
      </c>
      <c r="L891" s="4" t="n">
        <v>12.0475</v>
      </c>
      <c r="M891" s="7" t="n">
        <v>0.0188</v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4090</v>
      </c>
      <c r="F892" s="8" t="n">
        <v>0.2291</v>
      </c>
      <c r="G892" s="4" t="n">
        <v>64.4723</v>
      </c>
      <c r="H892" s="4" t="n">
        <v>36.5284</v>
      </c>
      <c r="I892" s="4" t="n">
        <v>12.0475</v>
      </c>
      <c r="J892" s="4" t="n">
        <v>12.0475</v>
      </c>
      <c r="K892" s="4" t="n">
        <v>10.9475</v>
      </c>
      <c r="L892" s="4" t="n">
        <v>11.075</v>
      </c>
      <c r="M892" s="7" t="n">
        <v>-0.08069999999999999</v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4161</v>
      </c>
      <c r="F893" s="8" t="n">
        <v>0.2862</v>
      </c>
      <c r="G893" s="4" t="n">
        <v>87.6729</v>
      </c>
      <c r="H893" s="4" t="n">
        <v>55.4641</v>
      </c>
      <c r="I893" s="4" t="n">
        <v>11.075</v>
      </c>
      <c r="J893" s="4" t="n">
        <v>11.075</v>
      </c>
      <c r="K893" s="4" t="n">
        <v>10.635</v>
      </c>
      <c r="L893" s="4" t="n">
        <v>10.8825</v>
      </c>
      <c r="M893" s="7" t="n">
        <v>-0.0174</v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3" t="n">
        <v>4304</v>
      </c>
      <c r="F894" s="8" t="n">
        <v>0.2834</v>
      </c>
      <c r="G894" s="4" t="n">
        <v>90.151</v>
      </c>
      <c r="H894" s="4" t="n">
        <v>50.617</v>
      </c>
      <c r="I894" s="4" t="n">
        <v>10.8825</v>
      </c>
      <c r="J894" s="4" t="n">
        <v>11.28</v>
      </c>
      <c r="K894" s="4" t="n">
        <v>10.38</v>
      </c>
      <c r="L894" s="4" t="n">
        <v>11.105</v>
      </c>
      <c r="M894" s="7" t="n">
        <v>0.0204</v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3" t="n">
        <v>4120</v>
      </c>
      <c r="F895" s="8" t="n">
        <v>0.2978</v>
      </c>
      <c r="G895" s="4" t="n">
        <v>88.44840000000001</v>
      </c>
      <c r="H895" s="4" t="n">
        <v>51.9776</v>
      </c>
      <c r="I895" s="4" t="n">
        <v>11.105</v>
      </c>
      <c r="J895" s="4" t="n">
        <v>12.1775</v>
      </c>
      <c r="K895" s="4" t="n">
        <v>11</v>
      </c>
      <c r="L895" s="4" t="n">
        <v>11.1925</v>
      </c>
      <c r="M895" s="7" t="n">
        <v>0.007900000000000001</v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4132</v>
      </c>
      <c r="F896" s="8" t="n">
        <v>0.2879</v>
      </c>
      <c r="G896" s="4" t="n">
        <v>73.7722</v>
      </c>
      <c r="H896" s="4" t="n">
        <v>49.1257</v>
      </c>
      <c r="I896" s="4" t="n">
        <v>11.1925</v>
      </c>
      <c r="J896" s="4" t="n">
        <v>11.3325</v>
      </c>
      <c r="K896" s="4" t="n">
        <v>10.63</v>
      </c>
      <c r="L896" s="4" t="n">
        <v>11.0375</v>
      </c>
      <c r="M896" s="7" t="n">
        <v>-0.0138</v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4113</v>
      </c>
      <c r="F897" s="8" t="n">
        <v>0.2772</v>
      </c>
      <c r="G897" s="4" t="n">
        <v>76.4372</v>
      </c>
      <c r="H897" s="4" t="n">
        <v>47.3922</v>
      </c>
      <c r="I897" s="4" t="n">
        <v>11.0375</v>
      </c>
      <c r="J897" s="4" t="n">
        <v>11.2525</v>
      </c>
      <c r="K897" s="4" t="n">
        <v>10.37</v>
      </c>
      <c r="L897" s="4" t="n">
        <v>10.9825</v>
      </c>
      <c r="M897" s="7" t="n">
        <v>-0.005</v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4124</v>
      </c>
      <c r="F898" s="8" t="n">
        <v>0.2987</v>
      </c>
      <c r="G898" s="4" t="n">
        <v>73.72839999999999</v>
      </c>
      <c r="H898" s="4" t="n">
        <v>48.9204</v>
      </c>
      <c r="I898" s="4" t="n">
        <v>10.9825</v>
      </c>
      <c r="J898" s="4" t="n">
        <v>11.3575</v>
      </c>
      <c r="K898" s="4" t="n">
        <v>9.859999999999999</v>
      </c>
      <c r="L898" s="4" t="n">
        <v>11.1075</v>
      </c>
      <c r="M898" s="7" t="n">
        <v>0.0114</v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3" t="n">
        <v>3903</v>
      </c>
      <c r="F899" s="8" t="n">
        <v>0.1588</v>
      </c>
      <c r="G899" s="4" t="n">
        <v>26.8125</v>
      </c>
      <c r="H899" s="4" t="n">
        <v>16.6303</v>
      </c>
      <c r="I899" s="4" t="n">
        <v>11.1075</v>
      </c>
      <c r="J899" s="4" t="n">
        <v>11.54</v>
      </c>
      <c r="K899" s="4" t="n">
        <v>9.7525</v>
      </c>
      <c r="L899" s="4" t="n">
        <v>11.3475</v>
      </c>
      <c r="M899" s="7" t="n">
        <v>0.0216</v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3" t="n">
        <v>4281</v>
      </c>
      <c r="F900" s="8" t="n">
        <v>0.2931</v>
      </c>
      <c r="G900" s="4" t="n">
        <v>77.6258</v>
      </c>
      <c r="H900" s="4" t="n">
        <v>50.3715</v>
      </c>
      <c r="I900" s="4" t="n">
        <v>11.3475</v>
      </c>
      <c r="J900" s="4" t="n">
        <v>11.6325</v>
      </c>
      <c r="K900" s="4" t="n">
        <v>10.5025</v>
      </c>
      <c r="L900" s="4" t="n">
        <v>11.1875</v>
      </c>
      <c r="M900" s="7" t="n">
        <v>-0.0141</v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4206</v>
      </c>
      <c r="F901" s="8" t="n">
        <v>0.3309</v>
      </c>
      <c r="G901" s="4" t="n">
        <v>86.5368</v>
      </c>
      <c r="H901" s="4" t="n">
        <v>57.0405</v>
      </c>
      <c r="I901" s="4" t="n">
        <v>11.1875</v>
      </c>
      <c r="J901" s="4" t="n">
        <v>11.4175</v>
      </c>
      <c r="K901" s="4" t="n">
        <v>8.395</v>
      </c>
      <c r="L901" s="4" t="n">
        <v>11.135</v>
      </c>
      <c r="M901" s="7" t="n">
        <v>-0.0047</v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4198</v>
      </c>
      <c r="F902" s="8" t="n">
        <v>0.3094</v>
      </c>
      <c r="G902" s="4" t="n">
        <v>92.4958</v>
      </c>
      <c r="H902" s="4" t="n">
        <v>57.2795</v>
      </c>
      <c r="I902" s="4" t="n">
        <v>11.135</v>
      </c>
      <c r="J902" s="4" t="n">
        <v>11.8075</v>
      </c>
      <c r="K902" s="4" t="n">
        <v>10.6175</v>
      </c>
      <c r="L902" s="4" t="n">
        <v>11.6475</v>
      </c>
      <c r="M902" s="7" t="n">
        <v>0.046</v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4178</v>
      </c>
      <c r="F903" s="8" t="n">
        <v>0.3534</v>
      </c>
      <c r="G903" s="4" t="n">
        <v>95.1178</v>
      </c>
      <c r="H903" s="4" t="n">
        <v>63.5929</v>
      </c>
      <c r="I903" s="4" t="n">
        <v>11.6475</v>
      </c>
      <c r="J903" s="4" t="n">
        <v>12.09</v>
      </c>
      <c r="K903" s="4" t="n">
        <v>10.19</v>
      </c>
      <c r="L903" s="4" t="n">
        <v>11.8275</v>
      </c>
      <c r="M903" s="7" t="n">
        <v>0.0155</v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3" t="n">
        <v>4301</v>
      </c>
      <c r="F904" s="8" t="n">
        <v>0.3268</v>
      </c>
      <c r="G904" s="4" t="n">
        <v>91.16379999999999</v>
      </c>
      <c r="H904" s="4" t="n">
        <v>52.2553</v>
      </c>
      <c r="I904" s="4" t="n">
        <v>11.8275</v>
      </c>
      <c r="J904" s="4" t="n">
        <v>12.67</v>
      </c>
      <c r="K904" s="4" t="n">
        <v>11.2</v>
      </c>
      <c r="L904" s="4" t="n">
        <v>12.1475</v>
      </c>
      <c r="M904" s="7" t="n">
        <v>0.0271</v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3" t="n">
        <v>4180</v>
      </c>
      <c r="F905" s="8" t="n">
        <v>0.3114</v>
      </c>
      <c r="G905" s="4" t="n">
        <v>84.82810000000001</v>
      </c>
      <c r="H905" s="4" t="n">
        <v>48.6166</v>
      </c>
      <c r="I905" s="4" t="n">
        <v>12.1475</v>
      </c>
      <c r="J905" s="4" t="n">
        <v>12.435</v>
      </c>
      <c r="K905" s="4" t="n">
        <v>10.755</v>
      </c>
      <c r="L905" s="4" t="n">
        <v>12.2325</v>
      </c>
      <c r="M905" s="7" t="n">
        <v>0.007</v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3" t="n">
        <v>4164</v>
      </c>
      <c r="F906" s="8" t="n">
        <v>0.2994</v>
      </c>
      <c r="G906" s="4" t="n">
        <v>80.003</v>
      </c>
      <c r="H906" s="4" t="n">
        <v>45.6384</v>
      </c>
      <c r="I906" s="4" t="n">
        <v>12.2325</v>
      </c>
      <c r="J906" s="4" t="n">
        <v>12.7075</v>
      </c>
      <c r="K906" s="4" t="n">
        <v>11.0225</v>
      </c>
      <c r="L906" s="4" t="n">
        <v>11.865</v>
      </c>
      <c r="M906" s="7" t="n">
        <v>-0.03</v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3" t="n">
        <v>4097</v>
      </c>
      <c r="F907" s="8" t="n">
        <v>0.2785</v>
      </c>
      <c r="G907" s="4" t="n">
        <v>86.1065</v>
      </c>
      <c r="H907" s="4" t="n">
        <v>51.8456</v>
      </c>
      <c r="I907" s="4" t="n">
        <v>11.865</v>
      </c>
      <c r="J907" s="4" t="n">
        <v>12.14</v>
      </c>
      <c r="K907" s="4" t="n">
        <v>10.975</v>
      </c>
      <c r="L907" s="4" t="n">
        <v>11.315</v>
      </c>
      <c r="M907" s="7" t="n">
        <v>-0.0464</v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3" t="n">
        <v>4091</v>
      </c>
      <c r="F908" s="8" t="n">
        <v>0.3125</v>
      </c>
      <c r="G908" s="4" t="n">
        <v>79.64190000000001</v>
      </c>
      <c r="H908" s="4" t="n">
        <v>55.3662</v>
      </c>
      <c r="I908" s="4" t="n">
        <v>11.315</v>
      </c>
      <c r="J908" s="4" t="n">
        <v>11.465</v>
      </c>
      <c r="K908" s="4" t="n">
        <v>8.6775</v>
      </c>
      <c r="L908" s="4" t="n">
        <v>11.33</v>
      </c>
      <c r="M908" s="7" t="n">
        <v>0.0013</v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3" t="n">
        <v>4293</v>
      </c>
      <c r="F909" s="8" t="n">
        <v>0.3418</v>
      </c>
      <c r="G909" s="4" t="n">
        <v>77.1127</v>
      </c>
      <c r="H909" s="4" t="n">
        <v>58.4914</v>
      </c>
      <c r="I909" s="4" t="n">
        <v>11.33</v>
      </c>
      <c r="J909" s="4" t="n">
        <v>12.4925</v>
      </c>
      <c r="K909" s="4" t="n">
        <v>11.065</v>
      </c>
      <c r="L909" s="4" t="n">
        <v>12.175</v>
      </c>
      <c r="M909" s="7" t="n">
        <v>0.0746</v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3" t="n">
        <v>4168</v>
      </c>
      <c r="F910" s="8" t="n">
        <v>0.3416</v>
      </c>
      <c r="G910" s="4" t="n">
        <v>132.5862</v>
      </c>
      <c r="H910" s="4" t="n">
        <v>93.92829999999999</v>
      </c>
      <c r="I910" s="4" t="n">
        <v>12.175</v>
      </c>
      <c r="J910" s="4" t="n">
        <v>14.46</v>
      </c>
      <c r="K910" s="4" t="n">
        <v>11.3325</v>
      </c>
      <c r="L910" s="4" t="n">
        <v>12.7075</v>
      </c>
      <c r="M910" s="7" t="n">
        <v>0.0437</v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3" t="n">
        <v>4204</v>
      </c>
      <c r="F911" s="8" t="n">
        <v>0.3695</v>
      </c>
      <c r="G911" s="4" t="n">
        <v>95.4177</v>
      </c>
      <c r="H911" s="4" t="n">
        <v>81.8732</v>
      </c>
      <c r="I911" s="4" t="n">
        <v>12.7075</v>
      </c>
      <c r="J911" s="4" t="n">
        <v>13.3525</v>
      </c>
      <c r="K911" s="4" t="n">
        <v>11.7625</v>
      </c>
      <c r="L911" s="4" t="n">
        <v>12.69</v>
      </c>
      <c r="M911" s="7" t="n">
        <v>-0.0014</v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4209</v>
      </c>
      <c r="F912" s="8" t="n">
        <v>0.3948</v>
      </c>
      <c r="G912" s="4" t="n">
        <v>72.3408</v>
      </c>
      <c r="H912" s="4" t="n">
        <v>81.48260000000001</v>
      </c>
      <c r="I912" s="4" t="n">
        <v>12.69</v>
      </c>
      <c r="J912" s="4" t="n">
        <v>12.755</v>
      </c>
      <c r="K912" s="4" t="n">
        <v>11.7775</v>
      </c>
      <c r="L912" s="4" t="n">
        <v>12.3825</v>
      </c>
      <c r="M912" s="7" t="n">
        <v>-0.0242</v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4373</v>
      </c>
      <c r="F913" s="8" t="n">
        <v>0.4045</v>
      </c>
      <c r="G913" s="4" t="n">
        <v>106.4482</v>
      </c>
      <c r="H913" s="4" t="n">
        <v>122.4169</v>
      </c>
      <c r="I913" s="4" t="n">
        <v>12.3825</v>
      </c>
      <c r="J913" s="4" t="n">
        <v>13.16</v>
      </c>
      <c r="K913" s="4" t="n">
        <v>11.34</v>
      </c>
      <c r="L913" s="4" t="n">
        <v>12.9925</v>
      </c>
      <c r="M913" s="7" t="n">
        <v>0.0493</v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4192</v>
      </c>
      <c r="F914" s="8" t="n">
        <v>0.4226</v>
      </c>
      <c r="G914" s="4" t="n">
        <v>104.8798</v>
      </c>
      <c r="H914" s="4" t="n">
        <v>93.47629999999999</v>
      </c>
      <c r="I914" s="4" t="n">
        <v>12.9925</v>
      </c>
      <c r="J914" s="4" t="n">
        <v>13.8825</v>
      </c>
      <c r="K914" s="4" t="n">
        <v>11.475</v>
      </c>
      <c r="L914" s="4" t="n">
        <v>13.4575</v>
      </c>
      <c r="M914" s="7" t="n">
        <v>0.0358</v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4245</v>
      </c>
      <c r="F915" s="8" t="n">
        <v>0.4331</v>
      </c>
      <c r="G915" s="4" t="n">
        <v>101.8237</v>
      </c>
      <c r="H915" s="4" t="n">
        <v>87.8844</v>
      </c>
      <c r="I915" s="4" t="n">
        <v>13.4575</v>
      </c>
      <c r="J915" s="4" t="n">
        <v>14.0875</v>
      </c>
      <c r="K915" s="4" t="n">
        <v>12.6875</v>
      </c>
      <c r="L915" s="4" t="n">
        <v>13.74</v>
      </c>
      <c r="M915" s="7" t="n">
        <v>0.021</v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4201</v>
      </c>
      <c r="F916" s="8" t="n">
        <v>0.418</v>
      </c>
      <c r="G916" s="4" t="n">
        <v>123.2919</v>
      </c>
      <c r="H916" s="4" t="n">
        <v>118.4432</v>
      </c>
      <c r="I916" s="4" t="n">
        <v>13.74</v>
      </c>
      <c r="J916" s="4" t="n">
        <v>13.74</v>
      </c>
      <c r="K916" s="4" t="n">
        <v>12.545</v>
      </c>
      <c r="L916" s="4" t="n">
        <v>12.6725</v>
      </c>
      <c r="M916" s="7" t="n">
        <v>-0.07770000000000001</v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4199</v>
      </c>
      <c r="F917" s="8" t="n">
        <v>0.4685</v>
      </c>
      <c r="G917" s="4" t="n">
        <v>198.6487</v>
      </c>
      <c r="H917" s="4" t="n">
        <v>146.2717</v>
      </c>
      <c r="I917" s="4" t="n">
        <v>12.6725</v>
      </c>
      <c r="J917" s="4" t="n">
        <v>12.875</v>
      </c>
      <c r="K917" s="4" t="n">
        <v>12.135</v>
      </c>
      <c r="L917" s="4" t="n">
        <v>12.47</v>
      </c>
      <c r="M917" s="7" t="n">
        <v>-0.016</v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4400</v>
      </c>
      <c r="F918" s="8" t="n">
        <v>0.4197</v>
      </c>
      <c r="G918" s="4" t="n">
        <v>147.1411</v>
      </c>
      <c r="H918" s="4" t="n">
        <v>79.4586</v>
      </c>
      <c r="I918" s="4" t="n">
        <v>12.47</v>
      </c>
      <c r="J918" s="4" t="n">
        <v>13.1225</v>
      </c>
      <c r="K918" s="4" t="n">
        <v>12.2275</v>
      </c>
      <c r="L918" s="4" t="n">
        <v>12.7575</v>
      </c>
      <c r="M918" s="7" t="n">
        <v>0.0231</v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4228</v>
      </c>
      <c r="F919" s="8" t="n">
        <v>0.4384</v>
      </c>
      <c r="G919" s="4" t="n">
        <v>168.4849</v>
      </c>
      <c r="H919" s="4" t="n">
        <v>110.2277</v>
      </c>
      <c r="I919" s="4" t="n">
        <v>12.7575</v>
      </c>
      <c r="J919" s="4" t="n">
        <v>12.8675</v>
      </c>
      <c r="K919" s="4" t="n">
        <v>11.6925</v>
      </c>
      <c r="L919" s="4" t="n">
        <v>12.7125</v>
      </c>
      <c r="M919" s="7" t="n">
        <v>-0.0035</v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4176</v>
      </c>
      <c r="F920" s="8" t="n">
        <v>0.4161</v>
      </c>
      <c r="G920" s="4" t="n">
        <v>137.1668</v>
      </c>
      <c r="H920" s="4" t="n">
        <v>75.8338</v>
      </c>
      <c r="I920" s="4" t="n">
        <v>12.7125</v>
      </c>
      <c r="J920" s="4" t="n">
        <v>12.8175</v>
      </c>
      <c r="K920" s="4" t="n">
        <v>11.54</v>
      </c>
      <c r="L920" s="4" t="n">
        <v>12.065</v>
      </c>
      <c r="M920" s="7" t="n">
        <v>-0.0509</v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4227</v>
      </c>
      <c r="F921" s="8" t="n">
        <v>0.4293</v>
      </c>
      <c r="G921" s="4" t="n">
        <v>134.6401</v>
      </c>
      <c r="H921" s="4" t="n">
        <v>100.6956</v>
      </c>
      <c r="I921" s="4" t="n">
        <v>12.065</v>
      </c>
      <c r="J921" s="4" t="n">
        <v>12.5125</v>
      </c>
      <c r="K921" s="4" t="n">
        <v>11</v>
      </c>
      <c r="L921" s="4" t="n">
        <v>12.32</v>
      </c>
      <c r="M921" s="7" t="n">
        <v>0.0211</v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4231</v>
      </c>
      <c r="F922" s="8" t="n">
        <v>0.439</v>
      </c>
      <c r="G922" s="4" t="n">
        <v>118.625</v>
      </c>
      <c r="H922" s="4" t="n">
        <v>104.7278</v>
      </c>
      <c r="I922" s="4" t="n">
        <v>12.32</v>
      </c>
      <c r="J922" s="4" t="n">
        <v>13.3425</v>
      </c>
      <c r="K922" s="4" t="n">
        <v>10.8</v>
      </c>
      <c r="L922" s="4" t="n">
        <v>13.1275</v>
      </c>
      <c r="M922" s="7" t="n">
        <v>0.0655</v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3" t="n">
        <v>4392</v>
      </c>
      <c r="F923" s="8" t="n">
        <v>0.4258</v>
      </c>
      <c r="G923" s="4" t="n">
        <v>120.2032</v>
      </c>
      <c r="H923" s="4" t="n">
        <v>85.7788</v>
      </c>
      <c r="I923" s="4" t="n">
        <v>13.1275</v>
      </c>
      <c r="J923" s="4" t="n">
        <v>14.1175</v>
      </c>
      <c r="K923" s="4" t="n">
        <v>13.125</v>
      </c>
      <c r="L923" s="4" t="n">
        <v>13.9</v>
      </c>
      <c r="M923" s="7" t="n">
        <v>0.0588</v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3" t="n">
        <v>4227</v>
      </c>
      <c r="F924" s="8" t="n">
        <v>0.3769</v>
      </c>
      <c r="G924" s="4" t="n">
        <v>121.7704</v>
      </c>
      <c r="H924" s="4" t="n">
        <v>84.92100000000001</v>
      </c>
      <c r="I924" s="4" t="n">
        <v>13.9</v>
      </c>
      <c r="J924" s="4" t="n">
        <v>14.12</v>
      </c>
      <c r="K924" s="4" t="n">
        <v>13.5525</v>
      </c>
      <c r="L924" s="4" t="n">
        <v>13.8675</v>
      </c>
      <c r="M924" s="7" t="n">
        <v>-0.0023</v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3" t="n">
        <v>4250</v>
      </c>
      <c r="F925" s="8" t="n">
        <v>0.6028</v>
      </c>
      <c r="G925" s="4" t="n">
        <v>191.849</v>
      </c>
      <c r="H925" s="4" t="n">
        <v>189.1871</v>
      </c>
      <c r="I925" s="4" t="n">
        <v>13.8675</v>
      </c>
      <c r="J925" s="4" t="n">
        <v>14.87</v>
      </c>
      <c r="K925" s="4" t="n">
        <v>12.7775</v>
      </c>
      <c r="L925" s="4" t="n">
        <v>14.45</v>
      </c>
      <c r="M925" s="7" t="n">
        <v>0.042</v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3" t="n">
        <v>4199</v>
      </c>
      <c r="F926" s="8" t="n">
        <v>0.425</v>
      </c>
      <c r="G926" s="4" t="n">
        <v>124.8082</v>
      </c>
      <c r="H926" s="4" t="n">
        <v>78.8914</v>
      </c>
      <c r="I926" s="4" t="n">
        <v>14.45</v>
      </c>
      <c r="J926" s="4" t="n">
        <v>15.01</v>
      </c>
      <c r="K926" s="4" t="n">
        <v>12.2825</v>
      </c>
      <c r="L926" s="4" t="n">
        <v>13.7575</v>
      </c>
      <c r="M926" s="7" t="n">
        <v>-0.0479</v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3" t="n">
        <v>4197</v>
      </c>
      <c r="F927" s="8" t="n">
        <v>0.3764</v>
      </c>
      <c r="G927" s="4" t="n">
        <v>90.9059</v>
      </c>
      <c r="H927" s="4" t="n">
        <v>86.1054</v>
      </c>
      <c r="I927" s="4" t="n">
        <v>13.7575</v>
      </c>
      <c r="J927" s="4" t="n">
        <v>13.9875</v>
      </c>
      <c r="K927" s="4" t="n">
        <v>12.225</v>
      </c>
      <c r="L927" s="4" t="n">
        <v>13.7075</v>
      </c>
      <c r="M927" s="7" t="n">
        <v>-0.0036</v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3" t="n">
        <v>4389</v>
      </c>
      <c r="F928" s="8" t="n">
        <v>0.3882</v>
      </c>
      <c r="G928" s="4" t="n">
        <v>93.41970000000001</v>
      </c>
      <c r="H928" s="4" t="n">
        <v>64.79470000000001</v>
      </c>
      <c r="I928" s="4" t="n">
        <v>13.7075</v>
      </c>
      <c r="J928" s="4" t="n">
        <v>14.95</v>
      </c>
      <c r="K928" s="4" t="n">
        <v>13.7075</v>
      </c>
      <c r="L928" s="4" t="n">
        <v>14.6775</v>
      </c>
      <c r="M928" s="7" t="n">
        <v>0.0708</v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3" t="n">
        <v>4275</v>
      </c>
      <c r="F929" s="8" t="n">
        <v>0.374</v>
      </c>
      <c r="G929" s="4" t="n">
        <v>85.5825</v>
      </c>
      <c r="H929" s="4" t="n">
        <v>68.8604</v>
      </c>
      <c r="I929" s="4" t="n">
        <v>14.6775</v>
      </c>
      <c r="J929" s="4" t="n">
        <v>15.7325</v>
      </c>
      <c r="K929" s="4" t="n">
        <v>14.47</v>
      </c>
      <c r="L929" s="4" t="n">
        <v>15.5575</v>
      </c>
      <c r="M929" s="7" t="n">
        <v>0.06</v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3" t="n">
        <v>4264</v>
      </c>
      <c r="F930" s="8" t="n">
        <v>0.3923</v>
      </c>
      <c r="G930" s="4" t="n">
        <v>95.65349999999999</v>
      </c>
      <c r="H930" s="4" t="n">
        <v>69.43049999999999</v>
      </c>
      <c r="I930" s="4" t="n">
        <v>15.5575</v>
      </c>
      <c r="J930" s="4" t="n">
        <v>16.47</v>
      </c>
      <c r="K930" s="4" t="n">
        <v>14.9625</v>
      </c>
      <c r="L930" s="4" t="n">
        <v>15.14</v>
      </c>
      <c r="M930" s="7" t="n">
        <v>-0.0268</v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3" t="n">
        <v>4253</v>
      </c>
      <c r="F931" s="8" t="n">
        <v>0.4377</v>
      </c>
      <c r="G931" s="4" t="n">
        <v>127.8539</v>
      </c>
      <c r="H931" s="4" t="n">
        <v>89.96550000000001</v>
      </c>
      <c r="I931" s="4" t="n">
        <v>15.14</v>
      </c>
      <c r="J931" s="4" t="n">
        <v>15.4275</v>
      </c>
      <c r="K931" s="4" t="n">
        <v>14.3725</v>
      </c>
      <c r="L931" s="4" t="n">
        <v>14.5025</v>
      </c>
      <c r="M931" s="7" t="n">
        <v>-0.0421</v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4394</v>
      </c>
      <c r="F932" s="8" t="n">
        <v>0.3932</v>
      </c>
      <c r="G932" s="4" t="n">
        <v>124.6611</v>
      </c>
      <c r="H932" s="4" t="n">
        <v>69.7826</v>
      </c>
      <c r="I932" s="4" t="n">
        <v>14.5025</v>
      </c>
      <c r="J932" s="4" t="n">
        <v>14.8675</v>
      </c>
      <c r="K932" s="4" t="n">
        <v>14.3275</v>
      </c>
      <c r="L932" s="4" t="n">
        <v>14.68</v>
      </c>
      <c r="M932" s="7" t="n">
        <v>0.0122</v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4273</v>
      </c>
      <c r="F933" s="8" t="n">
        <v>0.4107</v>
      </c>
      <c r="G933" s="4" t="n">
        <v>140.1604</v>
      </c>
      <c r="H933" s="4" t="n">
        <v>79.43940000000001</v>
      </c>
      <c r="I933" s="4" t="n">
        <v>14.68</v>
      </c>
      <c r="J933" s="4" t="n">
        <v>15.08</v>
      </c>
      <c r="K933" s="4" t="n">
        <v>14.2425</v>
      </c>
      <c r="L933" s="4" t="n">
        <v>14.58</v>
      </c>
      <c r="M933" s="7" t="n">
        <v>-0.0068</v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4275</v>
      </c>
      <c r="F934" s="8" t="n">
        <v>0.4277</v>
      </c>
      <c r="G934" s="4" t="n">
        <v>135.0663</v>
      </c>
      <c r="H934" s="4" t="n">
        <v>82.90179999999999</v>
      </c>
      <c r="I934" s="4" t="n">
        <v>14.58</v>
      </c>
      <c r="J934" s="4" t="n">
        <v>14.78</v>
      </c>
      <c r="K934" s="4" t="n">
        <v>14.0225</v>
      </c>
      <c r="L934" s="4" t="n">
        <v>14.0975</v>
      </c>
      <c r="M934" s="7" t="n">
        <v>-0.0331</v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4276</v>
      </c>
      <c r="F935" s="8" t="n">
        <v>0.4477</v>
      </c>
      <c r="G935" s="4" t="n">
        <v>153.0632</v>
      </c>
      <c r="H935" s="4" t="n">
        <v>80.82940000000001</v>
      </c>
      <c r="I935" s="4" t="n">
        <v>14.0975</v>
      </c>
      <c r="J935" s="4" t="n">
        <v>14.2075</v>
      </c>
      <c r="K935" s="4" t="n">
        <v>13.2125</v>
      </c>
      <c r="L935" s="4" t="n">
        <v>13.33</v>
      </c>
      <c r="M935" s="7" t="n">
        <v>-0.0544</v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4326</v>
      </c>
      <c r="F936" s="8" t="n">
        <v>0.5068</v>
      </c>
      <c r="G936" s="4" t="n">
        <v>204.0794</v>
      </c>
      <c r="H936" s="4" t="n">
        <v>98.30929999999999</v>
      </c>
      <c r="I936" s="4" t="n">
        <v>13.33</v>
      </c>
      <c r="J936" s="4" t="n">
        <v>13.4675</v>
      </c>
      <c r="K936" s="4" t="n">
        <v>12.4875</v>
      </c>
      <c r="L936" s="4" t="n">
        <v>12.63</v>
      </c>
      <c r="M936" s="7" t="n">
        <v>-0.0525</v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4436</v>
      </c>
      <c r="F937" s="8" t="n">
        <v>0.4885</v>
      </c>
      <c r="G937" s="4" t="n">
        <v>163.7551</v>
      </c>
      <c r="H937" s="4" t="n">
        <v>90.22369999999999</v>
      </c>
      <c r="I937" s="4" t="n">
        <v>12.63</v>
      </c>
      <c r="J937" s="4" t="n">
        <v>13.595</v>
      </c>
      <c r="K937" s="4" t="n">
        <v>12.63</v>
      </c>
      <c r="L937" s="4" t="n">
        <v>13.4625</v>
      </c>
      <c r="M937" s="7" t="n">
        <v>0.0659</v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4287</v>
      </c>
      <c r="F938" s="8" t="n">
        <v>0.4672</v>
      </c>
      <c r="G938" s="4" t="n">
        <v>165.8722</v>
      </c>
      <c r="H938" s="4" t="n">
        <v>87.7944</v>
      </c>
      <c r="I938" s="4" t="n">
        <v>13.4625</v>
      </c>
      <c r="J938" s="4" t="n">
        <v>13.505</v>
      </c>
      <c r="K938" s="4" t="n">
        <v>12.775</v>
      </c>
      <c r="L938" s="4" t="n">
        <v>13.2625</v>
      </c>
      <c r="M938" s="7" t="n">
        <v>-0.0149</v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4275</v>
      </c>
      <c r="F939" s="8" t="n">
        <v>0.453</v>
      </c>
      <c r="G939" s="4" t="n">
        <v>159.2312</v>
      </c>
      <c r="H939" s="4" t="n">
        <v>82.102</v>
      </c>
      <c r="I939" s="4" t="n">
        <v>13.2625</v>
      </c>
      <c r="J939" s="4" t="n">
        <v>14.5575</v>
      </c>
      <c r="K939" s="4" t="n">
        <v>12.81</v>
      </c>
      <c r="L939" s="4" t="n">
        <v>12.97</v>
      </c>
      <c r="M939" s="7" t="n">
        <v>-0.0221</v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4260</v>
      </c>
      <c r="F940" s="8" t="n">
        <v>0.5014999999999999</v>
      </c>
      <c r="G940" s="4" t="n">
        <v>118.3662</v>
      </c>
      <c r="H940" s="4" t="n">
        <v>86.78</v>
      </c>
      <c r="I940" s="4" t="n">
        <v>12.97</v>
      </c>
      <c r="J940" s="4" t="n">
        <v>13.19</v>
      </c>
      <c r="K940" s="4" t="n">
        <v>12.63</v>
      </c>
      <c r="L940" s="4" t="n">
        <v>12.7675</v>
      </c>
      <c r="M940" s="7" t="n">
        <v>-0.0156</v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4272</v>
      </c>
      <c r="F941" s="8" t="n">
        <v>0.4833</v>
      </c>
      <c r="G941" s="4" t="n">
        <v>129.2346</v>
      </c>
      <c r="H941" s="4" t="n">
        <v>108.9543</v>
      </c>
      <c r="I941" s="4" t="n">
        <v>12.7675</v>
      </c>
      <c r="J941" s="4" t="n">
        <v>13.285</v>
      </c>
      <c r="K941" s="4" t="n">
        <v>12.42</v>
      </c>
      <c r="L941" s="4" t="n">
        <v>13.1</v>
      </c>
      <c r="M941" s="7" t="n">
        <v>0.026</v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3" t="n">
        <v>4398</v>
      </c>
      <c r="F942" s="8" t="n">
        <v>0.53</v>
      </c>
      <c r="G942" s="4" t="n">
        <v>140.9712</v>
      </c>
      <c r="H942" s="4" t="n">
        <v>96.6952</v>
      </c>
      <c r="I942" s="4" t="n">
        <v>13.1</v>
      </c>
      <c r="J942" s="4" t="n">
        <v>13.885</v>
      </c>
      <c r="K942" s="4" t="n">
        <v>11.7875</v>
      </c>
      <c r="L942" s="4" t="n">
        <v>13.785</v>
      </c>
      <c r="M942" s="7" t="n">
        <v>0.0523</v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4246</v>
      </c>
      <c r="F943" s="8" t="n">
        <v>0.5184</v>
      </c>
      <c r="G943" s="4" t="n">
        <v>132.7828</v>
      </c>
      <c r="H943" s="4" t="n">
        <v>98.69589999999999</v>
      </c>
      <c r="I943" s="4" t="n">
        <v>13.785</v>
      </c>
      <c r="J943" s="4" t="n">
        <v>14.0425</v>
      </c>
      <c r="K943" s="4" t="n">
        <v>12.485</v>
      </c>
      <c r="L943" s="4" t="n">
        <v>13.5725</v>
      </c>
      <c r="M943" s="7" t="n">
        <v>-0.0154</v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4199</v>
      </c>
      <c r="F944" s="8" t="n">
        <v>0.4772</v>
      </c>
      <c r="G944" s="4" t="n">
        <v>101.9714</v>
      </c>
      <c r="H944" s="4" t="n">
        <v>85.14570000000001</v>
      </c>
      <c r="I944" s="4" t="n">
        <v>13.5725</v>
      </c>
      <c r="J944" s="4" t="n">
        <v>15.23</v>
      </c>
      <c r="K944" s="4" t="n">
        <v>12.715</v>
      </c>
      <c r="L944" s="4" t="n">
        <v>15.08</v>
      </c>
      <c r="M944" s="7" t="n">
        <v>0.1111</v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4189</v>
      </c>
      <c r="F945" s="8" t="n">
        <v>0.5295</v>
      </c>
      <c r="G945" s="4" t="n">
        <v>117.8324</v>
      </c>
      <c r="H945" s="4" t="n">
        <v>100.0367</v>
      </c>
      <c r="I945" s="4" t="n">
        <v>15.08</v>
      </c>
      <c r="J945" s="4" t="n">
        <v>15.705</v>
      </c>
      <c r="K945" s="4" t="n">
        <v>12.98</v>
      </c>
      <c r="L945" s="4" t="n">
        <v>14.07</v>
      </c>
      <c r="M945" s="7" t="n">
        <v>-0.067</v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3" t="n">
        <v>4232</v>
      </c>
      <c r="F946" s="8" t="n">
        <v>0.5034</v>
      </c>
      <c r="G946" s="4" t="n">
        <v>110.4245</v>
      </c>
      <c r="H946" s="4" t="n">
        <v>113.2754</v>
      </c>
      <c r="I946" s="4" t="n">
        <v>14.07</v>
      </c>
      <c r="J946" s="4" t="n">
        <v>14.1125</v>
      </c>
      <c r="K946" s="4" t="n">
        <v>13.6775</v>
      </c>
      <c r="L946" s="4" t="n">
        <v>13.8775</v>
      </c>
      <c r="M946" s="7" t="n">
        <v>-0.0137</v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3" t="n">
        <v>4172</v>
      </c>
      <c r="F947" s="8" t="n">
        <v>0.4149</v>
      </c>
      <c r="G947" s="4" t="n">
        <v>94.7324</v>
      </c>
      <c r="H947" s="4" t="n">
        <v>73.01900000000001</v>
      </c>
      <c r="I947" s="4" t="n">
        <v>13.8775</v>
      </c>
      <c r="J947" s="4" t="n">
        <v>14.2475</v>
      </c>
      <c r="K947" s="4" t="n">
        <v>13.0975</v>
      </c>
      <c r="L947" s="4" t="n">
        <v>13.8025</v>
      </c>
      <c r="M947" s="7" t="n">
        <v>-0.0054</v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3" t="n">
        <v>4400</v>
      </c>
      <c r="F948" s="8" t="n">
        <v>0.6828</v>
      </c>
      <c r="G948" s="4" t="n">
        <v>139.43</v>
      </c>
      <c r="H948" s="4" t="n">
        <v>113.4791</v>
      </c>
      <c r="I948" s="4" t="n">
        <v>13.8025</v>
      </c>
      <c r="J948" s="4" t="n">
        <v>15.405</v>
      </c>
      <c r="K948" s="4" t="n">
        <v>12.195</v>
      </c>
      <c r="L948" s="4" t="n">
        <v>14.8525</v>
      </c>
      <c r="M948" s="7" t="n">
        <v>0.0761</v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3" t="n">
        <v>4229</v>
      </c>
      <c r="F949" s="8" t="n">
        <v>0.5326</v>
      </c>
      <c r="G949" s="4" t="n">
        <v>121.6945</v>
      </c>
      <c r="H949" s="4" t="n">
        <v>109.5783</v>
      </c>
      <c r="I949" s="4" t="n">
        <v>14.8525</v>
      </c>
      <c r="J949" s="4" t="n">
        <v>15.6475</v>
      </c>
      <c r="K949" s="4" t="n">
        <v>14.03</v>
      </c>
      <c r="L949" s="4" t="n">
        <v>14.375</v>
      </c>
      <c r="M949" s="7" t="n">
        <v>-0.0321</v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3" t="n">
        <v>4223</v>
      </c>
      <c r="F950" s="8" t="n">
        <v>0.4791</v>
      </c>
      <c r="G950" s="4" t="n">
        <v>123.7246</v>
      </c>
      <c r="H950" s="4" t="n">
        <v>197.0345</v>
      </c>
      <c r="I950" s="4" t="n">
        <v>14.375</v>
      </c>
      <c r="J950" s="4" t="n">
        <v>15.3375</v>
      </c>
      <c r="K950" s="4" t="n">
        <v>13.36</v>
      </c>
      <c r="L950" s="4" t="n">
        <v>13.865</v>
      </c>
      <c r="M950" s="7" t="n">
        <v>-0.0355</v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3" t="n">
        <v>4436</v>
      </c>
      <c r="F951" s="8" t="n">
        <v>0.5414</v>
      </c>
      <c r="G951" s="4" t="n">
        <v>130.7237</v>
      </c>
      <c r="H951" s="4" t="n">
        <v>106.2675</v>
      </c>
      <c r="I951" s="4" t="n">
        <v>13.865</v>
      </c>
      <c r="J951" s="4" t="n">
        <v>15.8475</v>
      </c>
      <c r="K951" s="4" t="n">
        <v>13.795</v>
      </c>
      <c r="L951" s="4" t="n">
        <v>15.68</v>
      </c>
      <c r="M951" s="7" t="n">
        <v>0.1309</v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3" t="n">
        <v>4243</v>
      </c>
      <c r="F952" s="8" t="n">
        <v>0.5716</v>
      </c>
      <c r="G952" s="4" t="n">
        <v>138.103</v>
      </c>
      <c r="H952" s="4" t="n">
        <v>101.6469</v>
      </c>
      <c r="I952" s="4" t="n">
        <v>15.68</v>
      </c>
      <c r="J952" s="4" t="n">
        <v>16.575</v>
      </c>
      <c r="K952" s="4" t="n">
        <v>14.9875</v>
      </c>
      <c r="L952" s="4" t="n">
        <v>16.1025</v>
      </c>
      <c r="M952" s="7" t="n">
        <v>0.0269</v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3" t="n">
        <v>4247</v>
      </c>
      <c r="F953" s="8" t="n">
        <v>0.5163</v>
      </c>
      <c r="G953" s="4" t="n">
        <v>143.3969</v>
      </c>
      <c r="H953" s="4" t="n">
        <v>96.5038</v>
      </c>
      <c r="I953" s="4" t="n">
        <v>16.1025</v>
      </c>
      <c r="J953" s="4" t="n">
        <v>16.5325</v>
      </c>
      <c r="K953" s="4" t="n">
        <v>15.8</v>
      </c>
      <c r="L953" s="4" t="n">
        <v>16.0475</v>
      </c>
      <c r="M953" s="7" t="n">
        <v>-0.0034</v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4281</v>
      </c>
      <c r="F954" s="8" t="n">
        <v>0.5921999999999999</v>
      </c>
      <c r="G954" s="4" t="n">
        <v>163.5053</v>
      </c>
      <c r="H954" s="4" t="n">
        <v>177.367</v>
      </c>
      <c r="I954" s="4" t="n">
        <v>16.0475</v>
      </c>
      <c r="J954" s="4" t="n">
        <v>16.1075</v>
      </c>
      <c r="K954" s="4" t="n">
        <v>14.36</v>
      </c>
      <c r="L954" s="4" t="n">
        <v>14.455</v>
      </c>
      <c r="M954" s="7" t="n">
        <v>-0.0992</v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4337</v>
      </c>
      <c r="F955" s="8" t="n">
        <v>0.5905</v>
      </c>
      <c r="G955" s="4" t="n">
        <v>141.867</v>
      </c>
      <c r="H955" s="4" t="n">
        <v>118.1505</v>
      </c>
      <c r="I955" s="4" t="n">
        <v>14.455</v>
      </c>
      <c r="J955" s="4" t="n">
        <v>15.1325</v>
      </c>
      <c r="K955" s="4" t="n">
        <v>14.025</v>
      </c>
      <c r="L955" s="4" t="n">
        <v>14.6975</v>
      </c>
      <c r="M955" s="7" t="n">
        <v>0.0168</v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4516</v>
      </c>
      <c r="F956" s="8" t="n">
        <v>0.7254</v>
      </c>
      <c r="G956" s="4" t="n">
        <v>154.1954</v>
      </c>
      <c r="H956" s="4" t="n">
        <v>128.907</v>
      </c>
      <c r="I956" s="4" t="n">
        <v>14.6975</v>
      </c>
      <c r="J956" s="4" t="n">
        <v>16.05</v>
      </c>
      <c r="K956" s="4" t="n">
        <v>14.6975</v>
      </c>
      <c r="L956" s="4" t="n">
        <v>15.6175</v>
      </c>
      <c r="M956" s="7" t="n">
        <v>0.0626</v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4321</v>
      </c>
      <c r="F957" s="8" t="n">
        <v>0.5668</v>
      </c>
      <c r="G957" s="4" t="n">
        <v>148.2184</v>
      </c>
      <c r="H957" s="4" t="n">
        <v>114.5193</v>
      </c>
      <c r="I957" s="4" t="n">
        <v>15.6175</v>
      </c>
      <c r="J957" s="4" t="n">
        <v>15.9825</v>
      </c>
      <c r="K957" s="4" t="n">
        <v>15.0875</v>
      </c>
      <c r="L957" s="4" t="n">
        <v>15.785</v>
      </c>
      <c r="M957" s="7" t="n">
        <v>0.0107</v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4335</v>
      </c>
      <c r="F958" s="8" t="n">
        <v>0.572</v>
      </c>
      <c r="G958" s="4" t="n">
        <v>153.6404</v>
      </c>
      <c r="H958" s="4" t="n">
        <v>117.0634</v>
      </c>
      <c r="I958" s="4" t="n">
        <v>15.785</v>
      </c>
      <c r="J958" s="4" t="n">
        <v>16.0175</v>
      </c>
      <c r="K958" s="4" t="n">
        <v>14.74</v>
      </c>
      <c r="L958" s="4" t="n">
        <v>15.505</v>
      </c>
      <c r="M958" s="7" t="n">
        <v>-0.0177</v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4329</v>
      </c>
      <c r="F959" s="8" t="n">
        <v>0.574</v>
      </c>
      <c r="G959" s="4" t="n">
        <v>177.9555</v>
      </c>
      <c r="H959" s="4" t="n">
        <v>115.5051</v>
      </c>
      <c r="I959" s="4" t="n">
        <v>15.505</v>
      </c>
      <c r="J959" s="4" t="n">
        <v>16.0275</v>
      </c>
      <c r="K959" s="4" t="n">
        <v>15.2425</v>
      </c>
      <c r="L959" s="4" t="n">
        <v>15.8275</v>
      </c>
      <c r="M959" s="7" t="n">
        <v>0.0208</v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4300</v>
      </c>
      <c r="F960" s="8" t="n">
        <v>0.6684</v>
      </c>
      <c r="G960" s="4" t="n">
        <v>154.0034</v>
      </c>
      <c r="H960" s="4" t="n">
        <v>116.6764</v>
      </c>
      <c r="I960" s="4" t="n">
        <v>15.8275</v>
      </c>
      <c r="J960" s="4" t="n">
        <v>16.3325</v>
      </c>
      <c r="K960" s="4" t="n">
        <v>15.265</v>
      </c>
      <c r="L960" s="4" t="n">
        <v>15.4475</v>
      </c>
      <c r="M960" s="7" t="n">
        <v>-0.024</v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4434</v>
      </c>
      <c r="F961" s="8" t="n">
        <v>0.6415</v>
      </c>
      <c r="G961" s="4" t="n">
        <v>124.3149</v>
      </c>
      <c r="H961" s="4" t="n">
        <v>96.0086</v>
      </c>
      <c r="I961" s="4" t="n">
        <v>15.4475</v>
      </c>
      <c r="J961" s="4" t="n">
        <v>16.535</v>
      </c>
      <c r="K961" s="4" t="n">
        <v>15.4475</v>
      </c>
      <c r="L961" s="4" t="n">
        <v>16.0625</v>
      </c>
      <c r="M961" s="7" t="n">
        <v>0.0398</v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4296</v>
      </c>
      <c r="F962" s="8" t="n">
        <v>0.5321</v>
      </c>
      <c r="G962" s="4" t="n">
        <v>100.2104</v>
      </c>
      <c r="H962" s="4" t="n">
        <v>83.6572</v>
      </c>
      <c r="I962" s="4" t="n">
        <v>16.0625</v>
      </c>
      <c r="J962" s="4" t="n">
        <v>16.57</v>
      </c>
      <c r="K962" s="4" t="n">
        <v>15.7525</v>
      </c>
      <c r="L962" s="4" t="n">
        <v>15.8075</v>
      </c>
      <c r="M962" s="7" t="n">
        <v>-0.0159</v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4254</v>
      </c>
      <c r="F963" s="8" t="n">
        <v>0.4206</v>
      </c>
      <c r="G963" s="4" t="n">
        <v>125.6557</v>
      </c>
      <c r="H963" s="4" t="n">
        <v>150.3842</v>
      </c>
      <c r="I963" s="4" t="n">
        <v>15.8075</v>
      </c>
      <c r="J963" s="4" t="n">
        <v>16.1975</v>
      </c>
      <c r="K963" s="4" t="n">
        <v>15.34</v>
      </c>
      <c r="L963" s="4" t="n">
        <v>15.435</v>
      </c>
      <c r="M963" s="7" t="n">
        <v>-0.0236</v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4265</v>
      </c>
      <c r="F964" s="8" t="n">
        <v>0.4637</v>
      </c>
      <c r="G964" s="4" t="n">
        <v>152.2915</v>
      </c>
      <c r="H964" s="4" t="n">
        <v>118.049</v>
      </c>
      <c r="I964" s="4" t="n">
        <v>15.435</v>
      </c>
      <c r="J964" s="4" t="n">
        <v>15.6625</v>
      </c>
      <c r="K964" s="4" t="n">
        <v>15.1125</v>
      </c>
      <c r="L964" s="4" t="n">
        <v>15.225</v>
      </c>
      <c r="M964" s="7" t="n">
        <v>-0.0136</v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4255</v>
      </c>
      <c r="F965" s="8" t="n">
        <v>0.4636</v>
      </c>
      <c r="G965" s="4" t="n">
        <v>121.8177</v>
      </c>
      <c r="H965" s="4" t="n">
        <v>96.9354</v>
      </c>
      <c r="I965" s="4" t="n">
        <v>15.225</v>
      </c>
      <c r="J965" s="4" t="n">
        <v>15.5525</v>
      </c>
      <c r="K965" s="4" t="n">
        <v>14.9025</v>
      </c>
      <c r="L965" s="4" t="n">
        <v>15.2225</v>
      </c>
      <c r="M965" s="7" t="n">
        <v>-0.0002</v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4471</v>
      </c>
      <c r="F966" s="8" t="n">
        <v>0.4326</v>
      </c>
      <c r="G966" s="4" t="n">
        <v>117.3078</v>
      </c>
      <c r="H966" s="4" t="n">
        <v>83.96299999999999</v>
      </c>
      <c r="I966" s="4" t="n">
        <v>15.2225</v>
      </c>
      <c r="J966" s="4" t="n">
        <v>16.1175</v>
      </c>
      <c r="K966" s="4" t="n">
        <v>13.7</v>
      </c>
      <c r="L966" s="4" t="n">
        <v>16.0175</v>
      </c>
      <c r="M966" s="7" t="n">
        <v>0.0522</v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4285</v>
      </c>
      <c r="F967" s="8" t="n">
        <v>0.4121</v>
      </c>
      <c r="G967" s="4" t="n">
        <v>84.98860000000001</v>
      </c>
      <c r="H967" s="4" t="n">
        <v>108.3751</v>
      </c>
      <c r="I967" s="4" t="n">
        <v>16.0175</v>
      </c>
      <c r="J967" s="4" t="n">
        <v>16.36</v>
      </c>
      <c r="K967" s="4" t="n">
        <v>14.2125</v>
      </c>
      <c r="L967" s="4" t="n">
        <v>16.0725</v>
      </c>
      <c r="M967" s="7" t="n">
        <v>0.0034</v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4283</v>
      </c>
      <c r="F968" s="8" t="n">
        <v>0.4361</v>
      </c>
      <c r="G968" s="4" t="n">
        <v>115.8618</v>
      </c>
      <c r="H968" s="4" t="n">
        <v>82.2406</v>
      </c>
      <c r="I968" s="4" t="n">
        <v>16.0725</v>
      </c>
      <c r="J968" s="4" t="n">
        <v>16.31</v>
      </c>
      <c r="K968" s="4" t="n">
        <v>15.68</v>
      </c>
      <c r="L968" s="4" t="n">
        <v>15.9275</v>
      </c>
      <c r="M968" s="7" t="n">
        <v>-0.008999999999999999</v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4235</v>
      </c>
      <c r="F969" s="8" t="n">
        <v>0.3967</v>
      </c>
      <c r="G969" s="4" t="n">
        <v>97.2727</v>
      </c>
      <c r="H969" s="4" t="n">
        <v>81.4256</v>
      </c>
      <c r="I969" s="4" t="n">
        <v>15.9275</v>
      </c>
      <c r="J969" s="4" t="n">
        <v>16.15</v>
      </c>
      <c r="K969" s="4" t="n">
        <v>15.1325</v>
      </c>
      <c r="L969" s="4" t="n">
        <v>15.1975</v>
      </c>
      <c r="M969" s="7" t="n">
        <v>-0.0458</v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3" t="n">
        <v>4276</v>
      </c>
      <c r="F970" s="8" t="n">
        <v>0.4275</v>
      </c>
      <c r="G970" s="4" t="n">
        <v>130.9276</v>
      </c>
      <c r="H970" s="4" t="n">
        <v>88.15089999999999</v>
      </c>
      <c r="I970" s="4" t="n">
        <v>15.1975</v>
      </c>
      <c r="J970" s="4" t="n">
        <v>15.4425</v>
      </c>
      <c r="K970" s="4" t="n">
        <v>14.84</v>
      </c>
      <c r="L970" s="4" t="n">
        <v>14.9725</v>
      </c>
      <c r="M970" s="7" t="n">
        <v>-0.0148</v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3" t="n">
        <v>4435</v>
      </c>
      <c r="F971" s="8" t="n">
        <v>0.4196</v>
      </c>
      <c r="G971" s="4" t="n">
        <v>99.9158</v>
      </c>
      <c r="H971" s="4" t="n">
        <v>71.7334</v>
      </c>
      <c r="I971" s="4" t="n">
        <v>14.9725</v>
      </c>
      <c r="J971" s="4" t="n">
        <v>15.96</v>
      </c>
      <c r="K971" s="4" t="n">
        <v>13.7575</v>
      </c>
      <c r="L971" s="4" t="n">
        <v>15.6</v>
      </c>
      <c r="M971" s="7" t="n">
        <v>0.0419</v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3" t="n">
        <v>4231</v>
      </c>
      <c r="F972" s="8" t="n">
        <v>0.3918</v>
      </c>
      <c r="G972" s="4" t="n">
        <v>95.11109999999999</v>
      </c>
      <c r="H972" s="4" t="n">
        <v>96.9871</v>
      </c>
      <c r="I972" s="4" t="n">
        <v>15.6</v>
      </c>
      <c r="J972" s="4" t="n">
        <v>15.9975</v>
      </c>
      <c r="K972" s="4" t="n">
        <v>15.53</v>
      </c>
      <c r="L972" s="4" t="n">
        <v>15.7275</v>
      </c>
      <c r="M972" s="7" t="n">
        <v>0.008200000000000001</v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3" t="n">
        <v>4255</v>
      </c>
      <c r="F973" s="8" t="n">
        <v>0.4601</v>
      </c>
      <c r="G973" s="4" t="n">
        <v>104.2028</v>
      </c>
      <c r="H973" s="4" t="n">
        <v>71.0269</v>
      </c>
      <c r="I973" s="4" t="n">
        <v>15.7275</v>
      </c>
      <c r="J973" s="4" t="n">
        <v>16.74</v>
      </c>
      <c r="K973" s="4" t="n">
        <v>15.31</v>
      </c>
      <c r="L973" s="4" t="n">
        <v>16.33</v>
      </c>
      <c r="M973" s="7" t="n">
        <v>0.0383</v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3" t="n">
        <v>4185</v>
      </c>
      <c r="F974" s="8" t="n">
        <v>0.3998</v>
      </c>
      <c r="G974" s="4" t="n">
        <v>97.10980000000001</v>
      </c>
      <c r="H974" s="4" t="n">
        <v>93.5142</v>
      </c>
      <c r="I974" s="4" t="n">
        <v>16.33</v>
      </c>
      <c r="J974" s="4" t="n">
        <v>16.5525</v>
      </c>
      <c r="K974" s="4" t="n">
        <v>15.37</v>
      </c>
      <c r="L974" s="4" t="n">
        <v>15.5725</v>
      </c>
      <c r="M974" s="7" t="n">
        <v>-0.0464</v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3" t="n">
        <v>4283</v>
      </c>
      <c r="F975" s="8" t="n">
        <v>0.3884</v>
      </c>
      <c r="G975" s="4" t="n">
        <v>83.53660000000001</v>
      </c>
      <c r="H975" s="4" t="n">
        <v>81.2073</v>
      </c>
      <c r="I975" s="4" t="n">
        <v>15.5725</v>
      </c>
      <c r="J975" s="4" t="n">
        <v>15.6425</v>
      </c>
      <c r="K975" s="4" t="n">
        <v>15</v>
      </c>
      <c r="L975" s="4" t="n">
        <v>15.235</v>
      </c>
      <c r="M975" s="7" t="n">
        <v>-0.0217</v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3" t="n">
        <v>3689</v>
      </c>
      <c r="F976" s="8" t="n">
        <v>0.0983</v>
      </c>
      <c r="G976" s="4" t="n">
        <v>19.809</v>
      </c>
      <c r="H976" s="4" t="n">
        <v>10.7884</v>
      </c>
      <c r="I976" s="4" t="n"/>
      <c r="J976" s="4" t="n"/>
      <c r="K976" s="4" t="n"/>
      <c r="L976" s="4" t="n"/>
      <c r="M976" s="7" t="n"/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3" t="n">
        <v>4398</v>
      </c>
      <c r="F977" s="8" t="n">
        <v>0.3604</v>
      </c>
      <c r="G977" s="4" t="n">
        <v>67.67359999999999</v>
      </c>
      <c r="H977" s="4" t="n">
        <v>72.4731</v>
      </c>
      <c r="I977" s="4" t="n">
        <v>14.9925</v>
      </c>
      <c r="J977" s="4" t="n">
        <v>15.3025</v>
      </c>
      <c r="K977" s="4" t="n">
        <v>14.8225</v>
      </c>
      <c r="L977" s="4" t="n">
        <v>14.9225</v>
      </c>
      <c r="M977" s="7" t="n">
        <v>-0.0047</v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3" t="n">
        <v>4259</v>
      </c>
      <c r="F978" s="8" t="n">
        <v>0.3877</v>
      </c>
      <c r="G978" s="4" t="n">
        <v>72.2396</v>
      </c>
      <c r="H978" s="4" t="n">
        <v>85.5249</v>
      </c>
      <c r="I978" s="4" t="n">
        <v>14.9225</v>
      </c>
      <c r="J978" s="4" t="n">
        <v>15.165</v>
      </c>
      <c r="K978" s="4" t="n">
        <v>14.1775</v>
      </c>
      <c r="L978" s="4" t="n">
        <v>14.38</v>
      </c>
      <c r="M978" s="7" t="n">
        <v>-0.0364</v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3" t="n">
        <v>4283</v>
      </c>
      <c r="F979" s="8" t="n">
        <v>0.4524</v>
      </c>
      <c r="G979" s="4" t="n">
        <v>98.1885</v>
      </c>
      <c r="H979" s="4" t="n">
        <v>110.6763</v>
      </c>
      <c r="I979" s="4" t="n">
        <v>14.38</v>
      </c>
      <c r="J979" s="4" t="n">
        <v>14.71</v>
      </c>
      <c r="K979" s="4" t="n">
        <v>13.905</v>
      </c>
      <c r="L979" s="4" t="n">
        <v>14.295</v>
      </c>
      <c r="M979" s="7" t="n">
        <v>-0.0059</v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3" t="n">
        <v>4279</v>
      </c>
      <c r="F980" s="8" t="n">
        <v>0.3676</v>
      </c>
      <c r="G980" s="4" t="n">
        <v>80.1259</v>
      </c>
      <c r="H980" s="4" t="n">
        <v>70.532</v>
      </c>
      <c r="I980" s="4" t="n">
        <v>14.295</v>
      </c>
      <c r="J980" s="4" t="n">
        <v>14.4325</v>
      </c>
      <c r="K980" s="4" t="n">
        <v>13.56</v>
      </c>
      <c r="L980" s="4" t="n">
        <v>13.6125</v>
      </c>
      <c r="M980" s="7" t="n">
        <v>-0.0477</v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4470</v>
      </c>
      <c r="F981" s="8" t="n">
        <v>0.4039</v>
      </c>
      <c r="G981" s="4" t="n">
        <v>88.4575</v>
      </c>
      <c r="H981" s="4" t="n">
        <v>134.5143</v>
      </c>
      <c r="I981" s="4" t="n">
        <v>13.6125</v>
      </c>
      <c r="J981" s="4" t="n">
        <v>14.5525</v>
      </c>
      <c r="K981" s="4" t="n">
        <v>13.6125</v>
      </c>
      <c r="L981" s="4" t="n">
        <v>13.995</v>
      </c>
      <c r="M981" s="7" t="n">
        <v>0.0281</v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4367</v>
      </c>
      <c r="F982" s="8" t="n">
        <v>0.4521</v>
      </c>
      <c r="G982" s="4" t="n">
        <v>78.8017</v>
      </c>
      <c r="H982" s="4" t="n">
        <v>69.94629999999999</v>
      </c>
      <c r="I982" s="4" t="n">
        <v>13.995</v>
      </c>
      <c r="J982" s="4" t="n">
        <v>14.195</v>
      </c>
      <c r="K982" s="4" t="n">
        <v>13.5775</v>
      </c>
      <c r="L982" s="4" t="n">
        <v>13.6375</v>
      </c>
      <c r="M982" s="7" t="n">
        <v>-0.0255</v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4319</v>
      </c>
      <c r="F983" s="8" t="n">
        <v>0.6229</v>
      </c>
      <c r="G983" s="4" t="n">
        <v>137.3492</v>
      </c>
      <c r="H983" s="4" t="n">
        <v>265.9011</v>
      </c>
      <c r="I983" s="4" t="n">
        <v>13.6375</v>
      </c>
      <c r="J983" s="4" t="n">
        <v>15.005</v>
      </c>
      <c r="K983" s="4" t="n">
        <v>13.5325</v>
      </c>
      <c r="L983" s="4" t="n">
        <v>14.4325</v>
      </c>
      <c r="M983" s="7" t="n">
        <v>0.0583</v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4312</v>
      </c>
      <c r="F984" s="8" t="n">
        <v>0.4858</v>
      </c>
      <c r="G984" s="4" t="n">
        <v>105.2907</v>
      </c>
      <c r="H984" s="4" t="n">
        <v>78.32089999999999</v>
      </c>
      <c r="I984" s="4" t="n">
        <v>14.4325</v>
      </c>
      <c r="J984" s="4" t="n">
        <v>14.6825</v>
      </c>
      <c r="K984" s="4" t="n">
        <v>13.5225</v>
      </c>
      <c r="L984" s="4" t="n">
        <v>13.6225</v>
      </c>
      <c r="M984" s="7" t="n">
        <v>-0.0561</v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4269</v>
      </c>
      <c r="F985" s="8" t="n">
        <v>0.4369</v>
      </c>
      <c r="G985" s="4" t="n">
        <v>80.4836</v>
      </c>
      <c r="H985" s="4" t="n">
        <v>77.55970000000001</v>
      </c>
      <c r="I985" s="4" t="n">
        <v>13.6225</v>
      </c>
      <c r="J985" s="4" t="n">
        <v>14.3325</v>
      </c>
      <c r="K985" s="4" t="n">
        <v>13.59</v>
      </c>
      <c r="L985" s="4" t="n">
        <v>13.69</v>
      </c>
      <c r="M985" s="7" t="n">
        <v>0.005</v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3" t="n">
        <v>4386</v>
      </c>
      <c r="F986" s="8" t="n">
        <v>0.3295</v>
      </c>
      <c r="G986" s="4" t="n">
        <v>58.9269</v>
      </c>
      <c r="H986" s="4" t="n">
        <v>51.3267</v>
      </c>
      <c r="I986" s="4" t="n">
        <v>13.69</v>
      </c>
      <c r="J986" s="4" t="n">
        <v>14.615</v>
      </c>
      <c r="K986" s="4" t="n">
        <v>13.69</v>
      </c>
      <c r="L986" s="4" t="n">
        <v>13.895</v>
      </c>
      <c r="M986" s="7" t="n">
        <v>0.015</v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3" t="n">
        <v>4251</v>
      </c>
      <c r="F987" s="8" t="n">
        <v>0.309</v>
      </c>
      <c r="G987" s="4" t="n">
        <v>61.509</v>
      </c>
      <c r="H987" s="4" t="n">
        <v>159.0941</v>
      </c>
      <c r="I987" s="4" t="n">
        <v>13.895</v>
      </c>
      <c r="J987" s="4" t="n">
        <v>14.445</v>
      </c>
      <c r="K987" s="4" t="n">
        <v>13.875</v>
      </c>
      <c r="L987" s="4" t="n">
        <v>14.1125</v>
      </c>
      <c r="M987" s="7" t="n">
        <v>0.0157</v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3" t="n">
        <v>4206</v>
      </c>
      <c r="F988" s="8" t="n">
        <v>0.3177</v>
      </c>
      <c r="G988" s="4" t="n">
        <v>75.7086</v>
      </c>
      <c r="H988" s="4" t="n">
        <v>54.4938</v>
      </c>
      <c r="I988" s="4" t="n">
        <v>14.1125</v>
      </c>
      <c r="J988" s="4" t="n">
        <v>14.2825</v>
      </c>
      <c r="K988" s="4" t="n">
        <v>13.085</v>
      </c>
      <c r="L988" s="4" t="n">
        <v>13.4725</v>
      </c>
      <c r="M988" s="7" t="n">
        <v>-0.0453</v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3" t="n">
        <v>4259</v>
      </c>
      <c r="F989" s="8" t="n">
        <v>0.288</v>
      </c>
      <c r="G989" s="4" t="n">
        <v>58.407</v>
      </c>
      <c r="H989" s="4" t="n">
        <v>51.06</v>
      </c>
      <c r="I989" s="4" t="n">
        <v>13.4725</v>
      </c>
      <c r="J989" s="4" t="n">
        <v>13.4725</v>
      </c>
      <c r="K989" s="4" t="n">
        <v>12.3425</v>
      </c>
      <c r="L989" s="4" t="n">
        <v>12.5125</v>
      </c>
      <c r="M989" s="7" t="n">
        <v>-0.0713</v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3" t="n">
        <v>4235</v>
      </c>
      <c r="F990" s="8" t="n">
        <v>0.3173</v>
      </c>
      <c r="G990" s="4" t="n">
        <v>68.2863</v>
      </c>
      <c r="H990" s="4" t="n">
        <v>79.1097</v>
      </c>
      <c r="I990" s="4" t="n">
        <v>12.5125</v>
      </c>
      <c r="J990" s="4" t="n">
        <v>13.0475</v>
      </c>
      <c r="K990" s="4" t="n">
        <v>11.81</v>
      </c>
      <c r="L990" s="4" t="n">
        <v>12.22</v>
      </c>
      <c r="M990" s="7" t="n">
        <v>-0.0234</v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3" t="n">
        <v>4444</v>
      </c>
      <c r="F991" s="8" t="n">
        <v>0.3333</v>
      </c>
      <c r="G991" s="4" t="n">
        <v>71.5819</v>
      </c>
      <c r="H991" s="4" t="n">
        <v>84.8914</v>
      </c>
      <c r="I991" s="4" t="n">
        <v>12.22</v>
      </c>
      <c r="J991" s="4" t="n">
        <v>13.1025</v>
      </c>
      <c r="K991" s="4" t="n">
        <v>12.085</v>
      </c>
      <c r="L991" s="4" t="n">
        <v>12.82</v>
      </c>
      <c r="M991" s="7" t="n">
        <v>0.0491</v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3" t="n">
        <v>4294</v>
      </c>
      <c r="F992" s="8" t="n">
        <v>0.3709</v>
      </c>
      <c r="G992" s="4" t="n">
        <v>82.15300000000001</v>
      </c>
      <c r="H992" s="4" t="n">
        <v>96.4675</v>
      </c>
      <c r="I992" s="4" t="n">
        <v>12.82</v>
      </c>
      <c r="J992" s="4" t="n">
        <v>13.01</v>
      </c>
      <c r="K992" s="4" t="n">
        <v>12.5325</v>
      </c>
      <c r="L992" s="4" t="n">
        <v>12.7025</v>
      </c>
      <c r="M992" s="7" t="n">
        <v>-0.0092</v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3" t="n">
        <v>4271</v>
      </c>
      <c r="F993" s="8" t="n">
        <v>0.3692</v>
      </c>
      <c r="G993" s="4" t="n">
        <v>93.4803</v>
      </c>
      <c r="H993" s="4" t="n">
        <v>89.7045</v>
      </c>
      <c r="I993" s="4" t="n">
        <v>12.7025</v>
      </c>
      <c r="J993" s="4" t="n">
        <v>13.18</v>
      </c>
      <c r="K993" s="4" t="n">
        <v>12.26</v>
      </c>
      <c r="L993" s="4" t="n">
        <v>12.8325</v>
      </c>
      <c r="M993" s="7" t="n">
        <v>0.0102</v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4382</v>
      </c>
      <c r="F994" s="8" t="n">
        <v>0.3394</v>
      </c>
      <c r="G994" s="4" t="n">
        <v>63.809</v>
      </c>
      <c r="H994" s="4" t="n">
        <v>56.0284</v>
      </c>
      <c r="I994" s="4" t="n">
        <v>12.8325</v>
      </c>
      <c r="J994" s="4" t="n">
        <v>13.3575</v>
      </c>
      <c r="K994" s="4" t="n">
        <v>12.005</v>
      </c>
      <c r="L994" s="4" t="n">
        <v>12.0825</v>
      </c>
      <c r="M994" s="7" t="n">
        <v>-0.0584</v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4293</v>
      </c>
      <c r="F995" s="8" t="n">
        <v>0.3422</v>
      </c>
      <c r="G995" s="4" t="n">
        <v>78.37649999999999</v>
      </c>
      <c r="H995" s="4" t="n">
        <v>60.3257</v>
      </c>
      <c r="I995" s="4" t="n">
        <v>12.0825</v>
      </c>
      <c r="J995" s="4" t="n">
        <v>12.305</v>
      </c>
      <c r="K995" s="4" t="n">
        <v>11.5975</v>
      </c>
      <c r="L995" s="4" t="n">
        <v>11.6525</v>
      </c>
      <c r="M995" s="7" t="n">
        <v>-0.0356</v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4294</v>
      </c>
      <c r="F996" s="8" t="n">
        <v>0.3657</v>
      </c>
      <c r="G996" s="4" t="n">
        <v>95.807</v>
      </c>
      <c r="H996" s="4" t="n">
        <v>69.33540000000001</v>
      </c>
      <c r="I996" s="4" t="n">
        <v>11.6525</v>
      </c>
      <c r="J996" s="4" t="n">
        <v>11.8275</v>
      </c>
      <c r="K996" s="4" t="n">
        <v>11.3125</v>
      </c>
      <c r="L996" s="4" t="n">
        <v>11.3725</v>
      </c>
      <c r="M996" s="7" t="n">
        <v>-0.024</v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3" t="n">
        <v>4258</v>
      </c>
      <c r="F997" s="8" t="n">
        <v>0.3861</v>
      </c>
      <c r="G997" s="4" t="n">
        <v>96.0065</v>
      </c>
      <c r="H997" s="4" t="n">
        <v>69.41970000000001</v>
      </c>
      <c r="I997" s="4" t="n">
        <v>11.3725</v>
      </c>
      <c r="J997" s="4" t="n">
        <v>11.8375</v>
      </c>
      <c r="K997" s="4" t="n">
        <v>10.86</v>
      </c>
      <c r="L997" s="4" t="n">
        <v>11.22</v>
      </c>
      <c r="M997" s="7" t="n">
        <v>-0.0134</v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3" t="n">
        <v>4267</v>
      </c>
      <c r="F998" s="8" t="n">
        <v>0.3908</v>
      </c>
      <c r="G998" s="4" t="n">
        <v>98.97929999999999</v>
      </c>
      <c r="H998" s="4" t="n">
        <v>76.1828</v>
      </c>
      <c r="I998" s="4" t="n">
        <v>11.22</v>
      </c>
      <c r="J998" s="4" t="n">
        <v>11.6825</v>
      </c>
      <c r="K998" s="4" t="n">
        <v>11.035</v>
      </c>
      <c r="L998" s="4" t="n">
        <v>11.3375</v>
      </c>
      <c r="M998" s="7" t="n">
        <v>0.0105</v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3" t="n">
        <v>4335</v>
      </c>
      <c r="F999" s="8" t="n">
        <v>0.3701</v>
      </c>
      <c r="G999" s="4" t="n">
        <v>90.24209999999999</v>
      </c>
      <c r="H999" s="4" t="n">
        <v>69.8449</v>
      </c>
      <c r="I999" s="4" t="n">
        <v>11.3375</v>
      </c>
      <c r="J999" s="4" t="n">
        <v>11.7425</v>
      </c>
      <c r="K999" s="4" t="n">
        <v>11.1325</v>
      </c>
      <c r="L999" s="4" t="n">
        <v>11.61</v>
      </c>
      <c r="M999" s="7" t="n">
        <v>0.024</v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3" t="n">
        <v>4275</v>
      </c>
      <c r="F1000" s="8" t="n">
        <v>0.3536</v>
      </c>
      <c r="G1000" s="4" t="n">
        <v>69.6164</v>
      </c>
      <c r="H1000" s="4" t="n">
        <v>102.9727</v>
      </c>
      <c r="I1000" s="4" t="n">
        <v>11.61</v>
      </c>
      <c r="J1000" s="4" t="n">
        <v>11.6125</v>
      </c>
      <c r="K1000" s="4" t="n">
        <v>10.6175</v>
      </c>
      <c r="L1000" s="4" t="n">
        <v>11.355</v>
      </c>
      <c r="M1000" s="7" t="n">
        <v>-0.022</v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3" t="n">
        <v>4272</v>
      </c>
      <c r="F1001" s="8" t="n">
        <v>0.3413</v>
      </c>
      <c r="G1001" s="4" t="n">
        <v>66.7544</v>
      </c>
      <c r="H1001" s="4" t="n">
        <v>68.0805</v>
      </c>
      <c r="I1001" s="4" t="n">
        <v>11.355</v>
      </c>
      <c r="J1001" s="4" t="n">
        <v>11.355</v>
      </c>
      <c r="K1001" s="4" t="n">
        <v>10.985</v>
      </c>
      <c r="L1001" s="4" t="n">
        <v>11.1075</v>
      </c>
      <c r="M1001" s="7" t="n">
        <v>-0.0218</v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3" t="n">
        <v>4310</v>
      </c>
      <c r="F1002" s="8" t="n">
        <v>0.3846</v>
      </c>
      <c r="G1002" s="4" t="n">
        <v>70.6729</v>
      </c>
      <c r="H1002" s="4" t="n">
        <v>78.8065</v>
      </c>
      <c r="I1002" s="4" t="n">
        <v>11.1075</v>
      </c>
      <c r="J1002" s="4" t="n">
        <v>11.605</v>
      </c>
      <c r="K1002" s="4" t="n">
        <v>11.1075</v>
      </c>
      <c r="L1002" s="4" t="n">
        <v>11.5325</v>
      </c>
      <c r="M1002" s="7" t="n">
        <v>0.0383</v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3" t="n">
        <v>4409</v>
      </c>
      <c r="F1003" s="8" t="n">
        <v>0.4859</v>
      </c>
      <c r="G1003" s="4" t="n">
        <v>84.5977</v>
      </c>
      <c r="H1003" s="4" t="n">
        <v>88.3396</v>
      </c>
      <c r="I1003" s="4" t="n">
        <v>11.5325</v>
      </c>
      <c r="J1003" s="4" t="n">
        <v>12.7375</v>
      </c>
      <c r="K1003" s="4" t="n">
        <v>11.3075</v>
      </c>
      <c r="L1003" s="4" t="n">
        <v>12.4675</v>
      </c>
      <c r="M1003" s="7" t="n">
        <v>0.08110000000000001</v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3" t="n">
        <v>4255</v>
      </c>
      <c r="F1004" s="8" t="n">
        <v>0.3379</v>
      </c>
      <c r="G1004" s="4" t="n">
        <v>70.6596</v>
      </c>
      <c r="H1004" s="4" t="n">
        <v>62.8842</v>
      </c>
      <c r="I1004" s="4" t="n">
        <v>12.4675</v>
      </c>
      <c r="J1004" s="4" t="n">
        <v>12.925</v>
      </c>
      <c r="K1004" s="4" t="n">
        <v>12.34</v>
      </c>
      <c r="L1004" s="4" t="n">
        <v>12.615</v>
      </c>
      <c r="M1004" s="7" t="n">
        <v>0.0118</v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4256</v>
      </c>
      <c r="F1005" s="8" t="n">
        <v>0.4029</v>
      </c>
      <c r="G1005" s="4" t="n">
        <v>74.2801</v>
      </c>
      <c r="H1005" s="4" t="n">
        <v>73.9465</v>
      </c>
      <c r="I1005" s="4" t="n">
        <v>12.615</v>
      </c>
      <c r="J1005" s="4" t="n">
        <v>13.3875</v>
      </c>
      <c r="K1005" s="4" t="n">
        <v>12.0275</v>
      </c>
      <c r="L1005" s="4" t="n">
        <v>13.04</v>
      </c>
      <c r="M1005" s="7" t="n">
        <v>0.0337</v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4242</v>
      </c>
      <c r="F1006" s="8" t="n">
        <v>0.4106</v>
      </c>
      <c r="G1006" s="4" t="n">
        <v>65.3995</v>
      </c>
      <c r="H1006" s="4" t="n">
        <v>81.2418</v>
      </c>
      <c r="I1006" s="4" t="n">
        <v>13.04</v>
      </c>
      <c r="J1006" s="4" t="n">
        <v>14.4125</v>
      </c>
      <c r="K1006" s="4" t="n">
        <v>11.915</v>
      </c>
      <c r="L1006" s="4" t="n">
        <v>13.4575</v>
      </c>
      <c r="M1006" s="7" t="n">
        <v>0.032</v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4369</v>
      </c>
      <c r="F1007" s="8" t="n">
        <v>0.3778</v>
      </c>
      <c r="G1007" s="4" t="n">
        <v>85.7261</v>
      </c>
      <c r="H1007" s="4" t="n">
        <v>69.8028</v>
      </c>
      <c r="I1007" s="4" t="n">
        <v>13.4575</v>
      </c>
      <c r="J1007" s="4" t="n">
        <v>13.4575</v>
      </c>
      <c r="K1007" s="4" t="n">
        <v>12.6125</v>
      </c>
      <c r="L1007" s="4" t="n">
        <v>12.7</v>
      </c>
      <c r="M1007" s="7" t="n">
        <v>-0.0563</v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4253</v>
      </c>
      <c r="F1008" s="8" t="n">
        <v>0.3758</v>
      </c>
      <c r="G1008" s="4" t="n">
        <v>99.0433</v>
      </c>
      <c r="H1008" s="4" t="n">
        <v>71.1039</v>
      </c>
      <c r="I1008" s="4" t="n">
        <v>12.7</v>
      </c>
      <c r="J1008" s="4" t="n">
        <v>12.7</v>
      </c>
      <c r="K1008" s="4" t="n">
        <v>9.8575</v>
      </c>
      <c r="L1008" s="4" t="n">
        <v>10.195</v>
      </c>
      <c r="M1008" s="7" t="n">
        <v>-0.1972</v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3" t="n">
        <v>4225</v>
      </c>
      <c r="F1009" s="8" t="n">
        <v>0.36</v>
      </c>
      <c r="G1009" s="4" t="n">
        <v>95.0579</v>
      </c>
      <c r="H1009" s="4" t="n">
        <v>70.2124</v>
      </c>
      <c r="I1009" s="4" t="n">
        <v>10.195</v>
      </c>
      <c r="J1009" s="4" t="n">
        <v>11.1325</v>
      </c>
      <c r="K1009" s="4" t="n">
        <v>9.945</v>
      </c>
      <c r="L1009" s="4" t="n">
        <v>10.275</v>
      </c>
      <c r="M1009" s="7" t="n">
        <v>0.0078</v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3" t="n">
        <v>4241</v>
      </c>
      <c r="F1010" s="8" t="n">
        <v>0.4009</v>
      </c>
      <c r="G1010" s="4" t="n">
        <v>265.1695</v>
      </c>
      <c r="H1010" s="4" t="n">
        <v>99.0737</v>
      </c>
      <c r="I1010" s="4" t="n">
        <v>10.275</v>
      </c>
      <c r="J1010" s="4" t="n">
        <v>11.4575</v>
      </c>
      <c r="K1010" s="4" t="n">
        <v>10.26</v>
      </c>
      <c r="L1010" s="4" t="n">
        <v>10.73</v>
      </c>
      <c r="M1010" s="7" t="n">
        <v>0.0443</v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3" t="n">
        <v>4211</v>
      </c>
      <c r="F1011" s="8" t="n">
        <v>0.4255</v>
      </c>
      <c r="G1011" s="4" t="n">
        <v>117.223</v>
      </c>
      <c r="H1011" s="4" t="n">
        <v>100.1311</v>
      </c>
      <c r="I1011" s="4" t="n">
        <v>10.73</v>
      </c>
      <c r="J1011" s="4" t="n">
        <v>11.315</v>
      </c>
      <c r="K1011" s="4" t="n">
        <v>10.5875</v>
      </c>
      <c r="L1011" s="4" t="n">
        <v>10.925</v>
      </c>
      <c r="M1011" s="7" t="n">
        <v>0.0182</v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3" t="n">
        <v>4386</v>
      </c>
      <c r="F1012" s="8" t="n">
        <v>0.4148</v>
      </c>
      <c r="G1012" s="4" t="n">
        <v>105.5082</v>
      </c>
      <c r="H1012" s="4" t="n">
        <v>80.5874</v>
      </c>
      <c r="I1012" s="4" t="n">
        <v>10.925</v>
      </c>
      <c r="J1012" s="4" t="n">
        <v>12.4875</v>
      </c>
      <c r="K1012" s="4" t="n">
        <v>10.925</v>
      </c>
      <c r="L1012" s="4" t="n">
        <v>12.235</v>
      </c>
      <c r="M1012" s="7" t="n">
        <v>0.1199</v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3" t="n">
        <v>4286</v>
      </c>
      <c r="F1013" s="8" t="n">
        <v>0.399</v>
      </c>
      <c r="G1013" s="4" t="n">
        <v>91.0466</v>
      </c>
      <c r="H1013" s="4" t="n">
        <v>79.3541</v>
      </c>
      <c r="I1013" s="4" t="n">
        <v>12.235</v>
      </c>
      <c r="J1013" s="4" t="n">
        <v>13.2125</v>
      </c>
      <c r="K1013" s="4" t="n">
        <v>12.235</v>
      </c>
      <c r="L1013" s="4" t="n">
        <v>12.87</v>
      </c>
      <c r="M1013" s="7" t="n">
        <v>0.0519</v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4321</v>
      </c>
      <c r="F1014" s="8" t="n">
        <v>0.4179</v>
      </c>
      <c r="G1014" s="4" t="n">
        <v>86.37390000000001</v>
      </c>
      <c r="H1014" s="4" t="n">
        <v>91.9113</v>
      </c>
      <c r="I1014" s="4" t="n">
        <v>12.87</v>
      </c>
      <c r="J1014" s="4" t="n">
        <v>13.9475</v>
      </c>
      <c r="K1014" s="4" t="n">
        <v>12.87</v>
      </c>
      <c r="L1014" s="4" t="n">
        <v>13.445</v>
      </c>
      <c r="M1014" s="7" t="n">
        <v>0.0447</v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4287</v>
      </c>
      <c r="F1015" s="8" t="n">
        <v>0.4272</v>
      </c>
      <c r="G1015" s="4" t="n">
        <v>93.44889999999999</v>
      </c>
      <c r="H1015" s="4" t="n">
        <v>81.3779</v>
      </c>
      <c r="I1015" s="4" t="n">
        <v>13.445</v>
      </c>
      <c r="J1015" s="4" t="n">
        <v>15.3125</v>
      </c>
      <c r="K1015" s="4" t="n">
        <v>13.445</v>
      </c>
      <c r="L1015" s="4" t="n">
        <v>14.6175</v>
      </c>
      <c r="M1015" s="7" t="n">
        <v>0.0872</v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4417</v>
      </c>
      <c r="F1016" s="8" t="n">
        <v>0.4321</v>
      </c>
      <c r="G1016" s="4" t="n">
        <v>77.26220000000001</v>
      </c>
      <c r="H1016" s="4" t="n">
        <v>85.3596</v>
      </c>
      <c r="I1016" s="4" t="n">
        <v>14.6175</v>
      </c>
      <c r="J1016" s="4" t="n">
        <v>16.9625</v>
      </c>
      <c r="K1016" s="4" t="n">
        <v>14.6175</v>
      </c>
      <c r="L1016" s="4" t="n">
        <v>16.6</v>
      </c>
      <c r="M1016" s="7" t="n">
        <v>0.1356</v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4226</v>
      </c>
      <c r="F1017" s="8" t="n">
        <v>0.4418</v>
      </c>
      <c r="G1017" s="4" t="n">
        <v>93.8382</v>
      </c>
      <c r="H1017" s="4" t="n">
        <v>77.4742</v>
      </c>
      <c r="I1017" s="4" t="n">
        <v>16.6</v>
      </c>
      <c r="J1017" s="4" t="n">
        <v>17.6425</v>
      </c>
      <c r="K1017" s="4" t="n">
        <v>16.6</v>
      </c>
      <c r="L1017" s="4" t="n">
        <v>17.0075</v>
      </c>
      <c r="M1017" s="7" t="n">
        <v>0.0245</v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4227</v>
      </c>
      <c r="F1018" s="8" t="n">
        <v>0.3551</v>
      </c>
      <c r="G1018" s="4" t="n">
        <v>83.23699999999999</v>
      </c>
      <c r="H1018" s="4" t="n">
        <v>63.158</v>
      </c>
      <c r="I1018" s="4" t="n">
        <v>17.0075</v>
      </c>
      <c r="J1018" s="4" t="n">
        <v>18.3175</v>
      </c>
      <c r="K1018" s="4" t="n">
        <v>16.4625</v>
      </c>
      <c r="L1018" s="4" t="n">
        <v>17.08</v>
      </c>
      <c r="M1018" s="7" t="n">
        <v>0.0043</v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4246</v>
      </c>
      <c r="F1019" s="8" t="n">
        <v>0.4159</v>
      </c>
      <c r="G1019" s="4" t="n">
        <v>60.0629</v>
      </c>
      <c r="H1019" s="4" t="n">
        <v>72.32340000000001</v>
      </c>
      <c r="I1019" s="4" t="n">
        <v>17.08</v>
      </c>
      <c r="J1019" s="4" t="n">
        <v>19.1725</v>
      </c>
      <c r="K1019" s="4" t="n">
        <v>17.08</v>
      </c>
      <c r="L1019" s="4" t="n">
        <v>18.2</v>
      </c>
      <c r="M1019" s="7" t="n">
        <v>0.06560000000000001</v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4221</v>
      </c>
      <c r="F1020" s="8" t="n">
        <v>0.3816</v>
      </c>
      <c r="G1020" s="4" t="n">
        <v>59.6566</v>
      </c>
      <c r="H1020" s="4" t="n">
        <v>67.32729999999999</v>
      </c>
      <c r="I1020" s="4" t="n">
        <v>18.2</v>
      </c>
      <c r="J1020" s="4" t="n">
        <v>19.0075</v>
      </c>
      <c r="K1020" s="4" t="n">
        <v>17.995</v>
      </c>
      <c r="L1020" s="4" t="n">
        <v>18.4725</v>
      </c>
      <c r="M1020" s="7" t="n">
        <v>0.015</v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3" t="n">
        <v>4398</v>
      </c>
      <c r="F1021" s="8" t="n">
        <v>0.4146</v>
      </c>
      <c r="G1021" s="4" t="n">
        <v>54.7976</v>
      </c>
      <c r="H1021" s="4" t="n">
        <v>69.3409</v>
      </c>
      <c r="I1021" s="4" t="n">
        <v>18.4725</v>
      </c>
      <c r="J1021" s="4" t="n">
        <v>21.485</v>
      </c>
      <c r="K1021" s="4" t="n">
        <v>18.4725</v>
      </c>
      <c r="L1021" s="4" t="n">
        <v>20.6</v>
      </c>
      <c r="M1021" s="7" t="n">
        <v>0.1152</v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4197</v>
      </c>
      <c r="F1022" s="8" t="n">
        <v>0.3436</v>
      </c>
      <c r="G1022" s="4" t="n">
        <v>63.8362</v>
      </c>
      <c r="H1022" s="4" t="n">
        <v>60.2053</v>
      </c>
      <c r="I1022" s="4" t="n">
        <v>20.6</v>
      </c>
      <c r="J1022" s="4" t="n">
        <v>21.875</v>
      </c>
      <c r="K1022" s="4" t="n">
        <v>20.1125</v>
      </c>
      <c r="L1022" s="4" t="n">
        <v>20.195</v>
      </c>
      <c r="M1022" s="7" t="n">
        <v>-0.0197</v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4244</v>
      </c>
      <c r="F1023" s="8" t="n">
        <v>0.3565</v>
      </c>
      <c r="G1023" s="4" t="n">
        <v>70.1126</v>
      </c>
      <c r="H1023" s="4" t="n">
        <v>63.1751</v>
      </c>
      <c r="I1023" s="4" t="n">
        <v>20.195</v>
      </c>
      <c r="J1023" s="4" t="n">
        <v>20.6575</v>
      </c>
      <c r="K1023" s="4" t="n">
        <v>19.87</v>
      </c>
      <c r="L1023" s="4" t="n">
        <v>20.2725</v>
      </c>
      <c r="M1023" s="7" t="n">
        <v>0.0038</v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4262</v>
      </c>
      <c r="F1024" s="8" t="n">
        <v>0.3695</v>
      </c>
      <c r="G1024" s="4" t="n">
        <v>70.9408</v>
      </c>
      <c r="H1024" s="4" t="n">
        <v>72.13249999999999</v>
      </c>
      <c r="I1024" s="4" t="n">
        <v>20.2725</v>
      </c>
      <c r="J1024" s="4" t="n">
        <v>21.1125</v>
      </c>
      <c r="K1024" s="4" t="n">
        <v>18.965</v>
      </c>
      <c r="L1024" s="4" t="n">
        <v>19.995</v>
      </c>
      <c r="M1024" s="7" t="n">
        <v>-0.0137</v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4221</v>
      </c>
      <c r="F1025" s="8" t="n">
        <v>0.3871</v>
      </c>
      <c r="G1025" s="4" t="n">
        <v>74.21210000000001</v>
      </c>
      <c r="H1025" s="4" t="n">
        <v>75.5673</v>
      </c>
      <c r="I1025" s="4" t="n">
        <v>19.995</v>
      </c>
      <c r="J1025" s="4" t="n">
        <v>20.3675</v>
      </c>
      <c r="K1025" s="4" t="n">
        <v>18.98</v>
      </c>
      <c r="L1025" s="4" t="n">
        <v>19.7975</v>
      </c>
      <c r="M1025" s="7" t="n">
        <v>-0.009900000000000001</v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3" t="n">
        <v>3714</v>
      </c>
      <c r="F1026" s="8" t="n">
        <v>0.1169</v>
      </c>
      <c r="G1026" s="4" t="n">
        <v>19.7944</v>
      </c>
      <c r="H1026" s="4" t="n">
        <v>15.458</v>
      </c>
      <c r="I1026" s="4" t="n">
        <v>19.7975</v>
      </c>
      <c r="J1026" s="4" t="n">
        <v>20.945</v>
      </c>
      <c r="K1026" s="4" t="n">
        <v>17.3375</v>
      </c>
      <c r="L1026" s="4" t="n">
        <v>20.525</v>
      </c>
      <c r="M1026" s="7" t="n">
        <v>0.0367</v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4424</v>
      </c>
      <c r="F1027" s="8" t="n">
        <v>0.4666</v>
      </c>
      <c r="G1027" s="4" t="n">
        <v>80.32470000000001</v>
      </c>
      <c r="H1027" s="4" t="n">
        <v>81.5877</v>
      </c>
      <c r="I1027" s="4" t="n">
        <v>20.525</v>
      </c>
      <c r="J1027" s="4" t="n">
        <v>22.3025</v>
      </c>
      <c r="K1027" s="4" t="n">
        <v>20.525</v>
      </c>
      <c r="L1027" s="4" t="n">
        <v>21.81</v>
      </c>
      <c r="M1027" s="7" t="n">
        <v>0.0626</v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4260</v>
      </c>
      <c r="F1028" s="8" t="n">
        <v>0.4146</v>
      </c>
      <c r="G1028" s="4" t="n">
        <v>82.7569</v>
      </c>
      <c r="H1028" s="4" t="n">
        <v>84.6412</v>
      </c>
      <c r="I1028" s="4" t="n">
        <v>21.81</v>
      </c>
      <c r="J1028" s="4" t="n">
        <v>22.2925</v>
      </c>
      <c r="K1028" s="4" t="n">
        <v>18.185</v>
      </c>
      <c r="L1028" s="4" t="n">
        <v>21.4675</v>
      </c>
      <c r="M1028" s="7" t="n">
        <v>-0.0157</v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4252</v>
      </c>
      <c r="F1029" s="8" t="n">
        <v>0.4438</v>
      </c>
      <c r="G1029" s="4" t="n">
        <v>89.462</v>
      </c>
      <c r="H1029" s="4" t="n">
        <v>86.5891</v>
      </c>
      <c r="I1029" s="4" t="n">
        <v>21.4675</v>
      </c>
      <c r="J1029" s="4" t="n">
        <v>24.215</v>
      </c>
      <c r="K1029" s="4" t="n">
        <v>18.84</v>
      </c>
      <c r="L1029" s="4" t="n">
        <v>21.38</v>
      </c>
      <c r="M1029" s="7" t="n">
        <v>-0.0041</v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4290</v>
      </c>
      <c r="F1030" s="8" t="n">
        <v>0.4512</v>
      </c>
      <c r="G1030" s="4" t="n">
        <v>128.1331</v>
      </c>
      <c r="H1030" s="4" t="n">
        <v>91.8708</v>
      </c>
      <c r="I1030" s="4" t="n">
        <v>21.38</v>
      </c>
      <c r="J1030" s="4" t="n">
        <v>21.8975</v>
      </c>
      <c r="K1030" s="4" t="n">
        <v>20.59</v>
      </c>
      <c r="L1030" s="4" t="n">
        <v>21.71</v>
      </c>
      <c r="M1030" s="7" t="n">
        <v>0.0154</v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3" t="n">
        <v>4424</v>
      </c>
      <c r="F1031" s="8" t="n">
        <v>0.4512</v>
      </c>
      <c r="G1031" s="4" t="n">
        <v>102.2679</v>
      </c>
      <c r="H1031" s="4" t="n">
        <v>88.077</v>
      </c>
      <c r="I1031" s="4" t="n">
        <v>21.71</v>
      </c>
      <c r="J1031" s="4" t="n">
        <v>26.195</v>
      </c>
      <c r="K1031" s="4" t="n">
        <v>18.435</v>
      </c>
      <c r="L1031" s="4" t="n">
        <v>23.1925</v>
      </c>
      <c r="M1031" s="7" t="n">
        <v>0.0683</v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3" t="n">
        <v>4254</v>
      </c>
      <c r="F1032" s="8" t="n">
        <v>0.387</v>
      </c>
      <c r="G1032" s="4" t="n">
        <v>81.2826</v>
      </c>
      <c r="H1032" s="4" t="n">
        <v>90.3623</v>
      </c>
      <c r="I1032" s="4" t="n">
        <v>23.1925</v>
      </c>
      <c r="J1032" s="4" t="n">
        <v>24.475</v>
      </c>
      <c r="K1032" s="4" t="n">
        <v>22.025</v>
      </c>
      <c r="L1032" s="4" t="n">
        <v>24.195</v>
      </c>
      <c r="M1032" s="7" t="n">
        <v>0.0432</v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3" t="n">
        <v>4227</v>
      </c>
      <c r="F1033" s="8" t="n">
        <v>0.3624</v>
      </c>
      <c r="G1033" s="4" t="n">
        <v>77.3669</v>
      </c>
      <c r="H1033" s="4" t="n">
        <v>80.017</v>
      </c>
      <c r="I1033" s="4" t="n">
        <v>24.195</v>
      </c>
      <c r="J1033" s="4" t="n">
        <v>24.7725</v>
      </c>
      <c r="K1033" s="4" t="n">
        <v>23.545</v>
      </c>
      <c r="L1033" s="4" t="n">
        <v>24.175</v>
      </c>
      <c r="M1033" s="7" t="n">
        <v>-0.0008</v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3" t="n">
        <v>4211</v>
      </c>
      <c r="F1034" s="8" t="n">
        <v>0.3972</v>
      </c>
      <c r="G1034" s="4" t="n">
        <v>115.027</v>
      </c>
      <c r="H1034" s="4" t="n">
        <v>100.6931</v>
      </c>
      <c r="I1034" s="4" t="n">
        <v>24.175</v>
      </c>
      <c r="J1034" s="4" t="n">
        <v>24.52</v>
      </c>
      <c r="K1034" s="4" t="n">
        <v>22.7525</v>
      </c>
      <c r="L1034" s="4" t="n">
        <v>24.175</v>
      </c>
      <c r="M1034" s="7" t="n">
        <v>0</v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3" t="n">
        <v>4215</v>
      </c>
      <c r="F1035" s="8" t="n">
        <v>0.4776</v>
      </c>
      <c r="G1035" s="4" t="n">
        <v>98.3884</v>
      </c>
      <c r="H1035" s="4" t="n">
        <v>97.27330000000001</v>
      </c>
      <c r="I1035" s="4" t="n">
        <v>24.175</v>
      </c>
      <c r="J1035" s="4" t="n">
        <v>24.81</v>
      </c>
      <c r="K1035" s="4" t="n">
        <v>22.5975</v>
      </c>
      <c r="L1035" s="4" t="n">
        <v>24.6025</v>
      </c>
      <c r="M1035" s="7" t="n">
        <v>0.0177</v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4453</v>
      </c>
      <c r="F1036" s="8" t="n">
        <v>0.6363</v>
      </c>
      <c r="G1036" s="4" t="n">
        <v>134.1478</v>
      </c>
      <c r="H1036" s="4" t="n">
        <v>136.2483</v>
      </c>
      <c r="I1036" s="4" t="n">
        <v>24.6025</v>
      </c>
      <c r="J1036" s="4" t="n">
        <v>24.6025</v>
      </c>
      <c r="K1036" s="4" t="n">
        <v>19.115</v>
      </c>
      <c r="L1036" s="4" t="n">
        <v>20.9375</v>
      </c>
      <c r="M1036" s="7" t="n">
        <v>-0.149</v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4271</v>
      </c>
      <c r="F1037" s="8" t="n">
        <v>1.2216</v>
      </c>
      <c r="G1037" s="4" t="n">
        <v>159.6491</v>
      </c>
      <c r="H1037" s="4" t="n">
        <v>217.2218</v>
      </c>
      <c r="I1037" s="4" t="n">
        <v>20.9375</v>
      </c>
      <c r="J1037" s="4" t="n">
        <v>31.71</v>
      </c>
      <c r="K1037" s="4" t="n">
        <v>18.8025</v>
      </c>
      <c r="L1037" s="4" t="n">
        <v>26.7475</v>
      </c>
      <c r="M1037" s="7" t="n">
        <v>0.2775</v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4237</v>
      </c>
      <c r="F1038" s="8" t="n">
        <v>0.7272</v>
      </c>
      <c r="G1038" s="4" t="n">
        <v>102.8514</v>
      </c>
      <c r="H1038" s="4" t="n">
        <v>124.7573</v>
      </c>
      <c r="I1038" s="4" t="n">
        <v>26.7475</v>
      </c>
      <c r="J1038" s="4" t="n">
        <v>26.925</v>
      </c>
      <c r="K1038" s="4" t="n">
        <v>18.6575</v>
      </c>
      <c r="L1038" s="4" t="n">
        <v>18.885</v>
      </c>
      <c r="M1038" s="7" t="n">
        <v>-0.294</v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4269</v>
      </c>
      <c r="F1039" s="8" t="n">
        <v>0.5011</v>
      </c>
      <c r="G1039" s="4" t="n">
        <v>85.4798</v>
      </c>
      <c r="H1039" s="4" t="n">
        <v>96.1888</v>
      </c>
      <c r="I1039" s="4" t="n">
        <v>18.885</v>
      </c>
      <c r="J1039" s="4" t="n">
        <v>18.885</v>
      </c>
      <c r="K1039" s="4" t="n">
        <v>16.5575</v>
      </c>
      <c r="L1039" s="4" t="n">
        <v>16.8</v>
      </c>
      <c r="M1039" s="7" t="n">
        <v>-0.1104</v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4263</v>
      </c>
      <c r="F1040" s="8" t="n">
        <v>0.5127</v>
      </c>
      <c r="G1040" s="4" t="n">
        <v>95.54640000000001</v>
      </c>
      <c r="H1040" s="4" t="n">
        <v>115.3883</v>
      </c>
      <c r="I1040" s="4" t="n">
        <v>16.8</v>
      </c>
      <c r="J1040" s="4" t="n">
        <v>17.145</v>
      </c>
      <c r="K1040" s="4" t="n">
        <v>16.3725</v>
      </c>
      <c r="L1040" s="4" t="n">
        <v>16.8825</v>
      </c>
      <c r="M1040" s="7" t="n">
        <v>0.0049</v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3" t="n">
        <v>4475</v>
      </c>
      <c r="F1041" s="8" t="n">
        <v>0.5137</v>
      </c>
      <c r="G1041" s="4" t="n">
        <v>90.5762</v>
      </c>
      <c r="H1041" s="4" t="n">
        <v>95.5239</v>
      </c>
      <c r="I1041" s="4" t="n">
        <v>16.8825</v>
      </c>
      <c r="J1041" s="4" t="n">
        <v>17.25</v>
      </c>
      <c r="K1041" s="4" t="n">
        <v>16.17</v>
      </c>
      <c r="L1041" s="4" t="n">
        <v>16.3975</v>
      </c>
      <c r="M1041" s="7" t="n">
        <v>-0.0287</v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3" t="n">
        <v>4308</v>
      </c>
      <c r="F1042" s="8" t="n">
        <v>0.4532</v>
      </c>
      <c r="G1042" s="4" t="n">
        <v>95.11150000000001</v>
      </c>
      <c r="H1042" s="4" t="n">
        <v>123.5377</v>
      </c>
      <c r="I1042" s="4" t="n">
        <v>16.3975</v>
      </c>
      <c r="J1042" s="4" t="n">
        <v>16.3975</v>
      </c>
      <c r="K1042" s="4" t="n">
        <v>14.675</v>
      </c>
      <c r="L1042" s="4" t="n">
        <v>14.765</v>
      </c>
      <c r="M1042" s="7" t="n">
        <v>-0.09959999999999999</v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3" t="n">
        <v>4319</v>
      </c>
      <c r="F1043" s="8" t="n">
        <v>0.4643</v>
      </c>
      <c r="G1043" s="4" t="n">
        <v>101.6875</v>
      </c>
      <c r="H1043" s="4" t="n">
        <v>81.9568</v>
      </c>
      <c r="I1043" s="4" t="n">
        <v>14.765</v>
      </c>
      <c r="J1043" s="4" t="n">
        <v>14.765</v>
      </c>
      <c r="K1043" s="4" t="n">
        <v>13.165</v>
      </c>
      <c r="L1043" s="4" t="n">
        <v>14.3875</v>
      </c>
      <c r="M1043" s="7" t="n">
        <v>-0.0256</v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3" t="n">
        <v>4313</v>
      </c>
      <c r="F1044" s="8" t="n">
        <v>0.4792</v>
      </c>
      <c r="G1044" s="4" t="n">
        <v>107.1407</v>
      </c>
      <c r="H1044" s="4" t="n">
        <v>99.069</v>
      </c>
      <c r="I1044" s="4" t="n">
        <v>14.3875</v>
      </c>
      <c r="J1044" s="4" t="n">
        <v>14.3875</v>
      </c>
      <c r="K1044" s="4" t="n">
        <v>13.3125</v>
      </c>
      <c r="L1044" s="4" t="n">
        <v>13.4875</v>
      </c>
      <c r="M1044" s="7" t="n">
        <v>-0.0626</v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3" t="n">
        <v>4328</v>
      </c>
      <c r="F1045" s="8" t="n">
        <v>0.5417</v>
      </c>
      <c r="G1045" s="4" t="n">
        <v>101.8815</v>
      </c>
      <c r="H1045" s="4" t="n">
        <v>103.1947</v>
      </c>
      <c r="I1045" s="4" t="n">
        <v>13.4875</v>
      </c>
      <c r="J1045" s="4" t="n">
        <v>13.4875</v>
      </c>
      <c r="K1045" s="4" t="n">
        <v>12.655</v>
      </c>
      <c r="L1045" s="4" t="n">
        <v>12.8225</v>
      </c>
      <c r="M1045" s="7" t="n">
        <v>-0.0493</v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4550</v>
      </c>
      <c r="F1046" s="8" t="n">
        <v>0.4707</v>
      </c>
      <c r="G1046" s="4" t="n">
        <v>101.1036</v>
      </c>
      <c r="H1046" s="4" t="n">
        <v>113.8043</v>
      </c>
      <c r="I1046" s="4" t="n">
        <v>12.8225</v>
      </c>
      <c r="J1046" s="4" t="n">
        <v>13.42</v>
      </c>
      <c r="K1046" s="4" t="n">
        <v>12.625</v>
      </c>
      <c r="L1046" s="4" t="n">
        <v>12.965</v>
      </c>
      <c r="M1046" s="7" t="n">
        <v>0.0111</v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4290</v>
      </c>
      <c r="F1047" s="8" t="n">
        <v>0.5603</v>
      </c>
      <c r="G1047" s="4" t="n">
        <v>116.9945</v>
      </c>
      <c r="H1047" s="4" t="n">
        <v>131.2959</v>
      </c>
      <c r="I1047" s="4" t="n">
        <v>12.965</v>
      </c>
      <c r="J1047" s="4" t="n">
        <v>13.815</v>
      </c>
      <c r="K1047" s="4" t="n">
        <v>11.63</v>
      </c>
      <c r="L1047" s="4" t="n">
        <v>13.7125</v>
      </c>
      <c r="M1047" s="7" t="n">
        <v>0.0577</v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4321</v>
      </c>
      <c r="F1048" s="8" t="n">
        <v>0.5135999999999999</v>
      </c>
      <c r="G1048" s="4" t="n">
        <v>98.59180000000001</v>
      </c>
      <c r="H1048" s="4" t="n">
        <v>95.79949999999999</v>
      </c>
      <c r="I1048" s="4" t="n">
        <v>13.7125</v>
      </c>
      <c r="J1048" s="4" t="n">
        <v>14.06</v>
      </c>
      <c r="K1048" s="4" t="n">
        <v>13.1025</v>
      </c>
      <c r="L1048" s="4" t="n">
        <v>13.345</v>
      </c>
      <c r="M1048" s="7" t="n">
        <v>-0.0268</v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4338</v>
      </c>
      <c r="F1049" s="8" t="n">
        <v>0.605</v>
      </c>
      <c r="G1049" s="4" t="n">
        <v>113.1787</v>
      </c>
      <c r="H1049" s="4" t="n">
        <v>135.3186</v>
      </c>
      <c r="I1049" s="4" t="n">
        <v>13.345</v>
      </c>
      <c r="J1049" s="4" t="n">
        <v>13.59</v>
      </c>
      <c r="K1049" s="4" t="n">
        <v>12.475</v>
      </c>
      <c r="L1049" s="4" t="n">
        <v>13.18</v>
      </c>
      <c r="M1049" s="7" t="n">
        <v>-0.0124</v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3" t="n">
        <v>4505</v>
      </c>
      <c r="F1050" s="8" t="n">
        <v>0.5256999999999999</v>
      </c>
      <c r="G1050" s="4" t="n">
        <v>112.9072</v>
      </c>
      <c r="H1050" s="4" t="n">
        <v>101.8702</v>
      </c>
      <c r="I1050" s="4" t="n">
        <v>13.18</v>
      </c>
      <c r="J1050" s="4" t="n">
        <v>14.2675</v>
      </c>
      <c r="K1050" s="4" t="n">
        <v>13.15</v>
      </c>
      <c r="L1050" s="4" t="n">
        <v>14.0575</v>
      </c>
      <c r="M1050" s="7" t="n">
        <v>0.06660000000000001</v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3" t="n">
        <v>4328</v>
      </c>
      <c r="F1051" s="8" t="n">
        <v>0.482</v>
      </c>
      <c r="G1051" s="4" t="n">
        <v>86.00230000000001</v>
      </c>
      <c r="H1051" s="4" t="n">
        <v>104.7775</v>
      </c>
      <c r="I1051" s="4" t="n">
        <v>14.0575</v>
      </c>
      <c r="J1051" s="4" t="n">
        <v>14.455</v>
      </c>
      <c r="K1051" s="4" t="n">
        <v>13.8425</v>
      </c>
      <c r="L1051" s="4" t="n">
        <v>14.3125</v>
      </c>
      <c r="M1051" s="7" t="n">
        <v>0.0181</v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3" t="n">
        <v>4344</v>
      </c>
      <c r="F1052" s="8" t="n">
        <v>0.4913</v>
      </c>
      <c r="G1052" s="4" t="n">
        <v>99.6845</v>
      </c>
      <c r="H1052" s="4" t="n">
        <v>150.9632</v>
      </c>
      <c r="I1052" s="4" t="n">
        <v>14.3125</v>
      </c>
      <c r="J1052" s="4" t="n">
        <v>14.5475</v>
      </c>
      <c r="K1052" s="4" t="n">
        <v>13.985</v>
      </c>
      <c r="L1052" s="4" t="n">
        <v>14.045</v>
      </c>
      <c r="M1052" s="7" t="n">
        <v>-0.0187</v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3" t="n">
        <v>4328</v>
      </c>
      <c r="F1053" s="8" t="n">
        <v>0.5659</v>
      </c>
      <c r="G1053" s="4" t="n">
        <v>114.6358</v>
      </c>
      <c r="H1053" s="4" t="n">
        <v>137.6934</v>
      </c>
      <c r="I1053" s="4" t="n">
        <v>14.045</v>
      </c>
      <c r="J1053" s="4" t="n">
        <v>14.61</v>
      </c>
      <c r="K1053" s="4" t="n">
        <v>13.915</v>
      </c>
      <c r="L1053" s="4" t="n">
        <v>14.1525</v>
      </c>
      <c r="M1053" s="7" t="n">
        <v>0.0077</v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3" t="n">
        <v>4349</v>
      </c>
      <c r="F1054" s="8" t="n">
        <v>0.5372</v>
      </c>
      <c r="G1054" s="4" t="n">
        <v>97.4397</v>
      </c>
      <c r="H1054" s="4" t="n">
        <v>105.4064</v>
      </c>
      <c r="I1054" s="4" t="n">
        <v>14.1525</v>
      </c>
      <c r="J1054" s="4" t="n">
        <v>14.29</v>
      </c>
      <c r="K1054" s="4" t="n">
        <v>13.6875</v>
      </c>
      <c r="L1054" s="4" t="n">
        <v>13.8025</v>
      </c>
      <c r="M1054" s="7" t="n">
        <v>-0.0247</v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4499</v>
      </c>
      <c r="F1055" s="8" t="n">
        <v>0.5748</v>
      </c>
      <c r="G1055" s="4" t="n">
        <v>102.1307</v>
      </c>
      <c r="H1055" s="4" t="n">
        <v>102.8449</v>
      </c>
      <c r="I1055" s="4" t="n">
        <v>13.8025</v>
      </c>
      <c r="J1055" s="4" t="n">
        <v>14.2275</v>
      </c>
      <c r="K1055" s="4" t="n">
        <v>13.7925</v>
      </c>
      <c r="L1055" s="4" t="n">
        <v>13.83</v>
      </c>
      <c r="M1055" s="7" t="n">
        <v>0.002</v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4330</v>
      </c>
      <c r="F1056" s="8" t="n">
        <v>0.5243</v>
      </c>
      <c r="G1056" s="4" t="n">
        <v>95.7925</v>
      </c>
      <c r="H1056" s="4" t="n">
        <v>86.79640000000001</v>
      </c>
      <c r="I1056" s="4" t="n">
        <v>13.83</v>
      </c>
      <c r="J1056" s="4" t="n">
        <v>14.0125</v>
      </c>
      <c r="K1056" s="4" t="n">
        <v>13.3225</v>
      </c>
      <c r="L1056" s="4" t="n">
        <v>13.64</v>
      </c>
      <c r="M1056" s="7" t="n">
        <v>-0.0137</v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4398</v>
      </c>
      <c r="F1057" s="8" t="n">
        <v>0.4893</v>
      </c>
      <c r="G1057" s="4" t="n">
        <v>112.5025</v>
      </c>
      <c r="H1057" s="4" t="n">
        <v>89.7987</v>
      </c>
      <c r="I1057" s="4" t="n">
        <v>13.64</v>
      </c>
      <c r="J1057" s="4" t="n">
        <v>13.715</v>
      </c>
      <c r="K1057" s="4" t="n">
        <v>12.87</v>
      </c>
      <c r="L1057" s="4" t="n">
        <v>13.205</v>
      </c>
      <c r="M1057" s="7" t="n">
        <v>-0.0319</v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4391</v>
      </c>
      <c r="F1058" s="8" t="n">
        <v>0.5063</v>
      </c>
      <c r="G1058" s="4" t="n">
        <v>133.1803</v>
      </c>
      <c r="H1058" s="4" t="n">
        <v>105.6913</v>
      </c>
      <c r="I1058" s="4" t="n">
        <v>13.205</v>
      </c>
      <c r="J1058" s="4" t="n">
        <v>13.205</v>
      </c>
      <c r="K1058" s="4" t="n">
        <v>12.2575</v>
      </c>
      <c r="L1058" s="4" t="n">
        <v>12.855</v>
      </c>
      <c r="M1058" s="7" t="n">
        <v>-0.0265</v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4373</v>
      </c>
      <c r="F1059" s="8" t="n">
        <v>0.6342</v>
      </c>
      <c r="G1059" s="4" t="n">
        <v>154.4834</v>
      </c>
      <c r="H1059" s="4" t="n">
        <v>134.6463</v>
      </c>
      <c r="I1059" s="4" t="n">
        <v>12.855</v>
      </c>
      <c r="J1059" s="4" t="n">
        <v>12.99</v>
      </c>
      <c r="K1059" s="4" t="n">
        <v>12.08</v>
      </c>
      <c r="L1059" s="4" t="n">
        <v>12.695</v>
      </c>
      <c r="M1059" s="7" t="n">
        <v>-0.0124</v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4517</v>
      </c>
      <c r="F1060" s="8" t="n">
        <v>0.5921</v>
      </c>
      <c r="G1060" s="4" t="n">
        <v>124.9855</v>
      </c>
      <c r="H1060" s="4" t="n">
        <v>153.4329</v>
      </c>
      <c r="I1060" s="4" t="n">
        <v>12.695</v>
      </c>
      <c r="J1060" s="4" t="n">
        <v>13.7575</v>
      </c>
      <c r="K1060" s="4" t="n">
        <v>12.695</v>
      </c>
      <c r="L1060" s="4" t="n">
        <v>13.6</v>
      </c>
      <c r="M1060" s="7" t="n">
        <v>0.0713</v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4377</v>
      </c>
      <c r="F1061" s="8" t="n">
        <v>0.5339</v>
      </c>
      <c r="G1061" s="4" t="n">
        <v>97.5956</v>
      </c>
      <c r="H1061" s="4" t="n">
        <v>101.2198</v>
      </c>
      <c r="I1061" s="4" t="n">
        <v>13.6</v>
      </c>
      <c r="J1061" s="4" t="n">
        <v>14.4025</v>
      </c>
      <c r="K1061" s="4" t="n">
        <v>12.79</v>
      </c>
      <c r="L1061" s="4" t="n">
        <v>14.28</v>
      </c>
      <c r="M1061" s="7" t="n">
        <v>0.05</v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3" t="n">
        <v>4335</v>
      </c>
      <c r="F1062" s="8" t="n">
        <v>0.6022999999999999</v>
      </c>
      <c r="G1062" s="4" t="n">
        <v>90.5051</v>
      </c>
      <c r="H1062" s="4" t="n">
        <v>117.6596</v>
      </c>
      <c r="I1062" s="4" t="n">
        <v>14.28</v>
      </c>
      <c r="J1062" s="4" t="n">
        <v>14.915</v>
      </c>
      <c r="K1062" s="4" t="n">
        <v>13.4075</v>
      </c>
      <c r="L1062" s="4" t="n">
        <v>14.4325</v>
      </c>
      <c r="M1062" s="7" t="n">
        <v>0.0107</v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3" t="n">
        <v>4330</v>
      </c>
      <c r="F1063" s="8" t="n">
        <v>0.4726</v>
      </c>
      <c r="G1063" s="4" t="n">
        <v>104.5485</v>
      </c>
      <c r="H1063" s="4" t="n">
        <v>97.4885</v>
      </c>
      <c r="I1063" s="4" t="n">
        <v>14.4325</v>
      </c>
      <c r="J1063" s="4" t="n">
        <v>14.4325</v>
      </c>
      <c r="K1063" s="4" t="n">
        <v>12.68</v>
      </c>
      <c r="L1063" s="4" t="n">
        <v>13.995</v>
      </c>
      <c r="M1063" s="7" t="n">
        <v>-0.0303</v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3" t="n">
        <v>4360</v>
      </c>
      <c r="F1064" s="8" t="n">
        <v>0.5726</v>
      </c>
      <c r="G1064" s="4" t="n">
        <v>98.7338</v>
      </c>
      <c r="H1064" s="4" t="n">
        <v>119.5672</v>
      </c>
      <c r="I1064" s="4" t="n">
        <v>13.995</v>
      </c>
      <c r="J1064" s="4" t="n">
        <v>14.0525</v>
      </c>
      <c r="K1064" s="4" t="n">
        <v>13.2225</v>
      </c>
      <c r="L1064" s="4" t="n">
        <v>13.725</v>
      </c>
      <c r="M1064" s="7" t="n">
        <v>-0.0193</v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3" t="n">
        <v>4541</v>
      </c>
      <c r="F1065" s="8" t="n">
        <v>0.5413</v>
      </c>
      <c r="G1065" s="4" t="n">
        <v>93.69840000000001</v>
      </c>
      <c r="H1065" s="4" t="n">
        <v>97.3325</v>
      </c>
      <c r="I1065" s="4" t="n">
        <v>13.725</v>
      </c>
      <c r="J1065" s="4" t="n">
        <v>14.34</v>
      </c>
      <c r="K1065" s="4" t="n">
        <v>13.5675</v>
      </c>
      <c r="L1065" s="4" t="n">
        <v>14.1875</v>
      </c>
      <c r="M1065" s="7" t="n">
        <v>0.0337</v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3" t="n">
        <v>4351</v>
      </c>
      <c r="F1066" s="8" t="n">
        <v>0.5117</v>
      </c>
      <c r="G1066" s="4" t="n">
        <v>116.1021</v>
      </c>
      <c r="H1066" s="4" t="n">
        <v>89.0132</v>
      </c>
      <c r="I1066" s="4" t="n">
        <v>14.1875</v>
      </c>
      <c r="J1066" s="4" t="n">
        <v>14.5875</v>
      </c>
      <c r="K1066" s="4" t="n">
        <v>13.8025</v>
      </c>
      <c r="L1066" s="4" t="n">
        <v>14.2225</v>
      </c>
      <c r="M1066" s="7" t="n">
        <v>0.0025</v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4388</v>
      </c>
      <c r="F1067" s="8" t="n">
        <v>0.5908</v>
      </c>
      <c r="G1067" s="4" t="n">
        <v>101.5943</v>
      </c>
      <c r="H1067" s="4" t="n">
        <v>101.0381</v>
      </c>
      <c r="I1067" s="4" t="n">
        <v>14.2225</v>
      </c>
      <c r="J1067" s="4" t="n">
        <v>14.71</v>
      </c>
      <c r="K1067" s="4" t="n">
        <v>13.75</v>
      </c>
      <c r="L1067" s="4" t="n">
        <v>14.51</v>
      </c>
      <c r="M1067" s="7" t="n">
        <v>0.0202</v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4312</v>
      </c>
      <c r="F1068" s="8" t="n">
        <v>0.6156</v>
      </c>
      <c r="G1068" s="4" t="n">
        <v>103.3268</v>
      </c>
      <c r="H1068" s="4" t="n">
        <v>106.9923</v>
      </c>
      <c r="I1068" s="4" t="n">
        <v>14.51</v>
      </c>
      <c r="J1068" s="4" t="n">
        <v>14.965</v>
      </c>
      <c r="K1068" s="4" t="n">
        <v>12.7375</v>
      </c>
      <c r="L1068" s="4" t="n">
        <v>14.825</v>
      </c>
      <c r="M1068" s="7" t="n">
        <v>0.0217</v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4484</v>
      </c>
      <c r="F1069" s="8" t="n">
        <v>0.4965</v>
      </c>
      <c r="G1069" s="4" t="n">
        <v>118.7303</v>
      </c>
      <c r="H1069" s="4" t="n">
        <v>90.7418</v>
      </c>
      <c r="I1069" s="4" t="n">
        <v>14.825</v>
      </c>
      <c r="J1069" s="4" t="n">
        <v>15.625</v>
      </c>
      <c r="K1069" s="4" t="n">
        <v>13.115</v>
      </c>
      <c r="L1069" s="4" t="n">
        <v>15.4375</v>
      </c>
      <c r="M1069" s="7" t="n">
        <v>0.0413</v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4336</v>
      </c>
      <c r="F1070" s="8" t="n">
        <v>0.7083</v>
      </c>
      <c r="G1070" s="4" t="n">
        <v>125.892</v>
      </c>
      <c r="H1070" s="4" t="n">
        <v>124.5634</v>
      </c>
      <c r="I1070" s="4" t="n">
        <v>15.4375</v>
      </c>
      <c r="J1070" s="4" t="n">
        <v>16.065</v>
      </c>
      <c r="K1070" s="4" t="n">
        <v>12.5925</v>
      </c>
      <c r="L1070" s="4" t="n">
        <v>12.7475</v>
      </c>
      <c r="M1070" s="7" t="n">
        <v>-0.1743</v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4340</v>
      </c>
      <c r="F1071" s="8" t="n">
        <v>0.496</v>
      </c>
      <c r="G1071" s="4" t="n">
        <v>95.31480000000001</v>
      </c>
      <c r="H1071" s="4" t="n">
        <v>89.09950000000001</v>
      </c>
      <c r="I1071" s="4" t="n">
        <v>12.7475</v>
      </c>
      <c r="J1071" s="4" t="n">
        <v>14.0375</v>
      </c>
      <c r="K1071" s="4" t="n">
        <v>11.6175</v>
      </c>
      <c r="L1071" s="4" t="n">
        <v>11.7625</v>
      </c>
      <c r="M1071" s="7" t="n">
        <v>-0.07729999999999999</v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3" t="n">
        <v>4372</v>
      </c>
      <c r="F1072" s="8" t="n">
        <v>0.5095</v>
      </c>
      <c r="G1072" s="4" t="n">
        <v>117.5257</v>
      </c>
      <c r="H1072" s="4" t="n">
        <v>97.4704</v>
      </c>
      <c r="I1072" s="4" t="n">
        <v>11.7625</v>
      </c>
      <c r="J1072" s="4" t="n">
        <v>13.2175</v>
      </c>
      <c r="K1072" s="4" t="n">
        <v>11.275</v>
      </c>
      <c r="L1072" s="4" t="n">
        <v>12.6175</v>
      </c>
      <c r="M1072" s="7" t="n">
        <v>0.0727</v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3" t="n">
        <v>4375</v>
      </c>
      <c r="F1073" s="8" t="n">
        <v>0.5626</v>
      </c>
      <c r="G1073" s="4" t="n">
        <v>128.2485</v>
      </c>
      <c r="H1073" s="4" t="n">
        <v>122.2058</v>
      </c>
      <c r="I1073" s="4" t="n">
        <v>12.6175</v>
      </c>
      <c r="J1073" s="4" t="n">
        <v>13.135</v>
      </c>
      <c r="K1073" s="4" t="n">
        <v>11.9775</v>
      </c>
      <c r="L1073" s="4" t="n">
        <v>12.2475</v>
      </c>
      <c r="M1073" s="7" t="n">
        <v>-0.0293</v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3" t="n">
        <v>4575</v>
      </c>
      <c r="F1074" s="8" t="n">
        <v>0.5717</v>
      </c>
      <c r="G1074" s="4" t="n">
        <v>126.7816</v>
      </c>
      <c r="H1074" s="4" t="n">
        <v>112.7346</v>
      </c>
      <c r="I1074" s="4" t="n">
        <v>12.2475</v>
      </c>
      <c r="J1074" s="4" t="n">
        <v>13.255</v>
      </c>
      <c r="K1074" s="4" t="n">
        <v>12.0275</v>
      </c>
      <c r="L1074" s="4" t="n">
        <v>12.945</v>
      </c>
      <c r="M1074" s="7" t="n">
        <v>0.057</v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3" t="n">
        <v>4387</v>
      </c>
      <c r="F1075" s="8" t="n">
        <v>0.5091</v>
      </c>
      <c r="G1075" s="4" t="n">
        <v>96.8698</v>
      </c>
      <c r="H1075" s="4" t="n">
        <v>123.7691</v>
      </c>
      <c r="I1075" s="4" t="n">
        <v>12.945</v>
      </c>
      <c r="J1075" s="4" t="n">
        <v>13.26</v>
      </c>
      <c r="K1075" s="4" t="n">
        <v>11.715</v>
      </c>
      <c r="L1075" s="4" t="n">
        <v>12.88</v>
      </c>
      <c r="M1075" s="7" t="n">
        <v>-0.005</v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3" t="n">
        <v>4423</v>
      </c>
      <c r="F1076" s="8" t="n">
        <v>0.4874</v>
      </c>
      <c r="G1076" s="4" t="n">
        <v>86.8301</v>
      </c>
      <c r="H1076" s="4" t="n">
        <v>87.3747</v>
      </c>
      <c r="I1076" s="4" t="n">
        <v>12.88</v>
      </c>
      <c r="J1076" s="4" t="n">
        <v>13.3875</v>
      </c>
      <c r="K1076" s="4" t="n">
        <v>11.6225</v>
      </c>
      <c r="L1076" s="4" t="n">
        <v>13.25</v>
      </c>
      <c r="M1076" s="7" t="n">
        <v>0.0287</v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4417</v>
      </c>
      <c r="F1077" s="8" t="n">
        <v>0.5086000000000001</v>
      </c>
      <c r="G1077" s="4" t="n">
        <v>98.0907</v>
      </c>
      <c r="H1077" s="4" t="n">
        <v>94.2993</v>
      </c>
      <c r="I1077" s="4" t="n">
        <v>13.25</v>
      </c>
      <c r="J1077" s="4" t="n">
        <v>13.305</v>
      </c>
      <c r="K1077" s="4" t="n">
        <v>11.9825</v>
      </c>
      <c r="L1077" s="4" t="n">
        <v>12.93</v>
      </c>
      <c r="M1077" s="7" t="n">
        <v>-0.0242</v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4393</v>
      </c>
      <c r="F1078" s="8" t="n">
        <v>0.5399</v>
      </c>
      <c r="G1078" s="4" t="n">
        <v>105.5188</v>
      </c>
      <c r="H1078" s="4" t="n">
        <v>108.6317</v>
      </c>
      <c r="I1078" s="4" t="n">
        <v>12.93</v>
      </c>
      <c r="J1078" s="4" t="n">
        <v>14.51</v>
      </c>
      <c r="K1078" s="4" t="n">
        <v>11.6925</v>
      </c>
      <c r="L1078" s="4" t="n">
        <v>14.32</v>
      </c>
      <c r="M1078" s="7" t="n">
        <v>0.1075</v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4556</v>
      </c>
      <c r="F1079" s="8" t="n">
        <v>0.883</v>
      </c>
      <c r="G1079" s="4" t="n">
        <v>117.6648</v>
      </c>
      <c r="H1079" s="4" t="n">
        <v>136.7747</v>
      </c>
      <c r="I1079" s="4" t="n">
        <v>14.32</v>
      </c>
      <c r="J1079" s="4" t="n">
        <v>23.1525</v>
      </c>
      <c r="K1079" s="4" t="n">
        <v>13.9075</v>
      </c>
      <c r="L1079" s="4" t="n">
        <v>20.3675</v>
      </c>
      <c r="M1079" s="7" t="n">
        <v>0.4223</v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4376</v>
      </c>
      <c r="F1080" s="8" t="n">
        <v>0.5461</v>
      </c>
      <c r="G1080" s="4" t="n">
        <v>87.1523</v>
      </c>
      <c r="H1080" s="4" t="n">
        <v>88.18389999999999</v>
      </c>
      <c r="I1080" s="4" t="n">
        <v>20.3675</v>
      </c>
      <c r="J1080" s="4" t="n">
        <v>20.3675</v>
      </c>
      <c r="K1080" s="4" t="n">
        <v>14.8675</v>
      </c>
      <c r="L1080" s="4" t="n">
        <v>18.7425</v>
      </c>
      <c r="M1080" s="7" t="n">
        <v>-0.0798</v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4392</v>
      </c>
      <c r="F1081" s="8" t="n">
        <v>0.4723</v>
      </c>
      <c r="G1081" s="4" t="n">
        <v>70.3591</v>
      </c>
      <c r="H1081" s="4" t="n">
        <v>74.1151</v>
      </c>
      <c r="I1081" s="4" t="n">
        <v>18.7425</v>
      </c>
      <c r="J1081" s="4" t="n">
        <v>18.7425</v>
      </c>
      <c r="K1081" s="4" t="n">
        <v>13.7225</v>
      </c>
      <c r="L1081" s="4" t="n">
        <v>16.17</v>
      </c>
      <c r="M1081" s="7" t="n">
        <v>-0.1373</v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3" t="n">
        <v>4379</v>
      </c>
      <c r="F1082" s="8" t="n">
        <v>0.4685</v>
      </c>
      <c r="G1082" s="4" t="n">
        <v>74.9212</v>
      </c>
      <c r="H1082" s="4" t="n">
        <v>81.1712</v>
      </c>
      <c r="I1082" s="4" t="n">
        <v>16.17</v>
      </c>
      <c r="J1082" s="4" t="n">
        <v>17.23</v>
      </c>
      <c r="K1082" s="4" t="n">
        <v>14.38</v>
      </c>
      <c r="L1082" s="4" t="n">
        <v>16.6025</v>
      </c>
      <c r="M1082" s="7" t="n">
        <v>0.0267</v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3" t="n">
        <v>4336</v>
      </c>
      <c r="F1083" s="8" t="n">
        <v>0.4861</v>
      </c>
      <c r="G1083" s="4" t="n">
        <v>78.3094</v>
      </c>
      <c r="H1083" s="4" t="n">
        <v>83.8347</v>
      </c>
      <c r="I1083" s="4" t="n">
        <v>16.6025</v>
      </c>
      <c r="J1083" s="4" t="n">
        <v>16.6025</v>
      </c>
      <c r="K1083" s="4" t="n">
        <v>13.4325</v>
      </c>
      <c r="L1083" s="4" t="n">
        <v>15.335</v>
      </c>
      <c r="M1083" s="7" t="n">
        <v>-0.07630000000000001</v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3" t="n">
        <v>4551</v>
      </c>
      <c r="F1084" s="8" t="n">
        <v>0.5346</v>
      </c>
      <c r="G1084" s="4" t="n">
        <v>93.4639</v>
      </c>
      <c r="H1084" s="4" t="n">
        <v>99.1528</v>
      </c>
      <c r="I1084" s="4" t="n">
        <v>15.335</v>
      </c>
      <c r="J1084" s="4" t="n">
        <v>16.5575</v>
      </c>
      <c r="K1084" s="4" t="n">
        <v>13.395</v>
      </c>
      <c r="L1084" s="4" t="n">
        <v>15.8675</v>
      </c>
      <c r="M1084" s="7" t="n">
        <v>0.0347</v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3" t="n">
        <v>4378</v>
      </c>
      <c r="F1085" s="8" t="n">
        <v>0.5778</v>
      </c>
      <c r="G1085" s="4" t="n">
        <v>86.3536</v>
      </c>
      <c r="H1085" s="4" t="n">
        <v>91.5386</v>
      </c>
      <c r="I1085" s="4" t="n">
        <v>15.8675</v>
      </c>
      <c r="J1085" s="4" t="n">
        <v>16.375</v>
      </c>
      <c r="K1085" s="4" t="n">
        <v>14.2225</v>
      </c>
      <c r="L1085" s="4" t="n">
        <v>16.1675</v>
      </c>
      <c r="M1085" s="7" t="n">
        <v>0.0189</v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3" t="n">
        <v>4395</v>
      </c>
      <c r="F1086" s="8" t="n">
        <v>0.4633</v>
      </c>
      <c r="G1086" s="4" t="n">
        <v>74.07989999999999</v>
      </c>
      <c r="H1086" s="4" t="n">
        <v>71.107</v>
      </c>
      <c r="I1086" s="4" t="n">
        <v>16.1675</v>
      </c>
      <c r="J1086" s="4" t="n">
        <v>16.22</v>
      </c>
      <c r="K1086" s="4" t="n">
        <v>13.8225</v>
      </c>
      <c r="L1086" s="4" t="n">
        <v>15.435</v>
      </c>
      <c r="M1086" s="7" t="n">
        <v>-0.0453</v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4387</v>
      </c>
      <c r="F1087" s="8" t="n">
        <v>0.4427</v>
      </c>
      <c r="G1087" s="4" t="n">
        <v>80.6169</v>
      </c>
      <c r="H1087" s="4" t="n">
        <v>84.07259999999999</v>
      </c>
      <c r="I1087" s="4" t="n">
        <v>15.435</v>
      </c>
      <c r="J1087" s="4" t="n">
        <v>15.435</v>
      </c>
      <c r="K1087" s="4" t="n">
        <v>12.95</v>
      </c>
      <c r="L1087" s="4" t="n">
        <v>14.4025</v>
      </c>
      <c r="M1087" s="7" t="n">
        <v>-0.0669</v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4511</v>
      </c>
      <c r="F1088" s="8" t="n">
        <v>0.4323</v>
      </c>
      <c r="G1088" s="4" t="n">
        <v>83.3447</v>
      </c>
      <c r="H1088" s="4" t="n">
        <v>82.4427</v>
      </c>
      <c r="I1088" s="4" t="n">
        <v>14.4025</v>
      </c>
      <c r="J1088" s="4" t="n">
        <v>14.83</v>
      </c>
      <c r="K1088" s="4" t="n">
        <v>13.1975</v>
      </c>
      <c r="L1088" s="4" t="n">
        <v>14.315</v>
      </c>
      <c r="M1088" s="7" t="n">
        <v>-0.0061</v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4425</v>
      </c>
      <c r="F1089" s="8" t="n">
        <v>0.4522</v>
      </c>
      <c r="G1089" s="4" t="n">
        <v>93.60290000000001</v>
      </c>
      <c r="H1089" s="4" t="n">
        <v>137.001</v>
      </c>
      <c r="I1089" s="4" t="n">
        <v>14.315</v>
      </c>
      <c r="J1089" s="4" t="n">
        <v>14.315</v>
      </c>
      <c r="K1089" s="4" t="n">
        <v>11.425</v>
      </c>
      <c r="L1089" s="4" t="n">
        <v>13.82</v>
      </c>
      <c r="M1089" s="7" t="n">
        <v>-0.0346</v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4391</v>
      </c>
      <c r="F1090" s="8" t="n">
        <v>0.4266</v>
      </c>
      <c r="G1090" s="4" t="n">
        <v>80.99209999999999</v>
      </c>
      <c r="H1090" s="4" t="n">
        <v>95.15470000000001</v>
      </c>
      <c r="I1090" s="4" t="n">
        <v>13.82</v>
      </c>
      <c r="J1090" s="4" t="n">
        <v>14.045</v>
      </c>
      <c r="K1090" s="4" t="n">
        <v>11.8225</v>
      </c>
      <c r="L1090" s="4" t="n">
        <v>13.3325</v>
      </c>
      <c r="M1090" s="7" t="n">
        <v>-0.0353</v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4392</v>
      </c>
      <c r="F1091" s="8" t="n">
        <v>0.4522</v>
      </c>
      <c r="G1091" s="4" t="n">
        <v>104.0715</v>
      </c>
      <c r="H1091" s="4" t="n">
        <v>93.4708</v>
      </c>
      <c r="I1091" s="4" t="n">
        <v>13.3325</v>
      </c>
      <c r="J1091" s="4" t="n">
        <v>13.7825</v>
      </c>
      <c r="K1091" s="4" t="n">
        <v>10.9575</v>
      </c>
      <c r="L1091" s="4" t="n">
        <v>13</v>
      </c>
      <c r="M1091" s="7" t="n">
        <v>-0.0249</v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4391</v>
      </c>
      <c r="F1092" s="8" t="n">
        <v>0.4395</v>
      </c>
      <c r="G1092" s="4" t="n">
        <v>104.0182</v>
      </c>
      <c r="H1092" s="4" t="n">
        <v>107.3626</v>
      </c>
      <c r="I1092" s="4" t="n">
        <v>13</v>
      </c>
      <c r="J1092" s="4" t="n">
        <v>13.62</v>
      </c>
      <c r="K1092" s="4" t="n">
        <v>10.84</v>
      </c>
      <c r="L1092" s="4" t="n">
        <v>13.5525</v>
      </c>
      <c r="M1092" s="7" t="n">
        <v>0.0425</v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3" t="n">
        <v>4574</v>
      </c>
      <c r="F1093" s="8" t="n">
        <v>0.4806</v>
      </c>
      <c r="G1093" s="4" t="n">
        <v>93.52679999999999</v>
      </c>
      <c r="H1093" s="4" t="n">
        <v>91.71980000000001</v>
      </c>
      <c r="I1093" s="4" t="n">
        <v>13.5525</v>
      </c>
      <c r="J1093" s="4" t="n">
        <v>13.9925</v>
      </c>
      <c r="K1093" s="4" t="n">
        <v>12.01</v>
      </c>
      <c r="L1093" s="4" t="n">
        <v>13.795</v>
      </c>
      <c r="M1093" s="7" t="n">
        <v>0.0179</v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3" t="n">
        <v>4420</v>
      </c>
      <c r="F1094" s="8" t="n">
        <v>0.4488</v>
      </c>
      <c r="G1094" s="4" t="n">
        <v>81.8554</v>
      </c>
      <c r="H1094" s="4" t="n">
        <v>98.8335</v>
      </c>
      <c r="I1094" s="4" t="n">
        <v>13.795</v>
      </c>
      <c r="J1094" s="4" t="n">
        <v>14.01</v>
      </c>
      <c r="K1094" s="4" t="n">
        <v>12.71</v>
      </c>
      <c r="L1094" s="4" t="n">
        <v>13.6325</v>
      </c>
      <c r="M1094" s="7" t="n">
        <v>-0.0118</v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3" t="n">
        <v>4405</v>
      </c>
      <c r="F1095" s="8" t="n">
        <v>0.4723</v>
      </c>
      <c r="G1095" s="4" t="n">
        <v>90.9222</v>
      </c>
      <c r="H1095" s="4" t="n">
        <v>78.49720000000001</v>
      </c>
      <c r="I1095" s="4" t="n">
        <v>13.6325</v>
      </c>
      <c r="J1095" s="4" t="n">
        <v>14.085</v>
      </c>
      <c r="K1095" s="4" t="n">
        <v>12.035</v>
      </c>
      <c r="L1095" s="4" t="n">
        <v>13.95</v>
      </c>
      <c r="M1095" s="7" t="n">
        <v>0.0233</v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3" t="n">
        <v>4379</v>
      </c>
      <c r="F1096" s="8" t="n">
        <v>0.4465</v>
      </c>
      <c r="G1096" s="4" t="n">
        <v>77.7012</v>
      </c>
      <c r="H1096" s="4" t="n">
        <v>206.6761</v>
      </c>
      <c r="I1096" s="4" t="n">
        <v>13.95</v>
      </c>
      <c r="J1096" s="4" t="n">
        <v>14.135</v>
      </c>
      <c r="K1096" s="4" t="n">
        <v>12.4825</v>
      </c>
      <c r="L1096" s="4" t="n">
        <v>13.7875</v>
      </c>
      <c r="M1096" s="7" t="n">
        <v>-0.0116</v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3" t="n">
        <v>4395</v>
      </c>
      <c r="F1097" s="8" t="n">
        <v>0.4582</v>
      </c>
      <c r="G1097" s="4" t="n">
        <v>77.5975</v>
      </c>
      <c r="H1097" s="4" t="n">
        <v>89.44</v>
      </c>
      <c r="I1097" s="4" t="n">
        <v>13.7875</v>
      </c>
      <c r="J1097" s="4" t="n">
        <v>13.905</v>
      </c>
      <c r="K1097" s="4" t="n">
        <v>12.54</v>
      </c>
      <c r="L1097" s="4" t="n">
        <v>13.3925</v>
      </c>
      <c r="M1097" s="7" t="n">
        <v>-0.0286</v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4551</v>
      </c>
      <c r="F1098" s="8" t="n">
        <v>0.4757</v>
      </c>
      <c r="G1098" s="4" t="n">
        <v>77.6897</v>
      </c>
      <c r="H1098" s="4" t="n">
        <v>82.74160000000001</v>
      </c>
      <c r="I1098" s="4" t="n">
        <v>13.3925</v>
      </c>
      <c r="J1098" s="4" t="n">
        <v>14.25</v>
      </c>
      <c r="K1098" s="4" t="n">
        <v>12.6275</v>
      </c>
      <c r="L1098" s="4" t="n">
        <v>14.06</v>
      </c>
      <c r="M1098" s="7" t="n">
        <v>0.0498</v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4410</v>
      </c>
      <c r="F1099" s="8" t="n">
        <v>0.3821</v>
      </c>
      <c r="G1099" s="4" t="n">
        <v>63.0905</v>
      </c>
      <c r="H1099" s="4" t="n">
        <v>83.14319999999999</v>
      </c>
      <c r="I1099" s="4" t="n">
        <v>14.06</v>
      </c>
      <c r="J1099" s="4" t="n">
        <v>14.15</v>
      </c>
      <c r="K1099" s="4" t="n">
        <v>12.69</v>
      </c>
      <c r="L1099" s="4" t="n">
        <v>13.8425</v>
      </c>
      <c r="M1099" s="7" t="n">
        <v>-0.0155</v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4376</v>
      </c>
      <c r="F1100" s="8" t="n">
        <v>0.4028</v>
      </c>
      <c r="G1100" s="4" t="n">
        <v>74.9503</v>
      </c>
      <c r="H1100" s="4" t="n">
        <v>81.2109</v>
      </c>
      <c r="I1100" s="4" t="n">
        <v>13.8425</v>
      </c>
      <c r="J1100" s="4" t="n">
        <v>14.555</v>
      </c>
      <c r="K1100" s="4" t="n">
        <v>12.805</v>
      </c>
      <c r="L1100" s="4" t="n">
        <v>14.3775</v>
      </c>
      <c r="M1100" s="7" t="n">
        <v>0.0386</v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4363</v>
      </c>
      <c r="F1101" s="8" t="n">
        <v>0.4189</v>
      </c>
      <c r="G1101" s="4" t="n">
        <v>77.43680000000001</v>
      </c>
      <c r="H1101" s="4" t="n">
        <v>79.0933</v>
      </c>
      <c r="I1101" s="4" t="n">
        <v>14.3775</v>
      </c>
      <c r="J1101" s="4" t="n">
        <v>14.3775</v>
      </c>
      <c r="K1101" s="4" t="n">
        <v>13.335</v>
      </c>
      <c r="L1101" s="4" t="n">
        <v>14.2075</v>
      </c>
      <c r="M1101" s="7" t="n">
        <v>-0.0118</v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4378</v>
      </c>
      <c r="F1102" s="8" t="n">
        <v>0.5489000000000001</v>
      </c>
      <c r="G1102" s="4" t="n">
        <v>102.3036</v>
      </c>
      <c r="H1102" s="4" t="n">
        <v>98.5149</v>
      </c>
      <c r="I1102" s="4" t="n">
        <v>14.2075</v>
      </c>
      <c r="J1102" s="4" t="n">
        <v>15.6725</v>
      </c>
      <c r="K1102" s="4" t="n">
        <v>12.3525</v>
      </c>
      <c r="L1102" s="4" t="n">
        <v>15.2175</v>
      </c>
      <c r="M1102" s="7" t="n">
        <v>0.0711</v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4550</v>
      </c>
      <c r="F1103" s="8" t="n">
        <v>0.4886</v>
      </c>
      <c r="G1103" s="4" t="n">
        <v>85.4299</v>
      </c>
      <c r="H1103" s="4" t="n">
        <v>75.4059</v>
      </c>
      <c r="I1103" s="4" t="n">
        <v>15.2175</v>
      </c>
      <c r="J1103" s="4" t="n">
        <v>15.5625</v>
      </c>
      <c r="K1103" s="4" t="n">
        <v>14.11</v>
      </c>
      <c r="L1103" s="4" t="n">
        <v>14.2375</v>
      </c>
      <c r="M1103" s="7" t="n">
        <v>-0.0644</v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4379</v>
      </c>
      <c r="F1104" s="8" t="n">
        <v>0.4048</v>
      </c>
      <c r="G1104" s="4" t="n">
        <v>75.6925</v>
      </c>
      <c r="H1104" s="4" t="n">
        <v>68.9637</v>
      </c>
      <c r="I1104" s="4" t="n">
        <v>14.2375</v>
      </c>
      <c r="J1104" s="4" t="n">
        <v>14.2375</v>
      </c>
      <c r="K1104" s="4" t="n">
        <v>12.1675</v>
      </c>
      <c r="L1104" s="4" t="n">
        <v>13.36</v>
      </c>
      <c r="M1104" s="7" t="n">
        <v>-0.0616</v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4417</v>
      </c>
      <c r="F1105" s="8" t="n">
        <v>0.4186</v>
      </c>
      <c r="G1105" s="4" t="n">
        <v>76.04259999999999</v>
      </c>
      <c r="H1105" s="4" t="n">
        <v>76.42829999999999</v>
      </c>
      <c r="I1105" s="4" t="n">
        <v>13.36</v>
      </c>
      <c r="J1105" s="4" t="n">
        <v>13.765</v>
      </c>
      <c r="K1105" s="4" t="n">
        <v>11.325</v>
      </c>
      <c r="L1105" s="4" t="n">
        <v>13.6275</v>
      </c>
      <c r="M1105" s="7" t="n">
        <v>0.02</v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4397</v>
      </c>
      <c r="F1106" s="8" t="n">
        <v>0.4072</v>
      </c>
      <c r="G1106" s="4" t="n">
        <v>70.43640000000001</v>
      </c>
      <c r="H1106" s="4" t="n">
        <v>70.72969999999999</v>
      </c>
      <c r="I1106" s="4" t="n">
        <v>13.6275</v>
      </c>
      <c r="J1106" s="4" t="n">
        <v>13.6275</v>
      </c>
      <c r="K1106" s="4" t="n">
        <v>11.14</v>
      </c>
      <c r="L1106" s="4" t="n">
        <v>13.1825</v>
      </c>
      <c r="M1106" s="7" t="n">
        <v>-0.0327</v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4432</v>
      </c>
      <c r="F1107" s="8" t="n">
        <v>0.4153</v>
      </c>
      <c r="G1107" s="4" t="n">
        <v>76.7936</v>
      </c>
      <c r="H1107" s="4" t="n">
        <v>80.42749999999999</v>
      </c>
      <c r="I1107" s="4" t="n">
        <v>13.1825</v>
      </c>
      <c r="J1107" s="4" t="n">
        <v>13.1825</v>
      </c>
      <c r="K1107" s="4" t="n">
        <v>12.4675</v>
      </c>
      <c r="L1107" s="4" t="n">
        <v>12.55</v>
      </c>
      <c r="M1107" s="7" t="n">
        <v>-0.048</v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4594</v>
      </c>
      <c r="F1108" s="8" t="n">
        <v>0.4904</v>
      </c>
      <c r="G1108" s="4" t="n">
        <v>85.5808</v>
      </c>
      <c r="H1108" s="4" t="n">
        <v>88.92359999999999</v>
      </c>
      <c r="I1108" s="4" t="n">
        <v>12.55</v>
      </c>
      <c r="J1108" s="4" t="n">
        <v>12.955</v>
      </c>
      <c r="K1108" s="4" t="n">
        <v>12.31</v>
      </c>
      <c r="L1108" s="4" t="n">
        <v>12.46</v>
      </c>
      <c r="M1108" s="7" t="n">
        <v>-0.0072</v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4419</v>
      </c>
      <c r="F1109" s="8" t="n">
        <v>0.4247</v>
      </c>
      <c r="G1109" s="4" t="n">
        <v>72.2403</v>
      </c>
      <c r="H1109" s="4" t="n">
        <v>74.2004</v>
      </c>
      <c r="I1109" s="4" t="n">
        <v>12.46</v>
      </c>
      <c r="J1109" s="4" t="n">
        <v>12.75</v>
      </c>
      <c r="K1109" s="4" t="n">
        <v>11.8825</v>
      </c>
      <c r="L1109" s="4" t="n">
        <v>12.59</v>
      </c>
      <c r="M1109" s="7" t="n">
        <v>0.0104</v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4397</v>
      </c>
      <c r="F1110" s="8" t="n">
        <v>0.4491</v>
      </c>
      <c r="G1110" s="4" t="n">
        <v>75.6511</v>
      </c>
      <c r="H1110" s="4" t="n">
        <v>70.169</v>
      </c>
      <c r="I1110" s="4" t="n">
        <v>12.59</v>
      </c>
      <c r="J1110" s="4" t="n">
        <v>13.8475</v>
      </c>
      <c r="K1110" s="4" t="n">
        <v>12.26</v>
      </c>
      <c r="L1110" s="4" t="n">
        <v>13.3725</v>
      </c>
      <c r="M1110" s="7" t="n">
        <v>0.0622</v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4406</v>
      </c>
      <c r="F1111" s="8" t="n">
        <v>0.5395</v>
      </c>
      <c r="G1111" s="4" t="n">
        <v>123.5856</v>
      </c>
      <c r="H1111" s="4" t="n">
        <v>107.9191</v>
      </c>
      <c r="I1111" s="4" t="n">
        <v>13.3725</v>
      </c>
      <c r="J1111" s="4" t="n">
        <v>13.3725</v>
      </c>
      <c r="K1111" s="4" t="n">
        <v>12.1</v>
      </c>
      <c r="L1111" s="4" t="n">
        <v>12.47</v>
      </c>
      <c r="M1111" s="7" t="n">
        <v>-0.0675</v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4413</v>
      </c>
      <c r="F1112" s="8" t="n">
        <v>0.5517</v>
      </c>
      <c r="G1112" s="4" t="n">
        <v>87.6549</v>
      </c>
      <c r="H1112" s="4" t="n">
        <v>114.0064</v>
      </c>
      <c r="I1112" s="4" t="n">
        <v>12.47</v>
      </c>
      <c r="J1112" s="4" t="n">
        <v>13.11</v>
      </c>
      <c r="K1112" s="4" t="n">
        <v>10.9025</v>
      </c>
      <c r="L1112" s="4" t="n">
        <v>12.79</v>
      </c>
      <c r="M1112" s="7" t="n">
        <v>0.0257</v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4657</v>
      </c>
      <c r="F1113" s="8" t="n">
        <v>0.469</v>
      </c>
      <c r="G1113" s="4" t="n">
        <v>90.9889</v>
      </c>
      <c r="H1113" s="4" t="n">
        <v>82.86</v>
      </c>
      <c r="I1113" s="4" t="n">
        <v>12.79</v>
      </c>
      <c r="J1113" s="4" t="n">
        <v>14.03</v>
      </c>
      <c r="K1113" s="4" t="n">
        <v>12.4275</v>
      </c>
      <c r="L1113" s="4" t="n">
        <v>13.785</v>
      </c>
      <c r="M1113" s="7" t="n">
        <v>0.07779999999999999</v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3" t="n">
        <v>4480</v>
      </c>
      <c r="F1114" s="8" t="n">
        <v>0.4242</v>
      </c>
      <c r="G1114" s="4" t="n">
        <v>68.4061</v>
      </c>
      <c r="H1114" s="4" t="n">
        <v>72.8492</v>
      </c>
      <c r="I1114" s="4" t="n">
        <v>13.785</v>
      </c>
      <c r="J1114" s="4" t="n">
        <v>14.105</v>
      </c>
      <c r="K1114" s="4" t="n">
        <v>12.7425</v>
      </c>
      <c r="L1114" s="4" t="n">
        <v>13.3925</v>
      </c>
      <c r="M1114" s="7" t="n">
        <v>-0.0285</v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3" t="n">
        <v>4405</v>
      </c>
      <c r="F1115" s="8" t="n">
        <v>0.4225</v>
      </c>
      <c r="G1115" s="4" t="n">
        <v>93.3402</v>
      </c>
      <c r="H1115" s="4" t="n">
        <v>99.79040000000001</v>
      </c>
      <c r="I1115" s="4" t="n">
        <v>13.3925</v>
      </c>
      <c r="J1115" s="4" t="n">
        <v>13.61</v>
      </c>
      <c r="K1115" s="4" t="n">
        <v>8.98</v>
      </c>
      <c r="L1115" s="4" t="n">
        <v>12.7425</v>
      </c>
      <c r="M1115" s="7" t="n">
        <v>-0.0485</v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3" t="n">
        <v>4424</v>
      </c>
      <c r="F1116" s="8" t="n">
        <v>0.3865</v>
      </c>
      <c r="G1116" s="4" t="n">
        <v>85.05200000000001</v>
      </c>
      <c r="H1116" s="4" t="n">
        <v>115.1499</v>
      </c>
      <c r="I1116" s="4" t="n">
        <v>12.7425</v>
      </c>
      <c r="J1116" s="4" t="n">
        <v>12.7425</v>
      </c>
      <c r="K1116" s="4" t="n">
        <v>11.3525</v>
      </c>
      <c r="L1116" s="4" t="n">
        <v>12.0025</v>
      </c>
      <c r="M1116" s="7" t="n">
        <v>-0.0581</v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3" t="n">
        <v>4422</v>
      </c>
      <c r="F1117" s="8" t="n">
        <v>0.422</v>
      </c>
      <c r="G1117" s="4" t="n">
        <v>88.8802</v>
      </c>
      <c r="H1117" s="4" t="n">
        <v>103.5158</v>
      </c>
      <c r="I1117" s="4" t="n">
        <v>12.0025</v>
      </c>
      <c r="J1117" s="4" t="n">
        <v>12.08</v>
      </c>
      <c r="K1117" s="4" t="n">
        <v>10.5025</v>
      </c>
      <c r="L1117" s="4" t="n">
        <v>11.9625</v>
      </c>
      <c r="M1117" s="7" t="n">
        <v>-0.0033</v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3" t="n">
        <v>4573</v>
      </c>
      <c r="F1118" s="8" t="n">
        <v>0.4595</v>
      </c>
      <c r="G1118" s="4" t="n">
        <v>102.385</v>
      </c>
      <c r="H1118" s="4" t="n">
        <v>80.77460000000001</v>
      </c>
      <c r="I1118" s="4" t="n">
        <v>11.9625</v>
      </c>
      <c r="J1118" s="4" t="n">
        <v>13.2375</v>
      </c>
      <c r="K1118" s="4" t="n">
        <v>11.6</v>
      </c>
      <c r="L1118" s="4" t="n">
        <v>12.7875</v>
      </c>
      <c r="M1118" s="7" t="n">
        <v>0.06900000000000001</v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3" t="n">
        <v>4430</v>
      </c>
      <c r="F1119" s="8" t="n">
        <v>0.4262</v>
      </c>
      <c r="G1119" s="4" t="n">
        <v>88.6397</v>
      </c>
      <c r="H1119" s="4" t="n">
        <v>79.1365</v>
      </c>
      <c r="I1119" s="4" t="n">
        <v>12.7875</v>
      </c>
      <c r="J1119" s="4" t="n">
        <v>12.7875</v>
      </c>
      <c r="K1119" s="4" t="n">
        <v>11.7125</v>
      </c>
      <c r="L1119" s="4" t="n">
        <v>11.9875</v>
      </c>
      <c r="M1119" s="7" t="n">
        <v>-0.0626</v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4460</v>
      </c>
      <c r="F1120" s="8" t="n">
        <v>0.5273</v>
      </c>
      <c r="G1120" s="4" t="n">
        <v>95.4209</v>
      </c>
      <c r="H1120" s="4" t="n">
        <v>102.5962</v>
      </c>
      <c r="I1120" s="4" t="n">
        <v>11.9875</v>
      </c>
      <c r="J1120" s="4" t="n">
        <v>13.9275</v>
      </c>
      <c r="K1120" s="4" t="n">
        <v>11.685</v>
      </c>
      <c r="L1120" s="4" t="n">
        <v>13.17</v>
      </c>
      <c r="M1120" s="7" t="n">
        <v>0.09859999999999999</v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4421</v>
      </c>
      <c r="F1121" s="8" t="n">
        <v>0.5028</v>
      </c>
      <c r="G1121" s="4" t="n">
        <v>86.0198</v>
      </c>
      <c r="H1121" s="4" t="n">
        <v>97.2183</v>
      </c>
      <c r="I1121" s="4" t="n">
        <v>13.17</v>
      </c>
      <c r="J1121" s="4" t="n">
        <v>14.48</v>
      </c>
      <c r="K1121" s="4" t="n">
        <v>12.285</v>
      </c>
      <c r="L1121" s="4" t="n">
        <v>14.1275</v>
      </c>
      <c r="M1121" s="7" t="n">
        <v>0.0727</v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4562</v>
      </c>
      <c r="F1122" s="8" t="n">
        <v>0.5803</v>
      </c>
      <c r="G1122" s="4" t="n">
        <v>109.8275</v>
      </c>
      <c r="H1122" s="4" t="n">
        <v>95.1135</v>
      </c>
      <c r="I1122" s="4" t="n">
        <v>14.1275</v>
      </c>
      <c r="J1122" s="4" t="n">
        <v>15.5</v>
      </c>
      <c r="K1122" s="4" t="n">
        <v>13.6175</v>
      </c>
      <c r="L1122" s="4" t="n">
        <v>15.08</v>
      </c>
      <c r="M1122" s="7" t="n">
        <v>0.0674</v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4392</v>
      </c>
      <c r="F1123" s="8" t="n">
        <v>0.3879</v>
      </c>
      <c r="G1123" s="4" t="n">
        <v>91.66549999999999</v>
      </c>
      <c r="H1123" s="4" t="n">
        <v>65.294</v>
      </c>
      <c r="I1123" s="4" t="n">
        <v>15.08</v>
      </c>
      <c r="J1123" s="4" t="n">
        <v>15.555</v>
      </c>
      <c r="K1123" s="4" t="n">
        <v>13.8775</v>
      </c>
      <c r="L1123" s="4" t="n">
        <v>14.5875</v>
      </c>
      <c r="M1123" s="7" t="n">
        <v>-0.0327</v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4402</v>
      </c>
      <c r="F1124" s="8" t="n">
        <v>0.366</v>
      </c>
      <c r="G1124" s="4" t="n">
        <v>80.85169999999999</v>
      </c>
      <c r="H1124" s="4" t="n">
        <v>69.08</v>
      </c>
      <c r="I1124" s="4" t="n">
        <v>14.5875</v>
      </c>
      <c r="J1124" s="4" t="n">
        <v>14.5875</v>
      </c>
      <c r="K1124" s="4" t="n">
        <v>12.7</v>
      </c>
      <c r="L1124" s="4" t="n">
        <v>14.1225</v>
      </c>
      <c r="M1124" s="7" t="n">
        <v>-0.0319</v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4415</v>
      </c>
      <c r="F1125" s="8" t="n">
        <v>0.3245</v>
      </c>
      <c r="G1125" s="4" t="n">
        <v>77.5868</v>
      </c>
      <c r="H1125" s="4" t="n">
        <v>127.2368</v>
      </c>
      <c r="I1125" s="4" t="n">
        <v>14.1225</v>
      </c>
      <c r="J1125" s="4" t="n">
        <v>14.1225</v>
      </c>
      <c r="K1125" s="4" t="n">
        <v>11.7275</v>
      </c>
      <c r="L1125" s="4" t="n">
        <v>13.495</v>
      </c>
      <c r="M1125" s="7" t="n">
        <v>-0.0444</v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4331</v>
      </c>
      <c r="F1126" s="8" t="n">
        <v>0.3145</v>
      </c>
      <c r="G1126" s="4" t="n">
        <v>75.9015</v>
      </c>
      <c r="H1126" s="4" t="n">
        <v>56.8155</v>
      </c>
      <c r="I1126" s="4" t="n">
        <v>13.495</v>
      </c>
      <c r="J1126" s="4" t="n">
        <v>13.7025</v>
      </c>
      <c r="K1126" s="4" t="n">
        <v>11.535</v>
      </c>
      <c r="L1126" s="4" t="n">
        <v>13.22</v>
      </c>
      <c r="M1126" s="7" t="n">
        <v>-0.0204</v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4561</v>
      </c>
      <c r="F1127" s="8" t="n">
        <v>0.3334</v>
      </c>
      <c r="G1127" s="4" t="n">
        <v>76.81440000000001</v>
      </c>
      <c r="H1127" s="4" t="n">
        <v>58.1031</v>
      </c>
      <c r="I1127" s="4" t="n">
        <v>13.22</v>
      </c>
      <c r="J1127" s="4" t="n">
        <v>13.735</v>
      </c>
      <c r="K1127" s="4" t="n">
        <v>12.915</v>
      </c>
      <c r="L1127" s="4" t="n">
        <v>12.995</v>
      </c>
      <c r="M1127" s="7" t="n">
        <v>-0.017</v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4408</v>
      </c>
      <c r="F1128" s="8" t="n">
        <v>0.3293</v>
      </c>
      <c r="G1128" s="4" t="n">
        <v>62.907</v>
      </c>
      <c r="H1128" s="4" t="n">
        <v>59.938</v>
      </c>
      <c r="I1128" s="4" t="n">
        <v>12.995</v>
      </c>
      <c r="J1128" s="4" t="n">
        <v>13.3625</v>
      </c>
      <c r="K1128" s="4" t="n">
        <v>10.9225</v>
      </c>
      <c r="L1128" s="4" t="n">
        <v>13.0025</v>
      </c>
      <c r="M1128" s="7" t="n">
        <v>0.0005999999999999999</v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4399</v>
      </c>
      <c r="F1129" s="8" t="n">
        <v>0.3413</v>
      </c>
      <c r="G1129" s="4" t="n">
        <v>71.5848</v>
      </c>
      <c r="H1129" s="4" t="n">
        <v>64.7432</v>
      </c>
      <c r="I1129" s="4" t="n">
        <v>13.0025</v>
      </c>
      <c r="J1129" s="4" t="n">
        <v>13.56</v>
      </c>
      <c r="K1129" s="4" t="n">
        <v>11.435</v>
      </c>
      <c r="L1129" s="4" t="n">
        <v>13.0525</v>
      </c>
      <c r="M1129" s="7" t="n">
        <v>0.0038</v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4390</v>
      </c>
      <c r="F1130" s="8" t="n">
        <v>0.3498</v>
      </c>
      <c r="G1130" s="4" t="n">
        <v>75.05880000000001</v>
      </c>
      <c r="H1130" s="4" t="n">
        <v>60.453</v>
      </c>
      <c r="I1130" s="4" t="n">
        <v>13.0525</v>
      </c>
      <c r="J1130" s="4" t="n">
        <v>13.465</v>
      </c>
      <c r="K1130" s="4" t="n">
        <v>11.0625</v>
      </c>
      <c r="L1130" s="4" t="n">
        <v>13.3875</v>
      </c>
      <c r="M1130" s="7" t="n">
        <v>0.0257</v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4396</v>
      </c>
      <c r="F1131" s="8" t="n">
        <v>0.3629</v>
      </c>
      <c r="G1131" s="4" t="n">
        <v>68.9962</v>
      </c>
      <c r="H1131" s="4" t="n">
        <v>69.20480000000001</v>
      </c>
      <c r="I1131" s="4" t="n">
        <v>13.3875</v>
      </c>
      <c r="J1131" s="4" t="n">
        <v>14.06</v>
      </c>
      <c r="K1131" s="4" t="n">
        <v>12.8675</v>
      </c>
      <c r="L1131" s="4" t="n">
        <v>13.0375</v>
      </c>
      <c r="M1131" s="7" t="n">
        <v>-0.0261</v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4538</v>
      </c>
      <c r="F1132" s="8" t="n">
        <v>0.3721</v>
      </c>
      <c r="G1132" s="4" t="n">
        <v>68.7677</v>
      </c>
      <c r="H1132" s="4" t="n">
        <v>64.4119</v>
      </c>
      <c r="I1132" s="4" t="n">
        <v>13.0375</v>
      </c>
      <c r="J1132" s="4" t="n">
        <v>14.195</v>
      </c>
      <c r="K1132" s="4" t="n">
        <v>12.5525</v>
      </c>
      <c r="L1132" s="4" t="n">
        <v>13.7625</v>
      </c>
      <c r="M1132" s="7" t="n">
        <v>0.0556</v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4445</v>
      </c>
      <c r="F1133" s="8" t="n">
        <v>0.4683</v>
      </c>
      <c r="G1133" s="4" t="n">
        <v>71.8909</v>
      </c>
      <c r="H1133" s="4" t="n">
        <v>67.8236</v>
      </c>
      <c r="I1133" s="4" t="n">
        <v>13.7625</v>
      </c>
      <c r="J1133" s="4" t="n">
        <v>14.515</v>
      </c>
      <c r="K1133" s="4" t="n">
        <v>9.470000000000001</v>
      </c>
      <c r="L1133" s="4" t="n">
        <v>14.395</v>
      </c>
      <c r="M1133" s="7" t="n">
        <v>0.046</v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4376</v>
      </c>
      <c r="F1134" s="8" t="n">
        <v>0.4154</v>
      </c>
      <c r="G1134" s="4" t="n">
        <v>76.97499999999999</v>
      </c>
      <c r="H1134" s="4" t="n">
        <v>69.7543</v>
      </c>
      <c r="I1134" s="4" t="n">
        <v>14.395</v>
      </c>
      <c r="J1134" s="4" t="n">
        <v>15.0325</v>
      </c>
      <c r="K1134" s="4" t="n">
        <v>11.74</v>
      </c>
      <c r="L1134" s="4" t="n">
        <v>14.6225</v>
      </c>
      <c r="M1134" s="7" t="n">
        <v>0.0158</v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4346</v>
      </c>
      <c r="F1135" s="8" t="n">
        <v>0.3124</v>
      </c>
      <c r="G1135" s="4" t="n">
        <v>53.4874</v>
      </c>
      <c r="H1135" s="4" t="n">
        <v>49.5311</v>
      </c>
      <c r="I1135" s="4" t="n">
        <v>14.6225</v>
      </c>
      <c r="J1135" s="4" t="n">
        <v>14.8975</v>
      </c>
      <c r="K1135" s="4" t="n">
        <v>12.695</v>
      </c>
      <c r="L1135" s="4" t="n">
        <v>13.97</v>
      </c>
      <c r="M1135" s="7" t="n">
        <v>-0.0446</v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3" t="n">
        <v>4374</v>
      </c>
      <c r="F1136" s="8" t="n">
        <v>0.4761</v>
      </c>
      <c r="G1136" s="4" t="n">
        <v>78.82250000000001</v>
      </c>
      <c r="H1136" s="4" t="n">
        <v>75.1262</v>
      </c>
      <c r="I1136" s="4" t="n">
        <v>13.97</v>
      </c>
      <c r="J1136" s="4" t="n">
        <v>15.08</v>
      </c>
      <c r="K1136" s="4" t="n">
        <v>13.35</v>
      </c>
      <c r="L1136" s="4" t="n">
        <v>14.6325</v>
      </c>
      <c r="M1136" s="7" t="n">
        <v>0.0474</v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3" t="n">
        <v>4522</v>
      </c>
      <c r="F1137" s="8" t="n">
        <v>0.4283</v>
      </c>
      <c r="G1137" s="4" t="n">
        <v>77.4316</v>
      </c>
      <c r="H1137" s="4" t="n">
        <v>74.4448</v>
      </c>
      <c r="I1137" s="4" t="n">
        <v>14.6325</v>
      </c>
      <c r="J1137" s="4" t="n">
        <v>15.4775</v>
      </c>
      <c r="K1137" s="4" t="n">
        <v>13.535</v>
      </c>
      <c r="L1137" s="4" t="n">
        <v>14.29</v>
      </c>
      <c r="M1137" s="7" t="n">
        <v>-0.0234</v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3" t="n">
        <v>4342</v>
      </c>
      <c r="F1138" s="8" t="n">
        <v>0.3544</v>
      </c>
      <c r="G1138" s="4" t="n">
        <v>56.8593</v>
      </c>
      <c r="H1138" s="4" t="n">
        <v>60.6155</v>
      </c>
      <c r="I1138" s="4" t="n">
        <v>14.29</v>
      </c>
      <c r="J1138" s="4" t="n">
        <v>15.0275</v>
      </c>
      <c r="K1138" s="4" t="n">
        <v>13.5575</v>
      </c>
      <c r="L1138" s="4" t="n">
        <v>14.515</v>
      </c>
      <c r="M1138" s="7" t="n">
        <v>0.0157</v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3" t="n">
        <v>4377</v>
      </c>
      <c r="F1139" s="8" t="n">
        <v>0.337</v>
      </c>
      <c r="G1139" s="4" t="n">
        <v>64.82080000000001</v>
      </c>
      <c r="H1139" s="4" t="n">
        <v>87.59780000000001</v>
      </c>
      <c r="I1139" s="4" t="n">
        <v>14.515</v>
      </c>
      <c r="J1139" s="4" t="n">
        <v>15.7</v>
      </c>
      <c r="K1139" s="4" t="n">
        <v>14.28</v>
      </c>
      <c r="L1139" s="4" t="n">
        <v>15.51</v>
      </c>
      <c r="M1139" s="7" t="n">
        <v>0.06850000000000001</v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3" t="n">
        <v>4356</v>
      </c>
      <c r="F1140" s="8" t="n">
        <v>0.3364</v>
      </c>
      <c r="G1140" s="4" t="n">
        <v>60.6392</v>
      </c>
      <c r="H1140" s="4" t="n">
        <v>60.391</v>
      </c>
      <c r="I1140" s="4" t="n">
        <v>15.51</v>
      </c>
      <c r="J1140" s="4" t="n">
        <v>16.24</v>
      </c>
      <c r="K1140" s="4" t="n">
        <v>14.6525</v>
      </c>
      <c r="L1140" s="4" t="n">
        <v>15.55</v>
      </c>
      <c r="M1140" s="7" t="n">
        <v>0.0026</v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3846</v>
      </c>
      <c r="F1141" s="8" t="n">
        <v>0.2181</v>
      </c>
      <c r="G1141" s="4" t="n">
        <v>35.2092</v>
      </c>
      <c r="H1141" s="4" t="n">
        <v>20.7305</v>
      </c>
      <c r="I1141" s="4" t="n">
        <v>15.55</v>
      </c>
      <c r="J1141" s="4" t="n">
        <v>16.125</v>
      </c>
      <c r="K1141" s="4" t="n">
        <v>13.6325</v>
      </c>
      <c r="L1141" s="4" t="n">
        <v>15.9025</v>
      </c>
      <c r="M1141" s="7" t="n">
        <v>0.0227</v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4622</v>
      </c>
      <c r="F1142" s="8" t="n">
        <v>0.4182</v>
      </c>
      <c r="G1142" s="4" t="n">
        <v>76.65089999999999</v>
      </c>
      <c r="H1142" s="4" t="n">
        <v>61.4439</v>
      </c>
      <c r="I1142" s="4" t="n">
        <v>15.9025</v>
      </c>
      <c r="J1142" s="4" t="n">
        <v>17.6</v>
      </c>
      <c r="K1142" s="4" t="n">
        <v>14.7775</v>
      </c>
      <c r="L1142" s="4" t="n">
        <v>16.6875</v>
      </c>
      <c r="M1142" s="7" t="n">
        <v>0.0494</v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4441</v>
      </c>
      <c r="F1143" s="8" t="n">
        <v>0.3444</v>
      </c>
      <c r="G1143" s="4" t="n">
        <v>68.83150000000001</v>
      </c>
      <c r="H1143" s="4" t="n">
        <v>59.479</v>
      </c>
      <c r="I1143" s="4" t="n">
        <v>16.6875</v>
      </c>
      <c r="J1143" s="4" t="n">
        <v>19.02</v>
      </c>
      <c r="K1143" s="4" t="n">
        <v>15.795</v>
      </c>
      <c r="L1143" s="4" t="n">
        <v>16.1225</v>
      </c>
      <c r="M1143" s="7" t="n">
        <v>-0.0339</v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4479</v>
      </c>
      <c r="F1144" s="8" t="n">
        <v>0.3809</v>
      </c>
      <c r="G1144" s="4" t="n">
        <v>75.6888</v>
      </c>
      <c r="H1144" s="4" t="n">
        <v>87.9739</v>
      </c>
      <c r="I1144" s="4" t="n">
        <v>16.1225</v>
      </c>
      <c r="J1144" s="4" t="n">
        <v>20.75</v>
      </c>
      <c r="K1144" s="4" t="n">
        <v>14.7125</v>
      </c>
      <c r="L1144" s="4" t="n">
        <v>14.8675</v>
      </c>
      <c r="M1144" s="7" t="n">
        <v>-0.07779999999999999</v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4415</v>
      </c>
      <c r="F1145" s="8" t="n">
        <v>0.3717</v>
      </c>
      <c r="G1145" s="4" t="n">
        <v>72.3421</v>
      </c>
      <c r="H1145" s="4" t="n">
        <v>64.7457</v>
      </c>
      <c r="I1145" s="4" t="n">
        <v>14.8675</v>
      </c>
      <c r="J1145" s="4" t="n">
        <v>15.5225</v>
      </c>
      <c r="K1145" s="4" t="n">
        <v>14.2675</v>
      </c>
      <c r="L1145" s="4" t="n">
        <v>14.94</v>
      </c>
      <c r="M1145" s="7" t="n">
        <v>0.0049</v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3" t="n">
        <v>4440</v>
      </c>
      <c r="F1146" s="8" t="n">
        <v>0.3773</v>
      </c>
      <c r="G1146" s="4" t="n">
        <v>62.4151</v>
      </c>
      <c r="H1146" s="4" t="n">
        <v>60.6948</v>
      </c>
      <c r="I1146" s="4" t="n">
        <v>14.94</v>
      </c>
      <c r="J1146" s="4" t="n">
        <v>15.725</v>
      </c>
      <c r="K1146" s="4" t="n">
        <v>14.3925</v>
      </c>
      <c r="L1146" s="4" t="n">
        <v>14.47</v>
      </c>
      <c r="M1146" s="7" t="n">
        <v>-0.0315</v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3" t="n">
        <v>4624</v>
      </c>
      <c r="F1147" s="8" t="n">
        <v>0.4095</v>
      </c>
      <c r="G1147" s="4" t="n">
        <v>74.9115</v>
      </c>
      <c r="H1147" s="4" t="n">
        <v>68.3862</v>
      </c>
      <c r="I1147" s="4" t="n">
        <v>14.47</v>
      </c>
      <c r="J1147" s="4" t="n">
        <v>15.47</v>
      </c>
      <c r="K1147" s="4" t="n">
        <v>13.1175</v>
      </c>
      <c r="L1147" s="4" t="n">
        <v>14.27</v>
      </c>
      <c r="M1147" s="7" t="n">
        <v>-0.0138</v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3" t="n">
        <v>4418</v>
      </c>
      <c r="F1148" s="8" t="n">
        <v>0.3649</v>
      </c>
      <c r="G1148" s="4" t="n">
        <v>66.711</v>
      </c>
      <c r="H1148" s="4" t="n">
        <v>55.3517</v>
      </c>
      <c r="I1148" s="4" t="n">
        <v>14.27</v>
      </c>
      <c r="J1148" s="4" t="n">
        <v>14.8375</v>
      </c>
      <c r="K1148" s="4" t="n">
        <v>12.74</v>
      </c>
      <c r="L1148" s="4" t="n">
        <v>14.59</v>
      </c>
      <c r="M1148" s="7" t="n">
        <v>0.0224</v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3" t="n">
        <v>4436</v>
      </c>
      <c r="F1149" s="8" t="n">
        <v>0.4823</v>
      </c>
      <c r="G1149" s="4" t="n">
        <v>67.04940000000001</v>
      </c>
      <c r="H1149" s="4" t="n">
        <v>68.8937</v>
      </c>
      <c r="I1149" s="4" t="n">
        <v>14.59</v>
      </c>
      <c r="J1149" s="4" t="n">
        <v>15.865</v>
      </c>
      <c r="K1149" s="4" t="n">
        <v>13.9325</v>
      </c>
      <c r="L1149" s="4" t="n">
        <v>15.435</v>
      </c>
      <c r="M1149" s="7" t="n">
        <v>0.0579</v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3" t="n">
        <v>4437</v>
      </c>
      <c r="F1150" s="8" t="n">
        <v>0.3795</v>
      </c>
      <c r="G1150" s="4" t="n">
        <v>60.3348</v>
      </c>
      <c r="H1150" s="4" t="n">
        <v>59.9343</v>
      </c>
      <c r="I1150" s="4" t="n">
        <v>15.435</v>
      </c>
      <c r="J1150" s="4" t="n">
        <v>15.685</v>
      </c>
      <c r="K1150" s="4" t="n">
        <v>13.4075</v>
      </c>
      <c r="L1150" s="4" t="n">
        <v>14.775</v>
      </c>
      <c r="M1150" s="7" t="n">
        <v>-0.0428</v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3" t="n">
        <v>4625</v>
      </c>
      <c r="F1151" s="8" t="n">
        <v>0.3807</v>
      </c>
      <c r="G1151" s="4" t="n">
        <v>68.87609999999999</v>
      </c>
      <c r="H1151" s="4" t="n">
        <v>56.1957</v>
      </c>
      <c r="I1151" s="4" t="n">
        <v>14.775</v>
      </c>
      <c r="J1151" s="4" t="n">
        <v>16.58</v>
      </c>
      <c r="K1151" s="4" t="n">
        <v>13.755</v>
      </c>
      <c r="L1151" s="4" t="n">
        <v>15.1675</v>
      </c>
      <c r="M1151" s="7" t="n">
        <v>0.0266</v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3" t="n">
        <v>4429</v>
      </c>
      <c r="F1152" s="8" t="n">
        <v>0.332</v>
      </c>
      <c r="G1152" s="4" t="n">
        <v>62.82</v>
      </c>
      <c r="H1152" s="4" t="n">
        <v>59.5064</v>
      </c>
      <c r="I1152" s="4" t="n">
        <v>15.1675</v>
      </c>
      <c r="J1152" s="4" t="n">
        <v>16.185</v>
      </c>
      <c r="K1152" s="4" t="n">
        <v>12.7325</v>
      </c>
      <c r="L1152" s="4" t="n">
        <v>15.6625</v>
      </c>
      <c r="M1152" s="7" t="n">
        <v>0.0326</v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4463</v>
      </c>
      <c r="F1153" s="8" t="n">
        <v>0.3687</v>
      </c>
      <c r="G1153" s="4" t="n">
        <v>61.7527</v>
      </c>
      <c r="H1153" s="4" t="n">
        <v>60.611</v>
      </c>
      <c r="I1153" s="4" t="n">
        <v>15.6625</v>
      </c>
      <c r="J1153" s="4" t="n">
        <v>16.78</v>
      </c>
      <c r="K1153" s="4" t="n">
        <v>14.8375</v>
      </c>
      <c r="L1153" s="4" t="n">
        <v>15.99</v>
      </c>
      <c r="M1153" s="7" t="n">
        <v>0.0209</v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4422</v>
      </c>
      <c r="F1154" s="8" t="n">
        <v>0.3646</v>
      </c>
      <c r="G1154" s="4" t="n">
        <v>57.795</v>
      </c>
      <c r="H1154" s="4" t="n">
        <v>70.2997</v>
      </c>
      <c r="I1154" s="4" t="n">
        <v>15.99</v>
      </c>
      <c r="J1154" s="4" t="n">
        <v>18.67</v>
      </c>
      <c r="K1154" s="4" t="n">
        <v>12.7525</v>
      </c>
      <c r="L1154" s="4" t="n">
        <v>16.0975</v>
      </c>
      <c r="M1154" s="7" t="n">
        <v>0.0067</v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3" t="n">
        <v>4589</v>
      </c>
      <c r="F1155" s="8" t="n">
        <v>0.3853</v>
      </c>
      <c r="G1155" s="4" t="n">
        <v>60.7152</v>
      </c>
      <c r="H1155" s="4" t="n">
        <v>75.04049999999999</v>
      </c>
      <c r="I1155" s="4" t="n">
        <v>16.0975</v>
      </c>
      <c r="J1155" s="4" t="n">
        <v>16.865</v>
      </c>
      <c r="K1155" s="4" t="n">
        <v>13.63</v>
      </c>
      <c r="L1155" s="4" t="n">
        <v>15.3025</v>
      </c>
      <c r="M1155" s="7" t="n">
        <v>-0.0494</v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3" t="n">
        <v>4423</v>
      </c>
      <c r="F1156" s="8" t="n">
        <v>0.3269</v>
      </c>
      <c r="G1156" s="4" t="n">
        <v>74.6536</v>
      </c>
      <c r="H1156" s="4" t="n">
        <v>59.1741</v>
      </c>
      <c r="I1156" s="4" t="n">
        <v>15.3025</v>
      </c>
      <c r="J1156" s="4" t="n">
        <v>16.26</v>
      </c>
      <c r="K1156" s="4" t="n">
        <v>13.8725</v>
      </c>
      <c r="L1156" s="4" t="n">
        <v>15.305</v>
      </c>
      <c r="M1156" s="7" t="n">
        <v>0.0002</v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3" t="n">
        <v>4392</v>
      </c>
      <c r="F1157" s="8" t="n">
        <v>0.3739</v>
      </c>
      <c r="G1157" s="4" t="n">
        <v>78.2467</v>
      </c>
      <c r="H1157" s="4" t="n">
        <v>74.6764</v>
      </c>
      <c r="I1157" s="4" t="n">
        <v>15.305</v>
      </c>
      <c r="J1157" s="4" t="n">
        <v>15.305</v>
      </c>
      <c r="K1157" s="4" t="n">
        <v>13.245</v>
      </c>
      <c r="L1157" s="4" t="n">
        <v>14.625</v>
      </c>
      <c r="M1157" s="7" t="n">
        <v>-0.0444</v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3" t="n">
        <v>4413</v>
      </c>
      <c r="F1158" s="8" t="n">
        <v>0.3877</v>
      </c>
      <c r="G1158" s="4" t="n">
        <v>75.30070000000001</v>
      </c>
      <c r="H1158" s="4" t="n">
        <v>72.101</v>
      </c>
      <c r="I1158" s="4" t="n">
        <v>14.625</v>
      </c>
      <c r="J1158" s="4" t="n">
        <v>15.5625</v>
      </c>
      <c r="K1158" s="4" t="n">
        <v>14.27</v>
      </c>
      <c r="L1158" s="4" t="n">
        <v>15.205</v>
      </c>
      <c r="M1158" s="7" t="n">
        <v>0.0397</v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3" t="n">
        <v>4408</v>
      </c>
      <c r="F1159" s="8" t="n">
        <v>0.3637</v>
      </c>
      <c r="G1159" s="4" t="n">
        <v>62.982</v>
      </c>
      <c r="H1159" s="4" t="n">
        <v>67.411</v>
      </c>
      <c r="I1159" s="4" t="n">
        <v>15.205</v>
      </c>
      <c r="J1159" s="4" t="n">
        <v>15.4575</v>
      </c>
      <c r="K1159" s="4" t="n">
        <v>14.3325</v>
      </c>
      <c r="L1159" s="4" t="n">
        <v>14.425</v>
      </c>
      <c r="M1159" s="7" t="n">
        <v>-0.0513</v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4623</v>
      </c>
      <c r="F1160" s="8" t="n">
        <v>0.3629</v>
      </c>
      <c r="G1160" s="4" t="n">
        <v>69.2529</v>
      </c>
      <c r="H1160" s="4" t="n">
        <v>83.2933</v>
      </c>
      <c r="I1160" s="4" t="n">
        <v>14.425</v>
      </c>
      <c r="J1160" s="4" t="n">
        <v>15.08</v>
      </c>
      <c r="K1160" s="4" t="n">
        <v>13.3125</v>
      </c>
      <c r="L1160" s="4" t="n">
        <v>14.7</v>
      </c>
      <c r="M1160" s="7" t="n">
        <v>0.0191</v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4466</v>
      </c>
      <c r="F1161" s="8" t="n">
        <v>0.3665</v>
      </c>
      <c r="G1161" s="4" t="n">
        <v>68.0531</v>
      </c>
      <c r="H1161" s="4" t="n">
        <v>81.7353</v>
      </c>
      <c r="I1161" s="4" t="n">
        <v>14.7</v>
      </c>
      <c r="J1161" s="4" t="n">
        <v>14.89</v>
      </c>
      <c r="K1161" s="4" t="n">
        <v>14.235</v>
      </c>
      <c r="L1161" s="4" t="n">
        <v>14.3725</v>
      </c>
      <c r="M1161" s="7" t="n">
        <v>-0.0223</v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4442</v>
      </c>
      <c r="F1162" s="8" t="n">
        <v>0.3718</v>
      </c>
      <c r="G1162" s="4" t="n">
        <v>77.1525</v>
      </c>
      <c r="H1162" s="4" t="n">
        <v>65.21210000000001</v>
      </c>
      <c r="I1162" s="4" t="n">
        <v>14.3725</v>
      </c>
      <c r="J1162" s="4" t="n">
        <v>14.7975</v>
      </c>
      <c r="K1162" s="4" t="n">
        <v>14.11</v>
      </c>
      <c r="L1162" s="4" t="n">
        <v>14.45</v>
      </c>
      <c r="M1162" s="7" t="n">
        <v>0.0054</v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4471</v>
      </c>
      <c r="F1163" s="8" t="n">
        <v>0.3695</v>
      </c>
      <c r="G1163" s="4" t="n">
        <v>78.3215</v>
      </c>
      <c r="H1163" s="4" t="n">
        <v>69.0975</v>
      </c>
      <c r="I1163" s="4" t="n">
        <v>14.45</v>
      </c>
      <c r="J1163" s="4" t="n">
        <v>15.705</v>
      </c>
      <c r="K1163" s="4" t="n">
        <v>14.055</v>
      </c>
      <c r="L1163" s="4" t="n">
        <v>14.5275</v>
      </c>
      <c r="M1163" s="7" t="n">
        <v>0.0054</v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4462</v>
      </c>
      <c r="F1164" s="8" t="n">
        <v>0.3781</v>
      </c>
      <c r="G1164" s="4" t="n">
        <v>93.79519999999999</v>
      </c>
      <c r="H1164" s="4" t="n">
        <v>67.4503</v>
      </c>
      <c r="I1164" s="4" t="n">
        <v>14.5275</v>
      </c>
      <c r="J1164" s="4" t="n">
        <v>15.0225</v>
      </c>
      <c r="K1164" s="4" t="n">
        <v>14.045</v>
      </c>
      <c r="L1164" s="4" t="n">
        <v>14.14</v>
      </c>
      <c r="M1164" s="7" t="n">
        <v>-0.0267</v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4655</v>
      </c>
      <c r="F1165" s="8" t="n">
        <v>0.392</v>
      </c>
      <c r="G1165" s="4" t="n">
        <v>94.4491</v>
      </c>
      <c r="H1165" s="4" t="n">
        <v>69.45869999999999</v>
      </c>
      <c r="I1165" s="4" t="n">
        <v>14.14</v>
      </c>
      <c r="J1165" s="4" t="n">
        <v>14.635</v>
      </c>
      <c r="K1165" s="4" t="n">
        <v>13.45</v>
      </c>
      <c r="L1165" s="4" t="n">
        <v>14.1075</v>
      </c>
      <c r="M1165" s="7" t="n">
        <v>-0.0023</v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4459</v>
      </c>
      <c r="F1166" s="8" t="n">
        <v>0.3617</v>
      </c>
      <c r="G1166" s="4" t="n">
        <v>103.481</v>
      </c>
      <c r="H1166" s="4" t="n">
        <v>71.49939999999999</v>
      </c>
      <c r="I1166" s="4" t="n">
        <v>14.1075</v>
      </c>
      <c r="J1166" s="4" t="n">
        <v>14.6725</v>
      </c>
      <c r="K1166" s="4" t="n">
        <v>13.6975</v>
      </c>
      <c r="L1166" s="4" t="n">
        <v>13.7775</v>
      </c>
      <c r="M1166" s="7" t="n">
        <v>-0.0234</v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4464</v>
      </c>
      <c r="F1167" s="8" t="n">
        <v>0.366</v>
      </c>
      <c r="G1167" s="4" t="n">
        <v>106.9992</v>
      </c>
      <c r="H1167" s="4" t="n">
        <v>65.7625</v>
      </c>
      <c r="I1167" s="4" t="n">
        <v>13.7775</v>
      </c>
      <c r="J1167" s="4" t="n">
        <v>14.11</v>
      </c>
      <c r="K1167" s="4" t="n">
        <v>13.175</v>
      </c>
      <c r="L1167" s="4" t="n">
        <v>13.2675</v>
      </c>
      <c r="M1167" s="7" t="n">
        <v>-0.037</v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4449</v>
      </c>
      <c r="F1168" s="8" t="n">
        <v>0.3668</v>
      </c>
      <c r="G1168" s="4" t="n">
        <v>85.72239999999999</v>
      </c>
      <c r="H1168" s="4" t="n">
        <v>81.24379999999999</v>
      </c>
      <c r="I1168" s="4" t="n">
        <v>13.2675</v>
      </c>
      <c r="J1168" s="4" t="n">
        <v>13.4</v>
      </c>
      <c r="K1168" s="4" t="n">
        <v>12.9475</v>
      </c>
      <c r="L1168" s="4" t="n">
        <v>13.19</v>
      </c>
      <c r="M1168" s="7" t="n">
        <v>-0.0058</v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4428</v>
      </c>
      <c r="F1169" s="8" t="n">
        <v>0.3612</v>
      </c>
      <c r="G1169" s="4" t="n">
        <v>75.09220000000001</v>
      </c>
      <c r="H1169" s="4" t="n">
        <v>70.3678</v>
      </c>
      <c r="I1169" s="4" t="n">
        <v>13.19</v>
      </c>
      <c r="J1169" s="4" t="n">
        <v>14.72</v>
      </c>
      <c r="K1169" s="4" t="n">
        <v>12.47</v>
      </c>
      <c r="L1169" s="4" t="n">
        <v>13.0525</v>
      </c>
      <c r="M1169" s="7" t="n">
        <v>-0.0104</v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4634</v>
      </c>
      <c r="F1170" s="8" t="n">
        <v>0.3478</v>
      </c>
      <c r="G1170" s="4" t="n">
        <v>71.68980000000001</v>
      </c>
      <c r="H1170" s="4" t="n">
        <v>60.6958</v>
      </c>
      <c r="I1170" s="4" t="n">
        <v>13.0525</v>
      </c>
      <c r="J1170" s="4" t="n">
        <v>14.505</v>
      </c>
      <c r="K1170" s="4" t="n">
        <v>13.0525</v>
      </c>
      <c r="L1170" s="4" t="n">
        <v>14.02</v>
      </c>
      <c r="M1170" s="7" t="n">
        <v>0.0741</v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4465</v>
      </c>
      <c r="F1171" s="8" t="n">
        <v>0.3625</v>
      </c>
      <c r="G1171" s="4" t="n">
        <v>77.47629999999999</v>
      </c>
      <c r="H1171" s="4" t="n">
        <v>65.21250000000001</v>
      </c>
      <c r="I1171" s="4" t="n">
        <v>14.02</v>
      </c>
      <c r="J1171" s="4" t="n">
        <v>14.975</v>
      </c>
      <c r="K1171" s="4" t="n">
        <v>13.18</v>
      </c>
      <c r="L1171" s="4" t="n">
        <v>14.485</v>
      </c>
      <c r="M1171" s="7" t="n">
        <v>0.0332</v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3" t="n">
        <v>4449</v>
      </c>
      <c r="F1172" s="8" t="n">
        <v>0.4065</v>
      </c>
      <c r="G1172" s="4" t="n">
        <v>82.5055</v>
      </c>
      <c r="H1172" s="4" t="n">
        <v>75.0741</v>
      </c>
      <c r="I1172" s="4" t="n">
        <v>14.485</v>
      </c>
      <c r="J1172" s="4" t="n">
        <v>15.2425</v>
      </c>
      <c r="K1172" s="4" t="n">
        <v>14.27</v>
      </c>
      <c r="L1172" s="4" t="n">
        <v>14.3725</v>
      </c>
      <c r="M1172" s="7" t="n">
        <v>-0.0078</v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3" t="n">
        <v>4474</v>
      </c>
      <c r="F1173" s="8" t="n">
        <v>0.3764</v>
      </c>
      <c r="G1173" s="4" t="n">
        <v>75.26260000000001</v>
      </c>
      <c r="H1173" s="4" t="n">
        <v>64.7692</v>
      </c>
      <c r="I1173" s="4" t="n">
        <v>14.3725</v>
      </c>
      <c r="J1173" s="4" t="n">
        <v>15.435</v>
      </c>
      <c r="K1173" s="4" t="n">
        <v>13.87</v>
      </c>
      <c r="L1173" s="4" t="n">
        <v>14.51</v>
      </c>
      <c r="M1173" s="7" t="n">
        <v>0.009599999999999999</v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3" t="n">
        <v>4452</v>
      </c>
      <c r="F1174" s="8" t="n">
        <v>0.4379</v>
      </c>
      <c r="G1174" s="4" t="n">
        <v>69.1349</v>
      </c>
      <c r="H1174" s="4" t="n">
        <v>72.631</v>
      </c>
      <c r="I1174" s="4" t="n">
        <v>14.51</v>
      </c>
      <c r="J1174" s="4" t="n">
        <v>15.5525</v>
      </c>
      <c r="K1174" s="4" t="n">
        <v>14.3975</v>
      </c>
      <c r="L1174" s="4" t="n">
        <v>15.0725</v>
      </c>
      <c r="M1174" s="7" t="n">
        <v>0.0388</v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3" t="n">
        <v>4627</v>
      </c>
      <c r="F1175" s="8" t="n">
        <v>0.3429</v>
      </c>
      <c r="G1175" s="4" t="n">
        <v>62.8325</v>
      </c>
      <c r="H1175" s="4" t="n">
        <v>57.0601</v>
      </c>
      <c r="I1175" s="4" t="n">
        <v>15.0725</v>
      </c>
      <c r="J1175" s="4" t="n">
        <v>16.8825</v>
      </c>
      <c r="K1175" s="4" t="n">
        <v>13.4175</v>
      </c>
      <c r="L1175" s="4" t="n">
        <v>13.52</v>
      </c>
      <c r="M1175" s="7" t="n">
        <v>-0.103</v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3" t="n">
        <v>4476</v>
      </c>
      <c r="F1176" s="8" t="n">
        <v>0.3003</v>
      </c>
      <c r="G1176" s="4" t="n">
        <v>52.4143</v>
      </c>
      <c r="H1176" s="4" t="n">
        <v>52.4917</v>
      </c>
      <c r="I1176" s="4" t="n">
        <v>13.52</v>
      </c>
      <c r="J1176" s="4" t="n">
        <v>15.03</v>
      </c>
      <c r="K1176" s="4" t="n">
        <v>12.975</v>
      </c>
      <c r="L1176" s="4" t="n">
        <v>13.1775</v>
      </c>
      <c r="M1176" s="7" t="n">
        <v>-0.0253</v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3" t="n">
        <v>4484</v>
      </c>
      <c r="F1177" s="8" t="n">
        <v>0.3183</v>
      </c>
      <c r="G1177" s="4" t="n">
        <v>61.92</v>
      </c>
      <c r="H1177" s="4" t="n">
        <v>56.2824</v>
      </c>
      <c r="I1177" s="4" t="n">
        <v>13.1775</v>
      </c>
      <c r="J1177" s="4" t="n">
        <v>14.3875</v>
      </c>
      <c r="K1177" s="4" t="n">
        <v>13.0825</v>
      </c>
      <c r="L1177" s="4" t="n">
        <v>14.035</v>
      </c>
      <c r="M1177" s="7" t="n">
        <v>0.06510000000000001</v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3" t="n">
        <v>4482</v>
      </c>
      <c r="F1178" s="8" t="n">
        <v>0.321</v>
      </c>
      <c r="G1178" s="4" t="n">
        <v>61.6661</v>
      </c>
      <c r="H1178" s="4" t="n">
        <v>54.7086</v>
      </c>
      <c r="I1178" s="4" t="n">
        <v>14.035</v>
      </c>
      <c r="J1178" s="4" t="n">
        <v>14.2375</v>
      </c>
      <c r="K1178" s="4" t="n">
        <v>13.035</v>
      </c>
      <c r="L1178" s="4" t="n">
        <v>13.2375</v>
      </c>
      <c r="M1178" s="7" t="n">
        <v>-0.0568</v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3" t="n">
        <v>4642</v>
      </c>
      <c r="F1179" s="8" t="n">
        <v>0.3884</v>
      </c>
      <c r="G1179" s="4" t="n">
        <v>82.0697</v>
      </c>
      <c r="H1179" s="4" t="n">
        <v>62.0988</v>
      </c>
      <c r="I1179" s="4" t="n">
        <v>13.2375</v>
      </c>
      <c r="J1179" s="4" t="n">
        <v>14.37</v>
      </c>
      <c r="K1179" s="4" t="n">
        <v>13.2375</v>
      </c>
      <c r="L1179" s="4" t="n">
        <v>13.9725</v>
      </c>
      <c r="M1179" s="7" t="n">
        <v>0.0555</v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3" t="n">
        <v>4481</v>
      </c>
      <c r="F1180" s="8" t="n">
        <v>0.3276</v>
      </c>
      <c r="G1180" s="4" t="n">
        <v>70.5714</v>
      </c>
      <c r="H1180" s="4" t="n">
        <v>52.6318</v>
      </c>
      <c r="I1180" s="4" t="n">
        <v>13.9725</v>
      </c>
      <c r="J1180" s="4" t="n">
        <v>14.6375</v>
      </c>
      <c r="K1180" s="4" t="n">
        <v>13.9725</v>
      </c>
      <c r="L1180" s="4" t="n">
        <v>14.4475</v>
      </c>
      <c r="M1180" s="7" t="n">
        <v>0.034</v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4411</v>
      </c>
      <c r="F1181" s="8" t="n">
        <v>0.2669</v>
      </c>
      <c r="G1181" s="4" t="n">
        <v>57.6222</v>
      </c>
      <c r="H1181" s="4" t="n">
        <v>45.1949</v>
      </c>
      <c r="I1181" s="4" t="n">
        <v>14.4475</v>
      </c>
      <c r="J1181" s="4" t="n">
        <v>14.835</v>
      </c>
      <c r="K1181" s="4" t="n">
        <v>14.305</v>
      </c>
      <c r="L1181" s="4" t="n">
        <v>14.5075</v>
      </c>
      <c r="M1181" s="7" t="n">
        <v>0.0042</v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4459</v>
      </c>
      <c r="F1182" s="8" t="n">
        <v>0.3382</v>
      </c>
      <c r="G1182" s="4" t="n">
        <v>66.2174</v>
      </c>
      <c r="H1182" s="4" t="n">
        <v>57.1439</v>
      </c>
      <c r="I1182" s="4" t="n">
        <v>14.5075</v>
      </c>
      <c r="J1182" s="4" t="n">
        <v>14.8025</v>
      </c>
      <c r="K1182" s="4" t="n">
        <v>13.63</v>
      </c>
      <c r="L1182" s="4" t="n">
        <v>13.7375</v>
      </c>
      <c r="M1182" s="7" t="n">
        <v>-0.0531</v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4439</v>
      </c>
      <c r="F1183" s="8" t="n">
        <v>0.3444</v>
      </c>
      <c r="G1183" s="4" t="n">
        <v>73.947</v>
      </c>
      <c r="H1183" s="4" t="n">
        <v>63.9877</v>
      </c>
      <c r="I1183" s="4" t="n">
        <v>13.7375</v>
      </c>
      <c r="J1183" s="4" t="n">
        <v>13.9775</v>
      </c>
      <c r="K1183" s="4" t="n">
        <v>13.225</v>
      </c>
      <c r="L1183" s="4" t="n">
        <v>13.54</v>
      </c>
      <c r="M1183" s="7" t="n">
        <v>-0.0144</v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4631</v>
      </c>
      <c r="F1184" s="8" t="n">
        <v>0.4831</v>
      </c>
      <c r="G1184" s="4" t="n">
        <v>93.17270000000001</v>
      </c>
      <c r="H1184" s="4" t="n">
        <v>73.9807</v>
      </c>
      <c r="I1184" s="4" t="n">
        <v>13.54</v>
      </c>
      <c r="J1184" s="4" t="n">
        <v>15.92</v>
      </c>
      <c r="K1184" s="4" t="n">
        <v>13.54</v>
      </c>
      <c r="L1184" s="4" t="n">
        <v>15.65</v>
      </c>
      <c r="M1184" s="7" t="n">
        <v>0.1558</v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4445</v>
      </c>
      <c r="F1185" s="8" t="n">
        <v>0.3362</v>
      </c>
      <c r="G1185" s="4" t="n">
        <v>60.5521</v>
      </c>
      <c r="H1185" s="4" t="n">
        <v>56.279</v>
      </c>
      <c r="I1185" s="4" t="n">
        <v>15.65</v>
      </c>
      <c r="J1185" s="4" t="n">
        <v>15.65</v>
      </c>
      <c r="K1185" s="4" t="n">
        <v>14.345</v>
      </c>
      <c r="L1185" s="4" t="n">
        <v>14.66</v>
      </c>
      <c r="M1185" s="7" t="n">
        <v>-0.0633</v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4431</v>
      </c>
      <c r="F1186" s="8" t="n">
        <v>0.3421</v>
      </c>
      <c r="G1186" s="4" t="n">
        <v>57.8554</v>
      </c>
      <c r="H1186" s="4" t="n">
        <v>54.594</v>
      </c>
      <c r="I1186" s="4" t="n">
        <v>14.66</v>
      </c>
      <c r="J1186" s="4" t="n">
        <v>14.88</v>
      </c>
      <c r="K1186" s="4" t="n">
        <v>14.095</v>
      </c>
      <c r="L1186" s="4" t="n">
        <v>14.465</v>
      </c>
      <c r="M1186" s="7" t="n">
        <v>-0.0133</v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4412</v>
      </c>
      <c r="F1187" s="8" t="n">
        <v>0.3113</v>
      </c>
      <c r="G1187" s="4" t="n">
        <v>53.1715</v>
      </c>
      <c r="H1187" s="4" t="n">
        <v>45.7958</v>
      </c>
      <c r="I1187" s="4" t="n">
        <v>14.465</v>
      </c>
      <c r="J1187" s="4" t="n">
        <v>14.885</v>
      </c>
      <c r="K1187" s="4" t="n">
        <v>13.7475</v>
      </c>
      <c r="L1187" s="4" t="n">
        <v>14.6575</v>
      </c>
      <c r="M1187" s="7" t="n">
        <v>0.0133</v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4448</v>
      </c>
      <c r="F1188" s="8" t="n">
        <v>0.3851</v>
      </c>
      <c r="G1188" s="4" t="n">
        <v>62.3686</v>
      </c>
      <c r="H1188" s="4" t="n">
        <v>59.1614</v>
      </c>
      <c r="I1188" s="4" t="n">
        <v>14.6575</v>
      </c>
      <c r="J1188" s="4" t="n">
        <v>15.515</v>
      </c>
      <c r="K1188" s="4" t="n">
        <v>14.6575</v>
      </c>
      <c r="L1188" s="4" t="n">
        <v>14.915</v>
      </c>
      <c r="M1188" s="7" t="n">
        <v>0.0176</v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4670</v>
      </c>
      <c r="F1189" s="8" t="n">
        <v>0.4897</v>
      </c>
      <c r="G1189" s="4" t="n">
        <v>75.47539999999999</v>
      </c>
      <c r="H1189" s="4" t="n">
        <v>70.5355</v>
      </c>
      <c r="I1189" s="4" t="n">
        <v>14.915</v>
      </c>
      <c r="J1189" s="4" t="n">
        <v>16.185</v>
      </c>
      <c r="K1189" s="4" t="n">
        <v>14.45</v>
      </c>
      <c r="L1189" s="4" t="n">
        <v>15.9975</v>
      </c>
      <c r="M1189" s="7" t="n">
        <v>0.0726</v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4444</v>
      </c>
      <c r="F1190" s="8" t="n">
        <v>0.3513</v>
      </c>
      <c r="G1190" s="4" t="n">
        <v>66.66459999999999</v>
      </c>
      <c r="H1190" s="4" t="n">
        <v>65.51260000000001</v>
      </c>
      <c r="I1190" s="4" t="n">
        <v>15.9975</v>
      </c>
      <c r="J1190" s="4" t="n">
        <v>15.9975</v>
      </c>
      <c r="K1190" s="4" t="n">
        <v>15.115</v>
      </c>
      <c r="L1190" s="4" t="n">
        <v>15.47</v>
      </c>
      <c r="M1190" s="7" t="n">
        <v>-0.033</v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4422</v>
      </c>
      <c r="F1191" s="8" t="n">
        <v>0.3201</v>
      </c>
      <c r="G1191" s="4" t="n">
        <v>63.2177</v>
      </c>
      <c r="H1191" s="4" t="n">
        <v>57.2171</v>
      </c>
      <c r="I1191" s="4" t="n">
        <v>15.47</v>
      </c>
      <c r="J1191" s="4" t="n">
        <v>15.6625</v>
      </c>
      <c r="K1191" s="4" t="n">
        <v>15.1975</v>
      </c>
      <c r="L1191" s="4" t="n">
        <v>15.2575</v>
      </c>
      <c r="M1191" s="7" t="n">
        <v>-0.0137</v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4408</v>
      </c>
      <c r="F1192" s="8" t="n">
        <v>0.2938</v>
      </c>
      <c r="G1192" s="4" t="n">
        <v>58.9342</v>
      </c>
      <c r="H1192" s="4" t="n">
        <v>51.076</v>
      </c>
      <c r="I1192" s="4" t="n">
        <v>15.2575</v>
      </c>
      <c r="J1192" s="4" t="n">
        <v>15.5725</v>
      </c>
      <c r="K1192" s="4" t="n">
        <v>13.9575</v>
      </c>
      <c r="L1192" s="4" t="n">
        <v>15.465</v>
      </c>
      <c r="M1192" s="7" t="n">
        <v>0.0136</v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4477</v>
      </c>
      <c r="F1193" s="8" t="n">
        <v>0.2895</v>
      </c>
      <c r="G1193" s="4" t="n">
        <v>54.5657</v>
      </c>
      <c r="H1193" s="4" t="n">
        <v>47.6404</v>
      </c>
      <c r="I1193" s="4" t="n">
        <v>15.465</v>
      </c>
      <c r="J1193" s="4" t="n">
        <v>16.3825</v>
      </c>
      <c r="K1193" s="4" t="n">
        <v>14.0525</v>
      </c>
      <c r="L1193" s="4" t="n">
        <v>15.7475</v>
      </c>
      <c r="M1193" s="7" t="n">
        <v>0.0183</v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4600</v>
      </c>
      <c r="F1194" s="8" t="n">
        <v>0.3486</v>
      </c>
      <c r="G1194" s="4" t="n">
        <v>75.6173</v>
      </c>
      <c r="H1194" s="4" t="n">
        <v>56.749</v>
      </c>
      <c r="I1194" s="4" t="n">
        <v>15.7475</v>
      </c>
      <c r="J1194" s="4" t="n">
        <v>17.02</v>
      </c>
      <c r="K1194" s="4" t="n">
        <v>15.1825</v>
      </c>
      <c r="L1194" s="4" t="n">
        <v>16.415</v>
      </c>
      <c r="M1194" s="7" t="n">
        <v>0.0424</v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4439</v>
      </c>
      <c r="F1195" s="8" t="n">
        <v>0.3695</v>
      </c>
      <c r="G1195" s="4" t="n">
        <v>68.8289</v>
      </c>
      <c r="H1195" s="4" t="n">
        <v>63.8747</v>
      </c>
      <c r="I1195" s="4" t="n">
        <v>16.415</v>
      </c>
      <c r="J1195" s="4" t="n">
        <v>17.445</v>
      </c>
      <c r="K1195" s="4" t="n">
        <v>15.2025</v>
      </c>
      <c r="L1195" s="4" t="n">
        <v>17.055</v>
      </c>
      <c r="M1195" s="7" t="n">
        <v>0.039</v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4403</v>
      </c>
      <c r="F1196" s="8" t="n">
        <v>0.3384</v>
      </c>
      <c r="G1196" s="4" t="n">
        <v>57.7283</v>
      </c>
      <c r="H1196" s="4" t="n">
        <v>55.028</v>
      </c>
      <c r="I1196" s="4" t="n">
        <v>17.055</v>
      </c>
      <c r="J1196" s="4" t="n">
        <v>17.295</v>
      </c>
      <c r="K1196" s="4" t="n">
        <v>15.905</v>
      </c>
      <c r="L1196" s="4" t="n">
        <v>16.7725</v>
      </c>
      <c r="M1196" s="7" t="n">
        <v>-0.0166</v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4395</v>
      </c>
      <c r="F1197" s="8" t="n">
        <v>0.2829</v>
      </c>
      <c r="G1197" s="4" t="n">
        <v>46.0792</v>
      </c>
      <c r="H1197" s="4" t="n">
        <v>49.3937</v>
      </c>
      <c r="I1197" s="4" t="n">
        <v>16.7725</v>
      </c>
      <c r="J1197" s="4" t="n">
        <v>17.0825</v>
      </c>
      <c r="K1197" s="4" t="n">
        <v>15.6675</v>
      </c>
      <c r="L1197" s="4" t="n">
        <v>16.695</v>
      </c>
      <c r="M1197" s="7" t="n">
        <v>-0.0046</v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4416</v>
      </c>
      <c r="F1198" s="8" t="n">
        <v>0.2999</v>
      </c>
      <c r="G1198" s="4" t="n">
        <v>40.2712</v>
      </c>
      <c r="H1198" s="4" t="n">
        <v>49.0695</v>
      </c>
      <c r="I1198" s="4" t="n">
        <v>16.695</v>
      </c>
      <c r="J1198" s="4" t="n">
        <v>17.31</v>
      </c>
      <c r="K1198" s="4" t="n">
        <v>16.1175</v>
      </c>
      <c r="L1198" s="4" t="n">
        <v>16.745</v>
      </c>
      <c r="M1198" s="7" t="n">
        <v>0.003</v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3" t="n">
        <v>4605</v>
      </c>
      <c r="F1199" s="8" t="n">
        <v>0.4073</v>
      </c>
      <c r="G1199" s="4" t="n">
        <v>58.349</v>
      </c>
      <c r="H1199" s="4" t="n">
        <v>56.3679</v>
      </c>
      <c r="I1199" s="4" t="n">
        <v>16.745</v>
      </c>
      <c r="J1199" s="4" t="n">
        <v>18.5225</v>
      </c>
      <c r="K1199" s="4" t="n">
        <v>16.745</v>
      </c>
      <c r="L1199" s="4" t="n">
        <v>18.1325</v>
      </c>
      <c r="M1199" s="7" t="n">
        <v>0.0829</v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3" t="n">
        <v>4447</v>
      </c>
      <c r="F1200" s="8" t="n">
        <v>0.3926</v>
      </c>
      <c r="G1200" s="4" t="n">
        <v>59.2168</v>
      </c>
      <c r="H1200" s="4" t="n">
        <v>64.0146</v>
      </c>
      <c r="I1200" s="4" t="n">
        <v>18.1325</v>
      </c>
      <c r="J1200" s="4" t="n">
        <v>18.5025</v>
      </c>
      <c r="K1200" s="4" t="n">
        <v>16.8275</v>
      </c>
      <c r="L1200" s="4" t="n">
        <v>18.195</v>
      </c>
      <c r="M1200" s="7" t="n">
        <v>0.0034</v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3" t="n">
        <v>4424</v>
      </c>
      <c r="F1201" s="8" t="n">
        <v>0.3144</v>
      </c>
      <c r="G1201" s="4" t="n">
        <v>54.5526</v>
      </c>
      <c r="H1201" s="4" t="n">
        <v>51.7504</v>
      </c>
      <c r="I1201" s="4" t="n">
        <v>18.195</v>
      </c>
      <c r="J1201" s="4" t="n">
        <v>19.01</v>
      </c>
      <c r="K1201" s="4" t="n">
        <v>17.2875</v>
      </c>
      <c r="L1201" s="4" t="n">
        <v>18.64</v>
      </c>
      <c r="M1201" s="7" t="n">
        <v>0.0245</v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3" t="n">
        <v>4424</v>
      </c>
      <c r="F1202" s="8" t="n">
        <v>0.3218</v>
      </c>
      <c r="G1202" s="4" t="n">
        <v>49.4418</v>
      </c>
      <c r="H1202" s="4" t="n">
        <v>56.8818</v>
      </c>
      <c r="I1202" s="4" t="n">
        <v>18.64</v>
      </c>
      <c r="J1202" s="4" t="n">
        <v>18.985</v>
      </c>
      <c r="K1202" s="4" t="n">
        <v>17.2175</v>
      </c>
      <c r="L1202" s="4" t="n">
        <v>17.39</v>
      </c>
      <c r="M1202" s="7" t="n">
        <v>-0.06710000000000001</v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3" t="n">
        <v>4396</v>
      </c>
      <c r="F1203" s="8" t="n">
        <v>0.3386</v>
      </c>
      <c r="G1203" s="4" t="n">
        <v>52.4671</v>
      </c>
      <c r="H1203" s="4" t="n">
        <v>61.1287</v>
      </c>
      <c r="I1203" s="4" t="n">
        <v>17.39</v>
      </c>
      <c r="J1203" s="4" t="n">
        <v>17.9425</v>
      </c>
      <c r="K1203" s="4" t="n">
        <v>16.1075</v>
      </c>
      <c r="L1203" s="4" t="n">
        <v>16.2475</v>
      </c>
      <c r="M1203" s="7" t="n">
        <v>-0.06569999999999999</v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3" t="n">
        <v>4303</v>
      </c>
      <c r="F1204" s="8" t="n">
        <v>0.3937</v>
      </c>
      <c r="G1204" s="4" t="n">
        <v>54.3132</v>
      </c>
      <c r="H1204" s="4" t="n">
        <v>71.8266</v>
      </c>
      <c r="I1204" s="4" t="n">
        <v>16.2475</v>
      </c>
      <c r="J1204" s="4" t="n">
        <v>16.58</v>
      </c>
      <c r="K1204" s="4" t="n">
        <v>14.0125</v>
      </c>
      <c r="L1204" s="4" t="n">
        <v>14.095</v>
      </c>
      <c r="M1204" s="7" t="n">
        <v>-0.1325</v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4562</v>
      </c>
      <c r="F1205" s="8" t="n">
        <v>0.355</v>
      </c>
      <c r="G1205" s="4" t="n">
        <v>46.7566</v>
      </c>
      <c r="H1205" s="4" t="n">
        <v>53.8419</v>
      </c>
      <c r="I1205" s="4" t="n">
        <v>14.095</v>
      </c>
      <c r="J1205" s="4" t="n">
        <v>15.1125</v>
      </c>
      <c r="K1205" s="4" t="n">
        <v>14.095</v>
      </c>
      <c r="L1205" s="4" t="n">
        <v>14.3525</v>
      </c>
      <c r="M1205" s="7" t="n">
        <v>0.0183</v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4409</v>
      </c>
      <c r="F1206" s="8" t="n">
        <v>0.3258</v>
      </c>
      <c r="G1206" s="4" t="n">
        <v>49.3832</v>
      </c>
      <c r="H1206" s="4" t="n">
        <v>54.2864</v>
      </c>
      <c r="I1206" s="4" t="n">
        <v>14.3525</v>
      </c>
      <c r="J1206" s="4" t="n">
        <v>15.1325</v>
      </c>
      <c r="K1206" s="4" t="n">
        <v>13.665</v>
      </c>
      <c r="L1206" s="4" t="n">
        <v>14.0175</v>
      </c>
      <c r="M1206" s="7" t="n">
        <v>-0.0233</v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4474</v>
      </c>
      <c r="F1207" s="8" t="n">
        <v>0.3151</v>
      </c>
      <c r="G1207" s="4" t="n">
        <v>53.0586</v>
      </c>
      <c r="H1207" s="4" t="n">
        <v>53.1945</v>
      </c>
      <c r="I1207" s="4" t="n">
        <v>14.0175</v>
      </c>
      <c r="J1207" s="4" t="n">
        <v>14.2975</v>
      </c>
      <c r="K1207" s="4" t="n">
        <v>13.4975</v>
      </c>
      <c r="L1207" s="4" t="n">
        <v>14.0825</v>
      </c>
      <c r="M1207" s="7" t="n">
        <v>0.0046</v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4416</v>
      </c>
      <c r="F1208" s="8" t="n">
        <v>0.2986</v>
      </c>
      <c r="G1208" s="4" t="n">
        <v>48.0687</v>
      </c>
      <c r="H1208" s="4" t="n">
        <v>48.246</v>
      </c>
      <c r="I1208" s="4" t="n">
        <v>14.0825</v>
      </c>
      <c r="J1208" s="4" t="n">
        <v>14.64</v>
      </c>
      <c r="K1208" s="4" t="n">
        <v>13.15</v>
      </c>
      <c r="L1208" s="4" t="n">
        <v>14.175</v>
      </c>
      <c r="M1208" s="7" t="n">
        <v>0.0066</v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4412</v>
      </c>
      <c r="F1209" s="8" t="n">
        <v>0.3101</v>
      </c>
      <c r="G1209" s="4" t="n">
        <v>55.4107</v>
      </c>
      <c r="H1209" s="4" t="n">
        <v>45.4769</v>
      </c>
      <c r="I1209" s="4" t="n">
        <v>14.175</v>
      </c>
      <c r="J1209" s="4" t="n">
        <v>14.505</v>
      </c>
      <c r="K1209" s="4" t="n">
        <v>13.55</v>
      </c>
      <c r="L1209" s="4" t="n">
        <v>13.685</v>
      </c>
      <c r="M1209" s="7" t="n">
        <v>-0.0346</v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4595</v>
      </c>
      <c r="F1210" s="8" t="n">
        <v>0.3166</v>
      </c>
      <c r="G1210" s="4" t="n">
        <v>49.3042</v>
      </c>
      <c r="H1210" s="4" t="n">
        <v>43.2317</v>
      </c>
      <c r="I1210" s="4" t="n">
        <v>13.685</v>
      </c>
      <c r="J1210" s="4" t="n">
        <v>14.7175</v>
      </c>
      <c r="K1210" s="4" t="n">
        <v>13.685</v>
      </c>
      <c r="L1210" s="4" t="n">
        <v>14.445</v>
      </c>
      <c r="M1210" s="7" t="n">
        <v>0.0555</v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4432</v>
      </c>
      <c r="F1211" s="8" t="n">
        <v>0.3736</v>
      </c>
      <c r="G1211" s="4" t="n">
        <v>52.6081</v>
      </c>
      <c r="H1211" s="4" t="n">
        <v>51.0018</v>
      </c>
      <c r="I1211" s="4" t="n">
        <v>14.445</v>
      </c>
      <c r="J1211" s="4" t="n">
        <v>15.4325</v>
      </c>
      <c r="K1211" s="4" t="n">
        <v>13.845</v>
      </c>
      <c r="L1211" s="4" t="n">
        <v>14.87</v>
      </c>
      <c r="M1211" s="7" t="n">
        <v>0.0294</v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4429</v>
      </c>
      <c r="F1212" s="8" t="n">
        <v>0.4187</v>
      </c>
      <c r="G1212" s="4" t="n">
        <v>65.62739999999999</v>
      </c>
      <c r="H1212" s="4" t="n">
        <v>60.6712</v>
      </c>
      <c r="I1212" s="4" t="n">
        <v>14.87</v>
      </c>
      <c r="J1212" s="4" t="n">
        <v>15.6225</v>
      </c>
      <c r="K1212" s="4" t="n">
        <v>14.6075</v>
      </c>
      <c r="L1212" s="4" t="n">
        <v>14.895</v>
      </c>
      <c r="M1212" s="7" t="n">
        <v>0.0017</v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4401</v>
      </c>
      <c r="F1213" s="8" t="n">
        <v>0.3189</v>
      </c>
      <c r="G1213" s="4" t="n">
        <v>52.8057</v>
      </c>
      <c r="H1213" s="4" t="n">
        <v>46.7585</v>
      </c>
      <c r="I1213" s="4" t="n">
        <v>14.895</v>
      </c>
      <c r="J1213" s="4" t="n">
        <v>15.465</v>
      </c>
      <c r="K1213" s="4" t="n">
        <v>12.195</v>
      </c>
      <c r="L1213" s="4" t="n">
        <v>14.955</v>
      </c>
      <c r="M1213" s="7" t="n">
        <v>0.004</v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4463</v>
      </c>
      <c r="F1214" s="8" t="n">
        <v>0.4287</v>
      </c>
      <c r="G1214" s="4" t="n">
        <v>57.1149</v>
      </c>
      <c r="H1214" s="4" t="n">
        <v>54.9054</v>
      </c>
      <c r="I1214" s="4" t="n">
        <v>14.955</v>
      </c>
      <c r="J1214" s="4" t="n">
        <v>15.6775</v>
      </c>
      <c r="K1214" s="4" t="n">
        <v>14.3575</v>
      </c>
      <c r="L1214" s="4" t="n">
        <v>15.015</v>
      </c>
      <c r="M1214" s="7" t="n">
        <v>0.004</v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4603</v>
      </c>
      <c r="F1215" s="8" t="n">
        <v>0.3771</v>
      </c>
      <c r="G1215" s="4" t="n">
        <v>56.3099</v>
      </c>
      <c r="H1215" s="4" t="n">
        <v>47.2728</v>
      </c>
      <c r="I1215" s="4" t="n">
        <v>15.015</v>
      </c>
      <c r="J1215" s="4" t="n">
        <v>16.31</v>
      </c>
      <c r="K1215" s="4" t="n">
        <v>14.4975</v>
      </c>
      <c r="L1215" s="4" t="n">
        <v>15.7225</v>
      </c>
      <c r="M1215" s="7" t="n">
        <v>0.0471</v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4427</v>
      </c>
      <c r="F1216" s="8" t="n">
        <v>0.3487</v>
      </c>
      <c r="G1216" s="4" t="n">
        <v>50.9432</v>
      </c>
      <c r="H1216" s="4" t="n">
        <v>49.0989</v>
      </c>
      <c r="I1216" s="4" t="n">
        <v>15.7225</v>
      </c>
      <c r="J1216" s="4" t="n">
        <v>16.3225</v>
      </c>
      <c r="K1216" s="4" t="n">
        <v>14.78</v>
      </c>
      <c r="L1216" s="4" t="n">
        <v>15.665</v>
      </c>
      <c r="M1216" s="7" t="n">
        <v>-0.0037</v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3" t="n">
        <v>4437</v>
      </c>
      <c r="F1217" s="8" t="n">
        <v>0.3131</v>
      </c>
      <c r="G1217" s="4" t="n">
        <v>51.0892</v>
      </c>
      <c r="H1217" s="4" t="n">
        <v>49.165</v>
      </c>
      <c r="I1217" s="4" t="n">
        <v>15.665</v>
      </c>
      <c r="J1217" s="4" t="n">
        <v>16.0225</v>
      </c>
      <c r="K1217" s="4" t="n">
        <v>14.7525</v>
      </c>
      <c r="L1217" s="4" t="n">
        <v>15.42</v>
      </c>
      <c r="M1217" s="7" t="n">
        <v>-0.0156</v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3" t="n">
        <v>4405</v>
      </c>
      <c r="F1218" s="8" t="n">
        <v>0.28</v>
      </c>
      <c r="G1218" s="4" t="n">
        <v>44.8289</v>
      </c>
      <c r="H1218" s="4" t="n">
        <v>40.5074</v>
      </c>
      <c r="I1218" s="4" t="n">
        <v>15.42</v>
      </c>
      <c r="J1218" s="4" t="n">
        <v>15.9025</v>
      </c>
      <c r="K1218" s="4" t="n">
        <v>14.6375</v>
      </c>
      <c r="L1218" s="4" t="n">
        <v>14.6825</v>
      </c>
      <c r="M1218" s="7" t="n">
        <v>-0.0478</v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3" t="n">
        <v>4432</v>
      </c>
      <c r="F1219" s="8" t="n">
        <v>0.3079</v>
      </c>
      <c r="G1219" s="4" t="n">
        <v>46.9023</v>
      </c>
      <c r="H1219" s="4" t="n">
        <v>51.2584</v>
      </c>
      <c r="I1219" s="4" t="n">
        <v>14.6825</v>
      </c>
      <c r="J1219" s="4" t="n">
        <v>15.2425</v>
      </c>
      <c r="K1219" s="4" t="n">
        <v>12.0825</v>
      </c>
      <c r="L1219" s="4" t="n">
        <v>14.53</v>
      </c>
      <c r="M1219" s="7" t="n">
        <v>-0.0104</v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3" t="n">
        <v>4563</v>
      </c>
      <c r="F1220" s="8" t="n">
        <v>0.2684</v>
      </c>
      <c r="G1220" s="4" t="n">
        <v>42.5137</v>
      </c>
      <c r="H1220" s="4" t="n">
        <v>35.3028</v>
      </c>
      <c r="I1220" s="4" t="n">
        <v>14.53</v>
      </c>
      <c r="J1220" s="4" t="n">
        <v>15.58</v>
      </c>
      <c r="K1220" s="4" t="n">
        <v>14.365</v>
      </c>
      <c r="L1220" s="4" t="n">
        <v>14.44</v>
      </c>
      <c r="M1220" s="7" t="n">
        <v>-0.0062</v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3" t="n">
        <v>4412</v>
      </c>
      <c r="F1221" s="8" t="n">
        <v>0.269</v>
      </c>
      <c r="G1221" s="4" t="n">
        <v>42.9447</v>
      </c>
      <c r="H1221" s="4" t="n">
        <v>42.1878</v>
      </c>
      <c r="I1221" s="4" t="n">
        <v>14.4425</v>
      </c>
      <c r="J1221" s="4" t="n">
        <v>15.0775</v>
      </c>
      <c r="K1221" s="4" t="n">
        <v>13.605</v>
      </c>
      <c r="L1221" s="4" t="n">
        <v>13.72</v>
      </c>
      <c r="M1221" s="7" t="n">
        <v>-0.05</v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3" t="n">
        <v>4471</v>
      </c>
      <c r="F1222" s="8" t="n">
        <v>0.2802</v>
      </c>
      <c r="G1222" s="4" t="n">
        <v>43.8673</v>
      </c>
      <c r="H1222" s="4" t="n">
        <v>41.79</v>
      </c>
      <c r="I1222" s="4" t="n">
        <v>13.715</v>
      </c>
      <c r="J1222" s="4" t="n">
        <v>14.0075</v>
      </c>
      <c r="K1222" s="4" t="n">
        <v>12.91</v>
      </c>
      <c r="L1222" s="4" t="n">
        <v>13.31</v>
      </c>
      <c r="M1222" s="7" t="n">
        <v>-0.0295</v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3" t="n">
        <v>4481</v>
      </c>
      <c r="F1223" s="8" t="n">
        <v>0.3873</v>
      </c>
      <c r="G1223" s="4" t="n">
        <v>59.7589</v>
      </c>
      <c r="H1223" s="4" t="n">
        <v>54.8473</v>
      </c>
      <c r="I1223" s="4" t="n">
        <v>13.3075</v>
      </c>
      <c r="J1223" s="4" t="n">
        <v>14.1225</v>
      </c>
      <c r="K1223" s="4" t="n">
        <v>13.2325</v>
      </c>
      <c r="L1223" s="4" t="n">
        <v>13.91</v>
      </c>
      <c r="M1223" s="7" t="n">
        <v>0.0453</v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4659</v>
      </c>
      <c r="F1224" s="8" t="n">
        <v>0.4383</v>
      </c>
      <c r="G1224" s="4" t="n">
        <v>69.9799</v>
      </c>
      <c r="H1224" s="4" t="n">
        <v>60.0731</v>
      </c>
      <c r="I1224" s="4" t="n">
        <v>13.91</v>
      </c>
      <c r="J1224" s="4" t="n">
        <v>14.36</v>
      </c>
      <c r="K1224" s="4" t="n">
        <v>13.5675</v>
      </c>
      <c r="L1224" s="4" t="n">
        <v>13.76</v>
      </c>
      <c r="M1224" s="7" t="n">
        <v>-0.0108</v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4456</v>
      </c>
      <c r="F1225" s="8" t="n">
        <v>0.3135</v>
      </c>
      <c r="G1225" s="4" t="n">
        <v>56.8458</v>
      </c>
      <c r="H1225" s="4" t="n">
        <v>42.2066</v>
      </c>
      <c r="I1225" s="4" t="n">
        <v>13.7625</v>
      </c>
      <c r="J1225" s="4" t="n">
        <v>14.1975</v>
      </c>
      <c r="K1225" s="4" t="n">
        <v>13.3725</v>
      </c>
      <c r="L1225" s="4" t="n">
        <v>13.83</v>
      </c>
      <c r="M1225" s="7" t="n">
        <v>0.0049</v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4457</v>
      </c>
      <c r="F1226" s="8" t="n">
        <v>0.3117</v>
      </c>
      <c r="G1226" s="4" t="n">
        <v>69.41079999999999</v>
      </c>
      <c r="H1226" s="4" t="n">
        <v>72.1078</v>
      </c>
      <c r="I1226" s="4" t="n">
        <v>13.83</v>
      </c>
      <c r="J1226" s="4" t="n">
        <v>14.13</v>
      </c>
      <c r="K1226" s="4" t="n">
        <v>13.095</v>
      </c>
      <c r="L1226" s="4" t="n">
        <v>13.67</v>
      </c>
      <c r="M1226" s="7" t="n">
        <v>-0.0116</v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4451</v>
      </c>
      <c r="F1227" s="8" t="n">
        <v>0.3195</v>
      </c>
      <c r="G1227" s="4" t="n">
        <v>61.7454</v>
      </c>
      <c r="H1227" s="4" t="n">
        <v>50.049</v>
      </c>
      <c r="I1227" s="4" t="n">
        <v>13.67</v>
      </c>
      <c r="J1227" s="4" t="n">
        <v>14.1775</v>
      </c>
      <c r="K1227" s="4" t="n">
        <v>13.28</v>
      </c>
      <c r="L1227" s="4" t="n">
        <v>13.73</v>
      </c>
      <c r="M1227" s="7" t="n">
        <v>0.0044</v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3" t="n">
        <v>4473</v>
      </c>
      <c r="F1228" s="8" t="n">
        <v>0.2834</v>
      </c>
      <c r="G1228" s="4" t="n">
        <v>54.693</v>
      </c>
      <c r="H1228" s="4" t="n">
        <v>44.2293</v>
      </c>
      <c r="I1228" s="4" t="n">
        <v>13.725</v>
      </c>
      <c r="J1228" s="4" t="n">
        <v>13.86</v>
      </c>
      <c r="K1228" s="4" t="n">
        <v>13.3325</v>
      </c>
      <c r="L1228" s="4" t="n">
        <v>13.47</v>
      </c>
      <c r="M1228" s="7" t="n">
        <v>-0.0186</v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3" t="n">
        <v>4602</v>
      </c>
      <c r="F1229" s="8" t="n">
        <v>0.3133</v>
      </c>
      <c r="G1229" s="4" t="n">
        <v>69.7287</v>
      </c>
      <c r="H1229" s="4" t="n">
        <v>43.8561</v>
      </c>
      <c r="I1229" s="4" t="n">
        <v>13.47</v>
      </c>
      <c r="J1229" s="4" t="n">
        <v>14.2075</v>
      </c>
      <c r="K1229" s="4" t="n">
        <v>13.47</v>
      </c>
      <c r="L1229" s="4" t="n">
        <v>13.99</v>
      </c>
      <c r="M1229" s="7" t="n">
        <v>0.0386</v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3" t="n">
        <v>4482</v>
      </c>
      <c r="F1230" s="8" t="n">
        <v>0.3038</v>
      </c>
      <c r="G1230" s="4" t="n">
        <v>53.5002</v>
      </c>
      <c r="H1230" s="4" t="n">
        <v>44.232</v>
      </c>
      <c r="I1230" s="4" t="n">
        <v>13.985</v>
      </c>
      <c r="J1230" s="4" t="n">
        <v>14.5025</v>
      </c>
      <c r="K1230" s="4" t="n">
        <v>13.675</v>
      </c>
      <c r="L1230" s="4" t="n">
        <v>14.07</v>
      </c>
      <c r="M1230" s="7" t="n">
        <v>0.0061</v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3" t="n">
        <v>4508</v>
      </c>
      <c r="F1231" s="8" t="n">
        <v>0.299</v>
      </c>
      <c r="G1231" s="4" t="n">
        <v>51.7226</v>
      </c>
      <c r="H1231" s="4" t="n">
        <v>48.8336</v>
      </c>
      <c r="I1231" s="4" t="n">
        <v>14.0725</v>
      </c>
      <c r="J1231" s="4" t="n">
        <v>14.3725</v>
      </c>
      <c r="K1231" s="4" t="n">
        <v>13.635</v>
      </c>
      <c r="L1231" s="4" t="n">
        <v>13.69</v>
      </c>
      <c r="M1231" s="7" t="n">
        <v>-0.0272</v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3" t="n">
        <v>4458</v>
      </c>
      <c r="F1232" s="8" t="n">
        <v>0.2615</v>
      </c>
      <c r="G1232" s="4" t="n">
        <v>48.6993</v>
      </c>
      <c r="H1232" s="4" t="n">
        <v>43.8762</v>
      </c>
      <c r="I1232" s="4" t="n">
        <v>13.6925</v>
      </c>
      <c r="J1232" s="4" t="n">
        <v>13.9275</v>
      </c>
      <c r="K1232" s="4" t="n">
        <v>13.2225</v>
      </c>
      <c r="L1232" s="4" t="n">
        <v>13.28</v>
      </c>
      <c r="M1232" s="7" t="n">
        <v>-0.0301</v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4657</v>
      </c>
      <c r="F1233" s="8" t="n">
        <v>0.2787</v>
      </c>
      <c r="G1233" s="4" t="n">
        <v>60.9306</v>
      </c>
      <c r="H1233" s="4" t="n">
        <v>44.2338</v>
      </c>
      <c r="I1233" s="4" t="n">
        <v>13.28</v>
      </c>
      <c r="J1233" s="4" t="n">
        <v>14.0975</v>
      </c>
      <c r="K1233" s="4" t="n">
        <v>13.28</v>
      </c>
      <c r="L1233" s="4" t="n">
        <v>13.42</v>
      </c>
      <c r="M1233" s="7" t="n">
        <v>0.0105</v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4559</v>
      </c>
      <c r="F1234" s="8" t="n">
        <v>0.2914</v>
      </c>
      <c r="G1234" s="4" t="n">
        <v>65.4071</v>
      </c>
      <c r="H1234" s="4" t="n">
        <v>62.2741</v>
      </c>
      <c r="I1234" s="4" t="n">
        <v>13.415</v>
      </c>
      <c r="J1234" s="4" t="n">
        <v>13.6525</v>
      </c>
      <c r="K1234" s="4" t="n">
        <v>11.3425</v>
      </c>
      <c r="L1234" s="4" t="n">
        <v>13.21</v>
      </c>
      <c r="M1234" s="7" t="n">
        <v>-0.0153</v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4540</v>
      </c>
      <c r="F1235" s="8" t="n">
        <v>0.3658</v>
      </c>
      <c r="G1235" s="4" t="n">
        <v>78.20310000000001</v>
      </c>
      <c r="H1235" s="4" t="n">
        <v>64.24890000000001</v>
      </c>
      <c r="I1235" s="4" t="n">
        <v>13.21</v>
      </c>
      <c r="J1235" s="4" t="n">
        <v>13.5725</v>
      </c>
      <c r="K1235" s="4" t="n">
        <v>12.585</v>
      </c>
      <c r="L1235" s="4" t="n">
        <v>13.3</v>
      </c>
      <c r="M1235" s="7" t="n">
        <v>0.0068</v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4531</v>
      </c>
      <c r="F1236" s="8" t="n">
        <v>0.3156</v>
      </c>
      <c r="G1236" s="4" t="n">
        <v>62.7832</v>
      </c>
      <c r="H1236" s="4" t="n">
        <v>56.2895</v>
      </c>
      <c r="I1236" s="4" t="n">
        <v>13.2975</v>
      </c>
      <c r="J1236" s="4" t="n">
        <v>13.2975</v>
      </c>
      <c r="K1236" s="4" t="n">
        <v>12.5125</v>
      </c>
      <c r="L1236" s="4" t="n">
        <v>12.6</v>
      </c>
      <c r="M1236" s="7" t="n">
        <v>-0.0525</v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4550</v>
      </c>
      <c r="F1237" s="8" t="n">
        <v>0.3285</v>
      </c>
      <c r="G1237" s="4" t="n">
        <v>74.6919</v>
      </c>
      <c r="H1237" s="4" t="n">
        <v>70.0645</v>
      </c>
      <c r="I1237" s="4" t="n">
        <v>12.6025</v>
      </c>
      <c r="J1237" s="4" t="n">
        <v>12.835</v>
      </c>
      <c r="K1237" s="4" t="n">
        <v>10.695</v>
      </c>
      <c r="L1237" s="4" t="n">
        <v>12.58</v>
      </c>
      <c r="M1237" s="7" t="n">
        <v>-0.0018</v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3" t="n">
        <v>4705</v>
      </c>
      <c r="F1238" s="8" t="n">
        <v>0.3745</v>
      </c>
      <c r="G1238" s="4" t="n">
        <v>74.4708</v>
      </c>
      <c r="H1238" s="4" t="n">
        <v>67.0253</v>
      </c>
      <c r="I1238" s="4" t="n">
        <v>12.575</v>
      </c>
      <c r="J1238" s="4" t="n">
        <v>13.9525</v>
      </c>
      <c r="K1238" s="4" t="n">
        <v>12.575</v>
      </c>
      <c r="L1238" s="4" t="n">
        <v>13.7</v>
      </c>
      <c r="M1238" s="7" t="n">
        <v>0.0895</v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3" t="n">
        <v>4547</v>
      </c>
      <c r="F1239" s="8" t="n">
        <v>0.3766</v>
      </c>
      <c r="G1239" s="4" t="n">
        <v>75.3022</v>
      </c>
      <c r="H1239" s="4" t="n">
        <v>66.8181</v>
      </c>
      <c r="I1239" s="4" t="n">
        <v>13.7</v>
      </c>
      <c r="J1239" s="4" t="n">
        <v>14.475</v>
      </c>
      <c r="K1239" s="4" t="n">
        <v>13.49</v>
      </c>
      <c r="L1239" s="4" t="n">
        <v>13.64</v>
      </c>
      <c r="M1239" s="7" t="n">
        <v>-0.0044</v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3" t="n">
        <v>4519</v>
      </c>
      <c r="F1240" s="8" t="n">
        <v>0.3294</v>
      </c>
      <c r="G1240" s="4" t="n">
        <v>76.3903</v>
      </c>
      <c r="H1240" s="4" t="n">
        <v>58.8808</v>
      </c>
      <c r="I1240" s="4" t="n">
        <v>13.635</v>
      </c>
      <c r="J1240" s="4" t="n">
        <v>13.915</v>
      </c>
      <c r="K1240" s="4" t="n">
        <v>13.305</v>
      </c>
      <c r="L1240" s="4" t="n">
        <v>13.47</v>
      </c>
      <c r="M1240" s="7" t="n">
        <v>-0.0121</v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3" t="n">
        <v>4487</v>
      </c>
      <c r="F1241" s="8" t="n">
        <v>0.3728</v>
      </c>
      <c r="G1241" s="4" t="n">
        <v>87.5206</v>
      </c>
      <c r="H1241" s="4" t="n">
        <v>66.089</v>
      </c>
      <c r="I1241" s="4" t="n">
        <v>13.47</v>
      </c>
      <c r="J1241" s="4" t="n">
        <v>13.85</v>
      </c>
      <c r="K1241" s="4" t="n">
        <v>12.9775</v>
      </c>
      <c r="L1241" s="4" t="n">
        <v>13.3</v>
      </c>
      <c r="M1241" s="7" t="n">
        <v>-0.0126</v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3" t="n">
        <v>4493</v>
      </c>
      <c r="F1242" s="8" t="n">
        <v>0.3605</v>
      </c>
      <c r="G1242" s="4" t="n">
        <v>81.80110000000001</v>
      </c>
      <c r="H1242" s="4" t="n">
        <v>64.9851</v>
      </c>
      <c r="I1242" s="4" t="n">
        <v>13.3</v>
      </c>
      <c r="J1242" s="4" t="n">
        <v>13.61</v>
      </c>
      <c r="K1242" s="4" t="n">
        <v>12.5725</v>
      </c>
      <c r="L1242" s="4" t="n">
        <v>12.72</v>
      </c>
      <c r="M1242" s="7" t="n">
        <v>-0.0436</v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4569</v>
      </c>
      <c r="F1243" s="8" t="n">
        <v>0.2863</v>
      </c>
      <c r="G1243" s="4" t="n">
        <v>80.2039</v>
      </c>
      <c r="H1243" s="4" t="n">
        <v>46.1214</v>
      </c>
      <c r="I1243" s="4" t="n">
        <v>12.7175</v>
      </c>
      <c r="J1243" s="4" t="n">
        <v>14.0525</v>
      </c>
      <c r="K1243" s="4" t="n">
        <v>12.7175</v>
      </c>
      <c r="L1243" s="4" t="n">
        <v>13.78</v>
      </c>
      <c r="M1243" s="7" t="n">
        <v>0.0835</v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4461</v>
      </c>
      <c r="F1244" s="8" t="n">
        <v>0.2663</v>
      </c>
      <c r="G1244" s="4" t="n">
        <v>55.2211</v>
      </c>
      <c r="H1244" s="4" t="n">
        <v>47.119</v>
      </c>
      <c r="I1244" s="4" t="n">
        <v>13.7825</v>
      </c>
      <c r="J1244" s="4" t="n">
        <v>14.1425</v>
      </c>
      <c r="K1244" s="4" t="n">
        <v>13.5125</v>
      </c>
      <c r="L1244" s="4" t="n">
        <v>13.72</v>
      </c>
      <c r="M1244" s="7" t="n">
        <v>-0.0045</v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3" t="n">
        <v>4485</v>
      </c>
      <c r="F1245" s="8" t="n">
        <v>0.307</v>
      </c>
      <c r="G1245" s="4" t="n">
        <v>60.2635</v>
      </c>
      <c r="H1245" s="4" t="n">
        <v>52.3783</v>
      </c>
      <c r="I1245" s="4" t="n">
        <v>13.7225</v>
      </c>
      <c r="J1245" s="4" t="n">
        <v>14.1075</v>
      </c>
      <c r="K1245" s="4" t="n">
        <v>13.41</v>
      </c>
      <c r="L1245" s="4" t="n">
        <v>13.6</v>
      </c>
      <c r="M1245" s="7" t="n">
        <v>-0.0089</v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3" t="n">
        <v>4447</v>
      </c>
      <c r="F1246" s="8" t="n">
        <v>0.3978</v>
      </c>
      <c r="G1246" s="4" t="n">
        <v>58.993</v>
      </c>
      <c r="H1246" s="4" t="n">
        <v>56.7019</v>
      </c>
      <c r="I1246" s="4" t="n">
        <v>13.6</v>
      </c>
      <c r="J1246" s="4" t="n">
        <v>14.2475</v>
      </c>
      <c r="K1246" s="4" t="n">
        <v>13.395</v>
      </c>
      <c r="L1246" s="4" t="n">
        <v>13.76</v>
      </c>
      <c r="M1246" s="7" t="n">
        <v>0.0118</v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3" t="n">
        <v>4670</v>
      </c>
      <c r="F1247" s="8" t="n">
        <v>0.5557</v>
      </c>
      <c r="G1247" s="4" t="n">
        <v>72.6289</v>
      </c>
      <c r="H1247" s="4" t="n">
        <v>84.6225</v>
      </c>
      <c r="I1247" s="4" t="n">
        <v>13.755</v>
      </c>
      <c r="J1247" s="4" t="n">
        <v>23.1875</v>
      </c>
      <c r="K1247" s="4" t="n">
        <v>13.755</v>
      </c>
      <c r="L1247" s="4" t="n">
        <v>22.79</v>
      </c>
      <c r="M1247" s="7" t="n">
        <v>0.6569</v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3" t="n">
        <v>4457</v>
      </c>
      <c r="F1248" s="8" t="n">
        <v>0.3149</v>
      </c>
      <c r="G1248" s="4" t="n">
        <v>48.1273</v>
      </c>
      <c r="H1248" s="4" t="n">
        <v>51.2707</v>
      </c>
      <c r="I1248" s="4" t="n">
        <v>22.7925</v>
      </c>
      <c r="J1248" s="4" t="n">
        <v>22.7925</v>
      </c>
      <c r="K1248" s="4" t="n">
        <v>19.3825</v>
      </c>
      <c r="L1248" s="4" t="n">
        <v>20.44</v>
      </c>
      <c r="M1248" s="7" t="n">
        <v>-0.1032</v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3" t="n">
        <v>4415</v>
      </c>
      <c r="F1249" s="8" t="n">
        <v>0.262</v>
      </c>
      <c r="G1249" s="4" t="n">
        <v>36.1</v>
      </c>
      <c r="H1249" s="4" t="n">
        <v>36.0489</v>
      </c>
      <c r="I1249" s="4" t="n">
        <v>20.4425</v>
      </c>
      <c r="J1249" s="4" t="n">
        <v>21.7475</v>
      </c>
      <c r="K1249" s="4" t="n">
        <v>19.6975</v>
      </c>
      <c r="L1249" s="4" t="n">
        <v>21.43</v>
      </c>
      <c r="M1249" s="7" t="n">
        <v>0.0483</v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3" t="n">
        <v>4488</v>
      </c>
      <c r="F1250" s="8" t="n">
        <v>0.2964</v>
      </c>
      <c r="G1250" s="4" t="n">
        <v>53.4172</v>
      </c>
      <c r="H1250" s="4" t="n">
        <v>53.0855</v>
      </c>
      <c r="I1250" s="4" t="n">
        <v>21.43</v>
      </c>
      <c r="J1250" s="4" t="n">
        <v>21.43</v>
      </c>
      <c r="K1250" s="4" t="n">
        <v>18.855</v>
      </c>
      <c r="L1250" s="4" t="n">
        <v>20.11</v>
      </c>
      <c r="M1250" s="7" t="n">
        <v>-0.0616</v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3" t="n">
        <v>4689</v>
      </c>
      <c r="F1251" s="8" t="n">
        <v>0.2929</v>
      </c>
      <c r="G1251" s="4" t="n">
        <v>52.8693</v>
      </c>
      <c r="H1251" s="4" t="n">
        <v>56.1709</v>
      </c>
      <c r="I1251" s="4" t="n">
        <v>20.1075</v>
      </c>
      <c r="J1251" s="4" t="n">
        <v>20.1075</v>
      </c>
      <c r="K1251" s="4" t="n">
        <v>15.9725</v>
      </c>
      <c r="L1251" s="4" t="n">
        <v>16.13</v>
      </c>
      <c r="M1251" s="7" t="n">
        <v>-0.1978</v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3" t="n">
        <v>4457</v>
      </c>
      <c r="F1252" s="8" t="n">
        <v>0.2934</v>
      </c>
      <c r="G1252" s="4" t="n">
        <v>51.7749</v>
      </c>
      <c r="H1252" s="4" t="n">
        <v>53.5986</v>
      </c>
      <c r="I1252" s="4" t="n">
        <v>16.125</v>
      </c>
      <c r="J1252" s="4" t="n">
        <v>16.125</v>
      </c>
      <c r="K1252" s="4" t="n">
        <v>15.115</v>
      </c>
      <c r="L1252" s="4" t="n">
        <v>15.87</v>
      </c>
      <c r="M1252" s="7" t="n">
        <v>-0.0158</v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3" t="n">
        <v>4502</v>
      </c>
      <c r="F1253" s="8" t="n">
        <v>0.3078</v>
      </c>
      <c r="G1253" s="4" t="n">
        <v>54.6612</v>
      </c>
      <c r="H1253" s="4" t="n">
        <v>59.538</v>
      </c>
      <c r="I1253" s="4" t="n">
        <v>15.865</v>
      </c>
      <c r="J1253" s="4" t="n">
        <v>16.4625</v>
      </c>
      <c r="K1253" s="4" t="n">
        <v>15.09</v>
      </c>
      <c r="L1253" s="4" t="n">
        <v>15.47</v>
      </c>
      <c r="M1253" s="7" t="n">
        <v>-0.0249</v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4659</v>
      </c>
      <c r="F1254" s="8" t="n">
        <v>0.3359</v>
      </c>
      <c r="G1254" s="4" t="n">
        <v>76.23690000000001</v>
      </c>
      <c r="H1254" s="4" t="n">
        <v>65.5577</v>
      </c>
      <c r="I1254" s="4" t="n">
        <v>15.4675</v>
      </c>
      <c r="J1254" s="4" t="n">
        <v>16.3325</v>
      </c>
      <c r="K1254" s="4" t="n">
        <v>14.2175</v>
      </c>
      <c r="L1254" s="4" t="n">
        <v>15.52</v>
      </c>
      <c r="M1254" s="7" t="n">
        <v>0.0034</v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4534</v>
      </c>
      <c r="F1255" s="8" t="n">
        <v>0.3321</v>
      </c>
      <c r="G1255" s="4" t="n">
        <v>70.9834</v>
      </c>
      <c r="H1255" s="4" t="n">
        <v>70.27930000000001</v>
      </c>
      <c r="I1255" s="4" t="n">
        <v>15.515</v>
      </c>
      <c r="J1255" s="4" t="n">
        <v>16.0075</v>
      </c>
      <c r="K1255" s="4" t="n">
        <v>14.54</v>
      </c>
      <c r="L1255" s="4" t="n">
        <v>15.23</v>
      </c>
      <c r="M1255" s="7" t="n">
        <v>-0.0184</v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4502</v>
      </c>
      <c r="F1256" s="8" t="n">
        <v>0.3293</v>
      </c>
      <c r="G1256" s="4" t="n">
        <v>61.9348</v>
      </c>
      <c r="H1256" s="4" t="n">
        <v>67.8364</v>
      </c>
      <c r="I1256" s="4" t="n">
        <v>15.23</v>
      </c>
      <c r="J1256" s="4" t="n">
        <v>16.5175</v>
      </c>
      <c r="K1256" s="4" t="n">
        <v>12.8425</v>
      </c>
      <c r="L1256" s="4" t="n">
        <v>15.96</v>
      </c>
      <c r="M1256" s="7" t="n">
        <v>0.0479</v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3" t="n">
        <v>4434</v>
      </c>
      <c r="F1257" s="8" t="n">
        <v>0.3022</v>
      </c>
      <c r="G1257" s="4" t="n">
        <v>58.0957</v>
      </c>
      <c r="H1257" s="4" t="n">
        <v>59.2968</v>
      </c>
      <c r="I1257" s="4" t="n">
        <v>15.96</v>
      </c>
      <c r="J1257" s="4" t="n">
        <v>16.7625</v>
      </c>
      <c r="K1257" s="4" t="n">
        <v>15.5525</v>
      </c>
      <c r="L1257" s="4" t="n">
        <v>16.25</v>
      </c>
      <c r="M1257" s="7" t="n">
        <v>0.0182</v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3" t="n">
        <v>4418</v>
      </c>
      <c r="F1258" s="8" t="n">
        <v>0.4194</v>
      </c>
      <c r="G1258" s="4" t="n">
        <v>79.4629</v>
      </c>
      <c r="H1258" s="4" t="n">
        <v>77.5671</v>
      </c>
      <c r="I1258" s="4" t="n">
        <v>16.25</v>
      </c>
      <c r="J1258" s="4" t="n">
        <v>17.575</v>
      </c>
      <c r="K1258" s="4" t="n">
        <v>15.915</v>
      </c>
      <c r="L1258" s="4" t="n">
        <v>17.16</v>
      </c>
      <c r="M1258" s="7" t="n">
        <v>0.056</v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3" t="n">
        <v>4586</v>
      </c>
      <c r="F1259" s="8" t="n">
        <v>0.3052</v>
      </c>
      <c r="G1259" s="4" t="n">
        <v>57.6165</v>
      </c>
      <c r="H1259" s="4" t="n">
        <v>56.427</v>
      </c>
      <c r="I1259" s="4" t="n">
        <v>17.1575</v>
      </c>
      <c r="J1259" s="4" t="n">
        <v>18.0725</v>
      </c>
      <c r="K1259" s="4" t="n">
        <v>16.6225</v>
      </c>
      <c r="L1259" s="4" t="n">
        <v>16.94</v>
      </c>
      <c r="M1259" s="7" t="n">
        <v>-0.0127</v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3" t="n">
        <v>4423</v>
      </c>
      <c r="F1260" s="8" t="n">
        <v>0.3128</v>
      </c>
      <c r="G1260" s="4" t="n">
        <v>69.4012</v>
      </c>
      <c r="H1260" s="4" t="n">
        <v>75.62269999999999</v>
      </c>
      <c r="I1260" s="4" t="n">
        <v>16.94</v>
      </c>
      <c r="J1260" s="4" t="n">
        <v>17.585</v>
      </c>
      <c r="K1260" s="4" t="n">
        <v>16.065</v>
      </c>
      <c r="L1260" s="4" t="n">
        <v>17.37</v>
      </c>
      <c r="M1260" s="7" t="n">
        <v>0.0254</v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3" t="n">
        <v>4418</v>
      </c>
      <c r="F1261" s="8" t="n">
        <v>0.3104</v>
      </c>
      <c r="G1261" s="4" t="n">
        <v>63.8156</v>
      </c>
      <c r="H1261" s="4" t="n">
        <v>59.8621</v>
      </c>
      <c r="I1261" s="4" t="n">
        <v>17.37</v>
      </c>
      <c r="J1261" s="4" t="n">
        <v>18.56</v>
      </c>
      <c r="K1261" s="4" t="n">
        <v>15.985</v>
      </c>
      <c r="L1261" s="4" t="n">
        <v>18.22</v>
      </c>
      <c r="M1261" s="7" t="n">
        <v>0.0489</v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4465</v>
      </c>
      <c r="F1262" s="8" t="n">
        <v>0.2835</v>
      </c>
      <c r="G1262" s="4" t="n">
        <v>62.6595</v>
      </c>
      <c r="H1262" s="4" t="n">
        <v>67.6964</v>
      </c>
      <c r="I1262" s="4" t="n">
        <v>18.2225</v>
      </c>
      <c r="J1262" s="4" t="n">
        <v>18.8625</v>
      </c>
      <c r="K1262" s="4" t="n">
        <v>17.35</v>
      </c>
      <c r="L1262" s="4" t="n">
        <v>18.26</v>
      </c>
      <c r="M1262" s="7" t="n">
        <v>0.0021</v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4628</v>
      </c>
      <c r="F1263" s="8" t="n">
        <v>0.2952</v>
      </c>
      <c r="G1263" s="4" t="n">
        <v>59.7031</v>
      </c>
      <c r="H1263" s="4" t="n">
        <v>61.3207</v>
      </c>
      <c r="I1263" s="4" t="n">
        <v>18.2575</v>
      </c>
      <c r="J1263" s="4" t="n">
        <v>18.795</v>
      </c>
      <c r="K1263" s="4" t="n">
        <v>18.0675</v>
      </c>
      <c r="L1263" s="4" t="n">
        <v>18.34</v>
      </c>
      <c r="M1263" s="7" t="n">
        <v>0.0045</v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4422</v>
      </c>
      <c r="F1264" s="8" t="n">
        <v>0.3431</v>
      </c>
      <c r="G1264" s="4" t="n">
        <v>64.98520000000001</v>
      </c>
      <c r="H1264" s="4" t="n">
        <v>58.3123</v>
      </c>
      <c r="I1264" s="4" t="n">
        <v>18.3375</v>
      </c>
      <c r="J1264" s="4" t="n">
        <v>19.3025</v>
      </c>
      <c r="K1264" s="4" t="n">
        <v>17.9875</v>
      </c>
      <c r="L1264" s="4" t="n">
        <v>19</v>
      </c>
      <c r="M1264" s="7" t="n">
        <v>0.0361</v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4400</v>
      </c>
      <c r="F1265" s="8" t="n">
        <v>0.2905</v>
      </c>
      <c r="G1265" s="4" t="n">
        <v>66.8917</v>
      </c>
      <c r="H1265" s="4" t="n">
        <v>53.1474</v>
      </c>
      <c r="I1265" s="4" t="n">
        <v>18.995</v>
      </c>
      <c r="J1265" s="4" t="n">
        <v>19.73</v>
      </c>
      <c r="K1265" s="4" t="n">
        <v>18.365</v>
      </c>
      <c r="L1265" s="4" t="n">
        <v>19.06</v>
      </c>
      <c r="M1265" s="7" t="n">
        <v>0.0034</v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4374</v>
      </c>
      <c r="F1266" s="8" t="n">
        <v>0.317</v>
      </c>
      <c r="G1266" s="4" t="n">
        <v>63.5801</v>
      </c>
      <c r="H1266" s="4" t="n">
        <v>53.6313</v>
      </c>
      <c r="I1266" s="4" t="n">
        <v>19.06</v>
      </c>
      <c r="J1266" s="4" t="n">
        <v>21.8925</v>
      </c>
      <c r="K1266" s="4" t="n">
        <v>18.1525</v>
      </c>
      <c r="L1266" s="4" t="n">
        <v>21.01</v>
      </c>
      <c r="M1266" s="7" t="n">
        <v>0.1023</v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4339</v>
      </c>
      <c r="F1267" s="8" t="n">
        <v>0.2996</v>
      </c>
      <c r="G1267" s="4" t="n">
        <v>74.62860000000001</v>
      </c>
      <c r="H1267" s="4" t="n">
        <v>63.3641</v>
      </c>
      <c r="I1267" s="4" t="n">
        <v>21.0075</v>
      </c>
      <c r="J1267" s="4" t="n">
        <v>22.7475</v>
      </c>
      <c r="K1267" s="4" t="n">
        <v>21.0025</v>
      </c>
      <c r="L1267" s="4" t="n">
        <v>21.63</v>
      </c>
      <c r="M1267" s="7" t="n">
        <v>0.0296</v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4602</v>
      </c>
      <c r="F1268" s="8" t="n">
        <v>0.3646</v>
      </c>
      <c r="G1268" s="4" t="n">
        <v>79.02500000000001</v>
      </c>
      <c r="H1268" s="4" t="n">
        <v>68.58580000000001</v>
      </c>
      <c r="I1268" s="4" t="n">
        <v>21.6325</v>
      </c>
      <c r="J1268" s="4" t="n">
        <v>21.6325</v>
      </c>
      <c r="K1268" s="4" t="n">
        <v>17.2075</v>
      </c>
      <c r="L1268" s="4" t="n">
        <v>18.39</v>
      </c>
      <c r="M1268" s="7" t="n">
        <v>-0.1499</v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4478</v>
      </c>
      <c r="F1269" s="8" t="n">
        <v>0.3534</v>
      </c>
      <c r="G1269" s="4" t="n">
        <v>78.7684</v>
      </c>
      <c r="H1269" s="4" t="n">
        <v>105.5146</v>
      </c>
      <c r="I1269" s="4" t="n">
        <v>18.3925</v>
      </c>
      <c r="J1269" s="4" t="n">
        <v>18.9025</v>
      </c>
      <c r="K1269" s="4" t="n">
        <v>17.8925</v>
      </c>
      <c r="L1269" s="4" t="n">
        <v>18.2</v>
      </c>
      <c r="M1269" s="7" t="n">
        <v>-0.0105</v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4461</v>
      </c>
      <c r="F1270" s="8" t="n">
        <v>0.3643</v>
      </c>
      <c r="G1270" s="4" t="n">
        <v>80.4122</v>
      </c>
      <c r="H1270" s="4" t="n">
        <v>83.94880000000001</v>
      </c>
      <c r="I1270" s="4" t="n">
        <v>18.2</v>
      </c>
      <c r="J1270" s="4" t="n">
        <v>19.2425</v>
      </c>
      <c r="K1270" s="4" t="n">
        <v>17.0825</v>
      </c>
      <c r="L1270" s="4" t="n">
        <v>17.23</v>
      </c>
      <c r="M1270" s="7" t="n">
        <v>-0.0533</v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4456</v>
      </c>
      <c r="F1271" s="8" t="n">
        <v>0.3666</v>
      </c>
      <c r="G1271" s="4" t="n">
        <v>84.9016</v>
      </c>
      <c r="H1271" s="4" t="n">
        <v>79.6955</v>
      </c>
      <c r="I1271" s="4" t="n">
        <v>17.225</v>
      </c>
      <c r="J1271" s="4" t="n">
        <v>17.6725</v>
      </c>
      <c r="K1271" s="4" t="n">
        <v>16.72</v>
      </c>
      <c r="L1271" s="4" t="n">
        <v>16.89</v>
      </c>
      <c r="M1271" s="7" t="n">
        <v>-0.0194</v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4483</v>
      </c>
      <c r="F1272" s="8" t="n">
        <v>0.4007</v>
      </c>
      <c r="G1272" s="4" t="n">
        <v>84.3008</v>
      </c>
      <c r="H1272" s="4" t="n">
        <v>106.9918</v>
      </c>
      <c r="I1272" s="4" t="n">
        <v>16.8925</v>
      </c>
      <c r="J1272" s="4" t="n">
        <v>17.055</v>
      </c>
      <c r="K1272" s="4" t="n">
        <v>16.215</v>
      </c>
      <c r="L1272" s="4" t="n">
        <v>16.55</v>
      </c>
      <c r="M1272" s="7" t="n">
        <v>-0.0203</v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4626</v>
      </c>
      <c r="F1273" s="8" t="n">
        <v>0.4118</v>
      </c>
      <c r="G1273" s="4" t="n">
        <v>101.0248</v>
      </c>
      <c r="H1273" s="4" t="n">
        <v>86.3047</v>
      </c>
      <c r="I1273" s="4" t="n">
        <v>16.55</v>
      </c>
      <c r="J1273" s="4" t="n">
        <v>17.4475</v>
      </c>
      <c r="K1273" s="4" t="n">
        <v>15.8275</v>
      </c>
      <c r="L1273" s="4" t="n">
        <v>17.36</v>
      </c>
      <c r="M1273" s="7" t="n">
        <v>0.0489</v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4486</v>
      </c>
      <c r="F1274" s="8" t="n">
        <v>0.3881</v>
      </c>
      <c r="G1274" s="4" t="n">
        <v>81.6828</v>
      </c>
      <c r="H1274" s="4" t="n">
        <v>78.7544</v>
      </c>
      <c r="I1274" s="4" t="n">
        <v>17.355</v>
      </c>
      <c r="J1274" s="4" t="n">
        <v>17.66</v>
      </c>
      <c r="K1274" s="4" t="n">
        <v>15.9675</v>
      </c>
      <c r="L1274" s="4" t="n">
        <v>17.39</v>
      </c>
      <c r="M1274" s="7" t="n">
        <v>0.002</v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4482</v>
      </c>
      <c r="F1275" s="8" t="n">
        <v>0.3342</v>
      </c>
      <c r="G1275" s="4" t="n">
        <v>72.6433</v>
      </c>
      <c r="H1275" s="4" t="n">
        <v>78.4408</v>
      </c>
      <c r="I1275" s="4" t="n">
        <v>17.385</v>
      </c>
      <c r="J1275" s="4" t="n">
        <v>17.9975</v>
      </c>
      <c r="K1275" s="4" t="n">
        <v>17.0425</v>
      </c>
      <c r="L1275" s="4" t="n">
        <v>17.55</v>
      </c>
      <c r="M1275" s="7" t="n">
        <v>0.0095</v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4438</v>
      </c>
      <c r="F1276" s="8" t="n">
        <v>0.3406</v>
      </c>
      <c r="G1276" s="4" t="n">
        <v>61.6049</v>
      </c>
      <c r="H1276" s="4" t="n">
        <v>72.0641</v>
      </c>
      <c r="I1276" s="4" t="n">
        <v>17.5475</v>
      </c>
      <c r="J1276" s="4" t="n">
        <v>18.2025</v>
      </c>
      <c r="K1276" s="4" t="n">
        <v>16.705</v>
      </c>
      <c r="L1276" s="4" t="n">
        <v>17.26</v>
      </c>
      <c r="M1276" s="7" t="n">
        <v>-0.0164</v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4441</v>
      </c>
      <c r="F1277" s="8" t="n">
        <v>0.3423</v>
      </c>
      <c r="G1277" s="4" t="n">
        <v>68.6874</v>
      </c>
      <c r="H1277" s="4" t="n">
        <v>75.5214</v>
      </c>
      <c r="I1277" s="4" t="n">
        <v>17.2575</v>
      </c>
      <c r="J1277" s="4" t="n">
        <v>17.5225</v>
      </c>
      <c r="K1277" s="4" t="n">
        <v>15.485</v>
      </c>
      <c r="L1277" s="4" t="n">
        <v>17.28</v>
      </c>
      <c r="M1277" s="7" t="n">
        <v>0.0013</v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3" t="n">
        <v>4601</v>
      </c>
      <c r="F1278" s="8" t="n">
        <v>0.3406</v>
      </c>
      <c r="G1278" s="4" t="n">
        <v>72.5626</v>
      </c>
      <c r="H1278" s="4" t="n">
        <v>67.746</v>
      </c>
      <c r="I1278" s="4" t="n">
        <v>17.2775</v>
      </c>
      <c r="J1278" s="4" t="n">
        <v>18.4125</v>
      </c>
      <c r="K1278" s="4" t="n">
        <v>16.0575</v>
      </c>
      <c r="L1278" s="4" t="n">
        <v>18.02</v>
      </c>
      <c r="M1278" s="7" t="n">
        <v>0.043</v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3" t="n">
        <v>4467</v>
      </c>
      <c r="F1279" s="8" t="n">
        <v>0.338</v>
      </c>
      <c r="G1279" s="4" t="n">
        <v>67.6621</v>
      </c>
      <c r="H1279" s="4" t="n">
        <v>94.16160000000001</v>
      </c>
      <c r="I1279" s="4" t="n">
        <v>18.02</v>
      </c>
      <c r="J1279" s="4" t="n">
        <v>19.185</v>
      </c>
      <c r="K1279" s="4" t="n">
        <v>17.42</v>
      </c>
      <c r="L1279" s="4" t="n">
        <v>18.54</v>
      </c>
      <c r="M1279" s="7" t="n">
        <v>0.0289</v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3" t="n">
        <v>4440</v>
      </c>
      <c r="F1280" s="8" t="n">
        <v>0.3664</v>
      </c>
      <c r="G1280" s="4" t="n">
        <v>89.6658</v>
      </c>
      <c r="H1280" s="4" t="n">
        <v>74.0382</v>
      </c>
      <c r="I1280" s="4" t="n">
        <v>18.535</v>
      </c>
      <c r="J1280" s="4" t="n">
        <v>19.035</v>
      </c>
      <c r="K1280" s="4" t="n">
        <v>17.875</v>
      </c>
      <c r="L1280" s="4" t="n">
        <v>18.02</v>
      </c>
      <c r="M1280" s="7" t="n">
        <v>-0.0278</v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3" t="n">
        <v>4444</v>
      </c>
      <c r="F1281" s="8" t="n">
        <v>0.3331</v>
      </c>
      <c r="G1281" s="4" t="n">
        <v>83.25149999999999</v>
      </c>
      <c r="H1281" s="4" t="n">
        <v>67.2308</v>
      </c>
      <c r="I1281" s="4" t="n">
        <v>18.0175</v>
      </c>
      <c r="J1281" s="4" t="n">
        <v>18.0175</v>
      </c>
      <c r="K1281" s="4" t="n">
        <v>16.2075</v>
      </c>
      <c r="L1281" s="4" t="n">
        <v>16.42</v>
      </c>
      <c r="M1281" s="7" t="n">
        <v>-0.0887</v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3" t="n">
        <v>4482</v>
      </c>
      <c r="F1282" s="8" t="n">
        <v>0.4042</v>
      </c>
      <c r="G1282" s="4" t="n">
        <v>110.0697</v>
      </c>
      <c r="H1282" s="4" t="n">
        <v>86.10420000000001</v>
      </c>
      <c r="I1282" s="4" t="n">
        <v>16.42</v>
      </c>
      <c r="J1282" s="4" t="n">
        <v>16.545</v>
      </c>
      <c r="K1282" s="4" t="n">
        <v>15.2875</v>
      </c>
      <c r="L1282" s="4" t="n">
        <v>16.08</v>
      </c>
      <c r="M1282" s="7" t="n">
        <v>-0.0207</v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4662</v>
      </c>
      <c r="F1283" s="8" t="n">
        <v>0.4018</v>
      </c>
      <c r="G1283" s="4" t="n">
        <v>133.1764</v>
      </c>
      <c r="H1283" s="4" t="n">
        <v>92.93559999999999</v>
      </c>
      <c r="I1283" s="4" t="n">
        <v>16.0775</v>
      </c>
      <c r="J1283" s="4" t="n">
        <v>17.7275</v>
      </c>
      <c r="K1283" s="4" t="n">
        <v>16.0775</v>
      </c>
      <c r="L1283" s="4" t="n">
        <v>17.16</v>
      </c>
      <c r="M1283" s="7" t="n">
        <v>0.0673</v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4556</v>
      </c>
      <c r="F1284" s="8" t="n">
        <v>0.3973</v>
      </c>
      <c r="G1284" s="4" t="n">
        <v>218.5569</v>
      </c>
      <c r="H1284" s="4" t="n">
        <v>117.2258</v>
      </c>
      <c r="I1284" s="4" t="n">
        <v>17.1575</v>
      </c>
      <c r="J1284" s="4" t="n">
        <v>17.7275</v>
      </c>
      <c r="K1284" s="4" t="n">
        <v>16.2575</v>
      </c>
      <c r="L1284" s="4" t="n">
        <v>16.56</v>
      </c>
      <c r="M1284" s="7" t="n">
        <v>-0.0348</v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4524</v>
      </c>
      <c r="F1285" s="8" t="n">
        <v>0.3301</v>
      </c>
      <c r="G1285" s="4" t="n">
        <v>97.7574</v>
      </c>
      <c r="H1285" s="4" t="n">
        <v>94.1328</v>
      </c>
      <c r="I1285" s="4" t="n">
        <v>16.555</v>
      </c>
      <c r="J1285" s="4" t="n">
        <v>17.06</v>
      </c>
      <c r="K1285" s="4" t="n">
        <v>15.63</v>
      </c>
      <c r="L1285" s="4" t="n">
        <v>15.75</v>
      </c>
      <c r="M1285" s="7" t="n">
        <v>-0.0486</v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4515</v>
      </c>
      <c r="F1286" s="8" t="n">
        <v>0.358</v>
      </c>
      <c r="G1286" s="4" t="n">
        <v>91.2672</v>
      </c>
      <c r="H1286" s="4" t="n">
        <v>77.9522</v>
      </c>
      <c r="I1286" s="4" t="n">
        <v>15.745</v>
      </c>
      <c r="J1286" s="4" t="n">
        <v>15.9325</v>
      </c>
      <c r="K1286" s="4" t="n">
        <v>14.9825</v>
      </c>
      <c r="L1286" s="4" t="n">
        <v>15.08</v>
      </c>
      <c r="M1286" s="7" t="n">
        <v>-0.0422</v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4573</v>
      </c>
      <c r="F1287" s="8" t="n">
        <v>0.3887</v>
      </c>
      <c r="G1287" s="4" t="n">
        <v>102.0702</v>
      </c>
      <c r="H1287" s="4" t="n">
        <v>88.8017</v>
      </c>
      <c r="I1287" s="4" t="n">
        <v>15.0825</v>
      </c>
      <c r="J1287" s="4" t="n">
        <v>15.61</v>
      </c>
      <c r="K1287" s="4" t="n">
        <v>14.3675</v>
      </c>
      <c r="L1287" s="4" t="n">
        <v>14.63</v>
      </c>
      <c r="M1287" s="7" t="n">
        <v>-0.03</v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4786</v>
      </c>
      <c r="F1288" s="8" t="n">
        <v>0.4101</v>
      </c>
      <c r="G1288" s="4" t="n">
        <v>114.9932</v>
      </c>
      <c r="H1288" s="4" t="n">
        <v>81.77719999999999</v>
      </c>
      <c r="I1288" s="4" t="n">
        <v>14.63</v>
      </c>
      <c r="J1288" s="4" t="n">
        <v>15.52</v>
      </c>
      <c r="K1288" s="4" t="n">
        <v>14.63</v>
      </c>
      <c r="L1288" s="4" t="n">
        <v>14.69</v>
      </c>
      <c r="M1288" s="7" t="n">
        <v>0.0041</v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4568</v>
      </c>
      <c r="F1289" s="8" t="n">
        <v>0.3893</v>
      </c>
      <c r="G1289" s="4" t="n">
        <v>101.9727</v>
      </c>
      <c r="H1289" s="4" t="n">
        <v>94.3633</v>
      </c>
      <c r="I1289" s="4" t="n">
        <v>14.6925</v>
      </c>
      <c r="J1289" s="4" t="n">
        <v>14.74</v>
      </c>
      <c r="K1289" s="4" t="n">
        <v>13.9325</v>
      </c>
      <c r="L1289" s="4" t="n">
        <v>14.02</v>
      </c>
      <c r="M1289" s="7" t="n">
        <v>-0.0458</v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4581</v>
      </c>
      <c r="F1290" s="8" t="n">
        <v>0.4004</v>
      </c>
      <c r="G1290" s="4" t="n">
        <v>126.837</v>
      </c>
      <c r="H1290" s="4" t="n">
        <v>87.1459</v>
      </c>
      <c r="I1290" s="4" t="n">
        <v>14.015</v>
      </c>
      <c r="J1290" s="4" t="n">
        <v>14.155</v>
      </c>
      <c r="K1290" s="4" t="n">
        <v>13.5575</v>
      </c>
      <c r="L1290" s="4" t="n">
        <v>13.67</v>
      </c>
      <c r="M1290" s="7" t="n">
        <v>-0.0246</v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4488</v>
      </c>
      <c r="F1291" s="8" t="n">
        <v>0.3455</v>
      </c>
      <c r="G1291" s="4" t="n">
        <v>100.6387</v>
      </c>
      <c r="H1291" s="4" t="n">
        <v>70.0677</v>
      </c>
      <c r="I1291" s="4" t="n">
        <v>13.6675</v>
      </c>
      <c r="J1291" s="4" t="n">
        <v>14.2725</v>
      </c>
      <c r="K1291" s="4" t="n">
        <v>13.13</v>
      </c>
      <c r="L1291" s="4" t="n">
        <v>14.02</v>
      </c>
      <c r="M1291" s="7" t="n">
        <v>0.0258</v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4503</v>
      </c>
      <c r="F1292" s="8" t="n">
        <v>0.3582</v>
      </c>
      <c r="G1292" s="4" t="n">
        <v>93.0904</v>
      </c>
      <c r="H1292" s="4" t="n">
        <v>69.7461</v>
      </c>
      <c r="I1292" s="4" t="n">
        <v>14.015</v>
      </c>
      <c r="J1292" s="4" t="n">
        <v>15.975</v>
      </c>
      <c r="K1292" s="4" t="n">
        <v>14.015</v>
      </c>
      <c r="L1292" s="4" t="n">
        <v>15.08</v>
      </c>
      <c r="M1292" s="7" t="n">
        <v>0.076</v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4639</v>
      </c>
      <c r="F1293" s="8" t="n">
        <v>0.3434</v>
      </c>
      <c r="G1293" s="4" t="n">
        <v>88.7337</v>
      </c>
      <c r="H1293" s="4" t="n">
        <v>67.4362</v>
      </c>
      <c r="I1293" s="4" t="n">
        <v>15.08</v>
      </c>
      <c r="J1293" s="4" t="n">
        <v>15.4725</v>
      </c>
      <c r="K1293" s="4" t="n">
        <v>14.5525</v>
      </c>
      <c r="L1293" s="4" t="n">
        <v>14.84</v>
      </c>
      <c r="M1293" s="7" t="n">
        <v>-0.0159</v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4478</v>
      </c>
      <c r="F1294" s="8" t="n">
        <v>0.3394</v>
      </c>
      <c r="G1294" s="4" t="n">
        <v>105.0419</v>
      </c>
      <c r="H1294" s="4" t="n">
        <v>82.36360000000001</v>
      </c>
      <c r="I1294" s="4" t="n">
        <v>14.8375</v>
      </c>
      <c r="J1294" s="4" t="n">
        <v>15.0225</v>
      </c>
      <c r="K1294" s="4" t="n">
        <v>14.3</v>
      </c>
      <c r="L1294" s="4" t="n">
        <v>14.4</v>
      </c>
      <c r="M1294" s="7" t="n">
        <v>-0.0295</v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4457</v>
      </c>
      <c r="F1295" s="8" t="n">
        <v>0.3002</v>
      </c>
      <c r="G1295" s="4" t="n">
        <v>76.3535</v>
      </c>
      <c r="H1295" s="4" t="n">
        <v>55.0696</v>
      </c>
      <c r="I1295" s="4" t="n">
        <v>14.4025</v>
      </c>
      <c r="J1295" s="4" t="n">
        <v>14.8175</v>
      </c>
      <c r="K1295" s="4" t="n">
        <v>14.105</v>
      </c>
      <c r="L1295" s="4" t="n">
        <v>14.28</v>
      </c>
      <c r="M1295" s="7" t="n">
        <v>-0.008500000000000001</v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4464</v>
      </c>
      <c r="F1296" s="8" t="n">
        <v>0.3178</v>
      </c>
      <c r="G1296" s="4" t="n">
        <v>73.3108</v>
      </c>
      <c r="H1296" s="4" t="n">
        <v>58.2313</v>
      </c>
      <c r="I1296" s="4" t="n">
        <v>14.275</v>
      </c>
      <c r="J1296" s="4" t="n">
        <v>14.37</v>
      </c>
      <c r="K1296" s="4" t="n">
        <v>13.74</v>
      </c>
      <c r="L1296" s="4" t="n">
        <v>14.26</v>
      </c>
      <c r="M1296" s="7" t="n">
        <v>-0.0011</v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4471</v>
      </c>
      <c r="F1297" s="8" t="n">
        <v>0.2954</v>
      </c>
      <c r="G1297" s="4" t="n">
        <v>82.0955</v>
      </c>
      <c r="H1297" s="4" t="n">
        <v>73.6645</v>
      </c>
      <c r="I1297" s="4" t="n">
        <v>14.255</v>
      </c>
      <c r="J1297" s="4" t="n">
        <v>14.255</v>
      </c>
      <c r="K1297" s="4" t="n">
        <v>13.3225</v>
      </c>
      <c r="L1297" s="4" t="n">
        <v>13.67</v>
      </c>
      <c r="M1297" s="7" t="n">
        <v>-0.041</v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4591</v>
      </c>
      <c r="F1298" s="8" t="n">
        <v>0.2877</v>
      </c>
      <c r="G1298" s="4" t="n">
        <v>76.4023</v>
      </c>
      <c r="H1298" s="4" t="n">
        <v>82.2807</v>
      </c>
      <c r="I1298" s="4" t="n">
        <v>13.6725</v>
      </c>
      <c r="J1298" s="4" t="n">
        <v>14.5225</v>
      </c>
      <c r="K1298" s="4" t="n">
        <v>13.6625</v>
      </c>
      <c r="L1298" s="4" t="n">
        <v>14.05</v>
      </c>
      <c r="M1298" s="7" t="n">
        <v>0.0276</v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3" t="n">
        <v>4542</v>
      </c>
      <c r="F1299" s="8" t="n">
        <v>0.3589</v>
      </c>
      <c r="G1299" s="4" t="n">
        <v>82.8044</v>
      </c>
      <c r="H1299" s="4" t="n">
        <v>113.6406</v>
      </c>
      <c r="I1299" s="4" t="n">
        <v>14.0475</v>
      </c>
      <c r="J1299" s="4" t="n">
        <v>14.3425</v>
      </c>
      <c r="K1299" s="4" t="n">
        <v>13.3075</v>
      </c>
      <c r="L1299" s="4" t="n">
        <v>13.64</v>
      </c>
      <c r="M1299" s="7" t="n">
        <v>-0.029</v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3" t="n">
        <v>4500</v>
      </c>
      <c r="F1300" s="8" t="n">
        <v>0.3105</v>
      </c>
      <c r="G1300" s="4" t="n">
        <v>85.8022</v>
      </c>
      <c r="H1300" s="4" t="n">
        <v>64.0134</v>
      </c>
      <c r="I1300" s="4" t="n">
        <v>13.6425</v>
      </c>
      <c r="J1300" s="4" t="n">
        <v>13.6425</v>
      </c>
      <c r="K1300" s="4" t="n">
        <v>12.9</v>
      </c>
      <c r="L1300" s="4" t="n">
        <v>12.96</v>
      </c>
      <c r="M1300" s="7" t="n">
        <v>-0.05</v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3" t="n">
        <v>4501</v>
      </c>
      <c r="F1301" s="8" t="n">
        <v>0.3014</v>
      </c>
      <c r="G1301" s="4" t="n">
        <v>75.5819</v>
      </c>
      <c r="H1301" s="4" t="n">
        <v>68.2217</v>
      </c>
      <c r="I1301" s="4" t="n">
        <v>12.9625</v>
      </c>
      <c r="J1301" s="4" t="n">
        <v>13.33</v>
      </c>
      <c r="K1301" s="4" t="n">
        <v>12.515</v>
      </c>
      <c r="L1301" s="4" t="n">
        <v>12.59</v>
      </c>
      <c r="M1301" s="7" t="n">
        <v>-0.0287</v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3" t="n">
        <v>4508</v>
      </c>
      <c r="F1302" s="8" t="n">
        <v>0.3258</v>
      </c>
      <c r="G1302" s="4" t="n">
        <v>80.1323</v>
      </c>
      <c r="H1302" s="4" t="n">
        <v>72.4834</v>
      </c>
      <c r="I1302" s="4" t="n">
        <v>12.59</v>
      </c>
      <c r="J1302" s="4" t="n">
        <v>12.9225</v>
      </c>
      <c r="K1302" s="4" t="n">
        <v>12.3225</v>
      </c>
      <c r="L1302" s="4" t="n">
        <v>12.39</v>
      </c>
      <c r="M1302" s="7" t="n">
        <v>-0.0159</v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3" t="n">
        <v>4690</v>
      </c>
      <c r="F1303" s="8" t="n">
        <v>0.286</v>
      </c>
      <c r="G1303" s="4" t="n">
        <v>83.77030000000001</v>
      </c>
      <c r="H1303" s="4" t="n">
        <v>56.6568</v>
      </c>
      <c r="I1303" s="4" t="n">
        <v>12.3875</v>
      </c>
      <c r="J1303" s="4" t="n">
        <v>13.0275</v>
      </c>
      <c r="K1303" s="4" t="n">
        <v>12.3875</v>
      </c>
      <c r="L1303" s="4" t="n">
        <v>12.79</v>
      </c>
      <c r="M1303" s="7" t="n">
        <v>0.0325</v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4546</v>
      </c>
      <c r="F1304" s="8" t="n">
        <v>0.3372</v>
      </c>
      <c r="G1304" s="4" t="n">
        <v>91.2081</v>
      </c>
      <c r="H1304" s="4" t="n">
        <v>85.0433</v>
      </c>
      <c r="I1304" s="4" t="n">
        <v>12.785</v>
      </c>
      <c r="J1304" s="4" t="n">
        <v>12.9925</v>
      </c>
      <c r="K1304" s="4" t="n">
        <v>12.4375</v>
      </c>
      <c r="L1304" s="4" t="n">
        <v>12.53</v>
      </c>
      <c r="M1304" s="7" t="n">
        <v>-0.0199</v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4566</v>
      </c>
      <c r="F1305" s="8" t="n">
        <v>0.3507</v>
      </c>
      <c r="G1305" s="4" t="n">
        <v>84.64239999999999</v>
      </c>
      <c r="H1305" s="4" t="n">
        <v>69.959</v>
      </c>
      <c r="I1305" s="4" t="n">
        <v>12.5275</v>
      </c>
      <c r="J1305" s="4" t="n">
        <v>12.6625</v>
      </c>
      <c r="K1305" s="4" t="n">
        <v>12.34</v>
      </c>
      <c r="L1305" s="4" t="n">
        <v>12.45</v>
      </c>
      <c r="M1305" s="7" t="n">
        <v>-0.0062</v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4590</v>
      </c>
      <c r="F1306" s="8" t="n">
        <v>0.3059</v>
      </c>
      <c r="G1306" s="4" t="n">
        <v>89.5329</v>
      </c>
      <c r="H1306" s="4" t="n">
        <v>73.3524</v>
      </c>
      <c r="I1306" s="4" t="n">
        <v>12.445</v>
      </c>
      <c r="J1306" s="4" t="n">
        <v>12.66</v>
      </c>
      <c r="K1306" s="4" t="n">
        <v>12.19</v>
      </c>
      <c r="L1306" s="4" t="n">
        <v>12.39</v>
      </c>
      <c r="M1306" s="7" t="n">
        <v>-0.0044</v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4567</v>
      </c>
      <c r="F1307" s="8" t="n">
        <v>0.3353</v>
      </c>
      <c r="G1307" s="4" t="n">
        <v>78.8155</v>
      </c>
      <c r="H1307" s="4" t="n">
        <v>62.242</v>
      </c>
      <c r="I1307" s="4" t="n">
        <v>12.385</v>
      </c>
      <c r="J1307" s="4" t="n">
        <v>12.6975</v>
      </c>
      <c r="K1307" s="4" t="n">
        <v>12.24</v>
      </c>
      <c r="L1307" s="4" t="n">
        <v>12.32</v>
      </c>
      <c r="M1307" s="7" t="n">
        <v>-0.0052</v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4658</v>
      </c>
      <c r="F1308" s="8" t="n">
        <v>0.3003</v>
      </c>
      <c r="G1308" s="4" t="n">
        <v>83.538</v>
      </c>
      <c r="H1308" s="4" t="n">
        <v>50.4219</v>
      </c>
      <c r="I1308" s="4" t="n">
        <v>12.315</v>
      </c>
      <c r="J1308" s="4" t="n">
        <v>12.79</v>
      </c>
      <c r="K1308" s="4" t="n">
        <v>11.94</v>
      </c>
      <c r="L1308" s="4" t="n">
        <v>12.56</v>
      </c>
      <c r="M1308" s="7" t="n">
        <v>0.0199</v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4574</v>
      </c>
      <c r="F1309" s="8" t="n">
        <v>0.2952</v>
      </c>
      <c r="G1309" s="4" t="n">
        <v>75.1636</v>
      </c>
      <c r="H1309" s="4" t="n">
        <v>64.42059999999999</v>
      </c>
      <c r="I1309" s="4" t="n">
        <v>12.56</v>
      </c>
      <c r="J1309" s="4" t="n">
        <v>12.71</v>
      </c>
      <c r="K1309" s="4" t="n">
        <v>12.055</v>
      </c>
      <c r="L1309" s="4" t="n">
        <v>12.2</v>
      </c>
      <c r="M1309" s="7" t="n">
        <v>-0.0287</v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4532</v>
      </c>
      <c r="F1310" s="8" t="n">
        <v>0.3213</v>
      </c>
      <c r="G1310" s="4" t="n">
        <v>81.24679999999999</v>
      </c>
      <c r="H1310" s="4" t="n">
        <v>63.5453</v>
      </c>
      <c r="I1310" s="4" t="n">
        <v>12.195</v>
      </c>
      <c r="J1310" s="4" t="n">
        <v>12.355</v>
      </c>
      <c r="K1310" s="4" t="n">
        <v>11.75</v>
      </c>
      <c r="L1310" s="4" t="n">
        <v>11.94</v>
      </c>
      <c r="M1310" s="7" t="n">
        <v>-0.0209</v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4504</v>
      </c>
      <c r="F1311" s="8" t="n">
        <v>0.2806</v>
      </c>
      <c r="G1311" s="4" t="n">
        <v>78.54900000000001</v>
      </c>
      <c r="H1311" s="4" t="n">
        <v>64.5352</v>
      </c>
      <c r="I1311" s="4" t="n">
        <v>11.94</v>
      </c>
      <c r="J1311" s="4" t="n">
        <v>12.1875</v>
      </c>
      <c r="K1311" s="4" t="n">
        <v>11.6125</v>
      </c>
      <c r="L1311" s="4" t="n">
        <v>11.67</v>
      </c>
      <c r="M1311" s="7" t="n">
        <v>-0.0226</v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4556</v>
      </c>
      <c r="F1312" s="8" t="n">
        <v>0.3203</v>
      </c>
      <c r="G1312" s="4" t="n">
        <v>81.1319</v>
      </c>
      <c r="H1312" s="4" t="n">
        <v>62.3161</v>
      </c>
      <c r="I1312" s="4" t="n">
        <v>11.6725</v>
      </c>
      <c r="J1312" s="4" t="n">
        <v>12.1225</v>
      </c>
      <c r="K1312" s="4" t="n">
        <v>11.535</v>
      </c>
      <c r="L1312" s="4" t="n">
        <v>11.82</v>
      </c>
      <c r="M1312" s="7" t="n">
        <v>0.0126</v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4722</v>
      </c>
      <c r="F1313" s="8" t="n">
        <v>0.3431</v>
      </c>
      <c r="G1313" s="4" t="n">
        <v>97.8082</v>
      </c>
      <c r="H1313" s="4" t="n">
        <v>81.617</v>
      </c>
      <c r="I1313" s="4" t="n">
        <v>11.8175</v>
      </c>
      <c r="J1313" s="4" t="n">
        <v>12.42</v>
      </c>
      <c r="K1313" s="4" t="n">
        <v>11.8175</v>
      </c>
      <c r="L1313" s="4" t="n">
        <v>11.98</v>
      </c>
      <c r="M1313" s="7" t="n">
        <v>0.0138</v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4568</v>
      </c>
      <c r="F1314" s="8" t="n">
        <v>0.3251</v>
      </c>
      <c r="G1314" s="4" t="n">
        <v>80.4186</v>
      </c>
      <c r="H1314" s="4" t="n">
        <v>70.12260000000001</v>
      </c>
      <c r="I1314" s="4" t="n">
        <v>11.98</v>
      </c>
      <c r="J1314" s="4" t="n">
        <v>12.025</v>
      </c>
      <c r="K1314" s="4" t="n">
        <v>11.405</v>
      </c>
      <c r="L1314" s="4" t="n">
        <v>11.48</v>
      </c>
      <c r="M1314" s="7" t="n">
        <v>-0.0417</v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4572</v>
      </c>
      <c r="F1315" s="8" t="n">
        <v>0.3264</v>
      </c>
      <c r="G1315" s="4" t="n">
        <v>80.0882</v>
      </c>
      <c r="H1315" s="4" t="n">
        <v>66.6258</v>
      </c>
      <c r="I1315" s="4" t="n">
        <v>11.48</v>
      </c>
      <c r="J1315" s="4" t="n">
        <v>11.6675</v>
      </c>
      <c r="K1315" s="4" t="n">
        <v>11.1975</v>
      </c>
      <c r="L1315" s="4" t="n">
        <v>11.24</v>
      </c>
      <c r="M1315" s="7" t="n">
        <v>-0.0209</v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4531</v>
      </c>
      <c r="F1316" s="8" t="n">
        <v>0.3495</v>
      </c>
      <c r="G1316" s="4" t="n">
        <v>79.6897</v>
      </c>
      <c r="H1316" s="4" t="n">
        <v>70.4049</v>
      </c>
      <c r="I1316" s="4" t="n">
        <v>11.24</v>
      </c>
      <c r="J1316" s="4" t="n">
        <v>11.5425</v>
      </c>
      <c r="K1316" s="4" t="n">
        <v>10.7275</v>
      </c>
      <c r="L1316" s="4" t="n">
        <v>11.24</v>
      </c>
      <c r="M1316" s="7" t="n">
        <v>0</v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4558</v>
      </c>
      <c r="F1317" s="8" t="n">
        <v>0.3354</v>
      </c>
      <c r="G1317" s="4" t="n">
        <v>85.70010000000001</v>
      </c>
      <c r="H1317" s="4" t="n">
        <v>99.952</v>
      </c>
      <c r="I1317" s="4" t="n">
        <v>11.2425</v>
      </c>
      <c r="J1317" s="4" t="n">
        <v>11.86</v>
      </c>
      <c r="K1317" s="4" t="n">
        <v>9.9</v>
      </c>
      <c r="L1317" s="4" t="n">
        <v>11.39</v>
      </c>
      <c r="M1317" s="7" t="n">
        <v>0.0131</v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4727</v>
      </c>
      <c r="F1318" s="8" t="n">
        <v>0.3519</v>
      </c>
      <c r="G1318" s="4" t="n">
        <v>73.6733</v>
      </c>
      <c r="H1318" s="4" t="n">
        <v>65.9389</v>
      </c>
      <c r="I1318" s="4" t="n">
        <v>11.3925</v>
      </c>
      <c r="J1318" s="4" t="n">
        <v>11.9425</v>
      </c>
      <c r="K1318" s="4" t="n">
        <v>11.0875</v>
      </c>
      <c r="L1318" s="4" t="n">
        <v>11.2</v>
      </c>
      <c r="M1318" s="7" t="n">
        <v>-0.0169</v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4587</v>
      </c>
      <c r="F1319" s="8" t="n">
        <v>0.3434</v>
      </c>
      <c r="G1319" s="4" t="n">
        <v>76.0879</v>
      </c>
      <c r="H1319" s="4" t="n">
        <v>75.95999999999999</v>
      </c>
      <c r="I1319" s="4" t="n">
        <v>11.2025</v>
      </c>
      <c r="J1319" s="4" t="n">
        <v>11.2275</v>
      </c>
      <c r="K1319" s="4" t="n">
        <v>10.6875</v>
      </c>
      <c r="L1319" s="4" t="n">
        <v>10.75</v>
      </c>
      <c r="M1319" s="7" t="n">
        <v>-0.0404</v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4625</v>
      </c>
      <c r="F1320" s="8" t="n">
        <v>0.3215</v>
      </c>
      <c r="G1320" s="4" t="n">
        <v>91.9209</v>
      </c>
      <c r="H1320" s="4" t="n">
        <v>96.01730000000001</v>
      </c>
      <c r="I1320" s="4" t="n">
        <v>10.7525</v>
      </c>
      <c r="J1320" s="4" t="n">
        <v>10.7525</v>
      </c>
      <c r="K1320" s="4" t="n">
        <v>10.22</v>
      </c>
      <c r="L1320" s="4" t="n">
        <v>10.52</v>
      </c>
      <c r="M1320" s="7" t="n">
        <v>-0.0216</v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4634</v>
      </c>
      <c r="F1321" s="8" t="n">
        <v>0.335</v>
      </c>
      <c r="G1321" s="4" t="n">
        <v>78.15940000000001</v>
      </c>
      <c r="H1321" s="4" t="n">
        <v>70.97239999999999</v>
      </c>
      <c r="I1321" s="4" t="n">
        <v>10.515</v>
      </c>
      <c r="J1321" s="4" t="n">
        <v>11.105</v>
      </c>
      <c r="K1321" s="4" t="n">
        <v>9.8675</v>
      </c>
      <c r="L1321" s="4" t="n">
        <v>10.72</v>
      </c>
      <c r="M1321" s="7" t="n">
        <v>0.0195</v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3" t="n">
        <v>4545</v>
      </c>
      <c r="F1322" s="8" t="n">
        <v>0.365</v>
      </c>
      <c r="G1322" s="4" t="n">
        <v>71.0282</v>
      </c>
      <c r="H1322" s="4" t="n">
        <v>79.967</v>
      </c>
      <c r="I1322" s="4" t="n">
        <v>10.7225</v>
      </c>
      <c r="J1322" s="4" t="n">
        <v>11.5825</v>
      </c>
      <c r="K1322" s="4" t="n">
        <v>10.6125</v>
      </c>
      <c r="L1322" s="4" t="n">
        <v>11.28</v>
      </c>
      <c r="M1322" s="7" t="n">
        <v>0.052</v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3" t="n">
        <v>4747</v>
      </c>
      <c r="F1323" s="8" t="n">
        <v>0.378</v>
      </c>
      <c r="G1323" s="4" t="n">
        <v>82.91079999999999</v>
      </c>
      <c r="H1323" s="4" t="n">
        <v>75.6105</v>
      </c>
      <c r="I1323" s="4" t="n">
        <v>11.275</v>
      </c>
      <c r="J1323" s="4" t="n">
        <v>12.23</v>
      </c>
      <c r="K1323" s="4" t="n">
        <v>10.325</v>
      </c>
      <c r="L1323" s="4" t="n">
        <v>12.06</v>
      </c>
      <c r="M1323" s="7" t="n">
        <v>0.0696</v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3" t="n">
        <v>4583</v>
      </c>
      <c r="F1324" s="8" t="n">
        <v>0.3277</v>
      </c>
      <c r="G1324" s="4" t="n">
        <v>64.7873</v>
      </c>
      <c r="H1324" s="4" t="n">
        <v>70.1563</v>
      </c>
      <c r="I1324" s="4" t="n">
        <v>12.0625</v>
      </c>
      <c r="J1324" s="4" t="n">
        <v>12.3</v>
      </c>
      <c r="K1324" s="4" t="n">
        <v>11.4</v>
      </c>
      <c r="L1324" s="4" t="n">
        <v>11.53</v>
      </c>
      <c r="M1324" s="7" t="n">
        <v>-0.0441</v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3" t="n">
        <v>4541</v>
      </c>
      <c r="F1325" s="8" t="n">
        <v>0.3248</v>
      </c>
      <c r="G1325" s="4" t="n">
        <v>64.8353</v>
      </c>
      <c r="H1325" s="4" t="n">
        <v>61.3324</v>
      </c>
      <c r="I1325" s="4" t="n">
        <v>11.525</v>
      </c>
      <c r="J1325" s="4" t="n">
        <v>11.775</v>
      </c>
      <c r="K1325" s="4" t="n">
        <v>10.6125</v>
      </c>
      <c r="L1325" s="4" t="n">
        <v>11.21</v>
      </c>
      <c r="M1325" s="7" t="n">
        <v>-0.0273</v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3" t="n">
        <v>4538</v>
      </c>
      <c r="F1326" s="8" t="n">
        <v>0.3486</v>
      </c>
      <c r="G1326" s="4" t="n">
        <v>74.2808</v>
      </c>
      <c r="H1326" s="4" t="n">
        <v>73.02200000000001</v>
      </c>
      <c r="I1326" s="4" t="n">
        <v>11.205</v>
      </c>
      <c r="J1326" s="4" t="n">
        <v>12.12</v>
      </c>
      <c r="K1326" s="4" t="n">
        <v>11.205</v>
      </c>
      <c r="L1326" s="4" t="n">
        <v>11.54</v>
      </c>
      <c r="M1326" s="7" t="n">
        <v>0.0299</v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4569</v>
      </c>
      <c r="F1327" s="8" t="n">
        <v>0.3621</v>
      </c>
      <c r="G1327" s="4" t="n">
        <v>79.578</v>
      </c>
      <c r="H1327" s="4" t="n">
        <v>78.1283</v>
      </c>
      <c r="I1327" s="4" t="n">
        <v>11.5425</v>
      </c>
      <c r="J1327" s="4" t="n">
        <v>12.11</v>
      </c>
      <c r="K1327" s="4" t="n">
        <v>11.4025</v>
      </c>
      <c r="L1327" s="4" t="n">
        <v>11.98</v>
      </c>
      <c r="M1327" s="7" t="n">
        <v>0.0379</v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4716</v>
      </c>
      <c r="F1328" s="8" t="n">
        <v>0.3102</v>
      </c>
      <c r="G1328" s="4" t="n">
        <v>73.258</v>
      </c>
      <c r="H1328" s="4" t="n">
        <v>64.00700000000001</v>
      </c>
      <c r="I1328" s="4" t="n">
        <v>11.975</v>
      </c>
      <c r="J1328" s="4" t="n">
        <v>12.63</v>
      </c>
      <c r="K1328" s="4" t="n">
        <v>11.8025</v>
      </c>
      <c r="L1328" s="4" t="n">
        <v>11.97</v>
      </c>
      <c r="M1328" s="7" t="n">
        <v>-0.0004</v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4606</v>
      </c>
      <c r="F1329" s="8" t="n">
        <v>0.2994</v>
      </c>
      <c r="G1329" s="4" t="n">
        <v>73.50620000000001</v>
      </c>
      <c r="H1329" s="4" t="n">
        <v>104.6359</v>
      </c>
      <c r="I1329" s="4" t="n">
        <v>11.9675</v>
      </c>
      <c r="J1329" s="4" t="n">
        <v>12.1775</v>
      </c>
      <c r="K1329" s="4" t="n">
        <v>11.64</v>
      </c>
      <c r="L1329" s="4" t="n">
        <v>11.71</v>
      </c>
      <c r="M1329" s="7" t="n">
        <v>-0.0215</v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4630</v>
      </c>
      <c r="F1330" s="8" t="n">
        <v>0.4113</v>
      </c>
      <c r="G1330" s="4" t="n">
        <v>87.0664</v>
      </c>
      <c r="H1330" s="4" t="n">
        <v>103.7528</v>
      </c>
      <c r="I1330" s="4" t="n">
        <v>11.7125</v>
      </c>
      <c r="J1330" s="4" t="n">
        <v>12.0475</v>
      </c>
      <c r="K1330" s="4" t="n">
        <v>10.6575</v>
      </c>
      <c r="L1330" s="4" t="n">
        <v>11.96</v>
      </c>
      <c r="M1330" s="7" t="n">
        <v>0.0211</v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4628</v>
      </c>
      <c r="F1331" s="8" t="n">
        <v>0.4277</v>
      </c>
      <c r="G1331" s="4" t="n">
        <v>76.1952</v>
      </c>
      <c r="H1331" s="4" t="n">
        <v>119.1833</v>
      </c>
      <c r="I1331" s="4" t="n">
        <v>11.96</v>
      </c>
      <c r="J1331" s="4" t="n">
        <v>12.3075</v>
      </c>
      <c r="K1331" s="4" t="n">
        <v>11.555</v>
      </c>
      <c r="L1331" s="4" t="n">
        <v>11.69</v>
      </c>
      <c r="M1331" s="7" t="n">
        <v>-0.0226</v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3" t="n">
        <v>4564</v>
      </c>
      <c r="F1332" s="8" t="n">
        <v>0.4291</v>
      </c>
      <c r="G1332" s="4" t="n">
        <v>78.8182</v>
      </c>
      <c r="H1332" s="4" t="n">
        <v>155.2403</v>
      </c>
      <c r="I1332" s="4" t="n">
        <v>11.6875</v>
      </c>
      <c r="J1332" s="4" t="n">
        <v>12.1975</v>
      </c>
      <c r="K1332" s="4" t="n">
        <v>10.8975</v>
      </c>
      <c r="L1332" s="4" t="n">
        <v>12.03</v>
      </c>
      <c r="M1332" s="7" t="n">
        <v>0.0293</v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3" t="n">
        <v>4771</v>
      </c>
      <c r="F1333" s="8" t="n">
        <v>0.414</v>
      </c>
      <c r="G1333" s="4" t="n">
        <v>81.62350000000001</v>
      </c>
      <c r="H1333" s="4" t="n">
        <v>116.786</v>
      </c>
      <c r="I1333" s="4" t="n">
        <v>12.0325</v>
      </c>
      <c r="J1333" s="4" t="n">
        <v>12.73</v>
      </c>
      <c r="K1333" s="4" t="n">
        <v>12.0325</v>
      </c>
      <c r="L1333" s="4" t="n">
        <v>12.22</v>
      </c>
      <c r="M1333" s="7" t="n">
        <v>0.0156</v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3" t="n">
        <v>4595</v>
      </c>
      <c r="F1334" s="8" t="n">
        <v>0.3471</v>
      </c>
      <c r="G1334" s="4" t="n">
        <v>79.9465</v>
      </c>
      <c r="H1334" s="4" t="n">
        <v>80.3507</v>
      </c>
      <c r="I1334" s="4" t="n">
        <v>12.2175</v>
      </c>
      <c r="J1334" s="4" t="n">
        <v>12.4225</v>
      </c>
      <c r="K1334" s="4" t="n">
        <v>11.595</v>
      </c>
      <c r="L1334" s="4" t="n">
        <v>12.23</v>
      </c>
      <c r="M1334" s="7" t="n">
        <v>0.001</v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3" t="n">
        <v>4578</v>
      </c>
      <c r="F1335" s="8" t="n">
        <v>0.3502</v>
      </c>
      <c r="G1335" s="4" t="n">
        <v>87.9165</v>
      </c>
      <c r="H1335" s="4" t="n">
        <v>83.9479</v>
      </c>
      <c r="I1335" s="4" t="n">
        <v>12.2325</v>
      </c>
      <c r="J1335" s="4" t="n">
        <v>12.3525</v>
      </c>
      <c r="K1335" s="4" t="n">
        <v>10.7775</v>
      </c>
      <c r="L1335" s="4" t="n">
        <v>12.14</v>
      </c>
      <c r="M1335" s="7" t="n">
        <v>-0.0076</v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3" t="n">
        <v>4580</v>
      </c>
      <c r="F1336" s="8" t="n">
        <v>0.3255</v>
      </c>
      <c r="G1336" s="4" t="n">
        <v>87.3096</v>
      </c>
      <c r="H1336" s="4" t="n">
        <v>78.1275</v>
      </c>
      <c r="I1336" s="4" t="n">
        <v>12.14</v>
      </c>
      <c r="J1336" s="4" t="n">
        <v>12.47</v>
      </c>
      <c r="K1336" s="4" t="n">
        <v>11.4725</v>
      </c>
      <c r="L1336" s="4" t="n">
        <v>12.36</v>
      </c>
      <c r="M1336" s="7" t="n">
        <v>0.0181</v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4777</v>
      </c>
      <c r="F1337" s="8" t="n">
        <v>0.3644</v>
      </c>
      <c r="G1337" s="4" t="n">
        <v>91.7401</v>
      </c>
      <c r="H1337" s="4" t="n">
        <v>89.03489999999999</v>
      </c>
      <c r="I1337" s="4" t="n">
        <v>12.355</v>
      </c>
      <c r="J1337" s="4" t="n">
        <v>13.465</v>
      </c>
      <c r="K1337" s="4" t="n">
        <v>11.75</v>
      </c>
      <c r="L1337" s="4" t="n">
        <v>12.34</v>
      </c>
      <c r="M1337" s="7" t="n">
        <v>-0.0012</v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4606</v>
      </c>
      <c r="F1338" s="8" t="n">
        <v>0.3339</v>
      </c>
      <c r="G1338" s="4" t="n">
        <v>96.86499999999999</v>
      </c>
      <c r="H1338" s="4" t="n">
        <v>72.0796</v>
      </c>
      <c r="I1338" s="4" t="n">
        <v>12.34</v>
      </c>
      <c r="J1338" s="4" t="n">
        <v>12.34</v>
      </c>
      <c r="K1338" s="4" t="n">
        <v>11.76</v>
      </c>
      <c r="L1338" s="4" t="n">
        <v>11.79</v>
      </c>
      <c r="M1338" s="7" t="n">
        <v>-0.0446</v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3" t="n">
        <v>4652</v>
      </c>
      <c r="F1339" s="8" t="n">
        <v>0.3355</v>
      </c>
      <c r="G1339" s="4" t="n">
        <v>92.708</v>
      </c>
      <c r="H1339" s="4" t="n">
        <v>69.0183</v>
      </c>
      <c r="I1339" s="4" t="n">
        <v>11.79</v>
      </c>
      <c r="J1339" s="4" t="n">
        <v>11.99</v>
      </c>
      <c r="K1339" s="4" t="n">
        <v>10.185</v>
      </c>
      <c r="L1339" s="4" t="n">
        <v>11.79</v>
      </c>
      <c r="M1339" s="7" t="n">
        <v>0</v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3" t="n">
        <v>4612</v>
      </c>
      <c r="F1340" s="8" t="n">
        <v>0.3823</v>
      </c>
      <c r="G1340" s="4" t="n">
        <v>97.24250000000001</v>
      </c>
      <c r="H1340" s="4" t="n">
        <v>166.713</v>
      </c>
      <c r="I1340" s="4" t="n">
        <v>11.785</v>
      </c>
      <c r="J1340" s="4" t="n">
        <v>11.8925</v>
      </c>
      <c r="K1340" s="4" t="n">
        <v>10.0875</v>
      </c>
      <c r="L1340" s="4" t="n">
        <v>11.37</v>
      </c>
      <c r="M1340" s="7" t="n">
        <v>-0.0352</v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3" t="n">
        <v>4600</v>
      </c>
      <c r="F1341" s="8" t="n">
        <v>0.3174</v>
      </c>
      <c r="G1341" s="4" t="n">
        <v>115.8129</v>
      </c>
      <c r="H1341" s="4" t="n">
        <v>67.2396</v>
      </c>
      <c r="I1341" s="4" t="n">
        <v>11.3725</v>
      </c>
      <c r="J1341" s="4" t="n">
        <v>11.785</v>
      </c>
      <c r="K1341" s="4" t="n">
        <v>10.695</v>
      </c>
      <c r="L1341" s="4" t="n">
        <v>11.73</v>
      </c>
      <c r="M1341" s="7" t="n">
        <v>0.0314</v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3" t="n">
        <v>4784</v>
      </c>
      <c r="F1342" s="8" t="n">
        <v>0.3449</v>
      </c>
      <c r="G1342" s="4" t="n">
        <v>107.0965</v>
      </c>
      <c r="H1342" s="4" t="n">
        <v>71.328</v>
      </c>
      <c r="I1342" s="4" t="n">
        <v>11.7275</v>
      </c>
      <c r="J1342" s="4" t="n">
        <v>12.3475</v>
      </c>
      <c r="K1342" s="4" t="n">
        <v>11.545</v>
      </c>
      <c r="L1342" s="4" t="n">
        <v>11.76</v>
      </c>
      <c r="M1342" s="7" t="n">
        <v>0.0028</v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3" t="n">
        <v>4606</v>
      </c>
      <c r="F1343" s="8" t="n">
        <v>0.3934</v>
      </c>
      <c r="G1343" s="4" t="n">
        <v>107.8254</v>
      </c>
      <c r="H1343" s="4" t="n">
        <v>82.41500000000001</v>
      </c>
      <c r="I1343" s="4" t="n">
        <v>11.7575</v>
      </c>
      <c r="J1343" s="4" t="n">
        <v>12.5475</v>
      </c>
      <c r="K1343" s="4" t="n">
        <v>10.9275</v>
      </c>
      <c r="L1343" s="4" t="n">
        <v>12.19</v>
      </c>
      <c r="M1343" s="7" t="n">
        <v>0.0368</v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3" t="n">
        <v>4623</v>
      </c>
      <c r="F1344" s="8" t="n">
        <v>0.332</v>
      </c>
      <c r="G1344" s="4" t="n">
        <v>88.87130000000001</v>
      </c>
      <c r="H1344" s="4" t="n">
        <v>75.1626</v>
      </c>
      <c r="I1344" s="4" t="n">
        <v>12.1925</v>
      </c>
      <c r="J1344" s="4" t="n">
        <v>13.145</v>
      </c>
      <c r="K1344" s="4" t="n">
        <v>11.575</v>
      </c>
      <c r="L1344" s="4" t="n">
        <v>12.18</v>
      </c>
      <c r="M1344" s="7" t="n">
        <v>-0.001</v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3" t="n">
        <v>4582</v>
      </c>
      <c r="F1345" s="8" t="n">
        <v>0.3246</v>
      </c>
      <c r="G1345" s="4" t="n">
        <v>94.8062</v>
      </c>
      <c r="H1345" s="4" t="n">
        <v>65.50960000000001</v>
      </c>
      <c r="I1345" s="4" t="n">
        <v>12.1775</v>
      </c>
      <c r="J1345" s="4" t="n">
        <v>12.2025</v>
      </c>
      <c r="K1345" s="4" t="n">
        <v>11.5925</v>
      </c>
      <c r="L1345" s="4" t="n">
        <v>11.75</v>
      </c>
      <c r="M1345" s="7" t="n">
        <v>-0.0351</v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4783</v>
      </c>
      <c r="F1346" s="8" t="n">
        <v>0.3177</v>
      </c>
      <c r="G1346" s="4" t="n">
        <v>110.6547</v>
      </c>
      <c r="H1346" s="4" t="n">
        <v>62.3015</v>
      </c>
      <c r="I1346" s="4" t="n">
        <v>11.7525</v>
      </c>
      <c r="J1346" s="4" t="n">
        <v>12.195</v>
      </c>
      <c r="K1346" s="4" t="n">
        <v>11.235</v>
      </c>
      <c r="L1346" s="4" t="n">
        <v>11.29</v>
      </c>
      <c r="M1346" s="7" t="n">
        <v>-0.0394</v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4685</v>
      </c>
      <c r="F1347" s="8" t="n">
        <v>0.3935</v>
      </c>
      <c r="G1347" s="4" t="n">
        <v>139.0104</v>
      </c>
      <c r="H1347" s="4" t="n">
        <v>68.9511</v>
      </c>
      <c r="I1347" s="4" t="n">
        <v>11.2925</v>
      </c>
      <c r="J1347" s="4" t="n">
        <v>11.7825</v>
      </c>
      <c r="K1347" s="4" t="n">
        <v>10.78</v>
      </c>
      <c r="L1347" s="4" t="n">
        <v>11.4</v>
      </c>
      <c r="M1347" s="7" t="n">
        <v>0.0095</v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4667</v>
      </c>
      <c r="F1348" s="8" t="n">
        <v>0.3663</v>
      </c>
      <c r="G1348" s="4" t="n">
        <v>125.3294</v>
      </c>
      <c r="H1348" s="4" t="n">
        <v>78.0449</v>
      </c>
      <c r="I1348" s="4" t="n">
        <v>11.4</v>
      </c>
      <c r="J1348" s="4" t="n">
        <v>11.5775</v>
      </c>
      <c r="K1348" s="4" t="n">
        <v>10.85</v>
      </c>
      <c r="L1348" s="4" t="n">
        <v>10.93</v>
      </c>
      <c r="M1348" s="7" t="n">
        <v>-0.0412</v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4651</v>
      </c>
      <c r="F1349" s="8" t="n">
        <v>0.4</v>
      </c>
      <c r="G1349" s="4" t="n">
        <v>145.9066</v>
      </c>
      <c r="H1349" s="4" t="n">
        <v>85.072</v>
      </c>
      <c r="I1349" s="4" t="n">
        <v>10.93</v>
      </c>
      <c r="J1349" s="4" t="n">
        <v>11.2375</v>
      </c>
      <c r="K1349" s="4" t="n">
        <v>10.4925</v>
      </c>
      <c r="L1349" s="4" t="n">
        <v>10.85</v>
      </c>
      <c r="M1349" s="7" t="n">
        <v>-0.0073</v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4606</v>
      </c>
      <c r="F1350" s="8" t="n">
        <v>0.3649</v>
      </c>
      <c r="G1350" s="4" t="n">
        <v>131.1567</v>
      </c>
      <c r="H1350" s="4" t="n">
        <v>73.1733</v>
      </c>
      <c r="I1350" s="4" t="n">
        <v>10.8525</v>
      </c>
      <c r="J1350" s="4" t="n">
        <v>11.435</v>
      </c>
      <c r="K1350" s="4" t="n">
        <v>9.952500000000001</v>
      </c>
      <c r="L1350" s="4" t="n">
        <v>10.78</v>
      </c>
      <c r="M1350" s="7" t="n">
        <v>-0.0067</v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4789</v>
      </c>
      <c r="F1351" s="8" t="n">
        <v>0.3767</v>
      </c>
      <c r="G1351" s="4" t="n">
        <v>107.2733</v>
      </c>
      <c r="H1351" s="4" t="n">
        <v>73.88330000000001</v>
      </c>
      <c r="I1351" s="4" t="n">
        <v>10.78</v>
      </c>
      <c r="J1351" s="4" t="n">
        <v>11.0825</v>
      </c>
      <c r="K1351" s="4" t="n">
        <v>10.42</v>
      </c>
      <c r="L1351" s="4" t="n">
        <v>10.84</v>
      </c>
      <c r="M1351" s="7" t="n">
        <v>0.0056</v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4656</v>
      </c>
      <c r="F1352" s="8" t="n">
        <v>0.3497</v>
      </c>
      <c r="G1352" s="4" t="n">
        <v>84.82680000000001</v>
      </c>
      <c r="H1352" s="4" t="n">
        <v>70.6859</v>
      </c>
      <c r="I1352" s="4" t="n">
        <v>10.8375</v>
      </c>
      <c r="J1352" s="4" t="n">
        <v>11.45</v>
      </c>
      <c r="K1352" s="4" t="n">
        <v>9.852499999999999</v>
      </c>
      <c r="L1352" s="4" t="n">
        <v>10.69</v>
      </c>
      <c r="M1352" s="7" t="n">
        <v>-0.0136</v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4654</v>
      </c>
      <c r="F1353" s="8" t="n">
        <v>0.4049</v>
      </c>
      <c r="G1353" s="4" t="n">
        <v>128.5556</v>
      </c>
      <c r="H1353" s="4" t="n">
        <v>80.9778</v>
      </c>
      <c r="I1353" s="4" t="n">
        <v>10.685</v>
      </c>
      <c r="J1353" s="4" t="n">
        <v>10.84</v>
      </c>
      <c r="K1353" s="4" t="n">
        <v>10.2475</v>
      </c>
      <c r="L1353" s="4" t="n">
        <v>10.54</v>
      </c>
      <c r="M1353" s="7" t="n">
        <v>-0.0136</v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4672</v>
      </c>
      <c r="F1354" s="8" t="n">
        <v>0.4248</v>
      </c>
      <c r="G1354" s="4" t="n">
        <v>103.3414</v>
      </c>
      <c r="H1354" s="4" t="n">
        <v>102.2055</v>
      </c>
      <c r="I1354" s="4" t="n">
        <v>10.5375</v>
      </c>
      <c r="J1354" s="4" t="n">
        <v>10.7775</v>
      </c>
      <c r="K1354" s="4" t="n">
        <v>10.1825</v>
      </c>
      <c r="L1354" s="4" t="n">
        <v>10.36</v>
      </c>
      <c r="M1354" s="7" t="n">
        <v>-0.0168</v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4671</v>
      </c>
      <c r="F1355" s="8" t="n">
        <v>0.3719</v>
      </c>
      <c r="G1355" s="4" t="n">
        <v>114.3818</v>
      </c>
      <c r="H1355" s="4" t="n">
        <v>73.2911</v>
      </c>
      <c r="I1355" s="4" t="n">
        <v>10.36</v>
      </c>
      <c r="J1355" s="4" t="n">
        <v>10.36</v>
      </c>
      <c r="K1355" s="4" t="n">
        <v>9.85</v>
      </c>
      <c r="L1355" s="4" t="n">
        <v>10.12</v>
      </c>
      <c r="M1355" s="7" t="n">
        <v>-0.0232</v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4789</v>
      </c>
      <c r="F1356" s="8" t="n">
        <v>0.3852</v>
      </c>
      <c r="G1356" s="4" t="n">
        <v>109.3723</v>
      </c>
      <c r="H1356" s="4" t="n">
        <v>74.36490000000001</v>
      </c>
      <c r="I1356" s="4" t="n">
        <v>10.1225</v>
      </c>
      <c r="J1356" s="4" t="n">
        <v>10.6825</v>
      </c>
      <c r="K1356" s="4" t="n">
        <v>9.9025</v>
      </c>
      <c r="L1356" s="4" t="n">
        <v>10.4</v>
      </c>
      <c r="M1356" s="7" t="n">
        <v>0.0274</v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4705</v>
      </c>
      <c r="F1357" s="8" t="n">
        <v>0.3809</v>
      </c>
      <c r="G1357" s="4" t="n">
        <v>140.1806</v>
      </c>
      <c r="H1357" s="4" t="n">
        <v>76.7971</v>
      </c>
      <c r="I1357" s="4" t="n">
        <v>10.3975</v>
      </c>
      <c r="J1357" s="4" t="n">
        <v>10.5</v>
      </c>
      <c r="K1357" s="4" t="n">
        <v>9.755000000000001</v>
      </c>
      <c r="L1357" s="4" t="n">
        <v>10.27</v>
      </c>
      <c r="M1357" s="7" t="n">
        <v>-0.0123</v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4721</v>
      </c>
      <c r="F1358" s="8" t="n">
        <v>0.4115</v>
      </c>
      <c r="G1358" s="4" t="n">
        <v>144.4682</v>
      </c>
      <c r="H1358" s="4" t="n">
        <v>84.6388</v>
      </c>
      <c r="I1358" s="4" t="n">
        <v>10.2725</v>
      </c>
      <c r="J1358" s="4" t="n">
        <v>10.3575</v>
      </c>
      <c r="K1358" s="4" t="n">
        <v>9.615</v>
      </c>
      <c r="L1358" s="4" t="n">
        <v>10.25</v>
      </c>
      <c r="M1358" s="7" t="n">
        <v>-0.0022</v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4752</v>
      </c>
      <c r="F1359" s="8" t="n">
        <v>0.4175</v>
      </c>
      <c r="G1359" s="4" t="n">
        <v>125.2119</v>
      </c>
      <c r="H1359" s="4" t="n">
        <v>84.6121</v>
      </c>
      <c r="I1359" s="4" t="n">
        <v>10.2475</v>
      </c>
      <c r="J1359" s="4" t="n">
        <v>10.2475</v>
      </c>
      <c r="K1359" s="4" t="n">
        <v>9.4925</v>
      </c>
      <c r="L1359" s="4" t="n">
        <v>9.890000000000001</v>
      </c>
      <c r="M1359" s="7" t="n">
        <v>-0.0349</v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4671</v>
      </c>
      <c r="F1360" s="8" t="n">
        <v>0.4506</v>
      </c>
      <c r="G1360" s="4" t="n">
        <v>135.9561</v>
      </c>
      <c r="H1360" s="4" t="n">
        <v>96.23139999999999</v>
      </c>
      <c r="I1360" s="4" t="n">
        <v>9.885</v>
      </c>
      <c r="J1360" s="4" t="n">
        <v>10.255</v>
      </c>
      <c r="K1360" s="4" t="n">
        <v>9.397500000000001</v>
      </c>
      <c r="L1360" s="4" t="n">
        <v>9.970000000000001</v>
      </c>
      <c r="M1360" s="7" t="n">
        <v>0.0086</v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4841</v>
      </c>
      <c r="F1361" s="8" t="n">
        <v>0.415</v>
      </c>
      <c r="G1361" s="4" t="n">
        <v>110.6851</v>
      </c>
      <c r="H1361" s="4" t="n">
        <v>85.5582</v>
      </c>
      <c r="I1361" s="4" t="n">
        <v>9.967499999999999</v>
      </c>
      <c r="J1361" s="4" t="n">
        <v>10.7325</v>
      </c>
      <c r="K1361" s="4" t="n">
        <v>9.967499999999999</v>
      </c>
      <c r="L1361" s="4" t="n">
        <v>10.56</v>
      </c>
      <c r="M1361" s="7" t="n">
        <v>0.0594</v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4652</v>
      </c>
      <c r="F1362" s="8" t="n">
        <v>0.3729</v>
      </c>
      <c r="G1362" s="4" t="n">
        <v>121.6418</v>
      </c>
      <c r="H1362" s="4" t="n">
        <v>76.6353</v>
      </c>
      <c r="I1362" s="4" t="n">
        <v>10.5575</v>
      </c>
      <c r="J1362" s="4" t="n">
        <v>10.9025</v>
      </c>
      <c r="K1362" s="4" t="n">
        <v>9.9625</v>
      </c>
      <c r="L1362" s="4" t="n">
        <v>10.63</v>
      </c>
      <c r="M1362" s="7" t="n">
        <v>0.0069</v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3" t="n">
        <v>4692</v>
      </c>
      <c r="F1363" s="8" t="n">
        <v>0.3836</v>
      </c>
      <c r="G1363" s="4" t="n">
        <v>101.9085</v>
      </c>
      <c r="H1363" s="4" t="n">
        <v>78.0441</v>
      </c>
      <c r="I1363" s="4" t="n">
        <v>10.625</v>
      </c>
      <c r="J1363" s="4" t="n">
        <v>10.8925</v>
      </c>
      <c r="K1363" s="4" t="n">
        <v>10.1125</v>
      </c>
      <c r="L1363" s="4" t="n">
        <v>10.52</v>
      </c>
      <c r="M1363" s="7" t="n">
        <v>-0.009900000000000001</v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3" t="n">
        <v>4689</v>
      </c>
      <c r="F1364" s="8" t="n">
        <v>0.3878</v>
      </c>
      <c r="G1364" s="4" t="n">
        <v>94.7424</v>
      </c>
      <c r="H1364" s="4" t="n">
        <v>71.8857</v>
      </c>
      <c r="I1364" s="4" t="n">
        <v>10.5225</v>
      </c>
      <c r="J1364" s="4" t="n">
        <v>10.8975</v>
      </c>
      <c r="K1364" s="4" t="n">
        <v>10.285</v>
      </c>
      <c r="L1364" s="4" t="n">
        <v>10.78</v>
      </c>
      <c r="M1364" s="7" t="n">
        <v>0.0245</v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3" t="n">
        <v>4623</v>
      </c>
      <c r="F1365" s="8" t="n">
        <v>0.3817</v>
      </c>
      <c r="G1365" s="4" t="n">
        <v>124.417</v>
      </c>
      <c r="H1365" s="4" t="n">
        <v>74.4123</v>
      </c>
      <c r="I1365" s="4" t="n">
        <v>10.7825</v>
      </c>
      <c r="J1365" s="4" t="n">
        <v>11.6775</v>
      </c>
      <c r="K1365" s="4" t="n">
        <v>10.17</v>
      </c>
      <c r="L1365" s="4" t="n">
        <v>11.43</v>
      </c>
      <c r="M1365" s="7" t="n">
        <v>0.0601</v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3" t="n">
        <v>4753</v>
      </c>
      <c r="F1366" s="8" t="n">
        <v>0.3412</v>
      </c>
      <c r="G1366" s="4" t="n">
        <v>95.6555</v>
      </c>
      <c r="H1366" s="4" t="n">
        <v>64.8587</v>
      </c>
      <c r="I1366" s="4" t="n">
        <v>11.425</v>
      </c>
      <c r="J1366" s="4" t="n">
        <v>11.725</v>
      </c>
      <c r="K1366" s="4" t="n">
        <v>10.615</v>
      </c>
      <c r="L1366" s="4" t="n">
        <v>11.37</v>
      </c>
      <c r="M1366" s="7" t="n">
        <v>-0.0048</v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3" t="n">
        <v>4634</v>
      </c>
      <c r="F1367" s="8" t="n">
        <v>0.3137</v>
      </c>
      <c r="G1367" s="4" t="n">
        <v>72.628</v>
      </c>
      <c r="H1367" s="4" t="n">
        <v>66.90170000000001</v>
      </c>
      <c r="I1367" s="4" t="n">
        <v>11.365</v>
      </c>
      <c r="J1367" s="4" t="n">
        <v>11.7875</v>
      </c>
      <c r="K1367" s="4" t="n">
        <v>10.93</v>
      </c>
      <c r="L1367" s="4" t="n">
        <v>11.07</v>
      </c>
      <c r="M1367" s="7" t="n">
        <v>-0.026</v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3" t="n">
        <v>4674</v>
      </c>
      <c r="F1368" s="8" t="n">
        <v>0.3317</v>
      </c>
      <c r="G1368" s="4" t="n">
        <v>88.6467</v>
      </c>
      <c r="H1368" s="4" t="n">
        <v>84.99160000000001</v>
      </c>
      <c r="I1368" s="4" t="n">
        <v>11.065</v>
      </c>
      <c r="J1368" s="4" t="n">
        <v>11.255</v>
      </c>
      <c r="K1368" s="4" t="n">
        <v>10.1525</v>
      </c>
      <c r="L1368" s="4" t="n">
        <v>10.29</v>
      </c>
      <c r="M1368" s="7" t="n">
        <v>-0.07000000000000001</v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4710</v>
      </c>
      <c r="F1369" s="8" t="n">
        <v>0.3755</v>
      </c>
      <c r="G1369" s="4" t="n">
        <v>91.1451</v>
      </c>
      <c r="H1369" s="4" t="n">
        <v>77.67870000000001</v>
      </c>
      <c r="I1369" s="4" t="n">
        <v>10.2875</v>
      </c>
      <c r="J1369" s="4" t="n">
        <v>10.6225</v>
      </c>
      <c r="K1369" s="4" t="n">
        <v>9.945</v>
      </c>
      <c r="L1369" s="4" t="n">
        <v>10.06</v>
      </c>
      <c r="M1369" s="7" t="n">
        <v>-0.0221</v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4857</v>
      </c>
      <c r="F1370" s="8" t="n">
        <v>0.3636</v>
      </c>
      <c r="G1370" s="4" t="n">
        <v>87.3369</v>
      </c>
      <c r="H1370" s="4" t="n">
        <v>71.8963</v>
      </c>
      <c r="I1370" s="4" t="n">
        <v>10.06</v>
      </c>
      <c r="J1370" s="4" t="n">
        <v>10.5375</v>
      </c>
      <c r="K1370" s="4" t="n">
        <v>9.657500000000001</v>
      </c>
      <c r="L1370" s="4" t="n">
        <v>10.19</v>
      </c>
      <c r="M1370" s="7" t="n">
        <v>0.0129</v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4713</v>
      </c>
      <c r="F1371" s="8" t="n">
        <v>0.3344</v>
      </c>
      <c r="G1371" s="4" t="n">
        <v>111.4621</v>
      </c>
      <c r="H1371" s="4" t="n">
        <v>81.14749999999999</v>
      </c>
      <c r="I1371" s="4" t="n">
        <v>10.1925</v>
      </c>
      <c r="J1371" s="4" t="n">
        <v>10.45</v>
      </c>
      <c r="K1371" s="4" t="n">
        <v>10</v>
      </c>
      <c r="L1371" s="4" t="n">
        <v>10.05</v>
      </c>
      <c r="M1371" s="7" t="n">
        <v>-0.014</v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4758</v>
      </c>
      <c r="F1372" s="8" t="n">
        <v>0.3684</v>
      </c>
      <c r="G1372" s="4" t="n">
        <v>126.3091</v>
      </c>
      <c r="H1372" s="4" t="n">
        <v>76.4404</v>
      </c>
      <c r="I1372" s="4" t="n">
        <v>10.05</v>
      </c>
      <c r="J1372" s="4" t="n">
        <v>10.5225</v>
      </c>
      <c r="K1372" s="4" t="n">
        <v>9.6875</v>
      </c>
      <c r="L1372" s="4" t="n">
        <v>10.31</v>
      </c>
      <c r="M1372" s="7" t="n">
        <v>0.0259</v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4730</v>
      </c>
      <c r="F1373" s="8" t="n">
        <v>0.3541</v>
      </c>
      <c r="G1373" s="4" t="n">
        <v>115.2078</v>
      </c>
      <c r="H1373" s="4" t="n">
        <v>81.40649999999999</v>
      </c>
      <c r="I1373" s="4" t="n">
        <v>10.3125</v>
      </c>
      <c r="J1373" s="4" t="n">
        <v>10.565</v>
      </c>
      <c r="K1373" s="4" t="n">
        <v>9.9975</v>
      </c>
      <c r="L1373" s="4" t="n">
        <v>10.12</v>
      </c>
      <c r="M1373" s="7" t="n">
        <v>-0.0187</v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4735</v>
      </c>
      <c r="F1374" s="8" t="n">
        <v>0.3713</v>
      </c>
      <c r="G1374" s="4" t="n">
        <v>127.2675</v>
      </c>
      <c r="H1374" s="4" t="n">
        <v>72.1083</v>
      </c>
      <c r="I1374" s="4" t="n">
        <v>10.12</v>
      </c>
      <c r="J1374" s="4" t="n">
        <v>10.3425</v>
      </c>
      <c r="K1374" s="4" t="n">
        <v>9.710000000000001</v>
      </c>
      <c r="L1374" s="4" t="n">
        <v>10.1</v>
      </c>
      <c r="M1374" s="7" t="n">
        <v>-0.002</v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4851</v>
      </c>
      <c r="F1375" s="8" t="n">
        <v>0.3423</v>
      </c>
      <c r="G1375" s="4" t="n">
        <v>87.7863</v>
      </c>
      <c r="H1375" s="4" t="n">
        <v>71.0106</v>
      </c>
      <c r="I1375" s="4" t="n">
        <v>10.1025</v>
      </c>
      <c r="J1375" s="4" t="n">
        <v>11.2575</v>
      </c>
      <c r="K1375" s="4" t="n">
        <v>9.7775</v>
      </c>
      <c r="L1375" s="4" t="n">
        <v>11.01</v>
      </c>
      <c r="M1375" s="7" t="n">
        <v>0.0898</v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4745</v>
      </c>
      <c r="F1376" s="8" t="n">
        <v>0.4196</v>
      </c>
      <c r="G1376" s="4" t="n">
        <v>104.0196</v>
      </c>
      <c r="H1376" s="4" t="n">
        <v>88.2617</v>
      </c>
      <c r="I1376" s="4" t="n">
        <v>11.0075</v>
      </c>
      <c r="J1376" s="4" t="n">
        <v>11.6675</v>
      </c>
      <c r="K1376" s="4" t="n">
        <v>10.0125</v>
      </c>
      <c r="L1376" s="4" t="n">
        <v>11.16</v>
      </c>
      <c r="M1376" s="7" t="n">
        <v>0.0139</v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3" t="n">
        <v>4706</v>
      </c>
      <c r="F1377" s="8" t="n">
        <v>0.3169</v>
      </c>
      <c r="G1377" s="4" t="n">
        <v>91.3826</v>
      </c>
      <c r="H1377" s="4" t="n">
        <v>66.9906</v>
      </c>
      <c r="I1377" s="4" t="n">
        <v>11.155</v>
      </c>
      <c r="J1377" s="4" t="n">
        <v>11.155</v>
      </c>
      <c r="K1377" s="4" t="n">
        <v>10.4325</v>
      </c>
      <c r="L1377" s="4" t="n">
        <v>10.53</v>
      </c>
      <c r="M1377" s="7" t="n">
        <v>-0.056</v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3" t="n">
        <v>4712</v>
      </c>
      <c r="F1378" s="8" t="n">
        <v>0.3655</v>
      </c>
      <c r="G1378" s="4" t="n">
        <v>109.1728</v>
      </c>
      <c r="H1378" s="4" t="n">
        <v>107.9129</v>
      </c>
      <c r="I1378" s="4" t="n">
        <v>10.53</v>
      </c>
      <c r="J1378" s="4" t="n">
        <v>11.0575</v>
      </c>
      <c r="K1378" s="4" t="n">
        <v>10.3825</v>
      </c>
      <c r="L1378" s="4" t="n">
        <v>10.87</v>
      </c>
      <c r="M1378" s="7" t="n">
        <v>0.0323</v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3" t="n">
        <v>4672</v>
      </c>
      <c r="F1379" s="8" t="n">
        <v>0.3683</v>
      </c>
      <c r="G1379" s="4" t="n">
        <v>83.2145</v>
      </c>
      <c r="H1379" s="4" t="n">
        <v>74.26090000000001</v>
      </c>
      <c r="I1379" s="4" t="n">
        <v>10.865</v>
      </c>
      <c r="J1379" s="4" t="n">
        <v>11.81</v>
      </c>
      <c r="K1379" s="4" t="n">
        <v>9.775</v>
      </c>
      <c r="L1379" s="4" t="n">
        <v>11.63</v>
      </c>
      <c r="M1379" s="7" t="n">
        <v>0.0704</v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3" t="n">
        <v>4833</v>
      </c>
      <c r="F1380" s="8" t="n">
        <v>0.337</v>
      </c>
      <c r="G1380" s="4" t="n">
        <v>92.55840000000001</v>
      </c>
      <c r="H1380" s="4" t="n">
        <v>69.3155</v>
      </c>
      <c r="I1380" s="4" t="n">
        <v>11.625</v>
      </c>
      <c r="J1380" s="4" t="n">
        <v>11.8775</v>
      </c>
      <c r="K1380" s="4" t="n">
        <v>10.6675</v>
      </c>
      <c r="L1380" s="4" t="n">
        <v>11.36</v>
      </c>
      <c r="M1380" s="7" t="n">
        <v>-0.0228</v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3" t="n">
        <v>4387</v>
      </c>
      <c r="F1381" s="8" t="n">
        <v>0.1719</v>
      </c>
      <c r="G1381" s="4" t="n">
        <v>41.8239</v>
      </c>
      <c r="H1381" s="4" t="n">
        <v>25.3832</v>
      </c>
      <c r="I1381" s="4" t="n">
        <v>11.355</v>
      </c>
      <c r="J1381" s="4" t="n">
        <v>11.595</v>
      </c>
      <c r="K1381" s="4" t="n">
        <v>10.7</v>
      </c>
      <c r="L1381" s="4" t="n">
        <v>11.3</v>
      </c>
      <c r="M1381" s="7" t="n">
        <v>-0.0048</v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4840</v>
      </c>
      <c r="F1382" s="8" t="n">
        <v>0.4211</v>
      </c>
      <c r="G1382" s="4" t="n">
        <v>97.72499999999999</v>
      </c>
      <c r="H1382" s="4" t="n">
        <v>91.9436</v>
      </c>
      <c r="I1382" s="4" t="n">
        <v>11.2975</v>
      </c>
      <c r="J1382" s="4" t="n">
        <v>12.05</v>
      </c>
      <c r="K1382" s="4" t="n">
        <v>10.7375</v>
      </c>
      <c r="L1382" s="4" t="n">
        <v>11.73</v>
      </c>
      <c r="M1382" s="7" t="n">
        <v>0.0383</v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4770</v>
      </c>
      <c r="F1383" s="8" t="n">
        <v>0.3117</v>
      </c>
      <c r="G1383" s="4" t="n">
        <v>81.90900000000001</v>
      </c>
      <c r="H1383" s="4" t="n">
        <v>68.3412</v>
      </c>
      <c r="I1383" s="4" t="n">
        <v>11.7325</v>
      </c>
      <c r="J1383" s="4" t="n">
        <v>11.94</v>
      </c>
      <c r="K1383" s="4" t="n">
        <v>11.4375</v>
      </c>
      <c r="L1383" s="4" t="n">
        <v>11.59</v>
      </c>
      <c r="M1383" s="7" t="n">
        <v>-0.0121</v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3" t="n">
        <v>4907</v>
      </c>
      <c r="F1384" s="8" t="n">
        <v>0.3642</v>
      </c>
      <c r="G1384" s="4" t="n">
        <v>98.8819</v>
      </c>
      <c r="H1384" s="4" t="n">
        <v>73.8989</v>
      </c>
      <c r="I1384" s="4" t="n">
        <v>11.59</v>
      </c>
      <c r="J1384" s="4" t="n">
        <v>12.7275</v>
      </c>
      <c r="K1384" s="4" t="n">
        <v>11.2775</v>
      </c>
      <c r="L1384" s="4" t="n">
        <v>11.86</v>
      </c>
      <c r="M1384" s="7" t="n">
        <v>0.0233</v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3" t="n">
        <v>4737</v>
      </c>
      <c r="F1385" s="8" t="n">
        <v>0.3531</v>
      </c>
      <c r="G1385" s="4" t="n">
        <v>97.80800000000001</v>
      </c>
      <c r="H1385" s="4" t="n">
        <v>82.1225</v>
      </c>
      <c r="I1385" s="4" t="n">
        <v>11.8575</v>
      </c>
      <c r="J1385" s="4" t="n">
        <v>12.635</v>
      </c>
      <c r="K1385" s="4" t="n">
        <v>10.705</v>
      </c>
      <c r="L1385" s="4" t="n">
        <v>11.95</v>
      </c>
      <c r="M1385" s="7" t="n">
        <v>0.0078</v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3" t="n">
        <v>4726</v>
      </c>
      <c r="F1386" s="8" t="n">
        <v>0.3653</v>
      </c>
      <c r="G1386" s="4" t="n">
        <v>109.7477</v>
      </c>
      <c r="H1386" s="4" t="n">
        <v>85.2103</v>
      </c>
      <c r="I1386" s="4" t="n">
        <v>11.9525</v>
      </c>
      <c r="J1386" s="4" t="n">
        <v>12.1025</v>
      </c>
      <c r="K1386" s="4" t="n">
        <v>11.2275</v>
      </c>
      <c r="L1386" s="4" t="n">
        <v>11.97</v>
      </c>
      <c r="M1386" s="7" t="n">
        <v>0.0015</v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3" t="n">
        <v>4706</v>
      </c>
      <c r="F1387" s="8" t="n">
        <v>0.3504</v>
      </c>
      <c r="G1387" s="4" t="n">
        <v>91.875</v>
      </c>
      <c r="H1387" s="4" t="n">
        <v>83.383</v>
      </c>
      <c r="I1387" s="4" t="n">
        <v>11.9725</v>
      </c>
      <c r="J1387" s="4" t="n">
        <v>12.2725</v>
      </c>
      <c r="K1387" s="4" t="n">
        <v>11.705</v>
      </c>
      <c r="L1387" s="4" t="n">
        <v>12.07</v>
      </c>
      <c r="M1387" s="7" t="n">
        <v>0.0081</v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3" t="n">
        <v>4711</v>
      </c>
      <c r="F1388" s="8" t="n">
        <v>0.3569</v>
      </c>
      <c r="G1388" s="4" t="n">
        <v>86.99550000000001</v>
      </c>
      <c r="H1388" s="4" t="n">
        <v>75.3985</v>
      </c>
      <c r="I1388" s="4" t="n">
        <v>12.0675</v>
      </c>
      <c r="J1388" s="4" t="n">
        <v>12.2875</v>
      </c>
      <c r="K1388" s="4" t="n">
        <v>11.77</v>
      </c>
      <c r="L1388" s="4" t="n">
        <v>12.15</v>
      </c>
      <c r="M1388" s="7" t="n">
        <v>0.0068</v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3" t="n">
        <v>4858</v>
      </c>
      <c r="F1389" s="8" t="n">
        <v>0.359</v>
      </c>
      <c r="G1389" s="4" t="n">
        <v>90.6681</v>
      </c>
      <c r="H1389" s="4" t="n">
        <v>75.1751</v>
      </c>
      <c r="I1389" s="4" t="n">
        <v>12.1525</v>
      </c>
      <c r="J1389" s="4" t="n">
        <v>12.94</v>
      </c>
      <c r="K1389" s="4" t="n">
        <v>11.7875</v>
      </c>
      <c r="L1389" s="4" t="n">
        <v>12.67</v>
      </c>
      <c r="M1389" s="7" t="n">
        <v>0.0426</v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3" t="n">
        <v>4757</v>
      </c>
      <c r="F1390" s="8" t="n">
        <v>0.3208</v>
      </c>
      <c r="G1390" s="4" t="n">
        <v>92.6878</v>
      </c>
      <c r="H1390" s="4" t="n">
        <v>68.80970000000001</v>
      </c>
      <c r="I1390" s="4" t="n">
        <v>12.665</v>
      </c>
      <c r="J1390" s="4" t="n">
        <v>12.935</v>
      </c>
      <c r="K1390" s="4" t="n">
        <v>10.98</v>
      </c>
      <c r="L1390" s="4" t="n">
        <v>12.65</v>
      </c>
      <c r="M1390" s="7" t="n">
        <v>-0.0012</v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4766</v>
      </c>
      <c r="F1391" s="8" t="n">
        <v>0.4078</v>
      </c>
      <c r="G1391" s="4" t="n">
        <v>87.3141</v>
      </c>
      <c r="H1391" s="4" t="n">
        <v>95.7884</v>
      </c>
      <c r="I1391" s="4" t="n">
        <v>12.6525</v>
      </c>
      <c r="J1391" s="4" t="n">
        <v>12.865</v>
      </c>
      <c r="K1391" s="4" t="n">
        <v>12.0575</v>
      </c>
      <c r="L1391" s="4" t="n">
        <v>12.41</v>
      </c>
      <c r="M1391" s="7" t="n">
        <v>-0.0192</v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4696</v>
      </c>
      <c r="F1392" s="8" t="n">
        <v>0.3612</v>
      </c>
      <c r="G1392" s="4" t="n">
        <v>86.48609999999999</v>
      </c>
      <c r="H1392" s="4" t="n">
        <v>80.9132</v>
      </c>
      <c r="I1392" s="4" t="n">
        <v>12.41</v>
      </c>
      <c r="J1392" s="4" t="n">
        <v>12.6675</v>
      </c>
      <c r="K1392" s="4" t="n">
        <v>11.9575</v>
      </c>
      <c r="L1392" s="4" t="n">
        <v>12.56</v>
      </c>
      <c r="M1392" s="7" t="n">
        <v>0.0121</v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4911</v>
      </c>
      <c r="F1393" s="8" t="n">
        <v>0.3555</v>
      </c>
      <c r="G1393" s="4" t="n">
        <v>80.1211</v>
      </c>
      <c r="H1393" s="4" t="n">
        <v>81.44450000000001</v>
      </c>
      <c r="I1393" s="4" t="n">
        <v>12.5575</v>
      </c>
      <c r="J1393" s="4" t="n">
        <v>12.9275</v>
      </c>
      <c r="K1393" s="4" t="n">
        <v>11.405</v>
      </c>
      <c r="L1393" s="4" t="n">
        <v>12.3</v>
      </c>
      <c r="M1393" s="7" t="n">
        <v>-0.0205</v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4745</v>
      </c>
      <c r="F1394" s="8" t="n">
        <v>0.3195</v>
      </c>
      <c r="G1394" s="4" t="n">
        <v>83.3997</v>
      </c>
      <c r="H1394" s="4" t="n">
        <v>71.9071</v>
      </c>
      <c r="I1394" s="4" t="n">
        <v>12.3</v>
      </c>
      <c r="J1394" s="4" t="n">
        <v>13.005</v>
      </c>
      <c r="K1394" s="4" t="n">
        <v>11.9925</v>
      </c>
      <c r="L1394" s="4" t="n">
        <v>12.49</v>
      </c>
      <c r="M1394" s="7" t="n">
        <v>0.0154</v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4766</v>
      </c>
      <c r="F1395" s="8" t="n">
        <v>0.356</v>
      </c>
      <c r="G1395" s="4" t="n">
        <v>87.9619</v>
      </c>
      <c r="H1395" s="4" t="n">
        <v>79.3486</v>
      </c>
      <c r="I1395" s="4" t="n">
        <v>12.49</v>
      </c>
      <c r="J1395" s="4" t="n">
        <v>12.7125</v>
      </c>
      <c r="K1395" s="4" t="n">
        <v>11.4425</v>
      </c>
      <c r="L1395" s="4" t="n">
        <v>12.11</v>
      </c>
      <c r="M1395" s="7" t="n">
        <v>-0.0304</v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4773</v>
      </c>
      <c r="F1396" s="8" t="n">
        <v>0.3644</v>
      </c>
      <c r="G1396" s="4" t="n">
        <v>94.5355</v>
      </c>
      <c r="H1396" s="4" t="n">
        <v>99.1657</v>
      </c>
      <c r="I1396" s="4" t="n">
        <v>12.11</v>
      </c>
      <c r="J1396" s="4" t="n">
        <v>12.2725</v>
      </c>
      <c r="K1396" s="4" t="n">
        <v>11.23</v>
      </c>
      <c r="L1396" s="4" t="n">
        <v>12.16</v>
      </c>
      <c r="M1396" s="7" t="n">
        <v>0.0041</v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4694</v>
      </c>
      <c r="F1397" s="8" t="n">
        <v>0.3395</v>
      </c>
      <c r="G1397" s="4" t="n">
        <v>91.5848</v>
      </c>
      <c r="H1397" s="4" t="n">
        <v>88.434</v>
      </c>
      <c r="I1397" s="4" t="n">
        <v>12.1625</v>
      </c>
      <c r="J1397" s="4" t="n">
        <v>12.445</v>
      </c>
      <c r="K1397" s="4" t="n">
        <v>11.8025</v>
      </c>
      <c r="L1397" s="4" t="n">
        <v>11.94</v>
      </c>
      <c r="M1397" s="7" t="n">
        <v>-0.0183</v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4930</v>
      </c>
      <c r="F1398" s="8" t="n">
        <v>0.3407</v>
      </c>
      <c r="G1398" s="4" t="n">
        <v>86.0939</v>
      </c>
      <c r="H1398" s="4" t="n">
        <v>79.81610000000001</v>
      </c>
      <c r="I1398" s="4" t="n">
        <v>11.9375</v>
      </c>
      <c r="J1398" s="4" t="n">
        <v>12.28</v>
      </c>
      <c r="K1398" s="4" t="n">
        <v>10.895</v>
      </c>
      <c r="L1398" s="4" t="n">
        <v>11.79</v>
      </c>
      <c r="M1398" s="7" t="n">
        <v>-0.0124</v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4769</v>
      </c>
      <c r="F1399" s="8" t="n">
        <v>0.3554</v>
      </c>
      <c r="G1399" s="4" t="n">
        <v>81.9571</v>
      </c>
      <c r="H1399" s="4" t="n">
        <v>141.9317</v>
      </c>
      <c r="I1399" s="4" t="n">
        <v>11.7875</v>
      </c>
      <c r="J1399" s="4" t="n">
        <v>12.29</v>
      </c>
      <c r="K1399" s="4" t="n">
        <v>10.94</v>
      </c>
      <c r="L1399" s="4" t="n">
        <v>12.1</v>
      </c>
      <c r="M1399" s="7" t="n">
        <v>0.0265</v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4743</v>
      </c>
      <c r="F1400" s="8" t="n">
        <v>0.3337</v>
      </c>
      <c r="G1400" s="4" t="n">
        <v>96.66379999999999</v>
      </c>
      <c r="H1400" s="4" t="n">
        <v>71.50369999999999</v>
      </c>
      <c r="I1400" s="4" t="n">
        <v>12.095</v>
      </c>
      <c r="J1400" s="4" t="n">
        <v>12.375</v>
      </c>
      <c r="K1400" s="4" t="n">
        <v>10.765</v>
      </c>
      <c r="L1400" s="4" t="n">
        <v>11.97</v>
      </c>
      <c r="M1400" s="7" t="n">
        <v>-0.0103</v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4757</v>
      </c>
      <c r="F1401" s="8" t="n">
        <v>0.331</v>
      </c>
      <c r="G1401" s="4" t="n">
        <v>96.8458</v>
      </c>
      <c r="H1401" s="4" t="n">
        <v>88.97369999999999</v>
      </c>
      <c r="I1401" s="4" t="n">
        <v>11.9725</v>
      </c>
      <c r="J1401" s="4" t="n">
        <v>12.3775</v>
      </c>
      <c r="K1401" s="4" t="n">
        <v>11.055</v>
      </c>
      <c r="L1401" s="4" t="n">
        <v>12.14</v>
      </c>
      <c r="M1401" s="7" t="n">
        <v>0.014</v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4701</v>
      </c>
      <c r="F1402" s="8" t="n">
        <v>0.2907</v>
      </c>
      <c r="G1402" s="4" t="n">
        <v>88.8155</v>
      </c>
      <c r="H1402" s="4" t="n">
        <v>89.9171</v>
      </c>
      <c r="I1402" s="4" t="n">
        <v>12.135</v>
      </c>
      <c r="J1402" s="4" t="n">
        <v>13.85</v>
      </c>
      <c r="K1402" s="4" t="n">
        <v>12.135</v>
      </c>
      <c r="L1402" s="4" t="n">
        <v>13.63</v>
      </c>
      <c r="M1402" s="7" t="n">
        <v>0.1232</v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3" t="n">
        <v>4872</v>
      </c>
      <c r="F1403" s="8" t="n">
        <v>0.3268</v>
      </c>
      <c r="G1403" s="4" t="n">
        <v>82.90519999999999</v>
      </c>
      <c r="H1403" s="4" t="n">
        <v>68.0671</v>
      </c>
      <c r="I1403" s="4" t="n">
        <v>13.63</v>
      </c>
      <c r="J1403" s="4" t="n">
        <v>13.63</v>
      </c>
      <c r="K1403" s="4" t="n">
        <v>11.9375</v>
      </c>
      <c r="L1403" s="4" t="n">
        <v>13.24</v>
      </c>
      <c r="M1403" s="7" t="n">
        <v>-0.0286</v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3" t="n">
        <v>4736</v>
      </c>
      <c r="F1404" s="8" t="n">
        <v>0.2614</v>
      </c>
      <c r="G1404" s="4" t="n">
        <v>66.4688</v>
      </c>
      <c r="H1404" s="4" t="n">
        <v>65.7051</v>
      </c>
      <c r="I1404" s="4" t="n">
        <v>13.235</v>
      </c>
      <c r="J1404" s="4" t="n">
        <v>13.235</v>
      </c>
      <c r="K1404" s="4" t="n">
        <v>10.855</v>
      </c>
      <c r="L1404" s="4" t="n">
        <v>12.24</v>
      </c>
      <c r="M1404" s="7" t="n">
        <v>-0.0752</v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3" t="n">
        <v>4689</v>
      </c>
      <c r="F1405" s="8" t="n">
        <v>0.2949</v>
      </c>
      <c r="G1405" s="4" t="n">
        <v>70.9063</v>
      </c>
      <c r="H1405" s="4" t="n">
        <v>68.06619999999999</v>
      </c>
      <c r="I1405" s="4" t="n">
        <v>12.2425</v>
      </c>
      <c r="J1405" s="4" t="n">
        <v>12.5725</v>
      </c>
      <c r="K1405" s="4" t="n">
        <v>11.585</v>
      </c>
      <c r="L1405" s="4" t="n">
        <v>11.97</v>
      </c>
      <c r="M1405" s="7" t="n">
        <v>-0.0223</v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3" t="n">
        <v>4726</v>
      </c>
      <c r="F1406" s="8" t="n">
        <v>0.2996</v>
      </c>
      <c r="G1406" s="4" t="n">
        <v>81.4064</v>
      </c>
      <c r="H1406" s="4" t="n">
        <v>99.4462</v>
      </c>
      <c r="I1406" s="4" t="n">
        <v>11.9675</v>
      </c>
      <c r="J1406" s="4" t="n">
        <v>12.2425</v>
      </c>
      <c r="K1406" s="4" t="n">
        <v>11.5075</v>
      </c>
      <c r="L1406" s="4" t="n">
        <v>11.79</v>
      </c>
      <c r="M1406" s="7" t="n">
        <v>-0.0148</v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3" t="n">
        <v>4694</v>
      </c>
      <c r="F1407" s="8" t="n">
        <v>0.2921</v>
      </c>
      <c r="G1407" s="4" t="n">
        <v>68.0873</v>
      </c>
      <c r="H1407" s="4" t="n">
        <v>61.8134</v>
      </c>
      <c r="I1407" s="4" t="n">
        <v>11.785</v>
      </c>
      <c r="J1407" s="4" t="n">
        <v>11.785</v>
      </c>
      <c r="K1407" s="4" t="n">
        <v>10.8175</v>
      </c>
      <c r="L1407" s="4" t="n">
        <v>11.62</v>
      </c>
      <c r="M1407" s="7" t="n">
        <v>-0.014</v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4855</v>
      </c>
      <c r="F1408" s="8" t="n">
        <v>0.3191</v>
      </c>
      <c r="G1408" s="4" t="n">
        <v>76.1251</v>
      </c>
      <c r="H1408" s="4" t="n">
        <v>62.4215</v>
      </c>
      <c r="I1408" s="4" t="n">
        <v>11.6175</v>
      </c>
      <c r="J1408" s="4" t="n">
        <v>12.01</v>
      </c>
      <c r="K1408" s="4" t="n">
        <v>10.9</v>
      </c>
      <c r="L1408" s="4" t="n">
        <v>11.63</v>
      </c>
      <c r="M1408" s="7" t="n">
        <v>0.0011</v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4757</v>
      </c>
      <c r="F1409" s="8" t="n">
        <v>0.2727</v>
      </c>
      <c r="G1409" s="4" t="n">
        <v>81.5116</v>
      </c>
      <c r="H1409" s="4" t="n">
        <v>58.943</v>
      </c>
      <c r="I1409" s="4" t="n">
        <v>11.625</v>
      </c>
      <c r="J1409" s="4" t="n">
        <v>11.94</v>
      </c>
      <c r="K1409" s="4" t="n">
        <v>11.03</v>
      </c>
      <c r="L1409" s="4" t="n">
        <v>11.23</v>
      </c>
      <c r="M1409" s="7" t="n">
        <v>-0.034</v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4738</v>
      </c>
      <c r="F1410" s="8" t="n">
        <v>0.308</v>
      </c>
      <c r="G1410" s="4" t="n">
        <v>92.9529</v>
      </c>
      <c r="H1410" s="4" t="n">
        <v>68.212</v>
      </c>
      <c r="I1410" s="4" t="n">
        <v>11.2275</v>
      </c>
      <c r="J1410" s="4" t="n">
        <v>11.3725</v>
      </c>
      <c r="K1410" s="4" t="n">
        <v>10.915</v>
      </c>
      <c r="L1410" s="4" t="n">
        <v>11.21</v>
      </c>
      <c r="M1410" s="7" t="n">
        <v>-0.0016</v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4706</v>
      </c>
      <c r="F1411" s="8" t="n">
        <v>0.3084</v>
      </c>
      <c r="G1411" s="4" t="n">
        <v>84.86750000000001</v>
      </c>
      <c r="H1411" s="4" t="n">
        <v>77.1384</v>
      </c>
      <c r="I1411" s="4" t="n">
        <v>11.2125</v>
      </c>
      <c r="J1411" s="4" t="n">
        <v>11.27</v>
      </c>
      <c r="K1411" s="4" t="n">
        <v>10.58</v>
      </c>
      <c r="L1411" s="4" t="n">
        <v>10.82</v>
      </c>
      <c r="M1411" s="7" t="n">
        <v>-0.035</v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4709</v>
      </c>
      <c r="F1412" s="8" t="n">
        <v>0.2728</v>
      </c>
      <c r="G1412" s="4" t="n">
        <v>78.0406</v>
      </c>
      <c r="H1412" s="4" t="n">
        <v>59.2556</v>
      </c>
      <c r="I1412" s="4" t="n">
        <v>10.8175</v>
      </c>
      <c r="J1412" s="4" t="n">
        <v>10.8675</v>
      </c>
      <c r="K1412" s="4" t="n">
        <v>10.1575</v>
      </c>
      <c r="L1412" s="4" t="n">
        <v>10.32</v>
      </c>
      <c r="M1412" s="7" t="n">
        <v>-0.046</v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4914</v>
      </c>
      <c r="F1413" s="8" t="n">
        <v>0.3327</v>
      </c>
      <c r="G1413" s="4" t="n">
        <v>79.5808</v>
      </c>
      <c r="H1413" s="4" t="n">
        <v>69.8914</v>
      </c>
      <c r="I1413" s="4" t="n">
        <v>10.315</v>
      </c>
      <c r="J1413" s="4" t="n">
        <v>11.61</v>
      </c>
      <c r="K1413" s="4" t="n">
        <v>10.135</v>
      </c>
      <c r="L1413" s="4" t="n">
        <v>11.13</v>
      </c>
      <c r="M1413" s="7" t="n">
        <v>0.079</v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4721</v>
      </c>
      <c r="F1414" s="8" t="n">
        <v>0.3347</v>
      </c>
      <c r="G1414" s="4" t="n">
        <v>93.8832</v>
      </c>
      <c r="H1414" s="4" t="n">
        <v>78.64960000000001</v>
      </c>
      <c r="I1414" s="4" t="n">
        <v>11.125</v>
      </c>
      <c r="J1414" s="4" t="n">
        <v>11.8825</v>
      </c>
      <c r="K1414" s="4" t="n">
        <v>10.455</v>
      </c>
      <c r="L1414" s="4" t="n">
        <v>10.95</v>
      </c>
      <c r="M1414" s="7" t="n">
        <v>-0.0157</v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4721</v>
      </c>
      <c r="F1415" s="8" t="n">
        <v>0.3346</v>
      </c>
      <c r="G1415" s="4" t="n">
        <v>72.5153</v>
      </c>
      <c r="H1415" s="4" t="n">
        <v>65.9658</v>
      </c>
      <c r="I1415" s="4" t="n">
        <v>10.9525</v>
      </c>
      <c r="J1415" s="4" t="n">
        <v>11.4225</v>
      </c>
      <c r="K1415" s="4" t="n">
        <v>10.49</v>
      </c>
      <c r="L1415" s="4" t="n">
        <v>10.91</v>
      </c>
      <c r="M1415" s="7" t="n">
        <v>-0.0039</v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4728</v>
      </c>
      <c r="F1416" s="8" t="n">
        <v>0.2903</v>
      </c>
      <c r="G1416" s="4" t="n">
        <v>81.48309999999999</v>
      </c>
      <c r="H1416" s="4" t="n">
        <v>72.5385</v>
      </c>
      <c r="I1416" s="4" t="n">
        <v>10.9125</v>
      </c>
      <c r="J1416" s="4" t="n">
        <v>11.1925</v>
      </c>
      <c r="K1416" s="4" t="n">
        <v>10.3175</v>
      </c>
      <c r="L1416" s="4" t="n">
        <v>10.4</v>
      </c>
      <c r="M1416" s="7" t="n">
        <v>-0.047</v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4726</v>
      </c>
      <c r="F1417" s="8" t="n">
        <v>0.2647</v>
      </c>
      <c r="G1417" s="4" t="n">
        <v>84.193</v>
      </c>
      <c r="H1417" s="4" t="n">
        <v>76.20569999999999</v>
      </c>
      <c r="I1417" s="4" t="n">
        <v>10.4</v>
      </c>
      <c r="J1417" s="4" t="n">
        <v>10.4</v>
      </c>
      <c r="K1417" s="4" t="n">
        <v>9.9625</v>
      </c>
      <c r="L1417" s="4" t="n">
        <v>10.11</v>
      </c>
      <c r="M1417" s="7" t="n">
        <v>-0.0279</v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4858</v>
      </c>
      <c r="F1418" s="8" t="n">
        <v>0.2789</v>
      </c>
      <c r="G1418" s="4" t="n">
        <v>76.62739999999999</v>
      </c>
      <c r="H1418" s="4" t="n">
        <v>61.6648</v>
      </c>
      <c r="I1418" s="4" t="n">
        <v>10.1075</v>
      </c>
      <c r="J1418" s="4" t="n">
        <v>10.8425</v>
      </c>
      <c r="K1418" s="4" t="n">
        <v>10.0475</v>
      </c>
      <c r="L1418" s="4" t="n">
        <v>10.25</v>
      </c>
      <c r="M1418" s="7" t="n">
        <v>0.0141</v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4709</v>
      </c>
      <c r="F1419" s="8" t="n">
        <v>0.2455</v>
      </c>
      <c r="G1419" s="4" t="n">
        <v>70.9045</v>
      </c>
      <c r="H1419" s="4" t="n">
        <v>56.852</v>
      </c>
      <c r="I1419" s="4" t="n">
        <v>10.25</v>
      </c>
      <c r="J1419" s="4" t="n">
        <v>10.4275</v>
      </c>
      <c r="K1419" s="4" t="n">
        <v>9.6625</v>
      </c>
      <c r="L1419" s="4" t="n">
        <v>10.06</v>
      </c>
      <c r="M1419" s="7" t="n">
        <v>-0.0185</v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4721</v>
      </c>
      <c r="F1420" s="8" t="n">
        <v>0.2629</v>
      </c>
      <c r="G1420" s="4" t="n">
        <v>69.0181</v>
      </c>
      <c r="H1420" s="4" t="n">
        <v>68.4006</v>
      </c>
      <c r="I1420" s="4" t="n">
        <v>10.0625</v>
      </c>
      <c r="J1420" s="4" t="n">
        <v>10.1775</v>
      </c>
      <c r="K1420" s="4" t="n">
        <v>9.4825</v>
      </c>
      <c r="L1420" s="4" t="n">
        <v>9.84</v>
      </c>
      <c r="M1420" s="7" t="n">
        <v>-0.0221</v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3" t="n">
        <v>4749</v>
      </c>
      <c r="F1421" s="8" t="n">
        <v>0.3182</v>
      </c>
      <c r="G1421" s="4" t="n">
        <v>82.4687</v>
      </c>
      <c r="H1421" s="4" t="n">
        <v>77.23650000000001</v>
      </c>
      <c r="I1421" s="4" t="n">
        <v>9.8375</v>
      </c>
      <c r="J1421" s="4" t="n">
        <v>9.9475</v>
      </c>
      <c r="K1421" s="4" t="n">
        <v>9.612500000000001</v>
      </c>
      <c r="L1421" s="4" t="n">
        <v>9.710000000000001</v>
      </c>
      <c r="M1421" s="7" t="n">
        <v>-0.013</v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3" t="n">
        <v>4745</v>
      </c>
      <c r="F1422" s="8" t="n">
        <v>0.3169</v>
      </c>
      <c r="G1422" s="4" t="n">
        <v>98.6597</v>
      </c>
      <c r="H1422" s="4" t="n">
        <v>78.4335</v>
      </c>
      <c r="I1422" s="4" t="n">
        <v>9.7075</v>
      </c>
      <c r="J1422" s="4" t="n">
        <v>10.3075</v>
      </c>
      <c r="K1422" s="4" t="n">
        <v>9.435</v>
      </c>
      <c r="L1422" s="4" t="n">
        <v>9.52</v>
      </c>
      <c r="M1422" s="7" t="n">
        <v>-0.0193</v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3" t="n">
        <v>4970</v>
      </c>
      <c r="F1423" s="8" t="n">
        <v>0.2976</v>
      </c>
      <c r="G1423" s="4" t="n">
        <v>95.61490000000001</v>
      </c>
      <c r="H1423" s="4" t="n">
        <v>64.8767</v>
      </c>
      <c r="I1423" s="4" t="n">
        <v>9.522500000000001</v>
      </c>
      <c r="J1423" s="4" t="n">
        <v>9.897500000000001</v>
      </c>
      <c r="K1423" s="4" t="n">
        <v>8.862500000000001</v>
      </c>
      <c r="L1423" s="4" t="n">
        <v>9.68</v>
      </c>
      <c r="M1423" s="7" t="n">
        <v>0.0165</v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3" t="n">
        <v>4785</v>
      </c>
      <c r="F1424" s="8" t="n">
        <v>0.3152</v>
      </c>
      <c r="G1424" s="4" t="n">
        <v>92.75239999999999</v>
      </c>
      <c r="H1424" s="4" t="n">
        <v>64.2747</v>
      </c>
      <c r="I1424" s="4" t="n">
        <v>9.675000000000001</v>
      </c>
      <c r="J1424" s="4" t="n">
        <v>9.785</v>
      </c>
      <c r="K1424" s="4" t="n">
        <v>9.3225</v>
      </c>
      <c r="L1424" s="4" t="n">
        <v>9.380000000000001</v>
      </c>
      <c r="M1424" s="7" t="n">
        <v>-0.0305</v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3" t="n">
        <v>4778</v>
      </c>
      <c r="F1425" s="8" t="n">
        <v>0.3076</v>
      </c>
      <c r="G1425" s="4" t="n">
        <v>95.2895</v>
      </c>
      <c r="H1425" s="4" t="n">
        <v>83.2835</v>
      </c>
      <c r="I1425" s="4" t="n">
        <v>9.3775</v>
      </c>
      <c r="J1425" s="4" t="n">
        <v>9.68</v>
      </c>
      <c r="K1425" s="4" t="n">
        <v>8.8825</v>
      </c>
      <c r="L1425" s="4" t="n">
        <v>9.19</v>
      </c>
      <c r="M1425" s="7" t="n">
        <v>-0.02</v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3" t="n">
        <v>4788</v>
      </c>
      <c r="F1426" s="8" t="n">
        <v>0.2932</v>
      </c>
      <c r="G1426" s="4" t="n">
        <v>84.6627</v>
      </c>
      <c r="H1426" s="4" t="n">
        <v>61.72</v>
      </c>
      <c r="I1426" s="4" t="n">
        <v>9.19</v>
      </c>
      <c r="J1426" s="4" t="n">
        <v>9.395</v>
      </c>
      <c r="K1426" s="4" t="n">
        <v>9.02</v>
      </c>
      <c r="L1426" s="4" t="n">
        <v>9.15</v>
      </c>
      <c r="M1426" s="7" t="n">
        <v>-0.0044</v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3" t="n">
        <v>4968</v>
      </c>
      <c r="F1427" s="8" t="n">
        <v>0.3418</v>
      </c>
      <c r="G1427" s="4" t="n">
        <v>104.1799</v>
      </c>
      <c r="H1427" s="4" t="n">
        <v>97.1253</v>
      </c>
      <c r="I1427" s="4" t="n">
        <v>9.15</v>
      </c>
      <c r="J1427" s="4" t="n">
        <v>9.77</v>
      </c>
      <c r="K1427" s="4" t="n">
        <v>9.047499999999999</v>
      </c>
      <c r="L1427" s="4" t="n">
        <v>9.720000000000001</v>
      </c>
      <c r="M1427" s="7" t="n">
        <v>0.0623</v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3" t="n">
        <v>4768</v>
      </c>
      <c r="F1428" s="8" t="n">
        <v>0.3315</v>
      </c>
      <c r="G1428" s="4" t="n">
        <v>93.631</v>
      </c>
      <c r="H1428" s="4" t="n">
        <v>68.26649999999999</v>
      </c>
      <c r="I1428" s="4" t="n">
        <v>9.720000000000001</v>
      </c>
      <c r="J1428" s="4" t="n">
        <v>9.987500000000001</v>
      </c>
      <c r="K1428" s="4" t="n">
        <v>9.5875</v>
      </c>
      <c r="L1428" s="4" t="n">
        <v>9.68</v>
      </c>
      <c r="M1428" s="7" t="n">
        <v>-0.0041</v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3" t="n">
        <v>4788</v>
      </c>
      <c r="F1429" s="8" t="n">
        <v>0.3447</v>
      </c>
      <c r="G1429" s="4" t="n">
        <v>142.7017</v>
      </c>
      <c r="H1429" s="4" t="n">
        <v>82.9164</v>
      </c>
      <c r="I1429" s="4" t="n">
        <v>9.6775</v>
      </c>
      <c r="J1429" s="4" t="n">
        <v>9.73</v>
      </c>
      <c r="K1429" s="4" t="n">
        <v>9.3125</v>
      </c>
      <c r="L1429" s="4" t="n">
        <v>9.48</v>
      </c>
      <c r="M1429" s="7" t="n">
        <v>-0.0204</v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4696</v>
      </c>
      <c r="F1430" s="8" t="n">
        <v>0.2895</v>
      </c>
      <c r="G1430" s="4" t="n">
        <v>95.54810000000001</v>
      </c>
      <c r="H1430" s="4" t="n">
        <v>62.3723</v>
      </c>
      <c r="I1430" s="4" t="n">
        <v>9.475</v>
      </c>
      <c r="J1430" s="4" t="n">
        <v>9.475</v>
      </c>
      <c r="K1430" s="4" t="n">
        <v>8.720000000000001</v>
      </c>
      <c r="L1430" s="4" t="n">
        <v>9.19</v>
      </c>
      <c r="M1430" s="7" t="n">
        <v>-0.0301</v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4818</v>
      </c>
      <c r="F1431" s="8" t="n">
        <v>0.3358</v>
      </c>
      <c r="G1431" s="4" t="n">
        <v>117.5377</v>
      </c>
      <c r="H1431" s="4" t="n">
        <v>81.2619</v>
      </c>
      <c r="I1431" s="4" t="n">
        <v>9.185</v>
      </c>
      <c r="J1431" s="4" t="n">
        <v>9.555</v>
      </c>
      <c r="K1431" s="4" t="n">
        <v>8.967499999999999</v>
      </c>
      <c r="L1431" s="4" t="n">
        <v>9.449999999999999</v>
      </c>
      <c r="M1431" s="7" t="n">
        <v>0.0289</v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4907</v>
      </c>
      <c r="F1432" s="8" t="n">
        <v>0.3511</v>
      </c>
      <c r="G1432" s="4" t="n">
        <v>118.1729</v>
      </c>
      <c r="H1432" s="4" t="n">
        <v>81.5027</v>
      </c>
      <c r="I1432" s="4" t="n">
        <v>9.449999999999999</v>
      </c>
      <c r="J1432" s="4" t="n">
        <v>10.215</v>
      </c>
      <c r="K1432" s="4" t="n">
        <v>9.2925</v>
      </c>
      <c r="L1432" s="4" t="n">
        <v>10.02</v>
      </c>
      <c r="M1432" s="7" t="n">
        <v>0.0603</v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4808</v>
      </c>
      <c r="F1433" s="8" t="n">
        <v>0.3149</v>
      </c>
      <c r="G1433" s="4" t="n">
        <v>89.8134</v>
      </c>
      <c r="H1433" s="4" t="n">
        <v>78.27030000000001</v>
      </c>
      <c r="I1433" s="4" t="n">
        <v>10.0225</v>
      </c>
      <c r="J1433" s="4" t="n">
        <v>10.285</v>
      </c>
      <c r="K1433" s="4" t="n">
        <v>9.647500000000001</v>
      </c>
      <c r="L1433" s="4" t="n">
        <v>10.02</v>
      </c>
      <c r="M1433" s="7" t="n">
        <v>-0.0002</v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4761</v>
      </c>
      <c r="F1434" s="8" t="n">
        <v>0.3321</v>
      </c>
      <c r="G1434" s="4" t="n">
        <v>80.31019999999999</v>
      </c>
      <c r="H1434" s="4" t="n">
        <v>91.66249999999999</v>
      </c>
      <c r="I1434" s="4" t="n">
        <v>10.0175</v>
      </c>
      <c r="J1434" s="4" t="n">
        <v>10.24</v>
      </c>
      <c r="K1434" s="4" t="n">
        <v>9.744999999999999</v>
      </c>
      <c r="L1434" s="4" t="n">
        <v>9.949999999999999</v>
      </c>
      <c r="M1434" s="7" t="n">
        <v>-0.0067</v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3" t="n">
        <v>4776</v>
      </c>
      <c r="F1435" s="8" t="n">
        <v>0.3959</v>
      </c>
      <c r="G1435" s="4" t="n">
        <v>86.72750000000001</v>
      </c>
      <c r="H1435" s="4" t="n">
        <v>101.6209</v>
      </c>
      <c r="I1435" s="4" t="n">
        <v>9.949999999999999</v>
      </c>
      <c r="J1435" s="4" t="n">
        <v>10.99</v>
      </c>
      <c r="K1435" s="4" t="n">
        <v>9.475</v>
      </c>
      <c r="L1435" s="4" t="n">
        <v>10.6</v>
      </c>
      <c r="M1435" s="7" t="n">
        <v>0.0653</v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3" t="n">
        <v>4756</v>
      </c>
      <c r="F1436" s="8" t="n">
        <v>0.3521</v>
      </c>
      <c r="G1436" s="4" t="n">
        <v>86.6694</v>
      </c>
      <c r="H1436" s="4" t="n">
        <v>79.53660000000001</v>
      </c>
      <c r="I1436" s="4" t="n">
        <v>10.6</v>
      </c>
      <c r="J1436" s="4" t="n">
        <v>11.035</v>
      </c>
      <c r="K1436" s="4" t="n">
        <v>10.2175</v>
      </c>
      <c r="L1436" s="4" t="n">
        <v>10.93</v>
      </c>
      <c r="M1436" s="7" t="n">
        <v>0.0311</v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3" t="n">
        <v>4914</v>
      </c>
      <c r="F1437" s="8" t="n">
        <v>0.3812</v>
      </c>
      <c r="G1437" s="4" t="n">
        <v>88.794</v>
      </c>
      <c r="H1437" s="4" t="n">
        <v>80.1288</v>
      </c>
      <c r="I1437" s="4" t="n">
        <v>10.925</v>
      </c>
      <c r="J1437" s="4" t="n">
        <v>11.945</v>
      </c>
      <c r="K1437" s="4" t="n">
        <v>10.5175</v>
      </c>
      <c r="L1437" s="4" t="n">
        <v>11.37</v>
      </c>
      <c r="M1437" s="7" t="n">
        <v>0.0407</v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3" t="n">
        <v>4730</v>
      </c>
      <c r="F1438" s="8" t="n">
        <v>0.318</v>
      </c>
      <c r="G1438" s="4" t="n">
        <v>75.57769999999999</v>
      </c>
      <c r="H1438" s="4" t="n">
        <v>75.3163</v>
      </c>
      <c r="I1438" s="4" t="n">
        <v>11.3675</v>
      </c>
      <c r="J1438" s="4" t="n">
        <v>11.68</v>
      </c>
      <c r="K1438" s="4" t="n">
        <v>10.6375</v>
      </c>
      <c r="L1438" s="4" t="n">
        <v>11.2</v>
      </c>
      <c r="M1438" s="7" t="n">
        <v>-0.0147</v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3" t="n">
        <v>4742</v>
      </c>
      <c r="F1439" s="8" t="n">
        <v>0.3133</v>
      </c>
      <c r="G1439" s="4" t="n">
        <v>77.8441</v>
      </c>
      <c r="H1439" s="4" t="n">
        <v>89.1373</v>
      </c>
      <c r="I1439" s="4" t="n">
        <v>11.1975</v>
      </c>
      <c r="J1439" s="4" t="n">
        <v>11.4725</v>
      </c>
      <c r="K1439" s="4" t="n">
        <v>11.0125</v>
      </c>
      <c r="L1439" s="4" t="n">
        <v>11.32</v>
      </c>
      <c r="M1439" s="7" t="n">
        <v>0.0109</v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4800</v>
      </c>
      <c r="F1440" s="8" t="n">
        <v>0.3386</v>
      </c>
      <c r="G1440" s="4" t="n">
        <v>98.68689999999999</v>
      </c>
      <c r="H1440" s="4" t="n">
        <v>91.77330000000001</v>
      </c>
      <c r="I1440" s="4" t="n">
        <v>11.32</v>
      </c>
      <c r="J1440" s="4" t="n">
        <v>11.575</v>
      </c>
      <c r="K1440" s="4" t="n">
        <v>10.875</v>
      </c>
      <c r="L1440" s="4" t="n">
        <v>11.37</v>
      </c>
      <c r="M1440" s="7" t="n">
        <v>0.0044</v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3" t="n">
        <v>4906</v>
      </c>
      <c r="F1441" s="8" t="n">
        <v>0.3604</v>
      </c>
      <c r="G1441" s="4" t="n">
        <v>87.23860000000001</v>
      </c>
      <c r="H1441" s="4" t="n">
        <v>78.9824</v>
      </c>
      <c r="I1441" s="4" t="n">
        <v>11.3725</v>
      </c>
      <c r="J1441" s="4" t="n">
        <v>12.125</v>
      </c>
      <c r="K1441" s="4" t="n">
        <v>10.3925</v>
      </c>
      <c r="L1441" s="4" t="n">
        <v>11.83</v>
      </c>
      <c r="M1441" s="7" t="n">
        <v>0.0402</v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3" t="n">
        <v>4855</v>
      </c>
      <c r="F1442" s="8" t="n">
        <v>0.404</v>
      </c>
      <c r="G1442" s="4" t="n">
        <v>99.3991</v>
      </c>
      <c r="H1442" s="4" t="n">
        <v>94.4328</v>
      </c>
      <c r="I1442" s="4" t="n">
        <v>11.8275</v>
      </c>
      <c r="J1442" s="4" t="n">
        <v>12.9025</v>
      </c>
      <c r="K1442" s="4" t="n">
        <v>10.995</v>
      </c>
      <c r="L1442" s="4" t="n">
        <v>12.73</v>
      </c>
      <c r="M1442" s="7" t="n">
        <v>0.07630000000000001</v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3" t="n">
        <v>4887</v>
      </c>
      <c r="F1443" s="8" t="n">
        <v>0.4548</v>
      </c>
      <c r="G1443" s="4" t="n">
        <v>108.2143</v>
      </c>
      <c r="H1443" s="4" t="n">
        <v>94.892</v>
      </c>
      <c r="I1443" s="4" t="n">
        <v>12.73</v>
      </c>
      <c r="J1443" s="4" t="n">
        <v>14.43</v>
      </c>
      <c r="K1443" s="4" t="n">
        <v>12.4325</v>
      </c>
      <c r="L1443" s="4" t="n">
        <v>13.78</v>
      </c>
      <c r="M1443" s="7" t="n">
        <v>0.0825</v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3" t="n">
        <v>4787</v>
      </c>
      <c r="F1444" s="8" t="n">
        <v>0.4179</v>
      </c>
      <c r="G1444" s="4" t="n">
        <v>97.0783</v>
      </c>
      <c r="H1444" s="4" t="n">
        <v>94.8558</v>
      </c>
      <c r="I1444" s="4" t="n">
        <v>13.78</v>
      </c>
      <c r="J1444" s="4" t="n">
        <v>14.3275</v>
      </c>
      <c r="K1444" s="4" t="n">
        <v>12.9075</v>
      </c>
      <c r="L1444" s="4" t="n">
        <v>13.35</v>
      </c>
      <c r="M1444" s="7" t="n">
        <v>-0.0312</v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3" t="n">
        <v>4759</v>
      </c>
      <c r="F1445" s="8" t="n">
        <v>0.3746</v>
      </c>
      <c r="G1445" s="4" t="n">
        <v>75.6566</v>
      </c>
      <c r="H1445" s="4" t="n">
        <v>86.5262</v>
      </c>
      <c r="I1445" s="4" t="n">
        <v>13.35</v>
      </c>
      <c r="J1445" s="4" t="n">
        <v>14.4325</v>
      </c>
      <c r="K1445" s="4" t="n">
        <v>12.2825</v>
      </c>
      <c r="L1445" s="4" t="n">
        <v>14.19</v>
      </c>
      <c r="M1445" s="7" t="n">
        <v>0.0629</v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3" t="n">
        <v>4949</v>
      </c>
      <c r="F1446" s="8" t="n">
        <v>0.4288</v>
      </c>
      <c r="G1446" s="4" t="n">
        <v>81.97929999999999</v>
      </c>
      <c r="H1446" s="4" t="n">
        <v>111.282</v>
      </c>
      <c r="I1446" s="4" t="n">
        <v>14.1925</v>
      </c>
      <c r="J1446" s="4" t="n">
        <v>16.0575</v>
      </c>
      <c r="K1446" s="4" t="n">
        <v>13.9225</v>
      </c>
      <c r="L1446" s="4" t="n">
        <v>14.45</v>
      </c>
      <c r="M1446" s="7" t="n">
        <v>0.0181</v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3" t="n">
        <v>4818</v>
      </c>
      <c r="F1447" s="8" t="n">
        <v>0.4108</v>
      </c>
      <c r="G1447" s="4" t="n">
        <v>81.41419999999999</v>
      </c>
      <c r="H1447" s="4" t="n">
        <v>105.0954</v>
      </c>
      <c r="I1447" s="4" t="n">
        <v>14.4525</v>
      </c>
      <c r="J1447" s="4" t="n">
        <v>14.51</v>
      </c>
      <c r="K1447" s="4" t="n">
        <v>13.44</v>
      </c>
      <c r="L1447" s="4" t="n">
        <v>13.53</v>
      </c>
      <c r="M1447" s="7" t="n">
        <v>-0.0638</v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3" t="n">
        <v>4833</v>
      </c>
      <c r="F1448" s="8" t="n">
        <v>0.4461</v>
      </c>
      <c r="G1448" s="4" t="n">
        <v>86.83710000000001</v>
      </c>
      <c r="H1448" s="4" t="n">
        <v>116.6968</v>
      </c>
      <c r="I1448" s="4" t="n">
        <v>13.525</v>
      </c>
      <c r="J1448" s="4" t="n">
        <v>14.1925</v>
      </c>
      <c r="K1448" s="4" t="n">
        <v>13.0725</v>
      </c>
      <c r="L1448" s="4" t="n">
        <v>13.37</v>
      </c>
      <c r="M1448" s="7" t="n">
        <v>-0.0115</v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3" t="n">
        <v>4828</v>
      </c>
      <c r="F1449" s="8" t="n">
        <v>0.4702</v>
      </c>
      <c r="G1449" s="4" t="n">
        <v>100.2271</v>
      </c>
      <c r="H1449" s="4" t="n">
        <v>115.2378</v>
      </c>
      <c r="I1449" s="4" t="n">
        <v>13.37</v>
      </c>
      <c r="J1449" s="4" t="n">
        <v>14.23</v>
      </c>
      <c r="K1449" s="4" t="n">
        <v>12.8825</v>
      </c>
      <c r="L1449" s="4" t="n">
        <v>13.63</v>
      </c>
      <c r="M1449" s="7" t="n">
        <v>0.0194</v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3" t="n">
        <v>4661</v>
      </c>
      <c r="F1450" s="8" t="n">
        <v>0.4759</v>
      </c>
      <c r="G1450" s="4" t="n">
        <v>89.7971</v>
      </c>
      <c r="H1450" s="4" t="n">
        <v>93.8473</v>
      </c>
      <c r="I1450" s="4" t="n">
        <v>13.6325</v>
      </c>
      <c r="J1450" s="4" t="n">
        <v>16.1125</v>
      </c>
      <c r="K1450" s="4" t="n">
        <v>13.3475</v>
      </c>
      <c r="L1450" s="4" t="n">
        <v>15.1</v>
      </c>
      <c r="M1450" s="7" t="n">
        <v>0.1076</v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4901</v>
      </c>
      <c r="F1451" s="8" t="n">
        <v>0.4071</v>
      </c>
      <c r="G1451" s="4" t="n">
        <v>86.4383</v>
      </c>
      <c r="H1451" s="4" t="n">
        <v>81.6889</v>
      </c>
      <c r="I1451" s="4" t="n">
        <v>15.095</v>
      </c>
      <c r="J1451" s="4" t="n">
        <v>15.5525</v>
      </c>
      <c r="K1451" s="4" t="n">
        <v>13.58</v>
      </c>
      <c r="L1451" s="4" t="n">
        <v>13.87</v>
      </c>
      <c r="M1451" s="7" t="n">
        <v>-0.08119999999999999</v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4881</v>
      </c>
      <c r="F1452" s="8" t="n">
        <v>0.465</v>
      </c>
      <c r="G1452" s="4" t="n">
        <v>102.8418</v>
      </c>
      <c r="H1452" s="4" t="n">
        <v>118.4118</v>
      </c>
      <c r="I1452" s="4" t="n">
        <v>13.865</v>
      </c>
      <c r="J1452" s="4" t="n">
        <v>15.465</v>
      </c>
      <c r="K1452" s="4" t="n">
        <v>11.85</v>
      </c>
      <c r="L1452" s="4" t="n">
        <v>12.9</v>
      </c>
      <c r="M1452" s="7" t="n">
        <v>-0.0696</v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4784</v>
      </c>
      <c r="F1453" s="8" t="n">
        <v>0.399</v>
      </c>
      <c r="G1453" s="4" t="n">
        <v>98.4789</v>
      </c>
      <c r="H1453" s="4" t="n">
        <v>104.3504</v>
      </c>
      <c r="I1453" s="4" t="n">
        <v>12.895</v>
      </c>
      <c r="J1453" s="4" t="n">
        <v>13.145</v>
      </c>
      <c r="K1453" s="4" t="n">
        <v>12.06</v>
      </c>
      <c r="L1453" s="4" t="n">
        <v>12.25</v>
      </c>
      <c r="M1453" s="7" t="n">
        <v>-0.05</v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4750</v>
      </c>
      <c r="F1454" s="8" t="n">
        <v>0.3579</v>
      </c>
      <c r="G1454" s="4" t="n">
        <v>77.9996</v>
      </c>
      <c r="H1454" s="4" t="n">
        <v>85.8182</v>
      </c>
      <c r="I1454" s="4" t="n">
        <v>12.2525</v>
      </c>
      <c r="J1454" s="4" t="n">
        <v>12.545</v>
      </c>
      <c r="K1454" s="4" t="n">
        <v>10.935</v>
      </c>
      <c r="L1454" s="4" t="n">
        <v>12.17</v>
      </c>
      <c r="M1454" s="7" t="n">
        <v>-0.0067</v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4803</v>
      </c>
      <c r="F1455" s="8" t="n">
        <v>0.289</v>
      </c>
      <c r="G1455" s="4" t="n">
        <v>66.6435</v>
      </c>
      <c r="H1455" s="4" t="n">
        <v>75.14</v>
      </c>
      <c r="I1455" s="4" t="n">
        <v>12.1675</v>
      </c>
      <c r="J1455" s="4" t="n">
        <v>12.345</v>
      </c>
      <c r="K1455" s="4" t="n">
        <v>11.16</v>
      </c>
      <c r="L1455" s="4" t="n">
        <v>11.94</v>
      </c>
      <c r="M1455" s="7" t="n">
        <v>-0.0187</v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4999</v>
      </c>
      <c r="F1456" s="8" t="n">
        <v>0.3507</v>
      </c>
      <c r="G1456" s="4" t="n">
        <v>93.9025</v>
      </c>
      <c r="H1456" s="4" t="n">
        <v>83.8287</v>
      </c>
      <c r="I1456" s="4" t="n">
        <v>11.94</v>
      </c>
      <c r="J1456" s="4" t="n">
        <v>12.28</v>
      </c>
      <c r="K1456" s="4" t="n">
        <v>10.67</v>
      </c>
      <c r="L1456" s="4" t="n">
        <v>12.19</v>
      </c>
      <c r="M1456" s="7" t="n">
        <v>0.0209</v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4851</v>
      </c>
      <c r="F1457" s="8" t="n">
        <v>0.3442</v>
      </c>
      <c r="G1457" s="4" t="n">
        <v>95.2927</v>
      </c>
      <c r="H1457" s="4" t="n">
        <v>91.87390000000001</v>
      </c>
      <c r="I1457" s="4" t="n">
        <v>12.19</v>
      </c>
      <c r="J1457" s="4" t="n">
        <v>12.19</v>
      </c>
      <c r="K1457" s="4" t="n">
        <v>10.355</v>
      </c>
      <c r="L1457" s="4" t="n">
        <v>11.67</v>
      </c>
      <c r="M1457" s="7" t="n">
        <v>-0.0427</v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4786</v>
      </c>
      <c r="F1458" s="8" t="n">
        <v>0.3373</v>
      </c>
      <c r="G1458" s="4" t="n">
        <v>91.33150000000001</v>
      </c>
      <c r="H1458" s="4" t="n">
        <v>93.5853</v>
      </c>
      <c r="I1458" s="4" t="n">
        <v>11.665</v>
      </c>
      <c r="J1458" s="4" t="n">
        <v>11.7125</v>
      </c>
      <c r="K1458" s="4" t="n">
        <v>10.5575</v>
      </c>
      <c r="L1458" s="4" t="n">
        <v>11.55</v>
      </c>
      <c r="M1458" s="7" t="n">
        <v>-0.009900000000000001</v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4772</v>
      </c>
      <c r="F1459" s="8" t="n">
        <v>0.35</v>
      </c>
      <c r="G1459" s="4" t="n">
        <v>73.0194</v>
      </c>
      <c r="H1459" s="4" t="n">
        <v>104.6866</v>
      </c>
      <c r="I1459" s="4" t="n">
        <v>11.5475</v>
      </c>
      <c r="J1459" s="4" t="n">
        <v>12.1075</v>
      </c>
      <c r="K1459" s="4" t="n">
        <v>10.8475</v>
      </c>
      <c r="L1459" s="4" t="n">
        <v>11.73</v>
      </c>
      <c r="M1459" s="7" t="n">
        <v>0.0158</v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4767</v>
      </c>
      <c r="F1460" s="8" t="n">
        <v>0.3582</v>
      </c>
      <c r="G1460" s="4" t="n">
        <v>75.8973</v>
      </c>
      <c r="H1460" s="4" t="n">
        <v>94.2448</v>
      </c>
      <c r="I1460" s="4" t="n">
        <v>11.725</v>
      </c>
      <c r="J1460" s="4" t="n">
        <v>13.5825</v>
      </c>
      <c r="K1460" s="4" t="n">
        <v>10.9625</v>
      </c>
      <c r="L1460" s="4" t="n">
        <v>13.29</v>
      </c>
      <c r="M1460" s="7" t="n">
        <v>0.1335</v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4919</v>
      </c>
      <c r="F1461" s="8" t="n">
        <v>0.2941</v>
      </c>
      <c r="G1461" s="4" t="n">
        <v>82.1772</v>
      </c>
      <c r="H1461" s="4" t="n">
        <v>75.0587</v>
      </c>
      <c r="I1461" s="4" t="n">
        <v>13.2925</v>
      </c>
      <c r="J1461" s="4" t="n">
        <v>13.8325</v>
      </c>
      <c r="K1461" s="4" t="n">
        <v>13.235</v>
      </c>
      <c r="L1461" s="4" t="n">
        <v>13.33</v>
      </c>
      <c r="M1461" s="7" t="n">
        <v>0.0028</v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4756</v>
      </c>
      <c r="F1462" s="8" t="n">
        <v>0.2646</v>
      </c>
      <c r="G1462" s="4" t="n">
        <v>84.7629</v>
      </c>
      <c r="H1462" s="4" t="n">
        <v>68.66889999999999</v>
      </c>
      <c r="I1462" s="4" t="n">
        <v>13.33</v>
      </c>
      <c r="J1462" s="4" t="n">
        <v>13.4775</v>
      </c>
      <c r="K1462" s="4" t="n">
        <v>11.625</v>
      </c>
      <c r="L1462" s="4" t="n">
        <v>12.67</v>
      </c>
      <c r="M1462" s="7" t="n">
        <v>-0.0495</v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4787</v>
      </c>
      <c r="F1463" s="8" t="n">
        <v>0.2796</v>
      </c>
      <c r="G1463" s="4" t="n">
        <v>78.7176</v>
      </c>
      <c r="H1463" s="4" t="n">
        <v>70.2273</v>
      </c>
      <c r="I1463" s="4" t="n">
        <v>12.6725</v>
      </c>
      <c r="J1463" s="4" t="n">
        <v>12.7675</v>
      </c>
      <c r="K1463" s="4" t="n">
        <v>11.3525</v>
      </c>
      <c r="L1463" s="4" t="n">
        <v>12.22</v>
      </c>
      <c r="M1463" s="7" t="n">
        <v>-0.0357</v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4726</v>
      </c>
      <c r="F1464" s="8" t="n">
        <v>0.291</v>
      </c>
      <c r="G1464" s="4" t="n">
        <v>67.2893</v>
      </c>
      <c r="H1464" s="4" t="n">
        <v>76.4526</v>
      </c>
      <c r="I1464" s="4" t="n">
        <v>12.2225</v>
      </c>
      <c r="J1464" s="4" t="n">
        <v>13.68</v>
      </c>
      <c r="K1464" s="4" t="n">
        <v>9.73</v>
      </c>
      <c r="L1464" s="4" t="n">
        <v>13.46</v>
      </c>
      <c r="M1464" s="7" t="n">
        <v>0.1012</v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4715</v>
      </c>
      <c r="F1465" s="8" t="n">
        <v>0.2629</v>
      </c>
      <c r="G1465" s="4" t="n">
        <v>71.9105</v>
      </c>
      <c r="H1465" s="4" t="n">
        <v>75.6221</v>
      </c>
      <c r="I1465" s="4" t="n">
        <v>13.46</v>
      </c>
      <c r="J1465" s="4" t="n">
        <v>14.7825</v>
      </c>
      <c r="K1465" s="4" t="n">
        <v>13.095</v>
      </c>
      <c r="L1465" s="4" t="n">
        <v>14.36</v>
      </c>
      <c r="M1465" s="7" t="n">
        <v>0.0669</v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3" t="n">
        <v>4917</v>
      </c>
      <c r="F1466" s="8" t="n">
        <v>0.3071</v>
      </c>
      <c r="G1466" s="4" t="n">
        <v>81.5371</v>
      </c>
      <c r="H1466" s="4" t="n">
        <v>73.7946</v>
      </c>
      <c r="I1466" s="4" t="n">
        <v>14.3625</v>
      </c>
      <c r="J1466" s="4" t="n">
        <v>14.4775</v>
      </c>
      <c r="K1466" s="4" t="n">
        <v>12.7725</v>
      </c>
      <c r="L1466" s="4" t="n">
        <v>14.17</v>
      </c>
      <c r="M1466" s="7" t="n">
        <v>-0.0134</v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3" t="n">
        <v>4766</v>
      </c>
      <c r="F1467" s="8" t="n">
        <v>0.3008</v>
      </c>
      <c r="G1467" s="4" t="n">
        <v>76.14709999999999</v>
      </c>
      <c r="H1467" s="4" t="n">
        <v>73.0702</v>
      </c>
      <c r="I1467" s="4" t="n">
        <v>14.1675</v>
      </c>
      <c r="J1467" s="4" t="n">
        <v>14.9475</v>
      </c>
      <c r="K1467" s="4" t="n">
        <v>12.3475</v>
      </c>
      <c r="L1467" s="4" t="n">
        <v>14.15</v>
      </c>
      <c r="M1467" s="7" t="n">
        <v>-0.0012</v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3" t="n">
        <v>4789</v>
      </c>
      <c r="F1468" s="8" t="n">
        <v>0.313</v>
      </c>
      <c r="G1468" s="4" t="n">
        <v>109.3096</v>
      </c>
      <c r="H1468" s="4" t="n">
        <v>104.6447</v>
      </c>
      <c r="I1468" s="4" t="n">
        <v>14.15</v>
      </c>
      <c r="J1468" s="4" t="n">
        <v>14.15</v>
      </c>
      <c r="K1468" s="4" t="n">
        <v>12.8375</v>
      </c>
      <c r="L1468" s="4" t="n">
        <v>13.49</v>
      </c>
      <c r="M1468" s="7" t="n">
        <v>-0.0466</v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3" t="n">
        <v>4744</v>
      </c>
      <c r="F1469" s="8" t="n">
        <v>0.2988</v>
      </c>
      <c r="G1469" s="4" t="n">
        <v>93.515</v>
      </c>
      <c r="H1469" s="4" t="n">
        <v>100.2974</v>
      </c>
      <c r="I1469" s="4" t="n">
        <v>13.4875</v>
      </c>
      <c r="J1469" s="4" t="n">
        <v>13.605</v>
      </c>
      <c r="K1469" s="4" t="n">
        <v>11.8125</v>
      </c>
      <c r="L1469" s="4" t="n">
        <v>13.06</v>
      </c>
      <c r="M1469" s="7" t="n">
        <v>-0.0317</v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3" t="n">
        <v>4770</v>
      </c>
      <c r="F1470" s="8" t="n">
        <v>0.334</v>
      </c>
      <c r="G1470" s="4" t="n">
        <v>82.6414</v>
      </c>
      <c r="H1470" s="4" t="n">
        <v>80.0244</v>
      </c>
      <c r="I1470" s="4" t="n">
        <v>13.0625</v>
      </c>
      <c r="J1470" s="4" t="n">
        <v>14.035</v>
      </c>
      <c r="K1470" s="4" t="n">
        <v>11.2</v>
      </c>
      <c r="L1470" s="4" t="n">
        <v>13.7</v>
      </c>
      <c r="M1470" s="7" t="n">
        <v>0.0488</v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3" t="n">
        <v>4987</v>
      </c>
      <c r="F1471" s="8" t="n">
        <v>0.503</v>
      </c>
      <c r="G1471" s="4" t="n">
        <v>108.7837</v>
      </c>
      <c r="H1471" s="4" t="n">
        <v>115.0569</v>
      </c>
      <c r="I1471" s="4" t="n">
        <v>13.7025</v>
      </c>
      <c r="J1471" s="4" t="n">
        <v>17.8125</v>
      </c>
      <c r="K1471" s="4" t="n">
        <v>12.825</v>
      </c>
      <c r="L1471" s="4" t="n">
        <v>17.13</v>
      </c>
      <c r="M1471" s="7" t="n">
        <v>0.2501</v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4927</v>
      </c>
      <c r="F1472" s="8" t="n">
        <v>0.4662</v>
      </c>
      <c r="G1472" s="4" t="n">
        <v>98.9293</v>
      </c>
      <c r="H1472" s="4" t="n">
        <v>104.1894</v>
      </c>
      <c r="I1472" s="4" t="n">
        <v>17.13</v>
      </c>
      <c r="J1472" s="4" t="n">
        <v>21.3675</v>
      </c>
      <c r="K1472" s="4" t="n">
        <v>16.9675</v>
      </c>
      <c r="L1472" s="4" t="n">
        <v>21.14</v>
      </c>
      <c r="M1472" s="7" t="n">
        <v>0.2341</v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4852</v>
      </c>
      <c r="F1473" s="8" t="n">
        <v>0.3747</v>
      </c>
      <c r="G1473" s="4" t="n">
        <v>80.1361</v>
      </c>
      <c r="H1473" s="4" t="n">
        <v>92.581</v>
      </c>
      <c r="I1473" s="4" t="n">
        <v>21.14</v>
      </c>
      <c r="J1473" s="4" t="n">
        <v>21.14</v>
      </c>
      <c r="K1473" s="4" t="n">
        <v>17.3025</v>
      </c>
      <c r="L1473" s="4" t="n">
        <v>17.86</v>
      </c>
      <c r="M1473" s="7" t="n">
        <v>-0.1552</v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4797</v>
      </c>
      <c r="F1474" s="8" t="n">
        <v>0.3118</v>
      </c>
      <c r="G1474" s="4" t="n">
        <v>72.4054</v>
      </c>
      <c r="H1474" s="4" t="n">
        <v>80.28400000000001</v>
      </c>
      <c r="I1474" s="4" t="n">
        <v>17.8575</v>
      </c>
      <c r="J1474" s="4" t="n">
        <v>20.1425</v>
      </c>
      <c r="K1474" s="4" t="n">
        <v>17.1975</v>
      </c>
      <c r="L1474" s="4" t="n">
        <v>19.88</v>
      </c>
      <c r="M1474" s="7" t="n">
        <v>0.1133</v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5050</v>
      </c>
      <c r="F1475" s="8" t="n">
        <v>0.4135</v>
      </c>
      <c r="G1475" s="4" t="n">
        <v>76.0335</v>
      </c>
      <c r="H1475" s="4" t="n">
        <v>96.58540000000001</v>
      </c>
      <c r="I1475" s="4" t="n">
        <v>19.88</v>
      </c>
      <c r="J1475" s="4" t="n">
        <v>24.4925</v>
      </c>
      <c r="K1475" s="4" t="n">
        <v>19.2175</v>
      </c>
      <c r="L1475" s="4" t="n">
        <v>23.36</v>
      </c>
      <c r="M1475" s="7" t="n">
        <v>0.1751</v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4901</v>
      </c>
      <c r="F1476" s="8" t="n">
        <v>0.2971</v>
      </c>
      <c r="G1476" s="4" t="n">
        <v>79.0613</v>
      </c>
      <c r="H1476" s="4" t="n">
        <v>76.3126</v>
      </c>
      <c r="I1476" s="4" t="n">
        <v>23.3625</v>
      </c>
      <c r="J1476" s="4" t="n">
        <v>23.3625</v>
      </c>
      <c r="K1476" s="4" t="n">
        <v>18.7775</v>
      </c>
      <c r="L1476" s="4" t="n">
        <v>18.91</v>
      </c>
      <c r="M1476" s="7" t="n">
        <v>-0.1906</v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4854</v>
      </c>
      <c r="F1477" s="8" t="n">
        <v>0.3283</v>
      </c>
      <c r="G1477" s="4" t="n">
        <v>81.59999999999999</v>
      </c>
      <c r="H1477" s="4" t="n">
        <v>75.4478</v>
      </c>
      <c r="I1477" s="4" t="n">
        <v>18.905</v>
      </c>
      <c r="J1477" s="4" t="n">
        <v>21.385</v>
      </c>
      <c r="K1477" s="4" t="n">
        <v>17.24</v>
      </c>
      <c r="L1477" s="4" t="n">
        <v>21.06</v>
      </c>
      <c r="M1477" s="7" t="n">
        <v>0.114</v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4823</v>
      </c>
      <c r="F1478" s="8" t="n">
        <v>0.3842</v>
      </c>
      <c r="G1478" s="4" t="n">
        <v>87.9486</v>
      </c>
      <c r="H1478" s="4" t="n">
        <v>89.0617</v>
      </c>
      <c r="I1478" s="4" t="n">
        <v>21.0625</v>
      </c>
      <c r="J1478" s="4" t="n">
        <v>22.355</v>
      </c>
      <c r="K1478" s="4" t="n">
        <v>20.8225</v>
      </c>
      <c r="L1478" s="4" t="n">
        <v>21.52</v>
      </c>
      <c r="M1478" s="7" t="n">
        <v>0.0217</v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4929</v>
      </c>
      <c r="F1479" s="8" t="n">
        <v>0.3815</v>
      </c>
      <c r="G1479" s="4" t="n">
        <v>85.88160000000001</v>
      </c>
      <c r="H1479" s="4" t="n">
        <v>88.02460000000001</v>
      </c>
      <c r="I1479" s="4" t="n">
        <v>21.5175</v>
      </c>
      <c r="J1479" s="4" t="n">
        <v>22.8825</v>
      </c>
      <c r="K1479" s="4" t="n">
        <v>21.2475</v>
      </c>
      <c r="L1479" s="4" t="n">
        <v>22.65</v>
      </c>
      <c r="M1479" s="7" t="n">
        <v>0.0526</v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5072</v>
      </c>
      <c r="F1480" s="8" t="n">
        <v>0.3699</v>
      </c>
      <c r="G1480" s="4" t="n">
        <v>81.443</v>
      </c>
      <c r="H1480" s="4" t="n">
        <v>78.191</v>
      </c>
      <c r="I1480" s="4" t="n">
        <v>22.645</v>
      </c>
      <c r="J1480" s="4" t="n">
        <v>22.875</v>
      </c>
      <c r="K1480" s="4" t="n">
        <v>19.82</v>
      </c>
      <c r="L1480" s="4" t="n">
        <v>21.6</v>
      </c>
      <c r="M1480" s="7" t="n">
        <v>-0.0461</v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4848</v>
      </c>
      <c r="F1481" s="8" t="n">
        <v>0.2947</v>
      </c>
      <c r="G1481" s="4" t="n">
        <v>81.54300000000001</v>
      </c>
      <c r="H1481" s="4" t="n">
        <v>84.23779999999999</v>
      </c>
      <c r="I1481" s="4" t="n">
        <v>21.6025</v>
      </c>
      <c r="J1481" s="4" t="n">
        <v>21.6025</v>
      </c>
      <c r="K1481" s="4" t="n">
        <v>19.6275</v>
      </c>
      <c r="L1481" s="4" t="n">
        <v>19.79</v>
      </c>
      <c r="M1481" s="7" t="n">
        <v>-0.0839</v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4879</v>
      </c>
      <c r="F1482" s="8" t="n">
        <v>0.3294</v>
      </c>
      <c r="G1482" s="4" t="n">
        <v>77.3172</v>
      </c>
      <c r="H1482" s="4" t="n">
        <v>80.2058</v>
      </c>
      <c r="I1482" s="4" t="n">
        <v>19.79</v>
      </c>
      <c r="J1482" s="4" t="n">
        <v>19.79</v>
      </c>
      <c r="K1482" s="4" t="n">
        <v>18.5925</v>
      </c>
      <c r="L1482" s="4" t="n">
        <v>18.72</v>
      </c>
      <c r="M1482" s="7" t="n">
        <v>-0.0541</v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3" t="n">
        <v>4871</v>
      </c>
      <c r="F1483" s="8" t="n">
        <v>0.3686</v>
      </c>
      <c r="G1483" s="4" t="n">
        <v>71.0716</v>
      </c>
      <c r="H1483" s="4" t="n">
        <v>81.9828</v>
      </c>
      <c r="I1483" s="4" t="n">
        <v>18.7225</v>
      </c>
      <c r="J1483" s="4" t="n">
        <v>23.195</v>
      </c>
      <c r="K1483" s="4" t="n">
        <v>18.7225</v>
      </c>
      <c r="L1483" s="4" t="n">
        <v>22.8</v>
      </c>
      <c r="M1483" s="7" t="n">
        <v>0.2178</v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3" t="n">
        <v>4864</v>
      </c>
      <c r="F1484" s="8" t="n">
        <v>0.3186</v>
      </c>
      <c r="G1484" s="4" t="n">
        <v>74.3036</v>
      </c>
      <c r="H1484" s="4" t="n">
        <v>80.48390000000001</v>
      </c>
      <c r="I1484" s="4" t="n">
        <v>22.8025</v>
      </c>
      <c r="J1484" s="4" t="n">
        <v>23.1375</v>
      </c>
      <c r="K1484" s="4" t="n">
        <v>21.685</v>
      </c>
      <c r="L1484" s="4" t="n">
        <v>22.81</v>
      </c>
      <c r="M1484" s="7" t="n">
        <v>0.0003</v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3" t="n">
        <v>5118</v>
      </c>
      <c r="F1485" s="8" t="n">
        <v>0.5101</v>
      </c>
      <c r="G1485" s="4" t="n">
        <v>93.71599999999999</v>
      </c>
      <c r="H1485" s="4" t="n">
        <v>100.4838</v>
      </c>
      <c r="I1485" s="4" t="n">
        <v>22.8125</v>
      </c>
      <c r="J1485" s="4" t="n">
        <v>27.1725</v>
      </c>
      <c r="K1485" s="4" t="n">
        <v>22.8125</v>
      </c>
      <c r="L1485" s="4" t="n">
        <v>26.73</v>
      </c>
      <c r="M1485" s="7" t="n">
        <v>0.1717</v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3" t="n">
        <v>4901</v>
      </c>
      <c r="F1486" s="8" t="n">
        <v>0.4265</v>
      </c>
      <c r="G1486" s="4" t="n">
        <v>100.5901</v>
      </c>
      <c r="H1486" s="4" t="n">
        <v>106.4032</v>
      </c>
      <c r="I1486" s="4" t="n">
        <v>26.73</v>
      </c>
      <c r="J1486" s="4" t="n">
        <v>26.73</v>
      </c>
      <c r="K1486" s="4" t="n">
        <v>24.63</v>
      </c>
      <c r="L1486" s="4" t="n">
        <v>24.74</v>
      </c>
      <c r="M1486" s="7" t="n">
        <v>-0.07439999999999999</v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3" t="n">
        <v>4931</v>
      </c>
      <c r="F1487" s="8" t="n">
        <v>0.4477</v>
      </c>
      <c r="G1487" s="4" t="n">
        <v>117.9118</v>
      </c>
      <c r="H1487" s="4" t="n">
        <v>121.8102</v>
      </c>
      <c r="I1487" s="4" t="n">
        <v>24.74</v>
      </c>
      <c r="J1487" s="4" t="n">
        <v>25.23</v>
      </c>
      <c r="K1487" s="4" t="n">
        <v>24.135</v>
      </c>
      <c r="L1487" s="4" t="n">
        <v>24.64</v>
      </c>
      <c r="M1487" s="7" t="n">
        <v>-0.004</v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3" t="n">
        <v>5037</v>
      </c>
      <c r="F1488" s="8" t="n">
        <v>0.491</v>
      </c>
      <c r="G1488" s="4" t="n">
        <v>149.3176</v>
      </c>
      <c r="H1488" s="4" t="n">
        <v>124.9651</v>
      </c>
      <c r="I1488" s="4" t="n">
        <v>24.64</v>
      </c>
      <c r="J1488" s="4" t="n">
        <v>27.0875</v>
      </c>
      <c r="K1488" s="4" t="n">
        <v>23.385</v>
      </c>
      <c r="L1488" s="4" t="n">
        <v>26.8</v>
      </c>
      <c r="M1488" s="7" t="n">
        <v>0.0877</v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3" t="n">
        <v>5102</v>
      </c>
      <c r="F1489" s="8" t="n">
        <v>0.5189</v>
      </c>
      <c r="G1489" s="4" t="n">
        <v>125.8077</v>
      </c>
      <c r="H1489" s="4" t="n">
        <v>105.0306</v>
      </c>
      <c r="I1489" s="4" t="n">
        <v>26.8025</v>
      </c>
      <c r="J1489" s="4" t="n">
        <v>28.9075</v>
      </c>
      <c r="K1489" s="4" t="n">
        <v>26.8025</v>
      </c>
      <c r="L1489" s="4" t="n">
        <v>27.89</v>
      </c>
      <c r="M1489" s="7" t="n">
        <v>0.0406</v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3" t="n">
        <v>4920</v>
      </c>
      <c r="F1490" s="8" t="n">
        <v>0.4024</v>
      </c>
      <c r="G1490" s="4" t="n">
        <v>103.7088</v>
      </c>
      <c r="H1490" s="4" t="n">
        <v>89.39530000000001</v>
      </c>
      <c r="I1490" s="4" t="n">
        <v>27.8875</v>
      </c>
      <c r="J1490" s="4" t="n">
        <v>27.8875</v>
      </c>
      <c r="K1490" s="4" t="n">
        <v>23.6475</v>
      </c>
      <c r="L1490" s="4" t="n">
        <v>25.01</v>
      </c>
      <c r="M1490" s="7" t="n">
        <v>-0.1032</v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3" t="n">
        <v>4836</v>
      </c>
      <c r="F1491" s="8" t="n">
        <v>0.4009</v>
      </c>
      <c r="G1491" s="4" t="n">
        <v>90.7679</v>
      </c>
      <c r="H1491" s="4" t="n">
        <v>85.4127</v>
      </c>
      <c r="I1491" s="4" t="n">
        <v>25.01</v>
      </c>
      <c r="J1491" s="4" t="n">
        <v>26.595</v>
      </c>
      <c r="K1491" s="4" t="n">
        <v>25.01</v>
      </c>
      <c r="L1491" s="4" t="n">
        <v>25.52</v>
      </c>
      <c r="M1491" s="7" t="n">
        <v>0.0204</v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5038</v>
      </c>
      <c r="F1492" s="8" t="n">
        <v>0.4048</v>
      </c>
      <c r="G1492" s="4" t="n">
        <v>96.4191</v>
      </c>
      <c r="H1492" s="4" t="n">
        <v>85.07389999999999</v>
      </c>
      <c r="I1492" s="4" t="n">
        <v>25.52</v>
      </c>
      <c r="J1492" s="4" t="n">
        <v>26.56</v>
      </c>
      <c r="K1492" s="4" t="n">
        <v>25.0825</v>
      </c>
      <c r="L1492" s="4" t="n">
        <v>25.47</v>
      </c>
      <c r="M1492" s="7" t="n">
        <v>-0.002</v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3" t="n">
        <v>4835</v>
      </c>
      <c r="F1493" s="8" t="n">
        <v>0.3186</v>
      </c>
      <c r="G1493" s="4" t="n">
        <v>67.88160000000001</v>
      </c>
      <c r="H1493" s="4" t="n">
        <v>64.74509999999999</v>
      </c>
      <c r="I1493" s="4" t="n">
        <v>25.4675</v>
      </c>
      <c r="J1493" s="4" t="n">
        <v>26.255</v>
      </c>
      <c r="K1493" s="4" t="n">
        <v>24.545</v>
      </c>
      <c r="L1493" s="4" t="n">
        <v>24.7</v>
      </c>
      <c r="M1493" s="7" t="n">
        <v>-0.0301</v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3" t="n">
        <v>4951</v>
      </c>
      <c r="F1494" s="8" t="n">
        <v>0.4648</v>
      </c>
      <c r="G1494" s="4" t="n">
        <v>164.8453</v>
      </c>
      <c r="H1494" s="4" t="n">
        <v>122.2282</v>
      </c>
      <c r="I1494" s="4" t="n">
        <v>24.695</v>
      </c>
      <c r="J1494" s="4" t="n">
        <v>24.695</v>
      </c>
      <c r="K1494" s="4" t="n">
        <v>19.305</v>
      </c>
      <c r="L1494" s="4" t="n">
        <v>19.7</v>
      </c>
      <c r="M1494" s="7" t="n">
        <v>-0.2023</v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3" t="n">
        <v>4841</v>
      </c>
      <c r="F1495" s="8" t="n">
        <v>0.4044</v>
      </c>
      <c r="G1495" s="4" t="n">
        <v>111.7821</v>
      </c>
      <c r="H1495" s="4" t="n">
        <v>103.3362</v>
      </c>
      <c r="I1495" s="4" t="n">
        <v>19.6975</v>
      </c>
      <c r="J1495" s="4" t="n">
        <v>20.9425</v>
      </c>
      <c r="K1495" s="4" t="n">
        <v>19.1725</v>
      </c>
      <c r="L1495" s="4" t="n">
        <v>20.43</v>
      </c>
      <c r="M1495" s="7" t="n">
        <v>0.0372</v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3" t="n">
        <v>4894</v>
      </c>
      <c r="F1496" s="8" t="n">
        <v>0.3745</v>
      </c>
      <c r="G1496" s="4" t="n">
        <v>91.4671</v>
      </c>
      <c r="H1496" s="4" t="n">
        <v>88.1258</v>
      </c>
      <c r="I1496" s="4" t="n">
        <v>20.4275</v>
      </c>
      <c r="J1496" s="4" t="n">
        <v>20.4275</v>
      </c>
      <c r="K1496" s="4" t="n">
        <v>18.37</v>
      </c>
      <c r="L1496" s="4" t="n">
        <v>18.85</v>
      </c>
      <c r="M1496" s="7" t="n">
        <v>-0.0772</v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3" t="n">
        <v>5003</v>
      </c>
      <c r="F1497" s="8" t="n">
        <v>0.3752</v>
      </c>
      <c r="G1497" s="4" t="n">
        <v>86.3035</v>
      </c>
      <c r="H1497" s="4" t="n">
        <v>91.7837</v>
      </c>
      <c r="I1497" s="4" t="n">
        <v>18.85</v>
      </c>
      <c r="J1497" s="4" t="n">
        <v>21.5075</v>
      </c>
      <c r="K1497" s="4" t="n">
        <v>18.1825</v>
      </c>
      <c r="L1497" s="4" t="n">
        <v>20.5</v>
      </c>
      <c r="M1497" s="7" t="n">
        <v>0.08749999999999999</v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5015</v>
      </c>
      <c r="F1498" s="8" t="n">
        <v>0.3982</v>
      </c>
      <c r="G1498" s="4" t="n">
        <v>112.6487</v>
      </c>
      <c r="H1498" s="4" t="n">
        <v>95.3661</v>
      </c>
      <c r="I1498" s="4" t="n">
        <v>20.5</v>
      </c>
      <c r="J1498" s="4" t="n">
        <v>20.5</v>
      </c>
      <c r="K1498" s="4" t="n">
        <v>17.3375</v>
      </c>
      <c r="L1498" s="4" t="n">
        <v>18.67</v>
      </c>
      <c r="M1498" s="7" t="n">
        <v>-0.0893</v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4970</v>
      </c>
      <c r="F1499" s="8" t="n">
        <v>0.4274</v>
      </c>
      <c r="G1499" s="4" t="n">
        <v>97.6092</v>
      </c>
      <c r="H1499" s="4" t="n">
        <v>114.3373</v>
      </c>
      <c r="I1499" s="4" t="n">
        <v>18.6675</v>
      </c>
      <c r="J1499" s="4" t="n">
        <v>18.6675</v>
      </c>
      <c r="K1499" s="4" t="n">
        <v>16.8325</v>
      </c>
      <c r="L1499" s="4" t="n">
        <v>18.09</v>
      </c>
      <c r="M1499" s="7" t="n">
        <v>-0.0309</v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4941</v>
      </c>
      <c r="F1500" s="8" t="n">
        <v>0.4059</v>
      </c>
      <c r="G1500" s="4" t="n">
        <v>96.3661</v>
      </c>
      <c r="H1500" s="4" t="n">
        <v>101.0113</v>
      </c>
      <c r="I1500" s="4" t="n">
        <v>18.085</v>
      </c>
      <c r="J1500" s="4" t="n">
        <v>18.47</v>
      </c>
      <c r="K1500" s="4" t="n">
        <v>16.5925</v>
      </c>
      <c r="L1500" s="4" t="n">
        <v>17.21</v>
      </c>
      <c r="M1500" s="7" t="n">
        <v>-0.0484</v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5026</v>
      </c>
      <c r="F1501" s="8" t="n">
        <v>0.3747</v>
      </c>
      <c r="G1501" s="4" t="n">
        <v>75.81489999999999</v>
      </c>
      <c r="H1501" s="4" t="n">
        <v>79.70050000000001</v>
      </c>
      <c r="I1501" s="4" t="n">
        <v>17.205</v>
      </c>
      <c r="J1501" s="4" t="n">
        <v>19.01</v>
      </c>
      <c r="K1501" s="4" t="n">
        <v>16.48</v>
      </c>
      <c r="L1501" s="4" t="n">
        <v>18.79</v>
      </c>
      <c r="M1501" s="7" t="n">
        <v>0.0921</v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4873</v>
      </c>
      <c r="F1502" s="8" t="n">
        <v>0.3177</v>
      </c>
      <c r="G1502" s="4" t="n">
        <v>66.83629999999999</v>
      </c>
      <c r="H1502" s="4" t="n">
        <v>78.1322</v>
      </c>
      <c r="I1502" s="4" t="n">
        <v>18.79</v>
      </c>
      <c r="J1502" s="4" t="n">
        <v>18.79</v>
      </c>
      <c r="K1502" s="4" t="n">
        <v>17.4525</v>
      </c>
      <c r="L1502" s="4" t="n">
        <v>17.53</v>
      </c>
      <c r="M1502" s="7" t="n">
        <v>-0.06710000000000001</v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4866</v>
      </c>
      <c r="F1503" s="8" t="n">
        <v>0.3728</v>
      </c>
      <c r="G1503" s="4" t="n">
        <v>90.6313</v>
      </c>
      <c r="H1503" s="4" t="n">
        <v>98.51690000000001</v>
      </c>
      <c r="I1503" s="4" t="n">
        <v>17.5325</v>
      </c>
      <c r="J1503" s="4" t="n">
        <v>18.73</v>
      </c>
      <c r="K1503" s="4" t="n">
        <v>17.245</v>
      </c>
      <c r="L1503" s="4" t="n">
        <v>18.3</v>
      </c>
      <c r="M1503" s="7" t="n">
        <v>0.0438</v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4888</v>
      </c>
      <c r="F1504" s="8" t="n">
        <v>0.3742</v>
      </c>
      <c r="G1504" s="4" t="n">
        <v>74.9569</v>
      </c>
      <c r="H1504" s="4" t="n">
        <v>108.6786</v>
      </c>
      <c r="I1504" s="4" t="n">
        <v>18.3</v>
      </c>
      <c r="J1504" s="4" t="n">
        <v>19.12</v>
      </c>
      <c r="K1504" s="4" t="n">
        <v>17.49</v>
      </c>
      <c r="L1504" s="4" t="n">
        <v>18.59</v>
      </c>
      <c r="M1504" s="7" t="n">
        <v>0.0158</v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3" t="n">
        <v>4857</v>
      </c>
      <c r="F1505" s="8" t="n">
        <v>0.3769</v>
      </c>
      <c r="G1505" s="4" t="n">
        <v>60.7159</v>
      </c>
      <c r="H1505" s="4" t="n">
        <v>92.35769999999999</v>
      </c>
      <c r="I1505" s="4" t="n">
        <v>18.59</v>
      </c>
      <c r="J1505" s="4" t="n">
        <v>19.895</v>
      </c>
      <c r="K1505" s="4" t="n">
        <v>18.0625</v>
      </c>
      <c r="L1505" s="4" t="n">
        <v>19.71</v>
      </c>
      <c r="M1505" s="7" t="n">
        <v>0.0602</v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3" t="n">
        <v>4997</v>
      </c>
      <c r="F1506" s="8" t="n">
        <v>0.3853</v>
      </c>
      <c r="G1506" s="4" t="n">
        <v>75.14960000000001</v>
      </c>
      <c r="H1506" s="4" t="n">
        <v>89.93089999999999</v>
      </c>
      <c r="I1506" s="4" t="n">
        <v>19.7125</v>
      </c>
      <c r="J1506" s="4" t="n">
        <v>19.7125</v>
      </c>
      <c r="K1506" s="4" t="n">
        <v>18.27</v>
      </c>
      <c r="L1506" s="4" t="n">
        <v>18.38</v>
      </c>
      <c r="M1506" s="7" t="n">
        <v>-0.06759999999999999</v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3" t="n">
        <v>4861</v>
      </c>
      <c r="F1507" s="8" t="n">
        <v>0.3427</v>
      </c>
      <c r="G1507" s="4" t="n">
        <v>93.3565</v>
      </c>
      <c r="H1507" s="4" t="n">
        <v>80.53919999999999</v>
      </c>
      <c r="I1507" s="4" t="n">
        <v>18.3775</v>
      </c>
      <c r="J1507" s="4" t="n">
        <v>18.4075</v>
      </c>
      <c r="K1507" s="4" t="n">
        <v>17.2675</v>
      </c>
      <c r="L1507" s="4" t="n">
        <v>18.05</v>
      </c>
      <c r="M1507" s="7" t="n">
        <v>-0.0178</v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3" t="n">
        <v>4849</v>
      </c>
      <c r="F1508" s="8" t="n">
        <v>0.3903</v>
      </c>
      <c r="G1508" s="4" t="n">
        <v>85.8357</v>
      </c>
      <c r="H1508" s="4" t="n">
        <v>91.48609999999999</v>
      </c>
      <c r="I1508" s="4" t="n">
        <v>18.0475</v>
      </c>
      <c r="J1508" s="4" t="n">
        <v>18.0475</v>
      </c>
      <c r="K1508" s="4" t="n">
        <v>16.75</v>
      </c>
      <c r="L1508" s="4" t="n">
        <v>17.44</v>
      </c>
      <c r="M1508" s="7" t="n">
        <v>-0.0337</v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3" t="n">
        <v>4759</v>
      </c>
      <c r="F1509" s="8" t="n">
        <v>0.4201</v>
      </c>
      <c r="G1509" s="4" t="n">
        <v>67.3922</v>
      </c>
      <c r="H1509" s="4" t="n">
        <v>104.4589</v>
      </c>
      <c r="I1509" s="4" t="n">
        <v>17.4375</v>
      </c>
      <c r="J1509" s="4" t="n">
        <v>19.48</v>
      </c>
      <c r="K1509" s="4" t="n">
        <v>17.185</v>
      </c>
      <c r="L1509" s="4" t="n">
        <v>18.46</v>
      </c>
      <c r="M1509" s="7" t="n">
        <v>0.0586</v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5026</v>
      </c>
      <c r="F1510" s="8" t="n">
        <v>0.4128</v>
      </c>
      <c r="G1510" s="4" t="n">
        <v>81.7598</v>
      </c>
      <c r="H1510" s="4" t="n">
        <v>170.7773</v>
      </c>
      <c r="I1510" s="4" t="n">
        <v>18.46</v>
      </c>
      <c r="J1510" s="4" t="n">
        <v>18.875</v>
      </c>
      <c r="K1510" s="4" t="n">
        <v>16.7475</v>
      </c>
      <c r="L1510" s="4" t="n">
        <v>18.3</v>
      </c>
      <c r="M1510" s="7" t="n">
        <v>-0.008699999999999999</v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4790</v>
      </c>
      <c r="F1511" s="8" t="n">
        <v>0.3742</v>
      </c>
      <c r="G1511" s="4" t="n">
        <v>65.2895</v>
      </c>
      <c r="H1511" s="4" t="n">
        <v>82.5528</v>
      </c>
      <c r="I1511" s="4" t="n">
        <v>18.3</v>
      </c>
      <c r="J1511" s="4" t="n">
        <v>18.8425</v>
      </c>
      <c r="K1511" s="4" t="n">
        <v>17.7125</v>
      </c>
      <c r="L1511" s="4" t="n">
        <v>17.91</v>
      </c>
      <c r="M1511" s="7" t="n">
        <v>-0.0213</v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4847</v>
      </c>
      <c r="F1512" s="8" t="n">
        <v>0.4254</v>
      </c>
      <c r="G1512" s="4" t="n">
        <v>79.1281</v>
      </c>
      <c r="H1512" s="4" t="n">
        <v>112.8353</v>
      </c>
      <c r="I1512" s="4" t="n">
        <v>17.9075</v>
      </c>
      <c r="J1512" s="4" t="n">
        <v>18.0775</v>
      </c>
      <c r="K1512" s="4" t="n">
        <v>16.5775</v>
      </c>
      <c r="L1512" s="4" t="n">
        <v>16.68</v>
      </c>
      <c r="M1512" s="7" t="n">
        <v>-0.06850000000000001</v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4845</v>
      </c>
      <c r="F1513" s="8" t="n">
        <v>0.4703</v>
      </c>
      <c r="G1513" s="4" t="n">
        <v>75.7282</v>
      </c>
      <c r="H1513" s="4" t="n">
        <v>117.7529</v>
      </c>
      <c r="I1513" s="4" t="n">
        <v>16.6775</v>
      </c>
      <c r="J1513" s="4" t="n">
        <v>17.195</v>
      </c>
      <c r="K1513" s="4" t="n">
        <v>15.1675</v>
      </c>
      <c r="L1513" s="4" t="n">
        <v>16.62</v>
      </c>
      <c r="M1513" s="7" t="n">
        <v>-0.0034</v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4830</v>
      </c>
      <c r="F1514" s="8" t="n">
        <v>0.4105</v>
      </c>
      <c r="G1514" s="4" t="n">
        <v>81.22620000000001</v>
      </c>
      <c r="H1514" s="4" t="n">
        <v>99.62779999999999</v>
      </c>
      <c r="I1514" s="4" t="n">
        <v>16.62</v>
      </c>
      <c r="J1514" s="4" t="n">
        <v>17.425</v>
      </c>
      <c r="K1514" s="4" t="n">
        <v>16.1625</v>
      </c>
      <c r="L1514" s="4" t="n">
        <v>16.84</v>
      </c>
      <c r="M1514" s="7" t="n">
        <v>0.0132</v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4967</v>
      </c>
      <c r="F1515" s="8" t="n">
        <v>0.4743</v>
      </c>
      <c r="G1515" s="4" t="n">
        <v>80.5637</v>
      </c>
      <c r="H1515" s="4" t="n">
        <v>112.7282</v>
      </c>
      <c r="I1515" s="4" t="n">
        <v>16.84</v>
      </c>
      <c r="J1515" s="4" t="n">
        <v>18.9675</v>
      </c>
      <c r="K1515" s="4" t="n">
        <v>16.84</v>
      </c>
      <c r="L1515" s="4" t="n">
        <v>18.55</v>
      </c>
      <c r="M1515" s="7" t="n">
        <v>0.1015</v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4853</v>
      </c>
      <c r="F1516" s="8" t="n">
        <v>0.4713</v>
      </c>
      <c r="G1516" s="4" t="n">
        <v>73.1301</v>
      </c>
      <c r="H1516" s="4" t="n">
        <v>102.5915</v>
      </c>
      <c r="I1516" s="4" t="n">
        <v>18.5525</v>
      </c>
      <c r="J1516" s="4" t="n">
        <v>19.46</v>
      </c>
      <c r="K1516" s="4" t="n">
        <v>17.63</v>
      </c>
      <c r="L1516" s="4" t="n">
        <v>19.28</v>
      </c>
      <c r="M1516" s="7" t="n">
        <v>0.0392</v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4805</v>
      </c>
      <c r="F1517" s="8" t="n">
        <v>0.4377</v>
      </c>
      <c r="G1517" s="4" t="n">
        <v>70.9516</v>
      </c>
      <c r="H1517" s="4" t="n">
        <v>98.8549</v>
      </c>
      <c r="I1517" s="4" t="n">
        <v>19.28</v>
      </c>
      <c r="J1517" s="4" t="n">
        <v>20.125</v>
      </c>
      <c r="K1517" s="4" t="n">
        <v>18.3575</v>
      </c>
      <c r="L1517" s="4" t="n">
        <v>19.43</v>
      </c>
      <c r="M1517" s="7" t="n">
        <v>0.0078</v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4804</v>
      </c>
      <c r="F1518" s="8" t="n">
        <v>0.4423</v>
      </c>
      <c r="G1518" s="4" t="n">
        <v>62.1419</v>
      </c>
      <c r="H1518" s="4" t="n">
        <v>123.6214</v>
      </c>
      <c r="I1518" s="4" t="n">
        <v>19.425</v>
      </c>
      <c r="J1518" s="4" t="n">
        <v>19.425</v>
      </c>
      <c r="K1518" s="4" t="n">
        <v>18.3875</v>
      </c>
      <c r="L1518" s="4" t="n">
        <v>18.61</v>
      </c>
      <c r="M1518" s="7" t="n">
        <v>-0.042</v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4765</v>
      </c>
      <c r="F1519" s="8" t="n">
        <v>0.3986</v>
      </c>
      <c r="G1519" s="4" t="n">
        <v>66.1454</v>
      </c>
      <c r="H1519" s="4" t="n">
        <v>98.23350000000001</v>
      </c>
      <c r="I1519" s="4" t="n">
        <v>18.6125</v>
      </c>
      <c r="J1519" s="4" t="n">
        <v>19.0125</v>
      </c>
      <c r="K1519" s="4" t="n">
        <v>17.4225</v>
      </c>
      <c r="L1519" s="4" t="n">
        <v>18.79</v>
      </c>
      <c r="M1519" s="7" t="n">
        <v>0.0095</v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4924</v>
      </c>
      <c r="F1520" s="8" t="n">
        <v>0.4037</v>
      </c>
      <c r="G1520" s="4" t="n">
        <v>56.5694</v>
      </c>
      <c r="H1520" s="4" t="n">
        <v>87.3485</v>
      </c>
      <c r="I1520" s="4" t="n">
        <v>18.79</v>
      </c>
      <c r="J1520" s="4" t="n">
        <v>20.0575</v>
      </c>
      <c r="K1520" s="4" t="n">
        <v>17.72</v>
      </c>
      <c r="L1520" s="4" t="n">
        <v>19.63</v>
      </c>
      <c r="M1520" s="7" t="n">
        <v>0.0447</v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4804</v>
      </c>
      <c r="F1521" s="8" t="n">
        <v>0.3592</v>
      </c>
      <c r="G1521" s="4" t="n">
        <v>60.8223</v>
      </c>
      <c r="H1521" s="4" t="n">
        <v>83.24760000000001</v>
      </c>
      <c r="I1521" s="4" t="n">
        <v>19.63</v>
      </c>
      <c r="J1521" s="4" t="n">
        <v>19.63</v>
      </c>
      <c r="K1521" s="4" t="n">
        <v>18.2675</v>
      </c>
      <c r="L1521" s="4" t="n">
        <v>18.68</v>
      </c>
      <c r="M1521" s="7" t="n">
        <v>-0.0484</v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4745</v>
      </c>
      <c r="F1522" s="8" t="n">
        <v>0.3338</v>
      </c>
      <c r="G1522" s="4" t="n">
        <v>60.6335</v>
      </c>
      <c r="H1522" s="4" t="n">
        <v>91.1241</v>
      </c>
      <c r="I1522" s="4" t="n">
        <v>18.675</v>
      </c>
      <c r="J1522" s="4" t="n">
        <v>19.455</v>
      </c>
      <c r="K1522" s="4" t="n">
        <v>18.0575</v>
      </c>
      <c r="L1522" s="4" t="n">
        <v>18.44</v>
      </c>
      <c r="M1522" s="7" t="n">
        <v>-0.0126</v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3" t="n">
        <v>4794</v>
      </c>
      <c r="F1523" s="8" t="n">
        <v>0.3606</v>
      </c>
      <c r="G1523" s="4" t="n">
        <v>61.4825</v>
      </c>
      <c r="H1523" s="4" t="n">
        <v>101.0259</v>
      </c>
      <c r="I1523" s="4" t="n">
        <v>18.44</v>
      </c>
      <c r="J1523" s="4" t="n">
        <v>18.44</v>
      </c>
      <c r="K1523" s="4" t="n">
        <v>17.425</v>
      </c>
      <c r="L1523" s="4" t="n">
        <v>17.82</v>
      </c>
      <c r="M1523" s="7" t="n">
        <v>-0.0336</v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3" t="n">
        <v>4787</v>
      </c>
      <c r="F1524" s="8" t="n">
        <v>0.3363</v>
      </c>
      <c r="G1524" s="4" t="n">
        <v>53.3602</v>
      </c>
      <c r="H1524" s="4" t="n">
        <v>101.3933</v>
      </c>
      <c r="I1524" s="4" t="n">
        <v>17.8225</v>
      </c>
      <c r="J1524" s="4" t="n">
        <v>19.025</v>
      </c>
      <c r="K1524" s="4" t="n">
        <v>16.465</v>
      </c>
      <c r="L1524" s="4" t="n">
        <v>17.91</v>
      </c>
      <c r="M1524" s="7" t="n">
        <v>0.0049</v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3" t="n">
        <v>4997</v>
      </c>
      <c r="F1525" s="8" t="n">
        <v>0.3599</v>
      </c>
      <c r="G1525" s="4" t="n">
        <v>69.01990000000001</v>
      </c>
      <c r="H1525" s="4" t="n">
        <v>87.6159</v>
      </c>
      <c r="I1525" s="4" t="n">
        <v>17.91</v>
      </c>
      <c r="J1525" s="4" t="n">
        <v>17.91</v>
      </c>
      <c r="K1525" s="4" t="n">
        <v>16.3925</v>
      </c>
      <c r="L1525" s="4" t="n">
        <v>16.7</v>
      </c>
      <c r="M1525" s="7" t="n">
        <v>-0.06759999999999999</v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3" t="n">
        <v>4795</v>
      </c>
      <c r="F1526" s="8" t="n">
        <v>0.3299</v>
      </c>
      <c r="G1526" s="4" t="n">
        <v>62.579</v>
      </c>
      <c r="H1526" s="4" t="n">
        <v>94.74720000000001</v>
      </c>
      <c r="I1526" s="4" t="n">
        <v>16.7025</v>
      </c>
      <c r="J1526" s="4" t="n">
        <v>16.96</v>
      </c>
      <c r="K1526" s="4" t="n">
        <v>15.3625</v>
      </c>
      <c r="L1526" s="4" t="n">
        <v>16.13</v>
      </c>
      <c r="M1526" s="7" t="n">
        <v>-0.0343</v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3" t="n">
        <v>4846</v>
      </c>
      <c r="F1527" s="8" t="n">
        <v>0.4067</v>
      </c>
      <c r="G1527" s="4" t="n">
        <v>85.0107</v>
      </c>
      <c r="H1527" s="4" t="n">
        <v>119.4797</v>
      </c>
      <c r="I1527" s="4" t="n">
        <v>16.1325</v>
      </c>
      <c r="J1527" s="4" t="n">
        <v>16.3275</v>
      </c>
      <c r="K1527" s="4" t="n">
        <v>14.6975</v>
      </c>
      <c r="L1527" s="4" t="n">
        <v>14.98</v>
      </c>
      <c r="M1527" s="7" t="n">
        <v>-0.07140000000000001</v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3" t="n">
        <v>4937</v>
      </c>
      <c r="F1528" s="8" t="n">
        <v>0.4928</v>
      </c>
      <c r="G1528" s="4" t="n">
        <v>88.13509999999999</v>
      </c>
      <c r="H1528" s="4" t="n">
        <v>127.708</v>
      </c>
      <c r="I1528" s="4" t="n">
        <v>14.9825</v>
      </c>
      <c r="J1528" s="4" t="n">
        <v>16.5525</v>
      </c>
      <c r="K1528" s="4" t="n">
        <v>14.5925</v>
      </c>
      <c r="L1528" s="4" t="n">
        <v>16.19</v>
      </c>
      <c r="M1528" s="7" t="n">
        <v>0.0806</v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5030</v>
      </c>
      <c r="F1529" s="8" t="n">
        <v>0.4191</v>
      </c>
      <c r="G1529" s="4" t="n">
        <v>73.3489</v>
      </c>
      <c r="H1529" s="4" t="n">
        <v>88.73950000000001</v>
      </c>
      <c r="I1529" s="4" t="n">
        <v>16.185</v>
      </c>
      <c r="J1529" s="4" t="n">
        <v>16.9175</v>
      </c>
      <c r="K1529" s="4" t="n">
        <v>13.9125</v>
      </c>
      <c r="L1529" s="4" t="n">
        <v>16.54</v>
      </c>
      <c r="M1529" s="7" t="n">
        <v>0.0219</v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4868</v>
      </c>
      <c r="F1530" s="8" t="n">
        <v>0.3644</v>
      </c>
      <c r="G1530" s="4" t="n">
        <v>61.6548</v>
      </c>
      <c r="H1530" s="4" t="n">
        <v>88.2727</v>
      </c>
      <c r="I1530" s="4" t="n">
        <v>16.5425</v>
      </c>
      <c r="J1530" s="4" t="n">
        <v>16.5425</v>
      </c>
      <c r="K1530" s="4" t="n">
        <v>15.115</v>
      </c>
      <c r="L1530" s="4" t="n">
        <v>15.36</v>
      </c>
      <c r="M1530" s="7" t="n">
        <v>-0.07149999999999999</v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4857</v>
      </c>
      <c r="F1531" s="8" t="n">
        <v>0.3531</v>
      </c>
      <c r="G1531" s="4" t="n">
        <v>65.28270000000001</v>
      </c>
      <c r="H1531" s="4" t="n">
        <v>85.5873</v>
      </c>
      <c r="I1531" s="4" t="n">
        <v>15.355</v>
      </c>
      <c r="J1531" s="4" t="n">
        <v>16.98</v>
      </c>
      <c r="K1531" s="4" t="n">
        <v>14.85</v>
      </c>
      <c r="L1531" s="4" t="n">
        <v>16.28</v>
      </c>
      <c r="M1531" s="7" t="n">
        <v>0.0602</v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4794</v>
      </c>
      <c r="F1532" s="8" t="n">
        <v>0.3721</v>
      </c>
      <c r="G1532" s="4" t="n">
        <v>67.6418</v>
      </c>
      <c r="H1532" s="4" t="n">
        <v>94.5972</v>
      </c>
      <c r="I1532" s="4" t="n">
        <v>16.2775</v>
      </c>
      <c r="J1532" s="4" t="n">
        <v>16.405</v>
      </c>
      <c r="K1532" s="4" t="n">
        <v>15.53</v>
      </c>
      <c r="L1532" s="4" t="n">
        <v>15.89</v>
      </c>
      <c r="M1532" s="7" t="n">
        <v>-0.0238</v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4823</v>
      </c>
      <c r="F1533" s="8" t="n">
        <v>0.3797</v>
      </c>
      <c r="G1533" s="4" t="n">
        <v>67.0089</v>
      </c>
      <c r="H1533" s="4" t="n">
        <v>99.1416</v>
      </c>
      <c r="I1533" s="4" t="n">
        <v>15.885</v>
      </c>
      <c r="J1533" s="4" t="n">
        <v>16.37</v>
      </c>
      <c r="K1533" s="4" t="n">
        <v>13.46</v>
      </c>
      <c r="L1533" s="4" t="n">
        <v>15.79</v>
      </c>
      <c r="M1533" s="7" t="n">
        <v>-0.006</v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5048</v>
      </c>
      <c r="F1534" s="8" t="n">
        <v>0.3705</v>
      </c>
      <c r="G1534" s="4" t="n">
        <v>64.5061</v>
      </c>
      <c r="H1534" s="4" t="n">
        <v>90.5454</v>
      </c>
      <c r="I1534" s="4" t="n">
        <v>15.7875</v>
      </c>
      <c r="J1534" s="4" t="n">
        <v>18.44</v>
      </c>
      <c r="K1534" s="4" t="n">
        <v>15.7875</v>
      </c>
      <c r="L1534" s="4" t="n">
        <v>17.03</v>
      </c>
      <c r="M1534" s="7" t="n">
        <v>0.07870000000000001</v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4856</v>
      </c>
      <c r="F1535" s="8" t="n">
        <v>0.3556</v>
      </c>
      <c r="G1535" s="4" t="n">
        <v>59.5623</v>
      </c>
      <c r="H1535" s="4" t="n">
        <v>81.83880000000001</v>
      </c>
      <c r="I1535" s="4" t="n">
        <v>17.0275</v>
      </c>
      <c r="J1535" s="4" t="n">
        <v>17.0275</v>
      </c>
      <c r="K1535" s="4" t="n">
        <v>15.5225</v>
      </c>
      <c r="L1535" s="4" t="n">
        <v>15.58</v>
      </c>
      <c r="M1535" s="7" t="n">
        <v>-0.08500000000000001</v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4840</v>
      </c>
      <c r="F1536" s="8" t="n">
        <v>0.414</v>
      </c>
      <c r="G1536" s="4" t="n">
        <v>62.123</v>
      </c>
      <c r="H1536" s="4" t="n">
        <v>84.131</v>
      </c>
      <c r="I1536" s="4" t="n">
        <v>15.575</v>
      </c>
      <c r="J1536" s="4" t="n">
        <v>15.845</v>
      </c>
      <c r="K1536" s="4" t="n">
        <v>14.9025</v>
      </c>
      <c r="L1536" s="4" t="n">
        <v>15.63</v>
      </c>
      <c r="M1536" s="7" t="n">
        <v>0.0035</v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4865</v>
      </c>
      <c r="F1537" s="8" t="n">
        <v>0.3528</v>
      </c>
      <c r="G1537" s="4" t="n">
        <v>56.2303</v>
      </c>
      <c r="H1537" s="4" t="n">
        <v>90.676</v>
      </c>
      <c r="I1537" s="4" t="n">
        <v>15.6325</v>
      </c>
      <c r="J1537" s="4" t="n">
        <v>15.945</v>
      </c>
      <c r="K1537" s="4" t="n">
        <v>15.1225</v>
      </c>
      <c r="L1537" s="4" t="n">
        <v>15.61</v>
      </c>
      <c r="M1537" s="7" t="n">
        <v>-0.0014</v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4876</v>
      </c>
      <c r="F1538" s="8" t="n">
        <v>0.3456</v>
      </c>
      <c r="G1538" s="4" t="n">
        <v>69.1793</v>
      </c>
      <c r="H1538" s="4" t="n">
        <v>90.4646</v>
      </c>
      <c r="I1538" s="4" t="n">
        <v>15.6125</v>
      </c>
      <c r="J1538" s="4" t="n">
        <v>15.6125</v>
      </c>
      <c r="K1538" s="4" t="n">
        <v>14.395</v>
      </c>
      <c r="L1538" s="4" t="n">
        <v>14.72</v>
      </c>
      <c r="M1538" s="7" t="n">
        <v>-0.0572</v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5082</v>
      </c>
      <c r="F1539" s="8" t="n">
        <v>0.4084</v>
      </c>
      <c r="G1539" s="4" t="n">
        <v>77.0227</v>
      </c>
      <c r="H1539" s="4" t="n">
        <v>105.8706</v>
      </c>
      <c r="I1539" s="4" t="n">
        <v>14.7175</v>
      </c>
      <c r="J1539" s="4" t="n">
        <v>14.7175</v>
      </c>
      <c r="K1539" s="4" t="n">
        <v>13.5575</v>
      </c>
      <c r="L1539" s="4" t="n">
        <v>14.35</v>
      </c>
      <c r="M1539" s="7" t="n">
        <v>-0.025</v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4900</v>
      </c>
      <c r="F1540" s="8" t="n">
        <v>0.3828</v>
      </c>
      <c r="G1540" s="4" t="n">
        <v>92.90819999999999</v>
      </c>
      <c r="H1540" s="4" t="n">
        <v>127.6209</v>
      </c>
      <c r="I1540" s="4" t="n">
        <v>14.3525</v>
      </c>
      <c r="J1540" s="4" t="n">
        <v>14.3525</v>
      </c>
      <c r="K1540" s="4" t="n">
        <v>13.01</v>
      </c>
      <c r="L1540" s="4" t="n">
        <v>13.36</v>
      </c>
      <c r="M1540" s="7" t="n">
        <v>-0.0692</v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4878</v>
      </c>
      <c r="F1541" s="8" t="n">
        <v>0.3634</v>
      </c>
      <c r="G1541" s="4" t="n">
        <v>69.6671</v>
      </c>
      <c r="H1541" s="4" t="n">
        <v>101.2988</v>
      </c>
      <c r="I1541" s="4" t="n">
        <v>13.3625</v>
      </c>
      <c r="J1541" s="4" t="n">
        <v>13.5325</v>
      </c>
      <c r="K1541" s="4" t="n">
        <v>12.35</v>
      </c>
      <c r="L1541" s="4" t="n">
        <v>13.19</v>
      </c>
      <c r="M1541" s="7" t="n">
        <v>-0.0129</v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4843</v>
      </c>
      <c r="F1542" s="8" t="n">
        <v>0.3649</v>
      </c>
      <c r="G1542" s="4" t="n">
        <v>62.7866</v>
      </c>
      <c r="H1542" s="4" t="n">
        <v>114.6017</v>
      </c>
      <c r="I1542" s="4" t="n">
        <v>13.1875</v>
      </c>
      <c r="J1542" s="4" t="n">
        <v>13.225</v>
      </c>
      <c r="K1542" s="4" t="n">
        <v>11.9925</v>
      </c>
      <c r="L1542" s="4" t="n">
        <v>12.67</v>
      </c>
      <c r="M1542" s="7" t="n">
        <v>-0.0392</v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3" t="n">
        <v>4875</v>
      </c>
      <c r="F1543" s="8" t="n">
        <v>0.4013</v>
      </c>
      <c r="G1543" s="4" t="n">
        <v>69.8369</v>
      </c>
      <c r="H1543" s="4" t="n">
        <v>108.7902</v>
      </c>
      <c r="I1543" s="4" t="n">
        <v>12.6725</v>
      </c>
      <c r="J1543" s="4" t="n">
        <v>13.6425</v>
      </c>
      <c r="K1543" s="4" t="n">
        <v>12.07</v>
      </c>
      <c r="L1543" s="4" t="n">
        <v>12.97</v>
      </c>
      <c r="M1543" s="7" t="n">
        <v>0.0235</v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3" t="n">
        <v>5084</v>
      </c>
      <c r="F1544" s="8" t="n">
        <v>0.3648</v>
      </c>
      <c r="G1544" s="4" t="n">
        <v>68.1429</v>
      </c>
      <c r="H1544" s="4" t="n">
        <v>95.61060000000001</v>
      </c>
      <c r="I1544" s="4" t="n">
        <v>12.97</v>
      </c>
      <c r="J1544" s="4" t="n">
        <v>13.51</v>
      </c>
      <c r="K1544" s="4" t="n">
        <v>12.6475</v>
      </c>
      <c r="L1544" s="4" t="n">
        <v>12.84</v>
      </c>
      <c r="M1544" s="7" t="n">
        <v>-0.01</v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3" t="n">
        <v>4896</v>
      </c>
      <c r="F1545" s="8" t="n">
        <v>0.3669</v>
      </c>
      <c r="G1545" s="4" t="n">
        <v>70.5363</v>
      </c>
      <c r="H1545" s="4" t="n">
        <v>99.83620000000001</v>
      </c>
      <c r="I1545" s="4" t="n">
        <v>12.8425</v>
      </c>
      <c r="J1545" s="4" t="n">
        <v>14.24</v>
      </c>
      <c r="K1545" s="4" t="n">
        <v>12.43</v>
      </c>
      <c r="L1545" s="4" t="n">
        <v>13.94</v>
      </c>
      <c r="M1545" s="7" t="n">
        <v>0.08550000000000001</v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3" t="n">
        <v>4873</v>
      </c>
      <c r="F1546" s="8" t="n">
        <v>0.3725</v>
      </c>
      <c r="G1546" s="4" t="n">
        <v>81.48779999999999</v>
      </c>
      <c r="H1546" s="4" t="n">
        <v>118.021</v>
      </c>
      <c r="I1546" s="4" t="n">
        <v>13.9425</v>
      </c>
      <c r="J1546" s="4" t="n">
        <v>14.3025</v>
      </c>
      <c r="K1546" s="4" t="n">
        <v>13.295</v>
      </c>
      <c r="L1546" s="4" t="n">
        <v>13.39</v>
      </c>
      <c r="M1546" s="7" t="n">
        <v>-0.0396</v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3" t="n">
        <v>4871</v>
      </c>
      <c r="F1547" s="8" t="n">
        <v>0.4134</v>
      </c>
      <c r="G1547" s="4" t="n">
        <v>70.05249999999999</v>
      </c>
      <c r="H1547" s="4" t="n">
        <v>119.4276</v>
      </c>
      <c r="I1547" s="4" t="n">
        <v>13.385</v>
      </c>
      <c r="J1547" s="4" t="n">
        <v>13.385</v>
      </c>
      <c r="K1547" s="4" t="n">
        <v>12.4325</v>
      </c>
      <c r="L1547" s="4" t="n">
        <v>13.05</v>
      </c>
      <c r="M1547" s="7" t="n">
        <v>-0.025</v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3" t="n">
        <v>5058</v>
      </c>
      <c r="F1548" s="8" t="n">
        <v>0.3957</v>
      </c>
      <c r="G1548" s="4" t="n">
        <v>61.2027</v>
      </c>
      <c r="H1548" s="4" t="n">
        <v>100.4971</v>
      </c>
      <c r="I1548" s="4" t="n">
        <v>13.05</v>
      </c>
      <c r="J1548" s="4" t="n">
        <v>14.07</v>
      </c>
      <c r="K1548" s="4" t="n">
        <v>12.9175</v>
      </c>
      <c r="L1548" s="4" t="n">
        <v>13.61</v>
      </c>
      <c r="M1548" s="7" t="n">
        <v>0.0429</v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3" t="n">
        <v>4914</v>
      </c>
      <c r="F1549" s="8" t="n">
        <v>0.3984</v>
      </c>
      <c r="G1549" s="4" t="n">
        <v>71.867</v>
      </c>
      <c r="H1549" s="4" t="n">
        <v>109.7332</v>
      </c>
      <c r="I1549" s="4" t="n">
        <v>13.61</v>
      </c>
      <c r="J1549" s="4" t="n">
        <v>13.9675</v>
      </c>
      <c r="K1549" s="4" t="n">
        <v>13.1525</v>
      </c>
      <c r="L1549" s="4" t="n">
        <v>13.6</v>
      </c>
      <c r="M1549" s="7" t="n">
        <v>-0.0007</v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4942</v>
      </c>
      <c r="F1550" s="8" t="n">
        <v>0.4264</v>
      </c>
      <c r="G1550" s="4" t="n">
        <v>71.54349999999999</v>
      </c>
      <c r="H1550" s="4" t="n">
        <v>99.4131</v>
      </c>
      <c r="I1550" s="4" t="n">
        <v>13.6</v>
      </c>
      <c r="J1550" s="4" t="n">
        <v>14.0725</v>
      </c>
      <c r="K1550" s="4" t="n">
        <v>13.15</v>
      </c>
      <c r="L1550" s="4" t="n">
        <v>13.24</v>
      </c>
      <c r="M1550" s="7" t="n">
        <v>-0.0265</v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4949</v>
      </c>
      <c r="F1551" s="8" t="n">
        <v>0.3922</v>
      </c>
      <c r="G1551" s="4" t="n">
        <v>71.71210000000001</v>
      </c>
      <c r="H1551" s="4" t="n">
        <v>112.0319</v>
      </c>
      <c r="I1551" s="4" t="n">
        <v>13.2425</v>
      </c>
      <c r="J1551" s="4" t="n">
        <v>13.2925</v>
      </c>
      <c r="K1551" s="4" t="n">
        <v>12.1925</v>
      </c>
      <c r="L1551" s="4" t="n">
        <v>12.29</v>
      </c>
      <c r="M1551" s="7" t="n">
        <v>-0.07190000000000001</v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4934</v>
      </c>
      <c r="F1552" s="8" t="n">
        <v>0.365</v>
      </c>
      <c r="G1552" s="4" t="n">
        <v>76.5877</v>
      </c>
      <c r="H1552" s="4" t="n">
        <v>105.9177</v>
      </c>
      <c r="I1552" s="4" t="n">
        <v>12.2875</v>
      </c>
      <c r="J1552" s="4" t="n">
        <v>12.2875</v>
      </c>
      <c r="K1552" s="4" t="n">
        <v>11.65</v>
      </c>
      <c r="L1552" s="4" t="n">
        <v>11.8</v>
      </c>
      <c r="M1552" s="7" t="n">
        <v>-0.0397</v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5005</v>
      </c>
      <c r="F1553" s="8" t="n">
        <v>0.336</v>
      </c>
      <c r="G1553" s="4" t="n">
        <v>62.2431</v>
      </c>
      <c r="H1553" s="4" t="n">
        <v>88.00839999999999</v>
      </c>
      <c r="I1553" s="4" t="n">
        <v>11.7975</v>
      </c>
      <c r="J1553" s="4" t="n">
        <v>12.3575</v>
      </c>
      <c r="K1553" s="4" t="n">
        <v>11.7025</v>
      </c>
      <c r="L1553" s="4" t="n">
        <v>11.82</v>
      </c>
      <c r="M1553" s="7" t="n">
        <v>0.0019</v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4840</v>
      </c>
      <c r="F1554" s="8" t="n">
        <v>0.3336</v>
      </c>
      <c r="G1554" s="4" t="n">
        <v>60.3038</v>
      </c>
      <c r="H1554" s="4" t="n">
        <v>95.6726</v>
      </c>
      <c r="I1554" s="4" t="n">
        <v>11.8175</v>
      </c>
      <c r="J1554" s="4" t="n">
        <v>11.935</v>
      </c>
      <c r="K1554" s="4" t="n">
        <v>11.055</v>
      </c>
      <c r="L1554" s="4" t="n">
        <v>11.65</v>
      </c>
      <c r="M1554" s="7" t="n">
        <v>-0.0142</v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4948</v>
      </c>
      <c r="F1555" s="8" t="n">
        <v>0.4501</v>
      </c>
      <c r="G1555" s="4" t="n">
        <v>65.48139999999999</v>
      </c>
      <c r="H1555" s="4" t="n">
        <v>108.5476</v>
      </c>
      <c r="I1555" s="4" t="n">
        <v>11.6475</v>
      </c>
      <c r="J1555" s="4" t="n">
        <v>15.16</v>
      </c>
      <c r="K1555" s="4" t="n">
        <v>11.335</v>
      </c>
      <c r="L1555" s="4" t="n">
        <v>14.68</v>
      </c>
      <c r="M1555" s="7" t="n">
        <v>0.2604</v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4876</v>
      </c>
      <c r="F1556" s="8" t="n">
        <v>0.4068</v>
      </c>
      <c r="G1556" s="4" t="n">
        <v>62.6054</v>
      </c>
      <c r="H1556" s="4" t="n">
        <v>116.385</v>
      </c>
      <c r="I1556" s="4" t="n">
        <v>14.68</v>
      </c>
      <c r="J1556" s="4" t="n">
        <v>14.68</v>
      </c>
      <c r="K1556" s="4" t="n">
        <v>13.0675</v>
      </c>
      <c r="L1556" s="4" t="n">
        <v>13.36</v>
      </c>
      <c r="M1556" s="7" t="n">
        <v>-0.08989999999999999</v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4866</v>
      </c>
      <c r="F1557" s="8" t="n">
        <v>0.3846</v>
      </c>
      <c r="G1557" s="4" t="n">
        <v>57.253</v>
      </c>
      <c r="H1557" s="4" t="n">
        <v>97.4089</v>
      </c>
      <c r="I1557" s="4" t="n">
        <v>13.3625</v>
      </c>
      <c r="J1557" s="4" t="n">
        <v>13.3625</v>
      </c>
      <c r="K1557" s="4" t="n">
        <v>12.1275</v>
      </c>
      <c r="L1557" s="4" t="n">
        <v>12.25</v>
      </c>
      <c r="M1557" s="7" t="n">
        <v>-0.0833</v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5046</v>
      </c>
      <c r="F1558" s="8" t="n">
        <v>0.3706</v>
      </c>
      <c r="G1558" s="4" t="n">
        <v>60.1493</v>
      </c>
      <c r="H1558" s="4" t="n">
        <v>96.91500000000001</v>
      </c>
      <c r="I1558" s="4" t="n">
        <v>12.2525</v>
      </c>
      <c r="J1558" s="4" t="n">
        <v>13.5225</v>
      </c>
      <c r="K1558" s="4" t="n">
        <v>9.475</v>
      </c>
      <c r="L1558" s="4" t="n">
        <v>13.28</v>
      </c>
      <c r="M1558" s="7" t="n">
        <v>0.0839</v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4873</v>
      </c>
      <c r="F1559" s="8" t="n">
        <v>0.3663</v>
      </c>
      <c r="G1559" s="4" t="n">
        <v>61.1903</v>
      </c>
      <c r="H1559" s="4" t="n">
        <v>116.6334</v>
      </c>
      <c r="I1559" s="4" t="n">
        <v>13.28</v>
      </c>
      <c r="J1559" s="4" t="n">
        <v>13.865</v>
      </c>
      <c r="K1559" s="4" t="n">
        <v>11.6575</v>
      </c>
      <c r="L1559" s="4" t="n">
        <v>13.75</v>
      </c>
      <c r="M1559" s="7" t="n">
        <v>0.0354</v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4857</v>
      </c>
      <c r="F1560" s="8" t="n">
        <v>0.3961</v>
      </c>
      <c r="G1560" s="4" t="n">
        <v>61.4198</v>
      </c>
      <c r="H1560" s="4" t="n">
        <v>94.3432</v>
      </c>
      <c r="I1560" s="4" t="n">
        <v>13.75</v>
      </c>
      <c r="J1560" s="4" t="n">
        <v>13.8725</v>
      </c>
      <c r="K1560" s="4" t="n">
        <v>13.04</v>
      </c>
      <c r="L1560" s="4" t="n">
        <v>13.27</v>
      </c>
      <c r="M1560" s="7" t="n">
        <v>-0.0349</v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4850</v>
      </c>
      <c r="F1561" s="8" t="n">
        <v>0.4088</v>
      </c>
      <c r="G1561" s="4" t="n">
        <v>63.6265</v>
      </c>
      <c r="H1561" s="4" t="n">
        <v>105.3634</v>
      </c>
      <c r="I1561" s="4" t="n">
        <v>13.27</v>
      </c>
      <c r="J1561" s="4" t="n">
        <v>13.27</v>
      </c>
      <c r="K1561" s="4" t="n">
        <v>12.775</v>
      </c>
      <c r="L1561" s="4" t="n">
        <v>12.88</v>
      </c>
      <c r="M1561" s="7" t="n">
        <v>-0.0294</v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4815</v>
      </c>
      <c r="F1562" s="8" t="n">
        <v>0.3342</v>
      </c>
      <c r="G1562" s="4" t="n">
        <v>59.2702</v>
      </c>
      <c r="H1562" s="4" t="n">
        <v>93.913</v>
      </c>
      <c r="I1562" s="4" t="n">
        <v>12.8825</v>
      </c>
      <c r="J1562" s="4" t="n">
        <v>13.35</v>
      </c>
      <c r="K1562" s="4" t="n">
        <v>12.81</v>
      </c>
      <c r="L1562" s="4" t="n">
        <v>13.15</v>
      </c>
      <c r="M1562" s="7" t="n">
        <v>0.0208</v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4992</v>
      </c>
      <c r="F1563" s="8" t="n">
        <v>0.3721</v>
      </c>
      <c r="G1563" s="4" t="n">
        <v>56.9483</v>
      </c>
      <c r="H1563" s="4" t="n">
        <v>83.9109</v>
      </c>
      <c r="I1563" s="4" t="n">
        <v>13.15</v>
      </c>
      <c r="J1563" s="4" t="n">
        <v>13.8425</v>
      </c>
      <c r="K1563" s="4" t="n">
        <v>12.8925</v>
      </c>
      <c r="L1563" s="4" t="n">
        <v>12.98</v>
      </c>
      <c r="M1563" s="7" t="n">
        <v>-0.0129</v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4849</v>
      </c>
      <c r="F1564" s="8" t="n">
        <v>0.3635</v>
      </c>
      <c r="G1564" s="4" t="n">
        <v>61.9168</v>
      </c>
      <c r="H1564" s="4" t="n">
        <v>92.3026</v>
      </c>
      <c r="I1564" s="4" t="n">
        <v>12.98</v>
      </c>
      <c r="J1564" s="4" t="n">
        <v>13.08</v>
      </c>
      <c r="K1564" s="4" t="n">
        <v>12.0975</v>
      </c>
      <c r="L1564" s="4" t="n">
        <v>12.6</v>
      </c>
      <c r="M1564" s="7" t="n">
        <v>-0.0293</v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4844</v>
      </c>
      <c r="F1565" s="8" t="n">
        <v>0.3725</v>
      </c>
      <c r="G1565" s="4" t="n">
        <v>60.061</v>
      </c>
      <c r="H1565" s="4" t="n">
        <v>89.9927</v>
      </c>
      <c r="I1565" s="4" t="n">
        <v>12.6</v>
      </c>
      <c r="J1565" s="4" t="n">
        <v>13.425</v>
      </c>
      <c r="K1565" s="4" t="n">
        <v>11.725</v>
      </c>
      <c r="L1565" s="4" t="n">
        <v>13.29</v>
      </c>
      <c r="M1565" s="7" t="n">
        <v>0.0548</v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4816</v>
      </c>
      <c r="F1566" s="8" t="n">
        <v>0.3814</v>
      </c>
      <c r="G1566" s="4" t="n">
        <v>51.2787</v>
      </c>
      <c r="H1566" s="4" t="n">
        <v>96.19840000000001</v>
      </c>
      <c r="I1566" s="4" t="n">
        <v>13.2925</v>
      </c>
      <c r="J1566" s="4" t="n">
        <v>13.74</v>
      </c>
      <c r="K1566" s="4" t="n">
        <v>12.915</v>
      </c>
      <c r="L1566" s="4" t="n">
        <v>13.48</v>
      </c>
      <c r="M1566" s="7" t="n">
        <v>0.0141</v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4853</v>
      </c>
      <c r="F1567" s="8" t="n">
        <v>0.4256</v>
      </c>
      <c r="G1567" s="4" t="n">
        <v>55.7462</v>
      </c>
      <c r="H1567" s="4" t="n">
        <v>89.3318</v>
      </c>
      <c r="I1567" s="4" t="n">
        <v>13.475</v>
      </c>
      <c r="J1567" s="4" t="n">
        <v>14.7675</v>
      </c>
      <c r="K1567" s="4" t="n">
        <v>13.18</v>
      </c>
      <c r="L1567" s="4" t="n">
        <v>14.03</v>
      </c>
      <c r="M1567" s="7" t="n">
        <v>0.0412</v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3" t="n">
        <v>5045</v>
      </c>
      <c r="F1568" s="8" t="n">
        <v>0.3389</v>
      </c>
      <c r="G1568" s="4" t="n">
        <v>53.9773</v>
      </c>
      <c r="H1568" s="4" t="n">
        <v>79.9164</v>
      </c>
      <c r="I1568" s="4" t="n">
        <v>14.03</v>
      </c>
      <c r="J1568" s="4" t="n">
        <v>14.3325</v>
      </c>
      <c r="K1568" s="4" t="n">
        <v>12.6025</v>
      </c>
      <c r="L1568" s="4" t="n">
        <v>12.66</v>
      </c>
      <c r="M1568" s="7" t="n">
        <v>-0.09760000000000001</v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3" t="n">
        <v>4873</v>
      </c>
      <c r="F1569" s="8" t="n">
        <v>0.4245</v>
      </c>
      <c r="G1569" s="4" t="n">
        <v>50.9694</v>
      </c>
      <c r="H1569" s="4" t="n">
        <v>84.34010000000001</v>
      </c>
      <c r="I1569" s="4" t="n">
        <v>12.66</v>
      </c>
      <c r="J1569" s="4" t="n">
        <v>12.82</v>
      </c>
      <c r="K1569" s="4" t="n">
        <v>11.7225</v>
      </c>
      <c r="L1569" s="4" t="n">
        <v>12.56</v>
      </c>
      <c r="M1569" s="7" t="n">
        <v>-0.007900000000000001</v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3" t="n">
        <v>4845</v>
      </c>
      <c r="F1570" s="8" t="n">
        <v>0.3917</v>
      </c>
      <c r="G1570" s="4" t="n">
        <v>54.7353</v>
      </c>
      <c r="H1570" s="4" t="n">
        <v>107.6652</v>
      </c>
      <c r="I1570" s="4" t="n">
        <v>12.5625</v>
      </c>
      <c r="J1570" s="4" t="n">
        <v>12.5625</v>
      </c>
      <c r="K1570" s="4" t="n">
        <v>11.5625</v>
      </c>
      <c r="L1570" s="4" t="n">
        <v>12.01</v>
      </c>
      <c r="M1570" s="7" t="n">
        <v>-0.044</v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3" t="n">
        <v>4872</v>
      </c>
      <c r="F1571" s="8" t="n">
        <v>0.4212</v>
      </c>
      <c r="G1571" s="4" t="n">
        <v>52.1378</v>
      </c>
      <c r="H1571" s="4" t="n">
        <v>113.4828</v>
      </c>
      <c r="I1571" s="4" t="n">
        <v>12.0075</v>
      </c>
      <c r="J1571" s="4" t="n">
        <v>12.3175</v>
      </c>
      <c r="K1571" s="4" t="n">
        <v>11.3025</v>
      </c>
      <c r="L1571" s="4" t="n">
        <v>12.16</v>
      </c>
      <c r="M1571" s="7" t="n">
        <v>0.0127</v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3" t="n">
        <v>4887</v>
      </c>
      <c r="F1572" s="8" t="n">
        <v>0.3676</v>
      </c>
      <c r="G1572" s="4" t="n">
        <v>58.6439</v>
      </c>
      <c r="H1572" s="4" t="n">
        <v>102.4871</v>
      </c>
      <c r="I1572" s="4" t="n">
        <v>12.155</v>
      </c>
      <c r="J1572" s="4" t="n">
        <v>12.21</v>
      </c>
      <c r="K1572" s="4" t="n">
        <v>11.645</v>
      </c>
      <c r="L1572" s="4" t="n">
        <v>11.76</v>
      </c>
      <c r="M1572" s="7" t="n">
        <v>-0.0325</v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5081</v>
      </c>
      <c r="F1573" s="8" t="n">
        <v>0.3599</v>
      </c>
      <c r="G1573" s="4" t="n">
        <v>59.5564</v>
      </c>
      <c r="H1573" s="4" t="n">
        <v>102.6422</v>
      </c>
      <c r="I1573" s="4" t="n">
        <v>11.755</v>
      </c>
      <c r="J1573" s="4" t="n">
        <v>12.06</v>
      </c>
      <c r="K1573" s="4" t="n">
        <v>11.695</v>
      </c>
      <c r="L1573" s="4" t="n">
        <v>11.93</v>
      </c>
      <c r="M1573" s="7" t="n">
        <v>0.0149</v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4928</v>
      </c>
      <c r="F1574" s="8" t="n">
        <v>0.3274</v>
      </c>
      <c r="G1574" s="4" t="n">
        <v>53.4315</v>
      </c>
      <c r="H1574" s="4" t="n">
        <v>95.0806</v>
      </c>
      <c r="I1574" s="4" t="n">
        <v>11.925</v>
      </c>
      <c r="J1574" s="4" t="n">
        <v>12.545</v>
      </c>
      <c r="K1574" s="4" t="n">
        <v>11.4275</v>
      </c>
      <c r="L1574" s="4" t="n">
        <v>12.19</v>
      </c>
      <c r="M1574" s="7" t="n">
        <v>0.0222</v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4933</v>
      </c>
      <c r="F1575" s="8" t="n">
        <v>0.3719</v>
      </c>
      <c r="G1575" s="4" t="n">
        <v>57.5535</v>
      </c>
      <c r="H1575" s="4" t="n">
        <v>111.9202</v>
      </c>
      <c r="I1575" s="4" t="n">
        <v>12.19</v>
      </c>
      <c r="J1575" s="4" t="n">
        <v>12.6725</v>
      </c>
      <c r="K1575" s="4" t="n">
        <v>10.805</v>
      </c>
      <c r="L1575" s="4" t="n">
        <v>12.06</v>
      </c>
      <c r="M1575" s="7" t="n">
        <v>-0.0107</v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3" t="n">
        <v>4962</v>
      </c>
      <c r="F1576" s="8" t="n">
        <v>0.3837</v>
      </c>
      <c r="G1576" s="4" t="n">
        <v>63.0654</v>
      </c>
      <c r="H1576" s="4" t="n">
        <v>122.2648</v>
      </c>
      <c r="I1576" s="4" t="n">
        <v>12.06</v>
      </c>
      <c r="J1576" s="4" t="n">
        <v>12.4325</v>
      </c>
      <c r="K1576" s="4" t="n">
        <v>10.095</v>
      </c>
      <c r="L1576" s="4" t="n">
        <v>12.16</v>
      </c>
      <c r="M1576" s="7" t="n">
        <v>0.0083</v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3" t="n">
        <v>4939</v>
      </c>
      <c r="F1577" s="8" t="n">
        <v>0.3623</v>
      </c>
      <c r="G1577" s="4" t="n">
        <v>57.6331</v>
      </c>
      <c r="H1577" s="4" t="n">
        <v>108.343</v>
      </c>
      <c r="I1577" s="4" t="n">
        <v>12.1575</v>
      </c>
      <c r="J1577" s="4" t="n">
        <v>12.5475</v>
      </c>
      <c r="K1577" s="4" t="n">
        <v>11.3</v>
      </c>
      <c r="L1577" s="4" t="n">
        <v>12.16</v>
      </c>
      <c r="M1577" s="7" t="n">
        <v>0.0002</v>
      </c>
    </row>
    <row r="1578">
      <c r="A1578" s="6" t="n">
        <v>46244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3" t="n">
        <v>5137</v>
      </c>
      <c r="F1578" s="8" t="n">
        <v>0.4631</v>
      </c>
      <c r="G1578" s="4" t="n">
        <v>63.8542</v>
      </c>
      <c r="H1578" s="4" t="n">
        <v>102.2217</v>
      </c>
      <c r="I1578" s="4" t="n">
        <v>12.155</v>
      </c>
      <c r="J1578" s="4" t="n">
        <v>12.915</v>
      </c>
      <c r="K1578" s="4" t="n">
        <v>10.815</v>
      </c>
      <c r="L1578" s="4" t="n">
        <v>12.25</v>
      </c>
      <c r="M1578" s="7" t="n">
        <v>0.0078</v>
      </c>
    </row>
    <row r="1579">
      <c r="A1579" s="6" t="n">
        <v>46245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3" t="n">
        <v>4987</v>
      </c>
      <c r="F1579" s="8" t="n">
        <v>0.3422</v>
      </c>
      <c r="G1579" s="4" t="n">
        <v>63.6733</v>
      </c>
      <c r="H1579" s="4" t="n">
        <v>101.1013</v>
      </c>
      <c r="I1579" s="4" t="n">
        <v>12.245</v>
      </c>
      <c r="J1579" s="4" t="n">
        <v>12.455</v>
      </c>
      <c r="K1579" s="4" t="n">
        <v>11.1925</v>
      </c>
      <c r="L1579" s="4" t="n">
        <v>11.86</v>
      </c>
      <c r="M1579" s="7" t="n">
        <v>-0.0314</v>
      </c>
    </row>
    <row r="1580">
      <c r="A1580" s="6" t="n">
        <v>46246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3" t="n">
        <v>4948</v>
      </c>
      <c r="F1580" s="8" t="n">
        <v>0.3624</v>
      </c>
      <c r="G1580" s="4" t="n">
        <v>68.66719999999999</v>
      </c>
      <c r="H1580" s="4" t="n">
        <v>113.691</v>
      </c>
      <c r="I1580" s="4" t="n">
        <v>11.855</v>
      </c>
      <c r="J1580" s="4" t="n">
        <v>12.09</v>
      </c>
      <c r="K1580" s="4" t="n">
        <v>11.2575</v>
      </c>
      <c r="L1580" s="4" t="n">
        <v>11.69</v>
      </c>
      <c r="M1580" s="7" t="n">
        <v>-0.0139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2026-08-13T04:39:00Z</dcterms:created>
  <dcterms:modified xsi:type="dcterms:W3CDTF">2026-08-13T04:39:01Z</dcterms:modified>
</cp:coreProperties>
</file>